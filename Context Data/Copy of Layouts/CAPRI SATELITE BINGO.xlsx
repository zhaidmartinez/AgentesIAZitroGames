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TRABAJO\informacion_Entregas\DATA IA\"/>
    </mc:Choice>
  </mc:AlternateContent>
  <xr:revisionPtr revIDLastSave="0" documentId="13_ncr:1_{63A6AC20-DE07-42B1-8CF4-824BA9785D20}" xr6:coauthVersionLast="47" xr6:coauthVersionMax="47" xr10:uidLastSave="{00000000-0000-0000-0000-000000000000}"/>
  <bookViews>
    <workbookView xWindow="-11670" yWindow="-21720" windowWidth="51840" windowHeight="21120" tabRatio="796" xr2:uid="{00000000-000D-0000-FFFF-FFFF00000000}"/>
  </bookViews>
  <sheets>
    <sheet name="Licencias actual" sheetId="50" r:id="rId1"/>
    <sheet name="Layout actual" sheetId="51" r:id="rId2"/>
    <sheet name="Denominacion" sheetId="66" r:id="rId3"/>
    <sheet name="Apuesta Minima" sheetId="67" r:id="rId4"/>
  </sheets>
  <definedNames>
    <definedName name="_abb88">#REF!</definedName>
    <definedName name="FUMAR" localSheetId="1">'Layout actual'!#REF!</definedName>
    <definedName name="P" localSheetId="1">'Layout actual'!#REF!</definedName>
    <definedName name="P" localSheetId="0">'Licencias actual'!#REF!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O306" i="66" l="1"/>
  <c r="AO308" i="66" s="1"/>
  <c r="AE135" i="66" s="1"/>
  <c r="AF135" i="66" s="1"/>
  <c r="AO302" i="66"/>
  <c r="AX301" i="66"/>
  <c r="AO301" i="66"/>
  <c r="AX300" i="66"/>
  <c r="AO300" i="66"/>
  <c r="AX299" i="66"/>
  <c r="AO299" i="66"/>
  <c r="AX298" i="66"/>
  <c r="AO298" i="66"/>
  <c r="AO297" i="66"/>
  <c r="AO296" i="66"/>
  <c r="AO295" i="66"/>
  <c r="AX294" i="66"/>
  <c r="AX295" i="66" s="1"/>
  <c r="AE147" i="66" s="1"/>
  <c r="AF147" i="66" s="1"/>
  <c r="AO294" i="66"/>
  <c r="AO293" i="66"/>
  <c r="AX290" i="66"/>
  <c r="AX291" i="66" s="1"/>
  <c r="AE149" i="66" s="1"/>
  <c r="AF149" i="66" s="1"/>
  <c r="AO289" i="66"/>
  <c r="AO288" i="66"/>
  <c r="AX286" i="66"/>
  <c r="AX287" i="66" s="1"/>
  <c r="AE141" i="66" s="1"/>
  <c r="AF141" i="66" s="1"/>
  <c r="AO284" i="66"/>
  <c r="AO283" i="66"/>
  <c r="AX282" i="66"/>
  <c r="AX283" i="66" s="1"/>
  <c r="AE139" i="66" s="1"/>
  <c r="AF139" i="66" s="1"/>
  <c r="AO282" i="66"/>
  <c r="AO281" i="66"/>
  <c r="AO280" i="66"/>
  <c r="AX278" i="66"/>
  <c r="AX277" i="66"/>
  <c r="AX276" i="66"/>
  <c r="T276" i="66"/>
  <c r="G276" i="66"/>
  <c r="AX275" i="66"/>
  <c r="T275" i="66"/>
  <c r="G275" i="66"/>
  <c r="G277" i="66" s="1"/>
  <c r="AX274" i="66"/>
  <c r="AX273" i="66"/>
  <c r="T272" i="66"/>
  <c r="G272" i="66"/>
  <c r="AO271" i="66"/>
  <c r="T271" i="66"/>
  <c r="G271" i="66"/>
  <c r="G273" i="66" s="1"/>
  <c r="AO270" i="66"/>
  <c r="AX269" i="66"/>
  <c r="AO269" i="66"/>
  <c r="AX268" i="66"/>
  <c r="AO268" i="66"/>
  <c r="T268" i="66"/>
  <c r="G268" i="66"/>
  <c r="AO267" i="66"/>
  <c r="T267" i="66"/>
  <c r="G267" i="66"/>
  <c r="AO266" i="66"/>
  <c r="T266" i="66"/>
  <c r="G266" i="66"/>
  <c r="AO265" i="66"/>
  <c r="T265" i="66"/>
  <c r="G265" i="66"/>
  <c r="AX264" i="66"/>
  <c r="AO264" i="66"/>
  <c r="T264" i="66"/>
  <c r="G264" i="66"/>
  <c r="AX263" i="66"/>
  <c r="AO263" i="66"/>
  <c r="T263" i="66"/>
  <c r="G263" i="66"/>
  <c r="AX262" i="66"/>
  <c r="AO262" i="66"/>
  <c r="AX261" i="66"/>
  <c r="AO261" i="66"/>
  <c r="AX260" i="66"/>
  <c r="AO260" i="66"/>
  <c r="T260" i="66"/>
  <c r="G260" i="66"/>
  <c r="AX259" i="66"/>
  <c r="AO259" i="66"/>
  <c r="T259" i="66"/>
  <c r="G259" i="66"/>
  <c r="AX258" i="66"/>
  <c r="AO258" i="66"/>
  <c r="T258" i="66"/>
  <c r="G258" i="66"/>
  <c r="AX257" i="66"/>
  <c r="AO257" i="66"/>
  <c r="T257" i="66"/>
  <c r="G257" i="66"/>
  <c r="AX256" i="66"/>
  <c r="AO256" i="66"/>
  <c r="T256" i="66"/>
  <c r="G256" i="66"/>
  <c r="AX255" i="66"/>
  <c r="T255" i="66"/>
  <c r="G255" i="66"/>
  <c r="AX254" i="66"/>
  <c r="T254" i="66"/>
  <c r="G254" i="66"/>
  <c r="AX253" i="66"/>
  <c r="T253" i="66"/>
  <c r="G253" i="66"/>
  <c r="AX252" i="66"/>
  <c r="T252" i="66"/>
  <c r="G252" i="66"/>
  <c r="AX251" i="66"/>
  <c r="AO251" i="66"/>
  <c r="T251" i="66"/>
  <c r="G251" i="66"/>
  <c r="AX250" i="66"/>
  <c r="AO250" i="66"/>
  <c r="T250" i="66"/>
  <c r="G250" i="66"/>
  <c r="AX249" i="66"/>
  <c r="AO249" i="66"/>
  <c r="T249" i="66"/>
  <c r="G249" i="66"/>
  <c r="AX248" i="66"/>
  <c r="AO248" i="66"/>
  <c r="T248" i="66"/>
  <c r="G248" i="66"/>
  <c r="AX247" i="66"/>
  <c r="AO247" i="66"/>
  <c r="AX246" i="66"/>
  <c r="AO246" i="66"/>
  <c r="AA246" i="66"/>
  <c r="AX245" i="66"/>
  <c r="AO245" i="66"/>
  <c r="T245" i="66"/>
  <c r="G245" i="66"/>
  <c r="AX244" i="66"/>
  <c r="T244" i="66"/>
  <c r="G244" i="66"/>
  <c r="AX243" i="66"/>
  <c r="T243" i="66"/>
  <c r="G243" i="66"/>
  <c r="AX242" i="66"/>
  <c r="AA242" i="66"/>
  <c r="T242" i="66"/>
  <c r="G242" i="66"/>
  <c r="AX241" i="66"/>
  <c r="AA241" i="66"/>
  <c r="T241" i="66"/>
  <c r="G241" i="66"/>
  <c r="AX240" i="66"/>
  <c r="AO240" i="66"/>
  <c r="T240" i="66"/>
  <c r="G240" i="66"/>
  <c r="AX239" i="66"/>
  <c r="AO239" i="66"/>
  <c r="AX238" i="66"/>
  <c r="AX237" i="66"/>
  <c r="AX236" i="66"/>
  <c r="AX235" i="66"/>
  <c r="AX234" i="66"/>
  <c r="AO234" i="66"/>
  <c r="AA234" i="66"/>
  <c r="AX233" i="66"/>
  <c r="AO233" i="66"/>
  <c r="AA233" i="66"/>
  <c r="AX232" i="66"/>
  <c r="AO232" i="66"/>
  <c r="AX231" i="66"/>
  <c r="AO231" i="66"/>
  <c r="AX230" i="66"/>
  <c r="AO230" i="66"/>
  <c r="AX229" i="66"/>
  <c r="AO229" i="66"/>
  <c r="AX228" i="66"/>
  <c r="AO228" i="66"/>
  <c r="AX227" i="66"/>
  <c r="AO227" i="66"/>
  <c r="AO226" i="66"/>
  <c r="AO225" i="66"/>
  <c r="AO224" i="66"/>
  <c r="AE224" i="66"/>
  <c r="AF224" i="66" s="1"/>
  <c r="T224" i="66"/>
  <c r="Z224" i="66" s="1"/>
  <c r="G224" i="66"/>
  <c r="L224" i="66" s="1"/>
  <c r="AX223" i="66"/>
  <c r="AO223" i="66"/>
  <c r="AE223" i="66"/>
  <c r="AF223" i="66" s="1"/>
  <c r="T223" i="66"/>
  <c r="G223" i="66"/>
  <c r="L223" i="66" s="1"/>
  <c r="AX222" i="66"/>
  <c r="AO222" i="66"/>
  <c r="AE222" i="66"/>
  <c r="AF222" i="66" s="1"/>
  <c r="T222" i="66"/>
  <c r="G222" i="66"/>
  <c r="AX221" i="66"/>
  <c r="AO221" i="66"/>
  <c r="AE221" i="66"/>
  <c r="AF221" i="66" s="1"/>
  <c r="AX220" i="66"/>
  <c r="AO220" i="66"/>
  <c r="AE220" i="66"/>
  <c r="AF220" i="66" s="1"/>
  <c r="AX219" i="66"/>
  <c r="AO219" i="66"/>
  <c r="AE219" i="66"/>
  <c r="AF219" i="66" s="1"/>
  <c r="AX218" i="66"/>
  <c r="AO218" i="66"/>
  <c r="AE218" i="66"/>
  <c r="AF218" i="66" s="1"/>
  <c r="X218" i="66"/>
  <c r="W218" i="66"/>
  <c r="K218" i="66"/>
  <c r="J218" i="66"/>
  <c r="AX217" i="66"/>
  <c r="AO217" i="66"/>
  <c r="AE217" i="66"/>
  <c r="AF217" i="66" s="1"/>
  <c r="T217" i="66"/>
  <c r="Y217" i="66" s="1"/>
  <c r="G217" i="66"/>
  <c r="L217" i="66" s="1"/>
  <c r="AX216" i="66"/>
  <c r="AO216" i="66"/>
  <c r="AE216" i="66"/>
  <c r="AF216" i="66" s="1"/>
  <c r="T216" i="66"/>
  <c r="Y216" i="66" s="1"/>
  <c r="G216" i="66"/>
  <c r="AX215" i="66"/>
  <c r="AO215" i="66"/>
  <c r="AE215" i="66"/>
  <c r="AF215" i="66" s="1"/>
  <c r="T215" i="66"/>
  <c r="Y215" i="66" s="1"/>
  <c r="G215" i="66"/>
  <c r="AX214" i="66"/>
  <c r="AO214" i="66"/>
  <c r="AE214" i="66"/>
  <c r="AF214" i="66" s="1"/>
  <c r="T214" i="66"/>
  <c r="G214" i="66"/>
  <c r="L214" i="66" s="1"/>
  <c r="AX213" i="66"/>
  <c r="AO213" i="66"/>
  <c r="AE213" i="66"/>
  <c r="AF213" i="66" s="1"/>
  <c r="AX212" i="66"/>
  <c r="AO212" i="66"/>
  <c r="AE212" i="66"/>
  <c r="AF212" i="66" s="1"/>
  <c r="AX211" i="66"/>
  <c r="AO211" i="66"/>
  <c r="AE211" i="66"/>
  <c r="AF211" i="66" s="1"/>
  <c r="AX210" i="66"/>
  <c r="AO210" i="66"/>
  <c r="AE210" i="66"/>
  <c r="AF210" i="66" s="1"/>
  <c r="AA210" i="66"/>
  <c r="AX209" i="66"/>
  <c r="AO209" i="66"/>
  <c r="AE209" i="66"/>
  <c r="AF209" i="66" s="1"/>
  <c r="Z209" i="66"/>
  <c r="T209" i="66"/>
  <c r="Y209" i="66" s="1"/>
  <c r="G209" i="66"/>
  <c r="L209" i="66" s="1"/>
  <c r="AX208" i="66"/>
  <c r="AO208" i="66"/>
  <c r="AE208" i="66"/>
  <c r="AF208" i="66" s="1"/>
  <c r="T208" i="66"/>
  <c r="G208" i="66"/>
  <c r="G210" i="66" s="1"/>
  <c r="AX207" i="66"/>
  <c r="AO207" i="66"/>
  <c r="AE207" i="66"/>
  <c r="AF207" i="66" s="1"/>
  <c r="T207" i="66"/>
  <c r="G207" i="66"/>
  <c r="L207" i="66" s="1"/>
  <c r="AX206" i="66"/>
  <c r="AO206" i="66"/>
  <c r="AE206" i="66"/>
  <c r="AF206" i="66" s="1"/>
  <c r="AX205" i="66"/>
  <c r="AE205" i="66"/>
  <c r="AF205" i="66" s="1"/>
  <c r="AX204" i="66"/>
  <c r="AE204" i="66"/>
  <c r="AF204" i="66" s="1"/>
  <c r="AX203" i="66"/>
  <c r="AO203" i="66"/>
  <c r="AE203" i="66"/>
  <c r="AF203" i="66" s="1"/>
  <c r="X203" i="66"/>
  <c r="W203" i="66"/>
  <c r="K203" i="66"/>
  <c r="J203" i="66"/>
  <c r="AX202" i="66"/>
  <c r="AE202" i="66"/>
  <c r="AF202" i="66" s="1"/>
  <c r="T202" i="66"/>
  <c r="G202" i="66"/>
  <c r="L202" i="66" s="1"/>
  <c r="AX201" i="66"/>
  <c r="AO201" i="66"/>
  <c r="AE201" i="66"/>
  <c r="AF201" i="66" s="1"/>
  <c r="T201" i="66"/>
  <c r="G201" i="66"/>
  <c r="L201" i="66" s="1"/>
  <c r="AX200" i="66"/>
  <c r="AO200" i="66"/>
  <c r="AE200" i="66"/>
  <c r="AF200" i="66" s="1"/>
  <c r="T200" i="66"/>
  <c r="Y200" i="66" s="1"/>
  <c r="G200" i="66"/>
  <c r="AX199" i="66"/>
  <c r="AO199" i="66"/>
  <c r="AE199" i="66"/>
  <c r="AF199" i="66" s="1"/>
  <c r="T199" i="66"/>
  <c r="T203" i="66" s="1"/>
  <c r="G199" i="66"/>
  <c r="AX198" i="66"/>
  <c r="AO198" i="66"/>
  <c r="AE198" i="66"/>
  <c r="AF198" i="66" s="1"/>
  <c r="AX197" i="66"/>
  <c r="AO197" i="66"/>
  <c r="AE197" i="66"/>
  <c r="AF197" i="66" s="1"/>
  <c r="AX196" i="66"/>
  <c r="AO196" i="66"/>
  <c r="AE196" i="66"/>
  <c r="AF196" i="66" s="1"/>
  <c r="AX195" i="66"/>
  <c r="AO195" i="66"/>
  <c r="AE195" i="66"/>
  <c r="AF195" i="66" s="1"/>
  <c r="X195" i="66"/>
  <c r="W195" i="66"/>
  <c r="K195" i="66"/>
  <c r="J195" i="66"/>
  <c r="AX194" i="66"/>
  <c r="AO194" i="66"/>
  <c r="AE194" i="66"/>
  <c r="AF194" i="66" s="1"/>
  <c r="T194" i="66"/>
  <c r="G194" i="66"/>
  <c r="L194" i="66" s="1"/>
  <c r="AX193" i="66"/>
  <c r="AO193" i="66"/>
  <c r="AE193" i="66"/>
  <c r="AF193" i="66" s="1"/>
  <c r="T193" i="66"/>
  <c r="G193" i="66"/>
  <c r="L193" i="66" s="1"/>
  <c r="AX192" i="66"/>
  <c r="AO192" i="66"/>
  <c r="AE192" i="66"/>
  <c r="AF192" i="66" s="1"/>
  <c r="T192" i="66"/>
  <c r="G192" i="66"/>
  <c r="L192" i="66" s="1"/>
  <c r="AX191" i="66"/>
  <c r="AO191" i="66"/>
  <c r="AE191" i="66"/>
  <c r="AF191" i="66" s="1"/>
  <c r="T191" i="66"/>
  <c r="G191" i="66"/>
  <c r="L191" i="66" s="1"/>
  <c r="AX190" i="66"/>
  <c r="AO190" i="66"/>
  <c r="AE190" i="66"/>
  <c r="AF190" i="66" s="1"/>
  <c r="T190" i="66"/>
  <c r="Z190" i="66" s="1"/>
  <c r="G190" i="66"/>
  <c r="L190" i="66" s="1"/>
  <c r="AX189" i="66"/>
  <c r="AO189" i="66"/>
  <c r="AE189" i="66"/>
  <c r="AF189" i="66" s="1"/>
  <c r="T189" i="66"/>
  <c r="G189" i="66"/>
  <c r="L189" i="66" s="1"/>
  <c r="AX188" i="66"/>
  <c r="AO188" i="66"/>
  <c r="AE188" i="66"/>
  <c r="AF188" i="66" s="1"/>
  <c r="T188" i="66"/>
  <c r="Z188" i="66" s="1"/>
  <c r="L188" i="66"/>
  <c r="G188" i="66"/>
  <c r="AX187" i="66"/>
  <c r="AO187" i="66"/>
  <c r="AE187" i="66"/>
  <c r="AF187" i="66" s="1"/>
  <c r="T187" i="66"/>
  <c r="G187" i="66"/>
  <c r="L187" i="66" s="1"/>
  <c r="AX186" i="66"/>
  <c r="AO186" i="66"/>
  <c r="AE186" i="66"/>
  <c r="AF186" i="66" s="1"/>
  <c r="T186" i="66"/>
  <c r="G186" i="66"/>
  <c r="L186" i="66" s="1"/>
  <c r="AX185" i="66"/>
  <c r="AO185" i="66"/>
  <c r="AE185" i="66"/>
  <c r="AF185" i="66" s="1"/>
  <c r="T185" i="66"/>
  <c r="Y185" i="66" s="1"/>
  <c r="L185" i="66"/>
  <c r="G185" i="66"/>
  <c r="AX184" i="66"/>
  <c r="AO184" i="66"/>
  <c r="AE184" i="66"/>
  <c r="AF184" i="66" s="1"/>
  <c r="T184" i="66"/>
  <c r="Z184" i="66" s="1"/>
  <c r="G184" i="66"/>
  <c r="L184" i="66" s="1"/>
  <c r="AX183" i="66"/>
  <c r="AO183" i="66"/>
  <c r="AE183" i="66"/>
  <c r="AF183" i="66" s="1"/>
  <c r="T183" i="66"/>
  <c r="G183" i="66"/>
  <c r="L183" i="66" s="1"/>
  <c r="AX182" i="66"/>
  <c r="AO182" i="66"/>
  <c r="AE182" i="66"/>
  <c r="AF182" i="66" s="1"/>
  <c r="T182" i="66"/>
  <c r="G182" i="66"/>
  <c r="L182" i="66" s="1"/>
  <c r="AX181" i="66"/>
  <c r="AO181" i="66"/>
  <c r="AE181" i="66"/>
  <c r="AF181" i="66" s="1"/>
  <c r="T181" i="66"/>
  <c r="Y181" i="66" s="1"/>
  <c r="G181" i="66"/>
  <c r="L181" i="66" s="1"/>
  <c r="AX180" i="66"/>
  <c r="AO180" i="66"/>
  <c r="AE180" i="66"/>
  <c r="AF180" i="66" s="1"/>
  <c r="T180" i="66"/>
  <c r="G180" i="66"/>
  <c r="L180" i="66" s="1"/>
  <c r="AX179" i="66"/>
  <c r="AO179" i="66"/>
  <c r="AE179" i="66"/>
  <c r="AF179" i="66" s="1"/>
  <c r="T179" i="66"/>
  <c r="G179" i="66"/>
  <c r="L179" i="66" s="1"/>
  <c r="AX178" i="66"/>
  <c r="AO178" i="66"/>
  <c r="AE178" i="66"/>
  <c r="AF178" i="66" s="1"/>
  <c r="AA178" i="66"/>
  <c r="T178" i="66"/>
  <c r="G178" i="66"/>
  <c r="L178" i="66" s="1"/>
  <c r="AX177" i="66"/>
  <c r="AO177" i="66"/>
  <c r="AE177" i="66"/>
  <c r="AF177" i="66" s="1"/>
  <c r="AX176" i="66"/>
  <c r="AO176" i="66"/>
  <c r="AE176" i="66"/>
  <c r="AF176" i="66" s="1"/>
  <c r="X176" i="66"/>
  <c r="W176" i="66"/>
  <c r="K176" i="66"/>
  <c r="J176" i="66"/>
  <c r="AX175" i="66"/>
  <c r="AO175" i="66"/>
  <c r="AE175" i="66"/>
  <c r="AF175" i="66" s="1"/>
  <c r="T175" i="66"/>
  <c r="Z175" i="66" s="1"/>
  <c r="G175" i="66"/>
  <c r="L175" i="66" s="1"/>
  <c r="AX174" i="66"/>
  <c r="AO174" i="66"/>
  <c r="AE174" i="66"/>
  <c r="AF174" i="66" s="1"/>
  <c r="T174" i="66"/>
  <c r="Z174" i="66" s="1"/>
  <c r="G174" i="66"/>
  <c r="L174" i="66" s="1"/>
  <c r="L176" i="66" s="1"/>
  <c r="AX173" i="66"/>
  <c r="AO173" i="66"/>
  <c r="AE173" i="66"/>
  <c r="AF173" i="66" s="1"/>
  <c r="AX172" i="66"/>
  <c r="AO172" i="66"/>
  <c r="AE172" i="66"/>
  <c r="AF172" i="66" s="1"/>
  <c r="X172" i="66"/>
  <c r="W172" i="66"/>
  <c r="K172" i="66"/>
  <c r="J172" i="66"/>
  <c r="AX171" i="66"/>
  <c r="AO171" i="66"/>
  <c r="AE171" i="66"/>
  <c r="AF171" i="66" s="1"/>
  <c r="T171" i="66"/>
  <c r="Y171" i="66" s="1"/>
  <c r="L171" i="66"/>
  <c r="G171" i="66"/>
  <c r="AX170" i="66"/>
  <c r="AO170" i="66"/>
  <c r="AE170" i="66"/>
  <c r="AF170" i="66" s="1"/>
  <c r="T170" i="66"/>
  <c r="G170" i="66"/>
  <c r="L170" i="66" s="1"/>
  <c r="AO169" i="66"/>
  <c r="AE169" i="66"/>
  <c r="AF169" i="66" s="1"/>
  <c r="T169" i="66"/>
  <c r="G169" i="66"/>
  <c r="L169" i="66" s="1"/>
  <c r="AO168" i="66"/>
  <c r="AE168" i="66"/>
  <c r="AF168" i="66" s="1"/>
  <c r="T168" i="66"/>
  <c r="Z168" i="66" s="1"/>
  <c r="G168" i="66"/>
  <c r="L168" i="66" s="1"/>
  <c r="AO167" i="66"/>
  <c r="AE167" i="66"/>
  <c r="AF167" i="66" s="1"/>
  <c r="T167" i="66"/>
  <c r="G167" i="66"/>
  <c r="L167" i="66" s="1"/>
  <c r="AX166" i="66"/>
  <c r="AO166" i="66"/>
  <c r="AE166" i="66"/>
  <c r="AF166" i="66" s="1"/>
  <c r="T166" i="66"/>
  <c r="Y166" i="66" s="1"/>
  <c r="L166" i="66"/>
  <c r="G166" i="66"/>
  <c r="AX165" i="66"/>
  <c r="AO165" i="66"/>
  <c r="AE165" i="66"/>
  <c r="AF165" i="66" s="1"/>
  <c r="T165" i="66"/>
  <c r="G165" i="66"/>
  <c r="L165" i="66" s="1"/>
  <c r="AX164" i="66"/>
  <c r="AO164" i="66"/>
  <c r="AE164" i="66"/>
  <c r="AF164" i="66" s="1"/>
  <c r="T164" i="66"/>
  <c r="G164" i="66"/>
  <c r="L164" i="66" s="1"/>
  <c r="AX163" i="66"/>
  <c r="AO163" i="66"/>
  <c r="AE163" i="66"/>
  <c r="AF163" i="66" s="1"/>
  <c r="T163" i="66"/>
  <c r="G163" i="66"/>
  <c r="L163" i="66" s="1"/>
  <c r="AX162" i="66"/>
  <c r="AO162" i="66"/>
  <c r="AE162" i="66"/>
  <c r="AF162" i="66" s="1"/>
  <c r="T162" i="66"/>
  <c r="Y162" i="66" s="1"/>
  <c r="G162" i="66"/>
  <c r="AX161" i="66"/>
  <c r="AO161" i="66"/>
  <c r="AE161" i="66"/>
  <c r="AF161" i="66" s="1"/>
  <c r="T161" i="66"/>
  <c r="Y161" i="66" s="1"/>
  <c r="G161" i="66"/>
  <c r="AX160" i="66"/>
  <c r="AO160" i="66"/>
  <c r="AE160" i="66"/>
  <c r="AF160" i="66" s="1"/>
  <c r="T160" i="66"/>
  <c r="Y160" i="66" s="1"/>
  <c r="G160" i="66"/>
  <c r="L160" i="66" s="1"/>
  <c r="AX159" i="66"/>
  <c r="AO159" i="66"/>
  <c r="AE159" i="66"/>
  <c r="AF159" i="66" s="1"/>
  <c r="T159" i="66"/>
  <c r="G159" i="66"/>
  <c r="L159" i="66" s="1"/>
  <c r="AX158" i="66"/>
  <c r="AO158" i="66"/>
  <c r="AE158" i="66"/>
  <c r="AF158" i="66" s="1"/>
  <c r="T158" i="66"/>
  <c r="Z158" i="66" s="1"/>
  <c r="G158" i="66"/>
  <c r="L158" i="66" s="1"/>
  <c r="AX157" i="66"/>
  <c r="AO157" i="66"/>
  <c r="AE157" i="66"/>
  <c r="AF157" i="66" s="1"/>
  <c r="T157" i="66"/>
  <c r="Y157" i="66" s="1"/>
  <c r="G157" i="66"/>
  <c r="AX156" i="66"/>
  <c r="AO156" i="66"/>
  <c r="AE156" i="66"/>
  <c r="AF156" i="66" s="1"/>
  <c r="T156" i="66"/>
  <c r="Y156" i="66" s="1"/>
  <c r="L156" i="66"/>
  <c r="G156" i="66"/>
  <c r="AX155" i="66"/>
  <c r="AO155" i="66"/>
  <c r="AE155" i="66"/>
  <c r="AF155" i="66" s="1"/>
  <c r="T155" i="66"/>
  <c r="Z155" i="66" s="1"/>
  <c r="G155" i="66"/>
  <c r="L155" i="66" s="1"/>
  <c r="AX154" i="66"/>
  <c r="AO154" i="66"/>
  <c r="AE154" i="66"/>
  <c r="AF154" i="66" s="1"/>
  <c r="T154" i="66"/>
  <c r="Z154" i="66" s="1"/>
  <c r="L154" i="66"/>
  <c r="G154" i="66"/>
  <c r="AX153" i="66"/>
  <c r="AO153" i="66"/>
  <c r="AE153" i="66"/>
  <c r="AF153" i="66" s="1"/>
  <c r="AX152" i="66"/>
  <c r="AO152" i="66"/>
  <c r="AE152" i="66"/>
  <c r="AF152" i="66" s="1"/>
  <c r="X152" i="66"/>
  <c r="W152" i="66"/>
  <c r="K152" i="66"/>
  <c r="J152" i="66"/>
  <c r="AX151" i="66"/>
  <c r="AO151" i="66"/>
  <c r="T151" i="66"/>
  <c r="G151" i="66"/>
  <c r="L151" i="66" s="1"/>
  <c r="AX150" i="66"/>
  <c r="AO150" i="66"/>
  <c r="AE150" i="66"/>
  <c r="AF150" i="66" s="1"/>
  <c r="T150" i="66"/>
  <c r="Y150" i="66" s="1"/>
  <c r="G150" i="66"/>
  <c r="AX149" i="66"/>
  <c r="AO149" i="66"/>
  <c r="T149" i="66"/>
  <c r="Y149" i="66" s="1"/>
  <c r="G149" i="66"/>
  <c r="L149" i="66" s="1"/>
  <c r="AX148" i="66"/>
  <c r="AO148" i="66"/>
  <c r="T148" i="66"/>
  <c r="Z148" i="66" s="1"/>
  <c r="G148" i="66"/>
  <c r="L148" i="66" s="1"/>
  <c r="AX147" i="66"/>
  <c r="AO147" i="66"/>
  <c r="T147" i="66"/>
  <c r="G147" i="66"/>
  <c r="L147" i="66" s="1"/>
  <c r="AX146" i="66"/>
  <c r="AO146" i="66"/>
  <c r="T146" i="66"/>
  <c r="Y146" i="66" s="1"/>
  <c r="G146" i="66"/>
  <c r="AX145" i="66"/>
  <c r="AO145" i="66"/>
  <c r="AF145" i="66"/>
  <c r="AE145" i="66"/>
  <c r="T145" i="66"/>
  <c r="Y145" i="66" s="1"/>
  <c r="G145" i="66"/>
  <c r="L145" i="66" s="1"/>
  <c r="AX144" i="66"/>
  <c r="AO144" i="66"/>
  <c r="AF144" i="66"/>
  <c r="AE144" i="66"/>
  <c r="T144" i="66"/>
  <c r="Y144" i="66" s="1"/>
  <c r="L144" i="66"/>
  <c r="G144" i="66"/>
  <c r="AX143" i="66"/>
  <c r="AO143" i="66"/>
  <c r="T143" i="66"/>
  <c r="G143" i="66"/>
  <c r="L143" i="66" s="1"/>
  <c r="AX142" i="66"/>
  <c r="AO142" i="66"/>
  <c r="T142" i="66"/>
  <c r="Y142" i="66" s="1"/>
  <c r="G142" i="66"/>
  <c r="Z142" i="66" s="1"/>
  <c r="AX141" i="66"/>
  <c r="AO141" i="66"/>
  <c r="T141" i="66"/>
  <c r="Y141" i="66" s="1"/>
  <c r="G141" i="66"/>
  <c r="L141" i="66" s="1"/>
  <c r="AX140" i="66"/>
  <c r="AO140" i="66"/>
  <c r="AF140" i="66"/>
  <c r="T140" i="66"/>
  <c r="Y140" i="66" s="1"/>
  <c r="G140" i="66"/>
  <c r="AX139" i="66"/>
  <c r="AO139" i="66"/>
  <c r="T139" i="66"/>
  <c r="G139" i="66"/>
  <c r="L139" i="66" s="1"/>
  <c r="AX138" i="66"/>
  <c r="AO138" i="66"/>
  <c r="T138" i="66"/>
  <c r="AA136" i="66" s="1"/>
  <c r="G138" i="66"/>
  <c r="L138" i="66" s="1"/>
  <c r="AX137" i="66"/>
  <c r="AO137" i="66"/>
  <c r="T137" i="66"/>
  <c r="AA135" i="66" s="1"/>
  <c r="G137" i="66"/>
  <c r="AX136" i="66"/>
  <c r="AO136" i="66"/>
  <c r="T136" i="66"/>
  <c r="L136" i="66"/>
  <c r="G136" i="66"/>
  <c r="AX135" i="66"/>
  <c r="AO135" i="66"/>
  <c r="T135" i="66"/>
  <c r="Y135" i="66" s="1"/>
  <c r="G135" i="66"/>
  <c r="L135" i="66" s="1"/>
  <c r="AX134" i="66"/>
  <c r="AO134" i="66"/>
  <c r="T134" i="66"/>
  <c r="G134" i="66"/>
  <c r="L134" i="66" s="1"/>
  <c r="AX133" i="66"/>
  <c r="AO133" i="66"/>
  <c r="T133" i="66"/>
  <c r="G133" i="66"/>
  <c r="L133" i="66" s="1"/>
  <c r="AX132" i="66"/>
  <c r="AO132" i="66"/>
  <c r="T132" i="66"/>
  <c r="G132" i="66"/>
  <c r="L132" i="66" s="1"/>
  <c r="AX131" i="66"/>
  <c r="AO131" i="66"/>
  <c r="T131" i="66"/>
  <c r="Y131" i="66" s="1"/>
  <c r="G131" i="66"/>
  <c r="L131" i="66" s="1"/>
  <c r="AX130" i="66"/>
  <c r="AO130" i="66"/>
  <c r="AX129" i="66"/>
  <c r="AO129" i="66"/>
  <c r="AX128" i="66"/>
  <c r="AO128" i="66"/>
  <c r="AX127" i="66"/>
  <c r="AO127" i="66"/>
  <c r="AX126" i="66"/>
  <c r="AO126" i="66"/>
  <c r="V125" i="66"/>
  <c r="I125" i="66"/>
  <c r="V124" i="66"/>
  <c r="I124" i="66"/>
  <c r="Z120" i="66"/>
  <c r="Y120" i="66"/>
  <c r="X120" i="66"/>
  <c r="T120" i="66"/>
  <c r="S120" i="66"/>
  <c r="R120" i="66"/>
  <c r="Z119" i="66"/>
  <c r="Y119" i="66"/>
  <c r="X119" i="66"/>
  <c r="T119" i="66"/>
  <c r="S119" i="66"/>
  <c r="R119" i="66"/>
  <c r="Z118" i="66"/>
  <c r="Y118" i="66"/>
  <c r="X118" i="66"/>
  <c r="T118" i="66"/>
  <c r="S118" i="66"/>
  <c r="R118" i="66"/>
  <c r="Z117" i="66"/>
  <c r="Y117" i="66"/>
  <c r="X117" i="66"/>
  <c r="T117" i="66"/>
  <c r="S117" i="66"/>
  <c r="R117" i="66"/>
  <c r="Z116" i="66"/>
  <c r="Y116" i="66"/>
  <c r="X116" i="66"/>
  <c r="T116" i="66"/>
  <c r="S116" i="66"/>
  <c r="R116" i="66"/>
  <c r="Z115" i="66"/>
  <c r="Y115" i="66"/>
  <c r="X115" i="66"/>
  <c r="T115" i="66"/>
  <c r="S115" i="66"/>
  <c r="R115" i="66"/>
  <c r="AO306" i="67"/>
  <c r="AO308" i="67" s="1"/>
  <c r="AE135" i="67" s="1"/>
  <c r="AF135" i="67" s="1"/>
  <c r="AO302" i="67"/>
  <c r="AX301" i="67"/>
  <c r="AO301" i="67"/>
  <c r="AX300" i="67"/>
  <c r="AO300" i="67"/>
  <c r="AX299" i="67"/>
  <c r="AO299" i="67"/>
  <c r="AX298" i="67"/>
  <c r="AO298" i="67"/>
  <c r="AO297" i="67"/>
  <c r="AO296" i="67"/>
  <c r="AO295" i="67"/>
  <c r="AX294" i="67"/>
  <c r="AX295" i="67" s="1"/>
  <c r="AE147" i="67" s="1"/>
  <c r="AF147" i="67" s="1"/>
  <c r="AO294" i="67"/>
  <c r="AO293" i="67"/>
  <c r="AX290" i="67"/>
  <c r="AX291" i="67" s="1"/>
  <c r="AE149" i="67" s="1"/>
  <c r="AF149" i="67" s="1"/>
  <c r="AO289" i="67"/>
  <c r="AO288" i="67"/>
  <c r="AX286" i="67"/>
  <c r="AX287" i="67" s="1"/>
  <c r="AE141" i="67" s="1"/>
  <c r="AF141" i="67" s="1"/>
  <c r="AO284" i="67"/>
  <c r="AO283" i="67"/>
  <c r="AX282" i="67"/>
  <c r="AX283" i="67" s="1"/>
  <c r="AE139" i="67" s="1"/>
  <c r="AF139" i="67" s="1"/>
  <c r="AO282" i="67"/>
  <c r="AO281" i="67"/>
  <c r="AO280" i="67"/>
  <c r="AX278" i="67"/>
  <c r="AX277" i="67"/>
  <c r="AX276" i="67"/>
  <c r="T276" i="67"/>
  <c r="G276" i="67"/>
  <c r="AX275" i="67"/>
  <c r="T275" i="67"/>
  <c r="G275" i="67"/>
  <c r="AX274" i="67"/>
  <c r="AX273" i="67"/>
  <c r="T272" i="67"/>
  <c r="G272" i="67"/>
  <c r="AO271" i="67"/>
  <c r="T271" i="67"/>
  <c r="G271" i="67"/>
  <c r="AO270" i="67"/>
  <c r="AX269" i="67"/>
  <c r="AO269" i="67"/>
  <c r="AX268" i="67"/>
  <c r="AO268" i="67"/>
  <c r="T268" i="67"/>
  <c r="G268" i="67"/>
  <c r="AO267" i="67"/>
  <c r="T267" i="67"/>
  <c r="G267" i="67"/>
  <c r="AO266" i="67"/>
  <c r="T266" i="67"/>
  <c r="G266" i="67"/>
  <c r="AO265" i="67"/>
  <c r="T265" i="67"/>
  <c r="G265" i="67"/>
  <c r="AX264" i="67"/>
  <c r="AO264" i="67"/>
  <c r="T264" i="67"/>
  <c r="G264" i="67"/>
  <c r="AX263" i="67"/>
  <c r="AO263" i="67"/>
  <c r="T263" i="67"/>
  <c r="G263" i="67"/>
  <c r="AX262" i="67"/>
  <c r="AO262" i="67"/>
  <c r="AX261" i="67"/>
  <c r="AO261" i="67"/>
  <c r="AX260" i="67"/>
  <c r="AO260" i="67"/>
  <c r="T260" i="67"/>
  <c r="G260" i="67"/>
  <c r="AX259" i="67"/>
  <c r="AO259" i="67"/>
  <c r="T259" i="67"/>
  <c r="G259" i="67"/>
  <c r="AX258" i="67"/>
  <c r="AO258" i="67"/>
  <c r="T258" i="67"/>
  <c r="G258" i="67"/>
  <c r="AX257" i="67"/>
  <c r="AO257" i="67"/>
  <c r="T257" i="67"/>
  <c r="G257" i="67"/>
  <c r="AX256" i="67"/>
  <c r="AO256" i="67"/>
  <c r="T256" i="67"/>
  <c r="G256" i="67"/>
  <c r="AX255" i="67"/>
  <c r="T255" i="67"/>
  <c r="G255" i="67"/>
  <c r="AX254" i="67"/>
  <c r="T254" i="67"/>
  <c r="G254" i="67"/>
  <c r="AX253" i="67"/>
  <c r="T253" i="67"/>
  <c r="G253" i="67"/>
  <c r="AX252" i="67"/>
  <c r="T252" i="67"/>
  <c r="G252" i="67"/>
  <c r="AX251" i="67"/>
  <c r="AO251" i="67"/>
  <c r="T251" i="67"/>
  <c r="G251" i="67"/>
  <c r="AX250" i="67"/>
  <c r="AO250" i="67"/>
  <c r="T250" i="67"/>
  <c r="G250" i="67"/>
  <c r="AX249" i="67"/>
  <c r="AO249" i="67"/>
  <c r="T249" i="67"/>
  <c r="G249" i="67"/>
  <c r="AX248" i="67"/>
  <c r="AO248" i="67"/>
  <c r="T248" i="67"/>
  <c r="G248" i="67"/>
  <c r="AX247" i="67"/>
  <c r="AO247" i="67"/>
  <c r="AX246" i="67"/>
  <c r="AO246" i="67"/>
  <c r="AA246" i="67"/>
  <c r="AX245" i="67"/>
  <c r="AO245" i="67"/>
  <c r="T245" i="67"/>
  <c r="G245" i="67"/>
  <c r="AX244" i="67"/>
  <c r="T244" i="67"/>
  <c r="G244" i="67"/>
  <c r="AX243" i="67"/>
  <c r="T243" i="67"/>
  <c r="G243" i="67"/>
  <c r="AX242" i="67"/>
  <c r="AA242" i="67"/>
  <c r="T242" i="67"/>
  <c r="G242" i="67"/>
  <c r="AX241" i="67"/>
  <c r="AA241" i="67"/>
  <c r="T241" i="67"/>
  <c r="G241" i="67"/>
  <c r="AX240" i="67"/>
  <c r="AO240" i="67"/>
  <c r="T240" i="67"/>
  <c r="G240" i="67"/>
  <c r="AX239" i="67"/>
  <c r="AO239" i="67"/>
  <c r="AX238" i="67"/>
  <c r="AX237" i="67"/>
  <c r="AX236" i="67"/>
  <c r="AX235" i="67"/>
  <c r="AX234" i="67"/>
  <c r="AO234" i="67"/>
  <c r="AA234" i="67"/>
  <c r="AX233" i="67"/>
  <c r="AO233" i="67"/>
  <c r="AA233" i="67"/>
  <c r="AX232" i="67"/>
  <c r="AO232" i="67"/>
  <c r="AX231" i="67"/>
  <c r="AO231" i="67"/>
  <c r="AX230" i="67"/>
  <c r="AO230" i="67"/>
  <c r="AX229" i="67"/>
  <c r="AO229" i="67"/>
  <c r="AX228" i="67"/>
  <c r="AO228" i="67"/>
  <c r="AX227" i="67"/>
  <c r="AO227" i="67"/>
  <c r="AO226" i="67"/>
  <c r="AO225" i="67"/>
  <c r="AO224" i="67"/>
  <c r="AE224" i="67"/>
  <c r="AF224" i="67" s="1"/>
  <c r="T224" i="67"/>
  <c r="Y224" i="67" s="1"/>
  <c r="G224" i="67"/>
  <c r="AX223" i="67"/>
  <c r="AO223" i="67"/>
  <c r="AE223" i="67"/>
  <c r="AF223" i="67" s="1"/>
  <c r="T223" i="67"/>
  <c r="Y223" i="67" s="1"/>
  <c r="G223" i="67"/>
  <c r="AX222" i="67"/>
  <c r="AO222" i="67"/>
  <c r="AE222" i="67"/>
  <c r="AF222" i="67" s="1"/>
  <c r="T222" i="67"/>
  <c r="Y222" i="67" s="1"/>
  <c r="G222" i="67"/>
  <c r="AX221" i="67"/>
  <c r="AO221" i="67"/>
  <c r="AE221" i="67"/>
  <c r="AF221" i="67" s="1"/>
  <c r="AX220" i="67"/>
  <c r="AO220" i="67"/>
  <c r="AE220" i="67"/>
  <c r="AF220" i="67" s="1"/>
  <c r="AX219" i="67"/>
  <c r="AO219" i="67"/>
  <c r="AE219" i="67"/>
  <c r="AF219" i="67" s="1"/>
  <c r="AX218" i="67"/>
  <c r="AO218" i="67"/>
  <c r="AE218" i="67"/>
  <c r="AF218" i="67" s="1"/>
  <c r="X218" i="67"/>
  <c r="W218" i="67"/>
  <c r="K218" i="67"/>
  <c r="J218" i="67"/>
  <c r="AX217" i="67"/>
  <c r="AO217" i="67"/>
  <c r="AE217" i="67"/>
  <c r="AF217" i="67" s="1"/>
  <c r="T217" i="67"/>
  <c r="Y217" i="67" s="1"/>
  <c r="G217" i="67"/>
  <c r="L217" i="67" s="1"/>
  <c r="AX216" i="67"/>
  <c r="AO216" i="67"/>
  <c r="AE216" i="67"/>
  <c r="AF216" i="67" s="1"/>
  <c r="T216" i="67"/>
  <c r="G216" i="67"/>
  <c r="L216" i="67" s="1"/>
  <c r="AX215" i="67"/>
  <c r="AO215" i="67"/>
  <c r="AE215" i="67"/>
  <c r="AF215" i="67" s="1"/>
  <c r="T215" i="67"/>
  <c r="G215" i="67"/>
  <c r="L215" i="67" s="1"/>
  <c r="AX214" i="67"/>
  <c r="AO214" i="67"/>
  <c r="AE214" i="67"/>
  <c r="AF214" i="67" s="1"/>
  <c r="T214" i="67"/>
  <c r="G214" i="67"/>
  <c r="L214" i="67" s="1"/>
  <c r="AX213" i="67"/>
  <c r="AO213" i="67"/>
  <c r="AE213" i="67"/>
  <c r="AF213" i="67" s="1"/>
  <c r="AX212" i="67"/>
  <c r="AO212" i="67"/>
  <c r="AE212" i="67"/>
  <c r="AF212" i="67" s="1"/>
  <c r="AX211" i="67"/>
  <c r="AO211" i="67"/>
  <c r="AE211" i="67"/>
  <c r="AF211" i="67" s="1"/>
  <c r="AX210" i="67"/>
  <c r="AO210" i="67"/>
  <c r="AE210" i="67"/>
  <c r="AF210" i="67" s="1"/>
  <c r="AA210" i="67"/>
  <c r="AX209" i="67"/>
  <c r="AO209" i="67"/>
  <c r="AE209" i="67"/>
  <c r="AF209" i="67" s="1"/>
  <c r="T209" i="67"/>
  <c r="Y209" i="67" s="1"/>
  <c r="G209" i="67"/>
  <c r="AX208" i="67"/>
  <c r="AO208" i="67"/>
  <c r="AE208" i="67"/>
  <c r="AF208" i="67" s="1"/>
  <c r="T208" i="67"/>
  <c r="G208" i="67"/>
  <c r="L208" i="67" s="1"/>
  <c r="AX207" i="67"/>
  <c r="AO207" i="67"/>
  <c r="AE207" i="67"/>
  <c r="AF207" i="67" s="1"/>
  <c r="T207" i="67"/>
  <c r="Y207" i="67" s="1"/>
  <c r="G207" i="67"/>
  <c r="Z207" i="67" s="1"/>
  <c r="AX206" i="67"/>
  <c r="AO206" i="67"/>
  <c r="AE206" i="67"/>
  <c r="AF206" i="67" s="1"/>
  <c r="AX205" i="67"/>
  <c r="AE205" i="67"/>
  <c r="AF205" i="67" s="1"/>
  <c r="AX204" i="67"/>
  <c r="AE204" i="67"/>
  <c r="AF204" i="67" s="1"/>
  <c r="AX203" i="67"/>
  <c r="AO203" i="67"/>
  <c r="AE203" i="67"/>
  <c r="AF203" i="67" s="1"/>
  <c r="X203" i="67"/>
  <c r="W203" i="67"/>
  <c r="K203" i="67"/>
  <c r="J203" i="67"/>
  <c r="AX202" i="67"/>
  <c r="AE202" i="67"/>
  <c r="AF202" i="67" s="1"/>
  <c r="T202" i="67"/>
  <c r="Y202" i="67" s="1"/>
  <c r="G202" i="67"/>
  <c r="AX201" i="67"/>
  <c r="AO201" i="67"/>
  <c r="AE201" i="67"/>
  <c r="AF201" i="67" s="1"/>
  <c r="T201" i="67"/>
  <c r="Y201" i="67" s="1"/>
  <c r="G201" i="67"/>
  <c r="L201" i="67" s="1"/>
  <c r="AX200" i="67"/>
  <c r="AO200" i="67"/>
  <c r="AE200" i="67"/>
  <c r="AF200" i="67" s="1"/>
  <c r="T200" i="67"/>
  <c r="G200" i="67"/>
  <c r="L200" i="67" s="1"/>
  <c r="AX199" i="67"/>
  <c r="AO199" i="67"/>
  <c r="AE199" i="67"/>
  <c r="AF199" i="67" s="1"/>
  <c r="T199" i="67"/>
  <c r="Y199" i="67" s="1"/>
  <c r="G199" i="67"/>
  <c r="Z199" i="67" s="1"/>
  <c r="AX198" i="67"/>
  <c r="AO198" i="67"/>
  <c r="AE198" i="67"/>
  <c r="AF198" i="67" s="1"/>
  <c r="AX197" i="67"/>
  <c r="AO197" i="67"/>
  <c r="AE197" i="67"/>
  <c r="AF197" i="67" s="1"/>
  <c r="AX196" i="67"/>
  <c r="AO196" i="67"/>
  <c r="AE196" i="67"/>
  <c r="AF196" i="67" s="1"/>
  <c r="AX195" i="67"/>
  <c r="AO195" i="67"/>
  <c r="AE195" i="67"/>
  <c r="AF195" i="67" s="1"/>
  <c r="X195" i="67"/>
  <c r="W195" i="67"/>
  <c r="K195" i="67"/>
  <c r="J195" i="67"/>
  <c r="AX194" i="67"/>
  <c r="AO194" i="67"/>
  <c r="AE194" i="67"/>
  <c r="AF194" i="67" s="1"/>
  <c r="T194" i="67"/>
  <c r="G194" i="67"/>
  <c r="L194" i="67" s="1"/>
  <c r="AX193" i="67"/>
  <c r="AO193" i="67"/>
  <c r="AE193" i="67"/>
  <c r="AF193" i="67" s="1"/>
  <c r="T193" i="67"/>
  <c r="Y193" i="67" s="1"/>
  <c r="G193" i="67"/>
  <c r="AX192" i="67"/>
  <c r="AO192" i="67"/>
  <c r="AE192" i="67"/>
  <c r="AF192" i="67" s="1"/>
  <c r="T192" i="67"/>
  <c r="G192" i="67"/>
  <c r="L192" i="67" s="1"/>
  <c r="AX191" i="67"/>
  <c r="AO191" i="67"/>
  <c r="AE191" i="67"/>
  <c r="AF191" i="67" s="1"/>
  <c r="T191" i="67"/>
  <c r="Y191" i="67" s="1"/>
  <c r="G191" i="67"/>
  <c r="AX190" i="67"/>
  <c r="AO190" i="67"/>
  <c r="AE190" i="67"/>
  <c r="AF190" i="67" s="1"/>
  <c r="T190" i="67"/>
  <c r="G190" i="67"/>
  <c r="L190" i="67" s="1"/>
  <c r="AX189" i="67"/>
  <c r="AO189" i="67"/>
  <c r="AE189" i="67"/>
  <c r="AF189" i="67" s="1"/>
  <c r="T189" i="67"/>
  <c r="Y189" i="67" s="1"/>
  <c r="G189" i="67"/>
  <c r="L189" i="67" s="1"/>
  <c r="AX188" i="67"/>
  <c r="AO188" i="67"/>
  <c r="AE188" i="67"/>
  <c r="AF188" i="67" s="1"/>
  <c r="T188" i="67"/>
  <c r="Y188" i="67" s="1"/>
  <c r="G188" i="67"/>
  <c r="L188" i="67" s="1"/>
  <c r="AX187" i="67"/>
  <c r="AO187" i="67"/>
  <c r="AE187" i="67"/>
  <c r="AF187" i="67" s="1"/>
  <c r="T187" i="67"/>
  <c r="Y187" i="67" s="1"/>
  <c r="G187" i="67"/>
  <c r="AX186" i="67"/>
  <c r="AO186" i="67"/>
  <c r="AE186" i="67"/>
  <c r="AF186" i="67" s="1"/>
  <c r="T186" i="67"/>
  <c r="G186" i="67"/>
  <c r="L186" i="67" s="1"/>
  <c r="AX185" i="67"/>
  <c r="AO185" i="67"/>
  <c r="AE185" i="67"/>
  <c r="AF185" i="67" s="1"/>
  <c r="T185" i="67"/>
  <c r="Y185" i="67" s="1"/>
  <c r="G185" i="67"/>
  <c r="AX184" i="67"/>
  <c r="AO184" i="67"/>
  <c r="AE184" i="67"/>
  <c r="AF184" i="67" s="1"/>
  <c r="T184" i="67"/>
  <c r="G184" i="67"/>
  <c r="L184" i="67" s="1"/>
  <c r="AX183" i="67"/>
  <c r="AO183" i="67"/>
  <c r="AE183" i="67"/>
  <c r="AF183" i="67" s="1"/>
  <c r="Y183" i="67"/>
  <c r="T183" i="67"/>
  <c r="G183" i="67"/>
  <c r="AX182" i="67"/>
  <c r="AO182" i="67"/>
  <c r="AE182" i="67"/>
  <c r="AF182" i="67" s="1"/>
  <c r="T182" i="67"/>
  <c r="G182" i="67"/>
  <c r="L182" i="67" s="1"/>
  <c r="AX181" i="67"/>
  <c r="AO181" i="67"/>
  <c r="AE181" i="67"/>
  <c r="AF181" i="67" s="1"/>
  <c r="T181" i="67"/>
  <c r="Y181" i="67" s="1"/>
  <c r="G181" i="67"/>
  <c r="L181" i="67" s="1"/>
  <c r="AX180" i="67"/>
  <c r="AO180" i="67"/>
  <c r="AE180" i="67"/>
  <c r="AF180" i="67" s="1"/>
  <c r="T180" i="67"/>
  <c r="Y180" i="67" s="1"/>
  <c r="G180" i="67"/>
  <c r="L180" i="67" s="1"/>
  <c r="AX179" i="67"/>
  <c r="AO179" i="67"/>
  <c r="AE179" i="67"/>
  <c r="AF179" i="67" s="1"/>
  <c r="T179" i="67"/>
  <c r="Y179" i="67" s="1"/>
  <c r="G179" i="67"/>
  <c r="AX178" i="67"/>
  <c r="AO178" i="67"/>
  <c r="AE178" i="67"/>
  <c r="AF178" i="67" s="1"/>
  <c r="AA178" i="67"/>
  <c r="T178" i="67"/>
  <c r="G178" i="67"/>
  <c r="L178" i="67" s="1"/>
  <c r="AX177" i="67"/>
  <c r="AO177" i="67"/>
  <c r="AE177" i="67"/>
  <c r="AF177" i="67" s="1"/>
  <c r="AX176" i="67"/>
  <c r="AO176" i="67"/>
  <c r="AE176" i="67"/>
  <c r="AF176" i="67" s="1"/>
  <c r="X176" i="67"/>
  <c r="W176" i="67"/>
  <c r="K176" i="67"/>
  <c r="J176" i="67"/>
  <c r="AX175" i="67"/>
  <c r="AO175" i="67"/>
  <c r="AE175" i="67"/>
  <c r="AF175" i="67" s="1"/>
  <c r="T175" i="67"/>
  <c r="Y175" i="67" s="1"/>
  <c r="G175" i="67"/>
  <c r="AX174" i="67"/>
  <c r="AO174" i="67"/>
  <c r="AE174" i="67"/>
  <c r="AF174" i="67" s="1"/>
  <c r="T174" i="67"/>
  <c r="G174" i="67"/>
  <c r="AX173" i="67"/>
  <c r="AO173" i="67"/>
  <c r="AE173" i="67"/>
  <c r="AF173" i="67" s="1"/>
  <c r="AX172" i="67"/>
  <c r="AO172" i="67"/>
  <c r="AE172" i="67"/>
  <c r="AF172" i="67" s="1"/>
  <c r="X172" i="67"/>
  <c r="W172" i="67"/>
  <c r="K172" i="67"/>
  <c r="J172" i="67"/>
  <c r="AX171" i="67"/>
  <c r="AO171" i="67"/>
  <c r="AE171" i="67"/>
  <c r="AF171" i="67" s="1"/>
  <c r="T171" i="67"/>
  <c r="G171" i="67"/>
  <c r="L171" i="67" s="1"/>
  <c r="AX170" i="67"/>
  <c r="AO170" i="67"/>
  <c r="AE170" i="67"/>
  <c r="AF170" i="67" s="1"/>
  <c r="T170" i="67"/>
  <c r="Y170" i="67" s="1"/>
  <c r="G170" i="67"/>
  <c r="Z170" i="67" s="1"/>
  <c r="AO169" i="67"/>
  <c r="AE169" i="67"/>
  <c r="AF169" i="67" s="1"/>
  <c r="T169" i="67"/>
  <c r="G169" i="67"/>
  <c r="L169" i="67" s="1"/>
  <c r="AO168" i="67"/>
  <c r="AE168" i="67"/>
  <c r="AF168" i="67" s="1"/>
  <c r="T168" i="67"/>
  <c r="Y168" i="67" s="1"/>
  <c r="G168" i="67"/>
  <c r="AO167" i="67"/>
  <c r="AE167" i="67"/>
  <c r="AF167" i="67" s="1"/>
  <c r="T167" i="67"/>
  <c r="G167" i="67"/>
  <c r="L167" i="67" s="1"/>
  <c r="AX166" i="67"/>
  <c r="AO166" i="67"/>
  <c r="AE166" i="67"/>
  <c r="AF166" i="67" s="1"/>
  <c r="T166" i="67"/>
  <c r="Y166" i="67" s="1"/>
  <c r="G166" i="67"/>
  <c r="L166" i="67" s="1"/>
  <c r="AX165" i="67"/>
  <c r="AO165" i="67"/>
  <c r="AE165" i="67"/>
  <c r="AF165" i="67" s="1"/>
  <c r="T165" i="67"/>
  <c r="G165" i="67"/>
  <c r="L165" i="67" s="1"/>
  <c r="AX164" i="67"/>
  <c r="AO164" i="67"/>
  <c r="AE164" i="67"/>
  <c r="AF164" i="67" s="1"/>
  <c r="T164" i="67"/>
  <c r="Y164" i="67" s="1"/>
  <c r="G164" i="67"/>
  <c r="AX163" i="67"/>
  <c r="AO163" i="67"/>
  <c r="AE163" i="67"/>
  <c r="AF163" i="67" s="1"/>
  <c r="T163" i="67"/>
  <c r="G163" i="67"/>
  <c r="L163" i="67" s="1"/>
  <c r="AX162" i="67"/>
  <c r="AO162" i="67"/>
  <c r="AE162" i="67"/>
  <c r="AF162" i="67" s="1"/>
  <c r="T162" i="67"/>
  <c r="Y162" i="67" s="1"/>
  <c r="G162" i="67"/>
  <c r="AX161" i="67"/>
  <c r="AO161" i="67"/>
  <c r="AE161" i="67"/>
  <c r="AF161" i="67" s="1"/>
  <c r="T161" i="67"/>
  <c r="G161" i="67"/>
  <c r="L161" i="67" s="1"/>
  <c r="AX160" i="67"/>
  <c r="AO160" i="67"/>
  <c r="AE160" i="67"/>
  <c r="AF160" i="67" s="1"/>
  <c r="T160" i="67"/>
  <c r="Y160" i="67" s="1"/>
  <c r="G160" i="67"/>
  <c r="L160" i="67" s="1"/>
  <c r="AX159" i="67"/>
  <c r="AO159" i="67"/>
  <c r="AE159" i="67"/>
  <c r="AF159" i="67" s="1"/>
  <c r="T159" i="67"/>
  <c r="G159" i="67"/>
  <c r="L159" i="67" s="1"/>
  <c r="AX158" i="67"/>
  <c r="AO158" i="67"/>
  <c r="AE158" i="67"/>
  <c r="AF158" i="67" s="1"/>
  <c r="T158" i="67"/>
  <c r="Y158" i="67" s="1"/>
  <c r="G158" i="67"/>
  <c r="Z158" i="67" s="1"/>
  <c r="AX157" i="67"/>
  <c r="AO157" i="67"/>
  <c r="AE157" i="67"/>
  <c r="AF157" i="67" s="1"/>
  <c r="T157" i="67"/>
  <c r="G157" i="67"/>
  <c r="L157" i="67" s="1"/>
  <c r="AX156" i="67"/>
  <c r="AO156" i="67"/>
  <c r="AE156" i="67"/>
  <c r="AF156" i="67" s="1"/>
  <c r="T156" i="67"/>
  <c r="Y156" i="67" s="1"/>
  <c r="G156" i="67"/>
  <c r="L156" i="67" s="1"/>
  <c r="AX155" i="67"/>
  <c r="AO155" i="67"/>
  <c r="AE155" i="67"/>
  <c r="AF155" i="67" s="1"/>
  <c r="Y155" i="67"/>
  <c r="T155" i="67"/>
  <c r="G155" i="67"/>
  <c r="AX154" i="67"/>
  <c r="AO154" i="67"/>
  <c r="AE154" i="67"/>
  <c r="AF154" i="67" s="1"/>
  <c r="T154" i="67"/>
  <c r="Y154" i="67" s="1"/>
  <c r="G154" i="67"/>
  <c r="Z154" i="67" s="1"/>
  <c r="AX153" i="67"/>
  <c r="AO153" i="67"/>
  <c r="AE153" i="67"/>
  <c r="AF153" i="67" s="1"/>
  <c r="AX152" i="67"/>
  <c r="AO152" i="67"/>
  <c r="AE152" i="67"/>
  <c r="AF152" i="67" s="1"/>
  <c r="X152" i="67"/>
  <c r="W152" i="67"/>
  <c r="K152" i="67"/>
  <c r="J152" i="67"/>
  <c r="AX151" i="67"/>
  <c r="AO151" i="67"/>
  <c r="T151" i="67"/>
  <c r="Y151" i="67" s="1"/>
  <c r="G151" i="67"/>
  <c r="AX150" i="67"/>
  <c r="AO150" i="67"/>
  <c r="AE150" i="67"/>
  <c r="AF150" i="67" s="1"/>
  <c r="T150" i="67"/>
  <c r="G150" i="67"/>
  <c r="L150" i="67" s="1"/>
  <c r="AX149" i="67"/>
  <c r="AO149" i="67"/>
  <c r="T149" i="67"/>
  <c r="Y149" i="67" s="1"/>
  <c r="G149" i="67"/>
  <c r="L149" i="67" s="1"/>
  <c r="AX148" i="67"/>
  <c r="AO148" i="67"/>
  <c r="T148" i="67"/>
  <c r="Y148" i="67" s="1"/>
  <c r="G148" i="67"/>
  <c r="L148" i="67" s="1"/>
  <c r="AX147" i="67"/>
  <c r="AO147" i="67"/>
  <c r="T147" i="67"/>
  <c r="Y147" i="67" s="1"/>
  <c r="G147" i="67"/>
  <c r="L147" i="67" s="1"/>
  <c r="AX146" i="67"/>
  <c r="AO146" i="67"/>
  <c r="T146" i="67"/>
  <c r="G146" i="67"/>
  <c r="L146" i="67" s="1"/>
  <c r="AX145" i="67"/>
  <c r="AO145" i="67"/>
  <c r="AF145" i="67"/>
  <c r="AE145" i="67"/>
  <c r="T145" i="67"/>
  <c r="G145" i="67"/>
  <c r="L145" i="67" s="1"/>
  <c r="AX144" i="67"/>
  <c r="AO144" i="67"/>
  <c r="AF144" i="67"/>
  <c r="AE144" i="67"/>
  <c r="T144" i="67"/>
  <c r="Y144" i="67" s="1"/>
  <c r="G144" i="67"/>
  <c r="Z144" i="67" s="1"/>
  <c r="AX143" i="67"/>
  <c r="AO143" i="67"/>
  <c r="T143" i="67"/>
  <c r="Y143" i="67" s="1"/>
  <c r="G143" i="67"/>
  <c r="Z143" i="67" s="1"/>
  <c r="AX142" i="67"/>
  <c r="AO142" i="67"/>
  <c r="T142" i="67"/>
  <c r="G142" i="67"/>
  <c r="L142" i="67" s="1"/>
  <c r="AX141" i="67"/>
  <c r="AO141" i="67"/>
  <c r="T141" i="67"/>
  <c r="Y141" i="67" s="1"/>
  <c r="G141" i="67"/>
  <c r="L141" i="67" s="1"/>
  <c r="AX140" i="67"/>
  <c r="AO140" i="67"/>
  <c r="AF140" i="67"/>
  <c r="T140" i="67"/>
  <c r="Y140" i="67" s="1"/>
  <c r="G140" i="67"/>
  <c r="AX139" i="67"/>
  <c r="AO139" i="67"/>
  <c r="T139" i="67"/>
  <c r="Y139" i="67" s="1"/>
  <c r="G139" i="67"/>
  <c r="L139" i="67" s="1"/>
  <c r="AX138" i="67"/>
  <c r="AO138" i="67"/>
  <c r="T138" i="67"/>
  <c r="Y138" i="67" s="1"/>
  <c r="G138" i="67"/>
  <c r="Z138" i="67" s="1"/>
  <c r="AX137" i="67"/>
  <c r="AO137" i="67"/>
  <c r="T137" i="67"/>
  <c r="G137" i="67"/>
  <c r="L137" i="67" s="1"/>
  <c r="AX136" i="67"/>
  <c r="AO136" i="67"/>
  <c r="T136" i="67"/>
  <c r="Y136" i="67" s="1"/>
  <c r="G136" i="67"/>
  <c r="L136" i="67" s="1"/>
  <c r="AX135" i="67"/>
  <c r="AO135" i="67"/>
  <c r="T135" i="67"/>
  <c r="Y135" i="67" s="1"/>
  <c r="G135" i="67"/>
  <c r="L135" i="67" s="1"/>
  <c r="AX134" i="67"/>
  <c r="AO134" i="67"/>
  <c r="T134" i="67"/>
  <c r="Y134" i="67" s="1"/>
  <c r="G134" i="67"/>
  <c r="L134" i="67" s="1"/>
  <c r="AX133" i="67"/>
  <c r="AO133" i="67"/>
  <c r="T133" i="67"/>
  <c r="Y133" i="67" s="1"/>
  <c r="G133" i="67"/>
  <c r="AX132" i="67"/>
  <c r="AO132" i="67"/>
  <c r="T132" i="67"/>
  <c r="G132" i="67"/>
  <c r="L132" i="67" s="1"/>
  <c r="AX131" i="67"/>
  <c r="AO131" i="67"/>
  <c r="T131" i="67"/>
  <c r="Y131" i="67" s="1"/>
  <c r="G131" i="67"/>
  <c r="L131" i="67" s="1"/>
  <c r="AX130" i="67"/>
  <c r="AO130" i="67"/>
  <c r="AX129" i="67"/>
  <c r="AO129" i="67"/>
  <c r="AX128" i="67"/>
  <c r="AO128" i="67"/>
  <c r="AX127" i="67"/>
  <c r="AO127" i="67"/>
  <c r="AX126" i="67"/>
  <c r="AO126" i="67"/>
  <c r="V125" i="67"/>
  <c r="I125" i="67"/>
  <c r="V124" i="67"/>
  <c r="I124" i="67"/>
  <c r="Z120" i="67"/>
  <c r="Y120" i="67"/>
  <c r="X120" i="67"/>
  <c r="T120" i="67"/>
  <c r="S120" i="67"/>
  <c r="R120" i="67"/>
  <c r="Z119" i="67"/>
  <c r="Y119" i="67"/>
  <c r="X119" i="67"/>
  <c r="T119" i="67"/>
  <c r="S119" i="67"/>
  <c r="R119" i="67"/>
  <c r="Z118" i="67"/>
  <c r="Y118" i="67"/>
  <c r="X118" i="67"/>
  <c r="T118" i="67"/>
  <c r="S118" i="67"/>
  <c r="R118" i="67"/>
  <c r="Z117" i="67"/>
  <c r="Y117" i="67"/>
  <c r="X117" i="67"/>
  <c r="T117" i="67"/>
  <c r="S117" i="67"/>
  <c r="R117" i="67"/>
  <c r="Z116" i="67"/>
  <c r="Y116" i="67"/>
  <c r="X116" i="67"/>
  <c r="T116" i="67"/>
  <c r="S116" i="67"/>
  <c r="R116" i="67"/>
  <c r="Z115" i="67"/>
  <c r="Y115" i="67"/>
  <c r="X115" i="67"/>
  <c r="T115" i="67"/>
  <c r="S115" i="67"/>
  <c r="R115" i="67"/>
  <c r="AO306" i="51"/>
  <c r="AO308" i="51" s="1"/>
  <c r="AE135" i="51" s="1"/>
  <c r="AF135" i="51" s="1"/>
  <c r="AO302" i="51"/>
  <c r="AX301" i="51"/>
  <c r="AO301" i="51"/>
  <c r="AX300" i="51"/>
  <c r="AO300" i="51"/>
  <c r="AX299" i="51"/>
  <c r="AO299" i="51"/>
  <c r="AX298" i="51"/>
  <c r="AX302" i="51" s="1"/>
  <c r="AE129" i="51" s="1"/>
  <c r="AF129" i="51" s="1"/>
  <c r="AO298" i="51"/>
  <c r="AO297" i="51"/>
  <c r="AO296" i="51"/>
  <c r="AO295" i="51"/>
  <c r="AX294" i="51"/>
  <c r="AX295" i="51" s="1"/>
  <c r="AE147" i="51" s="1"/>
  <c r="AF147" i="51" s="1"/>
  <c r="AO294" i="51"/>
  <c r="AO293" i="51"/>
  <c r="AO303" i="51" s="1"/>
  <c r="AE146" i="51" s="1"/>
  <c r="AF146" i="51" s="1"/>
  <c r="AX290" i="51"/>
  <c r="AX291" i="51" s="1"/>
  <c r="AE149" i="51" s="1"/>
  <c r="AF149" i="51" s="1"/>
  <c r="AO290" i="51"/>
  <c r="AO289" i="51"/>
  <c r="AO288" i="51"/>
  <c r="AX287" i="51"/>
  <c r="AX286" i="51"/>
  <c r="AO284" i="51"/>
  <c r="AO283" i="51"/>
  <c r="AX282" i="51"/>
  <c r="AX283" i="51" s="1"/>
  <c r="AE139" i="51" s="1"/>
  <c r="AF139" i="51" s="1"/>
  <c r="AO282" i="51"/>
  <c r="AO281" i="51"/>
  <c r="AO280" i="51"/>
  <c r="AO285" i="51" s="1"/>
  <c r="AE148" i="51" s="1"/>
  <c r="AF148" i="51" s="1"/>
  <c r="AX278" i="51"/>
  <c r="AX277" i="51"/>
  <c r="AX276" i="51"/>
  <c r="T276" i="51"/>
  <c r="G276" i="51"/>
  <c r="AX275" i="51"/>
  <c r="T275" i="51"/>
  <c r="T277" i="51" s="1"/>
  <c r="G275" i="51"/>
  <c r="G277" i="51" s="1"/>
  <c r="AX274" i="51"/>
  <c r="AX273" i="51"/>
  <c r="AX279" i="51" s="1"/>
  <c r="AE131" i="51" s="1"/>
  <c r="AF131" i="51" s="1"/>
  <c r="T272" i="51"/>
  <c r="G272" i="51"/>
  <c r="AO271" i="51"/>
  <c r="T271" i="51"/>
  <c r="T273" i="51" s="1"/>
  <c r="G271" i="51"/>
  <c r="G273" i="51" s="1"/>
  <c r="AO270" i="51"/>
  <c r="AX269" i="51"/>
  <c r="AO269" i="51"/>
  <c r="AX268" i="51"/>
  <c r="AX270" i="51" s="1"/>
  <c r="AE138" i="51" s="1"/>
  <c r="AF138" i="51" s="1"/>
  <c r="AO268" i="51"/>
  <c r="T268" i="51"/>
  <c r="G268" i="51"/>
  <c r="AO267" i="51"/>
  <c r="T267" i="51"/>
  <c r="G267" i="51"/>
  <c r="AO266" i="51"/>
  <c r="T266" i="51"/>
  <c r="G266" i="51"/>
  <c r="AO265" i="51"/>
  <c r="T265" i="51"/>
  <c r="G265" i="51"/>
  <c r="AX264" i="51"/>
  <c r="AO264" i="51"/>
  <c r="T264" i="51"/>
  <c r="G264" i="51"/>
  <c r="AX263" i="51"/>
  <c r="AO263" i="51"/>
  <c r="T263" i="51"/>
  <c r="T269" i="51" s="1"/>
  <c r="G263" i="51"/>
  <c r="G269" i="51" s="1"/>
  <c r="AX262" i="51"/>
  <c r="AO262" i="51"/>
  <c r="AX261" i="51"/>
  <c r="AO261" i="51"/>
  <c r="AX260" i="51"/>
  <c r="AO260" i="51"/>
  <c r="T260" i="51"/>
  <c r="G260" i="51"/>
  <c r="AX259" i="51"/>
  <c r="AO259" i="51"/>
  <c r="T259" i="51"/>
  <c r="G259" i="51"/>
  <c r="AX258" i="51"/>
  <c r="AO258" i="51"/>
  <c r="T258" i="51"/>
  <c r="G258" i="51"/>
  <c r="AX257" i="51"/>
  <c r="AO257" i="51"/>
  <c r="T257" i="51"/>
  <c r="G257" i="51"/>
  <c r="AX256" i="51"/>
  <c r="AO256" i="51"/>
  <c r="AO272" i="51" s="1"/>
  <c r="AE136" i="51" s="1"/>
  <c r="AF136" i="51" s="1"/>
  <c r="T256" i="51"/>
  <c r="G256" i="51"/>
  <c r="AX255" i="51"/>
  <c r="T255" i="51"/>
  <c r="G255" i="51"/>
  <c r="AX254" i="51"/>
  <c r="T254" i="51"/>
  <c r="G254" i="51"/>
  <c r="AX253" i="51"/>
  <c r="T253" i="51"/>
  <c r="G253" i="51"/>
  <c r="AX252" i="51"/>
  <c r="T252" i="51"/>
  <c r="G252" i="51"/>
  <c r="AX251" i="51"/>
  <c r="AO251" i="51"/>
  <c r="T251" i="51"/>
  <c r="G251" i="51"/>
  <c r="AX250" i="51"/>
  <c r="AO250" i="51"/>
  <c r="T250" i="51"/>
  <c r="G250" i="51"/>
  <c r="AX249" i="51"/>
  <c r="AO249" i="51"/>
  <c r="T249" i="51"/>
  <c r="G249" i="51"/>
  <c r="AX248" i="51"/>
  <c r="AO248" i="51"/>
  <c r="T248" i="51"/>
  <c r="T261" i="51" s="1"/>
  <c r="G248" i="51"/>
  <c r="G261" i="51" s="1"/>
  <c r="AX247" i="51"/>
  <c r="AO247" i="51"/>
  <c r="AX246" i="51"/>
  <c r="AO246" i="51"/>
  <c r="AA246" i="51"/>
  <c r="AX245" i="51"/>
  <c r="AO245" i="51"/>
  <c r="AO252" i="51" s="1"/>
  <c r="AE134" i="51" s="1"/>
  <c r="AF134" i="51" s="1"/>
  <c r="T245" i="51"/>
  <c r="G245" i="51"/>
  <c r="AX244" i="51"/>
  <c r="T244" i="51"/>
  <c r="G244" i="51"/>
  <c r="AX243" i="51"/>
  <c r="T243" i="51"/>
  <c r="G243" i="51"/>
  <c r="AX242" i="51"/>
  <c r="AA242" i="51"/>
  <c r="T242" i="51"/>
  <c r="G242" i="51"/>
  <c r="G246" i="51" s="1"/>
  <c r="F237" i="51" s="1"/>
  <c r="AX241" i="51"/>
  <c r="AA241" i="51"/>
  <c r="T241" i="51"/>
  <c r="G241" i="51"/>
  <c r="AX240" i="51"/>
  <c r="AO240" i="51"/>
  <c r="T240" i="51"/>
  <c r="T246" i="51" s="1"/>
  <c r="G240" i="51"/>
  <c r="AX239" i="51"/>
  <c r="AO239" i="51"/>
  <c r="AO241" i="51" s="1"/>
  <c r="AE133" i="51" s="1"/>
  <c r="AF133" i="51" s="1"/>
  <c r="AX238" i="51"/>
  <c r="AX237" i="51"/>
  <c r="AX236" i="51"/>
  <c r="AX235" i="51"/>
  <c r="AX234" i="51"/>
  <c r="AO234" i="51"/>
  <c r="AA234" i="51"/>
  <c r="AX233" i="51"/>
  <c r="AO233" i="51"/>
  <c r="AA233" i="51"/>
  <c r="AX232" i="51"/>
  <c r="AO232" i="51"/>
  <c r="AX231" i="51"/>
  <c r="AO231" i="51"/>
  <c r="AX230" i="51"/>
  <c r="AO230" i="51"/>
  <c r="AX229" i="51"/>
  <c r="AO229" i="51"/>
  <c r="AX228" i="51"/>
  <c r="AO228" i="51"/>
  <c r="AX227" i="51"/>
  <c r="AX265" i="51" s="1"/>
  <c r="AE137" i="51" s="1"/>
  <c r="AF137" i="51" s="1"/>
  <c r="AO227" i="51"/>
  <c r="AO226" i="51"/>
  <c r="AO225" i="51"/>
  <c r="AO224" i="51"/>
  <c r="AF224" i="51"/>
  <c r="AE224" i="51"/>
  <c r="T224" i="51"/>
  <c r="Z224" i="51" s="1"/>
  <c r="G224" i="51"/>
  <c r="L224" i="51" s="1"/>
  <c r="AX223" i="51"/>
  <c r="AO223" i="51"/>
  <c r="AE223" i="51"/>
  <c r="AF223" i="51" s="1"/>
  <c r="Y223" i="51"/>
  <c r="T223" i="51"/>
  <c r="Z223" i="51" s="1"/>
  <c r="G223" i="51"/>
  <c r="L223" i="51" s="1"/>
  <c r="AX222" i="51"/>
  <c r="AO222" i="51"/>
  <c r="AE222" i="51"/>
  <c r="AF222" i="51" s="1"/>
  <c r="T222" i="51"/>
  <c r="Y222" i="51" s="1"/>
  <c r="G222" i="51"/>
  <c r="G225" i="51" s="1"/>
  <c r="AX221" i="51"/>
  <c r="AO221" i="51"/>
  <c r="AE221" i="51"/>
  <c r="AF221" i="51" s="1"/>
  <c r="AX220" i="51"/>
  <c r="AO220" i="51"/>
  <c r="AF220" i="51"/>
  <c r="AE220" i="51"/>
  <c r="AX219" i="51"/>
  <c r="AO219" i="51"/>
  <c r="AE219" i="51"/>
  <c r="AF219" i="51" s="1"/>
  <c r="AX218" i="51"/>
  <c r="AO218" i="51"/>
  <c r="AE218" i="51"/>
  <c r="AF218" i="51" s="1"/>
  <c r="X218" i="51"/>
  <c r="W218" i="51"/>
  <c r="K218" i="51"/>
  <c r="J218" i="51"/>
  <c r="AX217" i="51"/>
  <c r="AO217" i="51"/>
  <c r="AF217" i="51"/>
  <c r="AE217" i="51"/>
  <c r="Y217" i="51"/>
  <c r="T217" i="51"/>
  <c r="G217" i="51"/>
  <c r="L217" i="51" s="1"/>
  <c r="AX216" i="51"/>
  <c r="AO216" i="51"/>
  <c r="AF216" i="51"/>
  <c r="AE216" i="51"/>
  <c r="Y216" i="51"/>
  <c r="T216" i="51"/>
  <c r="G216" i="51"/>
  <c r="Z216" i="51" s="1"/>
  <c r="AX215" i="51"/>
  <c r="AO215" i="51"/>
  <c r="AF215" i="51"/>
  <c r="AE215" i="51"/>
  <c r="Z215" i="51"/>
  <c r="Y215" i="51"/>
  <c r="T215" i="51"/>
  <c r="G215" i="51"/>
  <c r="L215" i="51" s="1"/>
  <c r="AX214" i="51"/>
  <c r="AO214" i="51"/>
  <c r="AF214" i="51"/>
  <c r="AE214" i="51"/>
  <c r="Y214" i="51"/>
  <c r="Y218" i="51" s="1"/>
  <c r="T214" i="51"/>
  <c r="T218" i="51" s="1"/>
  <c r="Z218" i="51" s="1"/>
  <c r="L214" i="51"/>
  <c r="G214" i="51"/>
  <c r="G218" i="51" s="1"/>
  <c r="AX213" i="51"/>
  <c r="AO213" i="51"/>
  <c r="AF213" i="51"/>
  <c r="AE213" i="51"/>
  <c r="AX212" i="51"/>
  <c r="AO212" i="51"/>
  <c r="AF212" i="51"/>
  <c r="AE212" i="51"/>
  <c r="AX211" i="51"/>
  <c r="AO211" i="51"/>
  <c r="AF211" i="51"/>
  <c r="AE211" i="51"/>
  <c r="AX210" i="51"/>
  <c r="AO210" i="51"/>
  <c r="AF210" i="51"/>
  <c r="AE210" i="51"/>
  <c r="AA210" i="51"/>
  <c r="AX209" i="51"/>
  <c r="AO209" i="51"/>
  <c r="AE209" i="51"/>
  <c r="AF209" i="51" s="1"/>
  <c r="T209" i="51"/>
  <c r="Y209" i="51" s="1"/>
  <c r="G209" i="51"/>
  <c r="L209" i="51" s="1"/>
  <c r="AX208" i="51"/>
  <c r="AO208" i="51"/>
  <c r="AE208" i="51"/>
  <c r="AF208" i="51" s="1"/>
  <c r="T208" i="51"/>
  <c r="Z208" i="51" s="1"/>
  <c r="L208" i="51"/>
  <c r="G208" i="51"/>
  <c r="AX207" i="51"/>
  <c r="AO207" i="51"/>
  <c r="AF207" i="51"/>
  <c r="AE207" i="51"/>
  <c r="T207" i="51"/>
  <c r="T210" i="51" s="1"/>
  <c r="G207" i="51"/>
  <c r="G210" i="51" s="1"/>
  <c r="AX206" i="51"/>
  <c r="AO206" i="51"/>
  <c r="AO235" i="51" s="1"/>
  <c r="AE130" i="51" s="1"/>
  <c r="AF130" i="51" s="1"/>
  <c r="AE206" i="51"/>
  <c r="AF206" i="51" s="1"/>
  <c r="AX205" i="51"/>
  <c r="AF205" i="51"/>
  <c r="AE205" i="51"/>
  <c r="AX204" i="51"/>
  <c r="AE204" i="51"/>
  <c r="AF204" i="51" s="1"/>
  <c r="AX203" i="51"/>
  <c r="AO203" i="51"/>
  <c r="AF203" i="51"/>
  <c r="AE203" i="51"/>
  <c r="X203" i="51"/>
  <c r="W203" i="51"/>
  <c r="K203" i="51"/>
  <c r="J203" i="51"/>
  <c r="AX202" i="51"/>
  <c r="AF202" i="51"/>
  <c r="AE202" i="51"/>
  <c r="T202" i="51"/>
  <c r="Z202" i="51" s="1"/>
  <c r="L202" i="51"/>
  <c r="G202" i="51"/>
  <c r="AX201" i="51"/>
  <c r="AO201" i="51"/>
  <c r="AE201" i="51"/>
  <c r="AF201" i="51" s="1"/>
  <c r="Z201" i="51"/>
  <c r="Y201" i="51"/>
  <c r="T201" i="51"/>
  <c r="L201" i="51"/>
  <c r="G201" i="51"/>
  <c r="AX200" i="51"/>
  <c r="AO200" i="51"/>
  <c r="AF200" i="51"/>
  <c r="AE200" i="51"/>
  <c r="Z200" i="51"/>
  <c r="T200" i="51"/>
  <c r="Y200" i="51" s="1"/>
  <c r="L200" i="51"/>
  <c r="G200" i="51"/>
  <c r="AX199" i="51"/>
  <c r="AO199" i="51"/>
  <c r="AE199" i="51"/>
  <c r="AF199" i="51" s="1"/>
  <c r="Z199" i="51"/>
  <c r="Y199" i="51"/>
  <c r="T199" i="51"/>
  <c r="L199" i="51"/>
  <c r="L203" i="51" s="1"/>
  <c r="G199" i="51"/>
  <c r="G203" i="51" s="1"/>
  <c r="AX198" i="51"/>
  <c r="AO198" i="51"/>
  <c r="AF198" i="51"/>
  <c r="AE198" i="51"/>
  <c r="AX197" i="51"/>
  <c r="AO197" i="51"/>
  <c r="AF197" i="51"/>
  <c r="AE197" i="51"/>
  <c r="AX196" i="51"/>
  <c r="AO196" i="51"/>
  <c r="AF196" i="51"/>
  <c r="AE196" i="51"/>
  <c r="AX195" i="51"/>
  <c r="AO195" i="51"/>
  <c r="AE195" i="51"/>
  <c r="AF195" i="51" s="1"/>
  <c r="X195" i="51"/>
  <c r="W195" i="51"/>
  <c r="K195" i="51"/>
  <c r="J195" i="51"/>
  <c r="AX194" i="51"/>
  <c r="AO194" i="51"/>
  <c r="AE194" i="51"/>
  <c r="AF194" i="51" s="1"/>
  <c r="Y194" i="51"/>
  <c r="T194" i="51"/>
  <c r="Z194" i="51" s="1"/>
  <c r="L194" i="51"/>
  <c r="G194" i="51"/>
  <c r="AX193" i="51"/>
  <c r="AO193" i="51"/>
  <c r="AE193" i="51"/>
  <c r="AF193" i="51" s="1"/>
  <c r="T193" i="51"/>
  <c r="Y193" i="51" s="1"/>
  <c r="G193" i="51"/>
  <c r="L193" i="51" s="1"/>
  <c r="AX192" i="51"/>
  <c r="AO192" i="51"/>
  <c r="AE192" i="51"/>
  <c r="AF192" i="51" s="1"/>
  <c r="T192" i="51"/>
  <c r="Z192" i="51" s="1"/>
  <c r="G192" i="51"/>
  <c r="L192" i="51" s="1"/>
  <c r="AX191" i="51"/>
  <c r="AO191" i="51"/>
  <c r="AF191" i="51"/>
  <c r="AE191" i="51"/>
  <c r="T191" i="51"/>
  <c r="Z191" i="51" s="1"/>
  <c r="G191" i="51"/>
  <c r="L191" i="51" s="1"/>
  <c r="AX190" i="51"/>
  <c r="AO190" i="51"/>
  <c r="AE190" i="51"/>
  <c r="AF190" i="51" s="1"/>
  <c r="Y190" i="51"/>
  <c r="T190" i="51"/>
  <c r="Z190" i="51" s="1"/>
  <c r="L190" i="51"/>
  <c r="G190" i="51"/>
  <c r="AX189" i="51"/>
  <c r="AO189" i="51"/>
  <c r="AE189" i="51"/>
  <c r="AF189" i="51" s="1"/>
  <c r="T189" i="51"/>
  <c r="Y189" i="51" s="1"/>
  <c r="G189" i="51"/>
  <c r="L189" i="51" s="1"/>
  <c r="AX188" i="51"/>
  <c r="AO188" i="51"/>
  <c r="AE188" i="51"/>
  <c r="AF188" i="51" s="1"/>
  <c r="T188" i="51"/>
  <c r="Z188" i="51" s="1"/>
  <c r="G188" i="51"/>
  <c r="L188" i="51" s="1"/>
  <c r="AX187" i="51"/>
  <c r="AO187" i="51"/>
  <c r="AF187" i="51"/>
  <c r="AE187" i="51"/>
  <c r="T187" i="51"/>
  <c r="Z187" i="51" s="1"/>
  <c r="G187" i="51"/>
  <c r="L187" i="51" s="1"/>
  <c r="AX186" i="51"/>
  <c r="AO186" i="51"/>
  <c r="AE186" i="51"/>
  <c r="AF186" i="51" s="1"/>
  <c r="Y186" i="51"/>
  <c r="T186" i="51"/>
  <c r="Z186" i="51" s="1"/>
  <c r="L186" i="51"/>
  <c r="G186" i="51"/>
  <c r="AX185" i="51"/>
  <c r="AO185" i="51"/>
  <c r="AE185" i="51"/>
  <c r="AF185" i="51" s="1"/>
  <c r="T185" i="51"/>
  <c r="Y185" i="51" s="1"/>
  <c r="G185" i="51"/>
  <c r="L185" i="51" s="1"/>
  <c r="AX184" i="51"/>
  <c r="AO184" i="51"/>
  <c r="AE184" i="51"/>
  <c r="AF184" i="51" s="1"/>
  <c r="T184" i="51"/>
  <c r="Z184" i="51" s="1"/>
  <c r="G184" i="51"/>
  <c r="L184" i="51" s="1"/>
  <c r="AX183" i="51"/>
  <c r="AO183" i="51"/>
  <c r="AF183" i="51"/>
  <c r="AE183" i="51"/>
  <c r="T183" i="51"/>
  <c r="Z183" i="51" s="1"/>
  <c r="G183" i="51"/>
  <c r="L183" i="51" s="1"/>
  <c r="AX182" i="51"/>
  <c r="AO182" i="51"/>
  <c r="AE182" i="51"/>
  <c r="AF182" i="51" s="1"/>
  <c r="Y182" i="51"/>
  <c r="T182" i="51"/>
  <c r="Z182" i="51" s="1"/>
  <c r="L182" i="51"/>
  <c r="G182" i="51"/>
  <c r="AX181" i="51"/>
  <c r="AO181" i="51"/>
  <c r="AE181" i="51"/>
  <c r="AF181" i="51" s="1"/>
  <c r="T181" i="51"/>
  <c r="Y181" i="51" s="1"/>
  <c r="G181" i="51"/>
  <c r="L181" i="51" s="1"/>
  <c r="AX180" i="51"/>
  <c r="AO180" i="51"/>
  <c r="AE180" i="51"/>
  <c r="AF180" i="51" s="1"/>
  <c r="T180" i="51"/>
  <c r="Z180" i="51" s="1"/>
  <c r="G180" i="51"/>
  <c r="L180" i="51" s="1"/>
  <c r="AX179" i="51"/>
  <c r="AO179" i="51"/>
  <c r="AF179" i="51"/>
  <c r="AE179" i="51"/>
  <c r="T179" i="51"/>
  <c r="Z179" i="51" s="1"/>
  <c r="G179" i="51"/>
  <c r="L179" i="51" s="1"/>
  <c r="AX178" i="51"/>
  <c r="AO178" i="51"/>
  <c r="AE178" i="51"/>
  <c r="AF178" i="51" s="1"/>
  <c r="AA178" i="51"/>
  <c r="Z178" i="51"/>
  <c r="Y178" i="51"/>
  <c r="T178" i="51"/>
  <c r="T195" i="51" s="1"/>
  <c r="G178" i="51"/>
  <c r="L178" i="51" s="1"/>
  <c r="AX177" i="51"/>
  <c r="AO177" i="51"/>
  <c r="AF177" i="51"/>
  <c r="AE177" i="51"/>
  <c r="AX176" i="51"/>
  <c r="AO176" i="51"/>
  <c r="AE176" i="51"/>
  <c r="AF176" i="51" s="1"/>
  <c r="X176" i="51"/>
  <c r="W176" i="51"/>
  <c r="K176" i="51"/>
  <c r="J176" i="51"/>
  <c r="G176" i="51"/>
  <c r="AX175" i="51"/>
  <c r="AO175" i="51"/>
  <c r="AF175" i="51"/>
  <c r="AE175" i="51"/>
  <c r="T175" i="51"/>
  <c r="Z175" i="51" s="1"/>
  <c r="G175" i="51"/>
  <c r="L175" i="51" s="1"/>
  <c r="AX174" i="51"/>
  <c r="AO174" i="51"/>
  <c r="AE174" i="51"/>
  <c r="AF174" i="51" s="1"/>
  <c r="Y174" i="51"/>
  <c r="T174" i="51"/>
  <c r="Z174" i="51" s="1"/>
  <c r="L174" i="51"/>
  <c r="G174" i="51"/>
  <c r="AX173" i="51"/>
  <c r="AO173" i="51"/>
  <c r="AE173" i="51"/>
  <c r="AF173" i="51" s="1"/>
  <c r="AX172" i="51"/>
  <c r="AO172" i="51"/>
  <c r="AF172" i="51"/>
  <c r="AE172" i="51"/>
  <c r="X172" i="51"/>
  <c r="W172" i="51"/>
  <c r="K172" i="51"/>
  <c r="J172" i="51"/>
  <c r="AX171" i="51"/>
  <c r="AO171" i="51"/>
  <c r="AE171" i="51"/>
  <c r="AF171" i="51" s="1"/>
  <c r="Z171" i="51"/>
  <c r="Y171" i="51"/>
  <c r="T171" i="51"/>
  <c r="L171" i="51"/>
  <c r="G171" i="51"/>
  <c r="AX170" i="51"/>
  <c r="AX224" i="51" s="1"/>
  <c r="AE132" i="51" s="1"/>
  <c r="AF132" i="51" s="1"/>
  <c r="AO170" i="51"/>
  <c r="AE170" i="51"/>
  <c r="AF170" i="51" s="1"/>
  <c r="T170" i="51"/>
  <c r="Z170" i="51" s="1"/>
  <c r="L170" i="51"/>
  <c r="G170" i="51"/>
  <c r="AO169" i="51"/>
  <c r="AF169" i="51"/>
  <c r="AE169" i="51"/>
  <c r="Y169" i="51"/>
  <c r="T169" i="51"/>
  <c r="Z169" i="51" s="1"/>
  <c r="G169" i="51"/>
  <c r="L169" i="51" s="1"/>
  <c r="AO168" i="51"/>
  <c r="AF168" i="51"/>
  <c r="AE168" i="51"/>
  <c r="T168" i="51"/>
  <c r="Z168" i="51" s="1"/>
  <c r="G168" i="51"/>
  <c r="L168" i="51" s="1"/>
  <c r="AO167" i="51"/>
  <c r="AE167" i="51"/>
  <c r="AF167" i="51" s="1"/>
  <c r="Y167" i="51"/>
  <c r="T167" i="51"/>
  <c r="Z167" i="51" s="1"/>
  <c r="L167" i="51"/>
  <c r="G167" i="51"/>
  <c r="AX166" i="51"/>
  <c r="AO166" i="51"/>
  <c r="AE166" i="51"/>
  <c r="AF166" i="51" s="1"/>
  <c r="T166" i="51"/>
  <c r="Y166" i="51" s="1"/>
  <c r="G166" i="51"/>
  <c r="L166" i="51" s="1"/>
  <c r="AX165" i="51"/>
  <c r="AO165" i="51"/>
  <c r="AE165" i="51"/>
  <c r="AF165" i="51" s="1"/>
  <c r="T165" i="51"/>
  <c r="Z165" i="51" s="1"/>
  <c r="G165" i="51"/>
  <c r="L165" i="51" s="1"/>
  <c r="AX164" i="51"/>
  <c r="AO164" i="51"/>
  <c r="AF164" i="51"/>
  <c r="AE164" i="51"/>
  <c r="T164" i="51"/>
  <c r="Z164" i="51" s="1"/>
  <c r="G164" i="51"/>
  <c r="L164" i="51" s="1"/>
  <c r="AX163" i="51"/>
  <c r="AO163" i="51"/>
  <c r="AE163" i="51"/>
  <c r="AF163" i="51" s="1"/>
  <c r="Y163" i="51"/>
  <c r="T163" i="51"/>
  <c r="Z163" i="51" s="1"/>
  <c r="L163" i="51"/>
  <c r="G163" i="51"/>
  <c r="AX162" i="51"/>
  <c r="AO162" i="51"/>
  <c r="AE162" i="51"/>
  <c r="AF162" i="51" s="1"/>
  <c r="T162" i="51"/>
  <c r="Y162" i="51" s="1"/>
  <c r="G162" i="51"/>
  <c r="AX161" i="51"/>
  <c r="AO161" i="51"/>
  <c r="AF161" i="51"/>
  <c r="AE161" i="51"/>
  <c r="Z161" i="51"/>
  <c r="T161" i="51"/>
  <c r="Y161" i="51" s="1"/>
  <c r="L161" i="51"/>
  <c r="G161" i="51"/>
  <c r="AX160" i="51"/>
  <c r="AO160" i="51"/>
  <c r="AE160" i="51"/>
  <c r="AF160" i="51" s="1"/>
  <c r="Z160" i="51"/>
  <c r="Y160" i="51"/>
  <c r="T160" i="51"/>
  <c r="L160" i="51"/>
  <c r="G160" i="51"/>
  <c r="AX159" i="51"/>
  <c r="AO159" i="51"/>
  <c r="AE159" i="51"/>
  <c r="AF159" i="51" s="1"/>
  <c r="T159" i="51"/>
  <c r="Y159" i="51" s="1"/>
  <c r="L159" i="51"/>
  <c r="G159" i="51"/>
  <c r="AX158" i="51"/>
  <c r="AO158" i="51"/>
  <c r="AE158" i="51"/>
  <c r="AF158" i="51" s="1"/>
  <c r="Z158" i="51"/>
  <c r="T158" i="51"/>
  <c r="Y158" i="51" s="1"/>
  <c r="L158" i="51"/>
  <c r="G158" i="51"/>
  <c r="AX157" i="51"/>
  <c r="AO157" i="51"/>
  <c r="AF157" i="51"/>
  <c r="AE157" i="51"/>
  <c r="Z157" i="51"/>
  <c r="T157" i="51"/>
  <c r="Y157" i="51" s="1"/>
  <c r="L157" i="51"/>
  <c r="G157" i="51"/>
  <c r="AX156" i="51"/>
  <c r="AO156" i="51"/>
  <c r="AE156" i="51"/>
  <c r="AF156" i="51" s="1"/>
  <c r="Z156" i="51"/>
  <c r="Y156" i="51"/>
  <c r="T156" i="51"/>
  <c r="L156" i="51"/>
  <c r="G156" i="51"/>
  <c r="AX155" i="51"/>
  <c r="AO155" i="51"/>
  <c r="AE155" i="51"/>
  <c r="AF155" i="51" s="1"/>
  <c r="T155" i="51"/>
  <c r="Y155" i="51" s="1"/>
  <c r="L155" i="51"/>
  <c r="G155" i="51"/>
  <c r="AX154" i="51"/>
  <c r="AO154" i="51"/>
  <c r="AE154" i="51"/>
  <c r="AF154" i="51" s="1"/>
  <c r="Z154" i="51"/>
  <c r="T154" i="51"/>
  <c r="T172" i="51" s="1"/>
  <c r="L154" i="51"/>
  <c r="G154" i="51"/>
  <c r="G172" i="51" s="1"/>
  <c r="AX153" i="51"/>
  <c r="AO153" i="51"/>
  <c r="AF153" i="51"/>
  <c r="AE153" i="51"/>
  <c r="AX152" i="51"/>
  <c r="AO152" i="51"/>
  <c r="AE152" i="51"/>
  <c r="AF152" i="51" s="1"/>
  <c r="X152" i="51"/>
  <c r="W152" i="51"/>
  <c r="K152" i="51"/>
  <c r="J152" i="51"/>
  <c r="AX151" i="51"/>
  <c r="AO151" i="51"/>
  <c r="Z151" i="51"/>
  <c r="T151" i="51"/>
  <c r="Y151" i="51" s="1"/>
  <c r="L151" i="51"/>
  <c r="G151" i="51"/>
  <c r="AX150" i="51"/>
  <c r="AO150" i="51"/>
  <c r="AF150" i="51"/>
  <c r="AE150" i="51"/>
  <c r="T150" i="51"/>
  <c r="Z150" i="51" s="1"/>
  <c r="L150" i="51"/>
  <c r="G150" i="51"/>
  <c r="AX149" i="51"/>
  <c r="AO149" i="51"/>
  <c r="Z149" i="51"/>
  <c r="Y149" i="51"/>
  <c r="T149" i="51"/>
  <c r="L149" i="51"/>
  <c r="G149" i="51"/>
  <c r="AX148" i="51"/>
  <c r="AO148" i="51"/>
  <c r="T148" i="51"/>
  <c r="Y148" i="51" s="1"/>
  <c r="L148" i="51"/>
  <c r="G148" i="51"/>
  <c r="AX147" i="51"/>
  <c r="AO147" i="51"/>
  <c r="Z147" i="51"/>
  <c r="T147" i="51"/>
  <c r="Y147" i="51" s="1"/>
  <c r="L147" i="51"/>
  <c r="G147" i="51"/>
  <c r="AX146" i="51"/>
  <c r="AO146" i="51"/>
  <c r="T146" i="51"/>
  <c r="Y146" i="51" s="1"/>
  <c r="L146" i="51"/>
  <c r="G146" i="51"/>
  <c r="Z146" i="51" s="1"/>
  <c r="AX145" i="51"/>
  <c r="AO145" i="51"/>
  <c r="AE145" i="51"/>
  <c r="AF145" i="51" s="1"/>
  <c r="Z145" i="51"/>
  <c r="Y145" i="51"/>
  <c r="T145" i="51"/>
  <c r="L145" i="51"/>
  <c r="G145" i="51"/>
  <c r="AX144" i="51"/>
  <c r="AO144" i="51"/>
  <c r="AE144" i="51"/>
  <c r="AF144" i="51" s="1"/>
  <c r="T144" i="51"/>
  <c r="Y144" i="51" s="1"/>
  <c r="L144" i="51"/>
  <c r="G144" i="51"/>
  <c r="AX143" i="51"/>
  <c r="AO143" i="51"/>
  <c r="Z143" i="51"/>
  <c r="T143" i="51"/>
  <c r="Y143" i="51" s="1"/>
  <c r="L143" i="51"/>
  <c r="G143" i="51"/>
  <c r="AX142" i="51"/>
  <c r="AO142" i="51"/>
  <c r="AF142" i="51"/>
  <c r="AE142" i="51"/>
  <c r="T142" i="51"/>
  <c r="Y142" i="51" s="1"/>
  <c r="L142" i="51"/>
  <c r="G142" i="51"/>
  <c r="Z142" i="51" s="1"/>
  <c r="AX141" i="51"/>
  <c r="AO141" i="51"/>
  <c r="AE141" i="51"/>
  <c r="AF141" i="51" s="1"/>
  <c r="Z141" i="51"/>
  <c r="Y141" i="51"/>
  <c r="T141" i="51"/>
  <c r="L141" i="51"/>
  <c r="G141" i="51"/>
  <c r="AX140" i="51"/>
  <c r="AO140" i="51"/>
  <c r="AF140" i="51"/>
  <c r="Z140" i="51"/>
  <c r="Y140" i="51"/>
  <c r="T140" i="51"/>
  <c r="L140" i="51"/>
  <c r="G140" i="51"/>
  <c r="AX139" i="51"/>
  <c r="AO139" i="51"/>
  <c r="Y139" i="51"/>
  <c r="T139" i="51"/>
  <c r="Z139" i="51" s="1"/>
  <c r="G139" i="51"/>
  <c r="L139" i="51" s="1"/>
  <c r="AX138" i="51"/>
  <c r="AO138" i="51"/>
  <c r="Y138" i="51"/>
  <c r="T138" i="51"/>
  <c r="G138" i="51"/>
  <c r="Z138" i="51" s="1"/>
  <c r="AX137" i="51"/>
  <c r="AO137" i="51"/>
  <c r="Z137" i="51"/>
  <c r="Y137" i="51"/>
  <c r="T137" i="51"/>
  <c r="G137" i="51"/>
  <c r="L137" i="51" s="1"/>
  <c r="AX136" i="51"/>
  <c r="AO136" i="51"/>
  <c r="AA136" i="51"/>
  <c r="T136" i="51"/>
  <c r="Y136" i="51" s="1"/>
  <c r="G136" i="51"/>
  <c r="L136" i="51" s="1"/>
  <c r="AX135" i="51"/>
  <c r="AO135" i="51"/>
  <c r="AA135" i="51"/>
  <c r="T135" i="51"/>
  <c r="Y135" i="51" s="1"/>
  <c r="G135" i="51"/>
  <c r="L135" i="51" s="1"/>
  <c r="AX134" i="51"/>
  <c r="AO134" i="51"/>
  <c r="T134" i="51"/>
  <c r="Z134" i="51" s="1"/>
  <c r="G134" i="51"/>
  <c r="L134" i="51" s="1"/>
  <c r="AX133" i="51"/>
  <c r="AO133" i="51"/>
  <c r="T133" i="51"/>
  <c r="Z133" i="51" s="1"/>
  <c r="G133" i="51"/>
  <c r="L133" i="51" s="1"/>
  <c r="AX132" i="51"/>
  <c r="AO132" i="51"/>
  <c r="Z132" i="51"/>
  <c r="Y132" i="51"/>
  <c r="T132" i="51"/>
  <c r="L132" i="51"/>
  <c r="G132" i="51"/>
  <c r="AX131" i="51"/>
  <c r="AO131" i="51"/>
  <c r="T131" i="51"/>
  <c r="Y131" i="51" s="1"/>
  <c r="G131" i="51"/>
  <c r="L131" i="51" s="1"/>
  <c r="AX130" i="51"/>
  <c r="AO130" i="51"/>
  <c r="AX129" i="51"/>
  <c r="AO129" i="51"/>
  <c r="AX128" i="51"/>
  <c r="AO128" i="51"/>
  <c r="AX127" i="51"/>
  <c r="AO127" i="51"/>
  <c r="I127" i="51"/>
  <c r="AX126" i="51"/>
  <c r="AX167" i="51" s="1"/>
  <c r="AE143" i="51" s="1"/>
  <c r="AF143" i="51" s="1"/>
  <c r="AO126" i="51"/>
  <c r="AO202" i="51" s="1"/>
  <c r="AE128" i="51" s="1"/>
  <c r="AF128" i="51" s="1"/>
  <c r="V125" i="51"/>
  <c r="I125" i="51"/>
  <c r="E116" i="51" s="1"/>
  <c r="V124" i="51"/>
  <c r="I124" i="51"/>
  <c r="Z120" i="51"/>
  <c r="Y120" i="51"/>
  <c r="X120" i="51"/>
  <c r="T120" i="51"/>
  <c r="S120" i="51"/>
  <c r="R120" i="51"/>
  <c r="Z119" i="51"/>
  <c r="Y119" i="51"/>
  <c r="X119" i="51"/>
  <c r="T119" i="51"/>
  <c r="S119" i="51"/>
  <c r="R119" i="51"/>
  <c r="Z118" i="51"/>
  <c r="Y118" i="51"/>
  <c r="X118" i="51"/>
  <c r="T118" i="51"/>
  <c r="S118" i="51"/>
  <c r="R118" i="51"/>
  <c r="Z117" i="51"/>
  <c r="Y117" i="51"/>
  <c r="X117" i="51"/>
  <c r="T117" i="51"/>
  <c r="S117" i="51"/>
  <c r="R117" i="51"/>
  <c r="Z116" i="51"/>
  <c r="Y116" i="51"/>
  <c r="X116" i="51"/>
  <c r="T116" i="51"/>
  <c r="S116" i="51"/>
  <c r="R116" i="51"/>
  <c r="Z115" i="51"/>
  <c r="Y115" i="51"/>
  <c r="X115" i="51"/>
  <c r="T115" i="51"/>
  <c r="S115" i="51"/>
  <c r="R115" i="51"/>
  <c r="E115" i="51"/>
  <c r="Z185" i="67" l="1"/>
  <c r="T277" i="67"/>
  <c r="Z155" i="67"/>
  <c r="Z179" i="67"/>
  <c r="Z193" i="67"/>
  <c r="E115" i="67"/>
  <c r="Z191" i="67"/>
  <c r="Z140" i="67"/>
  <c r="Z151" i="67"/>
  <c r="Z168" i="67"/>
  <c r="Z187" i="67"/>
  <c r="Z202" i="67"/>
  <c r="Z192" i="67"/>
  <c r="Z171" i="67"/>
  <c r="Z159" i="67"/>
  <c r="G277" i="67"/>
  <c r="AO290" i="67"/>
  <c r="AE142" i="67" s="1"/>
  <c r="AF142" i="67" s="1"/>
  <c r="Z137" i="67"/>
  <c r="L193" i="67"/>
  <c r="E116" i="67"/>
  <c r="Z223" i="67"/>
  <c r="T246" i="67"/>
  <c r="Z209" i="67"/>
  <c r="AO241" i="67"/>
  <c r="AE133" i="67" s="1"/>
  <c r="AF133" i="67" s="1"/>
  <c r="Z190" i="67"/>
  <c r="Z145" i="67"/>
  <c r="G176" i="67"/>
  <c r="I127" i="67" s="1"/>
  <c r="Z183" i="67"/>
  <c r="L185" i="67"/>
  <c r="Z167" i="67"/>
  <c r="T203" i="67"/>
  <c r="Z156" i="67"/>
  <c r="Z201" i="67"/>
  <c r="Z148" i="67"/>
  <c r="AA136" i="67"/>
  <c r="Z174" i="67"/>
  <c r="Z147" i="67"/>
  <c r="T172" i="67"/>
  <c r="L158" i="67"/>
  <c r="Z164" i="67"/>
  <c r="Z224" i="67"/>
  <c r="T261" i="67"/>
  <c r="S237" i="67" s="1"/>
  <c r="Y145" i="67"/>
  <c r="L144" i="67"/>
  <c r="Z189" i="67"/>
  <c r="G225" i="67"/>
  <c r="Z136" i="67"/>
  <c r="Z162" i="67"/>
  <c r="Z166" i="67"/>
  <c r="Z181" i="67"/>
  <c r="T218" i="67"/>
  <c r="L222" i="67"/>
  <c r="Z175" i="67"/>
  <c r="T210" i="67"/>
  <c r="Y159" i="67"/>
  <c r="T269" i="67"/>
  <c r="T273" i="67"/>
  <c r="L174" i="67"/>
  <c r="Z133" i="67"/>
  <c r="AA135" i="67"/>
  <c r="Y137" i="67"/>
  <c r="Y171" i="67"/>
  <c r="T225" i="67"/>
  <c r="AX265" i="67"/>
  <c r="AE137" i="67" s="1"/>
  <c r="AF137" i="67" s="1"/>
  <c r="L151" i="67"/>
  <c r="L209" i="67"/>
  <c r="Z142" i="67"/>
  <c r="Z149" i="67"/>
  <c r="L155" i="67"/>
  <c r="Z161" i="67"/>
  <c r="Z169" i="67"/>
  <c r="G246" i="67"/>
  <c r="Z182" i="67"/>
  <c r="Z184" i="67"/>
  <c r="G261" i="67"/>
  <c r="AO202" i="67"/>
  <c r="AE128" i="67" s="1"/>
  <c r="AF128" i="67" s="1"/>
  <c r="Z131" i="67"/>
  <c r="AX167" i="67"/>
  <c r="AE143" i="67" s="1"/>
  <c r="AF143" i="67" s="1"/>
  <c r="Z163" i="67"/>
  <c r="Z165" i="67"/>
  <c r="Z186" i="67"/>
  <c r="Z215" i="67"/>
  <c r="Z222" i="67"/>
  <c r="AX270" i="67"/>
  <c r="AE138" i="67" s="1"/>
  <c r="AF138" i="67" s="1"/>
  <c r="AX302" i="67"/>
  <c r="AE129" i="67" s="1"/>
  <c r="AF129" i="67" s="1"/>
  <c r="G269" i="67"/>
  <c r="L143" i="67"/>
  <c r="Z146" i="67"/>
  <c r="Z150" i="67"/>
  <c r="L154" i="67"/>
  <c r="L170" i="67"/>
  <c r="AO252" i="67"/>
  <c r="AE134" i="67" s="1"/>
  <c r="AF134" i="67" s="1"/>
  <c r="Z132" i="67"/>
  <c r="Z157" i="67"/>
  <c r="Z194" i="67"/>
  <c r="AO272" i="67"/>
  <c r="AE136" i="67" s="1"/>
  <c r="AF136" i="67" s="1"/>
  <c r="Z160" i="67"/>
  <c r="AO235" i="67"/>
  <c r="AE130" i="67" s="1"/>
  <c r="AF130" i="67" s="1"/>
  <c r="Z216" i="67"/>
  <c r="L223" i="67"/>
  <c r="G273" i="67"/>
  <c r="AO285" i="67"/>
  <c r="AE148" i="67" s="1"/>
  <c r="AF148" i="67" s="1"/>
  <c r="AO303" i="67"/>
  <c r="AE146" i="67" s="1"/>
  <c r="AF146" i="67" s="1"/>
  <c r="Z141" i="67"/>
  <c r="AX224" i="67"/>
  <c r="AE132" i="67" s="1"/>
  <c r="AF132" i="67" s="1"/>
  <c r="Z135" i="67"/>
  <c r="Z178" i="67"/>
  <c r="AX279" i="67"/>
  <c r="AE131" i="67" s="1"/>
  <c r="AF131" i="67" s="1"/>
  <c r="G246" i="66"/>
  <c r="Z194" i="66"/>
  <c r="Z223" i="66"/>
  <c r="Z143" i="66"/>
  <c r="Z150" i="66"/>
  <c r="Z163" i="66"/>
  <c r="Z179" i="66"/>
  <c r="Z192" i="66"/>
  <c r="L208" i="66"/>
  <c r="L210" i="66" s="1"/>
  <c r="G261" i="66"/>
  <c r="AX270" i="66"/>
  <c r="AE138" i="66" s="1"/>
  <c r="AF138" i="66" s="1"/>
  <c r="Z165" i="66"/>
  <c r="Z202" i="66"/>
  <c r="Z208" i="66"/>
  <c r="Z147" i="66"/>
  <c r="Z167" i="66"/>
  <c r="Z183" i="66"/>
  <c r="Z133" i="66"/>
  <c r="Z159" i="66"/>
  <c r="Z186" i="66"/>
  <c r="Z170" i="66"/>
  <c r="G225" i="66"/>
  <c r="G269" i="66"/>
  <c r="Z136" i="66"/>
  <c r="Z139" i="66"/>
  <c r="Z164" i="66"/>
  <c r="Z182" i="66"/>
  <c r="L222" i="66"/>
  <c r="L225" i="66" s="1"/>
  <c r="E116" i="66"/>
  <c r="Z169" i="66"/>
  <c r="G176" i="66"/>
  <c r="I127" i="66" s="1"/>
  <c r="Z178" i="66"/>
  <c r="Z180" i="66"/>
  <c r="Z191" i="66"/>
  <c r="Z193" i="66"/>
  <c r="G203" i="66"/>
  <c r="Z203" i="66" s="1"/>
  <c r="Z201" i="66"/>
  <c r="T246" i="66"/>
  <c r="Z132" i="66"/>
  <c r="Z151" i="66"/>
  <c r="Z134" i="66"/>
  <c r="Z187" i="66"/>
  <c r="Z189" i="66"/>
  <c r="L199" i="66"/>
  <c r="AX265" i="66"/>
  <c r="AE137" i="66" s="1"/>
  <c r="AF137" i="66" s="1"/>
  <c r="Z216" i="66"/>
  <c r="AX302" i="66"/>
  <c r="AE129" i="66" s="1"/>
  <c r="AF129" i="66" s="1"/>
  <c r="Z161" i="66"/>
  <c r="Z200" i="66"/>
  <c r="E115" i="66"/>
  <c r="Z157" i="66"/>
  <c r="Z146" i="66"/>
  <c r="T273" i="66"/>
  <c r="Z140" i="66"/>
  <c r="Z215" i="66"/>
  <c r="Y137" i="66"/>
  <c r="Z145" i="66"/>
  <c r="Y147" i="66"/>
  <c r="Y151" i="66"/>
  <c r="Z166" i="66"/>
  <c r="Z149" i="66"/>
  <c r="Z160" i="66"/>
  <c r="Z162" i="66"/>
  <c r="T261" i="66"/>
  <c r="Y199" i="66"/>
  <c r="Z199" i="66"/>
  <c r="T225" i="66"/>
  <c r="Z225" i="66" s="1"/>
  <c r="Y136" i="66"/>
  <c r="Y138" i="66"/>
  <c r="Z144" i="66"/>
  <c r="Y189" i="66"/>
  <c r="Y222" i="66"/>
  <c r="Z138" i="66"/>
  <c r="Z185" i="66"/>
  <c r="Y193" i="66"/>
  <c r="AX167" i="66"/>
  <c r="AE143" i="66" s="1"/>
  <c r="AF143" i="66" s="1"/>
  <c r="Y148" i="66"/>
  <c r="Z171" i="66"/>
  <c r="Z181" i="66"/>
  <c r="AO272" i="66"/>
  <c r="AE136" i="66" s="1"/>
  <c r="AF136" i="66" s="1"/>
  <c r="Y170" i="66"/>
  <c r="T218" i="66"/>
  <c r="Z218" i="66" s="1"/>
  <c r="Y155" i="66"/>
  <c r="Y178" i="66"/>
  <c r="Y202" i="66"/>
  <c r="AX224" i="66"/>
  <c r="AE132" i="66" s="1"/>
  <c r="AF132" i="66" s="1"/>
  <c r="T277" i="66"/>
  <c r="Y154" i="66"/>
  <c r="Y159" i="66"/>
  <c r="Y201" i="66"/>
  <c r="AO290" i="66"/>
  <c r="AE142" i="66" s="1"/>
  <c r="AF142" i="66" s="1"/>
  <c r="AO202" i="66"/>
  <c r="AE128" i="66" s="1"/>
  <c r="AF128" i="66" s="1"/>
  <c r="Z222" i="66"/>
  <c r="AO252" i="66"/>
  <c r="AE134" i="66" s="1"/>
  <c r="AF134" i="66" s="1"/>
  <c r="T269" i="66"/>
  <c r="AO235" i="66"/>
  <c r="AE130" i="66" s="1"/>
  <c r="AF130" i="66" s="1"/>
  <c r="AO303" i="66"/>
  <c r="AE146" i="66" s="1"/>
  <c r="AF146" i="66" s="1"/>
  <c r="AO241" i="66"/>
  <c r="AE133" i="66" s="1"/>
  <c r="AF133" i="66" s="1"/>
  <c r="AO285" i="66"/>
  <c r="AE148" i="66" s="1"/>
  <c r="AF148" i="66" s="1"/>
  <c r="Z156" i="66"/>
  <c r="Z137" i="66"/>
  <c r="Z141" i="66"/>
  <c r="Y143" i="66"/>
  <c r="Y158" i="66"/>
  <c r="T210" i="66"/>
  <c r="Z210" i="66" s="1"/>
  <c r="AX279" i="66"/>
  <c r="AE131" i="66" s="1"/>
  <c r="AF131" i="66" s="1"/>
  <c r="L172" i="66"/>
  <c r="L195" i="66"/>
  <c r="K225" i="66"/>
  <c r="J225" i="66"/>
  <c r="F237" i="66"/>
  <c r="Z135" i="66"/>
  <c r="Y139" i="66"/>
  <c r="L161" i="66"/>
  <c r="Y169" i="66"/>
  <c r="L200" i="66"/>
  <c r="Y134" i="66"/>
  <c r="Y165" i="66"/>
  <c r="Y180" i="66"/>
  <c r="Y184" i="66"/>
  <c r="Y188" i="66"/>
  <c r="Y192" i="66"/>
  <c r="G195" i="66"/>
  <c r="Y208" i="66"/>
  <c r="L216" i="66"/>
  <c r="Z217" i="66"/>
  <c r="Z131" i="66"/>
  <c r="G172" i="66"/>
  <c r="L142" i="66"/>
  <c r="L146" i="66"/>
  <c r="L150" i="66"/>
  <c r="L157" i="66"/>
  <c r="T176" i="66"/>
  <c r="T172" i="66"/>
  <c r="L137" i="66"/>
  <c r="Y164" i="66"/>
  <c r="Y168" i="66"/>
  <c r="Y175" i="66"/>
  <c r="Y179" i="66"/>
  <c r="Y183" i="66"/>
  <c r="Y187" i="66"/>
  <c r="Y191" i="66"/>
  <c r="Y207" i="66"/>
  <c r="L215" i="66"/>
  <c r="Y224" i="66"/>
  <c r="G152" i="66"/>
  <c r="I126" i="66" s="1"/>
  <c r="Y133" i="66"/>
  <c r="T195" i="66"/>
  <c r="Z207" i="66"/>
  <c r="G218" i="66"/>
  <c r="Y132" i="66"/>
  <c r="L140" i="66"/>
  <c r="T152" i="66"/>
  <c r="Y163" i="66"/>
  <c r="Y167" i="66"/>
  <c r="Y174" i="66"/>
  <c r="Y182" i="66"/>
  <c r="Y186" i="66"/>
  <c r="Y190" i="66"/>
  <c r="Y194" i="66"/>
  <c r="Y223" i="66"/>
  <c r="Y214" i="66"/>
  <c r="Y218" i="66" s="1"/>
  <c r="Z214" i="66"/>
  <c r="W225" i="67"/>
  <c r="L218" i="67"/>
  <c r="G172" i="67"/>
  <c r="Y169" i="67"/>
  <c r="L138" i="67"/>
  <c r="Z139" i="67"/>
  <c r="Y165" i="67"/>
  <c r="Y184" i="67"/>
  <c r="Y192" i="67"/>
  <c r="G195" i="67"/>
  <c r="Y208" i="67"/>
  <c r="Z217" i="67"/>
  <c r="L133" i="67"/>
  <c r="Z134" i="67"/>
  <c r="Y142" i="67"/>
  <c r="Y146" i="67"/>
  <c r="Y150" i="67"/>
  <c r="Y157" i="67"/>
  <c r="Y161" i="67"/>
  <c r="L164" i="67"/>
  <c r="L168" i="67"/>
  <c r="L175" i="67"/>
  <c r="T176" i="67"/>
  <c r="L179" i="67"/>
  <c r="Z180" i="67"/>
  <c r="L183" i="67"/>
  <c r="L187" i="67"/>
  <c r="Z188" i="67"/>
  <c r="L191" i="67"/>
  <c r="Y200" i="67"/>
  <c r="Y203" i="67" s="1"/>
  <c r="G203" i="67"/>
  <c r="Z203" i="67" s="1"/>
  <c r="L207" i="67"/>
  <c r="Z208" i="67"/>
  <c r="L224" i="67"/>
  <c r="G152" i="67"/>
  <c r="I126" i="67" s="1"/>
  <c r="L199" i="67"/>
  <c r="L203" i="67" s="1"/>
  <c r="Z200" i="67"/>
  <c r="Y216" i="67"/>
  <c r="G210" i="67"/>
  <c r="T195" i="67"/>
  <c r="Y178" i="67"/>
  <c r="L202" i="67"/>
  <c r="Y215" i="67"/>
  <c r="G218" i="67"/>
  <c r="Y132" i="67"/>
  <c r="Y152" i="67" s="1"/>
  <c r="L140" i="67"/>
  <c r="T152" i="67"/>
  <c r="Y163" i="67"/>
  <c r="Y167" i="67"/>
  <c r="Y174" i="67"/>
  <c r="Y176" i="67" s="1"/>
  <c r="Y182" i="67"/>
  <c r="Y186" i="67"/>
  <c r="Y190" i="67"/>
  <c r="Y194" i="67"/>
  <c r="Y214" i="67"/>
  <c r="Z214" i="67"/>
  <c r="L172" i="51"/>
  <c r="Z172" i="51"/>
  <c r="Y203" i="51"/>
  <c r="Y225" i="51"/>
  <c r="Z210" i="51"/>
  <c r="L152" i="51"/>
  <c r="L176" i="51"/>
  <c r="L195" i="51"/>
  <c r="Y152" i="51"/>
  <c r="Z195" i="51"/>
  <c r="S237" i="51"/>
  <c r="H235" i="51" s="1"/>
  <c r="Z131" i="51"/>
  <c r="Z135" i="51"/>
  <c r="Y154" i="51"/>
  <c r="Z162" i="51"/>
  <c r="Z166" i="51"/>
  <c r="Z181" i="51"/>
  <c r="Z185" i="51"/>
  <c r="Z189" i="51"/>
  <c r="Z193" i="51"/>
  <c r="Z209" i="51"/>
  <c r="Z222" i="51"/>
  <c r="X225" i="51" s="1"/>
  <c r="Y134" i="51"/>
  <c r="L138" i="51"/>
  <c r="Y180" i="51"/>
  <c r="Y192" i="51"/>
  <c r="G195" i="51"/>
  <c r="Y208" i="51"/>
  <c r="L216" i="51"/>
  <c r="L218" i="51" s="1"/>
  <c r="Z217" i="51"/>
  <c r="Y165" i="51"/>
  <c r="Y184" i="51"/>
  <c r="Y188" i="51"/>
  <c r="Y150" i="51"/>
  <c r="T176" i="51"/>
  <c r="L207" i="51"/>
  <c r="T225" i="51"/>
  <c r="Z225" i="51" s="1"/>
  <c r="Z159" i="51"/>
  <c r="G152" i="51"/>
  <c r="I126" i="51" s="1"/>
  <c r="Y133" i="51"/>
  <c r="Y164" i="51"/>
  <c r="Y168" i="51"/>
  <c r="Y175" i="51"/>
  <c r="Y176" i="51" s="1"/>
  <c r="Y179" i="51"/>
  <c r="Y195" i="51" s="1"/>
  <c r="Y183" i="51"/>
  <c r="Y187" i="51"/>
  <c r="Y191" i="51"/>
  <c r="Y207" i="51"/>
  <c r="Y224" i="51"/>
  <c r="W225" i="51" s="1"/>
  <c r="Z144" i="51"/>
  <c r="Z148" i="51"/>
  <c r="Z207" i="51"/>
  <c r="T152" i="51"/>
  <c r="Z136" i="51"/>
  <c r="Z155" i="51"/>
  <c r="T203" i="51"/>
  <c r="Z203" i="51" s="1"/>
  <c r="Y170" i="51"/>
  <c r="Y202" i="51"/>
  <c r="L222" i="51"/>
  <c r="Z214" i="51"/>
  <c r="Z225" i="67" l="1"/>
  <c r="X210" i="67"/>
  <c r="L152" i="67"/>
  <c r="Z218" i="67"/>
  <c r="Y172" i="67"/>
  <c r="Z172" i="67"/>
  <c r="X225" i="67"/>
  <c r="L176" i="67"/>
  <c r="L172" i="67"/>
  <c r="Z210" i="67"/>
  <c r="L195" i="67"/>
  <c r="F237" i="67"/>
  <c r="H235" i="67" s="1"/>
  <c r="L218" i="66"/>
  <c r="S237" i="66"/>
  <c r="H235" i="66" s="1"/>
  <c r="J210" i="66"/>
  <c r="J228" i="66" s="1"/>
  <c r="K210" i="66"/>
  <c r="K228" i="66" s="1"/>
  <c r="L152" i="66"/>
  <c r="L228" i="66" s="1"/>
  <c r="L203" i="66"/>
  <c r="W225" i="66"/>
  <c r="Y172" i="66"/>
  <c r="Y203" i="66"/>
  <c r="Y210" i="66" s="1"/>
  <c r="Y152" i="66"/>
  <c r="Y195" i="66"/>
  <c r="V126" i="66"/>
  <c r="Z152" i="66"/>
  <c r="Z172" i="66"/>
  <c r="X225" i="66"/>
  <c r="Y225" i="66"/>
  <c r="Z195" i="66"/>
  <c r="T228" i="66"/>
  <c r="G228" i="66"/>
  <c r="I128" i="66" s="1"/>
  <c r="Z176" i="66"/>
  <c r="V127" i="66"/>
  <c r="Y176" i="66"/>
  <c r="X210" i="66"/>
  <c r="W210" i="66"/>
  <c r="Y210" i="67"/>
  <c r="W228" i="67"/>
  <c r="Y218" i="67"/>
  <c r="Y195" i="67"/>
  <c r="Z195" i="67"/>
  <c r="T228" i="67"/>
  <c r="V126" i="67"/>
  <c r="Z152" i="67"/>
  <c r="Z176" i="67"/>
  <c r="V127" i="67"/>
  <c r="G228" i="67"/>
  <c r="I128" i="67" s="1"/>
  <c r="W210" i="67"/>
  <c r="J225" i="67"/>
  <c r="L225" i="67"/>
  <c r="K225" i="67"/>
  <c r="L210" i="67"/>
  <c r="K210" i="67"/>
  <c r="J210" i="67"/>
  <c r="W228" i="51"/>
  <c r="X228" i="51"/>
  <c r="Y172" i="51"/>
  <c r="Y228" i="51" s="1"/>
  <c r="V126" i="51"/>
  <c r="Z152" i="51"/>
  <c r="G228" i="51"/>
  <c r="I128" i="51" s="1"/>
  <c r="Y210" i="51"/>
  <c r="X210" i="51"/>
  <c r="W210" i="51"/>
  <c r="K210" i="51"/>
  <c r="J210" i="51"/>
  <c r="L210" i="51"/>
  <c r="K225" i="51"/>
  <c r="K228" i="51" s="1"/>
  <c r="E118" i="51" s="1"/>
  <c r="L225" i="51"/>
  <c r="L228" i="51" s="1"/>
  <c r="J225" i="51"/>
  <c r="J228" i="51" s="1"/>
  <c r="E120" i="51" s="1"/>
  <c r="Z176" i="51"/>
  <c r="V127" i="51"/>
  <c r="T228" i="51"/>
  <c r="X228" i="67" l="1"/>
  <c r="Y225" i="67"/>
  <c r="Y228" i="67" s="1"/>
  <c r="L228" i="67"/>
  <c r="W228" i="66"/>
  <c r="E120" i="66" s="1"/>
  <c r="Y228" i="66"/>
  <c r="E119" i="66"/>
  <c r="V128" i="66"/>
  <c r="Z228" i="66"/>
  <c r="G113" i="66"/>
  <c r="J111" i="66" s="1"/>
  <c r="X228" i="66"/>
  <c r="E118" i="66" s="1"/>
  <c r="K228" i="67"/>
  <c r="J228" i="67"/>
  <c r="E120" i="67" s="1"/>
  <c r="Z228" i="67"/>
  <c r="V128" i="67"/>
  <c r="G113" i="67" s="1"/>
  <c r="J111" i="67" s="1"/>
  <c r="E119" i="51"/>
  <c r="V128" i="51"/>
  <c r="Z228" i="51"/>
  <c r="G113" i="51"/>
  <c r="J111" i="51" s="1"/>
  <c r="E118" i="67" l="1"/>
  <c r="E119" i="67"/>
</calcChain>
</file>

<file path=xl/sharedStrings.xml><?xml version="1.0" encoding="utf-8"?>
<sst xmlns="http://schemas.openxmlformats.org/spreadsheetml/2006/main" count="5358" uniqueCount="1161">
  <si>
    <t>CALA</t>
  </si>
  <si>
    <t>BDR</t>
  </si>
  <si>
    <t>TCM</t>
  </si>
  <si>
    <t>UBP</t>
  </si>
  <si>
    <t>SPI</t>
  </si>
  <si>
    <t>IP</t>
  </si>
  <si>
    <t>BST</t>
  </si>
  <si>
    <t>PWF</t>
  </si>
  <si>
    <t>HOT DICE</t>
  </si>
  <si>
    <t>HOT</t>
  </si>
  <si>
    <t>LOTERIA BONUS</t>
  </si>
  <si>
    <t>P4</t>
  </si>
  <si>
    <t>REVOLUTION</t>
  </si>
  <si>
    <t>REV</t>
  </si>
  <si>
    <t>HOTM</t>
  </si>
  <si>
    <t>HOT DICE MULTI</t>
  </si>
  <si>
    <t>POWER FORCE</t>
  </si>
  <si>
    <t>BINGO STORY</t>
  </si>
  <si>
    <t>DREAM</t>
  </si>
  <si>
    <t>TACOMANIA</t>
  </si>
  <si>
    <t>ULTIMO BINGO EN PARIS</t>
  </si>
  <si>
    <t>POWER FOUR</t>
  </si>
  <si>
    <t>DOBLE BONUS</t>
  </si>
  <si>
    <t>SPIN BINGO</t>
  </si>
  <si>
    <t>HALLO</t>
  </si>
  <si>
    <t>TOP3</t>
  </si>
  <si>
    <t>BOBBY</t>
  </si>
  <si>
    <t>HALLO WIN</t>
  </si>
  <si>
    <t>BEST TOP 3 BONUS</t>
  </si>
  <si>
    <t>BOBBY DOGGIE</t>
  </si>
  <si>
    <t>GO DICE</t>
  </si>
  <si>
    <t>GDICE</t>
  </si>
  <si>
    <t>FISH DOUBLE</t>
  </si>
  <si>
    <t>ROYAL CRAPS</t>
  </si>
  <si>
    <t>RCRP</t>
  </si>
  <si>
    <t>PRWP</t>
  </si>
  <si>
    <t>PIM PAM PUM</t>
  </si>
  <si>
    <t>PPPUM</t>
  </si>
  <si>
    <t>MULTI SPIN BINGO</t>
  </si>
  <si>
    <t>SPIM</t>
  </si>
  <si>
    <t>TACOWAY</t>
  </si>
  <si>
    <t>TCWY</t>
  </si>
  <si>
    <t>KINGO</t>
  </si>
  <si>
    <t>POWER BONUS</t>
  </si>
  <si>
    <t>PWRB</t>
  </si>
  <si>
    <t>GO POWER</t>
  </si>
  <si>
    <t>GO PWR</t>
  </si>
  <si>
    <t>LOTB</t>
  </si>
  <si>
    <t>BRYKE</t>
  </si>
  <si>
    <t>ENERGY LINK WEST</t>
  </si>
  <si>
    <t>ELK WST</t>
  </si>
  <si>
    <t>ENERGY LINK MEX</t>
  </si>
  <si>
    <t>ELK MEX</t>
  </si>
  <si>
    <t>ENERGY LINK GREEN</t>
  </si>
  <si>
    <t>ELK GRN</t>
  </si>
  <si>
    <t>ELK BLU</t>
  </si>
  <si>
    <t>ENERGY LINK BLUE</t>
  </si>
  <si>
    <t>SLEIC</t>
  </si>
  <si>
    <t>ENERGY KING DOBLE BONUS</t>
  </si>
  <si>
    <t>EK DB</t>
  </si>
  <si>
    <t>ENERGY KING P4 BONUS</t>
  </si>
  <si>
    <t>EK P4</t>
  </si>
  <si>
    <t>ENERGY KING GO DICE</t>
  </si>
  <si>
    <t>EK GDICE</t>
  </si>
  <si>
    <t>ELK P4</t>
  </si>
  <si>
    <t>ELK DB</t>
  </si>
  <si>
    <t>ENERGY LINK GO DICE</t>
  </si>
  <si>
    <t>ELK GDICE</t>
  </si>
  <si>
    <t>FSHDB</t>
  </si>
  <si>
    <t>BEER</t>
  </si>
  <si>
    <t>BEER, CHEERS FEST</t>
  </si>
  <si>
    <t>DB</t>
  </si>
  <si>
    <t>DRAGONB</t>
  </si>
  <si>
    <t>DRAGON BINGO</t>
  </si>
  <si>
    <t>GSTORM</t>
  </si>
  <si>
    <t>GOD STORM</t>
  </si>
  <si>
    <t>LMP PWR</t>
  </si>
  <si>
    <t>LAMP POWER</t>
  </si>
  <si>
    <t>LMP MEX</t>
  </si>
  <si>
    <t>LAMP MEX</t>
  </si>
  <si>
    <t>Pi</t>
  </si>
  <si>
    <t>POWER PRIZE</t>
  </si>
  <si>
    <t>TCKKK</t>
  </si>
  <si>
    <t>THE COURSE OF KUKULKAN</t>
  </si>
  <si>
    <t>TB2</t>
  </si>
  <si>
    <t>TRIPLE BONUS 2</t>
  </si>
  <si>
    <t>WDICE</t>
  </si>
  <si>
    <t>WESTERN DICE</t>
  </si>
  <si>
    <t>BLOOTER</t>
  </si>
  <si>
    <t>BLACK LOOTER</t>
  </si>
  <si>
    <t>LMP BOBBY</t>
  </si>
  <si>
    <t>LAMP BOBBY</t>
  </si>
  <si>
    <t>LMP MUS</t>
  </si>
  <si>
    <t>LAMP MUSTANG</t>
  </si>
  <si>
    <t>RFU</t>
  </si>
  <si>
    <t>ROYAL FU</t>
  </si>
  <si>
    <t>RTROP</t>
  </si>
  <si>
    <t>ROYAL TROPICAL BINGO</t>
  </si>
  <si>
    <t>BE3</t>
  </si>
  <si>
    <t>BEETLE 3</t>
  </si>
  <si>
    <t>CALACA</t>
  </si>
  <si>
    <t>DWISH</t>
  </si>
  <si>
    <t>DIAMOND WISH</t>
  </si>
  <si>
    <t>SPELLS</t>
  </si>
  <si>
    <t>SPELLS AND POTIONS</t>
  </si>
  <si>
    <t>LMP TCWY</t>
  </si>
  <si>
    <t>LAMP TACOWAY</t>
  </si>
  <si>
    <t>WCLUB</t>
  </si>
  <si>
    <t>WEALTHY CLUB</t>
  </si>
  <si>
    <t>LMP SPI</t>
  </si>
  <si>
    <t>LAMP SPIN</t>
  </si>
  <si>
    <t>LMP HALLO</t>
  </si>
  <si>
    <t>LAMP HALLO WIN</t>
  </si>
  <si>
    <t>LMP STO</t>
  </si>
  <si>
    <t>LAMP BINGO STORY</t>
  </si>
  <si>
    <t>PI</t>
  </si>
  <si>
    <t>MAORIS LAND</t>
  </si>
  <si>
    <t>MAORIS</t>
  </si>
  <si>
    <t>BLAZING PEARLS</t>
  </si>
  <si>
    <t>KST</t>
  </si>
  <si>
    <t>EK MEX</t>
  </si>
  <si>
    <t>EK WST</t>
  </si>
  <si>
    <t>PZUPDB</t>
  </si>
  <si>
    <t>PZUPGDICE</t>
  </si>
  <si>
    <t>TB</t>
  </si>
  <si>
    <t>ENERGY LINK DOBLE BONUS</t>
  </si>
  <si>
    <t>ENERGY LINK P4 BONUS</t>
  </si>
  <si>
    <t>ENERGY KING TOP</t>
  </si>
  <si>
    <t>EK TOP</t>
  </si>
  <si>
    <t>ENERGY KING AQUA</t>
  </si>
  <si>
    <t>EK AQUA</t>
  </si>
  <si>
    <t>ENERGY KING MEX</t>
  </si>
  <si>
    <t>ENERGY KING WEST</t>
  </si>
  <si>
    <t>EGYTRE</t>
  </si>
  <si>
    <t>MWPANDA</t>
  </si>
  <si>
    <t>FRPIZZA</t>
  </si>
  <si>
    <t>TGREATW</t>
  </si>
  <si>
    <t>TBD2</t>
  </si>
  <si>
    <t>EGYPT TREASURES</t>
  </si>
  <si>
    <t>FRATELLI PIZZA</t>
  </si>
  <si>
    <t>MONEY WISE PANDA</t>
  </si>
  <si>
    <t>KINGO STORY</t>
  </si>
  <si>
    <t>THE GREAT WEALTH</t>
  </si>
  <si>
    <t>PRIZE UP DOBLE BONUS</t>
  </si>
  <si>
    <t>PRIZE UP GO DICE</t>
  </si>
  <si>
    <t>BEETLE JEWELS RED</t>
  </si>
  <si>
    <t>BEJR</t>
  </si>
  <si>
    <t>FIREWORKS FU RED</t>
  </si>
  <si>
    <t>FIREFUR</t>
  </si>
  <si>
    <t>ID  2 0 0 - W I N P O T - C A P R I    S A T É L I T E</t>
  </si>
  <si>
    <t>WP CD</t>
  </si>
  <si>
    <t>SCIGA</t>
  </si>
  <si>
    <t>MP</t>
  </si>
  <si>
    <t>MCH</t>
  </si>
  <si>
    <t>P3</t>
  </si>
  <si>
    <t>BIB</t>
  </si>
  <si>
    <t>MM</t>
  </si>
  <si>
    <t>MGCH</t>
  </si>
  <si>
    <t>RETIRO</t>
  </si>
  <si>
    <t>WP CI</t>
  </si>
  <si>
    <t>50C</t>
  </si>
  <si>
    <t>Miyoko II</t>
  </si>
  <si>
    <t>ISLA 1</t>
  </si>
  <si>
    <t>WP CE</t>
  </si>
  <si>
    <t>ISLA 2</t>
  </si>
  <si>
    <t>5C</t>
  </si>
  <si>
    <t>AGS</t>
  </si>
  <si>
    <t>AW</t>
  </si>
  <si>
    <t>RESTAURANTE</t>
  </si>
  <si>
    <t>WP CC</t>
  </si>
  <si>
    <t>WP BQ</t>
  </si>
  <si>
    <t>WP D</t>
  </si>
  <si>
    <t>MIN JUG $3.40</t>
  </si>
  <si>
    <t>Quad Shot</t>
  </si>
  <si>
    <t>Multi Win</t>
  </si>
  <si>
    <t>AT</t>
  </si>
  <si>
    <t>MIYOKO II</t>
  </si>
  <si>
    <t>AMA</t>
  </si>
  <si>
    <t>MIN JUG $1.50</t>
  </si>
  <si>
    <t>WP BZ</t>
  </si>
  <si>
    <t>Double Hit</t>
  </si>
  <si>
    <t>WP BW</t>
  </si>
  <si>
    <t>WP BS</t>
  </si>
  <si>
    <t>ISLA 3</t>
  </si>
  <si>
    <t>MIN JUG $4.00</t>
  </si>
  <si>
    <t>WP I</t>
  </si>
  <si>
    <t>SIGN BLDW-2</t>
  </si>
  <si>
    <t>IGT</t>
  </si>
  <si>
    <t>WP BX</t>
  </si>
  <si>
    <t>WP AU</t>
  </si>
  <si>
    <t>BAÑOS</t>
  </si>
  <si>
    <t>Coin Fu Link</t>
  </si>
  <si>
    <t>MIN JUG $1.00</t>
  </si>
  <si>
    <t>ISLA 5</t>
  </si>
  <si>
    <t>MIN JUG $2.50</t>
  </si>
  <si>
    <t>WINPOTSL</t>
  </si>
  <si>
    <t>MOVIMIENTO</t>
  </si>
  <si>
    <t>WP CL</t>
  </si>
  <si>
    <t>ISLA 15</t>
  </si>
  <si>
    <t>2C</t>
  </si>
  <si>
    <t>MER</t>
  </si>
  <si>
    <t xml:space="preserve">link hit </t>
  </si>
  <si>
    <t>NOV</t>
  </si>
  <si>
    <t>WP BB</t>
  </si>
  <si>
    <t>EGT</t>
  </si>
  <si>
    <t>WP AD</t>
  </si>
  <si>
    <t>WP AM</t>
  </si>
  <si>
    <t>SALIDA EMERGENCIA</t>
  </si>
  <si>
    <t>WP BK</t>
  </si>
  <si>
    <t>WP V</t>
  </si>
  <si>
    <t>MIN JUG $5.00</t>
  </si>
  <si>
    <t>Thunder Fortune</t>
  </si>
  <si>
    <t>ISLA 6</t>
  </si>
  <si>
    <t>10C</t>
  </si>
  <si>
    <t>SIGN LK-2</t>
  </si>
  <si>
    <t>MIN JUG $4.40</t>
  </si>
  <si>
    <t>WP AK</t>
  </si>
  <si>
    <t>ISLA 17</t>
  </si>
  <si>
    <t>Multi Win 1</t>
  </si>
  <si>
    <t>Multi Win 3</t>
  </si>
  <si>
    <t>ISLA 16</t>
  </si>
  <si>
    <t>SIGN 88LINK-2</t>
  </si>
  <si>
    <t>WP CA</t>
  </si>
  <si>
    <t>WP BH</t>
  </si>
  <si>
    <t>ENDCP-INT</t>
  </si>
  <si>
    <t>Money Jack</t>
  </si>
  <si>
    <t>WP BN</t>
  </si>
  <si>
    <t>COIN FU</t>
  </si>
  <si>
    <t>Multi Win 8</t>
  </si>
  <si>
    <t>Multi Win 2</t>
  </si>
  <si>
    <t>WP AR</t>
  </si>
  <si>
    <t>WP AF</t>
  </si>
  <si>
    <t>ISLA 7</t>
  </si>
  <si>
    <t>SIGN LM-2</t>
  </si>
  <si>
    <t>ACCESO  FUMAR</t>
  </si>
  <si>
    <t>ISLA 8</t>
  </si>
  <si>
    <t>WP BF</t>
  </si>
  <si>
    <t>ISLA 18</t>
  </si>
  <si>
    <t>ISLA 19</t>
  </si>
  <si>
    <t>SIGN LK/LM-2</t>
  </si>
  <si>
    <t>LINK HIT</t>
  </si>
  <si>
    <t>SIGN MKING-2</t>
  </si>
  <si>
    <t>ISLA 20</t>
  </si>
  <si>
    <t>CAJAS</t>
  </si>
  <si>
    <t>WP AA</t>
  </si>
  <si>
    <t>WP X</t>
  </si>
  <si>
    <t>WP Y</t>
  </si>
  <si>
    <t>WP BD</t>
  </si>
  <si>
    <t>ISLA 9</t>
  </si>
  <si>
    <t>WP H</t>
  </si>
  <si>
    <t>SIGN BP DW</t>
  </si>
  <si>
    <t>ISLA 4</t>
  </si>
  <si>
    <t>WP BE</t>
  </si>
  <si>
    <t>ENDCP-DGT</t>
  </si>
  <si>
    <t>ISLA 10</t>
  </si>
  <si>
    <t>EGYPTIAN LINK</t>
  </si>
  <si>
    <t>SUPER WHEEL MANIA LINK</t>
  </si>
  <si>
    <t>WP T</t>
  </si>
  <si>
    <t>WP BT</t>
  </si>
  <si>
    <t>WP BR</t>
  </si>
  <si>
    <t>KN</t>
  </si>
  <si>
    <t>WP S</t>
  </si>
  <si>
    <t>WP G</t>
  </si>
  <si>
    <t>ULTIMATE FIRE LINK EXPLOSION</t>
  </si>
  <si>
    <t>ISLA 22</t>
  </si>
  <si>
    <t>SIGN MHAM-2</t>
  </si>
  <si>
    <t>BARRA</t>
  </si>
  <si>
    <t>}</t>
  </si>
  <si>
    <t>WP CB</t>
  </si>
  <si>
    <t>WP U</t>
  </si>
  <si>
    <t>50cts</t>
  </si>
  <si>
    <t>50 cts</t>
  </si>
  <si>
    <t>WP O</t>
  </si>
  <si>
    <t>ISLA 11</t>
  </si>
  <si>
    <t>SIGN LSHOCK-2</t>
  </si>
  <si>
    <t>WP Q</t>
  </si>
  <si>
    <t>WP AN</t>
  </si>
  <si>
    <t>ISLA 13</t>
  </si>
  <si>
    <t>ISLA 14</t>
  </si>
  <si>
    <t>SIGN MKING/LK-2</t>
  </si>
  <si>
    <t>MODULO DE BIENVENIDA</t>
  </si>
  <si>
    <t>ACCESO PRINCIPAL</t>
  </si>
  <si>
    <t>WP BM</t>
  </si>
  <si>
    <t>WP AC</t>
  </si>
  <si>
    <t>MIN JUG $3.75</t>
  </si>
  <si>
    <t>PROSPERITY LINK</t>
  </si>
  <si>
    <t>WP BO</t>
  </si>
  <si>
    <t>WP AJ</t>
  </si>
  <si>
    <t>WP VV</t>
  </si>
  <si>
    <t>TOTAL SALA</t>
  </si>
  <si>
    <t>ANTERIOR THERMO ENTREGADO</t>
  </si>
  <si>
    <t>THERMO ACTUAL</t>
  </si>
  <si>
    <t>2208-08</t>
  </si>
  <si>
    <t>FECHA</t>
  </si>
  <si>
    <t>SEMANA</t>
  </si>
  <si>
    <t>TOTAL ZITRO</t>
  </si>
  <si>
    <t>S5 a S16</t>
  </si>
  <si>
    <t>S25 a S36</t>
  </si>
  <si>
    <t>44 MAQ.</t>
  </si>
  <si>
    <t>TOTAL</t>
  </si>
  <si>
    <t>F POWER</t>
  </si>
  <si>
    <t>SIN F POWER</t>
  </si>
  <si>
    <t>VS</t>
  </si>
  <si>
    <t>TOTAL MAQUINAS CON 25C</t>
  </si>
  <si>
    <t>COIN IN X MAQ</t>
  </si>
  <si>
    <t>TOTAL MAQUINAS CON 50C</t>
  </si>
  <si>
    <t>MEDIA</t>
  </si>
  <si>
    <t>OCUPACIÓN</t>
  </si>
  <si>
    <t>TOTAL BLACK</t>
  </si>
  <si>
    <t>% DEV</t>
  </si>
  <si>
    <t>TOTAL BLUE</t>
  </si>
  <si>
    <t>AP X PART</t>
  </si>
  <si>
    <t>TOTAL FUSION</t>
  </si>
  <si>
    <t>PART X MAQ X DIA</t>
  </si>
  <si>
    <t>TABLA DE JUEGOS ZITRO</t>
  </si>
  <si>
    <t>MAQUINAS CON 25C FUMAR</t>
  </si>
  <si>
    <t>MAQUINAS CON 25C NO FUMAR</t>
  </si>
  <si>
    <t>TABLA COMPETENCIA</t>
  </si>
  <si>
    <t>MAQUINAS CON 50C FUMAR</t>
  </si>
  <si>
    <t>MAQUINAS CON 50C NO FUMAR</t>
  </si>
  <si>
    <t>EIBE</t>
  </si>
  <si>
    <t>LUDICUS/IGT Bingo</t>
  </si>
  <si>
    <t>TOTAL FUMAR FAMILIA POWER</t>
  </si>
  <si>
    <t>TOTAL NO FUMAR FAMILIA POWER</t>
  </si>
  <si>
    <t>PROVEEDOR</t>
  </si>
  <si>
    <t>MAQUINAS</t>
  </si>
  <si>
    <t>% SALA</t>
  </si>
  <si>
    <t>ACE BONUS</t>
  </si>
  <si>
    <t>ACB</t>
  </si>
  <si>
    <t>BARON ROJO</t>
  </si>
  <si>
    <t>BR</t>
  </si>
  <si>
    <t>TOTAL FUMAR BISONTE / BINGO STORY</t>
  </si>
  <si>
    <t>TOTAL NO FUMAR BISONTE / BINGO STORY</t>
  </si>
  <si>
    <t>B I N G O</t>
  </si>
  <si>
    <t>ACE MANIA</t>
  </si>
  <si>
    <t>ACM</t>
  </si>
  <si>
    <t>BEE WILD</t>
  </si>
  <si>
    <t>BW</t>
  </si>
  <si>
    <t>TOTAL FUMAR SALA</t>
  </si>
  <si>
    <t>TOTAL NO FUMAR SALA</t>
  </si>
  <si>
    <t>ALL STAR</t>
  </si>
  <si>
    <t>ALLSTR</t>
  </si>
  <si>
    <t>BICHOS PARTY</t>
  </si>
  <si>
    <t>BP</t>
  </si>
  <si>
    <t>AMBRA GAMING</t>
  </si>
  <si>
    <t>AMBRA</t>
  </si>
  <si>
    <t>BEACH BINGO</t>
  </si>
  <si>
    <t>BCHB</t>
  </si>
  <si>
    <t>BING KONG</t>
  </si>
  <si>
    <t>BK</t>
  </si>
  <si>
    <t>FAMILIA POWER</t>
  </si>
  <si>
    <t>FUSION</t>
  </si>
  <si>
    <t>BLACK</t>
  </si>
  <si>
    <t>BLUE</t>
  </si>
  <si>
    <t>TOTAL JUEGO</t>
  </si>
  <si>
    <t>METRONIA / BEMEX</t>
  </si>
  <si>
    <t>MET</t>
  </si>
  <si>
    <t>BEST BINGO</t>
  </si>
  <si>
    <t>BB</t>
  </si>
  <si>
    <t>BINGO GRAND HIT</t>
  </si>
  <si>
    <t>BGHI</t>
  </si>
  <si>
    <t>SABIA</t>
  </si>
  <si>
    <t>SAB</t>
  </si>
  <si>
    <t>BIG SCORE</t>
  </si>
  <si>
    <t>BIGCRE</t>
  </si>
  <si>
    <t xml:space="preserve">BINGO JOKER </t>
  </si>
  <si>
    <t>BJK</t>
  </si>
  <si>
    <t>*</t>
  </si>
  <si>
    <t>FBM</t>
  </si>
  <si>
    <t>BINGO MAN</t>
  </si>
  <si>
    <t>BMAN</t>
  </si>
  <si>
    <t>BINGO LINK 10</t>
  </si>
  <si>
    <t>BLINK10</t>
  </si>
  <si>
    <t>JESTRONIC</t>
  </si>
  <si>
    <t>BINGOL</t>
  </si>
  <si>
    <t>BGOL</t>
  </si>
  <si>
    <t>BINGO LINK DOBLE BONUS</t>
  </si>
  <si>
    <t>BLINKDB</t>
  </si>
  <si>
    <t>DBF</t>
  </si>
  <si>
    <t>R. FRANCO</t>
  </si>
  <si>
    <t>FRANCO</t>
  </si>
  <si>
    <t>BINGOLE</t>
  </si>
  <si>
    <t>BLE</t>
  </si>
  <si>
    <t>BINGO LINK GOLDEN</t>
  </si>
  <si>
    <t>BLINKG</t>
  </si>
  <si>
    <t>KONAMI BINGO</t>
  </si>
  <si>
    <t>KNBINGO</t>
  </si>
  <si>
    <t>BINGOLE PLUS</t>
  </si>
  <si>
    <t>BLEP</t>
  </si>
  <si>
    <t>BINGO JONES</t>
  </si>
  <si>
    <t>BJN</t>
  </si>
  <si>
    <t>WINPOT / DREIDEL</t>
  </si>
  <si>
    <t>WINPOT</t>
  </si>
  <si>
    <t>BINGOLE PRIME</t>
  </si>
  <si>
    <t>BLEPm</t>
  </si>
  <si>
    <t>BUFFALO KINGS</t>
  </si>
  <si>
    <t>BUFF</t>
  </si>
  <si>
    <t>SLEIC (OTIUM - UNIDESA)</t>
  </si>
  <si>
    <t>BUBBLE MANIA</t>
  </si>
  <si>
    <r>
      <rPr>
        <b/>
        <sz val="12"/>
        <color theme="7" tint="0.39997558519241921"/>
        <rFont val="Calibri"/>
        <family val="2"/>
        <scheme val="minor"/>
      </rPr>
      <t>BUB</t>
    </r>
    <r>
      <rPr>
        <b/>
        <sz val="12"/>
        <color rgb="FFFFFF00"/>
        <rFont val="Calibri"/>
        <family val="2"/>
        <scheme val="minor"/>
      </rPr>
      <t>BLE</t>
    </r>
  </si>
  <si>
    <t>DRAGONS TREASURE</t>
  </si>
  <si>
    <t>DRTR</t>
  </si>
  <si>
    <t>PACHINKO</t>
  </si>
  <si>
    <t>CAPITAN PARROT</t>
  </si>
  <si>
    <t>CP</t>
  </si>
  <si>
    <t>FIGHT AND WIN</t>
  </si>
  <si>
    <t>FGTW</t>
  </si>
  <si>
    <t>BLUBERI</t>
  </si>
  <si>
    <t>BLUB</t>
  </si>
  <si>
    <t>CHICKEN FARM</t>
  </si>
  <si>
    <t>CFM</t>
  </si>
  <si>
    <t>FLYING PIGS</t>
  </si>
  <si>
    <t>FPIG</t>
  </si>
  <si>
    <t>BETSTONE BINGO</t>
  </si>
  <si>
    <t>BTSB</t>
  </si>
  <si>
    <t>-</t>
  </si>
  <si>
    <t>CINE BINGO</t>
  </si>
  <si>
    <t>CINEB</t>
  </si>
  <si>
    <t>FUNNY CREATURES</t>
  </si>
  <si>
    <t>FC</t>
  </si>
  <si>
    <t>SHOWBALL</t>
  </si>
  <si>
    <t>SHOW</t>
  </si>
  <si>
    <t>CINE BINGO MULTI</t>
  </si>
  <si>
    <t>MCINEB</t>
  </si>
  <si>
    <t>HUNGRY FISH</t>
  </si>
  <si>
    <t>HUF</t>
  </si>
  <si>
    <t>LATINA WORLD GAMING</t>
  </si>
  <si>
    <t>LATINWG</t>
  </si>
  <si>
    <t>CIRCUS</t>
  </si>
  <si>
    <t>CIR</t>
  </si>
  <si>
    <t>LAS MIL Y UNA NOCHES</t>
  </si>
  <si>
    <t>MYUN</t>
  </si>
  <si>
    <t>LUD/IGT B</t>
  </si>
  <si>
    <t>DINO BINGO</t>
  </si>
  <si>
    <t>DINO</t>
  </si>
  <si>
    <t>LA CHIRIPA</t>
  </si>
  <si>
    <t>LACHI</t>
  </si>
  <si>
    <t>AGSB</t>
  </si>
  <si>
    <t>DULCE MANIA</t>
  </si>
  <si>
    <t>DULM</t>
  </si>
  <si>
    <t>LOS GNOMOS</t>
  </si>
  <si>
    <t>LGMS</t>
  </si>
  <si>
    <t>VDK2</t>
  </si>
  <si>
    <t>VDK</t>
  </si>
  <si>
    <t>EL DORADO BINGO</t>
  </si>
  <si>
    <t>DORAD</t>
  </si>
  <si>
    <t>LUCKY PRINCESS</t>
  </si>
  <si>
    <t>LKP</t>
  </si>
  <si>
    <t>DEGESTEC BINGO</t>
  </si>
  <si>
    <t>DEGESTEC B</t>
  </si>
  <si>
    <t>EL PEZ</t>
  </si>
  <si>
    <t>PEZ</t>
  </si>
  <si>
    <t>MARTINS FORTUNE</t>
  </si>
  <si>
    <t>MARTF</t>
  </si>
  <si>
    <t>JCB GAMING</t>
  </si>
  <si>
    <t>JCB</t>
  </si>
  <si>
    <t>FIESTA BINGO</t>
  </si>
  <si>
    <t>FSTB</t>
  </si>
  <si>
    <t>MEDIEBALL</t>
  </si>
  <si>
    <t>MEB</t>
  </si>
  <si>
    <t>RCT BINGO</t>
  </si>
  <si>
    <t>RCT B</t>
  </si>
  <si>
    <t>FIRST MANIA</t>
  </si>
  <si>
    <t>FM</t>
  </si>
  <si>
    <t>MULTI BINGO PACK</t>
  </si>
  <si>
    <t>MBGP</t>
  </si>
  <si>
    <t>INTERVISION BINGO</t>
  </si>
  <si>
    <t>INTVB</t>
  </si>
  <si>
    <t>FOUR BINGO</t>
  </si>
  <si>
    <t>FB</t>
  </si>
  <si>
    <t xml:space="preserve">NEW BINGO CITY </t>
  </si>
  <si>
    <t>BCTY</t>
  </si>
  <si>
    <t>OTROS BINGO</t>
  </si>
  <si>
    <t>OTROS B</t>
  </si>
  <si>
    <t>GAMBETA BINGO</t>
  </si>
  <si>
    <t>GAMB</t>
  </si>
  <si>
    <t>OLYMPUS</t>
  </si>
  <si>
    <t>OLYM</t>
  </si>
  <si>
    <t>R O D I L L O S</t>
  </si>
  <si>
    <t>GLADIATOR</t>
  </si>
  <si>
    <t>GLAR</t>
  </si>
  <si>
    <t>PANDA 88</t>
  </si>
  <si>
    <t>PAN88</t>
  </si>
  <si>
    <t>AINSWORTH</t>
  </si>
  <si>
    <t>GOL MANIA</t>
  </si>
  <si>
    <t>GOLM</t>
  </si>
  <si>
    <t>PICOSOMETRO</t>
  </si>
  <si>
    <t>PICO</t>
  </si>
  <si>
    <t>BISONTE / BINGO STORY</t>
  </si>
  <si>
    <t>ADMIRAL</t>
  </si>
  <si>
    <t>ADMI</t>
  </si>
  <si>
    <t>GOL MANIA PLUS</t>
  </si>
  <si>
    <t>GOLMP</t>
  </si>
  <si>
    <t>PIG WIZARD</t>
  </si>
  <si>
    <t>PGW</t>
  </si>
  <si>
    <t>ATLAS</t>
  </si>
  <si>
    <t>AGT</t>
  </si>
  <si>
    <t>GOL MANIA PRIME</t>
  </si>
  <si>
    <t>GOLMPm</t>
  </si>
  <si>
    <t>PIRATES OF THE BINGO SEA</t>
  </si>
  <si>
    <t>PSEA</t>
  </si>
  <si>
    <t>ALFASTREET</t>
  </si>
  <si>
    <t>AST</t>
  </si>
  <si>
    <t>HOT CHILLI</t>
  </si>
  <si>
    <t>HTC</t>
  </si>
  <si>
    <t>PLAYA BINGO</t>
  </si>
  <si>
    <t>PLAB</t>
  </si>
  <si>
    <t>KATANA BINGO</t>
  </si>
  <si>
    <t>KATNA</t>
  </si>
  <si>
    <t>REYES DEL RING</t>
  </si>
  <si>
    <t>RDR</t>
  </si>
  <si>
    <t>AMATIC</t>
  </si>
  <si>
    <t>LE BON BON</t>
  </si>
  <si>
    <t>LBON</t>
  </si>
  <si>
    <t>ROUTE 66</t>
  </si>
  <si>
    <t>R66</t>
  </si>
  <si>
    <t>AMUSGO</t>
  </si>
  <si>
    <t>AMGO</t>
  </si>
  <si>
    <t>LOCOMODIN</t>
  </si>
  <si>
    <t>LMDIN</t>
  </si>
  <si>
    <t>ROUTE 66 MULTI</t>
  </si>
  <si>
    <t>R66M</t>
  </si>
  <si>
    <t>APEX</t>
  </si>
  <si>
    <t>LOCOMODIN PLUS</t>
  </si>
  <si>
    <t>LMDIN P</t>
  </si>
  <si>
    <t>ROUTE TO WIN</t>
  </si>
  <si>
    <t>RTW</t>
  </si>
  <si>
    <t>ARISTOCRAT</t>
  </si>
  <si>
    <t>AR</t>
  </si>
  <si>
    <t>LOCOMODIN PRIME</t>
  </si>
  <si>
    <t>LMDIN Pm</t>
  </si>
  <si>
    <t>RULETA DE LA SUERTE</t>
  </si>
  <si>
    <t>RDS</t>
  </si>
  <si>
    <t>ARUZE</t>
  </si>
  <si>
    <t>ARU</t>
  </si>
  <si>
    <t>LOVE</t>
  </si>
  <si>
    <t>LV</t>
  </si>
  <si>
    <t>SLOT 66</t>
  </si>
  <si>
    <t>S66</t>
  </si>
  <si>
    <t>ASTRO</t>
  </si>
  <si>
    <t>LUCKY NOTE</t>
  </si>
  <si>
    <t>LN</t>
  </si>
  <si>
    <t>TESORO DEL CARIBE</t>
  </si>
  <si>
    <t>TC</t>
  </si>
  <si>
    <t>ATRONIC</t>
  </si>
  <si>
    <t>MAGIC CELTIC BINGO</t>
  </si>
  <si>
    <t>MAGCELT</t>
  </si>
  <si>
    <t>VIKINGS</t>
  </si>
  <si>
    <t>VK</t>
  </si>
  <si>
    <t>AURIFY</t>
  </si>
  <si>
    <t>AFI</t>
  </si>
  <si>
    <t>MAGIC DRAGON</t>
  </si>
  <si>
    <t>MAGD</t>
  </si>
  <si>
    <t>WILD TRAIN</t>
  </si>
  <si>
    <t>WDT</t>
  </si>
  <si>
    <t>AVANTIME</t>
  </si>
  <si>
    <t>AV</t>
  </si>
  <si>
    <t>MASTER SHOW</t>
  </si>
  <si>
    <t>MSTRSH</t>
  </si>
  <si>
    <t>WILD WEST</t>
  </si>
  <si>
    <t>WT</t>
  </si>
  <si>
    <t>BELATRA (MULTIVISION)</t>
  </si>
  <si>
    <t>BEL</t>
  </si>
  <si>
    <t>MIN LUN LUO GOLDEN DRAGON</t>
  </si>
  <si>
    <t>MLUGD</t>
  </si>
  <si>
    <t>WIN &amp; ROLL</t>
  </si>
  <si>
    <t>WNRLL</t>
  </si>
  <si>
    <t>BETSTONE</t>
  </si>
  <si>
    <t>BTS</t>
  </si>
  <si>
    <t>MR.X</t>
  </si>
  <si>
    <t>MX</t>
  </si>
  <si>
    <t>TOTAL LUDICUS</t>
  </si>
  <si>
    <t>BLU</t>
  </si>
  <si>
    <t>MULTI MANIA</t>
  </si>
  <si>
    <t>MULMA</t>
  </si>
  <si>
    <t>BRAVO GAMES</t>
  </si>
  <si>
    <t>BGAMES</t>
  </si>
  <si>
    <t>MULTI TRIPLE</t>
  </si>
  <si>
    <t>MT</t>
  </si>
  <si>
    <t>MULTIBINGO</t>
  </si>
  <si>
    <t>MUL</t>
  </si>
  <si>
    <t>30 MANIA BONUS</t>
  </si>
  <si>
    <t>30MB</t>
  </si>
  <si>
    <t>CASINO TECHNOLOGY</t>
  </si>
  <si>
    <t>CT</t>
  </si>
  <si>
    <t>MYKONOS BINGO</t>
  </si>
  <si>
    <t>MYK</t>
  </si>
  <si>
    <t>ANCIENT TROPIC</t>
  </si>
  <si>
    <t>ANTRP</t>
  </si>
  <si>
    <t>CELEBRITY</t>
  </si>
  <si>
    <t>CELE</t>
  </si>
  <si>
    <t>NEW MANIA</t>
  </si>
  <si>
    <t>NWM</t>
  </si>
  <si>
    <t>ARTIC BLAST</t>
  </si>
  <si>
    <t>ARTB</t>
  </si>
  <si>
    <t>PRIZE UP</t>
  </si>
  <si>
    <t>CV GAMES</t>
  </si>
  <si>
    <t>CV G</t>
  </si>
  <si>
    <t>NEW TRIPLE</t>
  </si>
  <si>
    <t>NT</t>
  </si>
  <si>
    <t>BASKETBALL BINGO</t>
  </si>
  <si>
    <t>BKTB</t>
  </si>
  <si>
    <t>CYBERVIEW</t>
  </si>
  <si>
    <t>CYB</t>
  </si>
  <si>
    <t>NIGHT BINGO</t>
  </si>
  <si>
    <t>NBNG</t>
  </si>
  <si>
    <t>BINGO BLAST</t>
  </si>
  <si>
    <t>DEGESTEC</t>
  </si>
  <si>
    <t>OASIS BINGO</t>
  </si>
  <si>
    <t>OASIS</t>
  </si>
  <si>
    <t>BINGO BLAST BONUS</t>
  </si>
  <si>
    <t>BIBB</t>
  </si>
  <si>
    <t>DIGIDEAL</t>
  </si>
  <si>
    <t>DGD</t>
  </si>
  <si>
    <t>OK BINGO</t>
  </si>
  <si>
    <t>OB</t>
  </si>
  <si>
    <t>BINGO BLAST PIRATES</t>
  </si>
  <si>
    <t>BIBP</t>
  </si>
  <si>
    <t>RESTO FAM</t>
  </si>
  <si>
    <t>DIXPA GAMES</t>
  </si>
  <si>
    <t>DIXG</t>
  </si>
  <si>
    <t>OLE</t>
  </si>
  <si>
    <t>BINGO PILIPINO</t>
  </si>
  <si>
    <t>BPILI</t>
  </si>
  <si>
    <t>BEETLE BINGO (BDR)</t>
  </si>
  <si>
    <t>E-GAMING (MULTI JUEGOS)</t>
  </si>
  <si>
    <t>E-GAM</t>
  </si>
  <si>
    <t>PANDA SHOW</t>
  </si>
  <si>
    <t>PNDSH</t>
  </si>
  <si>
    <t>BINGO RANCHO</t>
  </si>
  <si>
    <t>BRANCH</t>
  </si>
  <si>
    <t>EIBE SLOTS OTIUM</t>
  </si>
  <si>
    <t>EIBE-SLTOTIUM</t>
  </si>
  <si>
    <t xml:space="preserve">PILIBINGO </t>
  </si>
  <si>
    <t>PB</t>
  </si>
  <si>
    <t>BINGO-GO</t>
  </si>
  <si>
    <t>BGO</t>
  </si>
  <si>
    <t>EIBE SLOTS</t>
  </si>
  <si>
    <t>EIBE-SLT</t>
  </si>
  <si>
    <t>RICO EL TOPO</t>
  </si>
  <si>
    <t>RET</t>
  </si>
  <si>
    <t>BINGOLICIOUS</t>
  </si>
  <si>
    <t>BLIC</t>
  </si>
  <si>
    <t>ENCORE</t>
  </si>
  <si>
    <t>ENCO</t>
  </si>
  <si>
    <t>RIMBA BINGO</t>
  </si>
  <si>
    <t>RIMB</t>
  </si>
  <si>
    <t>CASH CLOCK</t>
  </si>
  <si>
    <t>$CLK</t>
  </si>
  <si>
    <t>RODEO BINGO</t>
  </si>
  <si>
    <t>RODB</t>
  </si>
  <si>
    <t>CATCH THE GOLD</t>
  </si>
  <si>
    <t>CATG</t>
  </si>
  <si>
    <t>EVERI</t>
  </si>
  <si>
    <t>EVER</t>
  </si>
  <si>
    <t>ROMA BINGO</t>
  </si>
  <si>
    <t>ROMB</t>
  </si>
  <si>
    <t>CHAMPION BINGO</t>
  </si>
  <si>
    <t>CHBIN</t>
  </si>
  <si>
    <t>FBM RODILLOS</t>
  </si>
  <si>
    <t>FBMRO</t>
  </si>
  <si>
    <t>ROYAL TRIPLE</t>
  </si>
  <si>
    <t>RT</t>
  </si>
  <si>
    <t>CHICHEN ITZA</t>
  </si>
  <si>
    <t>CHIT</t>
  </si>
  <si>
    <t>GAME MEDIA WORKS</t>
  </si>
  <si>
    <t>GMW</t>
  </si>
  <si>
    <t>SIX BINGO</t>
  </si>
  <si>
    <t>SIXB</t>
  </si>
  <si>
    <t>EASY MONEY BINGO</t>
  </si>
  <si>
    <t>EMB</t>
  </si>
  <si>
    <t>GAMES UNLIMITED</t>
  </si>
  <si>
    <t>GU</t>
  </si>
  <si>
    <t>SKY BONUS</t>
  </si>
  <si>
    <t>SKB</t>
  </si>
  <si>
    <t>GOLD FEVER</t>
  </si>
  <si>
    <t>GLDF</t>
  </si>
  <si>
    <t>GAMINATOR</t>
  </si>
  <si>
    <t>GTOR</t>
  </si>
  <si>
    <t>SMASH BINGO</t>
  </si>
  <si>
    <t>SMB</t>
  </si>
  <si>
    <t>GOLDEN BALL</t>
  </si>
  <si>
    <t>GBALL</t>
  </si>
  <si>
    <t>GOLDEN GAMING</t>
  </si>
  <si>
    <t>GGAM</t>
  </si>
  <si>
    <t>TAJ BINGO</t>
  </si>
  <si>
    <t>TAJ</t>
  </si>
  <si>
    <t>GOLDEN CITY</t>
  </si>
  <si>
    <t>GCT</t>
  </si>
  <si>
    <t>GOLDEN SYSTEM</t>
  </si>
  <si>
    <t>GSYM</t>
  </si>
  <si>
    <t>TOP PREMIUM</t>
  </si>
  <si>
    <t>TOP</t>
  </si>
  <si>
    <t>GOLDEN LUCK</t>
  </si>
  <si>
    <t>GLK</t>
  </si>
  <si>
    <t>GT SOURCE</t>
  </si>
  <si>
    <t>GTS</t>
  </si>
  <si>
    <t>TOWER LINK</t>
  </si>
  <si>
    <t>TLINK</t>
  </si>
  <si>
    <t>GOLDEN METROPOLIS</t>
  </si>
  <si>
    <t>GMET</t>
  </si>
  <si>
    <t>HEAL TECNOLOGY</t>
  </si>
  <si>
    <t>HTEC</t>
  </si>
  <si>
    <t>TRIPLE BONUS</t>
  </si>
  <si>
    <t>GOLDEN NEW YEAR</t>
  </si>
  <si>
    <t>GNWY</t>
  </si>
  <si>
    <t>ID GAMMING</t>
  </si>
  <si>
    <t>IDG</t>
  </si>
  <si>
    <t>TRIPLE BONUS PLUS</t>
  </si>
  <si>
    <t>TBP</t>
  </si>
  <si>
    <t>HUNT BINGO</t>
  </si>
  <si>
    <t>HB</t>
  </si>
  <si>
    <t>TRIPLE BONUS PRIME</t>
  </si>
  <si>
    <t>TBPm</t>
  </si>
  <si>
    <t>ICE BLAST</t>
  </si>
  <si>
    <t>ICEB</t>
  </si>
  <si>
    <t>INCREDIBLE TECHNOLOGIES</t>
  </si>
  <si>
    <t>INCTECH</t>
  </si>
  <si>
    <t>TRIPLE EVOLUTION</t>
  </si>
  <si>
    <t>TE</t>
  </si>
  <si>
    <t>KINGDOM GEMS</t>
  </si>
  <si>
    <t>KGEMS</t>
  </si>
  <si>
    <t>INTERACTIVE</t>
  </si>
  <si>
    <t>INTER</t>
  </si>
  <si>
    <t>TRIPLE MANIA</t>
  </si>
  <si>
    <t>TM</t>
  </si>
  <si>
    <t>MAGIC CHAMPION</t>
  </si>
  <si>
    <t>INTERBLOCK</t>
  </si>
  <si>
    <t>INTB</t>
  </si>
  <si>
    <t>TRIPLE MANIA BONUS</t>
  </si>
  <si>
    <t>TMB</t>
  </si>
  <si>
    <t>MAGIC MANIA</t>
  </si>
  <si>
    <t>MAGM</t>
  </si>
  <si>
    <t>INTERVISION</t>
  </si>
  <si>
    <t>INTV</t>
  </si>
  <si>
    <t>TRIPLE MANIA BONUS PLUS</t>
  </si>
  <si>
    <t>TMBP</t>
  </si>
  <si>
    <t>MALL MANIA</t>
  </si>
  <si>
    <t>MALLM</t>
  </si>
  <si>
    <t>ENERGY LINK</t>
  </si>
  <si>
    <t>JAMES</t>
  </si>
  <si>
    <t>JMES</t>
  </si>
  <si>
    <t>TRIPLE MANIA BONUS PRIME</t>
  </si>
  <si>
    <t>TMBPm</t>
  </si>
  <si>
    <t>MASSKARA BINGO</t>
  </si>
  <si>
    <t>MSKB</t>
  </si>
  <si>
    <t>JESTRE</t>
  </si>
  <si>
    <t>JES</t>
  </si>
  <si>
    <t>TRIPLE TURBO</t>
  </si>
  <si>
    <t>TT</t>
  </si>
  <si>
    <t>MAYA</t>
  </si>
  <si>
    <t>MY</t>
  </si>
  <si>
    <t>JVL</t>
  </si>
  <si>
    <t>VIKINGS GOLD</t>
  </si>
  <si>
    <t>VKG</t>
  </si>
  <si>
    <t>MEDIEVAL BINGO</t>
  </si>
  <si>
    <t>MDVB</t>
  </si>
  <si>
    <t>KONAMI</t>
  </si>
  <si>
    <t>WHITE TIGER BINGO</t>
  </si>
  <si>
    <t>WTB</t>
  </si>
  <si>
    <t>MEGA 25</t>
  </si>
  <si>
    <t>MG25</t>
  </si>
  <si>
    <t>LEGENDARY GAMING/BAUM GAMES</t>
  </si>
  <si>
    <t>BAUM</t>
  </si>
  <si>
    <t>TOTAL EIBE</t>
  </si>
  <si>
    <t>MEGA CHAMPION</t>
  </si>
  <si>
    <t>MCHAM</t>
  </si>
  <si>
    <t>TOTAL ENERGY LINK</t>
  </si>
  <si>
    <t>MERKUR</t>
  </si>
  <si>
    <t>TOTAL MUEBLE O-FUTURE</t>
  </si>
  <si>
    <t>O-FUT</t>
  </si>
  <si>
    <t>MULTI BINGO</t>
  </si>
  <si>
    <t>MB</t>
  </si>
  <si>
    <t>MULTI MEDIA GAMES</t>
  </si>
  <si>
    <t>MMG</t>
  </si>
  <si>
    <t>MULTI CHAMPION BONUS</t>
  </si>
  <si>
    <t>MCHB</t>
  </si>
  <si>
    <t>NOVOMATIC</t>
  </si>
  <si>
    <t>MULTI CHANCE</t>
  </si>
  <si>
    <t>ENERGY LINK 3x5</t>
  </si>
  <si>
    <t>OPERADORA CLASS LK</t>
  </si>
  <si>
    <t>CLASSLK</t>
  </si>
  <si>
    <t>20 GRATIS</t>
  </si>
  <si>
    <t>20G</t>
  </si>
  <si>
    <t>MULTI MEGA</t>
  </si>
  <si>
    <t>ORION</t>
  </si>
  <si>
    <t>ORI</t>
  </si>
  <si>
    <t>ASTRAL</t>
  </si>
  <si>
    <t>ASTRA</t>
  </si>
  <si>
    <t>MULTI MEGA BONUS</t>
  </si>
  <si>
    <t>MMB</t>
  </si>
  <si>
    <t>PAULA</t>
  </si>
  <si>
    <t>PAU</t>
  </si>
  <si>
    <t>AVE CAESAR GRATIS</t>
  </si>
  <si>
    <t>ACG</t>
  </si>
  <si>
    <t>MULTI MEGA ICE BLAST</t>
  </si>
  <si>
    <t>MMIB</t>
  </si>
  <si>
    <t>PRIOR 2 ARRIVAL</t>
  </si>
  <si>
    <t>P2A</t>
  </si>
  <si>
    <t>BINGO IMPERIUM XII</t>
  </si>
  <si>
    <t>IMP XII</t>
  </si>
  <si>
    <t>MULTI MEGA MILLONAIRE</t>
  </si>
  <si>
    <t>MMBM</t>
  </si>
  <si>
    <t>TOTAL ENERGY LINK 3x5</t>
  </si>
  <si>
    <t>PROMATIC</t>
  </si>
  <si>
    <t>PMAT</t>
  </si>
  <si>
    <t>BINGO TOP GRATIS</t>
  </si>
  <si>
    <t>BNTG</t>
  </si>
  <si>
    <t>MULTI PLUS</t>
  </si>
  <si>
    <t>RCT</t>
  </si>
  <si>
    <t>BOMBA MULTI GAME</t>
  </si>
  <si>
    <t>BMG</t>
  </si>
  <si>
    <t>MULTI PLUS BONUS</t>
  </si>
  <si>
    <t>MPB</t>
  </si>
  <si>
    <t>SB</t>
  </si>
  <si>
    <t>DOBLE GRATIS</t>
  </si>
  <si>
    <t>DMG</t>
  </si>
  <si>
    <t>PLUS 3</t>
  </si>
  <si>
    <t>ENERGY KING 3x4</t>
  </si>
  <si>
    <t>LIGHT &amp; WONDER</t>
  </si>
  <si>
    <t>DOBLE MANIA</t>
  </si>
  <si>
    <t>DM</t>
  </si>
  <si>
    <t>PLUS 3 BONUS</t>
  </si>
  <si>
    <t>P3B</t>
  </si>
  <si>
    <t>SCORPIO GAMING INTERNATIONAL</t>
  </si>
  <si>
    <t>SGINT</t>
  </si>
  <si>
    <t>FUSION LINK</t>
  </si>
  <si>
    <t>FLINK</t>
  </si>
  <si>
    <t>PLUS 3 MULTI</t>
  </si>
  <si>
    <t>P3M</t>
  </si>
  <si>
    <t>SEGA SAMMY CREATION</t>
  </si>
  <si>
    <t>SAMMY</t>
  </si>
  <si>
    <t>IMPERIUM</t>
  </si>
  <si>
    <t>RACINGO</t>
  </si>
  <si>
    <t>RACNG</t>
  </si>
  <si>
    <t>SHOWBALL RODILLOS</t>
  </si>
  <si>
    <t>SHOWRO</t>
  </si>
  <si>
    <t>IMPERIUM GRATIS</t>
  </si>
  <si>
    <t>IMG</t>
  </si>
  <si>
    <t>ROCK STAR</t>
  </si>
  <si>
    <t>RKS</t>
  </si>
  <si>
    <t>SLEIC RODILLOS</t>
  </si>
  <si>
    <t>SLERO</t>
  </si>
  <si>
    <t>JOKER MEX</t>
  </si>
  <si>
    <t>JKM</t>
  </si>
  <si>
    <t>RUBINGO</t>
  </si>
  <si>
    <t>RBGO</t>
  </si>
  <si>
    <t xml:space="preserve">TOTAL ENERGY KING
</t>
  </si>
  <si>
    <t>SPIELO</t>
  </si>
  <si>
    <t>SPLO</t>
  </si>
  <si>
    <t>JOKER WIN</t>
  </si>
  <si>
    <t>JKW</t>
  </si>
  <si>
    <t>SANDS OF FORTUNE</t>
  </si>
  <si>
    <t>SOFE</t>
  </si>
  <si>
    <t>TECNOVISION</t>
  </si>
  <si>
    <t>TCNO</t>
  </si>
  <si>
    <t>L´AMOR</t>
  </si>
  <si>
    <t>L´A</t>
  </si>
  <si>
    <t>THE KING</t>
  </si>
  <si>
    <t>KNG</t>
  </si>
  <si>
    <t>VEGAVISION</t>
  </si>
  <si>
    <t>VEGA</t>
  </si>
  <si>
    <t>LA VIDENTE</t>
  </si>
  <si>
    <t>LAV</t>
  </si>
  <si>
    <t>TREASURE BINGO</t>
  </si>
  <si>
    <t>TRB</t>
  </si>
  <si>
    <t>ENERGY KING 3x5</t>
  </si>
  <si>
    <t>VGT</t>
  </si>
  <si>
    <t>LAST MANIA</t>
  </si>
  <si>
    <t>LM</t>
  </si>
  <si>
    <t>UNDERWATER RICHES</t>
  </si>
  <si>
    <t>UNDW</t>
  </si>
  <si>
    <t>WINPOT / DREIDEL SL</t>
  </si>
  <si>
    <t>LONDON PLAY</t>
  </si>
  <si>
    <t>LONP</t>
  </si>
  <si>
    <t>VIVA MEXICO</t>
  </si>
  <si>
    <t>VM</t>
  </si>
  <si>
    <t>WIN SYSTEM</t>
  </si>
  <si>
    <t>WS</t>
  </si>
  <si>
    <t>MEPHISTOFELES</t>
  </si>
  <si>
    <t>MEPH</t>
  </si>
  <si>
    <t>VOLCANO</t>
  </si>
  <si>
    <t>VOLC</t>
  </si>
  <si>
    <t>OTROS SLOTS</t>
  </si>
  <si>
    <t>OTROS SL</t>
  </si>
  <si>
    <t>MEXICAN GAME</t>
  </si>
  <si>
    <t>MEXG</t>
  </si>
  <si>
    <t>TOTAL FBM</t>
  </si>
  <si>
    <t>TOTAL ENERGY KING 3x5</t>
  </si>
  <si>
    <t>MILLION +</t>
  </si>
  <si>
    <t>ML</t>
  </si>
  <si>
    <t>MULTI CHOICE</t>
  </si>
  <si>
    <t>MULTICH</t>
  </si>
  <si>
    <t>MULTI CLASSIC</t>
  </si>
  <si>
    <t>MCLS</t>
  </si>
  <si>
    <t>30 FUNNY CARS</t>
  </si>
  <si>
    <t>30FCRS</t>
  </si>
  <si>
    <t>TOTAL NO FUMAR</t>
  </si>
  <si>
    <t>PRIMA</t>
  </si>
  <si>
    <t>PRI</t>
  </si>
  <si>
    <t>ATLANTIS BINGO</t>
  </si>
  <si>
    <t>AB</t>
  </si>
  <si>
    <t>QUEEN ROULETTE</t>
  </si>
  <si>
    <t>QR</t>
  </si>
  <si>
    <t>BEACH FIESTA BINGO</t>
  </si>
  <si>
    <t>BCHF</t>
  </si>
  <si>
    <t>TNT</t>
  </si>
  <si>
    <t>BINGO BANG THEORY</t>
  </si>
  <si>
    <t>BBT</t>
  </si>
  <si>
    <t>TOP MANIA</t>
  </si>
  <si>
    <t>TOM</t>
  </si>
  <si>
    <t>BING BUZO</t>
  </si>
  <si>
    <t>BBUZO</t>
  </si>
  <si>
    <t>TABLA DE SIGNS BINGO</t>
  </si>
  <si>
    <t>TOT IMPERIUM</t>
  </si>
  <si>
    <t>TOTI</t>
  </si>
  <si>
    <t>BINGO DE LOS CIELOS</t>
  </si>
  <si>
    <t>BCIELOS</t>
  </si>
  <si>
    <t>XII CAESARES</t>
  </si>
  <si>
    <t>XII</t>
  </si>
  <si>
    <t>BINGO SAURUS</t>
  </si>
  <si>
    <t>BS</t>
  </si>
  <si>
    <t>TRIPLE X BOOM</t>
  </si>
  <si>
    <t>XXX B</t>
  </si>
  <si>
    <t>BINVADERS</t>
  </si>
  <si>
    <t>BINV</t>
  </si>
  <si>
    <t>TOTAL SIGNS SALA</t>
  </si>
  <si>
    <t>TOTAL METRONIA</t>
  </si>
  <si>
    <t>COPA CABANA</t>
  </si>
  <si>
    <t>COPC</t>
  </si>
  <si>
    <t>DIAMOND JACK</t>
  </si>
  <si>
    <t>DJ</t>
  </si>
  <si>
    <t xml:space="preserve">TOTAL FUMAR </t>
  </si>
  <si>
    <t>DOCTOR BINGO PLUS</t>
  </si>
  <si>
    <t>DBP</t>
  </si>
  <si>
    <t>DOUBLE SPEED</t>
  </si>
  <si>
    <t>DSPEED</t>
  </si>
  <si>
    <t>FRAMELESS</t>
  </si>
  <si>
    <t>CRAZY CACTUS BINGO</t>
  </si>
  <si>
    <t>CCB</t>
  </si>
  <si>
    <t>EL PESERO</t>
  </si>
  <si>
    <t>PESE</t>
  </si>
  <si>
    <t>DRAGON WIN 1 CARA</t>
  </si>
  <si>
    <t>SIGN DW-1</t>
  </si>
  <si>
    <t>DYNAMITE BINGO</t>
  </si>
  <si>
    <t>DYB</t>
  </si>
  <si>
    <t>FUNNY CARS</t>
  </si>
  <si>
    <t>FCRS</t>
  </si>
  <si>
    <t>ENERGY KING 1 CARA</t>
  </si>
  <si>
    <t>SIGN EK-1</t>
  </si>
  <si>
    <t>TOTAL JESTRONIC</t>
  </si>
  <si>
    <t>FUNNY CARS CLASSIC</t>
  </si>
  <si>
    <t>FCRC</t>
  </si>
  <si>
    <t>ENERGY LINK 1 CARA</t>
  </si>
  <si>
    <t>SIGN EL-1</t>
  </si>
  <si>
    <t>GRAN NATIONAL 20</t>
  </si>
  <si>
    <t>G20</t>
  </si>
  <si>
    <t>DRAGON WIN 2 CARAS</t>
  </si>
  <si>
    <t>SIGN DW-2</t>
  </si>
  <si>
    <t>GRAND NATIONAL</t>
  </si>
  <si>
    <t>GN</t>
  </si>
  <si>
    <t>ENERGY KING 2 CARAS</t>
  </si>
  <si>
    <t>SIGN EK-2</t>
  </si>
  <si>
    <t>R.FRANCO</t>
  </si>
  <si>
    <t>IMPERIAL BINGO</t>
  </si>
  <si>
    <t>IMB</t>
  </si>
  <si>
    <t>ENERGY LINK 2 CARAS</t>
  </si>
  <si>
    <t>SIGN EL-2</t>
  </si>
  <si>
    <t xml:space="preserve"> BINGO CARAMEL</t>
  </si>
  <si>
    <t>BC</t>
  </si>
  <si>
    <t>IMPERIAL PALACE</t>
  </si>
  <si>
    <t>IMP</t>
  </si>
  <si>
    <t>10 VECES BINGO</t>
  </si>
  <si>
    <t>10VB</t>
  </si>
  <si>
    <t>JOCKEY MANIA</t>
  </si>
  <si>
    <t>JOKCM</t>
  </si>
  <si>
    <t>BINGO LINK</t>
  </si>
  <si>
    <t>5 DIAMANTES</t>
  </si>
  <si>
    <t>5D</t>
  </si>
  <si>
    <t>LA MINA DE LA SUERTE 20</t>
  </si>
  <si>
    <t>MS20</t>
  </si>
  <si>
    <t>SIGN BLDW-1</t>
  </si>
  <si>
    <t>BON VOYAGE</t>
  </si>
  <si>
    <t>BV</t>
  </si>
  <si>
    <t>MAGIC 60</t>
  </si>
  <si>
    <t>MGC60</t>
  </si>
  <si>
    <t>SIGN BLEK-1</t>
  </si>
  <si>
    <t>CONECTA BINGO</t>
  </si>
  <si>
    <t>CB</t>
  </si>
  <si>
    <t>MULTI DRAGON</t>
  </si>
  <si>
    <t>MDRA</t>
  </si>
  <si>
    <t>SIGN BLEL-1</t>
  </si>
  <si>
    <t>CONFIDENTIAL</t>
  </si>
  <si>
    <t>CF</t>
  </si>
  <si>
    <t>MULTI JUEGO</t>
  </si>
  <si>
    <t>MULTJ</t>
  </si>
  <si>
    <t>SHOW TIME 1 CARA</t>
  </si>
  <si>
    <t>SIGN BLSWT-1</t>
  </si>
  <si>
    <t>RICH BINGO</t>
  </si>
  <si>
    <t>RCHB</t>
  </si>
  <si>
    <t>ORIGINAL BINGO</t>
  </si>
  <si>
    <t>OBGO</t>
  </si>
  <si>
    <t>TOTAL R.FRANCO</t>
  </si>
  <si>
    <t>ORIGINAL BINGO JAZZ</t>
  </si>
  <si>
    <t>OBGOJAZZ</t>
  </si>
  <si>
    <t>ENERGY KING / ENERGY LINK 2 CARAS</t>
  </si>
  <si>
    <t>SIGN BLEK/BLEL-2</t>
  </si>
  <si>
    <t>PLUS MANIA</t>
  </si>
  <si>
    <t>PMANIA</t>
  </si>
  <si>
    <t>SIGN BLEK-2</t>
  </si>
  <si>
    <t>MAGIC CHINA</t>
  </si>
  <si>
    <t>MCHINA</t>
  </si>
  <si>
    <t>SIGN BLEL-2</t>
  </si>
  <si>
    <t>RA MANIA</t>
  </si>
  <si>
    <t>SHOW TIME 2 CARAS</t>
  </si>
  <si>
    <t>SIGN BLSWT-2</t>
  </si>
  <si>
    <t>CANDY PRIZE</t>
  </si>
  <si>
    <t>CNYPRZ</t>
  </si>
  <si>
    <t>SAFARI RACE</t>
  </si>
  <si>
    <t>SR</t>
  </si>
  <si>
    <t>DRAGON WIN / LINK ME 2 CARAS</t>
  </si>
  <si>
    <t>SIGN BLDW/LM-2</t>
  </si>
  <si>
    <t>DREIDEL</t>
  </si>
  <si>
    <t>SATURN 8</t>
  </si>
  <si>
    <t>S8</t>
  </si>
  <si>
    <t>DRAGON WIN/ ENERGY KING 2 CARAS</t>
  </si>
  <si>
    <t>SIGN BLDW/EK-2</t>
  </si>
  <si>
    <t>FIRE AND ICE</t>
  </si>
  <si>
    <t>FANDI</t>
  </si>
  <si>
    <t>SPIN GOAL</t>
  </si>
  <si>
    <t>SPGOAL</t>
  </si>
  <si>
    <t>DRAGON WIN/ ENERGY LINK 2 CARAS</t>
  </si>
  <si>
    <t>SIGN BLDW/EL-2</t>
  </si>
  <si>
    <t>FIRE LINK</t>
  </si>
  <si>
    <t>FRELK</t>
  </si>
  <si>
    <t>STORM LINK</t>
  </si>
  <si>
    <t>STRLINK</t>
  </si>
  <si>
    <t>DRAGON WIN / SHOW TIME FASE 5  2 CARAS</t>
  </si>
  <si>
    <t>SIGN BLDW/STF5-2</t>
  </si>
  <si>
    <t>FREDDY WHEEL BINGO</t>
  </si>
  <si>
    <t>FREDWBINGO</t>
  </si>
  <si>
    <t>SWEET BINGO</t>
  </si>
  <si>
    <t>SWEETB</t>
  </si>
  <si>
    <t>JA PON PON</t>
  </si>
  <si>
    <t>JPON</t>
  </si>
  <si>
    <t>SWITCH LINK</t>
  </si>
  <si>
    <t>STLINK</t>
  </si>
  <si>
    <t>LUCKY DRAGON</t>
  </si>
  <si>
    <t>LKYDRGN</t>
  </si>
  <si>
    <t>TIME 4 BONUS</t>
  </si>
  <si>
    <t>T4B</t>
  </si>
  <si>
    <t>SIGN BPDW-1</t>
  </si>
  <si>
    <t>LUCKY WIZARD</t>
  </si>
  <si>
    <t>LKYWRD</t>
  </si>
  <si>
    <t>WONDER BINGO</t>
  </si>
  <si>
    <t>WBING</t>
  </si>
  <si>
    <t>SIGN BPEK-1</t>
  </si>
  <si>
    <t>MARDI JAZZ</t>
  </si>
  <si>
    <t>MARDIJ</t>
  </si>
  <si>
    <t>YETI (ICE CREAM)</t>
  </si>
  <si>
    <t>YETI</t>
  </si>
  <si>
    <t>SIGN BPEL-1</t>
  </si>
  <si>
    <t>SEA FORTUNES</t>
  </si>
  <si>
    <t>SEAFORT</t>
  </si>
  <si>
    <t>TOTAL SLEIC</t>
  </si>
  <si>
    <t>SIGN BPDW-2</t>
  </si>
  <si>
    <t>THE 7 KINGDOMS</t>
  </si>
  <si>
    <t>7KDOMS</t>
  </si>
  <si>
    <t>SIGN BPEK-2</t>
  </si>
  <si>
    <t>TINO</t>
  </si>
  <si>
    <t>SIGN BPEL-2</t>
  </si>
  <si>
    <t>TINO 60s</t>
  </si>
  <si>
    <t>TINO60s</t>
  </si>
  <si>
    <t xml:space="preserve">PACHINKO </t>
  </si>
  <si>
    <t>PKI</t>
  </si>
  <si>
    <t>TINO CHINA</t>
  </si>
  <si>
    <t>PACHINKO II</t>
  </si>
  <si>
    <t>PKII</t>
  </si>
  <si>
    <t>ZITRO</t>
  </si>
  <si>
    <t>WEST WEST BINGO</t>
  </si>
  <si>
    <t>WWBINGO</t>
  </si>
  <si>
    <t>TOTAL PACHINKO</t>
  </si>
  <si>
    <t>SIGN ZITRODW-1</t>
  </si>
  <si>
    <t>WINNING RAINBOWS</t>
  </si>
  <si>
    <t>WRBWS</t>
  </si>
  <si>
    <t>SIGN ZITRODW-2</t>
  </si>
  <si>
    <t>TOTAL WINPOT</t>
  </si>
  <si>
    <t>BINGO BINGO</t>
  </si>
  <si>
    <t>BINB</t>
  </si>
  <si>
    <t>ONIX</t>
  </si>
  <si>
    <t>BINGO DE LA PASION</t>
  </si>
  <si>
    <t>BPS</t>
  </si>
  <si>
    <t>SIGN ONIXDW-1</t>
  </si>
  <si>
    <t>JUKEBOX BINGO</t>
  </si>
  <si>
    <t>JBB</t>
  </si>
  <si>
    <t>SIGN ONIXDW-2</t>
  </si>
  <si>
    <t>SALSA BINGO</t>
  </si>
  <si>
    <t>SBO</t>
  </si>
  <si>
    <t>SUPER BET BINGO</t>
  </si>
  <si>
    <t>SBB</t>
  </si>
  <si>
    <t>ZOMBIE BINGO</t>
  </si>
  <si>
    <t>ZB</t>
  </si>
  <si>
    <t>TOTAL SABIA</t>
  </si>
  <si>
    <t>FLEX GAME</t>
  </si>
  <si>
    <t>FLXG</t>
  </si>
  <si>
    <t>HOT BINGO</t>
  </si>
  <si>
    <t>HBIN</t>
  </si>
  <si>
    <t>PARK BINGO</t>
  </si>
  <si>
    <t>PKB</t>
  </si>
  <si>
    <t>BLUEBERI</t>
  </si>
  <si>
    <t>STEEL BINGO</t>
  </si>
  <si>
    <t>STLB</t>
  </si>
  <si>
    <t>TOTAL BLUBERI</t>
  </si>
  <si>
    <t>SUPER BOLA</t>
  </si>
  <si>
    <t>SUPB</t>
  </si>
  <si>
    <t>TOTAL RCT</t>
  </si>
  <si>
    <t>TOTAL SHOWBALL</t>
  </si>
  <si>
    <t>DOUBLIN BINGO</t>
  </si>
  <si>
    <t>DOUBB</t>
  </si>
  <si>
    <t>TOUCH THE GOLD BINGO</t>
  </si>
  <si>
    <t>TTGB</t>
  </si>
  <si>
    <t>TOTAL LATINA WORLD GAMING</t>
  </si>
  <si>
    <t>VIVA</t>
  </si>
  <si>
    <t>TOTAL INTERVISION</t>
  </si>
  <si>
    <t>JALAPEÑO</t>
  </si>
  <si>
    <t>JPÑO</t>
  </si>
  <si>
    <t>BINGO BRAVO</t>
  </si>
  <si>
    <t>BBRAVO</t>
  </si>
  <si>
    <t>AEROBINGO</t>
  </si>
  <si>
    <t>AEROB</t>
  </si>
  <si>
    <t>PIRATES</t>
  </si>
  <si>
    <t>PIR</t>
  </si>
  <si>
    <t>TOTAL JCB GAMING</t>
  </si>
  <si>
    <t>LUCHA LIBRE</t>
  </si>
  <si>
    <t>LLIBRE</t>
  </si>
  <si>
    <t>SONORA DESERT</t>
  </si>
  <si>
    <t>SDESERT</t>
  </si>
  <si>
    <t>TESORO DEL ARTICO</t>
  </si>
  <si>
    <t>TARTICO</t>
  </si>
  <si>
    <t>MAXCOTA</t>
  </si>
  <si>
    <t>MXTA</t>
  </si>
  <si>
    <t>TROPICANA</t>
  </si>
  <si>
    <t>TROPIC</t>
  </si>
  <si>
    <t>MONSTER</t>
  </si>
  <si>
    <t>MNST</t>
  </si>
  <si>
    <t>POKER REVOLUTION</t>
  </si>
  <si>
    <t>PKREV</t>
  </si>
  <si>
    <t>ROYAL BINGO</t>
  </si>
  <si>
    <t>RYBG</t>
  </si>
  <si>
    <t>BLACK JACK</t>
  </si>
  <si>
    <t>BJ</t>
  </si>
  <si>
    <t>TROPI CALIENTE</t>
  </si>
  <si>
    <t>TRPC</t>
  </si>
  <si>
    <t>KENO</t>
  </si>
  <si>
    <t>KNO</t>
  </si>
  <si>
    <t>TOTAL AMBRA GAMING</t>
  </si>
  <si>
    <t>TOTAL DEGESTEC</t>
  </si>
  <si>
    <t>FIESTA DE FUEGO</t>
  </si>
  <si>
    <t>FFUEGO</t>
  </si>
  <si>
    <t>TOTAL KONAMI BINGO</t>
  </si>
  <si>
    <t>LIMITAZO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</si>
</sst>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2" formatCode="_-&quot;$&quot;* #,##0_-;\-&quot;$&quot;* #,##0_-;_-&quot;$&quot;* &quot;-&quot;_-;_-@_-"/>
    <numFmt numFmtId="44" formatCode="_-&quot;$&quot;* #,##0.00_-;\-&quot;$&quot;* #,##0.00_-;_-&quot;$&quot;* &quot;-&quot;??_-;_-@_-"/>
    <numFmt numFmtId="43" formatCode="_-* #,##0.00_-;\-* #,##0.00_-;_-* &quot;-&quot;??_-;_-@_-"/>
    <numFmt numFmtId="164" formatCode="_-* #,##0.00\ _€_-;\-* #,##0.00\ _€_-;_-* &quot;-&quot;??\ _€_-;_-@_-"/>
    <numFmt numFmtId="165" formatCode="_(&quot;$&quot;* #,##0_);_(&quot;$&quot;* \(#,##0\);_(&quot;$&quot;* &quot;-&quot;_);_(@_)"/>
    <numFmt numFmtId="166" formatCode="_(&quot;$&quot;* #,##0.00_);_(&quot;$&quot;* \(#,##0.00\);_(&quot;$&quot;* &quot;-&quot;??_);_(@_)"/>
    <numFmt numFmtId="167" formatCode="_(* #,##0.00_);_(* \(#,##0.00\);_(* &quot;-&quot;??_);_(@_)"/>
    <numFmt numFmtId="168" formatCode="_(\$* #,##0_);_(\$* \(#,##0\);_(\$* &quot;-&quot;_);_(@_)"/>
    <numFmt numFmtId="169" formatCode="_-&quot;€&quot;* #,##0.00_-;\-&quot;€&quot;* #,##0.00_-;_-&quot;€&quot;* &quot;-&quot;??_-;_-@_-"/>
    <numFmt numFmtId="170" formatCode="_-* #,##0\ _€_-;\-* #,##0\ _€_-;_-* &quot;-&quot;\ _€_-;_-@_-"/>
    <numFmt numFmtId="171" formatCode="h:mm;@"/>
    <numFmt numFmtId="172" formatCode="_(* #,##0_);_(* \(#,##0\);_(* &quot;-&quot;_);_(@_)"/>
    <numFmt numFmtId="173" formatCode="0000000"/>
  </numFmts>
  <fonts count="185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11"/>
      <name val="Arial"/>
      <family val="2"/>
    </font>
    <font>
      <sz val="10"/>
      <color indexed="8"/>
      <name val="ARIAL"/>
      <family val="2"/>
      <charset val="1"/>
    </font>
    <font>
      <sz val="10"/>
      <color indexed="8"/>
      <name val="Arial"/>
      <family val="2"/>
    </font>
    <font>
      <u/>
      <sz val="7"/>
      <color indexed="12"/>
      <name val="Tahoma"/>
      <family val="2"/>
    </font>
    <font>
      <b/>
      <sz val="10"/>
      <name val="Arial"/>
      <family val="2"/>
    </font>
    <font>
      <b/>
      <sz val="10"/>
      <name val="Tahoma"/>
      <family val="2"/>
    </font>
    <font>
      <sz val="10"/>
      <name val="Helv"/>
      <family val="2"/>
    </font>
    <font>
      <sz val="11"/>
      <name val="Calibri"/>
      <family val="2"/>
    </font>
    <font>
      <sz val="10"/>
      <name val="Tahoma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000000"/>
      <name val="Calibri"/>
      <family val="2"/>
    </font>
    <font>
      <sz val="10"/>
      <color rgb="FF000000"/>
      <name val="Arial"/>
      <family val="2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4"/>
      <color rgb="FFFFFFFF"/>
      <name val="Arial"/>
      <family val="2"/>
    </font>
    <font>
      <b/>
      <sz val="14"/>
      <color rgb="FF222222"/>
      <name val="Arial"/>
      <family val="2"/>
    </font>
    <font>
      <b/>
      <sz val="14"/>
      <color rgb="FF000000"/>
      <name val="Arial"/>
      <family val="2"/>
    </font>
    <font>
      <b/>
      <sz val="14"/>
      <color rgb="FF9E0400"/>
      <name val="Arial"/>
      <family val="2"/>
    </font>
    <font>
      <b/>
      <sz val="14"/>
      <color rgb="FF333F4F"/>
      <name val="Arial"/>
      <family val="2"/>
    </font>
    <font>
      <b/>
      <sz val="14"/>
      <color rgb="FF0070C0"/>
      <name val="Arial"/>
      <family val="2"/>
    </font>
    <font>
      <b/>
      <sz val="14"/>
      <color rgb="FF92D050"/>
      <name val="Arial"/>
      <family val="2"/>
    </font>
    <font>
      <b/>
      <sz val="14"/>
      <color theme="3" tint="-0.499984740745262"/>
      <name val="Arial"/>
      <family val="2"/>
    </font>
    <font>
      <b/>
      <sz val="14"/>
      <color rgb="FFFFC000"/>
      <name val="Arial"/>
      <family val="2"/>
    </font>
    <font>
      <b/>
      <sz val="14"/>
      <color rgb="FF222B35"/>
      <name val="Arial"/>
      <family val="2"/>
    </font>
    <font>
      <b/>
      <sz val="14"/>
      <color rgb="FFFF0000"/>
      <name val="Arial"/>
      <family val="2"/>
    </font>
    <font>
      <b/>
      <sz val="14"/>
      <color rgb="FF806000"/>
      <name val="Arial"/>
      <family val="2"/>
    </font>
    <font>
      <b/>
      <sz val="14"/>
      <color theme="5"/>
      <name val="Arial"/>
      <family val="2"/>
    </font>
    <font>
      <b/>
      <sz val="14"/>
      <color rgb="FFFFFF00"/>
      <name val="Arial"/>
      <family val="2"/>
    </font>
    <font>
      <b/>
      <sz val="14"/>
      <name val="Arial"/>
      <family val="2"/>
    </font>
    <font>
      <b/>
      <sz val="14"/>
      <color theme="0"/>
      <name val="Arial"/>
      <family val="2"/>
    </font>
    <font>
      <b/>
      <sz val="18"/>
      <color rgb="FFFF0000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0"/>
      <color rgb="FF000000"/>
      <name val="Arial"/>
      <family val="2"/>
    </font>
    <font>
      <b/>
      <sz val="10"/>
      <color rgb="FFFF0000"/>
      <name val="Arial"/>
      <family val="2"/>
    </font>
    <font>
      <b/>
      <sz val="10"/>
      <color theme="1"/>
      <name val="Arial"/>
      <family val="2"/>
    </font>
    <font>
      <b/>
      <sz val="14"/>
      <color rgb="FFC00000"/>
      <name val="Arial"/>
      <family val="2"/>
    </font>
    <font>
      <sz val="10"/>
      <color theme="1"/>
      <name val="Arial"/>
      <family val="2"/>
    </font>
    <font>
      <b/>
      <sz val="11"/>
      <color rgb="FF000000"/>
      <name val="Calibri"/>
      <family val="2"/>
    </font>
    <font>
      <b/>
      <sz val="14"/>
      <color theme="1"/>
      <name val="Arial"/>
      <family val="2"/>
    </font>
    <font>
      <b/>
      <sz val="48"/>
      <color indexed="8"/>
      <name val="Calibri"/>
      <family val="2"/>
    </font>
    <font>
      <b/>
      <sz val="22"/>
      <color indexed="8"/>
      <name val="Calibri"/>
      <family val="2"/>
    </font>
    <font>
      <b/>
      <sz val="9"/>
      <color theme="1"/>
      <name val="Calibri"/>
      <family val="2"/>
      <scheme val="minor"/>
    </font>
    <font>
      <b/>
      <sz val="20"/>
      <color rgb="FFFF0000"/>
      <name val="Calibri"/>
      <family val="2"/>
    </font>
    <font>
      <b/>
      <sz val="12"/>
      <name val="Arial"/>
      <family val="2"/>
    </font>
    <font>
      <b/>
      <sz val="12"/>
      <color theme="1"/>
      <name val="Arial"/>
      <family val="2"/>
    </font>
    <font>
      <b/>
      <sz val="12"/>
      <color theme="0"/>
      <name val="Arial"/>
      <family val="2"/>
    </font>
    <font>
      <b/>
      <sz val="18"/>
      <color indexed="9"/>
      <name val="Calibri"/>
      <family val="2"/>
    </font>
    <font>
      <sz val="12"/>
      <color theme="1"/>
      <name val="Calibri"/>
      <family val="2"/>
      <scheme val="minor"/>
    </font>
    <font>
      <b/>
      <sz val="14"/>
      <color rgb="FFFF0000"/>
      <name val="Calibri"/>
      <family val="2"/>
    </font>
    <font>
      <b/>
      <sz val="14"/>
      <name val="Calibri"/>
      <family val="2"/>
      <scheme val="minor"/>
    </font>
    <font>
      <sz val="10"/>
      <color indexed="8"/>
      <name val="Calibri"/>
      <family val="2"/>
    </font>
    <font>
      <b/>
      <sz val="11"/>
      <name val="Arial"/>
      <family val="2"/>
    </font>
    <font>
      <b/>
      <sz val="14"/>
      <color rgb="FF00B0F0"/>
      <name val="Calibri"/>
      <family val="2"/>
    </font>
    <font>
      <b/>
      <sz val="18"/>
      <color rgb="FFFFFFFF"/>
      <name val="Calibri"/>
      <family val="2"/>
    </font>
    <font>
      <b/>
      <sz val="16"/>
      <color theme="0"/>
      <name val="Calibri"/>
      <family val="2"/>
    </font>
    <font>
      <b/>
      <sz val="12"/>
      <color rgb="FFFFFFFF"/>
      <name val="Calibri"/>
      <family val="2"/>
    </font>
    <font>
      <b/>
      <sz val="12"/>
      <color rgb="FFDDDDDD"/>
      <name val="Calibri"/>
      <family val="2"/>
      <scheme val="minor"/>
    </font>
    <font>
      <b/>
      <sz val="12"/>
      <color theme="9" tint="0.39997558519241921"/>
      <name val="Calibri"/>
      <family val="2"/>
      <scheme val="minor"/>
    </font>
    <font>
      <b/>
      <sz val="12"/>
      <color rgb="FFFF0000"/>
      <name val="Calibri"/>
      <family val="2"/>
    </font>
    <font>
      <b/>
      <sz val="12"/>
      <color theme="0"/>
      <name val="Calibri"/>
      <family val="2"/>
      <scheme val="minor"/>
    </font>
    <font>
      <b/>
      <sz val="24"/>
      <name val="Arial"/>
      <family val="2"/>
    </font>
    <font>
      <b/>
      <sz val="18"/>
      <color rgb="FFFF0000"/>
      <name val="Calibri"/>
      <family val="2"/>
    </font>
    <font>
      <b/>
      <sz val="12"/>
      <color theme="1"/>
      <name val="Calibri"/>
      <family val="2"/>
      <scheme val="minor"/>
    </font>
    <font>
      <b/>
      <sz val="14"/>
      <color rgb="FF000000"/>
      <name val="Calibri"/>
      <family val="2"/>
    </font>
    <font>
      <b/>
      <sz val="18"/>
      <color rgb="FF000000"/>
      <name val="Calibri"/>
      <family val="2"/>
    </font>
    <font>
      <b/>
      <sz val="14"/>
      <name val="Calibri"/>
      <family val="2"/>
    </font>
    <font>
      <b/>
      <sz val="14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22"/>
      <color rgb="FF000000"/>
      <name val="Calibri"/>
      <family val="2"/>
    </font>
    <font>
      <sz val="9"/>
      <name val="Arial"/>
      <family val="2"/>
    </font>
    <font>
      <b/>
      <sz val="16"/>
      <color rgb="FFFF0000"/>
      <name val="Calibri"/>
      <family val="2"/>
    </font>
    <font>
      <b/>
      <sz val="12"/>
      <color rgb="FF000000"/>
      <name val="Arial"/>
      <family val="2"/>
    </font>
    <font>
      <sz val="10"/>
      <color indexed="36"/>
      <name val="Arial"/>
      <family val="2"/>
    </font>
    <font>
      <b/>
      <sz val="16"/>
      <color rgb="FF00B0F0"/>
      <name val="Calibri"/>
      <family val="2"/>
    </font>
    <font>
      <b/>
      <sz val="16"/>
      <name val="Calibri"/>
      <family val="2"/>
    </font>
    <font>
      <b/>
      <sz val="12"/>
      <color rgb="FF000000"/>
      <name val="Calibri"/>
      <family val="2"/>
    </font>
    <font>
      <b/>
      <sz val="12"/>
      <name val="Calibri"/>
      <family val="2"/>
    </font>
    <font>
      <b/>
      <sz val="12"/>
      <color theme="2" tint="-0.749992370372631"/>
      <name val="Calibri"/>
      <family val="2"/>
      <scheme val="minor"/>
    </font>
    <font>
      <b/>
      <sz val="12"/>
      <color rgb="FF4A4529"/>
      <name val="Calibri"/>
      <family val="2"/>
    </font>
    <font>
      <b/>
      <sz val="11"/>
      <color rgb="FFFF0000"/>
      <name val="Calibri"/>
      <family val="2"/>
    </font>
    <font>
      <b/>
      <sz val="16"/>
      <color rgb="FF000000"/>
      <name val="Arial"/>
      <family val="2"/>
    </font>
    <font>
      <b/>
      <sz val="22"/>
      <color rgb="FFFF0000"/>
      <name val="Calibri"/>
      <family val="2"/>
    </font>
    <font>
      <b/>
      <sz val="16"/>
      <color rgb="FFFFFFFF"/>
      <name val="Calibri"/>
      <family val="2"/>
    </font>
    <font>
      <b/>
      <sz val="18"/>
      <color theme="0"/>
      <name val="Calibri"/>
      <family val="2"/>
    </font>
    <font>
      <b/>
      <sz val="11"/>
      <color theme="1"/>
      <name val="Arial"/>
      <family val="2"/>
    </font>
    <font>
      <sz val="14"/>
      <color rgb="FF000000"/>
      <name val="Calibri"/>
      <family val="2"/>
    </font>
    <font>
      <sz val="9"/>
      <color theme="1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18"/>
      <color rgb="FF000000"/>
      <name val="Arial"/>
      <family val="2"/>
    </font>
    <font>
      <sz val="7"/>
      <name val="Arial"/>
      <family val="2"/>
    </font>
    <font>
      <b/>
      <sz val="24"/>
      <color rgb="FF000000"/>
      <name val="Calibri"/>
      <family val="2"/>
    </font>
    <font>
      <sz val="10"/>
      <color indexed="62"/>
      <name val="Arial"/>
      <family val="2"/>
    </font>
    <font>
      <b/>
      <sz val="20"/>
      <color rgb="FFFF0000"/>
      <name val="Arial"/>
      <family val="2"/>
    </font>
    <font>
      <b/>
      <sz val="8"/>
      <color rgb="FFFF0000"/>
      <name val="Calibri"/>
      <family val="2"/>
    </font>
    <font>
      <b/>
      <sz val="20"/>
      <color rgb="FF000000"/>
      <name val="Calibri"/>
      <family val="2"/>
    </font>
    <font>
      <b/>
      <sz val="16"/>
      <color rgb="FFFF0000"/>
      <name val="Arial"/>
      <family val="2"/>
    </font>
    <font>
      <sz val="16"/>
      <name val="Arial"/>
      <family val="2"/>
    </font>
    <font>
      <b/>
      <sz val="22"/>
      <name val="Arial"/>
      <family val="2"/>
    </font>
    <font>
      <b/>
      <sz val="12"/>
      <name val="Calibri"/>
      <family val="2"/>
      <scheme val="minor"/>
    </font>
    <font>
      <b/>
      <sz val="20"/>
      <name val="Calibri"/>
      <family val="2"/>
    </font>
    <font>
      <b/>
      <sz val="26"/>
      <name val="Arial"/>
      <family val="2"/>
    </font>
    <font>
      <sz val="10"/>
      <color rgb="FF000000"/>
      <name val="Calibri"/>
      <family val="2"/>
    </font>
    <font>
      <b/>
      <sz val="16"/>
      <color indexed="10"/>
      <name val="Arial"/>
      <family val="2"/>
    </font>
    <font>
      <b/>
      <sz val="18"/>
      <color indexed="8"/>
      <name val="Calibri"/>
      <family val="2"/>
      <scheme val="minor"/>
    </font>
    <font>
      <b/>
      <sz val="13"/>
      <color theme="0"/>
      <name val="Calibri"/>
      <family val="2"/>
      <scheme val="minor"/>
    </font>
    <font>
      <b/>
      <sz val="22"/>
      <color rgb="FFFF0000"/>
      <name val="Calibri"/>
      <family val="2"/>
      <scheme val="minor"/>
    </font>
    <font>
      <sz val="14"/>
      <color rgb="FF000000"/>
      <name val="Calibri"/>
      <family val="2"/>
      <scheme val="minor"/>
    </font>
    <font>
      <sz val="9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6"/>
      <color theme="0"/>
      <name val="Arial"/>
      <family val="2"/>
    </font>
    <font>
      <b/>
      <sz val="16"/>
      <name val="Arial"/>
      <family val="2"/>
    </font>
    <font>
      <b/>
      <sz val="16"/>
      <name val="Calibri"/>
      <family val="2"/>
      <scheme val="minor"/>
    </font>
    <font>
      <sz val="12"/>
      <name val="Arial"/>
      <family val="2"/>
    </font>
    <font>
      <b/>
      <sz val="16"/>
      <color theme="0"/>
      <name val="Symbol"/>
      <family val="1"/>
      <charset val="2"/>
    </font>
    <font>
      <sz val="36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20"/>
      <color theme="0"/>
      <name val="Arial"/>
      <family val="2"/>
    </font>
    <font>
      <b/>
      <sz val="16"/>
      <color theme="7" tint="0.39997558519241921"/>
      <name val="Calibri"/>
      <family val="2"/>
      <scheme val="minor"/>
    </font>
    <font>
      <sz val="14"/>
      <name val="Calibri"/>
      <family val="2"/>
      <scheme val="minor"/>
    </font>
    <font>
      <sz val="12"/>
      <color theme="1"/>
      <name val="Arial"/>
      <family val="2"/>
    </font>
    <font>
      <b/>
      <sz val="20"/>
      <name val="Arial"/>
      <family val="2"/>
    </font>
    <font>
      <b/>
      <sz val="8"/>
      <name val="Arial"/>
      <family val="2"/>
    </font>
    <font>
      <b/>
      <sz val="12"/>
      <color rgb="FFFFFF00"/>
      <name val="Arial"/>
      <family val="2"/>
    </font>
    <font>
      <b/>
      <sz val="12"/>
      <color rgb="FFFF0000"/>
      <name val="Arial"/>
      <family val="2"/>
    </font>
    <font>
      <b/>
      <sz val="12"/>
      <color theme="3" tint="0.39997558519241921"/>
      <name val="Calibri"/>
      <family val="2"/>
      <scheme val="minor"/>
    </font>
    <font>
      <b/>
      <sz val="12"/>
      <color theme="7" tint="-0.499984740745262"/>
      <name val="Arial"/>
      <family val="2"/>
    </font>
    <font>
      <b/>
      <sz val="12"/>
      <color rgb="FF800080"/>
      <name val="Arial"/>
      <family val="2"/>
    </font>
    <font>
      <b/>
      <sz val="12"/>
      <color theme="7" tint="0.39997558519241921"/>
      <name val="Calibri"/>
      <family val="2"/>
      <scheme val="minor"/>
    </font>
    <font>
      <b/>
      <sz val="12"/>
      <color rgb="FFFFFF00"/>
      <name val="Calibri"/>
      <family val="2"/>
      <scheme val="minor"/>
    </font>
    <font>
      <b/>
      <sz val="12"/>
      <color rgb="FF7030A0"/>
      <name val="Arial"/>
      <family val="2"/>
    </font>
    <font>
      <b/>
      <sz val="12"/>
      <color theme="3"/>
      <name val="Calibri"/>
      <family val="2"/>
      <scheme val="minor"/>
    </font>
    <font>
      <b/>
      <sz val="12"/>
      <color theme="5"/>
      <name val="Arial"/>
      <family val="2"/>
    </font>
    <font>
      <b/>
      <sz val="12"/>
      <color rgb="FFCC3300"/>
      <name val="Calibri"/>
      <family val="2"/>
      <scheme val="minor"/>
    </font>
    <font>
      <sz val="14"/>
      <name val="Arial"/>
      <family val="2"/>
    </font>
    <font>
      <b/>
      <sz val="12"/>
      <color rgb="FF990000"/>
      <name val="Calibri"/>
      <family val="2"/>
      <scheme val="minor"/>
    </font>
    <font>
      <b/>
      <sz val="12"/>
      <color theme="6" tint="-0.249977111117893"/>
      <name val="Calibri"/>
      <family val="2"/>
      <scheme val="minor"/>
    </font>
    <font>
      <sz val="14"/>
      <color theme="1"/>
      <name val="Arial"/>
      <family val="2"/>
    </font>
    <font>
      <b/>
      <sz val="12"/>
      <color rgb="FFFF9900"/>
      <name val="Arial"/>
      <family val="2"/>
    </font>
    <font>
      <b/>
      <sz val="12"/>
      <color theme="8" tint="0.39994506668294322"/>
      <name val="Arial"/>
      <family val="2"/>
    </font>
    <font>
      <b/>
      <sz val="12"/>
      <color theme="9"/>
      <name val="Arial"/>
      <family val="2"/>
    </font>
    <font>
      <b/>
      <sz val="12"/>
      <color theme="8" tint="0.79998168889431442"/>
      <name val="Arial"/>
      <family val="2"/>
    </font>
    <font>
      <b/>
      <sz val="12"/>
      <color rgb="FFFFC000"/>
      <name val="Arial"/>
      <family val="2"/>
    </font>
    <font>
      <b/>
      <sz val="12"/>
      <color rgb="FFC00000"/>
      <name val="Arial"/>
      <family val="2"/>
    </font>
    <font>
      <b/>
      <sz val="12"/>
      <color rgb="FFCC9900"/>
      <name val="Arial"/>
      <family val="2"/>
    </font>
    <font>
      <b/>
      <sz val="12"/>
      <color rgb="FF0070C0"/>
      <name val="Arial"/>
      <family val="2"/>
    </font>
    <font>
      <b/>
      <sz val="12"/>
      <color theme="3" tint="-0.499984740745262"/>
      <name val="Arial"/>
      <family val="2"/>
    </font>
    <font>
      <b/>
      <sz val="12"/>
      <color theme="2" tint="-0.499984740745262"/>
      <name val="Arial"/>
      <family val="2"/>
    </font>
    <font>
      <b/>
      <sz val="12"/>
      <color rgb="FF00B0F0"/>
      <name val="Arial"/>
      <family val="2"/>
    </font>
    <font>
      <b/>
      <sz val="12"/>
      <color theme="5" tint="-0.499984740745262"/>
      <name val="Arial"/>
      <family val="2"/>
    </font>
    <font>
      <b/>
      <sz val="12"/>
      <color rgb="FFFF33CC"/>
      <name val="Arial"/>
      <family val="2"/>
    </font>
    <font>
      <b/>
      <sz val="12"/>
      <color rgb="FF3366FF"/>
      <name val="Arial"/>
      <family val="2"/>
    </font>
    <font>
      <b/>
      <sz val="14"/>
      <color rgb="FFFF0000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5" tint="0.79998168889431442"/>
      <name val="Calibri"/>
      <family val="2"/>
      <scheme val="minor"/>
    </font>
    <font>
      <b/>
      <sz val="12"/>
      <color rgb="FF00B050"/>
      <name val="Arial"/>
      <family val="2"/>
    </font>
    <font>
      <sz val="12"/>
      <name val="Calibri"/>
      <family val="2"/>
      <scheme val="minor"/>
    </font>
    <font>
      <sz val="14"/>
      <color theme="8" tint="0.79998168889431442"/>
      <name val="Arial"/>
      <family val="2"/>
    </font>
    <font>
      <b/>
      <sz val="12"/>
      <color rgb="FF00FFFF"/>
      <name val="Arial"/>
      <family val="2"/>
    </font>
    <font>
      <b/>
      <sz val="12"/>
      <color theme="2"/>
      <name val="Arial"/>
      <family val="2"/>
    </font>
    <font>
      <b/>
      <sz val="12"/>
      <color theme="8" tint="-0.499984740745262"/>
      <name val="Arial"/>
      <family val="2"/>
    </font>
    <font>
      <b/>
      <sz val="12"/>
      <color theme="2" tint="-0.89999084444715716"/>
      <name val="Arial"/>
      <family val="2"/>
    </font>
  </fonts>
  <fills count="30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D3D3D3"/>
        <bgColor indexed="64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3F3F"/>
        <bgColor indexed="64"/>
      </patternFill>
    </fill>
    <fill>
      <patternFill patternType="solid">
        <fgColor rgb="FFFF6000"/>
        <bgColor indexed="64"/>
      </patternFill>
    </fill>
    <fill>
      <patternFill patternType="solid">
        <fgColor rgb="FF7B7B7B"/>
        <bgColor indexed="64"/>
      </patternFill>
    </fill>
    <fill>
      <patternFill patternType="solid">
        <fgColor rgb="FFBBD828"/>
        <bgColor indexed="64"/>
      </patternFill>
    </fill>
    <fill>
      <patternFill patternType="solid">
        <fgColor rgb="FFB57298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4BC0B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974706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D0E939"/>
        <bgColor indexed="64"/>
      </patternFill>
    </fill>
    <fill>
      <patternFill patternType="solid">
        <fgColor rgb="FFBF8F00"/>
        <bgColor indexed="64"/>
      </patternFill>
    </fill>
    <fill>
      <patternFill patternType="solid">
        <fgColor rgb="FFA6936B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CCA86F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80008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CCD66F"/>
        <bgColor indexed="64"/>
      </patternFill>
    </fill>
    <fill>
      <gradientFill>
        <stop position="0">
          <color theme="8" tint="-0.25098422193060094"/>
        </stop>
        <stop position="0.5">
          <color theme="0" tint="-5.0965910824915313E-2"/>
        </stop>
        <stop position="1">
          <color theme="8" tint="-0.25098422193060094"/>
        </stop>
      </gradientFill>
    </fill>
    <fill>
      <patternFill patternType="solid">
        <fgColor theme="9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A8A5A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8EA9DB"/>
        <bgColor indexed="64"/>
      </patternFill>
    </fill>
    <fill>
      <gradientFill degree="90">
        <stop position="0">
          <color theme="0"/>
        </stop>
        <stop position="0.5">
          <color theme="4"/>
        </stop>
        <stop position="1">
          <color theme="0"/>
        </stop>
      </gradientFill>
    </fill>
    <fill>
      <patternFill patternType="solid">
        <fgColor rgb="FF333F4F"/>
        <bgColor indexed="64"/>
      </patternFill>
    </fill>
    <fill>
      <patternFill patternType="solid">
        <fgColor rgb="FF73EFEF"/>
        <bgColor indexed="64"/>
      </patternFill>
    </fill>
    <fill>
      <patternFill patternType="solid">
        <fgColor rgb="FFDA3F3D"/>
        <bgColor indexed="64"/>
      </patternFill>
    </fill>
    <fill>
      <patternFill patternType="solid">
        <fgColor rgb="FFC49840"/>
        <bgColor indexed="64"/>
      </patternFill>
    </fill>
    <fill>
      <patternFill patternType="solid">
        <fgColor rgb="FF66CCFF"/>
        <bgColor indexed="64"/>
      </patternFill>
    </fill>
    <fill>
      <patternFill patternType="solid">
        <fgColor rgb="FF0070C0"/>
        <bgColor indexed="64"/>
      </patternFill>
    </fill>
    <fill>
      <gradientFill degree="90">
        <stop position="0">
          <color rgb="FFFFFF00"/>
        </stop>
        <stop position="0.5">
          <color rgb="FF00B0F0"/>
        </stop>
        <stop position="1">
          <color rgb="FFFFFF00"/>
        </stop>
      </gradientFill>
    </fill>
    <fill>
      <gradientFill degree="90">
        <stop position="0">
          <color rgb="FFFFFF00"/>
        </stop>
        <stop position="0.5">
          <color rgb="FF92D050"/>
        </stop>
        <stop position="1">
          <color rgb="FFFFFF00"/>
        </stop>
      </gradientFill>
    </fill>
    <fill>
      <patternFill patternType="lightUp">
        <fgColor rgb="FFE6B8B7"/>
        <bgColor theme="5" tint="0.39997558519241921"/>
      </patternFill>
    </fill>
    <fill>
      <patternFill patternType="lightDown">
        <fgColor theme="9"/>
        <bgColor theme="9" tint="0.39991454817346722"/>
      </patternFill>
    </fill>
    <fill>
      <patternFill patternType="lightTrellis">
        <fgColor theme="4" tint="-0.24994659260841701"/>
        <bgColor rgb="FFFFFF00"/>
      </patternFill>
    </fill>
    <fill>
      <patternFill patternType="gray0625">
        <fgColor theme="0"/>
        <bgColor rgb="FFC00000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rgb="FFFF0000"/>
      </patternFill>
    </fill>
    <fill>
      <patternFill patternType="solid">
        <fgColor rgb="FFFFC000"/>
        <bgColor rgb="FFFFC000"/>
      </patternFill>
    </fill>
    <fill>
      <patternFill patternType="solid">
        <fgColor rgb="FF000000"/>
        <bgColor rgb="FF000000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800080"/>
        <bgColor rgb="FF800080"/>
      </patternFill>
    </fill>
    <fill>
      <patternFill patternType="solid">
        <fgColor rgb="FF8EA9DB"/>
        <bgColor rgb="FF8EA9DB"/>
      </patternFill>
    </fill>
    <fill>
      <patternFill patternType="solid">
        <fgColor rgb="FF333F4F"/>
        <bgColor rgb="FF333F4F"/>
      </patternFill>
    </fill>
    <fill>
      <patternFill patternType="solid">
        <fgColor rgb="FF66CCFF"/>
        <bgColor rgb="FF66CCFF"/>
      </patternFill>
    </fill>
    <fill>
      <patternFill patternType="solid">
        <fgColor rgb="FFDA3F3D"/>
        <bgColor rgb="FFDA3F3D"/>
      </patternFill>
    </fill>
    <fill>
      <patternFill patternType="solid">
        <fgColor rgb="FFC0504D"/>
        <bgColor rgb="FFC0504D"/>
      </patternFill>
    </fill>
    <fill>
      <patternFill patternType="solid">
        <fgColor rgb="FFBDD7EE"/>
        <bgColor rgb="FFBDD7EE"/>
      </patternFill>
    </fill>
    <fill>
      <patternFill patternType="lightTrellis">
        <fgColor theme="9"/>
        <bgColor theme="9" tint="-0.499984740745262"/>
      </patternFill>
    </fill>
    <fill>
      <patternFill patternType="gray0625">
        <fgColor auto="1"/>
        <bgColor rgb="FFFF0000"/>
      </patternFill>
    </fill>
    <fill>
      <gradientFill type="path" top="1" bottom="1">
        <stop position="0">
          <color theme="5"/>
        </stop>
        <stop position="1">
          <color rgb="FF00B0F0"/>
        </stop>
      </gradientFill>
    </fill>
    <fill>
      <patternFill patternType="solid">
        <fgColor theme="8" tint="0.79998168889431442"/>
        <bgColor auto="1"/>
      </patternFill>
    </fill>
    <fill>
      <gradientFill degree="45">
        <stop position="0">
          <color theme="0"/>
        </stop>
        <stop position="1">
          <color theme="2" tint="-0.25098422193060094"/>
        </stop>
      </gradientFill>
    </fill>
    <fill>
      <patternFill patternType="solid">
        <fgColor rgb="FFFFFFFF"/>
        <bgColor indexed="64"/>
      </patternFill>
    </fill>
    <fill>
      <patternFill patternType="solid">
        <fgColor rgb="FFE901C8"/>
        <bgColor indexed="64"/>
      </patternFill>
    </fill>
    <fill>
      <gradientFill>
        <stop position="0">
          <color theme="8" tint="0.59999389629810485"/>
        </stop>
        <stop position="1">
          <color theme="9" tint="-0.49803155613879818"/>
        </stop>
      </gradientFill>
    </fill>
    <fill>
      <patternFill patternType="solid">
        <fgColor theme="1" tint="0.49998474074526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9900"/>
        <bgColor rgb="FFFFCC00"/>
      </patternFill>
    </fill>
    <fill>
      <patternFill patternType="solid">
        <fgColor rgb="FF3366FF"/>
        <bgColor rgb="FF0066CC"/>
      </patternFill>
    </fill>
    <fill>
      <patternFill patternType="solid">
        <fgColor rgb="FF99CCFF"/>
        <bgColor rgb="FFCCCCFF"/>
      </patternFill>
    </fill>
    <fill>
      <patternFill patternType="solid">
        <fgColor rgb="FFBFBFBF"/>
        <bgColor rgb="FF000000"/>
      </patternFill>
    </fill>
    <fill>
      <patternFill patternType="solid">
        <fgColor rgb="FFA6A6A6"/>
        <bgColor indexed="64"/>
      </patternFill>
    </fill>
    <fill>
      <patternFill patternType="solid">
        <fgColor rgb="FF642523"/>
        <bgColor indexed="64"/>
      </patternFill>
    </fill>
    <fill>
      <patternFill patternType="gray0625">
        <fgColor theme="4" tint="0.39994506668294322"/>
        <bgColor theme="4" tint="-0.24994659260841701"/>
      </patternFill>
    </fill>
    <fill>
      <patternFill patternType="solid">
        <fgColor indexed="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C6D9F0"/>
        <bgColor indexed="64"/>
      </patternFill>
    </fill>
    <fill>
      <patternFill patternType="solid">
        <fgColor theme="3" tint="0.59999389629810485"/>
        <bgColor rgb="FFA6A6A6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BF8F00"/>
        <bgColor rgb="FFBF8F00"/>
      </patternFill>
    </fill>
    <fill>
      <patternFill patternType="solid">
        <fgColor rgb="FFE6B9B8"/>
        <bgColor indexed="8"/>
      </patternFill>
    </fill>
    <fill>
      <patternFill patternType="solid">
        <fgColor theme="8" tint="-0.499984740745262"/>
        <bgColor indexed="64"/>
      </patternFill>
    </fill>
    <fill>
      <patternFill patternType="solid">
        <fgColor rgb="FFB2A1C6"/>
        <bgColor indexed="64"/>
      </patternFill>
    </fill>
    <fill>
      <patternFill patternType="solid">
        <fgColor rgb="FFC2D69B"/>
        <bgColor indexed="64"/>
      </patternFill>
    </fill>
    <fill>
      <patternFill patternType="solid">
        <fgColor rgb="FFFF9900"/>
        <bgColor rgb="FFFF9900"/>
      </patternFill>
    </fill>
    <fill>
      <patternFill patternType="solid">
        <fgColor rgb="FFBFBFBF"/>
        <bgColor rgb="FFBFBFBF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E5D8F4"/>
        <bgColor rgb="FF00000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1" tint="0.499984740745262"/>
        <bgColor rgb="FF000000"/>
      </patternFill>
    </fill>
    <fill>
      <patternFill patternType="solid">
        <fgColor theme="6" tint="-0.249977111117893"/>
        <bgColor rgb="FF003366"/>
      </patternFill>
    </fill>
    <fill>
      <gradientFill degree="90">
        <stop position="0">
          <color theme="8" tint="0.80001220740379042"/>
        </stop>
        <stop position="1">
          <color theme="5"/>
        </stop>
      </gradientFill>
    </fill>
    <fill>
      <gradientFill degree="270">
        <stop position="0">
          <color rgb="FFC00000"/>
        </stop>
        <stop position="1">
          <color theme="4" tint="-0.25098422193060094"/>
        </stop>
      </gradientFill>
    </fill>
    <fill>
      <patternFill patternType="solid">
        <fgColor rgb="FF00B0F0"/>
        <bgColor rgb="FF008080"/>
      </patternFill>
    </fill>
    <fill>
      <patternFill patternType="solid">
        <fgColor theme="0" tint="-0.34998626667073579"/>
        <bgColor rgb="FF003366"/>
      </patternFill>
    </fill>
    <fill>
      <patternFill patternType="solid">
        <fgColor rgb="FF66FFFF"/>
        <bgColor rgb="FF000000"/>
      </patternFill>
    </fill>
    <fill>
      <patternFill patternType="solid">
        <fgColor rgb="FFFF0000"/>
        <bgColor rgb="FFFFCC00"/>
      </patternFill>
    </fill>
    <fill>
      <gradientFill degree="90">
        <stop position="0">
          <color theme="0"/>
        </stop>
        <stop position="1">
          <color theme="4"/>
        </stop>
      </gradientFill>
    </fill>
    <fill>
      <patternFill patternType="solid">
        <fgColor theme="3" tint="0.39997558519241921"/>
        <bgColor rgb="FFFFCC00"/>
      </patternFill>
    </fill>
    <fill>
      <gradientFill degree="135">
        <stop position="0">
          <color theme="0" tint="-0.49803155613879818"/>
        </stop>
        <stop position="1">
          <color theme="6" tint="0.80001220740379042"/>
        </stop>
      </gradientFill>
    </fill>
    <fill>
      <patternFill patternType="solid">
        <fgColor rgb="FF7030A0"/>
        <bgColor rgb="FFFFCC00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66CCFF"/>
        <bgColor rgb="FFFFCC00"/>
      </patternFill>
    </fill>
    <fill>
      <gradientFill degree="90">
        <stop position="0">
          <color rgb="FF4F81BD"/>
        </stop>
        <stop position="1">
          <color theme="4" tint="0.59999389629810485"/>
        </stop>
      </gradientFill>
    </fill>
    <fill>
      <gradientFill degree="90">
        <stop position="0">
          <color theme="8" tint="0.80001220740379042"/>
        </stop>
        <stop position="1">
          <color theme="8" tint="-0.49803155613879818"/>
        </stop>
      </gradientFill>
    </fill>
    <fill>
      <patternFill patternType="solid">
        <fgColor theme="2" tint="-0.749992370372631"/>
        <bgColor indexed="64"/>
      </patternFill>
    </fill>
    <fill>
      <patternFill patternType="solid">
        <fgColor rgb="FFFC04D9"/>
        <bgColor indexed="64"/>
      </patternFill>
    </fill>
    <fill>
      <gradientFill degree="135">
        <stop position="0">
          <color rgb="FFFFFF00"/>
        </stop>
        <stop position="0.5">
          <color rgb="FF99FF33"/>
        </stop>
        <stop position="1">
          <color rgb="FFFFFF00"/>
        </stop>
      </gradientFill>
    </fill>
    <fill>
      <patternFill patternType="solid">
        <fgColor theme="0" tint="-4.9989318521683403E-2"/>
        <bgColor rgb="FF0066CC"/>
      </patternFill>
    </fill>
    <fill>
      <patternFill patternType="solid">
        <fgColor theme="3" tint="0.59999389629810485"/>
        <bgColor rgb="FF008080"/>
      </patternFill>
    </fill>
    <fill>
      <gradientFill degree="90">
        <stop position="0">
          <color rgb="FFFF0000"/>
        </stop>
        <stop position="1">
          <color theme="4" tint="-0.25098422193060094"/>
        </stop>
      </gradientFill>
    </fill>
    <fill>
      <patternFill patternType="solid">
        <fgColor rgb="FF00B0F0"/>
        <bgColor rgb="FF0066CC"/>
      </patternFill>
    </fill>
    <fill>
      <gradientFill degree="270">
        <stop position="0">
          <color theme="9" tint="-0.25098422193060094"/>
        </stop>
        <stop position="1">
          <color theme="4"/>
        </stop>
      </gradientFill>
    </fill>
    <fill>
      <patternFill patternType="solid">
        <fgColor theme="2" tint="-0.499984740745262"/>
        <bgColor rgb="FF0066CC"/>
      </patternFill>
    </fill>
    <fill>
      <patternFill patternType="solid">
        <fgColor theme="8" tint="-0.249977111117893"/>
        <bgColor rgb="FFFFCC00"/>
      </patternFill>
    </fill>
    <fill>
      <patternFill patternType="solid">
        <fgColor rgb="FF333399"/>
        <bgColor rgb="FF003366"/>
      </patternFill>
    </fill>
    <fill>
      <patternFill patternType="solid">
        <fgColor rgb="FF92D050"/>
        <bgColor rgb="FFFFCC00"/>
      </patternFill>
    </fill>
    <fill>
      <patternFill patternType="solid">
        <fgColor theme="3" tint="-0.249977111117893"/>
        <bgColor rgb="FF0066CC"/>
      </patternFill>
    </fill>
    <fill>
      <patternFill patternType="solid">
        <fgColor theme="0" tint="-0.249977111117893"/>
        <bgColor rgb="FF003366"/>
      </patternFill>
    </fill>
    <fill>
      <patternFill patternType="solid">
        <fgColor theme="6" tint="0.59999389629810485"/>
        <bgColor rgb="FF0066CC"/>
      </patternFill>
    </fill>
    <fill>
      <patternFill patternType="solid">
        <fgColor rgb="FF00B050"/>
        <bgColor rgb="FFFFCC00"/>
      </patternFill>
    </fill>
    <fill>
      <patternFill patternType="solid">
        <fgColor rgb="FFC00000"/>
        <bgColor rgb="FF0066CC"/>
      </patternFill>
    </fill>
    <fill>
      <patternFill patternType="solid">
        <fgColor theme="3" tint="0.39997558519241921"/>
        <bgColor rgb="FF0066CC"/>
      </patternFill>
    </fill>
    <fill>
      <gradientFill degree="90">
        <stop position="0">
          <color rgb="FF00FFFF"/>
        </stop>
        <stop position="1">
          <color rgb="FFFF00FF"/>
        </stop>
      </gradientFill>
    </fill>
    <fill>
      <patternFill patternType="solid">
        <fgColor rgb="FF7030A0"/>
        <bgColor rgb="FF800080"/>
      </patternFill>
    </fill>
    <fill>
      <patternFill patternType="solid">
        <fgColor theme="6"/>
        <bgColor indexed="64"/>
      </patternFill>
    </fill>
    <fill>
      <gradientFill type="path" left="0.5" right="0.5" top="0.5" bottom="0.5">
        <stop position="0">
          <color rgb="FFFFFF99"/>
        </stop>
        <stop position="1">
          <color rgb="FF0070C0"/>
        </stop>
      </gradientFill>
    </fill>
    <fill>
      <patternFill patternType="solid">
        <fgColor theme="9"/>
        <bgColor auto="1"/>
      </patternFill>
    </fill>
    <fill>
      <patternFill patternType="solid">
        <fgColor rgb="FFFFFFFF"/>
        <bgColor rgb="FFFFCC00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rgb="FFFFCC00"/>
      </patternFill>
    </fill>
    <fill>
      <patternFill patternType="solid">
        <fgColor rgb="FF008000"/>
        <bgColor rgb="FF008080"/>
      </patternFill>
    </fill>
    <fill>
      <gradientFill degree="90">
        <stop position="0">
          <color theme="0" tint="-0.49803155613879818"/>
        </stop>
        <stop position="1">
          <color theme="6" tint="0.80001220740379042"/>
        </stop>
      </gradientFill>
    </fill>
    <fill>
      <gradientFill>
        <stop position="0">
          <color theme="8" tint="0.80001220740379042"/>
        </stop>
        <stop position="1">
          <color theme="4"/>
        </stop>
      </gradientFill>
    </fill>
    <fill>
      <gradientFill degree="90">
        <stop position="0">
          <color theme="2" tint="-0.49803155613879818"/>
        </stop>
        <stop position="1">
          <color theme="6" tint="0.80001220740379042"/>
        </stop>
      </gradientFill>
    </fill>
    <fill>
      <patternFill patternType="solid">
        <fgColor rgb="FF4BACC6"/>
        <bgColor indexed="64"/>
      </patternFill>
    </fill>
    <fill>
      <patternFill patternType="solid">
        <fgColor rgb="FF003366"/>
        <bgColor rgb="FF333399"/>
      </patternFill>
    </fill>
    <fill>
      <patternFill patternType="solid">
        <fgColor rgb="FFFFCC00"/>
        <bgColor rgb="FFFF8080"/>
      </patternFill>
    </fill>
    <fill>
      <gradientFill degree="90">
        <stop position="0">
          <color theme="6" tint="0.40000610370189521"/>
        </stop>
        <stop position="1">
          <color theme="4"/>
        </stop>
      </gradientFill>
    </fill>
    <fill>
      <patternFill patternType="solid">
        <fgColor theme="1" tint="0.34998626667073579"/>
        <bgColor rgb="FF008080"/>
      </patternFill>
    </fill>
    <fill>
      <gradientFill degree="90">
        <stop position="0">
          <color theme="8" tint="-0.25098422193060094"/>
        </stop>
        <stop position="1">
          <color theme="6" tint="0.40000610370189521"/>
        </stop>
      </gradientFill>
    </fill>
    <fill>
      <patternFill patternType="solid">
        <fgColor rgb="FF00FFFF"/>
        <bgColor rgb="FF008080"/>
      </patternFill>
    </fill>
    <fill>
      <patternFill patternType="solid">
        <fgColor theme="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-0.499984740745262"/>
        <bgColor rgb="FF003366"/>
      </patternFill>
    </fill>
    <fill>
      <patternFill patternType="solid">
        <fgColor theme="4" tint="-0.499984740745262"/>
        <bgColor rgb="FF003366"/>
      </patternFill>
    </fill>
    <fill>
      <patternFill patternType="solid">
        <fgColor theme="5" tint="-0.249977111117893"/>
        <bgColor rgb="FF003366"/>
      </patternFill>
    </fill>
    <fill>
      <patternFill patternType="solid">
        <fgColor theme="9" tint="-0.249977111117893"/>
        <bgColor rgb="FFFFCC00"/>
      </patternFill>
    </fill>
    <fill>
      <patternFill patternType="solid">
        <fgColor rgb="FF0099FF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rgb="FF002060"/>
        <bgColor rgb="FF333399"/>
      </patternFill>
    </fill>
    <fill>
      <patternFill patternType="solid">
        <fgColor rgb="FFABE2A8"/>
        <bgColor indexed="64"/>
      </patternFill>
    </fill>
    <fill>
      <gradientFill degree="90">
        <stop position="0">
          <color theme="7" tint="0.80001220740379042"/>
        </stop>
        <stop position="1">
          <color theme="7" tint="-0.25098422193060094"/>
        </stop>
      </gradientFill>
    </fill>
    <fill>
      <gradientFill>
        <stop position="0">
          <color theme="8" tint="-0.49803155613879818"/>
        </stop>
        <stop position="0.5">
          <color rgb="FF00FFFF"/>
        </stop>
        <stop position="1">
          <color theme="8" tint="-0.49803155613879818"/>
        </stop>
      </gradientFill>
    </fill>
    <fill>
      <patternFill patternType="solid">
        <fgColor theme="7" tint="0.79998168889431442"/>
        <bgColor indexed="64"/>
      </patternFill>
    </fill>
    <fill>
      <gradientFill degree="180">
        <stop position="0">
          <color theme="1"/>
        </stop>
        <stop position="1">
          <color theme="6" tint="-0.25098422193060094"/>
        </stop>
      </gradientFill>
    </fill>
    <fill>
      <patternFill patternType="solid">
        <fgColor rgb="FF66FFFF"/>
        <bgColor indexed="64"/>
      </patternFill>
    </fill>
    <fill>
      <patternFill patternType="solid">
        <fgColor theme="6" tint="-0.499984740745262"/>
        <bgColor rgb="FF008080"/>
      </patternFill>
    </fill>
    <fill>
      <gradientFill>
        <stop position="0">
          <color theme="0"/>
        </stop>
        <stop position="1">
          <color theme="4"/>
        </stop>
      </gradientFill>
    </fill>
    <fill>
      <gradientFill degree="180">
        <stop position="0">
          <color rgb="FFFF00FF"/>
        </stop>
        <stop position="1">
          <color theme="9" tint="-0.25098422193060094"/>
        </stop>
      </gradientFill>
    </fill>
    <fill>
      <patternFill patternType="solid">
        <fgColor rgb="FF0070C0"/>
        <bgColor rgb="FF0066CC"/>
      </patternFill>
    </fill>
    <fill>
      <patternFill patternType="solid">
        <fgColor theme="5"/>
        <bgColor rgb="FFFFCC00"/>
      </patternFill>
    </fill>
    <fill>
      <gradientFill degree="45">
        <stop position="0">
          <color theme="9" tint="-0.25098422193060094"/>
        </stop>
        <stop position="1">
          <color rgb="FF92D050"/>
        </stop>
      </gradientFill>
    </fill>
    <fill>
      <patternFill patternType="solid">
        <fgColor rgb="FFFFFF00"/>
        <bgColor rgb="FFFF8080"/>
      </patternFill>
    </fill>
    <fill>
      <patternFill patternType="solid">
        <fgColor theme="8" tint="0.39997558519241921"/>
        <bgColor rgb="FF0066CC"/>
      </patternFill>
    </fill>
    <fill>
      <patternFill patternType="solid">
        <fgColor rgb="FF66CCFF"/>
        <bgColor auto="1"/>
      </patternFill>
    </fill>
    <fill>
      <patternFill patternType="solid">
        <fgColor theme="0" tint="-0.499984740745262"/>
        <bgColor rgb="FF0066CC"/>
      </patternFill>
    </fill>
    <fill>
      <patternFill patternType="solid">
        <fgColor rgb="FFFF0000"/>
        <bgColor rgb="FF993300"/>
      </patternFill>
    </fill>
    <fill>
      <patternFill patternType="solid">
        <fgColor rgb="FFFFC000"/>
        <bgColor rgb="FFFF8080"/>
      </patternFill>
    </fill>
    <fill>
      <patternFill patternType="solid">
        <fgColor theme="2" tint="-0.249977111117893"/>
        <bgColor rgb="FFFFCC00"/>
      </patternFill>
    </fill>
    <fill>
      <gradientFill degree="90">
        <stop position="0">
          <color rgb="FFFFC000"/>
        </stop>
        <stop position="0.5">
          <color rgb="FFFF9900"/>
        </stop>
        <stop position="1">
          <color rgb="FFFFC000"/>
        </stop>
      </gradientFill>
    </fill>
    <fill>
      <patternFill patternType="solid">
        <fgColor rgb="FFC00000"/>
        <bgColor rgb="FF993300"/>
      </patternFill>
    </fill>
    <fill>
      <patternFill patternType="solid">
        <fgColor theme="2" tint="-0.249977111117893"/>
        <bgColor indexed="64"/>
      </patternFill>
    </fill>
    <fill>
      <gradientFill>
        <stop position="0">
          <color rgb="FF00FFFF"/>
        </stop>
        <stop position="0.5">
          <color rgb="FF7CF91F"/>
        </stop>
        <stop position="1">
          <color rgb="FF00FFFF"/>
        </stop>
      </gradientFill>
    </fill>
    <fill>
      <gradientFill degree="90">
        <stop position="0">
          <color theme="3" tint="0.80001220740379042"/>
        </stop>
        <stop position="1">
          <color rgb="FF4F81BD"/>
        </stop>
      </gradientFill>
    </fill>
    <fill>
      <patternFill patternType="solid">
        <fgColor theme="5" tint="0.59999389629810485"/>
        <bgColor indexed="64"/>
      </patternFill>
    </fill>
    <fill>
      <gradientFill degree="90">
        <stop position="0">
          <color rgb="FF4F81BD"/>
        </stop>
        <stop position="1">
          <color theme="2" tint="-0.25098422193060094"/>
        </stop>
      </gradientFill>
    </fill>
    <fill>
      <patternFill patternType="solid">
        <fgColor theme="3" tint="0.59999389629810485"/>
        <bgColor rgb="FF0066CC"/>
      </patternFill>
    </fill>
    <fill>
      <patternFill patternType="solid">
        <fgColor theme="5" tint="0.59999389629810485"/>
        <bgColor rgb="FF0066CC"/>
      </patternFill>
    </fill>
    <fill>
      <patternFill patternType="solid">
        <fgColor theme="6"/>
        <bgColor rgb="FF0066CC"/>
      </patternFill>
    </fill>
    <fill>
      <gradientFill degree="90">
        <stop position="0">
          <color theme="2"/>
        </stop>
        <stop position="1">
          <color rgb="FFFFFF99"/>
        </stop>
      </gradientFill>
    </fill>
    <fill>
      <gradientFill degree="135">
        <stop position="0">
          <color theme="0"/>
        </stop>
        <stop position="0.5">
          <color rgb="FFBBD828"/>
        </stop>
        <stop position="1">
          <color theme="0"/>
        </stop>
      </gradientFill>
    </fill>
    <fill>
      <patternFill patternType="solid">
        <fgColor theme="6" tint="-0.499984740745262"/>
        <bgColor rgb="FF0066CC"/>
      </patternFill>
    </fill>
    <fill>
      <patternFill patternType="solid">
        <fgColor theme="7"/>
        <bgColor rgb="FF000000"/>
      </patternFill>
    </fill>
    <fill>
      <gradientFill type="path" degree="180" left="0.5" right="0.5" top="0.5" bottom="0.5">
        <stop position="0">
          <color rgb="FF00B050"/>
        </stop>
        <stop position="1">
          <color rgb="FFFFFF00"/>
        </stop>
      </gradientFill>
    </fill>
    <fill>
      <patternFill patternType="solid">
        <fgColor theme="1" tint="0.249977111117893"/>
        <bgColor indexed="64"/>
      </patternFill>
    </fill>
    <fill>
      <patternFill patternType="solid">
        <fgColor theme="9" tint="-0.249977111117893"/>
        <bgColor rgb="FF0066CC"/>
      </patternFill>
    </fill>
    <fill>
      <patternFill patternType="solid">
        <fgColor rgb="FF0066FF"/>
        <bgColor rgb="FF0066CC"/>
      </patternFill>
    </fill>
    <fill>
      <gradientFill degree="270">
        <stop position="0">
          <color rgb="FF00B050"/>
        </stop>
        <stop position="1">
          <color theme="2"/>
        </stop>
      </gradientFill>
    </fill>
    <fill>
      <gradientFill degree="45">
        <stop position="0">
          <color rgb="FFFF0000"/>
        </stop>
        <stop position="0.5">
          <color theme="9" tint="0.80001220740379042"/>
        </stop>
        <stop position="1">
          <color rgb="FFFF0000"/>
        </stop>
      </gradientFill>
    </fill>
    <fill>
      <patternFill patternType="solid">
        <fgColor theme="4" tint="0.39997558519241921"/>
        <bgColor rgb="FF0066CC"/>
      </patternFill>
    </fill>
    <fill>
      <gradientFill type="path">
        <stop position="0">
          <color theme="9" tint="-0.25098422193060094"/>
        </stop>
        <stop position="1">
          <color rgb="FFFFFF00"/>
        </stop>
      </gradientFill>
    </fill>
    <fill>
      <patternFill patternType="solid">
        <fgColor theme="9" tint="0.79998168889431442"/>
        <bgColor rgb="FF0066CC"/>
      </patternFill>
    </fill>
    <fill>
      <gradientFill type="path" left="0.5" right="0.5" top="0.5" bottom="0.5">
        <stop position="0">
          <color theme="0"/>
        </stop>
        <stop position="1">
          <color rgb="FFFF0000"/>
        </stop>
      </gradientFill>
    </fill>
    <fill>
      <patternFill patternType="solid">
        <fgColor theme="4" tint="0.39997558519241921"/>
        <bgColor auto="1"/>
      </patternFill>
    </fill>
    <fill>
      <patternFill patternType="solid">
        <fgColor theme="7"/>
        <bgColor rgb="FF0066CC"/>
      </patternFill>
    </fill>
    <fill>
      <patternFill patternType="solid">
        <fgColor theme="7" tint="-0.499984740745262"/>
        <bgColor rgb="FF993300"/>
      </patternFill>
    </fill>
    <fill>
      <patternFill patternType="solid">
        <fgColor rgb="FF6699FF"/>
        <bgColor rgb="FF003366"/>
      </patternFill>
    </fill>
    <fill>
      <gradientFill degree="90">
        <stop position="0">
          <color theme="9" tint="-0.25098422193060094"/>
        </stop>
        <stop position="1">
          <color rgb="FFFFFF00"/>
        </stop>
      </gradientFill>
    </fill>
    <fill>
      <gradientFill type="path" top="1" bottom="1">
        <stop position="0">
          <color theme="8"/>
        </stop>
        <stop position="1">
          <color rgb="FF66FF66"/>
        </stop>
      </gradientFill>
    </fill>
    <fill>
      <patternFill patternType="solid">
        <fgColor theme="9" tint="0.59999389629810485"/>
        <bgColor rgb="FF008080"/>
      </patternFill>
    </fill>
    <fill>
      <gradientFill degree="45">
        <stop position="0">
          <color theme="8" tint="0.59999389629810485"/>
        </stop>
        <stop position="0.5">
          <color theme="8" tint="-0.25098422193060094"/>
        </stop>
        <stop position="1">
          <color theme="8" tint="0.59999389629810485"/>
        </stop>
      </gradientFill>
    </fill>
    <fill>
      <gradientFill>
        <stop position="0">
          <color theme="1"/>
        </stop>
        <stop position="0.5">
          <color rgb="FF99FF33"/>
        </stop>
        <stop position="1">
          <color theme="1"/>
        </stop>
      </gradientFill>
    </fill>
    <fill>
      <patternFill patternType="solid">
        <fgColor theme="7"/>
        <bgColor indexed="64"/>
      </patternFill>
    </fill>
    <fill>
      <gradientFill degree="225">
        <stop position="0">
          <color theme="8" tint="0.80001220740379042"/>
        </stop>
        <stop position="1">
          <color theme="3" tint="-0.25098422193060094"/>
        </stop>
      </gradientFill>
    </fill>
    <fill>
      <gradientFill degree="45">
        <stop position="0">
          <color theme="9" tint="0.80001220740379042"/>
        </stop>
        <stop position="0.5">
          <color rgb="FFFF9900"/>
        </stop>
        <stop position="1">
          <color theme="9" tint="0.80001220740379042"/>
        </stop>
      </gradientFill>
    </fill>
    <fill>
      <gradientFill type="path" left="0.5" right="0.5" top="0.5" bottom="0.5">
        <stop position="0">
          <color theme="9" tint="0.80001220740379042"/>
        </stop>
        <stop position="1">
          <color theme="9" tint="-0.25098422193060094"/>
        </stop>
      </gradientFill>
    </fill>
    <fill>
      <patternFill patternType="solid">
        <fgColor theme="5" tint="0.39997558519241921"/>
        <bgColor rgb="FF0066CC"/>
      </patternFill>
    </fill>
    <fill>
      <gradientFill degree="90">
        <stop position="0">
          <color rgb="FF99CC00"/>
        </stop>
        <stop position="0.5">
          <color rgb="FFCC99FF"/>
        </stop>
        <stop position="1">
          <color rgb="FF99CC00"/>
        </stop>
      </gradientFill>
    </fill>
    <fill>
      <gradientFill degree="90">
        <stop position="0">
          <color theme="2"/>
        </stop>
        <stop position="1">
          <color theme="8" tint="0.59999389629810485"/>
        </stop>
      </gradientFill>
    </fill>
    <fill>
      <gradientFill degree="90">
        <stop position="0">
          <color theme="6" tint="-0.25098422193060094"/>
        </stop>
        <stop position="1">
          <color rgb="FF00B050"/>
        </stop>
      </gradientFill>
    </fill>
    <fill>
      <gradientFill degree="270">
        <stop position="0">
          <color theme="7" tint="0.40000610370189521"/>
        </stop>
        <stop position="1">
          <color rgb="FF7030A0"/>
        </stop>
      </gradientFill>
    </fill>
    <fill>
      <patternFill patternType="solid">
        <fgColor rgb="FFB6DEE8"/>
        <bgColor auto="1"/>
      </patternFill>
    </fill>
    <fill>
      <patternFill patternType="solid">
        <fgColor theme="8"/>
        <bgColor auto="1"/>
      </patternFill>
    </fill>
    <fill>
      <gradientFill degree="90">
        <stop position="0">
          <color rgb="FFFFCC00"/>
        </stop>
        <stop position="0.5">
          <color rgb="FFFFFF99"/>
        </stop>
        <stop position="1">
          <color rgb="FFFFCC00"/>
        </stop>
      </gradientFill>
    </fill>
    <fill>
      <patternFill patternType="solid">
        <fgColor rgb="FFCC3300"/>
        <bgColor rgb="FF0066CC"/>
      </patternFill>
    </fill>
    <fill>
      <gradientFill degree="45">
        <stop position="0">
          <color theme="0"/>
        </stop>
        <stop position="0.5">
          <color theme="3" tint="0.59999389629810485"/>
        </stop>
        <stop position="1">
          <color theme="0"/>
        </stop>
      </gradientFill>
    </fill>
    <fill>
      <patternFill patternType="solid">
        <fgColor theme="6" tint="0.39997558519241921"/>
        <bgColor rgb="FF0066CC"/>
      </patternFill>
    </fill>
    <fill>
      <patternFill patternType="solid">
        <fgColor theme="8" tint="-0.249977111117893"/>
        <bgColor rgb="FF0066CC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2" tint="-0.249977111117893"/>
        <bgColor rgb="FF0066CC"/>
      </patternFill>
    </fill>
    <fill>
      <patternFill patternType="solid">
        <fgColor theme="6" tint="-0.249977111117893"/>
        <bgColor rgb="FF000000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rgb="FFCCCCFF"/>
      </patternFill>
    </fill>
    <fill>
      <patternFill patternType="solid">
        <fgColor theme="7" tint="0.59999389629810485"/>
        <bgColor rgb="FFFFCC00"/>
      </patternFill>
    </fill>
    <fill>
      <patternFill patternType="solid">
        <fgColor theme="4" tint="-0.249977111117893"/>
        <bgColor rgb="FF0066CC"/>
      </patternFill>
    </fill>
    <fill>
      <patternFill patternType="solid">
        <fgColor rgb="FF7030A0"/>
        <bgColor rgb="FF0066CC"/>
      </patternFill>
    </fill>
    <fill>
      <patternFill patternType="solid">
        <fgColor theme="3" tint="0.39997558519241921"/>
        <bgColor rgb="FF000000"/>
      </patternFill>
    </fill>
    <fill>
      <patternFill patternType="solid">
        <fgColor theme="5" tint="0.39997558519241921"/>
        <bgColor rgb="FF000000"/>
      </patternFill>
    </fill>
    <fill>
      <patternFill patternType="solid">
        <fgColor theme="7" tint="0.59999389629810485"/>
        <bgColor rgb="FF000000"/>
      </patternFill>
    </fill>
    <fill>
      <patternFill patternType="solid">
        <fgColor theme="2" tint="-0.499984740745262"/>
        <bgColor rgb="FF000000"/>
      </patternFill>
    </fill>
    <fill>
      <patternFill patternType="solid">
        <fgColor rgb="FF9900CC"/>
        <bgColor rgb="FF000000"/>
      </patternFill>
    </fill>
    <fill>
      <gradientFill>
        <stop position="0">
          <color theme="0"/>
        </stop>
        <stop position="0.5">
          <color rgb="FFFF0000"/>
        </stop>
        <stop position="1">
          <color theme="0"/>
        </stop>
      </gradientFill>
    </fill>
    <fill>
      <patternFill patternType="solid">
        <fgColor theme="4" tint="0.79998168889431442"/>
        <bgColor rgb="FF000000"/>
      </patternFill>
    </fill>
    <fill>
      <gradientFill degree="90">
        <stop position="0">
          <color rgb="FFFFFF00"/>
        </stop>
        <stop position="1">
          <color rgb="FF00FFFF"/>
        </stop>
      </gradientFill>
    </fill>
    <fill>
      <patternFill patternType="solid">
        <fgColor theme="9" tint="0.39997558519241921"/>
        <bgColor rgb="FF000000"/>
      </patternFill>
    </fill>
    <fill>
      <gradientFill degree="90">
        <stop position="0">
          <color theme="2" tint="-9.8025452436902985E-2"/>
        </stop>
        <stop position="1">
          <color theme="2" tint="-0.74901577806939912"/>
        </stop>
      </gradientFill>
    </fill>
    <fill>
      <patternFill patternType="solid">
        <fgColor theme="0" tint="-0.249977111117893"/>
        <bgColor rgb="FF000000"/>
      </patternFill>
    </fill>
    <fill>
      <gradientFill degree="90">
        <stop position="0">
          <color rgb="FFFFFF00"/>
        </stop>
        <stop position="1">
          <color rgb="FFFF0000"/>
        </stop>
      </gradientFill>
    </fill>
    <fill>
      <patternFill patternType="solid">
        <fgColor theme="8" tint="-0.249977111117893"/>
        <bgColor rgb="FF000000"/>
      </patternFill>
    </fill>
    <fill>
      <patternFill patternType="gray0625">
        <fgColor theme="4" tint="0.39994506668294322"/>
        <bgColor theme="0"/>
      </patternFill>
    </fill>
    <fill>
      <patternFill patternType="solid">
        <fgColor theme="0"/>
        <bgColor rgb="FFFFC000"/>
      </patternFill>
    </fill>
    <fill>
      <patternFill patternType="solid">
        <fgColor theme="0"/>
        <bgColor rgb="FFFFCC00"/>
      </patternFill>
    </fill>
    <fill>
      <patternFill patternType="solid">
        <fgColor theme="0"/>
        <bgColor rgb="FF0066CC"/>
      </patternFill>
    </fill>
    <fill>
      <patternFill patternType="solid">
        <fgColor theme="0"/>
        <bgColor rgb="FFCCCCFF"/>
      </patternFill>
    </fill>
    <fill>
      <patternFill patternType="solid">
        <fgColor theme="0"/>
        <bgColor rgb="FF000000"/>
      </patternFill>
    </fill>
    <fill>
      <patternFill patternType="solid">
        <fgColor theme="0"/>
        <bgColor rgb="FF800080"/>
      </patternFill>
    </fill>
    <fill>
      <patternFill patternType="solid">
        <fgColor theme="0"/>
        <bgColor rgb="FFFF9900"/>
      </patternFill>
    </fill>
    <fill>
      <patternFill patternType="solid">
        <fgColor theme="0"/>
        <bgColor rgb="FFBFBFBF"/>
      </patternFill>
    </fill>
    <fill>
      <patternFill patternType="solid">
        <fgColor theme="0"/>
        <bgColor indexed="8"/>
      </patternFill>
    </fill>
  </fills>
  <borders count="1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medium">
        <color rgb="FF505050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/>
      <bottom style="medium">
        <color rgb="FF505050"/>
      </bottom>
      <diagonal/>
    </border>
    <border>
      <left style="thick">
        <color rgb="FFFF0000"/>
      </left>
      <right style="thick">
        <color rgb="FFFF0000"/>
      </right>
      <top style="thick">
        <color rgb="FFFF0000"/>
      </top>
      <bottom style="thick">
        <color rgb="FFFF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ck">
        <color rgb="FFFF0000"/>
      </left>
      <right/>
      <top style="thick">
        <color rgb="FFFF0000"/>
      </top>
      <bottom style="thick">
        <color rgb="FFFF0000"/>
      </bottom>
      <diagonal/>
    </border>
    <border>
      <left/>
      <right style="thick">
        <color rgb="FFFF0000"/>
      </right>
      <top style="thick">
        <color rgb="FFFF0000"/>
      </top>
      <bottom style="thick">
        <color rgb="FFFF0000"/>
      </bottom>
      <diagonal/>
    </border>
    <border>
      <left style="mediumDashed">
        <color auto="1"/>
      </left>
      <right/>
      <top style="mediumDashed">
        <color auto="1"/>
      </top>
      <bottom/>
      <diagonal/>
    </border>
    <border>
      <left/>
      <right/>
      <top style="mediumDashed">
        <color auto="1"/>
      </top>
      <bottom/>
      <diagonal/>
    </border>
    <border>
      <left/>
      <right style="mediumDashed">
        <color auto="1"/>
      </right>
      <top style="mediumDashed">
        <color auto="1"/>
      </top>
      <bottom/>
      <diagonal/>
    </border>
    <border>
      <left style="mediumDashed">
        <color auto="1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/>
      <diagonal/>
    </border>
    <border>
      <left/>
      <right style="mediumDashed">
        <color auto="1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 style="medium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 style="mediumDashed">
        <color auto="1"/>
      </left>
      <right/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theme="1"/>
      </bottom>
      <diagonal/>
    </border>
    <border>
      <left/>
      <right/>
      <top style="thin">
        <color indexed="64"/>
      </top>
      <bottom style="thin">
        <color theme="1"/>
      </bottom>
      <diagonal/>
    </border>
    <border>
      <left/>
      <right style="thin">
        <color indexed="64"/>
      </right>
      <top style="thin">
        <color indexed="64"/>
      </top>
      <bottom style="thin">
        <color theme="1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 style="mediumDashed">
        <color indexed="64"/>
      </left>
      <right style="mediumDashed">
        <color indexed="64"/>
      </right>
      <top style="mediumDashed">
        <color indexed="64"/>
      </top>
      <bottom style="mediumDashed">
        <color indexed="64"/>
      </bottom>
      <diagonal/>
    </border>
    <border>
      <left style="mediumDashed">
        <color indexed="64"/>
      </left>
      <right/>
      <top/>
      <bottom style="thin">
        <color rgb="FF000000"/>
      </bottom>
      <diagonal/>
    </border>
    <border>
      <left style="mediumDashed">
        <color auto="1"/>
      </left>
      <right/>
      <top style="thin">
        <color rgb="FF000000"/>
      </top>
      <bottom style="thin">
        <color rgb="FF000000"/>
      </bottom>
      <diagonal/>
    </border>
    <border>
      <left style="mediumDashed">
        <color auto="1"/>
      </left>
      <right/>
      <top/>
      <bottom/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Dashed">
        <color auto="1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mediumDashed">
        <color auto="1"/>
      </left>
      <right/>
      <top/>
      <bottom style="mediumDashed">
        <color auto="1"/>
      </bottom>
      <diagonal/>
    </border>
    <border>
      <left/>
      <right/>
      <top/>
      <bottom style="mediumDashed">
        <color auto="1"/>
      </bottom>
      <diagonal/>
    </border>
    <border>
      <left/>
      <right style="mediumDashed">
        <color auto="1"/>
      </right>
      <top/>
      <bottom style="mediumDashed">
        <color auto="1"/>
      </bottom>
      <diagonal/>
    </border>
  </borders>
  <cellStyleXfs count="308">
    <xf numFmtId="0" fontId="0" fillId="0" borderId="0"/>
    <xf numFmtId="0" fontId="12" fillId="2" borderId="0" applyNumberFormat="0" applyBorder="0" applyAlignment="0" applyProtection="0"/>
    <xf numFmtId="0" fontId="12" fillId="3" borderId="0" applyNumberFormat="0" applyBorder="0" applyAlignment="0" applyProtection="0"/>
    <xf numFmtId="0" fontId="12" fillId="4" borderId="0" applyNumberFormat="0" applyBorder="0" applyAlignment="0" applyProtection="0"/>
    <xf numFmtId="0" fontId="12" fillId="5" borderId="0" applyNumberFormat="0" applyBorder="0" applyAlignment="0" applyProtection="0"/>
    <xf numFmtId="0" fontId="12" fillId="6" borderId="0" applyNumberFormat="0" applyBorder="0" applyAlignment="0" applyProtection="0"/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12" fillId="12" borderId="0" applyNumberFormat="0" applyBorder="0" applyAlignment="0" applyProtection="0"/>
    <xf numFmtId="0" fontId="12" fillId="13" borderId="0" applyNumberFormat="0" applyBorder="0" applyAlignment="0" applyProtection="0"/>
    <xf numFmtId="0" fontId="13" fillId="14" borderId="0" applyNumberFormat="0" applyBorder="0" applyAlignment="0" applyProtection="0"/>
    <xf numFmtId="0" fontId="13" fillId="15" borderId="0" applyNumberFormat="0" applyBorder="0" applyAlignment="0" applyProtection="0"/>
    <xf numFmtId="0" fontId="13" fillId="16" borderId="0" applyNumberFormat="0" applyBorder="0" applyAlignment="0" applyProtection="0"/>
    <xf numFmtId="0" fontId="13" fillId="17" borderId="0" applyNumberFormat="0" applyBorder="0" applyAlignment="0" applyProtection="0"/>
    <xf numFmtId="0" fontId="13" fillId="18" borderId="0" applyNumberFormat="0" applyBorder="0" applyAlignment="0" applyProtection="0"/>
    <xf numFmtId="0" fontId="13" fillId="19" borderId="0" applyNumberFormat="0" applyBorder="0" applyAlignment="0" applyProtection="0"/>
    <xf numFmtId="0" fontId="14" fillId="20" borderId="0" applyNumberFormat="0" applyBorder="0" applyAlignment="0" applyProtection="0"/>
    <xf numFmtId="0" fontId="15" fillId="21" borderId="6" applyNumberFormat="0" applyAlignment="0" applyProtection="0"/>
    <xf numFmtId="0" fontId="16" fillId="22" borderId="7" applyNumberFormat="0" applyAlignment="0" applyProtection="0"/>
    <xf numFmtId="0" fontId="17" fillId="0" borderId="8" applyNumberFormat="0" applyFill="0" applyAlignment="0" applyProtection="0"/>
    <xf numFmtId="0" fontId="18" fillId="0" borderId="0" applyNumberFormat="0" applyFill="0" applyBorder="0" applyAlignment="0" applyProtection="0"/>
    <xf numFmtId="0" fontId="13" fillId="23" borderId="0" applyNumberFormat="0" applyBorder="0" applyAlignment="0" applyProtection="0"/>
    <xf numFmtId="0" fontId="13" fillId="24" borderId="0" applyNumberFormat="0" applyBorder="0" applyAlignment="0" applyProtection="0"/>
    <xf numFmtId="0" fontId="13" fillId="25" borderId="0" applyNumberFormat="0" applyBorder="0" applyAlignment="0" applyProtection="0"/>
    <xf numFmtId="0" fontId="13" fillId="26" borderId="0" applyNumberFormat="0" applyBorder="0" applyAlignment="0" applyProtection="0"/>
    <xf numFmtId="0" fontId="13" fillId="27" borderId="0" applyNumberFormat="0" applyBorder="0" applyAlignment="0" applyProtection="0"/>
    <xf numFmtId="0" fontId="13" fillId="28" borderId="0" applyNumberFormat="0" applyBorder="0" applyAlignment="0" applyProtection="0"/>
    <xf numFmtId="0" fontId="19" fillId="29" borderId="6" applyNumberFormat="0" applyAlignment="0" applyProtection="0"/>
    <xf numFmtId="0" fontId="5" fillId="0" borderId="0">
      <alignment vertical="top"/>
    </xf>
    <xf numFmtId="0" fontId="1" fillId="0" borderId="0"/>
    <xf numFmtId="0" fontId="8" fillId="30" borderId="0"/>
    <xf numFmtId="0" fontId="20" fillId="0" borderId="0" applyNumberFormat="0" applyFill="0" applyBorder="0" applyAlignment="0" applyProtection="0"/>
    <xf numFmtId="0" fontId="6" fillId="0" borderId="0" applyNumberFormat="0" applyFill="0" applyBorder="0" applyAlignment="0" applyProtection="0">
      <alignment vertical="top"/>
      <protection locked="0"/>
    </xf>
    <xf numFmtId="0" fontId="6" fillId="0" borderId="0" applyNumberFormat="0" applyFill="0" applyBorder="0" applyAlignment="0" applyProtection="0">
      <alignment vertical="top"/>
      <protection locked="0"/>
    </xf>
    <xf numFmtId="0" fontId="21" fillId="31" borderId="0" applyNumberFormat="0" applyBorder="0" applyAlignment="0" applyProtection="0"/>
    <xf numFmtId="168" fontId="5" fillId="0" borderId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5" fillId="0" borderId="0"/>
    <xf numFmtId="43" fontId="1" fillId="0" borderId="0" applyFont="0" applyFill="0" applyBorder="0" applyAlignment="0" applyProtection="0"/>
    <xf numFmtId="164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5" fillId="0" borderId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22" fillId="32" borderId="0" applyNumberFormat="0" applyBorder="0" applyAlignment="0" applyProtection="0"/>
    <xf numFmtId="0" fontId="2" fillId="0" borderId="0">
      <alignment vertical="top"/>
    </xf>
    <xf numFmtId="0" fontId="2" fillId="0" borderId="0">
      <alignment vertical="top"/>
    </xf>
    <xf numFmtId="0" fontId="2" fillId="0" borderId="0"/>
    <xf numFmtId="0" fontId="23" fillId="0" borderId="0"/>
    <xf numFmtId="0" fontId="1" fillId="0" borderId="0"/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1" fillId="0" borderId="0"/>
    <xf numFmtId="0" fontId="12" fillId="0" borderId="0"/>
    <xf numFmtId="0" fontId="10" fillId="0" borderId="0">
      <alignment vertical="center"/>
    </xf>
    <xf numFmtId="0" fontId="12" fillId="0" borderId="0"/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protection locked="0"/>
    </xf>
    <xf numFmtId="0" fontId="2" fillId="0" borderId="0">
      <alignment vertical="top"/>
    </xf>
    <xf numFmtId="0" fontId="12" fillId="0" borderId="0"/>
    <xf numFmtId="0" fontId="5" fillId="0" borderId="0"/>
    <xf numFmtId="0" fontId="2" fillId="0" borderId="0">
      <alignment vertical="top"/>
    </xf>
    <xf numFmtId="0" fontId="2" fillId="0" borderId="0">
      <protection locked="0"/>
    </xf>
    <xf numFmtId="0" fontId="5" fillId="0" borderId="0"/>
    <xf numFmtId="0" fontId="5" fillId="0" borderId="0"/>
    <xf numFmtId="0" fontId="2" fillId="0" borderId="0">
      <alignment vertical="top"/>
    </xf>
    <xf numFmtId="0" fontId="5" fillId="0" borderId="0"/>
    <xf numFmtId="0" fontId="5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top"/>
    </xf>
    <xf numFmtId="0" fontId="2" fillId="0" borderId="0"/>
    <xf numFmtId="0" fontId="2" fillId="0" borderId="0">
      <protection locked="0"/>
    </xf>
    <xf numFmtId="0" fontId="24" fillId="0" borderId="0" applyNumberFormat="0" applyBorder="0" applyProtection="0"/>
    <xf numFmtId="0" fontId="2" fillId="0" borderId="0">
      <alignment vertical="top"/>
    </xf>
    <xf numFmtId="0" fontId="2" fillId="0" borderId="0">
      <protection locked="0"/>
    </xf>
    <xf numFmtId="0" fontId="2" fillId="0" borderId="0"/>
    <xf numFmtId="0" fontId="2" fillId="0" borderId="0"/>
    <xf numFmtId="0" fontId="12" fillId="0" borderId="0"/>
    <xf numFmtId="0" fontId="24" fillId="0" borderId="0" applyNumberFormat="0" applyBorder="0" applyProtection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protection locked="0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4" fillId="0" borderId="0">
      <alignment vertical="top"/>
    </xf>
    <xf numFmtId="0" fontId="2" fillId="0" borderId="0"/>
    <xf numFmtId="0" fontId="2" fillId="0" borderId="0">
      <protection locked="0"/>
    </xf>
    <xf numFmtId="0" fontId="12" fillId="0" borderId="0"/>
    <xf numFmtId="0" fontId="2" fillId="0" borderId="0">
      <alignment vertical="top"/>
    </xf>
    <xf numFmtId="0" fontId="5" fillId="0" borderId="0">
      <alignment vertical="top"/>
    </xf>
    <xf numFmtId="0" fontId="4" fillId="0" borderId="0">
      <alignment vertical="top"/>
    </xf>
    <xf numFmtId="0" fontId="5" fillId="0" borderId="0">
      <alignment vertical="top"/>
    </xf>
    <xf numFmtId="0" fontId="2" fillId="0" borderId="0">
      <alignment vertical="top"/>
    </xf>
    <xf numFmtId="0" fontId="5" fillId="0" borderId="0">
      <alignment vertical="top"/>
    </xf>
    <xf numFmtId="0" fontId="1" fillId="0" borderId="0"/>
    <xf numFmtId="0" fontId="2" fillId="0" borderId="0"/>
    <xf numFmtId="0" fontId="5" fillId="0" borderId="0"/>
    <xf numFmtId="0" fontId="1" fillId="0" borderId="0"/>
    <xf numFmtId="0" fontId="2" fillId="0" borderId="0"/>
    <xf numFmtId="0" fontId="12" fillId="0" borderId="0"/>
    <xf numFmtId="0" fontId="2" fillId="0" borderId="0"/>
    <xf numFmtId="0" fontId="2" fillId="0" borderId="0"/>
    <xf numFmtId="0" fontId="2" fillId="0" borderId="0"/>
    <xf numFmtId="0" fontId="12" fillId="0" borderId="0"/>
    <xf numFmtId="0" fontId="5" fillId="0" borderId="0"/>
    <xf numFmtId="0" fontId="2" fillId="0" borderId="0">
      <alignment vertical="top"/>
    </xf>
    <xf numFmtId="0" fontId="11" fillId="0" borderId="0"/>
    <xf numFmtId="0" fontId="1" fillId="0" borderId="0"/>
    <xf numFmtId="0" fontId="12" fillId="0" borderId="0"/>
    <xf numFmtId="0" fontId="12" fillId="0" borderId="0"/>
    <xf numFmtId="0" fontId="2" fillId="0" borderId="0">
      <alignment vertical="top"/>
    </xf>
    <xf numFmtId="0" fontId="12" fillId="0" borderId="0"/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9" fillId="0" borderId="0"/>
    <xf numFmtId="0" fontId="12" fillId="33" borderId="9" applyNumberFormat="0" applyFont="0" applyAlignment="0" applyProtection="0"/>
    <xf numFmtId="0" fontId="12" fillId="33" borderId="9" applyNumberFormat="0" applyFont="0" applyAlignment="0" applyProtection="0"/>
    <xf numFmtId="0" fontId="1" fillId="33" borderId="9" applyNumberFormat="0" applyFont="0" applyAlignment="0" applyProtection="0"/>
    <xf numFmtId="0" fontId="1" fillId="33" borderId="9" applyNumberFormat="0" applyFont="0" applyAlignment="0" applyProtection="0"/>
    <xf numFmtId="0" fontId="1" fillId="33" borderId="9" applyNumberFormat="0" applyFont="0" applyAlignment="0" applyProtection="0"/>
    <xf numFmtId="0" fontId="1" fillId="33" borderId="9" applyNumberFormat="0" applyFont="0" applyAlignment="0" applyProtection="0"/>
    <xf numFmtId="0" fontId="1" fillId="33" borderId="9" applyNumberFormat="0" applyFont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5" fillId="21" borderId="10" applyNumberFormat="0" applyAlignment="0" applyProtection="0"/>
    <xf numFmtId="0" fontId="5" fillId="0" borderId="0">
      <alignment vertical="top"/>
    </xf>
    <xf numFmtId="0" fontId="5" fillId="0" borderId="0">
      <alignment vertical="top"/>
    </xf>
    <xf numFmtId="0" fontId="24" fillId="0" borderId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9" fillId="0" borderId="11" applyNumberFormat="0" applyFill="0" applyAlignment="0" applyProtection="0"/>
    <xf numFmtId="0" fontId="30" fillId="0" borderId="12" applyNumberFormat="0" applyFill="0" applyAlignment="0" applyProtection="0"/>
    <xf numFmtId="0" fontId="18" fillId="0" borderId="13" applyNumberFormat="0" applyFill="0" applyAlignment="0" applyProtection="0"/>
    <xf numFmtId="0" fontId="31" fillId="0" borderId="14" applyNumberFormat="0" applyFill="0" applyAlignment="0" applyProtection="0"/>
    <xf numFmtId="0" fontId="12" fillId="0" borderId="0"/>
    <xf numFmtId="0" fontId="2" fillId="0" borderId="0">
      <protection locked="0"/>
    </xf>
    <xf numFmtId="0" fontId="11" fillId="0" borderId="0">
      <alignment vertical="top"/>
    </xf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5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292">
    <xf numFmtId="0" fontId="0" fillId="0" borderId="0" xfId="0"/>
    <xf numFmtId="0" fontId="0" fillId="0" borderId="0" xfId="0" applyAlignment="1">
      <alignment horizontal="center" vertical="center"/>
    </xf>
    <xf numFmtId="0" fontId="45" fillId="66" borderId="1" xfId="150" applyFont="1" applyFill="1" applyBorder="1" applyAlignment="1">
      <alignment horizontal="center" vertical="center" shrinkToFit="1"/>
    </xf>
    <xf numFmtId="0" fontId="47" fillId="73" borderId="15" xfId="138" applyFont="1" applyFill="1" applyBorder="1" applyAlignment="1">
      <alignment horizontal="center" vertical="center" shrinkToFit="1"/>
    </xf>
    <xf numFmtId="0" fontId="47" fillId="74" borderId="1" xfId="138" applyFont="1" applyFill="1" applyBorder="1" applyAlignment="1">
      <alignment horizontal="center" vertical="center" shrinkToFit="1"/>
    </xf>
    <xf numFmtId="0" fontId="43" fillId="55" borderId="16" xfId="150" applyFont="1" applyFill="1" applyBorder="1" applyAlignment="1">
      <alignment horizontal="center" vertical="center" shrinkToFit="1"/>
    </xf>
    <xf numFmtId="0" fontId="48" fillId="75" borderId="16" xfId="150" applyFont="1" applyFill="1" applyBorder="1" applyAlignment="1">
      <alignment horizontal="center" vertical="center" shrinkToFit="1"/>
    </xf>
    <xf numFmtId="0" fontId="42" fillId="76" borderId="17" xfId="138" applyFont="1" applyFill="1" applyBorder="1" applyAlignment="1">
      <alignment horizontal="center" vertical="center" shrinkToFit="1"/>
    </xf>
    <xf numFmtId="0" fontId="49" fillId="77" borderId="17" xfId="150" applyFont="1" applyFill="1" applyBorder="1" applyAlignment="1">
      <alignment horizontal="center" vertical="center" shrinkToFit="1"/>
    </xf>
    <xf numFmtId="0" fontId="50" fillId="78" borderId="1" xfId="150" applyFont="1" applyFill="1" applyBorder="1" applyAlignment="1">
      <alignment horizontal="center" vertical="center" shrinkToFit="1"/>
    </xf>
    <xf numFmtId="0" fontId="31" fillId="0" borderId="0" xfId="0" applyFont="1" applyAlignment="1">
      <alignment horizontal="center"/>
    </xf>
    <xf numFmtId="0" fontId="36" fillId="37" borderId="1" xfId="0" applyFont="1" applyFill="1" applyBorder="1" applyAlignment="1">
      <alignment horizontal="center" vertical="center"/>
    </xf>
    <xf numFmtId="0" fontId="36" fillId="57" borderId="1" xfId="0" applyFont="1" applyFill="1" applyBorder="1" applyAlignment="1">
      <alignment horizontal="center" vertical="center"/>
    </xf>
    <xf numFmtId="0" fontId="35" fillId="42" borderId="1" xfId="0" applyFont="1" applyFill="1" applyBorder="1" applyAlignment="1">
      <alignment horizontal="center" vertical="center"/>
    </xf>
    <xf numFmtId="0" fontId="35" fillId="34" borderId="1" xfId="0" applyFont="1" applyFill="1" applyBorder="1" applyAlignment="1">
      <alignment horizontal="center" vertical="center"/>
    </xf>
    <xf numFmtId="0" fontId="42" fillId="82" borderId="17" xfId="138" applyFont="1" applyFill="1" applyBorder="1" applyAlignment="1">
      <alignment horizontal="center" vertical="center" shrinkToFit="1"/>
    </xf>
    <xf numFmtId="0" fontId="49" fillId="98" borderId="17" xfId="150" applyFont="1" applyFill="1" applyBorder="1" applyAlignment="1">
      <alignment horizontal="center" vertical="center" shrinkToFit="1"/>
    </xf>
    <xf numFmtId="0" fontId="50" fillId="99" borderId="1" xfId="150" applyFont="1" applyFill="1" applyBorder="1" applyAlignment="1">
      <alignment horizontal="center" vertical="center" shrinkToFit="1"/>
    </xf>
    <xf numFmtId="0" fontId="48" fillId="100" borderId="15" xfId="138" applyFont="1" applyFill="1" applyBorder="1" applyAlignment="1">
      <alignment horizontal="center" vertical="center" shrinkToFit="1"/>
    </xf>
    <xf numFmtId="0" fontId="47" fillId="101" borderId="1" xfId="138" applyFont="1" applyFill="1" applyBorder="1" applyAlignment="1">
      <alignment horizontal="center" vertical="center" shrinkToFit="1"/>
    </xf>
    <xf numFmtId="0" fontId="57" fillId="102" borderId="16" xfId="150" applyFont="1" applyFill="1" applyBorder="1" applyAlignment="1">
      <alignment horizontal="center" vertical="center" shrinkToFit="1"/>
    </xf>
    <xf numFmtId="0" fontId="48" fillId="66" borderId="16" xfId="150" applyFont="1" applyFill="1" applyBorder="1" applyAlignment="1">
      <alignment horizontal="center" vertical="center" shrinkToFit="1"/>
    </xf>
    <xf numFmtId="0" fontId="50" fillId="105" borderId="1" xfId="150" applyFont="1" applyFill="1" applyBorder="1" applyAlignment="1">
      <alignment horizontal="center" vertical="center" shrinkToFit="1"/>
    </xf>
    <xf numFmtId="0" fontId="23" fillId="0" borderId="0" xfId="0" applyFont="1" applyAlignment="1">
      <alignment horizontal="center" vertical="center"/>
    </xf>
    <xf numFmtId="0" fontId="62" fillId="0" borderId="0" xfId="177" applyFont="1" applyAlignment="1">
      <alignment horizontal="center" vertical="center"/>
    </xf>
    <xf numFmtId="0" fontId="62" fillId="0" borderId="0" xfId="177" applyFont="1" applyAlignment="1">
      <alignment vertical="center"/>
    </xf>
    <xf numFmtId="0" fontId="63" fillId="0" borderId="25" xfId="0" applyFont="1" applyBorder="1" applyAlignment="1">
      <alignment horizontal="center" vertical="center"/>
    </xf>
    <xf numFmtId="0" fontId="62" fillId="0" borderId="25" xfId="177" applyFont="1" applyBorder="1" applyAlignment="1">
      <alignment horizontal="center" vertical="center"/>
    </xf>
    <xf numFmtId="0" fontId="0" fillId="0" borderId="25" xfId="0" applyBorder="1" applyAlignment="1">
      <alignment vertical="center"/>
    </xf>
    <xf numFmtId="0" fontId="64" fillId="0" borderId="25" xfId="0" applyFont="1" applyBorder="1" applyAlignment="1" applyProtection="1">
      <alignment vertical="center"/>
      <protection locked="0"/>
    </xf>
    <xf numFmtId="0" fontId="2" fillId="0" borderId="25" xfId="177" applyBorder="1" applyAlignment="1">
      <alignment horizontal="center" vertical="center"/>
    </xf>
    <xf numFmtId="0" fontId="2" fillId="0" borderId="0" xfId="177" applyAlignment="1">
      <alignment horizontal="center" vertical="center"/>
    </xf>
    <xf numFmtId="0" fontId="65" fillId="111" borderId="1" xfId="138" applyFont="1" applyFill="1" applyBorder="1" applyAlignment="1">
      <alignment horizontal="center" vertical="center" shrinkToFit="1"/>
    </xf>
    <xf numFmtId="0" fontId="0" fillId="0" borderId="0" xfId="0" applyAlignment="1">
      <alignment vertical="center"/>
    </xf>
    <xf numFmtId="0" fontId="66" fillId="112" borderId="2" xfId="138" applyFont="1" applyFill="1" applyBorder="1" applyAlignment="1">
      <alignment horizontal="center" vertical="center" shrinkToFit="1"/>
    </xf>
    <xf numFmtId="0" fontId="66" fillId="0" borderId="2" xfId="138" applyFont="1" applyBorder="1" applyAlignment="1">
      <alignment horizontal="center" vertical="center" shrinkToFit="1"/>
    </xf>
    <xf numFmtId="0" fontId="67" fillId="113" borderId="2" xfId="138" applyFont="1" applyFill="1" applyBorder="1" applyAlignment="1">
      <alignment horizontal="center" vertical="center" shrinkToFit="1"/>
    </xf>
    <xf numFmtId="0" fontId="66" fillId="114" borderId="2" xfId="138" applyFont="1" applyFill="1" applyBorder="1" applyAlignment="1">
      <alignment horizontal="center" vertical="center" shrinkToFit="1"/>
    </xf>
    <xf numFmtId="0" fontId="66" fillId="115" borderId="2" xfId="138" applyFont="1" applyFill="1" applyBorder="1" applyAlignment="1">
      <alignment horizontal="center" vertical="center" shrinkToFit="1"/>
    </xf>
    <xf numFmtId="0" fontId="67" fillId="91" borderId="26" xfId="138" applyFont="1" applyFill="1" applyBorder="1" applyAlignment="1">
      <alignment horizontal="center" vertical="center" shrinkToFit="1"/>
    </xf>
    <xf numFmtId="0" fontId="0" fillId="81" borderId="0" xfId="0" applyFill="1" applyAlignment="1">
      <alignment vertical="center"/>
    </xf>
    <xf numFmtId="0" fontId="2" fillId="116" borderId="27" xfId="0" applyFont="1" applyFill="1" applyBorder="1" applyAlignment="1">
      <alignment horizontal="center" vertical="center"/>
    </xf>
    <xf numFmtId="0" fontId="31" fillId="0" borderId="28" xfId="0" applyFont="1" applyBorder="1" applyAlignment="1">
      <alignment horizontal="center" vertical="center"/>
    </xf>
    <xf numFmtId="0" fontId="68" fillId="116" borderId="29" xfId="0" applyFont="1" applyFill="1" applyBorder="1" applyAlignment="1">
      <alignment horizontal="center" vertical="center"/>
    </xf>
    <xf numFmtId="0" fontId="59" fillId="0" borderId="0" xfId="0" applyFont="1" applyAlignment="1">
      <alignment horizontal="center" vertical="center"/>
    </xf>
    <xf numFmtId="0" fontId="49" fillId="0" borderId="0" xfId="177" applyFont="1" applyAlignment="1">
      <alignment horizontal="center" vertical="center" wrapText="1"/>
    </xf>
    <xf numFmtId="0" fontId="23" fillId="0" borderId="30" xfId="0" applyFont="1" applyBorder="1" applyAlignment="1">
      <alignment horizontal="center" vertical="center"/>
    </xf>
    <xf numFmtId="0" fontId="69" fillId="0" borderId="0" xfId="0" applyFont="1" applyAlignment="1">
      <alignment vertical="center"/>
    </xf>
    <xf numFmtId="0" fontId="49" fillId="0" borderId="0" xfId="0" applyFont="1" applyAlignment="1">
      <alignment horizontal="center" vertical="center"/>
    </xf>
    <xf numFmtId="0" fontId="70" fillId="81" borderId="0" xfId="0" applyFont="1" applyFill="1" applyAlignment="1">
      <alignment horizontal="center" vertical="center"/>
    </xf>
    <xf numFmtId="0" fontId="68" fillId="116" borderId="0" xfId="0" applyFont="1" applyFill="1" applyAlignment="1">
      <alignment horizontal="center" vertical="center"/>
    </xf>
    <xf numFmtId="0" fontId="71" fillId="81" borderId="31" xfId="177" applyFont="1" applyFill="1" applyBorder="1" applyAlignment="1">
      <alignment horizontal="center" vertical="center"/>
    </xf>
    <xf numFmtId="0" fontId="72" fillId="0" borderId="0" xfId="177" applyFont="1" applyAlignment="1">
      <alignment horizontal="left" vertical="center"/>
    </xf>
    <xf numFmtId="0" fontId="49" fillId="0" borderId="0" xfId="177" applyFont="1" applyAlignment="1">
      <alignment horizontal="center" vertical="center"/>
    </xf>
    <xf numFmtId="0" fontId="71" fillId="81" borderId="0" xfId="177" applyFont="1" applyFill="1" applyAlignment="1">
      <alignment horizontal="center" vertical="center"/>
    </xf>
    <xf numFmtId="0" fontId="70" fillId="81" borderId="31" xfId="0" applyFont="1" applyFill="1" applyBorder="1" applyAlignment="1">
      <alignment horizontal="center" vertical="center"/>
    </xf>
    <xf numFmtId="0" fontId="54" fillId="0" borderId="0" xfId="0" applyFont="1" applyAlignment="1">
      <alignment horizontal="center" vertical="center" shrinkToFit="1"/>
    </xf>
    <xf numFmtId="0" fontId="73" fillId="0" borderId="0" xfId="0" applyFont="1" applyAlignment="1">
      <alignment horizontal="center" vertical="center"/>
    </xf>
    <xf numFmtId="49" fontId="65" fillId="0" borderId="0" xfId="177" applyNumberFormat="1" applyFont="1" applyAlignment="1">
      <alignment horizontal="center" vertical="center"/>
    </xf>
    <xf numFmtId="0" fontId="71" fillId="81" borderId="0" xfId="177" applyFont="1" applyFill="1" applyAlignment="1">
      <alignment horizontal="right" vertical="center"/>
    </xf>
    <xf numFmtId="0" fontId="35" fillId="95" borderId="32" xfId="0" applyFont="1" applyFill="1" applyBorder="1" applyAlignment="1">
      <alignment horizontal="center" vertical="center"/>
    </xf>
    <xf numFmtId="0" fontId="63" fillId="0" borderId="0" xfId="0" applyFont="1" applyAlignment="1">
      <alignment horizontal="center" vertical="center"/>
    </xf>
    <xf numFmtId="0" fontId="74" fillId="0" borderId="0" xfId="0" applyFont="1" applyAlignment="1">
      <alignment horizontal="center" vertical="center"/>
    </xf>
    <xf numFmtId="0" fontId="75" fillId="117" borderId="0" xfId="0" applyFont="1" applyFill="1" applyAlignment="1">
      <alignment horizontal="center" vertical="center"/>
    </xf>
    <xf numFmtId="0" fontId="76" fillId="109" borderId="0" xfId="118" applyFont="1" applyFill="1" applyAlignment="1">
      <alignment horizontal="center" vertical="center"/>
    </xf>
    <xf numFmtId="0" fontId="77" fillId="117" borderId="0" xfId="0" applyFont="1" applyFill="1" applyAlignment="1">
      <alignment horizontal="center" vertical="center"/>
    </xf>
    <xf numFmtId="0" fontId="78" fillId="118" borderId="1" xfId="131" applyFont="1" applyFill="1" applyBorder="1" applyAlignment="1">
      <alignment horizontal="center"/>
    </xf>
    <xf numFmtId="0" fontId="79" fillId="52" borderId="1" xfId="0" applyFont="1" applyFill="1" applyBorder="1" applyAlignment="1">
      <alignment horizontal="center" vertical="center"/>
    </xf>
    <xf numFmtId="0" fontId="80" fillId="103" borderId="0" xfId="131" applyFont="1" applyFill="1" applyAlignment="1">
      <alignment horizontal="center" vertical="center"/>
    </xf>
    <xf numFmtId="0" fontId="81" fillId="61" borderId="1" xfId="131" applyFont="1" applyFill="1" applyBorder="1" applyAlignment="1">
      <alignment horizontal="center" vertical="center"/>
    </xf>
    <xf numFmtId="0" fontId="39" fillId="97" borderId="33" xfId="0" applyFont="1" applyFill="1" applyBorder="1" applyAlignment="1">
      <alignment horizontal="center" vertical="center"/>
    </xf>
    <xf numFmtId="0" fontId="82" fillId="103" borderId="34" xfId="177" applyFont="1" applyFill="1" applyBorder="1" applyAlignment="1">
      <alignment horizontal="center" vertical="center" wrapText="1"/>
    </xf>
    <xf numFmtId="0" fontId="62" fillId="0" borderId="0" xfId="177" applyFont="1" applyAlignment="1">
      <alignment horizontal="left" vertical="center"/>
    </xf>
    <xf numFmtId="49" fontId="65" fillId="119" borderId="0" xfId="177" applyNumberFormat="1" applyFont="1" applyFill="1" applyAlignment="1">
      <alignment horizontal="center" vertical="center"/>
    </xf>
    <xf numFmtId="0" fontId="36" fillId="47" borderId="35" xfId="0" applyFont="1" applyFill="1" applyBorder="1" applyAlignment="1">
      <alignment horizontal="center" vertical="center"/>
    </xf>
    <xf numFmtId="0" fontId="82" fillId="103" borderId="30" xfId="177" applyFont="1" applyFill="1" applyBorder="1" applyAlignment="1">
      <alignment horizontal="center" vertical="center" wrapText="1"/>
    </xf>
    <xf numFmtId="0" fontId="82" fillId="103" borderId="0" xfId="177" applyFont="1" applyFill="1" applyAlignment="1">
      <alignment horizontal="center" vertical="center" wrapText="1"/>
    </xf>
    <xf numFmtId="0" fontId="82" fillId="103" borderId="31" xfId="177" applyFont="1" applyFill="1" applyBorder="1" applyAlignment="1">
      <alignment horizontal="center" vertical="center" wrapText="1"/>
    </xf>
    <xf numFmtId="0" fontId="37" fillId="0" borderId="0" xfId="141" applyFont="1" applyAlignment="1">
      <alignment horizontal="center" vertical="center" shrinkToFit="1"/>
    </xf>
    <xf numFmtId="0" fontId="35" fillId="71" borderId="1" xfId="250" applyFont="1" applyFill="1" applyBorder="1" applyAlignment="1">
      <alignment horizontal="center" vertical="center"/>
    </xf>
    <xf numFmtId="0" fontId="83" fillId="0" borderId="0" xfId="0" applyFont="1" applyAlignment="1">
      <alignment horizontal="center" vertical="center"/>
    </xf>
    <xf numFmtId="0" fontId="56" fillId="0" borderId="0" xfId="138" applyFont="1" applyAlignment="1">
      <alignment horizontal="center" vertical="center" shrinkToFit="1"/>
    </xf>
    <xf numFmtId="0" fontId="51" fillId="0" borderId="0" xfId="0" applyFont="1" applyAlignment="1">
      <alignment horizontal="center" vertical="center"/>
    </xf>
    <xf numFmtId="0" fontId="84" fillId="107" borderId="1" xfId="131" applyFont="1" applyFill="1" applyBorder="1" applyAlignment="1">
      <alignment horizontal="center" vertical="center"/>
    </xf>
    <xf numFmtId="0" fontId="44" fillId="92" borderId="15" xfId="0" applyFont="1" applyFill="1" applyBorder="1" applyAlignment="1">
      <alignment horizontal="center" vertical="center"/>
    </xf>
    <xf numFmtId="0" fontId="84" fillId="120" borderId="1" xfId="131" applyFont="1" applyFill="1" applyBorder="1" applyAlignment="1">
      <alignment horizontal="center" vertical="center"/>
    </xf>
    <xf numFmtId="0" fontId="81" fillId="61" borderId="37" xfId="131" applyFont="1" applyFill="1" applyBorder="1" applyAlignment="1">
      <alignment horizontal="center" vertical="center"/>
    </xf>
    <xf numFmtId="0" fontId="39" fillId="97" borderId="32" xfId="0" applyFont="1" applyFill="1" applyBorder="1" applyAlignment="1">
      <alignment horizontal="center" vertical="center"/>
    </xf>
    <xf numFmtId="0" fontId="85" fillId="121" borderId="0" xfId="0" applyFont="1" applyFill="1" applyAlignment="1">
      <alignment horizontal="center" vertical="center"/>
    </xf>
    <xf numFmtId="0" fontId="37" fillId="0" borderId="0" xfId="141" applyFont="1" applyAlignment="1">
      <alignment horizontal="left" vertical="center" shrinkToFit="1"/>
    </xf>
    <xf numFmtId="0" fontId="0" fillId="0" borderId="0" xfId="0" applyAlignment="1">
      <alignment horizontal="right" vertical="center"/>
    </xf>
    <xf numFmtId="0" fontId="39" fillId="97" borderId="38" xfId="0" applyFont="1" applyFill="1" applyBorder="1" applyAlignment="1">
      <alignment horizontal="center" vertical="center"/>
    </xf>
    <xf numFmtId="0" fontId="86" fillId="84" borderId="0" xfId="0" applyFont="1" applyFill="1" applyAlignment="1">
      <alignment horizontal="center" vertical="center"/>
    </xf>
    <xf numFmtId="0" fontId="2" fillId="116" borderId="0" xfId="0" applyFont="1" applyFill="1" applyAlignment="1">
      <alignment horizontal="center" vertical="center"/>
    </xf>
    <xf numFmtId="0" fontId="33" fillId="35" borderId="0" xfId="0" applyFont="1" applyFill="1" applyAlignment="1">
      <alignment horizontal="center" vertical="center"/>
    </xf>
    <xf numFmtId="0" fontId="23" fillId="0" borderId="27" xfId="0" applyFont="1" applyBorder="1" applyAlignment="1">
      <alignment horizontal="center" vertical="center"/>
    </xf>
    <xf numFmtId="0" fontId="23" fillId="0" borderId="29" xfId="0" applyFont="1" applyBorder="1" applyAlignment="1">
      <alignment horizontal="center" vertical="center"/>
    </xf>
    <xf numFmtId="0" fontId="37" fillId="0" borderId="0" xfId="141" applyFont="1" applyAlignment="1">
      <alignment horizontal="right" vertical="center" shrinkToFit="1"/>
    </xf>
    <xf numFmtId="0" fontId="87" fillId="81" borderId="0" xfId="0" applyFont="1" applyFill="1" applyAlignment="1">
      <alignment horizontal="center" vertical="center"/>
    </xf>
    <xf numFmtId="0" fontId="23" fillId="0" borderId="31" xfId="0" applyFont="1" applyBorder="1" applyAlignment="1">
      <alignment horizontal="center" vertical="center"/>
    </xf>
    <xf numFmtId="0" fontId="75" fillId="122" borderId="0" xfId="0" applyFont="1" applyFill="1" applyAlignment="1">
      <alignment horizontal="center" vertical="center"/>
    </xf>
    <xf numFmtId="0" fontId="44" fillId="92" borderId="41" xfId="0" applyFont="1" applyFill="1" applyBorder="1" applyAlignment="1">
      <alignment horizontal="center" vertical="center"/>
    </xf>
    <xf numFmtId="0" fontId="88" fillId="0" borderId="0" xfId="0" applyFont="1" applyAlignment="1">
      <alignment horizontal="left" vertical="top"/>
    </xf>
    <xf numFmtId="0" fontId="37" fillId="0" borderId="0" xfId="0" applyFont="1" applyAlignment="1">
      <alignment horizontal="center" vertical="center" shrinkToFit="1"/>
    </xf>
    <xf numFmtId="0" fontId="89" fillId="123" borderId="42" xfId="131" applyFont="1" applyFill="1" applyBorder="1" applyAlignment="1">
      <alignment horizontal="center" vertical="center"/>
    </xf>
    <xf numFmtId="0" fontId="86" fillId="0" borderId="0" xfId="141" applyFont="1" applyAlignment="1">
      <alignment horizontal="center" vertical="center" shrinkToFit="1"/>
    </xf>
    <xf numFmtId="0" fontId="35" fillId="71" borderId="15" xfId="250" applyFont="1" applyFill="1" applyBorder="1" applyAlignment="1">
      <alignment horizontal="center" vertical="center"/>
    </xf>
    <xf numFmtId="0" fontId="90" fillId="0" borderId="0" xfId="0" applyFont="1" applyAlignment="1">
      <alignment horizontal="center" vertical="center"/>
    </xf>
    <xf numFmtId="0" fontId="23" fillId="0" borderId="0" xfId="0" applyFont="1" applyAlignment="1" applyProtection="1">
      <alignment horizontal="center" vertical="center"/>
      <protection locked="0"/>
    </xf>
    <xf numFmtId="0" fontId="91" fillId="103" borderId="0" xfId="129" applyFont="1" applyFill="1" applyAlignment="1">
      <alignment horizontal="center" vertical="center"/>
    </xf>
    <xf numFmtId="0" fontId="92" fillId="0" borderId="0" xfId="0" applyFont="1" applyAlignment="1" applyProtection="1">
      <alignment vertical="center"/>
      <protection locked="0"/>
    </xf>
    <xf numFmtId="0" fontId="49" fillId="0" borderId="0" xfId="0" applyFont="1" applyAlignment="1">
      <alignment horizontal="left" vertical="center"/>
    </xf>
    <xf numFmtId="0" fontId="87" fillId="86" borderId="0" xfId="0" applyFont="1" applyFill="1" applyAlignment="1">
      <alignment horizontal="center" vertical="center"/>
    </xf>
    <xf numFmtId="0" fontId="35" fillId="124" borderId="43" xfId="0" applyFont="1" applyFill="1" applyBorder="1" applyAlignment="1">
      <alignment horizontal="center" vertical="center"/>
    </xf>
    <xf numFmtId="0" fontId="93" fillId="0" borderId="0" xfId="141" applyFont="1" applyAlignment="1">
      <alignment horizontal="center" vertical="center" shrinkToFit="1"/>
    </xf>
    <xf numFmtId="0" fontId="94" fillId="0" borderId="0" xfId="129" applyFont="1" applyAlignment="1">
      <alignment horizontal="center" vertical="center" shrinkToFit="1"/>
    </xf>
    <xf numFmtId="0" fontId="54" fillId="0" borderId="0" xfId="142" applyFont="1" applyAlignment="1" applyProtection="1">
      <alignment horizontal="center" vertical="center" shrinkToFit="1"/>
    </xf>
    <xf numFmtId="0" fontId="35" fillId="87" borderId="17" xfId="0" applyFont="1" applyFill="1" applyBorder="1" applyAlignment="1">
      <alignment horizontal="center" vertical="center"/>
    </xf>
    <xf numFmtId="0" fontId="70" fillId="35" borderId="0" xfId="0" applyFont="1" applyFill="1" applyAlignment="1">
      <alignment horizontal="center" vertical="center"/>
    </xf>
    <xf numFmtId="0" fontId="84" fillId="50" borderId="1" xfId="131" applyFont="1" applyFill="1" applyBorder="1" applyAlignment="1">
      <alignment horizontal="center" vertical="center"/>
    </xf>
    <xf numFmtId="0" fontId="45" fillId="0" borderId="0" xfId="141" applyFont="1" applyAlignment="1">
      <alignment horizontal="center" vertical="center" shrinkToFit="1"/>
    </xf>
    <xf numFmtId="0" fontId="31" fillId="0" borderId="43" xfId="0" applyFont="1" applyBorder="1" applyAlignment="1">
      <alignment horizontal="center" vertical="center"/>
    </xf>
    <xf numFmtId="0" fontId="31" fillId="0" borderId="41" xfId="0" applyFont="1" applyBorder="1" applyAlignment="1">
      <alignment horizontal="center" vertical="center"/>
    </xf>
    <xf numFmtId="0" fontId="37" fillId="0" borderId="0" xfId="0" applyFont="1" applyAlignment="1">
      <alignment horizontal="center" vertical="center"/>
    </xf>
    <xf numFmtId="0" fontId="86" fillId="0" borderId="0" xfId="141" applyFont="1" applyAlignment="1">
      <alignment vertical="center" shrinkToFit="1"/>
    </xf>
    <xf numFmtId="0" fontId="87" fillId="86" borderId="0" xfId="0" applyFont="1" applyFill="1" applyAlignment="1">
      <alignment horizontal="right" vertical="center"/>
    </xf>
    <xf numFmtId="0" fontId="31" fillId="0" borderId="44" xfId="0" applyFont="1" applyBorder="1" applyAlignment="1">
      <alignment horizontal="center" vertical="center"/>
    </xf>
    <xf numFmtId="0" fontId="95" fillId="0" borderId="0" xfId="0" applyFont="1" applyAlignment="1">
      <alignment horizontal="center" vertical="center"/>
    </xf>
    <xf numFmtId="0" fontId="96" fillId="125" borderId="0" xfId="0" applyFont="1" applyFill="1" applyAlignment="1">
      <alignment horizontal="center" vertical="center"/>
    </xf>
    <xf numFmtId="0" fontId="97" fillId="0" borderId="0" xfId="0" applyFont="1" applyAlignment="1">
      <alignment horizontal="center" vertical="center"/>
    </xf>
    <xf numFmtId="0" fontId="89" fillId="123" borderId="1" xfId="131" applyFont="1" applyFill="1" applyBorder="1" applyAlignment="1">
      <alignment horizontal="center" vertical="center"/>
    </xf>
    <xf numFmtId="0" fontId="98" fillId="125" borderId="0" xfId="0" applyFont="1" applyFill="1" applyAlignment="1">
      <alignment horizontal="center" vertical="center"/>
    </xf>
    <xf numFmtId="0" fontId="23" fillId="0" borderId="39" xfId="0" applyFont="1" applyBorder="1" applyAlignment="1">
      <alignment horizontal="center" vertical="center"/>
    </xf>
    <xf numFmtId="0" fontId="23" fillId="0" borderId="25" xfId="0" applyFont="1" applyBorder="1" applyAlignment="1">
      <alignment horizontal="center" vertical="center"/>
    </xf>
    <xf numFmtId="0" fontId="23" fillId="0" borderId="40" xfId="0" applyFont="1" applyBorder="1" applyAlignment="1">
      <alignment horizontal="center" vertical="center"/>
    </xf>
    <xf numFmtId="0" fontId="23" fillId="103" borderId="0" xfId="0" applyFont="1" applyFill="1" applyAlignment="1">
      <alignment horizontal="center" vertical="center"/>
    </xf>
    <xf numFmtId="0" fontId="54" fillId="0" borderId="0" xfId="141" applyFont="1" applyAlignment="1">
      <alignment horizontal="center" vertical="center" shrinkToFit="1"/>
    </xf>
    <xf numFmtId="0" fontId="0" fillId="0" borderId="0" xfId="0" applyAlignment="1">
      <alignment horizontal="left" vertical="center"/>
    </xf>
    <xf numFmtId="0" fontId="99" fillId="79" borderId="1" xfId="131" applyFont="1" applyFill="1" applyBorder="1" applyAlignment="1">
      <alignment horizontal="center" vertical="center"/>
    </xf>
    <xf numFmtId="0" fontId="37" fillId="0" borderId="0" xfId="0" applyFont="1" applyAlignment="1">
      <alignment horizontal="right" vertical="center"/>
    </xf>
    <xf numFmtId="0" fontId="37" fillId="0" borderId="0" xfId="0" applyFont="1" applyAlignment="1">
      <alignment horizontal="left" vertical="center"/>
    </xf>
    <xf numFmtId="0" fontId="0" fillId="0" borderId="45" xfId="0" applyBorder="1" applyAlignment="1">
      <alignment horizontal="center" vertical="center"/>
    </xf>
    <xf numFmtId="0" fontId="100" fillId="103" borderId="0" xfId="131" applyFont="1" applyFill="1" applyAlignment="1">
      <alignment horizontal="center" vertical="center"/>
    </xf>
    <xf numFmtId="0" fontId="49" fillId="0" borderId="0" xfId="0" applyFont="1" applyAlignment="1">
      <alignment horizontal="right" vertical="center"/>
    </xf>
    <xf numFmtId="0" fontId="81" fillId="126" borderId="46" xfId="0" applyFont="1" applyFill="1" applyBorder="1" applyAlignment="1">
      <alignment horizontal="center" vertical="center"/>
    </xf>
    <xf numFmtId="0" fontId="85" fillId="0" borderId="0" xfId="0" applyFont="1" applyAlignment="1">
      <alignment horizontal="center" vertical="center"/>
    </xf>
    <xf numFmtId="0" fontId="70" fillId="86" borderId="0" xfId="0" applyFont="1" applyFill="1" applyAlignment="1">
      <alignment horizontal="center" vertical="center"/>
    </xf>
    <xf numFmtId="0" fontId="81" fillId="61" borderId="15" xfId="131" applyFont="1" applyFill="1" applyBorder="1" applyAlignment="1">
      <alignment horizontal="center" vertical="center"/>
    </xf>
    <xf numFmtId="0" fontId="92" fillId="0" borderId="0" xfId="0" applyFont="1" applyAlignment="1" applyProtection="1">
      <alignment horizontal="center" vertical="center"/>
      <protection locked="0"/>
    </xf>
    <xf numFmtId="0" fontId="23" fillId="0" borderId="0" xfId="0" applyFont="1" applyAlignment="1">
      <alignment horizontal="right" vertical="center"/>
    </xf>
    <xf numFmtId="0" fontId="84" fillId="50" borderId="15" xfId="131" applyFont="1" applyFill="1" applyBorder="1" applyAlignment="1">
      <alignment horizontal="center" vertical="center"/>
    </xf>
    <xf numFmtId="0" fontId="59" fillId="0" borderId="30" xfId="131" applyFont="1" applyBorder="1" applyAlignment="1">
      <alignment horizontal="center" vertical="center"/>
    </xf>
    <xf numFmtId="0" fontId="102" fillId="127" borderId="0" xfId="141" applyFont="1" applyFill="1" applyAlignment="1">
      <alignment horizontal="center" vertical="center" shrinkToFit="1"/>
    </xf>
    <xf numFmtId="0" fontId="0" fillId="84" borderId="0" xfId="0" applyFill="1" applyAlignment="1">
      <alignment vertical="center"/>
    </xf>
    <xf numFmtId="0" fontId="59" fillId="0" borderId="0" xfId="131" applyFont="1" applyAlignment="1">
      <alignment horizontal="center" vertical="center"/>
    </xf>
    <xf numFmtId="0" fontId="81" fillId="61" borderId="28" xfId="131" applyFont="1" applyFill="1" applyBorder="1" applyAlignment="1">
      <alignment horizontal="center" vertical="center"/>
    </xf>
    <xf numFmtId="0" fontId="86" fillId="127" borderId="0" xfId="141" applyFont="1" applyFill="1" applyAlignment="1">
      <alignment horizontal="center" vertical="center" shrinkToFit="1"/>
    </xf>
    <xf numFmtId="0" fontId="0" fillId="84" borderId="0" xfId="0" applyFill="1" applyAlignment="1">
      <alignment horizontal="center" vertical="center"/>
    </xf>
    <xf numFmtId="0" fontId="31" fillId="0" borderId="0" xfId="0" applyFont="1" applyAlignment="1">
      <alignment horizontal="center" vertical="center"/>
    </xf>
    <xf numFmtId="0" fontId="104" fillId="117" borderId="0" xfId="0" applyFont="1" applyFill="1" applyAlignment="1">
      <alignment horizontal="center" vertical="center"/>
    </xf>
    <xf numFmtId="0" fontId="105" fillId="109" borderId="0" xfId="118" applyFont="1" applyFill="1" applyAlignment="1">
      <alignment horizontal="center" vertical="center"/>
    </xf>
    <xf numFmtId="0" fontId="106" fillId="0" borderId="0" xfId="138" applyFont="1" applyAlignment="1">
      <alignment vertical="center" shrinkToFit="1"/>
    </xf>
    <xf numFmtId="0" fontId="107" fillId="0" borderId="0" xfId="0" applyFont="1" applyAlignment="1">
      <alignment horizontal="right" vertical="center"/>
    </xf>
    <xf numFmtId="0" fontId="84" fillId="50" borderId="44" xfId="131" applyFont="1" applyFill="1" applyBorder="1" applyAlignment="1">
      <alignment horizontal="center" vertical="center"/>
    </xf>
    <xf numFmtId="0" fontId="78" fillId="118" borderId="46" xfId="131" applyFont="1" applyFill="1" applyBorder="1" applyAlignment="1">
      <alignment horizontal="center"/>
    </xf>
    <xf numFmtId="0" fontId="85" fillId="0" borderId="0" xfId="0" applyFont="1" applyAlignment="1">
      <alignment horizontal="left" vertical="center"/>
    </xf>
    <xf numFmtId="0" fontId="108" fillId="0" borderId="49" xfId="0" applyFont="1" applyBorder="1" applyAlignment="1">
      <alignment horizontal="center" vertical="center"/>
    </xf>
    <xf numFmtId="0" fontId="81" fillId="84" borderId="52" xfId="0" applyFont="1" applyFill="1" applyBorder="1" applyAlignment="1">
      <alignment horizontal="center" vertical="center"/>
    </xf>
    <xf numFmtId="0" fontId="63" fillId="0" borderId="53" xfId="0" applyFont="1" applyBorder="1" applyAlignment="1">
      <alignment horizontal="center" vertical="center"/>
    </xf>
    <xf numFmtId="0" fontId="107" fillId="0" borderId="0" xfId="0" applyFont="1" applyAlignment="1">
      <alignment horizontal="left" vertical="center"/>
    </xf>
    <xf numFmtId="0" fontId="70" fillId="0" borderId="0" xfId="0" applyFont="1" applyAlignment="1">
      <alignment vertical="center"/>
    </xf>
    <xf numFmtId="0" fontId="31" fillId="0" borderId="0" xfId="0" applyFont="1" applyAlignment="1">
      <alignment horizontal="left" vertical="center"/>
    </xf>
    <xf numFmtId="0" fontId="81" fillId="84" borderId="53" xfId="131" applyFont="1" applyFill="1" applyBorder="1" applyAlignment="1">
      <alignment horizontal="center" vertical="center"/>
    </xf>
    <xf numFmtId="0" fontId="78" fillId="118" borderId="54" xfId="131" applyFont="1" applyFill="1" applyBorder="1" applyAlignment="1">
      <alignment horizontal="center"/>
    </xf>
    <xf numFmtId="0" fontId="76" fillId="109" borderId="25" xfId="118" applyFont="1" applyFill="1" applyBorder="1" applyAlignment="1">
      <alignment horizontal="center" vertical="center"/>
    </xf>
    <xf numFmtId="0" fontId="37" fillId="0" borderId="25" xfId="141" applyFont="1" applyBorder="1" applyAlignment="1">
      <alignment horizontal="left" vertical="center" shrinkToFit="1"/>
    </xf>
    <xf numFmtId="0" fontId="37" fillId="0" borderId="0" xfId="142" applyFont="1" applyAlignment="1" applyProtection="1">
      <alignment horizontal="left" vertical="center" shrinkToFit="1"/>
    </xf>
    <xf numFmtId="0" fontId="2" fillId="103" borderId="0" xfId="177" applyFill="1" applyAlignment="1">
      <alignment horizontal="center" vertical="center"/>
    </xf>
    <xf numFmtId="0" fontId="37" fillId="0" borderId="0" xfId="142" applyFont="1" applyAlignment="1" applyProtection="1">
      <alignment horizontal="center" vertical="center" shrinkToFit="1"/>
    </xf>
    <xf numFmtId="0" fontId="106" fillId="0" borderId="0" xfId="141" applyFont="1" applyAlignment="1">
      <alignment horizontal="center" vertical="center" shrinkToFit="1"/>
    </xf>
    <xf numFmtId="0" fontId="2" fillId="84" borderId="0" xfId="177" applyFill="1" applyAlignment="1">
      <alignment horizontal="center" vertical="center"/>
    </xf>
    <xf numFmtId="49" fontId="111" fillId="103" borderId="0" xfId="177" applyNumberFormat="1" applyFont="1" applyFill="1" applyAlignment="1">
      <alignment horizontal="center" vertical="center"/>
    </xf>
    <xf numFmtId="0" fontId="23" fillId="0" borderId="0" xfId="0" applyFont="1" applyAlignment="1">
      <alignment horizontal="left" vertical="center"/>
    </xf>
    <xf numFmtId="0" fontId="56" fillId="0" borderId="5" xfId="138" applyFont="1" applyBorder="1" applyAlignment="1">
      <alignment horizontal="center" vertical="center" shrinkToFit="1"/>
    </xf>
    <xf numFmtId="0" fontId="110" fillId="127" borderId="0" xfId="141" applyFont="1" applyFill="1" applyAlignment="1">
      <alignment horizontal="center" vertical="center" shrinkToFit="1"/>
    </xf>
    <xf numFmtId="0" fontId="56" fillId="0" borderId="40" xfId="138" applyFont="1" applyBorder="1" applyAlignment="1">
      <alignment horizontal="center" vertical="center" shrinkToFit="1"/>
    </xf>
    <xf numFmtId="0" fontId="81" fillId="126" borderId="1" xfId="0" applyFont="1" applyFill="1" applyBorder="1" applyAlignment="1">
      <alignment horizontal="center" vertical="center"/>
    </xf>
    <xf numFmtId="0" fontId="37" fillId="127" borderId="0" xfId="141" applyFont="1" applyFill="1" applyAlignment="1">
      <alignment horizontal="center" vertical="center" shrinkToFit="1"/>
    </xf>
    <xf numFmtId="0" fontId="54" fillId="127" borderId="0" xfId="141" applyFont="1" applyFill="1" applyAlignment="1">
      <alignment horizontal="center" vertical="center" shrinkToFit="1"/>
    </xf>
    <xf numFmtId="0" fontId="0" fillId="0" borderId="31" xfId="0" applyBorder="1" applyAlignment="1">
      <alignment horizontal="center" vertical="center"/>
    </xf>
    <xf numFmtId="0" fontId="58" fillId="0" borderId="0" xfId="138" applyFont="1" applyAlignment="1">
      <alignment horizontal="left" vertical="center" shrinkToFit="1"/>
    </xf>
    <xf numFmtId="0" fontId="84" fillId="84" borderId="0" xfId="131" applyFont="1" applyFill="1" applyAlignment="1">
      <alignment horizontal="center" vertical="center"/>
    </xf>
    <xf numFmtId="0" fontId="23" fillId="84" borderId="0" xfId="0" applyFont="1" applyFill="1" applyAlignment="1">
      <alignment horizontal="center" vertical="center"/>
    </xf>
    <xf numFmtId="0" fontId="86" fillId="128" borderId="0" xfId="0" applyFont="1" applyFill="1" applyAlignment="1">
      <alignment horizontal="center" vertical="center"/>
    </xf>
    <xf numFmtId="49" fontId="111" fillId="84" borderId="0" xfId="177" applyNumberFormat="1" applyFont="1" applyFill="1" applyAlignment="1">
      <alignment horizontal="center" vertical="center"/>
    </xf>
    <xf numFmtId="0" fontId="85" fillId="128" borderId="0" xfId="0" applyFont="1" applyFill="1" applyAlignment="1">
      <alignment horizontal="center" vertical="center"/>
    </xf>
    <xf numFmtId="0" fontId="0" fillId="0" borderId="30" xfId="0" applyBorder="1" applyAlignment="1">
      <alignment vertical="center"/>
    </xf>
    <xf numFmtId="0" fontId="60" fillId="81" borderId="0" xfId="138" applyFont="1" applyFill="1" applyAlignment="1">
      <alignment horizontal="center" vertical="center" shrinkToFit="1"/>
    </xf>
    <xf numFmtId="0" fontId="60" fillId="0" borderId="0" xfId="138" applyFont="1" applyAlignment="1">
      <alignment horizontal="center" vertical="center" shrinkToFit="1"/>
    </xf>
    <xf numFmtId="0" fontId="31" fillId="84" borderId="0" xfId="0" applyFont="1" applyFill="1" applyAlignment="1">
      <alignment horizontal="center" vertical="center"/>
    </xf>
    <xf numFmtId="0" fontId="60" fillId="0" borderId="0" xfId="0" applyFont="1" applyAlignment="1">
      <alignment horizontal="center" vertical="center"/>
    </xf>
    <xf numFmtId="0" fontId="70" fillId="0" borderId="0" xfId="0" applyFont="1" applyAlignment="1">
      <alignment horizontal="center" vertical="center"/>
    </xf>
    <xf numFmtId="0" fontId="23" fillId="0" borderId="0" xfId="0" applyFont="1" applyAlignment="1">
      <alignment vertical="center"/>
    </xf>
    <xf numFmtId="0" fontId="35" fillId="96" borderId="21" xfId="0" applyFont="1" applyFill="1" applyBorder="1" applyAlignment="1">
      <alignment horizontal="center" vertical="center" shrinkToFit="1"/>
    </xf>
    <xf numFmtId="0" fontId="44" fillId="92" borderId="21" xfId="0" applyFont="1" applyFill="1" applyBorder="1" applyAlignment="1">
      <alignment horizontal="center" vertical="center"/>
    </xf>
    <xf numFmtId="0" fontId="46" fillId="85" borderId="21" xfId="0" applyFont="1" applyFill="1" applyBorder="1" applyAlignment="1">
      <alignment horizontal="center" vertical="center"/>
    </xf>
    <xf numFmtId="0" fontId="35" fillId="93" borderId="21" xfId="0" applyFont="1" applyFill="1" applyBorder="1" applyAlignment="1">
      <alignment horizontal="center" vertical="center"/>
    </xf>
    <xf numFmtId="0" fontId="75" fillId="0" borderId="0" xfId="0" applyFont="1" applyAlignment="1">
      <alignment horizontal="center" vertical="center"/>
    </xf>
    <xf numFmtId="0" fontId="36" fillId="0" borderId="1" xfId="0" applyFont="1" applyBorder="1" applyAlignment="1">
      <alignment horizontal="center" vertical="center"/>
    </xf>
    <xf numFmtId="0" fontId="35" fillId="0" borderId="1" xfId="0" applyFont="1" applyBorder="1" applyAlignment="1">
      <alignment horizontal="center" vertical="center"/>
    </xf>
    <xf numFmtId="0" fontId="5" fillId="0" borderId="0" xfId="165" applyAlignment="1">
      <alignment horizontal="center" vertical="center"/>
    </xf>
    <xf numFmtId="0" fontId="81" fillId="126" borderId="1" xfId="0" applyFont="1" applyFill="1" applyBorder="1" applyAlignment="1" applyProtection="1">
      <alignment horizontal="center" vertical="center"/>
      <protection locked="0"/>
    </xf>
    <xf numFmtId="0" fontId="39" fillId="97" borderId="21" xfId="0" applyFont="1" applyFill="1" applyBorder="1" applyAlignment="1">
      <alignment horizontal="center" vertical="center"/>
    </xf>
    <xf numFmtId="0" fontId="44" fillId="92" borderId="1" xfId="0" applyFont="1" applyFill="1" applyBorder="1" applyAlignment="1">
      <alignment horizontal="center" vertical="center"/>
    </xf>
    <xf numFmtId="0" fontId="38" fillId="0" borderId="1" xfId="0" applyFont="1" applyBorder="1" applyAlignment="1">
      <alignment horizontal="center" vertical="center"/>
    </xf>
    <xf numFmtId="0" fontId="113" fillId="0" borderId="0" xfId="144" applyFont="1" applyAlignment="1">
      <alignment horizontal="center" vertical="center" shrinkToFit="1"/>
    </xf>
    <xf numFmtId="0" fontId="114" fillId="84" borderId="0" xfId="138" applyFont="1" applyFill="1" applyAlignment="1">
      <alignment vertical="center" shrinkToFit="1"/>
    </xf>
    <xf numFmtId="0" fontId="99" fillId="63" borderId="15" xfId="131" applyFont="1" applyFill="1" applyBorder="1" applyAlignment="1">
      <alignment horizontal="center" vertical="center"/>
    </xf>
    <xf numFmtId="0" fontId="65" fillId="111" borderId="46" xfId="138" applyFont="1" applyFill="1" applyBorder="1" applyAlignment="1">
      <alignment horizontal="center" vertical="center" shrinkToFit="1"/>
    </xf>
    <xf numFmtId="0" fontId="110" fillId="0" borderId="0" xfId="251" applyFont="1" applyAlignment="1" applyProtection="1">
      <alignment horizontal="center" vertical="center" shrinkToFit="1"/>
    </xf>
    <xf numFmtId="0" fontId="10" fillId="0" borderId="0" xfId="0" applyFont="1" applyAlignment="1">
      <alignment vertical="center"/>
    </xf>
    <xf numFmtId="0" fontId="49" fillId="86" borderId="0" xfId="0" applyFont="1" applyFill="1" applyAlignment="1">
      <alignment horizontal="center" vertical="center" shrinkToFit="1"/>
    </xf>
    <xf numFmtId="0" fontId="10" fillId="0" borderId="0" xfId="0" applyFont="1" applyAlignment="1">
      <alignment horizontal="center" vertical="center"/>
    </xf>
    <xf numFmtId="0" fontId="81" fillId="61" borderId="55" xfId="131" applyFont="1" applyFill="1" applyBorder="1" applyAlignment="1">
      <alignment horizontal="center" vertical="center"/>
    </xf>
    <xf numFmtId="0" fontId="65" fillId="0" borderId="21" xfId="0" applyFont="1" applyBorder="1" applyAlignment="1">
      <alignment horizontal="center" vertical="center" shrinkToFit="1"/>
    </xf>
    <xf numFmtId="0" fontId="65" fillId="129" borderId="21" xfId="0" applyFont="1" applyFill="1" applyBorder="1" applyAlignment="1">
      <alignment horizontal="center" vertical="center" shrinkToFit="1"/>
    </xf>
    <xf numFmtId="0" fontId="35" fillId="94" borderId="1" xfId="0" applyFont="1" applyFill="1" applyBorder="1" applyAlignment="1">
      <alignment horizontal="center" vertical="center"/>
    </xf>
    <xf numFmtId="0" fontId="65" fillId="130" borderId="21" xfId="0" applyFont="1" applyFill="1" applyBorder="1" applyAlignment="1">
      <alignment horizontal="center" vertical="center" shrinkToFit="1"/>
    </xf>
    <xf numFmtId="0" fontId="46" fillId="85" borderId="1" xfId="0" applyFont="1" applyFill="1" applyBorder="1" applyAlignment="1">
      <alignment horizontal="center" vertical="center"/>
    </xf>
    <xf numFmtId="0" fontId="23" fillId="0" borderId="34" xfId="0" applyFont="1" applyBorder="1" applyAlignment="1">
      <alignment horizontal="center" vertical="center"/>
    </xf>
    <xf numFmtId="49" fontId="118" fillId="119" borderId="0" xfId="177" applyNumberFormat="1" applyFont="1" applyFill="1" applyAlignment="1">
      <alignment horizontal="center" vertical="center"/>
    </xf>
    <xf numFmtId="0" fontId="31" fillId="84" borderId="0" xfId="131" applyFont="1" applyFill="1" applyAlignment="1">
      <alignment horizontal="center" vertical="center"/>
    </xf>
    <xf numFmtId="49" fontId="118" fillId="119" borderId="30" xfId="177" applyNumberFormat="1" applyFont="1" applyFill="1" applyBorder="1" applyAlignment="1">
      <alignment horizontal="center" vertical="center"/>
    </xf>
    <xf numFmtId="0" fontId="59" fillId="0" borderId="0" xfId="114" applyFont="1" applyAlignment="1">
      <alignment horizontal="center" vertical="center"/>
    </xf>
    <xf numFmtId="49" fontId="119" fillId="119" borderId="0" xfId="177" applyNumberFormat="1" applyFont="1" applyFill="1" applyAlignment="1">
      <alignment horizontal="center" vertical="center"/>
    </xf>
    <xf numFmtId="0" fontId="81" fillId="126" borderId="15" xfId="0" applyFont="1" applyFill="1" applyBorder="1" applyAlignment="1" applyProtection="1">
      <alignment horizontal="center" vertical="center"/>
      <protection locked="0"/>
    </xf>
    <xf numFmtId="0" fontId="59" fillId="0" borderId="0" xfId="114" applyFont="1" applyAlignment="1">
      <alignment horizontal="right" vertical="center"/>
    </xf>
    <xf numFmtId="0" fontId="110" fillId="0" borderId="0" xfId="114" applyFont="1" applyAlignment="1">
      <alignment horizontal="center" vertical="center" shrinkToFit="1"/>
    </xf>
    <xf numFmtId="0" fontId="59" fillId="0" borderId="0" xfId="114" applyFont="1" applyAlignment="1">
      <alignment horizontal="left" vertical="center"/>
    </xf>
    <xf numFmtId="49" fontId="111" fillId="103" borderId="31" xfId="177" applyNumberFormat="1" applyFont="1" applyFill="1" applyBorder="1" applyAlignment="1">
      <alignment horizontal="center" vertical="center"/>
    </xf>
    <xf numFmtId="0" fontId="23" fillId="0" borderId="0" xfId="114" applyFont="1" applyAlignment="1">
      <alignment horizontal="center" vertical="center"/>
    </xf>
    <xf numFmtId="49" fontId="111" fillId="0" borderId="0" xfId="177" applyNumberFormat="1" applyFont="1" applyAlignment="1">
      <alignment horizontal="center" vertical="center"/>
    </xf>
    <xf numFmtId="0" fontId="115" fillId="35" borderId="3" xfId="0" applyFont="1" applyFill="1" applyBorder="1" applyAlignment="1">
      <alignment horizontal="center" vertical="center" wrapText="1"/>
    </xf>
    <xf numFmtId="0" fontId="2" fillId="0" borderId="56" xfId="177" applyBorder="1" applyAlignment="1">
      <alignment horizontal="center" vertical="center"/>
    </xf>
    <xf numFmtId="0" fontId="0" fillId="0" borderId="31" xfId="0" applyBorder="1" applyAlignment="1">
      <alignment vertical="center"/>
    </xf>
    <xf numFmtId="0" fontId="81" fillId="84" borderId="57" xfId="131" applyFont="1" applyFill="1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81" fillId="84" borderId="25" xfId="131" applyFont="1" applyFill="1" applyBorder="1" applyAlignment="1">
      <alignment horizontal="center" vertical="center"/>
    </xf>
    <xf numFmtId="0" fontId="81" fillId="84" borderId="57" xfId="0" applyFont="1" applyFill="1" applyBorder="1" applyAlignment="1" applyProtection="1">
      <alignment horizontal="center" vertical="center"/>
      <protection locked="0"/>
    </xf>
    <xf numFmtId="0" fontId="81" fillId="84" borderId="40" xfId="131" applyFont="1" applyFill="1" applyBorder="1" applyAlignment="1">
      <alignment horizontal="center" vertical="center"/>
    </xf>
    <xf numFmtId="0" fontId="10" fillId="103" borderId="30" xfId="0" applyFont="1" applyFill="1" applyBorder="1" applyAlignment="1">
      <alignment horizontal="center" vertical="center"/>
    </xf>
    <xf numFmtId="0" fontId="10" fillId="103" borderId="0" xfId="0" applyFont="1" applyFill="1" applyAlignment="1">
      <alignment horizontal="center" vertical="center"/>
    </xf>
    <xf numFmtId="0" fontId="112" fillId="0" borderId="0" xfId="0" applyFont="1" applyAlignment="1">
      <alignment vertical="center"/>
    </xf>
    <xf numFmtId="0" fontId="0" fillId="0" borderId="30" xfId="0" applyBorder="1" applyAlignment="1">
      <alignment horizontal="center" vertical="center"/>
    </xf>
    <xf numFmtId="0" fontId="121" fillId="103" borderId="0" xfId="0" applyFont="1" applyFill="1" applyAlignment="1">
      <alignment horizontal="center" vertical="center"/>
    </xf>
    <xf numFmtId="0" fontId="7" fillId="103" borderId="0" xfId="142" applyFont="1" applyFill="1" applyAlignment="1" applyProtection="1">
      <alignment horizontal="center" vertical="center" shrinkToFit="1"/>
    </xf>
    <xf numFmtId="0" fontId="10" fillId="103" borderId="0" xfId="0" applyFont="1" applyFill="1" applyAlignment="1" applyProtection="1">
      <alignment horizontal="center" vertical="center"/>
      <protection locked="0"/>
    </xf>
    <xf numFmtId="0" fontId="87" fillId="103" borderId="30" xfId="0" applyFont="1" applyFill="1" applyBorder="1" applyAlignment="1">
      <alignment horizontal="center" vertical="center"/>
    </xf>
    <xf numFmtId="0" fontId="87" fillId="103" borderId="0" xfId="0" applyFont="1" applyFill="1" applyAlignment="1">
      <alignment horizontal="center" vertical="center"/>
    </xf>
    <xf numFmtId="0" fontId="87" fillId="103" borderId="25" xfId="0" applyFont="1" applyFill="1" applyBorder="1" applyAlignment="1">
      <alignment horizontal="center" vertical="center"/>
    </xf>
    <xf numFmtId="0" fontId="87" fillId="103" borderId="39" xfId="0" applyFont="1" applyFill="1" applyBorder="1" applyAlignment="1">
      <alignment horizontal="center" vertical="center"/>
    </xf>
    <xf numFmtId="0" fontId="87" fillId="103" borderId="40" xfId="0" applyFont="1" applyFill="1" applyBorder="1" applyAlignment="1">
      <alignment horizontal="center" vertical="center"/>
    </xf>
    <xf numFmtId="0" fontId="10" fillId="103" borderId="25" xfId="0" applyFont="1" applyFill="1" applyBorder="1" applyAlignment="1">
      <alignment horizontal="center" vertical="center"/>
    </xf>
    <xf numFmtId="0" fontId="122" fillId="103" borderId="30" xfId="165" applyFont="1" applyFill="1" applyBorder="1" applyAlignment="1">
      <alignment horizontal="center" vertical="center"/>
    </xf>
    <xf numFmtId="0" fontId="5" fillId="0" borderId="27" xfId="165" applyBorder="1" applyAlignment="1">
      <alignment horizontal="center" vertical="center"/>
    </xf>
    <xf numFmtId="0" fontId="31" fillId="0" borderId="0" xfId="0" applyFont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0" fontId="59" fillId="0" borderId="0" xfId="0" applyFont="1" applyAlignment="1" applyProtection="1">
      <alignment horizontal="center" vertical="center"/>
      <protection locked="0"/>
    </xf>
    <xf numFmtId="0" fontId="34" fillId="0" borderId="0" xfId="0" applyFont="1"/>
    <xf numFmtId="0" fontId="127" fillId="0" borderId="0" xfId="0" applyFont="1" applyAlignment="1">
      <alignment horizontal="center" vertical="center"/>
    </xf>
    <xf numFmtId="0" fontId="128" fillId="0" borderId="0" xfId="0" applyFont="1"/>
    <xf numFmtId="0" fontId="108" fillId="0" borderId="0" xfId="0" applyFont="1"/>
    <xf numFmtId="0" fontId="129" fillId="0" borderId="0" xfId="0" applyFont="1"/>
    <xf numFmtId="0" fontId="53" fillId="0" borderId="0" xfId="0" applyFont="1" applyAlignment="1">
      <alignment horizontal="left" vertical="top" wrapText="1"/>
    </xf>
    <xf numFmtId="0" fontId="131" fillId="84" borderId="0" xfId="138" applyFont="1" applyFill="1" applyAlignment="1">
      <alignment horizontal="center" vertical="center" shrinkToFit="1"/>
    </xf>
    <xf numFmtId="170" fontId="130" fillId="0" borderId="1" xfId="0" applyNumberFormat="1" applyFont="1" applyBorder="1" applyAlignment="1">
      <alignment horizontal="center" vertical="center" wrapText="1"/>
    </xf>
    <xf numFmtId="14" fontId="126" fillId="61" borderId="1" xfId="0" applyNumberFormat="1" applyFont="1" applyFill="1" applyBorder="1" applyAlignment="1" applyProtection="1">
      <alignment horizontal="center" vertical="center" wrapText="1"/>
      <protection locked="0"/>
    </xf>
    <xf numFmtId="0" fontId="126" fillId="61" borderId="1" xfId="0" applyFont="1" applyFill="1" applyBorder="1" applyAlignment="1" applyProtection="1">
      <alignment horizontal="center" vertical="center" wrapText="1"/>
      <protection locked="0"/>
    </xf>
    <xf numFmtId="0" fontId="50" fillId="84" borderId="0" xfId="138" applyFont="1" applyFill="1" applyAlignment="1">
      <alignment vertical="center" shrinkToFit="1"/>
    </xf>
    <xf numFmtId="170" fontId="133" fillId="84" borderId="58" xfId="138" applyNumberFormat="1" applyFont="1" applyFill="1" applyBorder="1" applyAlignment="1">
      <alignment horizontal="center" vertical="center" shrinkToFit="1"/>
    </xf>
    <xf numFmtId="0" fontId="31" fillId="133" borderId="1" xfId="0" applyFont="1" applyFill="1" applyBorder="1" applyAlignment="1" applyProtection="1">
      <alignment horizontal="center" vertical="center" wrapText="1"/>
      <protection locked="0"/>
    </xf>
    <xf numFmtId="167" fontId="31" fillId="133" borderId="1" xfId="253" applyFont="1" applyFill="1" applyBorder="1" applyAlignment="1">
      <alignment horizontal="right" vertical="center"/>
    </xf>
    <xf numFmtId="0" fontId="134" fillId="84" borderId="0" xfId="138" applyFont="1" applyFill="1" applyAlignment="1">
      <alignment vertical="center" shrinkToFit="1"/>
    </xf>
    <xf numFmtId="0" fontId="135" fillId="84" borderId="0" xfId="138" applyFont="1" applyFill="1" applyAlignment="1">
      <alignment horizontal="center" vertical="center" shrinkToFit="1"/>
    </xf>
    <xf numFmtId="0" fontId="31" fillId="134" borderId="1" xfId="0" applyFont="1" applyFill="1" applyBorder="1" applyAlignment="1" applyProtection="1">
      <alignment horizontal="center" vertical="center" wrapText="1"/>
      <protection locked="0"/>
    </xf>
    <xf numFmtId="167" fontId="31" fillId="134" borderId="37" xfId="253" applyFont="1" applyFill="1" applyBorder="1" applyAlignment="1">
      <alignment horizontal="right" vertical="center"/>
    </xf>
    <xf numFmtId="167" fontId="31" fillId="134" borderId="1" xfId="253" applyFont="1" applyFill="1" applyBorder="1" applyAlignment="1">
      <alignment horizontal="right" vertical="center"/>
    </xf>
    <xf numFmtId="0" fontId="136" fillId="0" borderId="0" xfId="150" applyFont="1" applyAlignment="1">
      <alignment vertical="center" shrinkToFit="1"/>
    </xf>
    <xf numFmtId="0" fontId="31" fillId="135" borderId="15" xfId="0" applyFont="1" applyFill="1" applyBorder="1" applyAlignment="1" applyProtection="1">
      <alignment horizontal="center" vertical="center" wrapText="1"/>
      <protection locked="0"/>
    </xf>
    <xf numFmtId="171" fontId="31" fillId="135" borderId="1" xfId="203" applyNumberFormat="1" applyFont="1" applyFill="1" applyBorder="1" applyAlignment="1" applyProtection="1">
      <alignment horizontal="right" vertical="center" wrapText="1"/>
      <protection locked="0"/>
    </xf>
    <xf numFmtId="0" fontId="65" fillId="84" borderId="0" xfId="138" applyFont="1" applyFill="1" applyAlignment="1">
      <alignment vertical="center" shrinkToFit="1"/>
    </xf>
    <xf numFmtId="170" fontId="138" fillId="106" borderId="47" xfId="150" applyNumberFormat="1" applyFont="1" applyFill="1" applyBorder="1" applyAlignment="1">
      <alignment horizontal="center" vertical="center" shrinkToFit="1"/>
    </xf>
    <xf numFmtId="0" fontId="31" fillId="136" borderId="1" xfId="0" applyFont="1" applyFill="1" applyBorder="1" applyAlignment="1" applyProtection="1">
      <alignment horizontal="center" vertical="center" wrapText="1"/>
      <protection locked="0"/>
    </xf>
    <xf numFmtId="10" fontId="31" fillId="136" borderId="2" xfId="203" applyNumberFormat="1" applyFont="1" applyFill="1" applyBorder="1" applyAlignment="1">
      <alignment horizontal="right" vertical="center"/>
    </xf>
    <xf numFmtId="10" fontId="31" fillId="136" borderId="1" xfId="203" applyNumberFormat="1" applyFont="1" applyFill="1" applyBorder="1" applyAlignment="1">
      <alignment horizontal="right" vertical="center"/>
    </xf>
    <xf numFmtId="170" fontId="138" fillId="60" borderId="3" xfId="150" applyNumberFormat="1" applyFont="1" applyFill="1" applyBorder="1" applyAlignment="1">
      <alignment horizontal="center" vertical="center" shrinkToFit="1"/>
    </xf>
    <xf numFmtId="0" fontId="31" fillId="137" borderId="1" xfId="0" applyFont="1" applyFill="1" applyBorder="1" applyAlignment="1" applyProtection="1">
      <alignment horizontal="center" vertical="center" wrapText="1"/>
      <protection locked="0"/>
    </xf>
    <xf numFmtId="1" fontId="31" fillId="137" borderId="2" xfId="203" applyNumberFormat="1" applyFont="1" applyFill="1" applyBorder="1" applyAlignment="1">
      <alignment horizontal="right" vertical="center"/>
    </xf>
    <xf numFmtId="1" fontId="31" fillId="137" borderId="1" xfId="203" applyNumberFormat="1" applyFont="1" applyFill="1" applyBorder="1" applyAlignment="1">
      <alignment horizontal="right" vertical="center"/>
    </xf>
    <xf numFmtId="170" fontId="134" fillId="138" borderId="3" xfId="138" applyNumberFormat="1" applyFont="1" applyFill="1" applyBorder="1" applyAlignment="1">
      <alignment horizontal="center" vertical="center"/>
    </xf>
    <xf numFmtId="0" fontId="31" fillId="59" borderId="1" xfId="0" applyFont="1" applyFill="1" applyBorder="1" applyAlignment="1" applyProtection="1">
      <alignment horizontal="center" vertical="center" wrapText="1"/>
      <protection locked="0"/>
    </xf>
    <xf numFmtId="1" fontId="31" fillId="59" borderId="2" xfId="203" applyNumberFormat="1" applyFont="1" applyFill="1" applyBorder="1" applyAlignment="1">
      <alignment horizontal="right" vertical="center"/>
    </xf>
    <xf numFmtId="1" fontId="31" fillId="59" borderId="1" xfId="203" applyNumberFormat="1" applyFont="1" applyFill="1" applyBorder="1" applyAlignment="1">
      <alignment horizontal="right" vertical="center"/>
    </xf>
    <xf numFmtId="0" fontId="91" fillId="0" borderId="0" xfId="252" applyFont="1" applyAlignment="1"/>
    <xf numFmtId="0" fontId="140" fillId="0" borderId="0" xfId="0" applyFont="1" applyAlignment="1">
      <alignment horizontal="center" wrapText="1" shrinkToFit="1"/>
    </xf>
    <xf numFmtId="0" fontId="0" fillId="0" borderId="64" xfId="0" applyBorder="1"/>
    <xf numFmtId="0" fontId="0" fillId="0" borderId="65" xfId="0" applyBorder="1"/>
    <xf numFmtId="0" fontId="0" fillId="0" borderId="66" xfId="0" applyBorder="1"/>
    <xf numFmtId="0" fontId="69" fillId="0" borderId="0" xfId="0" applyFont="1"/>
    <xf numFmtId="0" fontId="65" fillId="0" borderId="1" xfId="138" applyFont="1" applyBorder="1" applyAlignment="1">
      <alignment horizontal="center" vertical="center" shrinkToFit="1"/>
    </xf>
    <xf numFmtId="0" fontId="69" fillId="0" borderId="69" xfId="0" applyFont="1" applyBorder="1"/>
    <xf numFmtId="0" fontId="0" fillId="0" borderId="71" xfId="0" applyBorder="1"/>
    <xf numFmtId="0" fontId="142" fillId="0" borderId="0" xfId="0" applyFont="1"/>
    <xf numFmtId="0" fontId="32" fillId="0" borderId="0" xfId="0" applyFont="1" applyAlignment="1">
      <alignment horizontal="center" vertical="center"/>
    </xf>
    <xf numFmtId="0" fontId="88" fillId="0" borderId="47" xfId="0" applyFont="1" applyBorder="1"/>
    <xf numFmtId="0" fontId="88" fillId="0" borderId="29" xfId="0" applyFont="1" applyBorder="1"/>
    <xf numFmtId="0" fontId="65" fillId="139" borderId="1" xfId="138" applyFont="1" applyFill="1" applyBorder="1" applyAlignment="1">
      <alignment horizontal="center" vertical="center" shrinkToFit="1"/>
    </xf>
    <xf numFmtId="170" fontId="143" fillId="0" borderId="1" xfId="138" applyNumberFormat="1" applyFont="1" applyBorder="1" applyAlignment="1">
      <alignment horizontal="center" vertical="center" shrinkToFit="1"/>
    </xf>
    <xf numFmtId="0" fontId="69" fillId="140" borderId="0" xfId="0" applyFont="1" applyFill="1"/>
    <xf numFmtId="0" fontId="134" fillId="0" borderId="17" xfId="138" applyFont="1" applyBorder="1" applyAlignment="1">
      <alignment horizontal="left" vertical="center" shrinkToFit="1"/>
    </xf>
    <xf numFmtId="0" fontId="134" fillId="0" borderId="18" xfId="138" applyFont="1" applyBorder="1" applyAlignment="1">
      <alignment horizontal="left" vertical="center" shrinkToFit="1"/>
    </xf>
    <xf numFmtId="0" fontId="67" fillId="113" borderId="1" xfId="138" applyFont="1" applyFill="1" applyBorder="1" applyAlignment="1">
      <alignment horizontal="center" vertical="center" shrinkToFit="1"/>
    </xf>
    <xf numFmtId="0" fontId="69" fillId="141" borderId="49" xfId="0" applyFont="1" applyFill="1" applyBorder="1" applyAlignment="1">
      <alignment wrapText="1"/>
    </xf>
    <xf numFmtId="0" fontId="144" fillId="0" borderId="0" xfId="0" applyFont="1" applyAlignment="1">
      <alignment wrapText="1" shrinkToFit="1"/>
    </xf>
    <xf numFmtId="0" fontId="13" fillId="0" borderId="0" xfId="0" applyFont="1"/>
    <xf numFmtId="0" fontId="66" fillId="142" borderId="1" xfId="138" applyFont="1" applyFill="1" applyBorder="1" applyAlignment="1">
      <alignment horizontal="center" vertical="center" shrinkToFit="1"/>
    </xf>
    <xf numFmtId="0" fontId="67" fillId="143" borderId="1" xfId="138" applyFont="1" applyFill="1" applyBorder="1" applyAlignment="1">
      <alignment horizontal="center" vertical="center" shrinkToFit="1"/>
    </xf>
    <xf numFmtId="0" fontId="69" fillId="141" borderId="0" xfId="0" applyFont="1" applyFill="1" applyAlignment="1">
      <alignment wrapText="1"/>
    </xf>
    <xf numFmtId="0" fontId="145" fillId="0" borderId="0" xfId="0" applyFont="1" applyAlignment="1">
      <alignment horizontal="center" wrapText="1" shrinkToFit="1"/>
    </xf>
    <xf numFmtId="15" fontId="49" fillId="0" borderId="0" xfId="0" applyNumberFormat="1" applyFont="1" applyAlignment="1">
      <alignment shrinkToFit="1"/>
    </xf>
    <xf numFmtId="0" fontId="120" fillId="0" borderId="1" xfId="126" applyFont="1" applyBorder="1" applyAlignment="1">
      <alignment shrinkToFit="1"/>
    </xf>
    <xf numFmtId="0" fontId="84" fillId="63" borderId="69" xfId="131" applyFont="1" applyFill="1" applyBorder="1" applyAlignment="1">
      <alignment horizontal="center"/>
    </xf>
    <xf numFmtId="170" fontId="0" fillId="0" borderId="1" xfId="0" applyNumberFormat="1" applyBorder="1" applyAlignment="1">
      <alignment horizontal="center" vertical="center"/>
    </xf>
    <xf numFmtId="9" fontId="0" fillId="0" borderId="1" xfId="200" applyFont="1" applyFill="1" applyBorder="1" applyAlignment="1">
      <alignment horizontal="center"/>
    </xf>
    <xf numFmtId="0" fontId="146" fillId="144" borderId="1" xfId="138" applyFont="1" applyFill="1" applyBorder="1" applyAlignment="1">
      <alignment horizontal="center" vertical="center" shrinkToFit="1"/>
    </xf>
    <xf numFmtId="0" fontId="67" fillId="91" borderId="1" xfId="138" applyFont="1" applyFill="1" applyBorder="1" applyAlignment="1">
      <alignment horizontal="center" vertical="center" shrinkToFit="1"/>
    </xf>
    <xf numFmtId="0" fontId="0" fillId="84" borderId="0" xfId="0" applyFill="1"/>
    <xf numFmtId="0" fontId="13" fillId="84" borderId="0" xfId="0" applyFont="1" applyFill="1"/>
    <xf numFmtId="0" fontId="137" fillId="84" borderId="0" xfId="0" applyFont="1" applyFill="1" applyAlignment="1">
      <alignment horizontal="center"/>
    </xf>
    <xf numFmtId="170" fontId="138" fillId="84" borderId="0" xfId="0" applyNumberFormat="1" applyFont="1" applyFill="1" applyAlignment="1">
      <alignment horizontal="center"/>
    </xf>
    <xf numFmtId="0" fontId="34" fillId="84" borderId="0" xfId="0" applyFont="1" applyFill="1"/>
    <xf numFmtId="0" fontId="81" fillId="145" borderId="0" xfId="0" applyFont="1" applyFill="1" applyAlignment="1">
      <alignment horizontal="center" vertical="center"/>
    </xf>
    <xf numFmtId="0" fontId="147" fillId="146" borderId="1" xfId="138" applyFont="1" applyFill="1" applyBorder="1" applyAlignment="1">
      <alignment horizontal="center" vertical="center" shrinkToFit="1"/>
    </xf>
    <xf numFmtId="0" fontId="67" fillId="147" borderId="1" xfId="138" applyFont="1" applyFill="1" applyBorder="1" applyAlignment="1">
      <alignment horizontal="center" vertical="center" shrinkToFit="1"/>
    </xf>
    <xf numFmtId="0" fontId="49" fillId="0" borderId="0" xfId="0" applyFont="1" applyAlignment="1">
      <alignment wrapText="1" shrinkToFit="1"/>
    </xf>
    <xf numFmtId="2" fontId="50" fillId="0" borderId="0" xfId="56" applyNumberFormat="1" applyFont="1" applyFill="1" applyBorder="1" applyAlignment="1" applyProtection="1">
      <alignment shrinkToFit="1"/>
    </xf>
    <xf numFmtId="0" fontId="3" fillId="0" borderId="1" xfId="150" applyFont="1" applyBorder="1" applyAlignment="1">
      <alignment horizontal="center" vertical="center"/>
    </xf>
    <xf numFmtId="0" fontId="3" fillId="0" borderId="69" xfId="150" applyFont="1" applyBorder="1" applyAlignment="1">
      <alignment horizontal="center" vertical="center"/>
    </xf>
    <xf numFmtId="0" fontId="148" fillId="84" borderId="69" xfId="131" applyFont="1" applyFill="1" applyBorder="1" applyAlignment="1">
      <alignment horizontal="center"/>
    </xf>
    <xf numFmtId="0" fontId="66" fillId="146" borderId="1" xfId="138" applyFont="1" applyFill="1" applyBorder="1" applyAlignment="1">
      <alignment horizontal="center" vertical="center" shrinkToFit="1"/>
    </xf>
    <xf numFmtId="0" fontId="49" fillId="0" borderId="0" xfId="0" applyFont="1" applyAlignment="1">
      <alignment shrinkToFit="1"/>
    </xf>
    <xf numFmtId="0" fontId="3" fillId="0" borderId="15" xfId="138" applyFont="1" applyBorder="1" applyAlignment="1">
      <alignment horizontal="center" vertical="center" shrinkToFit="1"/>
    </xf>
    <xf numFmtId="0" fontId="134" fillId="0" borderId="74" xfId="138" applyFont="1" applyBorder="1" applyAlignment="1">
      <alignment horizontal="center" vertical="center" shrinkToFit="1"/>
    </xf>
    <xf numFmtId="0" fontId="36" fillId="35" borderId="5" xfId="0" applyFont="1" applyFill="1" applyBorder="1" applyAlignment="1">
      <alignment horizontal="center" vertical="center"/>
    </xf>
    <xf numFmtId="172" fontId="3" fillId="138" borderId="0" xfId="138" applyNumberFormat="1" applyFont="1" applyFill="1" applyAlignment="1">
      <alignment horizontal="center" vertical="center"/>
    </xf>
    <xf numFmtId="172" fontId="3" fillId="106" borderId="0" xfId="150" applyNumberFormat="1" applyFont="1" applyFill="1" applyAlignment="1">
      <alignment horizontal="center" vertical="center" shrinkToFit="1"/>
    </xf>
    <xf numFmtId="170" fontId="3" fillId="60" borderId="0" xfId="150" applyNumberFormat="1" applyFont="1" applyFill="1" applyAlignment="1">
      <alignment horizontal="center" vertical="center" shrinkToFit="1"/>
    </xf>
    <xf numFmtId="170" fontId="73" fillId="148" borderId="0" xfId="138" applyNumberFormat="1" applyFont="1" applyFill="1" applyAlignment="1">
      <alignment horizontal="center" vertical="center"/>
    </xf>
    <xf numFmtId="0" fontId="120" fillId="72" borderId="69" xfId="131" applyFont="1" applyFill="1" applyBorder="1" applyAlignment="1">
      <alignment horizontal="center"/>
    </xf>
    <xf numFmtId="0" fontId="66" fillId="54" borderId="1" xfId="138" applyFont="1" applyFill="1" applyBorder="1" applyAlignment="1">
      <alignment horizontal="center" vertical="center" shrinkToFit="1"/>
    </xf>
    <xf numFmtId="0" fontId="67" fillId="149" borderId="1" xfId="138" applyFont="1" applyFill="1" applyBorder="1" applyAlignment="1">
      <alignment horizontal="center" vertical="center" shrinkToFit="1"/>
    </xf>
    <xf numFmtId="0" fontId="36" fillId="37" borderId="40" xfId="0" applyFont="1" applyFill="1" applyBorder="1" applyAlignment="1">
      <alignment horizontal="center" vertical="center"/>
    </xf>
    <xf numFmtId="0" fontId="84" fillId="90" borderId="69" xfId="131" applyFont="1" applyFill="1" applyBorder="1" applyAlignment="1">
      <alignment horizontal="center"/>
    </xf>
    <xf numFmtId="0" fontId="149" fillId="150" borderId="1" xfId="138" applyFont="1" applyFill="1" applyBorder="1" applyAlignment="1">
      <alignment horizontal="center" vertical="center" shrinkToFit="1"/>
    </xf>
    <xf numFmtId="0" fontId="67" fillId="151" borderId="1" xfId="138" applyFont="1" applyFill="1" applyBorder="1" applyAlignment="1">
      <alignment horizontal="center" vertical="center" shrinkToFit="1"/>
    </xf>
    <xf numFmtId="0" fontId="44" fillId="65" borderId="25" xfId="0" applyFont="1" applyFill="1" applyBorder="1" applyAlignment="1">
      <alignment horizontal="center" vertical="center"/>
    </xf>
    <xf numFmtId="0" fontId="81" fillId="80" borderId="69" xfId="131" applyFont="1" applyFill="1" applyBorder="1" applyAlignment="1">
      <alignment horizontal="center"/>
    </xf>
    <xf numFmtId="0" fontId="149" fillId="152" borderId="1" xfId="138" applyFont="1" applyFill="1" applyBorder="1" applyAlignment="1">
      <alignment horizontal="center" vertical="center" shrinkToFit="1"/>
    </xf>
    <xf numFmtId="0" fontId="67" fillId="153" borderId="1" xfId="138" applyFont="1" applyFill="1" applyBorder="1" applyAlignment="1">
      <alignment horizontal="center" vertical="center" shrinkToFit="1"/>
    </xf>
    <xf numFmtId="3" fontId="49" fillId="0" borderId="0" xfId="0" applyNumberFormat="1" applyFont="1" applyAlignment="1">
      <alignment shrinkToFit="1"/>
    </xf>
    <xf numFmtId="0" fontId="36" fillId="63" borderId="40" xfId="0" applyFont="1" applyFill="1" applyBorder="1" applyAlignment="1">
      <alignment horizontal="center" vertical="center"/>
    </xf>
    <xf numFmtId="0" fontId="84" fillId="44" borderId="69" xfId="131" applyFont="1" applyFill="1" applyBorder="1" applyAlignment="1">
      <alignment horizontal="center"/>
    </xf>
    <xf numFmtId="0" fontId="66" fillId="154" borderId="1" xfId="138" applyFont="1" applyFill="1" applyBorder="1" applyAlignment="1">
      <alignment horizontal="center" vertical="center" shrinkToFit="1"/>
    </xf>
    <xf numFmtId="0" fontId="67" fillId="155" borderId="1" xfId="138" applyFont="1" applyFill="1" applyBorder="1" applyAlignment="1">
      <alignment horizontal="center" vertical="center" shrinkToFit="1"/>
    </xf>
    <xf numFmtId="0" fontId="35" fillId="71" borderId="0" xfId="0" applyFont="1" applyFill="1" applyAlignment="1">
      <alignment horizontal="center" vertical="center"/>
    </xf>
    <xf numFmtId="0" fontId="99" fillId="63" borderId="1" xfId="131" applyFont="1" applyFill="1" applyBorder="1" applyAlignment="1">
      <alignment horizontal="center"/>
    </xf>
    <xf numFmtId="0" fontId="150" fillId="156" borderId="1" xfId="138" applyFont="1" applyFill="1" applyBorder="1" applyAlignment="1">
      <alignment horizontal="center" vertical="center" shrinkToFit="1"/>
    </xf>
    <xf numFmtId="0" fontId="81" fillId="80" borderId="1" xfId="0" applyFont="1" applyFill="1" applyBorder="1" applyAlignment="1">
      <alignment horizontal="center" vertical="center"/>
    </xf>
    <xf numFmtId="0" fontId="36" fillId="62" borderId="24" xfId="0" applyFont="1" applyFill="1" applyBorder="1" applyAlignment="1">
      <alignment horizontal="center" vertical="center"/>
    </xf>
    <xf numFmtId="0" fontId="84" fillId="50" borderId="69" xfId="131" applyFont="1" applyFill="1" applyBorder="1" applyAlignment="1">
      <alignment horizontal="center"/>
    </xf>
    <xf numFmtId="0" fontId="146" fillId="157" borderId="1" xfId="138" applyFont="1" applyFill="1" applyBorder="1" applyAlignment="1">
      <alignment horizontal="center" vertical="center" shrinkToFit="1"/>
    </xf>
    <xf numFmtId="0" fontId="81" fillId="158" borderId="1" xfId="0" applyFont="1" applyFill="1" applyBorder="1" applyAlignment="1">
      <alignment horizontal="center" vertical="center"/>
    </xf>
    <xf numFmtId="0" fontId="35" fillId="67" borderId="0" xfId="0" applyFont="1" applyFill="1" applyAlignment="1">
      <alignment horizontal="center" vertical="center"/>
    </xf>
    <xf numFmtId="0" fontId="84" fillId="159" borderId="69" xfId="131" applyFont="1" applyFill="1" applyBorder="1" applyAlignment="1">
      <alignment horizontal="center"/>
    </xf>
    <xf numFmtId="0" fontId="81" fillId="72" borderId="1" xfId="0" applyFont="1" applyFill="1" applyBorder="1" applyAlignment="1">
      <alignment horizontal="center" vertical="center"/>
    </xf>
    <xf numFmtId="0" fontId="89" fillId="160" borderId="1" xfId="0" applyFont="1" applyFill="1" applyBorder="1" applyAlignment="1">
      <alignment horizontal="center" vertical="center"/>
    </xf>
    <xf numFmtId="0" fontId="36" fillId="51" borderId="23" xfId="0" applyFont="1" applyFill="1" applyBorder="1" applyAlignment="1">
      <alignment horizontal="center" vertical="center"/>
    </xf>
    <xf numFmtId="0" fontId="84" fillId="55" borderId="69" xfId="131" applyFont="1" applyFill="1" applyBorder="1" applyAlignment="1">
      <alignment horizontal="center"/>
    </xf>
    <xf numFmtId="0" fontId="120" fillId="110" borderId="1" xfId="0" applyFont="1" applyFill="1" applyBorder="1" applyAlignment="1">
      <alignment horizontal="center" vertical="center"/>
    </xf>
    <xf numFmtId="0" fontId="36" fillId="47" borderId="75" xfId="0" applyFont="1" applyFill="1" applyBorder="1" applyAlignment="1">
      <alignment horizontal="center" vertical="center"/>
    </xf>
    <xf numFmtId="0" fontId="120" fillId="0" borderId="1" xfId="138" applyFont="1" applyBorder="1" applyAlignment="1">
      <alignment vertical="center" shrinkToFit="1"/>
    </xf>
    <xf numFmtId="0" fontId="66" fillId="161" borderId="69" xfId="138" applyFont="1" applyFill="1" applyBorder="1" applyAlignment="1">
      <alignment horizontal="center" vertical="center" shrinkToFit="1"/>
    </xf>
    <xf numFmtId="0" fontId="153" fillId="162" borderId="1" xfId="138" applyFont="1" applyFill="1" applyBorder="1" applyAlignment="1">
      <alignment horizontal="center" vertical="center" shrinkToFit="1"/>
    </xf>
    <xf numFmtId="0" fontId="66" fillId="0" borderId="1" xfId="138" applyFont="1" applyBorder="1" applyAlignment="1">
      <alignment horizontal="center" vertical="center" shrinkToFit="1"/>
    </xf>
    <xf numFmtId="0" fontId="84" fillId="44" borderId="1" xfId="131" applyFont="1" applyFill="1" applyBorder="1" applyAlignment="1">
      <alignment horizontal="center"/>
    </xf>
    <xf numFmtId="0" fontId="67" fillId="163" borderId="1" xfId="138" applyFont="1" applyFill="1" applyBorder="1" applyAlignment="1">
      <alignment horizontal="center" vertical="center" shrinkToFit="1"/>
    </xf>
    <xf numFmtId="0" fontId="66" fillId="115" borderId="1" xfId="138" applyFont="1" applyFill="1" applyBorder="1" applyAlignment="1">
      <alignment horizontal="center" vertical="center" shrinkToFit="1"/>
    </xf>
    <xf numFmtId="0" fontId="41" fillId="52" borderId="40" xfId="0" applyFont="1" applyFill="1" applyBorder="1" applyAlignment="1">
      <alignment horizontal="center" vertical="center"/>
    </xf>
    <xf numFmtId="0" fontId="66" fillId="164" borderId="69" xfId="138" applyFont="1" applyFill="1" applyBorder="1" applyAlignment="1">
      <alignment horizontal="center" vertical="center" shrinkToFit="1"/>
    </xf>
    <xf numFmtId="0" fontId="146" fillId="165" borderId="1" xfId="138" applyFont="1" applyFill="1" applyBorder="1" applyAlignment="1">
      <alignment horizontal="center" vertical="center" shrinkToFit="1"/>
    </xf>
    <xf numFmtId="0" fontId="84" fillId="133" borderId="1" xfId="0" applyFont="1" applyFill="1" applyBorder="1" applyAlignment="1">
      <alignment horizontal="center" vertical="center"/>
    </xf>
    <xf numFmtId="0" fontId="36" fillId="62" borderId="40" xfId="0" applyFont="1" applyFill="1" applyBorder="1" applyAlignment="1">
      <alignment horizontal="center" vertical="center"/>
    </xf>
    <xf numFmtId="0" fontId="66" fillId="166" borderId="69" xfId="138" applyFont="1" applyFill="1" applyBorder="1" applyAlignment="1">
      <alignment horizontal="center" vertical="center" shrinkToFit="1"/>
    </xf>
    <xf numFmtId="0" fontId="67" fillId="167" borderId="1" xfId="138" applyFont="1" applyFill="1" applyBorder="1" applyAlignment="1">
      <alignment horizontal="center" vertical="center" shrinkToFit="1"/>
    </xf>
    <xf numFmtId="0" fontId="67" fillId="168" borderId="1" xfId="138" applyFont="1" applyFill="1" applyBorder="1" applyAlignment="1">
      <alignment horizontal="center" vertical="center" shrinkToFit="1"/>
    </xf>
    <xf numFmtId="0" fontId="39" fillId="43" borderId="25" xfId="0" applyFont="1" applyFill="1" applyBorder="1" applyAlignment="1">
      <alignment horizontal="center" vertical="center"/>
    </xf>
    <xf numFmtId="0" fontId="154" fillId="44" borderId="1" xfId="131" applyFont="1" applyFill="1" applyBorder="1" applyAlignment="1">
      <alignment horizontal="center"/>
    </xf>
    <xf numFmtId="0" fontId="143" fillId="140" borderId="0" xfId="0" applyFont="1" applyFill="1" applyAlignment="1">
      <alignment horizontal="center" vertical="center"/>
    </xf>
    <xf numFmtId="0" fontId="42" fillId="58" borderId="15" xfId="138" applyFont="1" applyFill="1" applyBorder="1" applyAlignment="1">
      <alignment horizontal="center" vertical="center" shrinkToFit="1"/>
    </xf>
    <xf numFmtId="0" fontId="120" fillId="0" borderId="1" xfId="138" applyFont="1" applyBorder="1" applyAlignment="1">
      <alignment shrinkToFit="1"/>
    </xf>
    <xf numFmtId="0" fontId="79" fillId="52" borderId="1" xfId="0" applyFont="1" applyFill="1" applyBorder="1" applyAlignment="1">
      <alignment horizontal="center"/>
    </xf>
    <xf numFmtId="0" fontId="66" fillId="169" borderId="1" xfId="138" applyFont="1" applyFill="1" applyBorder="1" applyAlignment="1">
      <alignment horizontal="center" vertical="center" shrinkToFit="1"/>
    </xf>
    <xf numFmtId="0" fontId="66" fillId="114" borderId="1" xfId="138" applyFont="1" applyFill="1" applyBorder="1" applyAlignment="1">
      <alignment horizontal="center" vertical="center" shrinkToFit="1"/>
    </xf>
    <xf numFmtId="0" fontId="35" fillId="55" borderId="25" xfId="0" applyFont="1" applyFill="1" applyBorder="1" applyAlignment="1">
      <alignment horizontal="center" vertical="center"/>
    </xf>
    <xf numFmtId="0" fontId="67" fillId="170" borderId="69" xfId="138" applyFont="1" applyFill="1" applyBorder="1" applyAlignment="1">
      <alignment horizontal="center" vertical="center" shrinkToFit="1"/>
    </xf>
    <xf numFmtId="0" fontId="65" fillId="171" borderId="1" xfId="138" applyFont="1" applyFill="1" applyBorder="1" applyAlignment="1">
      <alignment horizontal="center" vertical="center" shrinkToFit="1"/>
    </xf>
    <xf numFmtId="0" fontId="81" fillId="108" borderId="1" xfId="0" applyFont="1" applyFill="1" applyBorder="1" applyAlignment="1">
      <alignment horizontal="center" vertical="center"/>
    </xf>
    <xf numFmtId="0" fontId="36" fillId="57" borderId="25" xfId="0" applyFont="1" applyFill="1" applyBorder="1" applyAlignment="1">
      <alignment horizontal="center" vertical="center"/>
    </xf>
    <xf numFmtId="0" fontId="65" fillId="172" borderId="69" xfId="138" applyFont="1" applyFill="1" applyBorder="1" applyAlignment="1">
      <alignment horizontal="center" vertical="center" shrinkToFit="1"/>
    </xf>
    <xf numFmtId="0" fontId="66" fillId="173" borderId="1" xfId="138" applyFont="1" applyFill="1" applyBorder="1" applyAlignment="1">
      <alignment horizontal="center" vertical="center" shrinkToFit="1"/>
    </xf>
    <xf numFmtId="0" fontId="81" fillId="150" borderId="1" xfId="0" applyFont="1" applyFill="1" applyBorder="1" applyAlignment="1">
      <alignment horizontal="center" vertical="center"/>
    </xf>
    <xf numFmtId="0" fontId="35" fillId="36" borderId="25" xfId="0" applyFont="1" applyFill="1" applyBorder="1" applyAlignment="1">
      <alignment horizontal="center" vertical="center"/>
    </xf>
    <xf numFmtId="0" fontId="67" fillId="174" borderId="69" xfId="138" applyFont="1" applyFill="1" applyBorder="1" applyAlignment="1">
      <alignment horizontal="center" vertical="center" shrinkToFit="1"/>
    </xf>
    <xf numFmtId="0" fontId="155" fillId="154" borderId="1" xfId="138" applyFont="1" applyFill="1" applyBorder="1" applyAlignment="1">
      <alignment horizontal="center" vertical="center" shrinkToFit="1"/>
    </xf>
    <xf numFmtId="0" fontId="36" fillId="40" borderId="25" xfId="0" applyFont="1" applyFill="1" applyBorder="1" applyAlignment="1">
      <alignment horizontal="center" vertical="center"/>
    </xf>
    <xf numFmtId="0" fontId="67" fillId="175" borderId="69" xfId="138" applyFont="1" applyFill="1" applyBorder="1" applyAlignment="1">
      <alignment horizontal="center" vertical="center" shrinkToFit="1"/>
    </xf>
    <xf numFmtId="0" fontId="152" fillId="176" borderId="1" xfId="0" applyFont="1" applyFill="1" applyBorder="1" applyAlignment="1">
      <alignment horizontal="center" vertical="center"/>
    </xf>
    <xf numFmtId="0" fontId="45" fillId="72" borderId="25" xfId="0" applyFont="1" applyFill="1" applyBorder="1" applyAlignment="1">
      <alignment horizontal="center" vertical="center"/>
    </xf>
    <xf numFmtId="0" fontId="84" fillId="123" borderId="1" xfId="0" applyFont="1" applyFill="1" applyBorder="1" applyAlignment="1">
      <alignment horizontal="center"/>
    </xf>
    <xf numFmtId="0" fontId="67" fillId="177" borderId="1" xfId="138" applyFont="1" applyFill="1" applyBorder="1" applyAlignment="1">
      <alignment horizontal="center" vertical="center" shrinkToFit="1"/>
    </xf>
    <xf numFmtId="0" fontId="84" fillId="44" borderId="1" xfId="0" applyFont="1" applyFill="1" applyBorder="1" applyAlignment="1">
      <alignment horizontal="center" vertical="center"/>
    </xf>
    <xf numFmtId="0" fontId="39" fillId="64" borderId="25" xfId="0" applyFont="1" applyFill="1" applyBorder="1" applyAlignment="1">
      <alignment horizontal="center" vertical="center"/>
    </xf>
    <xf numFmtId="0" fontId="120" fillId="178" borderId="1" xfId="0" applyFont="1" applyFill="1" applyBorder="1" applyAlignment="1">
      <alignment horizontal="center" vertical="center"/>
    </xf>
    <xf numFmtId="0" fontId="156" fillId="179" borderId="1" xfId="0" applyFont="1" applyFill="1" applyBorder="1" applyAlignment="1">
      <alignment horizontal="center" vertical="center"/>
    </xf>
    <xf numFmtId="0" fontId="36" fillId="59" borderId="25" xfId="0" applyFont="1" applyFill="1" applyBorder="1" applyAlignment="1">
      <alignment horizontal="center" vertical="center"/>
    </xf>
    <xf numFmtId="0" fontId="120" fillId="34" borderId="1" xfId="0" applyFont="1" applyFill="1" applyBorder="1" applyAlignment="1">
      <alignment horizontal="center" vertical="center"/>
    </xf>
    <xf numFmtId="0" fontId="156" fillId="180" borderId="1" xfId="0" applyFont="1" applyFill="1" applyBorder="1" applyAlignment="1">
      <alignment horizontal="center" vertical="center"/>
    </xf>
    <xf numFmtId="0" fontId="69" fillId="0" borderId="71" xfId="0" applyFont="1" applyBorder="1"/>
    <xf numFmtId="0" fontId="35" fillId="181" borderId="70" xfId="138" applyFont="1" applyFill="1" applyBorder="1" applyAlignment="1">
      <alignment vertical="center" shrinkToFit="1"/>
    </xf>
    <xf numFmtId="170" fontId="3" fillId="138" borderId="0" xfId="138" applyNumberFormat="1" applyFont="1" applyFill="1" applyAlignment="1">
      <alignment horizontal="center" vertical="center"/>
    </xf>
    <xf numFmtId="170" fontId="3" fillId="106" borderId="0" xfId="150" applyNumberFormat="1" applyFont="1" applyFill="1" applyAlignment="1">
      <alignment horizontal="center" vertical="center" shrinkToFit="1"/>
    </xf>
    <xf numFmtId="0" fontId="35" fillId="181" borderId="76" xfId="138" applyFont="1" applyFill="1" applyBorder="1" applyAlignment="1">
      <alignment vertical="center" shrinkToFit="1"/>
    </xf>
    <xf numFmtId="0" fontId="120" fillId="0" borderId="15" xfId="126" applyFont="1" applyBorder="1" applyAlignment="1">
      <alignment horizontal="left" shrinkToFit="1"/>
    </xf>
    <xf numFmtId="0" fontId="81" fillId="61" borderId="1" xfId="131" applyFont="1" applyFill="1" applyBorder="1" applyAlignment="1">
      <alignment horizontal="center"/>
    </xf>
    <xf numFmtId="0" fontId="66" fillId="183" borderId="1" xfId="138" applyFont="1" applyFill="1" applyBorder="1" applyAlignment="1">
      <alignment horizontal="center" vertical="center" shrinkToFit="1"/>
    </xf>
    <xf numFmtId="0" fontId="67" fillId="184" borderId="1" xfId="138" applyFont="1" applyFill="1" applyBorder="1" applyAlignment="1">
      <alignment horizontal="center" vertical="center" shrinkToFit="1"/>
    </xf>
    <xf numFmtId="0" fontId="12" fillId="0" borderId="0" xfId="0" applyFont="1"/>
    <xf numFmtId="0" fontId="65" fillId="59" borderId="1" xfId="138" applyFont="1" applyFill="1" applyBorder="1" applyAlignment="1">
      <alignment horizontal="center" vertical="center" shrinkToFit="1"/>
    </xf>
    <xf numFmtId="0" fontId="149" fillId="185" borderId="1" xfId="138" applyFont="1" applyFill="1" applyBorder="1" applyAlignment="1">
      <alignment horizontal="center" vertical="center" shrinkToFit="1"/>
    </xf>
    <xf numFmtId="0" fontId="158" fillId="186" borderId="1" xfId="0" applyFont="1" applyFill="1" applyBorder="1" applyAlignment="1">
      <alignment horizontal="center" vertical="center"/>
    </xf>
    <xf numFmtId="0" fontId="3" fillId="0" borderId="26" xfId="138" applyFont="1" applyBorder="1" applyAlignment="1">
      <alignment horizontal="center" vertical="center" shrinkToFit="1"/>
    </xf>
    <xf numFmtId="0" fontId="134" fillId="0" borderId="78" xfId="138" applyFont="1" applyBorder="1" applyAlignment="1">
      <alignment horizontal="center" vertical="center" shrinkToFit="1"/>
    </xf>
    <xf numFmtId="0" fontId="37" fillId="39" borderId="0" xfId="0" applyFont="1" applyFill="1" applyAlignment="1">
      <alignment horizontal="center" vertical="center"/>
    </xf>
    <xf numFmtId="0" fontId="152" fillId="158" borderId="1" xfId="0" applyFont="1" applyFill="1" applyBorder="1" applyAlignment="1">
      <alignment horizontal="center"/>
    </xf>
    <xf numFmtId="0" fontId="149" fillId="187" borderId="1" xfId="138" applyFont="1" applyFill="1" applyBorder="1" applyAlignment="1">
      <alignment horizontal="center" vertical="center" shrinkToFit="1"/>
    </xf>
    <xf numFmtId="0" fontId="84" fillId="188" borderId="1" xfId="0" applyFont="1" applyFill="1" applyBorder="1" applyAlignment="1">
      <alignment horizontal="center" vertical="center"/>
    </xf>
    <xf numFmtId="0" fontId="134" fillId="0" borderId="68" xfId="138" applyFont="1" applyBorder="1" applyAlignment="1">
      <alignment horizontal="center" vertical="center" shrinkToFit="1"/>
    </xf>
    <xf numFmtId="0" fontId="35" fillId="42" borderId="25" xfId="0" applyFont="1" applyFill="1" applyBorder="1" applyAlignment="1">
      <alignment horizontal="center" vertical="center"/>
    </xf>
    <xf numFmtId="0" fontId="84" fillId="158" borderId="1" xfId="0" applyFont="1" applyFill="1" applyBorder="1" applyAlignment="1">
      <alignment horizontal="center"/>
    </xf>
    <xf numFmtId="0" fontId="147" fillId="154" borderId="1" xfId="138" applyFont="1" applyFill="1" applyBorder="1" applyAlignment="1">
      <alignment horizontal="center" vertical="center" shrinkToFit="1"/>
    </xf>
    <xf numFmtId="0" fontId="60" fillId="104" borderId="79" xfId="0" applyFont="1" applyFill="1" applyBorder="1" applyAlignment="1">
      <alignment horizontal="center" vertical="center"/>
    </xf>
    <xf numFmtId="0" fontId="66" fillId="112" borderId="1" xfId="138" applyFont="1" applyFill="1" applyBorder="1" applyAlignment="1">
      <alignment horizontal="center" vertical="center" shrinkToFit="1"/>
    </xf>
    <xf numFmtId="0" fontId="50" fillId="52" borderId="80" xfId="0" applyFont="1" applyFill="1" applyBorder="1" applyAlignment="1">
      <alignment horizontal="center" vertical="center"/>
    </xf>
    <xf numFmtId="0" fontId="84" fillId="81" borderId="1" xfId="0" applyFont="1" applyFill="1" applyBorder="1" applyAlignment="1">
      <alignment horizontal="center"/>
    </xf>
    <xf numFmtId="0" fontId="147" fillId="132" borderId="1" xfId="138" applyFont="1" applyFill="1" applyBorder="1" applyAlignment="1">
      <alignment horizontal="center" vertical="center" shrinkToFit="1"/>
    </xf>
    <xf numFmtId="0" fontId="67" fillId="189" borderId="1" xfId="138" applyFont="1" applyFill="1" applyBorder="1" applyAlignment="1">
      <alignment horizontal="center" vertical="center" shrinkToFit="1"/>
    </xf>
    <xf numFmtId="0" fontId="46" fillId="63" borderId="5" xfId="0" applyFont="1" applyFill="1" applyBorder="1" applyAlignment="1">
      <alignment horizontal="center" vertical="center"/>
    </xf>
    <xf numFmtId="0" fontId="65" fillId="131" borderId="1" xfId="138" applyFont="1" applyFill="1" applyBorder="1" applyAlignment="1">
      <alignment horizontal="center" vertical="center" shrinkToFit="1"/>
    </xf>
    <xf numFmtId="0" fontId="67" fillId="154" borderId="1" xfId="138" applyFont="1" applyFill="1" applyBorder="1" applyAlignment="1">
      <alignment horizontal="center" vertical="center" shrinkToFit="1"/>
    </xf>
    <xf numFmtId="0" fontId="66" fillId="190" borderId="1" xfId="138" applyFont="1" applyFill="1" applyBorder="1" applyAlignment="1">
      <alignment horizontal="center" vertical="center" shrinkToFit="1"/>
    </xf>
    <xf numFmtId="0" fontId="35" fillId="48" borderId="75" xfId="0" applyFont="1" applyFill="1" applyBorder="1" applyAlignment="1">
      <alignment horizontal="center" vertical="center"/>
    </xf>
    <xf numFmtId="0" fontId="84" fillId="178" borderId="1" xfId="0" applyFont="1" applyFill="1" applyBorder="1" applyAlignment="1">
      <alignment horizontal="center"/>
    </xf>
    <xf numFmtId="0" fontId="150" fillId="191" borderId="1" xfId="138" applyFont="1" applyFill="1" applyBorder="1" applyAlignment="1">
      <alignment horizontal="center" vertical="center" shrinkToFit="1"/>
    </xf>
    <xf numFmtId="0" fontId="67" fillId="192" borderId="1" xfId="138" applyFont="1" applyFill="1" applyBorder="1" applyAlignment="1">
      <alignment horizontal="center" vertical="center" shrinkToFit="1"/>
    </xf>
    <xf numFmtId="0" fontId="69" fillId="141" borderId="53" xfId="0" applyFont="1" applyFill="1" applyBorder="1" applyAlignment="1">
      <alignment wrapText="1"/>
    </xf>
    <xf numFmtId="0" fontId="36" fillId="68" borderId="81" xfId="0" applyFont="1" applyFill="1" applyBorder="1" applyAlignment="1">
      <alignment horizontal="center" vertical="center"/>
    </xf>
    <xf numFmtId="0" fontId="81" fillId="120" borderId="1" xfId="131" applyFont="1" applyFill="1" applyBorder="1" applyAlignment="1">
      <alignment horizontal="center"/>
    </xf>
    <xf numFmtId="0" fontId="146" fillId="193" borderId="1" xfId="138" applyFont="1" applyFill="1" applyBorder="1" applyAlignment="1">
      <alignment horizontal="center" vertical="center" shrinkToFit="1"/>
    </xf>
    <xf numFmtId="0" fontId="66" fillId="194" borderId="1" xfId="138" applyFont="1" applyFill="1" applyBorder="1" applyAlignment="1">
      <alignment horizontal="center" vertical="center" shrinkToFit="1"/>
    </xf>
    <xf numFmtId="0" fontId="35" fillId="70" borderId="82" xfId="0" applyFont="1" applyFill="1" applyBorder="1" applyAlignment="1">
      <alignment horizontal="center" vertical="center"/>
    </xf>
    <xf numFmtId="0" fontId="35" fillId="70" borderId="40" xfId="0" applyFont="1" applyFill="1" applyBorder="1" applyAlignment="1">
      <alignment horizontal="center" vertical="center"/>
    </xf>
    <xf numFmtId="0" fontId="67" fillId="195" borderId="1" xfId="138" applyFont="1" applyFill="1" applyBorder="1" applyAlignment="1">
      <alignment horizontal="center" vertical="center" shrinkToFit="1"/>
    </xf>
    <xf numFmtId="0" fontId="120" fillId="63" borderId="1" xfId="0" applyFont="1" applyFill="1" applyBorder="1" applyAlignment="1">
      <alignment horizontal="center" vertical="center"/>
    </xf>
    <xf numFmtId="0" fontId="35" fillId="34" borderId="83" xfId="0" applyFont="1" applyFill="1" applyBorder="1" applyAlignment="1">
      <alignment horizontal="center" vertical="center"/>
    </xf>
    <xf numFmtId="0" fontId="3" fillId="138" borderId="0" xfId="138" applyFont="1" applyFill="1" applyAlignment="1">
      <alignment horizontal="center" vertical="center"/>
    </xf>
    <xf numFmtId="0" fontId="3" fillId="106" borderId="0" xfId="150" applyFont="1" applyFill="1" applyAlignment="1">
      <alignment horizontal="center" vertical="center" shrinkToFit="1"/>
    </xf>
    <xf numFmtId="0" fontId="120" fillId="196" borderId="1" xfId="0" applyFont="1" applyFill="1" applyBorder="1" applyAlignment="1">
      <alignment horizontal="center"/>
    </xf>
    <xf numFmtId="0" fontId="67" fillId="197" borderId="1" xfId="138" applyFont="1" applyFill="1" applyBorder="1" applyAlignment="1">
      <alignment horizontal="center" vertical="center" shrinkToFit="1"/>
    </xf>
    <xf numFmtId="0" fontId="35" fillId="41" borderId="80" xfId="0" applyFont="1" applyFill="1" applyBorder="1" applyAlignment="1">
      <alignment horizontal="center" vertical="center"/>
    </xf>
    <xf numFmtId="0" fontId="35" fillId="41" borderId="25" xfId="0" applyFont="1" applyFill="1" applyBorder="1" applyAlignment="1">
      <alignment horizontal="center" vertical="center"/>
    </xf>
    <xf numFmtId="0" fontId="67" fillId="198" borderId="1" xfId="138" applyFont="1" applyFill="1" applyBorder="1" applyAlignment="1">
      <alignment horizontal="center" vertical="center" shrinkToFit="1"/>
    </xf>
    <xf numFmtId="0" fontId="67" fillId="60" borderId="1" xfId="138" applyFont="1" applyFill="1" applyBorder="1" applyAlignment="1">
      <alignment horizontal="center" vertical="center" shrinkToFit="1"/>
    </xf>
    <xf numFmtId="0" fontId="40" fillId="35" borderId="75" xfId="0" applyFont="1" applyFill="1" applyBorder="1" applyAlignment="1">
      <alignment horizontal="center" vertical="center"/>
    </xf>
    <xf numFmtId="0" fontId="147" fillId="35" borderId="1" xfId="0" applyFont="1" applyFill="1" applyBorder="1" applyAlignment="1">
      <alignment horizontal="center" vertical="center"/>
    </xf>
    <xf numFmtId="0" fontId="67" fillId="199" borderId="1" xfId="138" applyFont="1" applyFill="1" applyBorder="1" applyAlignment="1">
      <alignment horizontal="center" vertical="center" shrinkToFit="1"/>
    </xf>
    <xf numFmtId="0" fontId="35" fillId="52" borderId="25" xfId="0" applyFont="1" applyFill="1" applyBorder="1" applyAlignment="1">
      <alignment horizontal="center" vertical="center"/>
    </xf>
    <xf numFmtId="0" fontId="89" fillId="81" borderId="1" xfId="0" applyFont="1" applyFill="1" applyBorder="1" applyAlignment="1">
      <alignment horizontal="center"/>
    </xf>
    <xf numFmtId="0" fontId="16" fillId="178" borderId="1" xfId="0" applyFont="1" applyFill="1" applyBorder="1" applyAlignment="1">
      <alignment horizontal="center" vertical="center"/>
    </xf>
    <xf numFmtId="0" fontId="69" fillId="141" borderId="36" xfId="0" applyFont="1" applyFill="1" applyBorder="1" applyAlignment="1">
      <alignment wrapText="1"/>
    </xf>
    <xf numFmtId="0" fontId="43" fillId="61" borderId="25" xfId="0" applyFont="1" applyFill="1" applyBorder="1" applyAlignment="1">
      <alignment horizontal="center" vertical="center"/>
    </xf>
    <xf numFmtId="0" fontId="67" fillId="200" borderId="1" xfId="138" applyFont="1" applyFill="1" applyBorder="1" applyAlignment="1">
      <alignment horizontal="center" vertical="center" shrinkToFit="1"/>
    </xf>
    <xf numFmtId="0" fontId="84" fillId="0" borderId="1" xfId="0" applyFont="1" applyBorder="1"/>
    <xf numFmtId="170" fontId="84" fillId="0" borderId="1" xfId="0" applyNumberFormat="1" applyFont="1" applyBorder="1" applyAlignment="1">
      <alignment horizontal="center" vertical="center"/>
    </xf>
    <xf numFmtId="0" fontId="35" fillId="34" borderId="25" xfId="0" applyFont="1" applyFill="1" applyBorder="1" applyAlignment="1">
      <alignment horizontal="center" vertical="center"/>
    </xf>
    <xf numFmtId="0" fontId="66" fillId="161" borderId="1" xfId="138" applyFont="1" applyFill="1" applyBorder="1" applyAlignment="1">
      <alignment horizontal="center" vertical="center" shrinkToFit="1"/>
    </xf>
    <xf numFmtId="0" fontId="67" fillId="201" borderId="1" xfId="0" applyFont="1" applyFill="1" applyBorder="1" applyAlignment="1">
      <alignment horizontal="center" vertical="center"/>
    </xf>
    <xf numFmtId="0" fontId="35" fillId="54" borderId="25" xfId="0" applyFont="1" applyFill="1" applyBorder="1" applyAlignment="1">
      <alignment horizontal="center" vertical="center"/>
    </xf>
    <xf numFmtId="0" fontId="159" fillId="132" borderId="1" xfId="131" applyFont="1" applyFill="1" applyBorder="1" applyAlignment="1">
      <alignment horizontal="center"/>
    </xf>
    <xf numFmtId="0" fontId="35" fillId="44" borderId="25" xfId="0" applyFont="1" applyFill="1" applyBorder="1" applyAlignment="1">
      <alignment horizontal="center" vertical="center"/>
    </xf>
    <xf numFmtId="0" fontId="120" fillId="0" borderId="1" xfId="126" applyFont="1" applyBorder="1" applyAlignment="1" applyProtection="1">
      <alignment shrinkToFit="1"/>
      <protection locked="0"/>
    </xf>
    <xf numFmtId="0" fontId="67" fillId="202" borderId="1" xfId="0" applyFont="1" applyFill="1" applyBorder="1" applyAlignment="1">
      <alignment horizontal="center" vertical="center"/>
    </xf>
    <xf numFmtId="0" fontId="66" fillId="44" borderId="1" xfId="0" applyFont="1" applyFill="1" applyBorder="1" applyAlignment="1">
      <alignment horizontal="center" vertical="center"/>
    </xf>
    <xf numFmtId="0" fontId="69" fillId="90" borderId="0" xfId="0" applyFont="1" applyFill="1"/>
    <xf numFmtId="0" fontId="3" fillId="0" borderId="68" xfId="138" applyFont="1" applyBorder="1" applyAlignment="1">
      <alignment horizontal="center" vertical="center" shrinkToFit="1"/>
    </xf>
    <xf numFmtId="0" fontId="35" fillId="61" borderId="0" xfId="0" applyFont="1" applyFill="1" applyAlignment="1">
      <alignment horizontal="center" vertical="center"/>
    </xf>
    <xf numFmtId="0" fontId="3" fillId="0" borderId="0" xfId="138" applyFont="1" applyAlignment="1">
      <alignment horizontal="center" vertical="center" shrinkToFit="1"/>
    </xf>
    <xf numFmtId="0" fontId="134" fillId="0" borderId="0" xfId="138" applyFont="1" applyAlignment="1">
      <alignment horizontal="center" vertical="center" shrinkToFit="1"/>
    </xf>
    <xf numFmtId="0" fontId="66" fillId="71" borderId="1" xfId="0" applyFont="1" applyFill="1" applyBorder="1" applyAlignment="1">
      <alignment horizontal="center" vertical="center" wrapText="1"/>
    </xf>
    <xf numFmtId="0" fontId="35" fillId="181" borderId="69" xfId="138" applyFont="1" applyFill="1" applyBorder="1" applyAlignment="1">
      <alignment vertical="center" shrinkToFit="1"/>
    </xf>
    <xf numFmtId="0" fontId="35" fillId="181" borderId="88" xfId="138" applyFont="1" applyFill="1" applyBorder="1" applyAlignment="1">
      <alignment vertical="center" shrinkToFit="1"/>
    </xf>
    <xf numFmtId="0" fontId="89" fillId="35" borderId="69" xfId="0" applyFont="1" applyFill="1" applyBorder="1" applyAlignment="1">
      <alignment horizontal="center"/>
    </xf>
    <xf numFmtId="0" fontId="67" fillId="203" borderId="1" xfId="138" applyFont="1" applyFill="1" applyBorder="1" applyAlignment="1">
      <alignment horizontal="center" vertical="center" shrinkToFit="1"/>
    </xf>
    <xf numFmtId="0" fontId="152" fillId="205" borderId="1" xfId="0" applyFont="1" applyFill="1" applyBorder="1" applyAlignment="1">
      <alignment horizontal="center"/>
    </xf>
    <xf numFmtId="0" fontId="153" fillId="206" borderId="1" xfId="0" applyFont="1" applyFill="1" applyBorder="1" applyAlignment="1">
      <alignment horizontal="center" vertical="center"/>
    </xf>
    <xf numFmtId="0" fontId="84" fillId="207" borderId="1" xfId="0" applyFont="1" applyFill="1" applyBorder="1" applyAlignment="1">
      <alignment horizontal="center"/>
    </xf>
    <xf numFmtId="0" fontId="161" fillId="208" borderId="1" xfId="138" applyFont="1" applyFill="1" applyBorder="1" applyAlignment="1">
      <alignment horizontal="center" vertical="center" shrinkToFit="1"/>
    </xf>
    <xf numFmtId="0" fontId="65" fillId="172" borderId="1" xfId="138" applyFont="1" applyFill="1" applyBorder="1" applyAlignment="1">
      <alignment horizontal="center" vertical="center" shrinkToFit="1"/>
    </xf>
    <xf numFmtId="0" fontId="67" fillId="209" borderId="1" xfId="138" applyFont="1" applyFill="1" applyBorder="1" applyAlignment="1">
      <alignment horizontal="center" vertical="center" shrinkToFit="1"/>
    </xf>
    <xf numFmtId="0" fontId="84" fillId="35" borderId="1" xfId="0" applyFont="1" applyFill="1" applyBorder="1" applyAlignment="1">
      <alignment horizontal="center"/>
    </xf>
    <xf numFmtId="0" fontId="67" fillId="210" borderId="1" xfId="138" applyFont="1" applyFill="1" applyBorder="1" applyAlignment="1">
      <alignment horizontal="center" vertical="center" shrinkToFit="1"/>
    </xf>
    <xf numFmtId="0" fontId="69" fillId="90" borderId="0" xfId="0" applyFont="1" applyFill="1" applyAlignment="1">
      <alignment wrapText="1"/>
    </xf>
    <xf numFmtId="0" fontId="81" fillId="44" borderId="1" xfId="0" applyFont="1" applyFill="1" applyBorder="1" applyAlignment="1">
      <alignment horizontal="center"/>
    </xf>
    <xf numFmtId="0" fontId="66" fillId="211" borderId="1" xfId="138" applyFont="1" applyFill="1" applyBorder="1" applyAlignment="1">
      <alignment horizontal="center" vertical="center" shrinkToFit="1"/>
    </xf>
    <xf numFmtId="0" fontId="162" fillId="212" borderId="1" xfId="0" applyFont="1" applyFill="1" applyBorder="1" applyAlignment="1">
      <alignment horizontal="center" vertical="center"/>
    </xf>
    <xf numFmtId="0" fontId="35" fillId="56" borderId="25" xfId="0" applyFont="1" applyFill="1" applyBorder="1" applyAlignment="1">
      <alignment horizontal="center" vertical="center"/>
    </xf>
    <xf numFmtId="0" fontId="67" fillId="213" borderId="1" xfId="138" applyFont="1" applyFill="1" applyBorder="1" applyAlignment="1">
      <alignment horizontal="center" vertical="center" shrinkToFit="1"/>
    </xf>
    <xf numFmtId="0" fontId="65" fillId="204" borderId="1" xfId="138" applyFont="1" applyFill="1" applyBorder="1" applyAlignment="1">
      <alignment horizontal="center" vertical="center" shrinkToFit="1"/>
    </xf>
    <xf numFmtId="0" fontId="40" fillId="63" borderId="0" xfId="0" applyFont="1" applyFill="1" applyAlignment="1">
      <alignment horizontal="center" vertical="center"/>
    </xf>
    <xf numFmtId="0" fontId="147" fillId="120" borderId="1" xfId="138" applyFont="1" applyFill="1" applyBorder="1" applyAlignment="1">
      <alignment horizontal="center" vertical="center" shrinkToFit="1"/>
    </xf>
    <xf numFmtId="0" fontId="67" fillId="52" borderId="1" xfId="0" applyFont="1" applyFill="1" applyBorder="1" applyAlignment="1">
      <alignment horizontal="center" vertical="center"/>
    </xf>
    <xf numFmtId="0" fontId="35" fillId="46" borderId="25" xfId="0" applyFont="1" applyFill="1" applyBorder="1" applyAlignment="1">
      <alignment horizontal="center" vertical="center"/>
    </xf>
    <xf numFmtId="0" fontId="163" fillId="120" borderId="1" xfId="138" applyFont="1" applyFill="1" applyBorder="1" applyAlignment="1">
      <alignment horizontal="center" vertical="center" shrinkToFit="1"/>
    </xf>
    <xf numFmtId="0" fontId="67" fillId="214" borderId="1" xfId="138" applyFont="1" applyFill="1" applyBorder="1" applyAlignment="1">
      <alignment horizontal="center" vertical="center" shrinkToFit="1"/>
    </xf>
    <xf numFmtId="0" fontId="0" fillId="140" borderId="53" xfId="0" applyFill="1" applyBorder="1" applyAlignment="1">
      <alignment wrapText="1"/>
    </xf>
    <xf numFmtId="0" fontId="35" fillId="38" borderId="25" xfId="0" applyFont="1" applyFill="1" applyBorder="1" applyAlignment="1">
      <alignment horizontal="center" vertical="center"/>
    </xf>
    <xf numFmtId="0" fontId="164" fillId="52" borderId="1" xfId="138" applyFont="1" applyFill="1" applyBorder="1" applyAlignment="1">
      <alignment horizontal="center" vertical="center" shrinkToFit="1"/>
    </xf>
    <xf numFmtId="0" fontId="67" fillId="215" borderId="1" xfId="138" applyFont="1" applyFill="1" applyBorder="1" applyAlignment="1">
      <alignment horizontal="center" vertical="center" shrinkToFit="1"/>
    </xf>
    <xf numFmtId="0" fontId="35" fillId="53" borderId="40" xfId="0" applyFont="1" applyFill="1" applyBorder="1" applyAlignment="1">
      <alignment horizontal="center" vertical="center"/>
    </xf>
    <xf numFmtId="0" fontId="81" fillId="126" borderId="1" xfId="0" applyFont="1" applyFill="1" applyBorder="1" applyAlignment="1">
      <alignment horizontal="center"/>
    </xf>
    <xf numFmtId="0" fontId="66" fillId="216" borderId="1" xfId="138" applyFont="1" applyFill="1" applyBorder="1" applyAlignment="1">
      <alignment horizontal="center" vertical="center" shrinkToFit="1"/>
    </xf>
    <xf numFmtId="0" fontId="60" fillId="63" borderId="0" xfId="0" applyFont="1" applyFill="1" applyAlignment="1">
      <alignment horizontal="center" vertical="center"/>
    </xf>
    <xf numFmtId="0" fontId="66" fillId="217" borderId="1" xfId="138" applyFont="1" applyFill="1" applyBorder="1" applyAlignment="1" applyProtection="1">
      <alignment horizontal="center" vertical="center" shrinkToFit="1"/>
      <protection locked="0"/>
    </xf>
    <xf numFmtId="0" fontId="65" fillId="104" borderId="1" xfId="138" applyFont="1" applyFill="1" applyBorder="1" applyAlignment="1">
      <alignment horizontal="center" vertical="center" shrinkToFit="1"/>
    </xf>
    <xf numFmtId="0" fontId="65" fillId="218" borderId="1" xfId="0" applyFont="1" applyFill="1" applyBorder="1" applyAlignment="1">
      <alignment horizontal="center" vertical="center"/>
    </xf>
    <xf numFmtId="0" fontId="67" fillId="219" borderId="1" xfId="138" applyFont="1" applyFill="1" applyBorder="1" applyAlignment="1">
      <alignment horizontal="center" vertical="center" shrinkToFit="1"/>
    </xf>
    <xf numFmtId="0" fontId="66" fillId="220" borderId="1" xfId="138" applyFont="1" applyFill="1" applyBorder="1" applyAlignment="1">
      <alignment horizontal="center" vertical="center" shrinkToFit="1"/>
    </xf>
    <xf numFmtId="0" fontId="35" fillId="69" borderId="0" xfId="0" applyFont="1" applyFill="1" applyAlignment="1">
      <alignment horizontal="center" vertical="center"/>
    </xf>
    <xf numFmtId="0" fontId="84" fillId="80" borderId="1" xfId="0" applyFont="1" applyFill="1" applyBorder="1" applyAlignment="1">
      <alignment horizontal="center"/>
    </xf>
    <xf numFmtId="0" fontId="65" fillId="221" borderId="1" xfId="138" applyFont="1" applyFill="1" applyBorder="1" applyAlignment="1">
      <alignment horizontal="center" vertical="center" shrinkToFit="1"/>
    </xf>
    <xf numFmtId="0" fontId="66" fillId="42" borderId="1" xfId="0" applyFont="1" applyFill="1" applyBorder="1" applyAlignment="1">
      <alignment horizontal="center" vertical="center" wrapText="1"/>
    </xf>
    <xf numFmtId="0" fontId="38" fillId="49" borderId="0" xfId="0" applyFont="1" applyFill="1" applyAlignment="1">
      <alignment horizontal="center" vertical="center"/>
    </xf>
    <xf numFmtId="0" fontId="65" fillId="222" borderId="1" xfId="138" applyFont="1" applyFill="1" applyBorder="1" applyAlignment="1">
      <alignment horizontal="center" vertical="center" shrinkToFit="1"/>
    </xf>
    <xf numFmtId="0" fontId="146" fillId="223" borderId="1" xfId="0" applyFont="1" applyFill="1" applyBorder="1" applyAlignment="1">
      <alignment horizontal="center" vertical="center"/>
    </xf>
    <xf numFmtId="0" fontId="65" fillId="79" borderId="1" xfId="138" applyFont="1" applyFill="1" applyBorder="1" applyAlignment="1">
      <alignment horizontal="center" vertical="center" shrinkToFit="1"/>
    </xf>
    <xf numFmtId="0" fontId="146" fillId="50" borderId="1" xfId="138" applyFont="1" applyFill="1" applyBorder="1" applyAlignment="1">
      <alignment horizontal="center" vertical="center" shrinkToFit="1"/>
    </xf>
    <xf numFmtId="0" fontId="66" fillId="34" borderId="1" xfId="0" applyFont="1" applyFill="1" applyBorder="1" applyAlignment="1">
      <alignment horizontal="center" vertical="center"/>
    </xf>
    <xf numFmtId="0" fontId="35" fillId="69" borderId="40" xfId="0" applyFont="1" applyFill="1" applyBorder="1" applyAlignment="1">
      <alignment horizontal="center" vertical="center"/>
    </xf>
    <xf numFmtId="0" fontId="147" fillId="55" borderId="1" xfId="138" applyFont="1" applyFill="1" applyBorder="1" applyAlignment="1" applyProtection="1">
      <alignment horizontal="center" vertical="center" shrinkToFit="1"/>
      <protection locked="0"/>
    </xf>
    <xf numFmtId="0" fontId="165" fillId="224" borderId="1" xfId="138" applyFont="1" applyFill="1" applyBorder="1" applyAlignment="1">
      <alignment horizontal="center" vertical="center" shrinkToFit="1"/>
    </xf>
    <xf numFmtId="0" fontId="66" fillId="224" borderId="1" xfId="138" applyFont="1" applyFill="1" applyBorder="1" applyAlignment="1">
      <alignment horizontal="center" vertical="center" shrinkToFit="1"/>
    </xf>
    <xf numFmtId="0" fontId="66" fillId="54" borderId="1" xfId="0" applyFont="1" applyFill="1" applyBorder="1" applyAlignment="1">
      <alignment horizontal="center" vertical="center"/>
    </xf>
    <xf numFmtId="0" fontId="35" fillId="69" borderId="24" xfId="0" applyFont="1" applyFill="1" applyBorder="1" applyAlignment="1">
      <alignment horizontal="center" vertical="center"/>
    </xf>
    <xf numFmtId="0" fontId="66" fillId="225" borderId="1" xfId="138" applyFont="1" applyFill="1" applyBorder="1" applyAlignment="1">
      <alignment horizontal="center" vertical="center" shrinkToFit="1"/>
    </xf>
    <xf numFmtId="0" fontId="153" fillId="226" borderId="1" xfId="0" applyFont="1" applyFill="1" applyBorder="1" applyAlignment="1">
      <alignment horizontal="center" vertical="center"/>
    </xf>
    <xf numFmtId="0" fontId="35" fillId="45" borderId="0" xfId="0" applyFont="1" applyFill="1" applyAlignment="1">
      <alignment horizontal="center" vertical="center"/>
    </xf>
    <xf numFmtId="0" fontId="84" fillId="42" borderId="1" xfId="0" applyFont="1" applyFill="1" applyBorder="1" applyAlignment="1">
      <alignment horizontal="center"/>
    </xf>
    <xf numFmtId="0" fontId="38" fillId="38" borderId="0" xfId="0" applyFont="1" applyFill="1" applyAlignment="1">
      <alignment horizontal="center" vertical="center"/>
    </xf>
    <xf numFmtId="0" fontId="84" fillId="52" borderId="1" xfId="0" applyFont="1" applyFill="1" applyBorder="1" applyAlignment="1">
      <alignment horizontal="center"/>
    </xf>
    <xf numFmtId="0" fontId="150" fillId="227" borderId="1" xfId="138" applyFont="1" applyFill="1" applyBorder="1" applyAlignment="1">
      <alignment horizontal="center" vertical="center" shrinkToFit="1"/>
    </xf>
    <xf numFmtId="0" fontId="66" fillId="228" borderId="1" xfId="0" applyFont="1" applyFill="1" applyBorder="1" applyAlignment="1">
      <alignment horizontal="center" vertical="center" wrapText="1"/>
    </xf>
    <xf numFmtId="0" fontId="35" fillId="50" borderId="0" xfId="0" applyFont="1" applyFill="1" applyAlignment="1">
      <alignment horizontal="center" vertical="center"/>
    </xf>
    <xf numFmtId="0" fontId="89" fillId="123" borderId="1" xfId="131" applyFont="1" applyFill="1" applyBorder="1" applyAlignment="1">
      <alignment horizontal="center"/>
    </xf>
    <xf numFmtId="0" fontId="146" fillId="229" borderId="1" xfId="138" applyFont="1" applyFill="1" applyBorder="1" applyAlignment="1">
      <alignment horizontal="center" vertical="center" shrinkToFit="1"/>
    </xf>
    <xf numFmtId="0" fontId="43" fillId="60" borderId="25" xfId="0" applyFont="1" applyFill="1" applyBorder="1" applyAlignment="1">
      <alignment horizontal="center" vertical="center"/>
    </xf>
    <xf numFmtId="0" fontId="84" fillId="55" borderId="1" xfId="0" applyFont="1" applyFill="1" applyBorder="1" applyAlignment="1">
      <alignment horizontal="center"/>
    </xf>
    <xf numFmtId="0" fontId="84" fillId="195" borderId="1" xfId="0" applyFont="1" applyFill="1" applyBorder="1" applyAlignment="1">
      <alignment horizontal="center"/>
    </xf>
    <xf numFmtId="0" fontId="166" fillId="230" borderId="1" xfId="138" applyFont="1" applyFill="1" applyBorder="1" applyAlignment="1">
      <alignment horizontal="center" vertical="center" shrinkToFit="1"/>
    </xf>
    <xf numFmtId="0" fontId="49" fillId="0" borderId="0" xfId="138" applyFont="1" applyAlignment="1">
      <alignment horizontal="center" vertical="center" shrinkToFit="1"/>
    </xf>
    <xf numFmtId="0" fontId="35" fillId="181" borderId="0" xfId="138" applyFont="1" applyFill="1" applyAlignment="1">
      <alignment vertical="center" shrinkToFit="1"/>
    </xf>
    <xf numFmtId="170" fontId="0" fillId="0" borderId="0" xfId="0" applyNumberFormat="1"/>
    <xf numFmtId="0" fontId="67" fillId="140" borderId="1" xfId="0" applyFont="1" applyFill="1" applyBorder="1" applyAlignment="1">
      <alignment horizontal="center" vertical="center"/>
    </xf>
    <xf numFmtId="0" fontId="65" fillId="0" borderId="93" xfId="138" applyFont="1" applyBorder="1" applyAlignment="1">
      <alignment vertical="center" shrinkToFit="1"/>
    </xf>
    <xf numFmtId="0" fontId="2" fillId="0" borderId="69" xfId="150" applyBorder="1" applyAlignment="1">
      <alignment horizontal="center" vertical="center"/>
    </xf>
    <xf numFmtId="0" fontId="2" fillId="0" borderId="1" xfId="150" applyBorder="1" applyAlignment="1">
      <alignment horizontal="center" vertical="center"/>
    </xf>
    <xf numFmtId="0" fontId="66" fillId="231" borderId="1" xfId="138" applyFont="1" applyFill="1" applyBorder="1" applyAlignment="1">
      <alignment horizontal="center" vertical="center" shrinkToFit="1"/>
    </xf>
    <xf numFmtId="0" fontId="146" fillId="154" borderId="1" xfId="138" applyFont="1" applyFill="1" applyBorder="1" applyAlignment="1">
      <alignment horizontal="center" vertical="center" shrinkToFit="1"/>
    </xf>
    <xf numFmtId="0" fontId="66" fillId="232" borderId="1" xfId="138" applyFont="1" applyFill="1" applyBorder="1" applyAlignment="1">
      <alignment horizontal="center" vertical="center" shrinkToFit="1"/>
    </xf>
    <xf numFmtId="0" fontId="167" fillId="233" borderId="1" xfId="138" applyFont="1" applyFill="1" applyBorder="1" applyAlignment="1">
      <alignment horizontal="center" vertical="center" shrinkToFit="1"/>
    </xf>
    <xf numFmtId="0" fontId="168" fillId="234" borderId="1" xfId="0" applyFont="1" applyFill="1" applyBorder="1" applyAlignment="1">
      <alignment horizontal="center" vertical="center"/>
    </xf>
    <xf numFmtId="0" fontId="167" fillId="233" borderId="37" xfId="138" applyFont="1" applyFill="1" applyBorder="1" applyAlignment="1">
      <alignment horizontal="center" vertical="center" shrinkToFit="1"/>
    </xf>
    <xf numFmtId="0" fontId="66" fillId="132" borderId="1" xfId="0" applyFont="1" applyFill="1" applyBorder="1" applyAlignment="1">
      <alignment horizontal="center" vertical="center"/>
    </xf>
    <xf numFmtId="0" fontId="67" fillId="235" borderId="1" xfId="138" applyFont="1" applyFill="1" applyBorder="1" applyAlignment="1">
      <alignment horizontal="center" vertical="center" shrinkToFit="1"/>
    </xf>
    <xf numFmtId="0" fontId="84" fillId="0" borderId="37" xfId="0" applyFont="1" applyBorder="1"/>
    <xf numFmtId="170" fontId="3" fillId="236" borderId="0" xfId="150" applyNumberFormat="1" applyFont="1" applyFill="1" applyAlignment="1">
      <alignment horizontal="center" vertical="center" shrinkToFit="1"/>
    </xf>
    <xf numFmtId="170" fontId="0" fillId="90" borderId="0" xfId="0" applyNumberFormat="1" applyFill="1"/>
    <xf numFmtId="0" fontId="3" fillId="60" borderId="0" xfId="150" applyFont="1" applyFill="1" applyAlignment="1">
      <alignment horizontal="center" vertical="center" shrinkToFit="1"/>
    </xf>
    <xf numFmtId="0" fontId="99" fillId="79" borderId="1" xfId="131" applyFont="1" applyFill="1" applyBorder="1" applyAlignment="1">
      <alignment horizontal="center"/>
    </xf>
    <xf numFmtId="0" fontId="88" fillId="63" borderId="94" xfId="0" applyFont="1" applyFill="1" applyBorder="1" applyAlignment="1">
      <alignment horizontal="center"/>
    </xf>
    <xf numFmtId="0" fontId="84" fillId="54" borderId="1" xfId="0" applyFont="1" applyFill="1" applyBorder="1" applyAlignment="1">
      <alignment horizontal="center"/>
    </xf>
    <xf numFmtId="0" fontId="0" fillId="0" borderId="95" xfId="0" applyBorder="1"/>
    <xf numFmtId="0" fontId="0" fillId="0" borderId="22" xfId="0" applyBorder="1"/>
    <xf numFmtId="0" fontId="84" fillId="107" borderId="1" xfId="131" applyFont="1" applyFill="1" applyBorder="1" applyAlignment="1">
      <alignment horizontal="center"/>
    </xf>
    <xf numFmtId="0" fontId="69" fillId="0" borderId="1" xfId="0" applyFont="1" applyBorder="1"/>
    <xf numFmtId="0" fontId="169" fillId="237" borderId="1" xfId="0" applyFont="1" applyFill="1" applyBorder="1" applyAlignment="1">
      <alignment horizontal="center" vertical="center" wrapText="1"/>
    </xf>
    <xf numFmtId="0" fontId="69" fillId="50" borderId="0" xfId="0" applyFont="1" applyFill="1" applyAlignment="1">
      <alignment wrapText="1"/>
    </xf>
    <xf numFmtId="0" fontId="84" fillId="238" borderId="1" xfId="0" applyFont="1" applyFill="1" applyBorder="1" applyAlignment="1">
      <alignment horizontal="center"/>
    </xf>
    <xf numFmtId="0" fontId="66" fillId="154" borderId="1" xfId="0" applyFont="1" applyFill="1" applyBorder="1" applyAlignment="1">
      <alignment horizontal="center" vertical="center" wrapText="1"/>
    </xf>
    <xf numFmtId="0" fontId="66" fillId="239" borderId="1" xfId="138" applyFont="1" applyFill="1" applyBorder="1" applyAlignment="1">
      <alignment horizontal="center" vertical="center" shrinkToFit="1"/>
    </xf>
    <xf numFmtId="0" fontId="66" fillId="63" borderId="1" xfId="0" applyFont="1" applyFill="1" applyBorder="1" applyAlignment="1">
      <alignment horizontal="center" vertical="center" wrapText="1"/>
    </xf>
    <xf numFmtId="0" fontId="67" fillId="240" borderId="1" xfId="138" applyFont="1" applyFill="1" applyBorder="1" applyAlignment="1">
      <alignment horizontal="center" vertical="center" shrinkToFit="1"/>
    </xf>
    <xf numFmtId="0" fontId="170" fillId="241" borderId="1" xfId="0" applyFont="1" applyFill="1" applyBorder="1" applyAlignment="1">
      <alignment horizontal="center" vertical="center" wrapText="1"/>
    </xf>
    <xf numFmtId="0" fontId="84" fillId="83" borderId="1" xfId="0" applyFont="1" applyFill="1" applyBorder="1" applyAlignment="1">
      <alignment horizontal="center"/>
    </xf>
    <xf numFmtId="0" fontId="65" fillId="242" borderId="1" xfId="0" applyFont="1" applyFill="1" applyBorder="1" applyAlignment="1">
      <alignment horizontal="center" vertical="center" wrapText="1"/>
    </xf>
    <xf numFmtId="0" fontId="66" fillId="126" borderId="1" xfId="0" applyFont="1" applyFill="1" applyBorder="1" applyAlignment="1">
      <alignment horizontal="center" vertical="center"/>
    </xf>
    <xf numFmtId="0" fontId="84" fillId="228" borderId="1" xfId="0" applyFont="1" applyFill="1" applyBorder="1" applyAlignment="1">
      <alignment horizontal="center"/>
    </xf>
    <xf numFmtId="0" fontId="157" fillId="0" borderId="0" xfId="138" applyFont="1" applyAlignment="1">
      <alignment shrinkToFit="1"/>
    </xf>
    <xf numFmtId="0" fontId="66" fillId="149" borderId="1" xfId="138" applyFont="1" applyFill="1" applyBorder="1" applyAlignment="1">
      <alignment horizontal="center" vertical="center" shrinkToFit="1"/>
    </xf>
    <xf numFmtId="0" fontId="134" fillId="0" borderId="0" xfId="138" applyFont="1" applyAlignment="1">
      <alignment vertical="center" shrinkToFit="1"/>
    </xf>
    <xf numFmtId="0" fontId="84" fillId="133" borderId="1" xfId="0" applyFont="1" applyFill="1" applyBorder="1" applyAlignment="1">
      <alignment horizontal="center"/>
    </xf>
    <xf numFmtId="0" fontId="67" fillId="243" borderId="1" xfId="138" applyFont="1" applyFill="1" applyBorder="1" applyAlignment="1">
      <alignment horizontal="center" vertical="center" shrinkToFit="1"/>
    </xf>
    <xf numFmtId="0" fontId="67" fillId="164" borderId="1" xfId="138" applyFont="1" applyFill="1" applyBorder="1" applyAlignment="1">
      <alignment horizontal="center" vertical="center" shrinkToFit="1"/>
    </xf>
    <xf numFmtId="0" fontId="66" fillId="50" borderId="37" xfId="0" applyFont="1" applyFill="1" applyBorder="1" applyAlignment="1">
      <alignment horizontal="center" vertical="center"/>
    </xf>
    <xf numFmtId="10" fontId="134" fillId="0" borderId="0" xfId="126" applyNumberFormat="1" applyFont="1" applyAlignment="1">
      <alignment vertical="center" shrinkToFit="1"/>
    </xf>
    <xf numFmtId="0" fontId="171" fillId="244" borderId="1" xfId="0" applyFont="1" applyFill="1" applyBorder="1" applyAlignment="1">
      <alignment horizontal="center" vertical="center" wrapText="1"/>
    </xf>
    <xf numFmtId="0" fontId="147" fillId="245" borderId="1" xfId="138" applyFont="1" applyFill="1" applyBorder="1" applyAlignment="1">
      <alignment horizontal="center" vertical="center" shrinkToFit="1"/>
    </xf>
    <xf numFmtId="0" fontId="172" fillId="246" borderId="1" xfId="0" applyFont="1" applyFill="1" applyBorder="1" applyAlignment="1">
      <alignment horizontal="center" vertical="center"/>
    </xf>
    <xf numFmtId="0" fontId="147" fillId="247" borderId="2" xfId="0" applyFont="1" applyFill="1" applyBorder="1" applyAlignment="1">
      <alignment horizontal="center" vertical="center"/>
    </xf>
    <xf numFmtId="0" fontId="66" fillId="184" borderId="2" xfId="138" applyFont="1" applyFill="1" applyBorder="1" applyAlignment="1">
      <alignment horizontal="center" vertical="center" shrinkToFit="1"/>
    </xf>
    <xf numFmtId="0" fontId="67" fillId="248" borderId="1" xfId="138" applyFont="1" applyFill="1" applyBorder="1" applyAlignment="1">
      <alignment horizontal="center" vertical="center" shrinkToFit="1"/>
    </xf>
    <xf numFmtId="0" fontId="67" fillId="249" borderId="1" xfId="138" applyFont="1" applyFill="1" applyBorder="1" applyAlignment="1">
      <alignment horizontal="center" vertical="center" shrinkToFit="1"/>
    </xf>
    <xf numFmtId="0" fontId="65" fillId="136" borderId="1" xfId="138" applyFont="1" applyFill="1" applyBorder="1" applyAlignment="1">
      <alignment horizontal="center" vertical="center" shrinkToFit="1"/>
    </xf>
    <xf numFmtId="0" fontId="67" fillId="250" borderId="1" xfId="138" applyFont="1" applyFill="1" applyBorder="1" applyAlignment="1">
      <alignment horizontal="center" vertical="center" shrinkToFit="1"/>
    </xf>
    <xf numFmtId="0" fontId="147" fillId="81" borderId="1" xfId="0" applyFont="1" applyFill="1" applyBorder="1" applyAlignment="1">
      <alignment horizontal="center" vertical="center" wrapText="1"/>
    </xf>
    <xf numFmtId="0" fontId="147" fillId="251" borderId="1" xfId="0" applyFont="1" applyFill="1" applyBorder="1" applyAlignment="1">
      <alignment horizontal="center" vertical="center"/>
    </xf>
    <xf numFmtId="0" fontId="84" fillId="132" borderId="1" xfId="0" applyFont="1" applyFill="1" applyBorder="1" applyAlignment="1">
      <alignment horizontal="center"/>
    </xf>
    <xf numFmtId="0" fontId="147" fillId="50" borderId="1" xfId="0" applyFont="1" applyFill="1" applyBorder="1" applyAlignment="1">
      <alignment horizontal="center" vertical="center" wrapText="1"/>
    </xf>
    <xf numFmtId="0" fontId="173" fillId="252" borderId="1" xfId="0" applyFont="1" applyFill="1" applyBorder="1" applyAlignment="1">
      <alignment horizontal="center" vertical="center" wrapText="1"/>
    </xf>
    <xf numFmtId="0" fontId="67" fillId="82" borderId="1" xfId="0" applyFont="1" applyFill="1" applyBorder="1" applyAlignment="1">
      <alignment horizontal="center" vertical="center" wrapText="1"/>
    </xf>
    <xf numFmtId="0" fontId="69" fillId="111" borderId="0" xfId="0" applyFont="1" applyFill="1"/>
    <xf numFmtId="170" fontId="134" fillId="138" borderId="0" xfId="138" applyNumberFormat="1" applyFont="1" applyFill="1" applyAlignment="1">
      <alignment horizontal="center" vertical="center"/>
    </xf>
    <xf numFmtId="0" fontId="174" fillId="35" borderId="1" xfId="0" applyFont="1" applyFill="1" applyBorder="1" applyAlignment="1">
      <alignment horizontal="center" vertical="center" wrapText="1"/>
    </xf>
    <xf numFmtId="0" fontId="66" fillId="55" borderId="1" xfId="0" applyFont="1" applyFill="1" applyBorder="1" applyAlignment="1">
      <alignment horizontal="center" vertical="center" wrapText="1"/>
    </xf>
    <xf numFmtId="0" fontId="67" fillId="55" borderId="1" xfId="0" applyFont="1" applyFill="1" applyBorder="1" applyAlignment="1">
      <alignment horizontal="center" vertical="center"/>
    </xf>
    <xf numFmtId="0" fontId="49" fillId="0" borderId="0" xfId="138" applyFont="1" applyAlignment="1">
      <alignment horizontal="center" shrinkToFit="1"/>
    </xf>
    <xf numFmtId="0" fontId="67" fillId="61" borderId="1" xfId="0" applyFont="1" applyFill="1" applyBorder="1" applyAlignment="1">
      <alignment horizontal="center" vertical="center"/>
    </xf>
    <xf numFmtId="0" fontId="66" fillId="253" borderId="1" xfId="138" applyFont="1" applyFill="1" applyBorder="1" applyAlignment="1">
      <alignment horizontal="center" vertical="center" shrinkToFit="1"/>
    </xf>
    <xf numFmtId="0" fontId="66" fillId="254" borderId="1" xfId="0" applyFont="1" applyFill="1" applyBorder="1" applyAlignment="1">
      <alignment horizontal="center" vertical="center"/>
    </xf>
    <xf numFmtId="0" fontId="146" fillId="50" borderId="1" xfId="0" applyFont="1" applyFill="1" applyBorder="1" applyAlignment="1">
      <alignment horizontal="center" vertical="center"/>
    </xf>
    <xf numFmtId="0" fontId="67" fillId="126" borderId="1" xfId="0" applyFont="1" applyFill="1" applyBorder="1" applyAlignment="1">
      <alignment horizontal="center" vertical="center"/>
    </xf>
    <xf numFmtId="0" fontId="66" fillId="82" borderId="1" xfId="0" applyFont="1" applyFill="1" applyBorder="1" applyAlignment="1">
      <alignment horizontal="center" vertical="center"/>
    </xf>
    <xf numFmtId="0" fontId="146" fillId="255" borderId="1" xfId="0" applyFont="1" applyFill="1" applyBorder="1" applyAlignment="1">
      <alignment horizontal="center" vertical="center"/>
    </xf>
    <xf numFmtId="170" fontId="176" fillId="0" borderId="3" xfId="0" applyNumberFormat="1" applyFont="1" applyBorder="1" applyAlignment="1">
      <alignment horizontal="center" vertical="center"/>
    </xf>
    <xf numFmtId="0" fontId="67" fillId="256" borderId="1" xfId="0" applyFont="1" applyFill="1" applyBorder="1" applyAlignment="1">
      <alignment horizontal="center" vertical="center"/>
    </xf>
    <xf numFmtId="0" fontId="69" fillId="0" borderId="97" xfId="0" applyFont="1" applyBorder="1"/>
    <xf numFmtId="0" fontId="66" fillId="178" borderId="1" xfId="0" applyFont="1" applyFill="1" applyBorder="1" applyAlignment="1">
      <alignment horizontal="center" vertical="center"/>
    </xf>
    <xf numFmtId="0" fontId="177" fillId="111" borderId="0" xfId="0" applyFont="1" applyFill="1"/>
    <xf numFmtId="0" fontId="137" fillId="0" borderId="34" xfId="0" applyFont="1" applyBorder="1" applyAlignment="1" applyProtection="1">
      <alignment horizontal="center"/>
      <protection locked="0"/>
    </xf>
    <xf numFmtId="0" fontId="137" fillId="0" borderId="27" xfId="0" applyFont="1" applyBorder="1" applyAlignment="1" applyProtection="1">
      <alignment horizontal="center"/>
      <protection locked="0"/>
    </xf>
    <xf numFmtId="0" fontId="137" fillId="0" borderId="0" xfId="0" applyFont="1" applyAlignment="1" applyProtection="1">
      <alignment horizontal="center"/>
      <protection locked="0"/>
    </xf>
    <xf numFmtId="0" fontId="146" fillId="257" borderId="1" xfId="0" applyFont="1" applyFill="1" applyBorder="1" applyAlignment="1">
      <alignment horizontal="center" vertical="center"/>
    </xf>
    <xf numFmtId="0" fontId="67" fillId="113" borderId="100" xfId="138" applyFont="1" applyFill="1" applyBorder="1" applyAlignment="1">
      <alignment horizontal="center" vertical="center" shrinkToFit="1"/>
    </xf>
    <xf numFmtId="0" fontId="69" fillId="61" borderId="0" xfId="0" applyFont="1" applyFill="1"/>
    <xf numFmtId="0" fontId="178" fillId="258" borderId="1" xfId="0" applyFont="1" applyFill="1" applyBorder="1" applyAlignment="1">
      <alignment horizontal="center" vertical="center"/>
    </xf>
    <xf numFmtId="0" fontId="66" fillId="35" borderId="17" xfId="138" applyFont="1" applyFill="1" applyBorder="1" applyAlignment="1">
      <alignment horizontal="center" vertical="center" shrinkToFit="1"/>
    </xf>
    <xf numFmtId="0" fontId="172" fillId="259" borderId="1" xfId="0" applyFont="1" applyFill="1" applyBorder="1" applyAlignment="1">
      <alignment horizontal="center" vertical="center" wrapText="1"/>
    </xf>
    <xf numFmtId="0" fontId="66" fillId="83" borderId="1" xfId="0" applyFont="1" applyFill="1" applyBorder="1" applyAlignment="1">
      <alignment horizontal="center" vertical="center"/>
    </xf>
    <xf numFmtId="0" fontId="69" fillId="44" borderId="49" xfId="0" applyFont="1" applyFill="1" applyBorder="1" applyAlignment="1">
      <alignment horizontal="center" wrapText="1"/>
    </xf>
    <xf numFmtId="0" fontId="66" fillId="260" borderId="1" xfId="138" applyFont="1" applyFill="1" applyBorder="1" applyAlignment="1">
      <alignment horizontal="center" vertical="center" shrinkToFit="1"/>
    </xf>
    <xf numFmtId="170" fontId="60" fillId="182" borderId="1" xfId="141" applyNumberFormat="1" applyFont="1" applyFill="1" applyBorder="1" applyAlignment="1">
      <alignment vertical="center" shrinkToFit="1"/>
    </xf>
    <xf numFmtId="0" fontId="49" fillId="0" borderId="71" xfId="138" applyFont="1" applyBorder="1" applyAlignment="1">
      <alignment horizontal="center" shrinkToFit="1"/>
    </xf>
    <xf numFmtId="0" fontId="69" fillId="44" borderId="0" xfId="0" applyFont="1" applyFill="1" applyAlignment="1">
      <alignment horizontal="center" wrapText="1"/>
    </xf>
    <xf numFmtId="0" fontId="146" fillId="261" borderId="1" xfId="138" applyFont="1" applyFill="1" applyBorder="1" applyAlignment="1">
      <alignment horizontal="center" vertical="center" shrinkToFit="1"/>
    </xf>
    <xf numFmtId="0" fontId="66" fillId="135" borderId="17" xfId="0" applyFont="1" applyFill="1" applyBorder="1" applyAlignment="1">
      <alignment horizontal="center" vertical="center"/>
    </xf>
    <xf numFmtId="0" fontId="66" fillId="225" borderId="1" xfId="0" applyFont="1" applyFill="1" applyBorder="1" applyAlignment="1">
      <alignment horizontal="center" vertical="center"/>
    </xf>
    <xf numFmtId="0" fontId="66" fillId="115" borderId="17" xfId="138" applyFont="1" applyFill="1" applyBorder="1" applyAlignment="1">
      <alignment horizontal="center" vertical="center" shrinkToFit="1"/>
    </xf>
    <xf numFmtId="0" fontId="153" fillId="262" borderId="1" xfId="0" applyFont="1" applyFill="1" applyBorder="1" applyAlignment="1">
      <alignment horizontal="center" vertical="center"/>
    </xf>
    <xf numFmtId="0" fontId="66" fillId="112" borderId="16" xfId="138" applyFont="1" applyFill="1" applyBorder="1" applyAlignment="1">
      <alignment horizontal="center" vertical="center" shrinkToFit="1"/>
    </xf>
    <xf numFmtId="0" fontId="66" fillId="263" borderId="1" xfId="0" applyFont="1" applyFill="1" applyBorder="1" applyAlignment="1">
      <alignment horizontal="center" vertical="center" wrapText="1"/>
    </xf>
    <xf numFmtId="0" fontId="66" fillId="50" borderId="1" xfId="0" applyFont="1" applyFill="1" applyBorder="1" applyAlignment="1">
      <alignment horizontal="center" vertical="center"/>
    </xf>
    <xf numFmtId="0" fontId="67" fillId="264" borderId="1" xfId="0" applyFont="1" applyFill="1" applyBorder="1" applyAlignment="1">
      <alignment horizontal="center" vertical="center" wrapText="1"/>
    </xf>
    <xf numFmtId="0" fontId="180" fillId="0" borderId="0" xfId="138" applyFont="1" applyAlignment="1">
      <alignment horizontal="center" vertical="center" shrinkToFit="1"/>
    </xf>
    <xf numFmtId="0" fontId="67" fillId="265" borderId="1" xfId="0" applyFont="1" applyFill="1" applyBorder="1" applyAlignment="1">
      <alignment horizontal="center" vertical="center" wrapText="1"/>
    </xf>
    <xf numFmtId="0" fontId="0" fillId="0" borderId="97" xfId="0" applyBorder="1"/>
    <xf numFmtId="0" fontId="67" fillId="266" borderId="1" xfId="0" applyFont="1" applyFill="1" applyBorder="1" applyAlignment="1">
      <alignment horizontal="center" vertical="center" wrapText="1"/>
    </xf>
    <xf numFmtId="0" fontId="69" fillId="0" borderId="51" xfId="0" applyFont="1" applyBorder="1"/>
    <xf numFmtId="0" fontId="168" fillId="267" borderId="1" xfId="0" applyFont="1" applyFill="1" applyBorder="1" applyAlignment="1">
      <alignment horizontal="center" vertical="center" wrapText="1"/>
    </xf>
    <xf numFmtId="0" fontId="160" fillId="0" borderId="0" xfId="138" applyFont="1" applyAlignment="1">
      <alignment horizontal="center" vertical="center" shrinkToFit="1"/>
    </xf>
    <xf numFmtId="0" fontId="181" fillId="268" borderId="100" xfId="138" applyFont="1" applyFill="1" applyBorder="1" applyAlignment="1">
      <alignment horizontal="center" vertical="center" shrinkToFit="1"/>
    </xf>
    <xf numFmtId="0" fontId="69" fillId="54" borderId="49" xfId="0" applyFont="1" applyFill="1" applyBorder="1" applyAlignment="1">
      <alignment horizontal="center" wrapText="1"/>
    </xf>
    <xf numFmtId="0" fontId="69" fillId="54" borderId="0" xfId="0" applyFont="1" applyFill="1" applyAlignment="1">
      <alignment horizontal="center" wrapText="1"/>
    </xf>
    <xf numFmtId="0" fontId="165" fillId="54" borderId="1" xfId="0" applyFont="1" applyFill="1" applyBorder="1" applyAlignment="1">
      <alignment horizontal="center" vertical="center"/>
    </xf>
    <xf numFmtId="0" fontId="67" fillId="54" borderId="1" xfId="0" applyFont="1" applyFill="1" applyBorder="1" applyAlignment="1">
      <alignment horizontal="center" vertical="center"/>
    </xf>
    <xf numFmtId="0" fontId="84" fillId="0" borderId="0" xfId="0" applyFont="1" applyAlignment="1">
      <alignment horizontal="center"/>
    </xf>
    <xf numFmtId="0" fontId="65" fillId="35" borderId="1" xfId="0" applyFont="1" applyFill="1" applyBorder="1" applyAlignment="1">
      <alignment horizontal="center" vertical="center"/>
    </xf>
    <xf numFmtId="0" fontId="67" fillId="50" borderId="1" xfId="0" applyFont="1" applyFill="1" applyBorder="1" applyAlignment="1">
      <alignment horizontal="center" vertical="center"/>
    </xf>
    <xf numFmtId="0" fontId="169" fillId="269" borderId="1" xfId="0" applyFont="1" applyFill="1" applyBorder="1" applyAlignment="1">
      <alignment horizontal="center" vertical="center"/>
    </xf>
    <xf numFmtId="0" fontId="66" fillId="270" borderId="100" xfId="138" applyFont="1" applyFill="1" applyBorder="1" applyAlignment="1">
      <alignment horizontal="center" vertical="center" shrinkToFit="1"/>
    </xf>
    <xf numFmtId="0" fontId="69" fillId="55" borderId="0" xfId="0" applyFont="1" applyFill="1"/>
    <xf numFmtId="0" fontId="66" fillId="271" borderId="17" xfId="138" applyFont="1" applyFill="1" applyBorder="1" applyAlignment="1">
      <alignment horizontal="center" vertical="center" shrinkToFit="1"/>
    </xf>
    <xf numFmtId="0" fontId="66" fillId="35" borderId="100" xfId="0" applyFont="1" applyFill="1" applyBorder="1" applyAlignment="1">
      <alignment horizontal="center" vertical="center"/>
    </xf>
    <xf numFmtId="0" fontId="0" fillId="88" borderId="0" xfId="0" applyFill="1"/>
    <xf numFmtId="0" fontId="67" fillId="107" borderId="17" xfId="0" applyFont="1" applyFill="1" applyBorder="1" applyAlignment="1">
      <alignment horizontal="center" vertical="center"/>
    </xf>
    <xf numFmtId="0" fontId="0" fillId="56" borderId="1" xfId="0" applyFill="1" applyBorder="1"/>
    <xf numFmtId="0" fontId="66" fillId="272" borderId="1" xfId="0" applyFont="1" applyFill="1" applyBorder="1" applyAlignment="1">
      <alignment horizontal="center" vertical="center"/>
    </xf>
    <xf numFmtId="0" fontId="67" fillId="195" borderId="1" xfId="0" applyFont="1" applyFill="1" applyBorder="1" applyAlignment="1">
      <alignment horizontal="center" vertical="center"/>
    </xf>
    <xf numFmtId="0" fontId="66" fillId="273" borderId="1" xfId="138" applyFont="1" applyFill="1" applyBorder="1" applyAlignment="1">
      <alignment horizontal="center" vertical="center" shrinkToFit="1"/>
    </xf>
    <xf numFmtId="0" fontId="66" fillId="270" borderId="1" xfId="138" applyFont="1" applyFill="1" applyBorder="1" applyAlignment="1">
      <alignment horizontal="center" vertical="center" shrinkToFit="1"/>
    </xf>
    <xf numFmtId="0" fontId="66" fillId="274" borderId="100" xfId="138" applyFont="1" applyFill="1" applyBorder="1" applyAlignment="1">
      <alignment horizontal="center" vertical="center" shrinkToFit="1"/>
    </xf>
    <xf numFmtId="0" fontId="69" fillId="107" borderId="49" xfId="0" applyFont="1" applyFill="1" applyBorder="1" applyAlignment="1">
      <alignment horizontal="center" wrapText="1"/>
    </xf>
    <xf numFmtId="0" fontId="66" fillId="275" borderId="17" xfId="138" applyFont="1" applyFill="1" applyBorder="1" applyAlignment="1">
      <alignment horizontal="center" vertical="center" shrinkToFit="1"/>
    </xf>
    <xf numFmtId="0" fontId="69" fillId="107" borderId="0" xfId="0" applyFont="1" applyFill="1" applyAlignment="1">
      <alignment horizontal="center" wrapText="1"/>
    </xf>
    <xf numFmtId="0" fontId="66" fillId="239" borderId="17" xfId="138" applyFont="1" applyFill="1" applyBorder="1" applyAlignment="1">
      <alignment horizontal="center" vertical="center" shrinkToFit="1"/>
    </xf>
    <xf numFmtId="0" fontId="66" fillId="161" borderId="100" xfId="138" applyFont="1" applyFill="1" applyBorder="1" applyAlignment="1">
      <alignment horizontal="center" vertical="center" shrinkToFit="1"/>
    </xf>
    <xf numFmtId="0" fontId="66" fillId="276" borderId="17" xfId="138" applyFont="1" applyFill="1" applyBorder="1" applyAlignment="1">
      <alignment horizontal="center" vertical="center" shrinkToFit="1"/>
    </xf>
    <xf numFmtId="0" fontId="66" fillId="277" borderId="16" xfId="138" applyFont="1" applyFill="1" applyBorder="1" applyAlignment="1">
      <alignment horizontal="center" vertical="center" shrinkToFit="1"/>
    </xf>
    <xf numFmtId="0" fontId="66" fillId="164" borderId="100" xfId="138" applyFont="1" applyFill="1" applyBorder="1" applyAlignment="1">
      <alignment horizontal="center" vertical="center" shrinkToFit="1"/>
    </xf>
    <xf numFmtId="0" fontId="66" fillId="164" borderId="53" xfId="138" applyFont="1" applyFill="1" applyBorder="1" applyAlignment="1">
      <alignment horizontal="center" vertical="center" shrinkToFit="1"/>
    </xf>
    <xf numFmtId="0" fontId="147" fillId="135" borderId="1" xfId="138" applyFont="1" applyFill="1" applyBorder="1" applyAlignment="1">
      <alignment horizontal="center" vertical="center" shrinkToFit="1"/>
    </xf>
    <xf numFmtId="0" fontId="69" fillId="35" borderId="0" xfId="0" applyFont="1" applyFill="1"/>
    <xf numFmtId="0" fontId="67" fillId="278" borderId="106" xfId="138" applyFont="1" applyFill="1" applyBorder="1" applyAlignment="1">
      <alignment horizontal="center" vertical="center" shrinkToFit="1"/>
    </xf>
    <xf numFmtId="0" fontId="67" fillId="279" borderId="100" xfId="138" applyFont="1" applyFill="1" applyBorder="1" applyAlignment="1">
      <alignment horizontal="center" vertical="center" shrinkToFit="1"/>
    </xf>
    <xf numFmtId="0" fontId="0" fillId="79" borderId="0" xfId="0" applyFill="1"/>
    <xf numFmtId="0" fontId="66" fillId="0" borderId="1" xfId="0" applyFont="1" applyBorder="1"/>
    <xf numFmtId="0" fontId="69" fillId="135" borderId="0" xfId="0" applyFont="1" applyFill="1"/>
    <xf numFmtId="0" fontId="66" fillId="280" borderId="100" xfId="138" applyFont="1" applyFill="1" applyBorder="1" applyAlignment="1">
      <alignment horizontal="center" vertical="center" shrinkToFit="1"/>
    </xf>
    <xf numFmtId="0" fontId="67" fillId="174" borderId="100" xfId="138" applyFont="1" applyFill="1" applyBorder="1" applyAlignment="1">
      <alignment horizontal="center" vertical="center" shrinkToFit="1"/>
    </xf>
    <xf numFmtId="0" fontId="0" fillId="135" borderId="0" xfId="0" applyFill="1"/>
    <xf numFmtId="0" fontId="66" fillId="281" borderId="100" xfId="138" applyFont="1" applyFill="1" applyBorder="1" applyAlignment="1">
      <alignment horizontal="center" vertical="center" shrinkToFit="1"/>
    </xf>
    <xf numFmtId="0" fontId="66" fillId="282" borderId="100" xfId="138" applyFont="1" applyFill="1" applyBorder="1" applyAlignment="1">
      <alignment horizontal="center" vertical="center" shrinkToFit="1"/>
    </xf>
    <xf numFmtId="0" fontId="66" fillId="283" borderId="100" xfId="138" applyFont="1" applyFill="1" applyBorder="1" applyAlignment="1">
      <alignment horizontal="center" vertical="center" shrinkToFit="1"/>
    </xf>
    <xf numFmtId="0" fontId="66" fillId="284" borderId="100" xfId="138" applyFont="1" applyFill="1" applyBorder="1" applyAlignment="1">
      <alignment horizontal="center" vertical="center" shrinkToFit="1"/>
    </xf>
    <xf numFmtId="0" fontId="182" fillId="285" borderId="1" xfId="138" applyFont="1" applyFill="1" applyBorder="1" applyAlignment="1">
      <alignment horizontal="center" vertical="center" shrinkToFit="1"/>
    </xf>
    <xf numFmtId="0" fontId="0" fillId="145" borderId="0" xfId="0" applyFill="1"/>
    <xf numFmtId="0" fontId="66" fillId="286" borderId="100" xfId="138" applyFont="1" applyFill="1" applyBorder="1" applyAlignment="1">
      <alignment horizontal="center" vertical="center" shrinkToFit="1"/>
    </xf>
    <xf numFmtId="0" fontId="183" fillId="287" borderId="1" xfId="138" applyFont="1" applyFill="1" applyBorder="1" applyAlignment="1">
      <alignment horizontal="center" vertical="center" shrinkToFit="1"/>
    </xf>
    <xf numFmtId="0" fontId="66" fillId="288" borderId="100" xfId="138" applyFont="1" applyFill="1" applyBorder="1" applyAlignment="1">
      <alignment horizontal="center" vertical="center" shrinkToFit="1"/>
    </xf>
    <xf numFmtId="0" fontId="67" fillId="289" borderId="1" xfId="138" applyFont="1" applyFill="1" applyBorder="1" applyAlignment="1">
      <alignment horizontal="center" vertical="center" shrinkToFit="1"/>
    </xf>
    <xf numFmtId="0" fontId="66" fillId="290" borderId="100" xfId="138" applyFont="1" applyFill="1" applyBorder="1" applyAlignment="1">
      <alignment horizontal="center" vertical="center" shrinkToFit="1"/>
    </xf>
    <xf numFmtId="0" fontId="184" fillId="291" borderId="1" xfId="138" applyFont="1" applyFill="1" applyBorder="1" applyAlignment="1">
      <alignment horizontal="center" vertical="center" shrinkToFit="1"/>
    </xf>
    <xf numFmtId="0" fontId="66" fillId="292" borderId="100" xfId="138" applyFont="1" applyFill="1" applyBorder="1" applyAlignment="1">
      <alignment horizontal="center" vertical="center" shrinkToFit="1"/>
    </xf>
    <xf numFmtId="0" fontId="84" fillId="0" borderId="2" xfId="0" applyFont="1" applyBorder="1"/>
    <xf numFmtId="0" fontId="147" fillId="35" borderId="1" xfId="138" applyFont="1" applyFill="1" applyBorder="1" applyAlignment="1">
      <alignment horizontal="center" vertical="center" shrinkToFit="1"/>
    </xf>
    <xf numFmtId="0" fontId="67" fillId="0" borderId="106" xfId="138" applyFont="1" applyBorder="1" applyAlignment="1">
      <alignment horizontal="center" vertical="center" shrinkToFit="1"/>
    </xf>
    <xf numFmtId="0" fontId="66" fillId="0" borderId="97" xfId="138" applyFont="1" applyBorder="1" applyAlignment="1">
      <alignment horizontal="center" vertical="center" shrinkToFit="1"/>
    </xf>
    <xf numFmtId="0" fontId="66" fillId="0" borderId="0" xfId="138" applyFont="1" applyAlignment="1">
      <alignment horizontal="center" vertical="center" shrinkToFit="1"/>
    </xf>
    <xf numFmtId="0" fontId="84" fillId="0" borderId="0" xfId="0" applyFont="1"/>
    <xf numFmtId="170" fontId="84" fillId="0" borderId="0" xfId="0" applyNumberFormat="1" applyFont="1" applyAlignment="1">
      <alignment horizontal="center" vertical="center"/>
    </xf>
    <xf numFmtId="0" fontId="0" fillId="0" borderId="108" xfId="0" applyBorder="1"/>
    <xf numFmtId="0" fontId="0" fillId="0" borderId="109" xfId="0" applyBorder="1"/>
    <xf numFmtId="0" fontId="13" fillId="0" borderId="110" xfId="0" applyFont="1" applyBorder="1" applyAlignment="1">
      <alignment horizontal="right"/>
    </xf>
    <xf numFmtId="0" fontId="157" fillId="0" borderId="0" xfId="138" applyFont="1" applyAlignment="1">
      <alignment horizontal="center" shrinkToFit="1"/>
    </xf>
    <xf numFmtId="10" fontId="134" fillId="0" borderId="0" xfId="126" applyNumberFormat="1" applyFont="1" applyAlignment="1">
      <alignment horizontal="center" vertical="center" shrinkToFit="1"/>
    </xf>
    <xf numFmtId="0" fontId="13" fillId="63" borderId="0" xfId="0" applyFont="1" applyFill="1" applyAlignment="1">
      <alignment horizontal="center" vertical="center"/>
    </xf>
    <xf numFmtId="0" fontId="63" fillId="84" borderId="25" xfId="0" applyFont="1" applyFill="1" applyBorder="1" applyAlignment="1">
      <alignment horizontal="center" vertical="center"/>
    </xf>
    <xf numFmtId="0" fontId="65" fillId="84" borderId="1" xfId="138" applyFont="1" applyFill="1" applyBorder="1" applyAlignment="1">
      <alignment horizontal="center" vertical="center" shrinkToFit="1"/>
    </xf>
    <xf numFmtId="0" fontId="72" fillId="84" borderId="0" xfId="177" applyFont="1" applyFill="1" applyAlignment="1">
      <alignment horizontal="left" vertical="center"/>
    </xf>
    <xf numFmtId="0" fontId="81" fillId="84" borderId="1" xfId="131" applyFont="1" applyFill="1" applyBorder="1" applyAlignment="1">
      <alignment horizontal="center" vertical="center"/>
    </xf>
    <xf numFmtId="0" fontId="62" fillId="84" borderId="0" xfId="177" applyFont="1" applyFill="1" applyAlignment="1">
      <alignment horizontal="left" vertical="center"/>
    </xf>
    <xf numFmtId="0" fontId="84" fillId="84" borderId="1" xfId="131" applyFont="1" applyFill="1" applyBorder="1" applyAlignment="1">
      <alignment horizontal="center" vertical="center"/>
    </xf>
    <xf numFmtId="0" fontId="83" fillId="84" borderId="0" xfId="0" applyFont="1" applyFill="1" applyAlignment="1">
      <alignment horizontal="center" vertical="center"/>
    </xf>
    <xf numFmtId="0" fontId="78" fillId="293" borderId="1" xfId="131" applyFont="1" applyFill="1" applyBorder="1" applyAlignment="1">
      <alignment horizontal="center"/>
    </xf>
    <xf numFmtId="0" fontId="85" fillId="84" borderId="0" xfId="0" applyFont="1" applyFill="1" applyAlignment="1">
      <alignment horizontal="center" vertical="center"/>
    </xf>
    <xf numFmtId="0" fontId="37" fillId="84" borderId="0" xfId="141" applyFont="1" applyFill="1" applyAlignment="1">
      <alignment horizontal="left" vertical="center" shrinkToFit="1"/>
    </xf>
    <xf numFmtId="0" fontId="88" fillId="84" borderId="0" xfId="0" applyFont="1" applyFill="1" applyAlignment="1">
      <alignment horizontal="left" vertical="top"/>
    </xf>
    <xf numFmtId="0" fontId="74" fillId="84" borderId="0" xfId="0" applyFont="1" applyFill="1" applyAlignment="1">
      <alignment horizontal="center" vertical="center"/>
    </xf>
    <xf numFmtId="0" fontId="70" fillId="84" borderId="0" xfId="0" applyFont="1" applyFill="1" applyAlignment="1">
      <alignment horizontal="center" vertical="center"/>
    </xf>
    <xf numFmtId="0" fontId="49" fillId="84" borderId="0" xfId="0" applyFont="1" applyFill="1" applyAlignment="1">
      <alignment horizontal="left" vertical="center"/>
    </xf>
    <xf numFmtId="0" fontId="81" fillId="84" borderId="28" xfId="131" applyFont="1" applyFill="1" applyBorder="1" applyAlignment="1">
      <alignment horizontal="center" vertical="center"/>
    </xf>
    <xf numFmtId="0" fontId="37" fillId="84" borderId="0" xfId="141" applyFont="1" applyFill="1" applyAlignment="1">
      <alignment horizontal="right" vertical="center" shrinkToFit="1"/>
    </xf>
    <xf numFmtId="0" fontId="107" fillId="84" borderId="0" xfId="0" applyFont="1" applyFill="1" applyAlignment="1">
      <alignment horizontal="right" vertical="center"/>
    </xf>
    <xf numFmtId="0" fontId="63" fillId="84" borderId="53" xfId="0" applyFont="1" applyFill="1" applyBorder="1" applyAlignment="1">
      <alignment horizontal="center" vertical="center"/>
    </xf>
    <xf numFmtId="0" fontId="105" fillId="84" borderId="0" xfId="118" applyFont="1" applyFill="1" applyAlignment="1">
      <alignment horizontal="center" vertical="center"/>
    </xf>
    <xf numFmtId="0" fontId="76" fillId="84" borderId="0" xfId="118" applyFont="1" applyFill="1" applyAlignment="1">
      <alignment horizontal="center" vertical="center"/>
    </xf>
    <xf numFmtId="0" fontId="85" fillId="84" borderId="0" xfId="0" applyFont="1" applyFill="1" applyAlignment="1">
      <alignment horizontal="left" vertical="center"/>
    </xf>
    <xf numFmtId="0" fontId="63" fillId="84" borderId="0" xfId="0" applyFont="1" applyFill="1" applyAlignment="1">
      <alignment horizontal="center" vertical="center"/>
    </xf>
    <xf numFmtId="0" fontId="81" fillId="84" borderId="55" xfId="131" applyFont="1" applyFill="1" applyBorder="1" applyAlignment="1">
      <alignment horizontal="center" vertical="center"/>
    </xf>
    <xf numFmtId="0" fontId="115" fillId="84" borderId="3" xfId="0" applyFont="1" applyFill="1" applyBorder="1" applyAlignment="1">
      <alignment horizontal="center" vertical="center" wrapText="1"/>
    </xf>
    <xf numFmtId="0" fontId="5" fillId="84" borderId="0" xfId="165" applyFill="1" applyAlignment="1">
      <alignment horizontal="center" vertical="center"/>
    </xf>
    <xf numFmtId="0" fontId="59" fillId="84" borderId="0" xfId="0" applyFont="1" applyFill="1" applyAlignment="1" applyProtection="1">
      <alignment horizontal="center" vertical="center"/>
      <protection locked="0"/>
    </xf>
    <xf numFmtId="0" fontId="37" fillId="84" borderId="0" xfId="142" applyFont="1" applyFill="1" applyAlignment="1" applyProtection="1">
      <alignment horizontal="center" vertical="center" shrinkToFit="1"/>
    </xf>
    <xf numFmtId="0" fontId="86" fillId="84" borderId="0" xfId="141" applyFont="1" applyFill="1" applyAlignment="1">
      <alignment horizontal="center" vertical="center" shrinkToFit="1"/>
    </xf>
    <xf numFmtId="0" fontId="33" fillId="84" borderId="0" xfId="0" applyFont="1" applyFill="1" applyAlignment="1">
      <alignment horizontal="center" vertical="center"/>
    </xf>
    <xf numFmtId="0" fontId="112" fillId="84" borderId="0" xfId="0" applyFont="1" applyFill="1" applyAlignment="1">
      <alignment vertical="center"/>
    </xf>
    <xf numFmtId="0" fontId="81" fillId="84" borderId="1" xfId="0" applyFont="1" applyFill="1" applyBorder="1" applyAlignment="1" applyProtection="1">
      <alignment horizontal="center" vertical="center"/>
      <protection locked="0"/>
    </xf>
    <xf numFmtId="0" fontId="89" fillId="84" borderId="1" xfId="131" applyFont="1" applyFill="1" applyBorder="1" applyAlignment="1">
      <alignment horizontal="center" vertical="center"/>
    </xf>
    <xf numFmtId="0" fontId="0" fillId="84" borderId="31" xfId="0" applyFill="1" applyBorder="1" applyAlignment="1">
      <alignment horizontal="center" vertical="center"/>
    </xf>
    <xf numFmtId="0" fontId="81" fillId="84" borderId="1" xfId="0" applyFont="1" applyFill="1" applyBorder="1" applyAlignment="1">
      <alignment horizontal="center" vertical="center"/>
    </xf>
    <xf numFmtId="0" fontId="0" fillId="84" borderId="30" xfId="0" applyFill="1" applyBorder="1" applyAlignment="1">
      <alignment vertical="center"/>
    </xf>
    <xf numFmtId="0" fontId="99" fillId="84" borderId="15" xfId="131" applyFont="1" applyFill="1" applyBorder="1" applyAlignment="1">
      <alignment horizontal="center" vertical="center"/>
    </xf>
    <xf numFmtId="0" fontId="65" fillId="84" borderId="46" xfId="138" applyFont="1" applyFill="1" applyBorder="1" applyAlignment="1">
      <alignment horizontal="center" vertical="center" shrinkToFit="1"/>
    </xf>
    <xf numFmtId="0" fontId="81" fillId="84" borderId="15" xfId="0" applyFont="1" applyFill="1" applyBorder="1" applyAlignment="1" applyProtection="1">
      <alignment horizontal="center" vertical="center"/>
      <protection locked="0"/>
    </xf>
    <xf numFmtId="0" fontId="2" fillId="84" borderId="56" xfId="177" applyFill="1" applyBorder="1" applyAlignment="1">
      <alignment horizontal="center" vertical="center"/>
    </xf>
    <xf numFmtId="0" fontId="0" fillId="84" borderId="30" xfId="0" applyFill="1" applyBorder="1" applyAlignment="1">
      <alignment horizontal="center" vertical="center"/>
    </xf>
    <xf numFmtId="0" fontId="87" fillId="84" borderId="30" xfId="0" applyFont="1" applyFill="1" applyBorder="1" applyAlignment="1">
      <alignment horizontal="center" vertical="center"/>
    </xf>
    <xf numFmtId="0" fontId="37" fillId="84" borderId="0" xfId="141" applyFont="1" applyFill="1" applyAlignment="1">
      <alignment horizontal="center" vertical="center" shrinkToFit="1"/>
    </xf>
    <xf numFmtId="0" fontId="92" fillId="84" borderId="0" xfId="0" applyFont="1" applyFill="1" applyAlignment="1" applyProtection="1">
      <alignment horizontal="center" vertical="center"/>
      <protection locked="0"/>
    </xf>
    <xf numFmtId="0" fontId="23" fillId="84" borderId="0" xfId="0" applyFont="1" applyFill="1" applyAlignment="1">
      <alignment vertical="center"/>
    </xf>
    <xf numFmtId="0" fontId="113" fillId="84" borderId="0" xfId="144" applyFont="1" applyFill="1" applyAlignment="1">
      <alignment horizontal="center" vertical="center" shrinkToFit="1"/>
    </xf>
    <xf numFmtId="0" fontId="23" fillId="84" borderId="0" xfId="0" applyFont="1" applyFill="1" applyAlignment="1">
      <alignment horizontal="right" vertical="center"/>
    </xf>
    <xf numFmtId="0" fontId="84" fillId="84" borderId="15" xfId="131" applyFont="1" applyFill="1" applyBorder="1" applyAlignment="1">
      <alignment horizontal="center" vertical="center"/>
    </xf>
    <xf numFmtId="0" fontId="81" fillId="84" borderId="46" xfId="0" applyFont="1" applyFill="1" applyBorder="1" applyAlignment="1">
      <alignment horizontal="center" vertical="center"/>
    </xf>
    <xf numFmtId="0" fontId="56" fillId="84" borderId="0" xfId="138" applyFont="1" applyFill="1" applyAlignment="1">
      <alignment horizontal="center" vertical="center" shrinkToFit="1"/>
    </xf>
    <xf numFmtId="0" fontId="82" fillId="84" borderId="30" xfId="177" applyFont="1" applyFill="1" applyBorder="1" applyAlignment="1">
      <alignment horizontal="center" vertical="center" wrapText="1"/>
    </xf>
    <xf numFmtId="0" fontId="84" fillId="84" borderId="44" xfId="131" applyFont="1" applyFill="1" applyBorder="1" applyAlignment="1">
      <alignment horizontal="center" vertical="center"/>
    </xf>
    <xf numFmtId="0" fontId="78" fillId="293" borderId="46" xfId="131" applyFont="1" applyFill="1" applyBorder="1" applyAlignment="1">
      <alignment horizontal="center"/>
    </xf>
    <xf numFmtId="0" fontId="78" fillId="293" borderId="54" xfId="131" applyFont="1" applyFill="1" applyBorder="1" applyAlignment="1">
      <alignment horizontal="center"/>
    </xf>
    <xf numFmtId="0" fontId="76" fillId="84" borderId="25" xfId="118" applyFont="1" applyFill="1" applyBorder="1" applyAlignment="1">
      <alignment horizontal="center" vertical="center"/>
    </xf>
    <xf numFmtId="0" fontId="37" fillId="84" borderId="25" xfId="141" applyFont="1" applyFill="1" applyBorder="1" applyAlignment="1">
      <alignment horizontal="left" vertical="center" shrinkToFit="1"/>
    </xf>
    <xf numFmtId="0" fontId="82" fillId="84" borderId="0" xfId="177" applyFont="1" applyFill="1" applyAlignment="1">
      <alignment horizontal="center" vertical="center" wrapText="1"/>
    </xf>
    <xf numFmtId="0" fontId="54" fillId="84" borderId="0" xfId="142" applyFont="1" applyFill="1" applyAlignment="1" applyProtection="1">
      <alignment horizontal="center" vertical="center" shrinkToFit="1"/>
    </xf>
    <xf numFmtId="0" fontId="37" fillId="84" borderId="0" xfId="0" applyFont="1" applyFill="1" applyAlignment="1">
      <alignment horizontal="center" vertical="center" shrinkToFit="1"/>
    </xf>
    <xf numFmtId="0" fontId="75" fillId="84" borderId="0" xfId="0" applyFont="1" applyFill="1" applyAlignment="1">
      <alignment horizontal="center" vertical="center"/>
    </xf>
    <xf numFmtId="0" fontId="0" fillId="84" borderId="0" xfId="0" applyFill="1" applyAlignment="1">
      <alignment horizontal="right" vertical="center"/>
    </xf>
    <xf numFmtId="0" fontId="92" fillId="84" borderId="0" xfId="0" applyFont="1" applyFill="1" applyAlignment="1" applyProtection="1">
      <alignment vertical="center"/>
      <protection locked="0"/>
    </xf>
    <xf numFmtId="0" fontId="93" fillId="84" borderId="0" xfId="141" applyFont="1" applyFill="1" applyAlignment="1">
      <alignment horizontal="center" vertical="center" shrinkToFit="1"/>
    </xf>
    <xf numFmtId="0" fontId="94" fillId="84" borderId="0" xfId="129" applyFont="1" applyFill="1" applyAlignment="1">
      <alignment horizontal="center" vertical="center" shrinkToFit="1"/>
    </xf>
    <xf numFmtId="0" fontId="45" fillId="84" borderId="0" xfId="141" applyFont="1" applyFill="1" applyAlignment="1">
      <alignment horizontal="center" vertical="center" shrinkToFit="1"/>
    </xf>
    <xf numFmtId="0" fontId="86" fillId="84" borderId="0" xfId="141" applyFont="1" applyFill="1" applyAlignment="1">
      <alignment vertical="center" shrinkToFit="1"/>
    </xf>
    <xf numFmtId="0" fontId="87" fillId="294" borderId="0" xfId="0" applyFont="1" applyFill="1" applyAlignment="1">
      <alignment horizontal="right" vertical="center"/>
    </xf>
    <xf numFmtId="0" fontId="97" fillId="84" borderId="0" xfId="0" applyFont="1" applyFill="1" applyAlignment="1">
      <alignment horizontal="center" vertical="center"/>
    </xf>
    <xf numFmtId="0" fontId="54" fillId="84" borderId="0" xfId="141" applyFont="1" applyFill="1" applyAlignment="1">
      <alignment horizontal="center" vertical="center" shrinkToFit="1"/>
    </xf>
    <xf numFmtId="0" fontId="49" fillId="84" borderId="0" xfId="0" applyFont="1" applyFill="1" applyAlignment="1">
      <alignment horizontal="right" vertical="center"/>
    </xf>
    <xf numFmtId="0" fontId="102" fillId="84" borderId="0" xfId="141" applyFont="1" applyFill="1" applyAlignment="1">
      <alignment horizontal="center" vertical="center" shrinkToFit="1"/>
    </xf>
    <xf numFmtId="0" fontId="23" fillId="84" borderId="0" xfId="0" applyFont="1" applyFill="1" applyAlignment="1" applyProtection="1">
      <alignment horizontal="center" vertical="center"/>
      <protection locked="0"/>
    </xf>
    <xf numFmtId="0" fontId="107" fillId="84" borderId="0" xfId="0" applyFont="1" applyFill="1" applyAlignment="1">
      <alignment horizontal="left" vertical="center"/>
    </xf>
    <xf numFmtId="0" fontId="23" fillId="84" borderId="0" xfId="0" applyFont="1" applyFill="1" applyAlignment="1">
      <alignment horizontal="left" vertical="center"/>
    </xf>
    <xf numFmtId="0" fontId="66" fillId="295" borderId="2" xfId="138" applyFont="1" applyFill="1" applyBorder="1" applyAlignment="1">
      <alignment horizontal="center" vertical="center" shrinkToFit="1"/>
    </xf>
    <xf numFmtId="0" fontId="66" fillId="84" borderId="2" xfId="138" applyFont="1" applyFill="1" applyBorder="1" applyAlignment="1">
      <alignment horizontal="center" vertical="center" shrinkToFit="1"/>
    </xf>
    <xf numFmtId="0" fontId="67" fillId="296" borderId="2" xfId="138" applyFont="1" applyFill="1" applyBorder="1" applyAlignment="1">
      <alignment horizontal="center" vertical="center" shrinkToFit="1"/>
    </xf>
    <xf numFmtId="0" fontId="66" fillId="297" borderId="2" xfId="138" applyFont="1" applyFill="1" applyBorder="1" applyAlignment="1">
      <alignment horizontal="center" vertical="center" shrinkToFit="1"/>
    </xf>
    <xf numFmtId="0" fontId="66" fillId="298" borderId="2" xfId="138" applyFont="1" applyFill="1" applyBorder="1" applyAlignment="1">
      <alignment horizontal="center" vertical="center" shrinkToFit="1"/>
    </xf>
    <xf numFmtId="0" fontId="67" fillId="299" borderId="26" xfId="138" applyFont="1" applyFill="1" applyBorder="1" applyAlignment="1">
      <alignment horizontal="center" vertical="center" shrinkToFit="1"/>
    </xf>
    <xf numFmtId="0" fontId="49" fillId="84" borderId="0" xfId="177" applyFont="1" applyFill="1" applyAlignment="1">
      <alignment horizontal="center" vertical="center"/>
    </xf>
    <xf numFmtId="0" fontId="54" fillId="84" borderId="0" xfId="0" applyFont="1" applyFill="1" applyAlignment="1">
      <alignment horizontal="center" vertical="center" shrinkToFit="1"/>
    </xf>
    <xf numFmtId="0" fontId="73" fillId="84" borderId="0" xfId="0" applyFont="1" applyFill="1" applyAlignment="1">
      <alignment horizontal="center" vertical="center"/>
    </xf>
    <xf numFmtId="0" fontId="49" fillId="84" borderId="0" xfId="0" applyFont="1" applyFill="1" applyAlignment="1">
      <alignment horizontal="center" vertical="center"/>
    </xf>
    <xf numFmtId="0" fontId="77" fillId="84" borderId="0" xfId="0" applyFont="1" applyFill="1" applyAlignment="1">
      <alignment horizontal="center" vertical="center"/>
    </xf>
    <xf numFmtId="0" fontId="79" fillId="84" borderId="1" xfId="0" applyFont="1" applyFill="1" applyBorder="1" applyAlignment="1">
      <alignment horizontal="center" vertical="center"/>
    </xf>
    <xf numFmtId="49" fontId="65" fillId="84" borderId="0" xfId="177" applyNumberFormat="1" applyFont="1" applyFill="1" applyAlignment="1">
      <alignment horizontal="center" vertical="center"/>
    </xf>
    <xf numFmtId="0" fontId="59" fillId="84" borderId="0" xfId="0" applyFont="1" applyFill="1" applyAlignment="1">
      <alignment horizontal="center" vertical="center"/>
    </xf>
    <xf numFmtId="0" fontId="51" fillId="84" borderId="0" xfId="0" applyFont="1" applyFill="1" applyAlignment="1">
      <alignment horizontal="center" vertical="center"/>
    </xf>
    <xf numFmtId="0" fontId="81" fillId="84" borderId="37" xfId="131" applyFont="1" applyFill="1" applyBorder="1" applyAlignment="1">
      <alignment horizontal="center" vertical="center"/>
    </xf>
    <xf numFmtId="0" fontId="89" fillId="84" borderId="42" xfId="131" applyFont="1" applyFill="1" applyBorder="1" applyAlignment="1">
      <alignment horizontal="center" vertical="center"/>
    </xf>
    <xf numFmtId="0" fontId="37" fillId="84" borderId="0" xfId="0" applyFont="1" applyFill="1" applyAlignment="1">
      <alignment horizontal="center" vertical="center"/>
    </xf>
    <xf numFmtId="0" fontId="95" fillId="84" borderId="0" xfId="0" applyFont="1" applyFill="1" applyAlignment="1">
      <alignment horizontal="center" vertical="center"/>
    </xf>
    <xf numFmtId="0" fontId="104" fillId="84" borderId="0" xfId="0" applyFont="1" applyFill="1" applyAlignment="1">
      <alignment horizontal="center" vertical="center"/>
    </xf>
    <xf numFmtId="0" fontId="70" fillId="84" borderId="0" xfId="0" applyFont="1" applyFill="1" applyAlignment="1">
      <alignment vertical="center"/>
    </xf>
    <xf numFmtId="0" fontId="110" fillId="84" borderId="0" xfId="141" applyFont="1" applyFill="1" applyAlignment="1">
      <alignment horizontal="center" vertical="center" shrinkToFit="1"/>
    </xf>
    <xf numFmtId="0" fontId="91" fillId="84" borderId="0" xfId="129" applyFont="1" applyFill="1" applyAlignment="1">
      <alignment horizontal="center" vertical="center"/>
    </xf>
    <xf numFmtId="0" fontId="99" fillId="84" borderId="1" xfId="131" applyFont="1" applyFill="1" applyBorder="1" applyAlignment="1">
      <alignment horizontal="center" vertical="center"/>
    </xf>
    <xf numFmtId="0" fontId="31" fillId="84" borderId="0" xfId="0" applyFont="1" applyFill="1" applyAlignment="1">
      <alignment horizontal="left" vertical="center"/>
    </xf>
    <xf numFmtId="0" fontId="108" fillId="84" borderId="49" xfId="0" applyFont="1" applyFill="1" applyBorder="1" applyAlignment="1">
      <alignment horizontal="center" vertical="center"/>
    </xf>
    <xf numFmtId="0" fontId="65" fillId="84" borderId="21" xfId="0" applyFont="1" applyFill="1" applyBorder="1" applyAlignment="1">
      <alignment horizontal="center" vertical="center" shrinkToFit="1"/>
    </xf>
    <xf numFmtId="0" fontId="65" fillId="300" borderId="21" xfId="0" applyFont="1" applyFill="1" applyBorder="1" applyAlignment="1">
      <alignment horizontal="center" vertical="center" shrinkToFit="1"/>
    </xf>
    <xf numFmtId="0" fontId="65" fillId="301" borderId="21" xfId="0" applyFont="1" applyFill="1" applyBorder="1" applyAlignment="1">
      <alignment horizontal="center" vertical="center" shrinkToFit="1"/>
    </xf>
    <xf numFmtId="0" fontId="59" fillId="84" borderId="0" xfId="114" applyFont="1" applyFill="1" applyAlignment="1">
      <alignment horizontal="right" vertical="center"/>
    </xf>
    <xf numFmtId="0" fontId="23" fillId="84" borderId="0" xfId="114" applyFont="1" applyFill="1" applyAlignment="1">
      <alignment horizontal="center" vertical="center"/>
    </xf>
    <xf numFmtId="0" fontId="110" fillId="84" borderId="0" xfId="114" applyFont="1" applyFill="1" applyAlignment="1">
      <alignment horizontal="center" vertical="center" shrinkToFit="1"/>
    </xf>
    <xf numFmtId="0" fontId="23" fillId="84" borderId="25" xfId="0" applyFont="1" applyFill="1" applyBorder="1" applyAlignment="1">
      <alignment horizontal="center" vertical="center"/>
    </xf>
    <xf numFmtId="0" fontId="0" fillId="84" borderId="25" xfId="0" applyFill="1" applyBorder="1" applyAlignment="1">
      <alignment horizontal="center" vertical="center"/>
    </xf>
    <xf numFmtId="0" fontId="10" fillId="84" borderId="0" xfId="0" applyFont="1" applyFill="1" applyAlignment="1">
      <alignment horizontal="center" vertical="center"/>
    </xf>
    <xf numFmtId="0" fontId="121" fillId="84" borderId="0" xfId="0" applyFont="1" applyFill="1" applyAlignment="1">
      <alignment horizontal="center" vertical="center"/>
    </xf>
    <xf numFmtId="0" fontId="7" fillId="84" borderId="0" xfId="142" applyFont="1" applyFill="1" applyAlignment="1" applyProtection="1">
      <alignment horizontal="center" vertical="center" shrinkToFit="1"/>
    </xf>
    <xf numFmtId="0" fontId="10" fillId="84" borderId="0" xfId="0" applyFont="1" applyFill="1" applyAlignment="1" applyProtection="1">
      <alignment horizontal="center" vertical="center"/>
      <protection locked="0"/>
    </xf>
    <xf numFmtId="0" fontId="10" fillId="84" borderId="25" xfId="0" applyFont="1" applyFill="1" applyBorder="1" applyAlignment="1">
      <alignment horizontal="center" vertical="center"/>
    </xf>
    <xf numFmtId="0" fontId="60" fillId="84" borderId="0" xfId="138" applyFont="1" applyFill="1" applyAlignment="1">
      <alignment horizontal="center" vertical="center" shrinkToFit="1"/>
    </xf>
    <xf numFmtId="0" fontId="106" fillId="84" borderId="0" xfId="141" applyFont="1" applyFill="1" applyAlignment="1">
      <alignment horizontal="center" vertical="center" shrinkToFit="1"/>
    </xf>
    <xf numFmtId="0" fontId="106" fillId="84" borderId="0" xfId="138" applyFont="1" applyFill="1" applyAlignment="1">
      <alignment vertical="center" shrinkToFit="1"/>
    </xf>
    <xf numFmtId="0" fontId="23" fillId="84" borderId="30" xfId="0" applyFont="1" applyFill="1" applyBorder="1" applyAlignment="1">
      <alignment horizontal="center" vertical="center"/>
    </xf>
    <xf numFmtId="0" fontId="96" fillId="302" borderId="0" xfId="0" applyFont="1" applyFill="1" applyAlignment="1">
      <alignment horizontal="center" vertical="center"/>
    </xf>
    <xf numFmtId="0" fontId="98" fillId="302" borderId="0" xfId="0" applyFont="1" applyFill="1" applyAlignment="1">
      <alignment horizontal="center" vertical="center"/>
    </xf>
    <xf numFmtId="0" fontId="23" fillId="84" borderId="39" xfId="0" applyFont="1" applyFill="1" applyBorder="1" applyAlignment="1">
      <alignment horizontal="center" vertical="center"/>
    </xf>
    <xf numFmtId="0" fontId="37" fillId="84" borderId="0" xfId="0" applyFont="1" applyFill="1" applyAlignment="1">
      <alignment horizontal="right" vertical="center"/>
    </xf>
    <xf numFmtId="0" fontId="37" fillId="84" borderId="0" xfId="0" applyFont="1" applyFill="1" applyAlignment="1">
      <alignment horizontal="left" vertical="center"/>
    </xf>
    <xf numFmtId="0" fontId="23" fillId="84" borderId="31" xfId="0" applyFont="1" applyFill="1" applyBorder="1" applyAlignment="1">
      <alignment horizontal="center" vertical="center"/>
    </xf>
    <xf numFmtId="0" fontId="23" fillId="84" borderId="40" xfId="0" applyFont="1" applyFill="1" applyBorder="1" applyAlignment="1">
      <alignment horizontal="center" vertical="center"/>
    </xf>
    <xf numFmtId="0" fontId="0" fillId="84" borderId="45" xfId="0" applyFill="1" applyBorder="1" applyAlignment="1">
      <alignment horizontal="center" vertical="center"/>
    </xf>
    <xf numFmtId="0" fontId="81" fillId="84" borderId="15" xfId="131" applyFont="1" applyFill="1" applyBorder="1" applyAlignment="1">
      <alignment horizontal="center" vertical="center"/>
    </xf>
    <xf numFmtId="0" fontId="90" fillId="84" borderId="0" xfId="0" applyFont="1" applyFill="1" applyAlignment="1">
      <alignment horizontal="center" vertical="center"/>
    </xf>
    <xf numFmtId="0" fontId="49" fillId="0" borderId="0" xfId="138" applyFont="1" applyAlignment="1">
      <alignment horizontal="center" shrinkToFit="1"/>
    </xf>
    <xf numFmtId="0" fontId="157" fillId="0" borderId="0" xfId="138" applyFont="1" applyAlignment="1">
      <alignment horizontal="center" shrinkToFit="1"/>
    </xf>
    <xf numFmtId="0" fontId="65" fillId="0" borderId="0" xfId="126" applyFont="1" applyAlignment="1">
      <alignment horizontal="center" shrinkToFit="1"/>
    </xf>
    <xf numFmtId="0" fontId="134" fillId="0" borderId="0" xfId="126" applyFont="1" applyAlignment="1">
      <alignment horizontal="center" vertical="center" shrinkToFit="1"/>
    </xf>
    <xf numFmtId="0" fontId="66" fillId="0" borderId="67" xfId="138" applyFont="1" applyBorder="1" applyAlignment="1">
      <alignment horizontal="center" vertical="center" shrinkToFit="1"/>
    </xf>
    <xf numFmtId="0" fontId="66" fillId="0" borderId="68" xfId="138" applyFont="1" applyBorder="1" applyAlignment="1">
      <alignment horizontal="center" vertical="center" shrinkToFit="1"/>
    </xf>
    <xf numFmtId="0" fontId="66" fillId="0" borderId="69" xfId="138" applyFont="1" applyBorder="1" applyAlignment="1">
      <alignment horizontal="center" vertical="center" shrinkToFit="1"/>
    </xf>
    <xf numFmtId="0" fontId="143" fillId="0" borderId="67" xfId="138" applyFont="1" applyBorder="1" applyAlignment="1">
      <alignment horizontal="left" vertical="center" shrinkToFit="1"/>
    </xf>
    <xf numFmtId="0" fontId="143" fillId="0" borderId="68" xfId="138" applyFont="1" applyBorder="1" applyAlignment="1">
      <alignment horizontal="left" vertical="center" shrinkToFit="1"/>
    </xf>
    <xf numFmtId="0" fontId="143" fillId="0" borderId="69" xfId="138" applyFont="1" applyBorder="1" applyAlignment="1">
      <alignment horizontal="left" vertical="center" shrinkToFit="1"/>
    </xf>
    <xf numFmtId="0" fontId="65" fillId="0" borderId="100" xfId="138" applyFont="1" applyBorder="1" applyAlignment="1">
      <alignment horizontal="center" vertical="center" shrinkToFit="1"/>
    </xf>
    <xf numFmtId="0" fontId="65" fillId="0" borderId="22" xfId="138" applyFont="1" applyBorder="1" applyAlignment="1">
      <alignment horizontal="center" vertical="center" shrinkToFit="1"/>
    </xf>
    <xf numFmtId="0" fontId="65" fillId="0" borderId="107" xfId="138" applyFont="1" applyBorder="1" applyAlignment="1">
      <alignment horizontal="center" vertical="center" shrinkToFit="1"/>
    </xf>
    <xf numFmtId="0" fontId="65" fillId="0" borderId="101" xfId="138" applyFont="1" applyBorder="1" applyAlignment="1">
      <alignment horizontal="center" vertical="center" shrinkToFit="1"/>
    </xf>
    <xf numFmtId="0" fontId="65" fillId="0" borderId="20" xfId="138" applyFont="1" applyBorder="1" applyAlignment="1">
      <alignment horizontal="center" vertical="center" shrinkToFit="1"/>
    </xf>
    <xf numFmtId="0" fontId="65" fillId="0" borderId="70" xfId="138" applyFont="1" applyBorder="1" applyAlignment="1">
      <alignment horizontal="center" vertical="center" shrinkToFit="1"/>
    </xf>
    <xf numFmtId="0" fontId="143" fillId="0" borderId="74" xfId="138" applyFont="1" applyBorder="1" applyAlignment="1">
      <alignment horizontal="left" vertical="center" shrinkToFit="1"/>
    </xf>
    <xf numFmtId="0" fontId="134" fillId="0" borderId="1" xfId="138" applyFont="1" applyBorder="1" applyAlignment="1">
      <alignment horizontal="left" vertical="center" shrinkToFit="1"/>
    </xf>
    <xf numFmtId="0" fontId="65" fillId="0" borderId="17" xfId="138" applyFont="1" applyBorder="1" applyAlignment="1">
      <alignment horizontal="center" vertical="center" shrinkToFit="1"/>
    </xf>
    <xf numFmtId="0" fontId="65" fillId="0" borderId="18" xfId="138" applyFont="1" applyBorder="1" applyAlignment="1">
      <alignment horizontal="center" vertical="center" shrinkToFit="1"/>
    </xf>
    <xf numFmtId="0" fontId="65" fillId="0" borderId="98" xfId="138" applyFont="1" applyBorder="1" applyAlignment="1">
      <alignment horizontal="center" vertical="center" shrinkToFit="1"/>
    </xf>
    <xf numFmtId="0" fontId="65" fillId="0" borderId="16" xfId="138" applyFont="1" applyBorder="1" applyAlignment="1">
      <alignment horizontal="center" vertical="center" shrinkToFit="1"/>
    </xf>
    <xf numFmtId="0" fontId="134" fillId="0" borderId="17" xfId="138" applyFont="1" applyBorder="1" applyAlignment="1">
      <alignment horizontal="left" vertical="center" shrinkToFit="1"/>
    </xf>
    <xf numFmtId="0" fontId="134" fillId="0" borderId="18" xfId="138" applyFont="1" applyBorder="1" applyAlignment="1">
      <alignment horizontal="left" vertical="center" shrinkToFit="1"/>
    </xf>
    <xf numFmtId="0" fontId="134" fillId="0" borderId="19" xfId="138" applyFont="1" applyBorder="1" applyAlignment="1">
      <alignment horizontal="left" vertical="center" shrinkToFit="1"/>
    </xf>
    <xf numFmtId="0" fontId="143" fillId="0" borderId="86" xfId="138" applyFont="1" applyBorder="1" applyAlignment="1">
      <alignment horizontal="left" vertical="center" shrinkToFit="1"/>
    </xf>
    <xf numFmtId="0" fontId="143" fillId="0" borderId="85" xfId="138" applyFont="1" applyBorder="1" applyAlignment="1">
      <alignment horizontal="left" vertical="center" shrinkToFit="1"/>
    </xf>
    <xf numFmtId="0" fontId="143" fillId="0" borderId="99" xfId="138" applyFont="1" applyBorder="1" applyAlignment="1">
      <alignment horizontal="left" vertical="center" shrinkToFit="1"/>
    </xf>
    <xf numFmtId="0" fontId="134" fillId="0" borderId="105" xfId="138" applyFont="1" applyBorder="1" applyAlignment="1">
      <alignment horizontal="left" vertical="center" shrinkToFit="1"/>
    </xf>
    <xf numFmtId="0" fontId="65" fillId="0" borderId="96" xfId="138" applyFont="1" applyBorder="1" applyAlignment="1">
      <alignment horizontal="center" vertical="center" shrinkToFit="1"/>
    </xf>
    <xf numFmtId="0" fontId="65" fillId="0" borderId="102" xfId="0" applyFont="1" applyBorder="1" applyAlignment="1">
      <alignment horizontal="left" vertical="center" wrapText="1" shrinkToFit="1"/>
    </xf>
    <xf numFmtId="0" fontId="65" fillId="0" borderId="103" xfId="0" applyFont="1" applyBorder="1" applyAlignment="1">
      <alignment horizontal="left" vertical="center" wrapText="1" shrinkToFit="1"/>
    </xf>
    <xf numFmtId="0" fontId="65" fillId="0" borderId="104" xfId="0" applyFont="1" applyBorder="1" applyAlignment="1">
      <alignment horizontal="left" vertical="center" wrapText="1" shrinkToFit="1"/>
    </xf>
    <xf numFmtId="170" fontId="60" fillId="182" borderId="15" xfId="141" applyNumberFormat="1" applyFont="1" applyFill="1" applyBorder="1" applyAlignment="1">
      <alignment horizontal="center" vertical="center" shrinkToFit="1"/>
    </xf>
    <xf numFmtId="170" fontId="60" fillId="182" borderId="68" xfId="141" applyNumberFormat="1" applyFont="1" applyFill="1" applyBorder="1" applyAlignment="1">
      <alignment horizontal="center" vertical="center" shrinkToFit="1"/>
    </xf>
    <xf numFmtId="170" fontId="60" fillId="182" borderId="69" xfId="141" applyNumberFormat="1" applyFont="1" applyFill="1" applyBorder="1" applyAlignment="1">
      <alignment horizontal="center" vertical="center" shrinkToFit="1"/>
    </xf>
    <xf numFmtId="0" fontId="179" fillId="0" borderId="1" xfId="150" applyFont="1" applyBorder="1" applyAlignment="1">
      <alignment horizontal="left" vertical="center" shrinkToFit="1"/>
    </xf>
    <xf numFmtId="170" fontId="49" fillId="0" borderId="15" xfId="138" applyNumberFormat="1" applyFont="1" applyBorder="1" applyAlignment="1">
      <alignment horizontal="center" vertical="center" shrinkToFit="1"/>
    </xf>
    <xf numFmtId="170" fontId="49" fillId="0" borderId="68" xfId="138" applyNumberFormat="1" applyFont="1" applyBorder="1" applyAlignment="1">
      <alignment horizontal="center" vertical="center" shrinkToFit="1"/>
    </xf>
    <xf numFmtId="170" fontId="49" fillId="0" borderId="69" xfId="138" applyNumberFormat="1" applyFont="1" applyBorder="1" applyAlignment="1">
      <alignment horizontal="center" vertical="center" shrinkToFit="1"/>
    </xf>
    <xf numFmtId="170" fontId="49" fillId="0" borderId="1" xfId="138" applyNumberFormat="1" applyFont="1" applyBorder="1" applyAlignment="1">
      <alignment horizontal="center" vertical="center" shrinkToFit="1"/>
    </xf>
    <xf numFmtId="0" fontId="49" fillId="0" borderId="4" xfId="0" applyFont="1" applyBorder="1" applyAlignment="1">
      <alignment horizontal="center" vertical="center" wrapText="1" shrinkToFit="1"/>
    </xf>
    <xf numFmtId="0" fontId="49" fillId="0" borderId="24" xfId="0" applyFont="1" applyBorder="1" applyAlignment="1">
      <alignment horizontal="center" vertical="center" wrapText="1" shrinkToFit="1"/>
    </xf>
    <xf numFmtId="0" fontId="49" fillId="0" borderId="5" xfId="0" applyFont="1" applyBorder="1" applyAlignment="1">
      <alignment horizontal="center" vertical="center" wrapText="1" shrinkToFit="1"/>
    </xf>
    <xf numFmtId="0" fontId="49" fillId="0" borderId="4" xfId="0" applyFont="1" applyBorder="1" applyAlignment="1">
      <alignment horizontal="center" vertical="center" shrinkToFit="1"/>
    </xf>
    <xf numFmtId="0" fontId="49" fillId="0" borderId="24" xfId="0" applyFont="1" applyBorder="1" applyAlignment="1">
      <alignment horizontal="center" vertical="center" shrinkToFit="1"/>
    </xf>
    <xf numFmtId="0" fontId="49" fillId="0" borderId="5" xfId="0" applyFont="1" applyBorder="1" applyAlignment="1">
      <alignment horizontal="center" vertical="center" shrinkToFit="1"/>
    </xf>
    <xf numFmtId="0" fontId="143" fillId="0" borderId="96" xfId="138" applyFont="1" applyBorder="1" applyAlignment="1">
      <alignment horizontal="left" vertical="center" shrinkToFit="1"/>
    </xf>
    <xf numFmtId="0" fontId="143" fillId="0" borderId="18" xfId="138" applyFont="1" applyBorder="1" applyAlignment="1">
      <alignment horizontal="left" vertical="center" shrinkToFit="1"/>
    </xf>
    <xf numFmtId="0" fontId="143" fillId="0" borderId="19" xfId="138" applyFont="1" applyBorder="1" applyAlignment="1">
      <alignment horizontal="left" vertical="center" shrinkToFit="1"/>
    </xf>
    <xf numFmtId="0" fontId="66" fillId="0" borderId="15" xfId="0" applyFont="1" applyBorder="1" applyAlignment="1">
      <alignment horizontal="center" wrapText="1"/>
    </xf>
    <xf numFmtId="0" fontId="66" fillId="0" borderId="68" xfId="0" applyFont="1" applyBorder="1" applyAlignment="1">
      <alignment horizontal="center" wrapText="1"/>
    </xf>
    <xf numFmtId="0" fontId="66" fillId="0" borderId="69" xfId="0" applyFont="1" applyBorder="1" applyAlignment="1">
      <alignment horizontal="center" wrapText="1"/>
    </xf>
    <xf numFmtId="0" fontId="65" fillId="0" borderId="4" xfId="0" applyFont="1" applyBorder="1" applyAlignment="1">
      <alignment horizontal="left" vertical="center" wrapText="1" shrinkToFit="1"/>
    </xf>
    <xf numFmtId="0" fontId="65" fillId="0" borderId="24" xfId="0" applyFont="1" applyBorder="1" applyAlignment="1">
      <alignment horizontal="left" vertical="center" wrapText="1" shrinkToFit="1"/>
    </xf>
    <xf numFmtId="0" fontId="143" fillId="0" borderId="15" xfId="0" applyFont="1" applyBorder="1" applyAlignment="1">
      <alignment horizontal="left" wrapText="1"/>
    </xf>
    <xf numFmtId="0" fontId="143" fillId="0" borderId="68" xfId="0" applyFont="1" applyBorder="1" applyAlignment="1">
      <alignment horizontal="left" wrapText="1"/>
    </xf>
    <xf numFmtId="0" fontId="143" fillId="0" borderId="74" xfId="0" applyFont="1" applyBorder="1" applyAlignment="1">
      <alignment horizontal="left" wrapText="1"/>
    </xf>
    <xf numFmtId="0" fontId="179" fillId="0" borderId="37" xfId="150" applyFont="1" applyBorder="1" applyAlignment="1">
      <alignment horizontal="left" vertical="center" shrinkToFit="1"/>
    </xf>
    <xf numFmtId="0" fontId="134" fillId="0" borderId="84" xfId="138" applyFont="1" applyBorder="1" applyAlignment="1">
      <alignment horizontal="left" vertical="center" shrinkToFit="1"/>
    </xf>
    <xf numFmtId="0" fontId="134" fillId="0" borderId="85" xfId="138" applyFont="1" applyBorder="1" applyAlignment="1">
      <alignment horizontal="left" vertical="center" shrinkToFit="1"/>
    </xf>
    <xf numFmtId="0" fontId="134" fillId="0" borderId="99" xfId="138" applyFont="1" applyBorder="1" applyAlignment="1">
      <alignment horizontal="left" vertical="center" shrinkToFit="1"/>
    </xf>
    <xf numFmtId="0" fontId="84" fillId="0" borderId="15" xfId="0" applyFont="1" applyBorder="1" applyAlignment="1">
      <alignment horizontal="center"/>
    </xf>
    <xf numFmtId="0" fontId="84" fillId="0" borderId="68" xfId="0" applyFont="1" applyBorder="1" applyAlignment="1">
      <alignment horizontal="center"/>
    </xf>
    <xf numFmtId="0" fontId="84" fillId="0" borderId="69" xfId="0" applyFont="1" applyBorder="1" applyAlignment="1">
      <alignment horizontal="center"/>
    </xf>
    <xf numFmtId="0" fontId="143" fillId="0" borderId="17" xfId="0" applyFont="1" applyBorder="1" applyAlignment="1">
      <alignment horizontal="left" wrapText="1"/>
    </xf>
    <xf numFmtId="0" fontId="143" fillId="0" borderId="18" xfId="0" applyFont="1" applyBorder="1" applyAlignment="1">
      <alignment horizontal="left" wrapText="1"/>
    </xf>
    <xf numFmtId="0" fontId="65" fillId="0" borderId="37" xfId="0" applyFont="1" applyBorder="1" applyAlignment="1">
      <alignment horizontal="left" vertical="center" wrapText="1" shrinkToFit="1"/>
    </xf>
    <xf numFmtId="0" fontId="179" fillId="0" borderId="2" xfId="150" applyFont="1" applyBorder="1" applyAlignment="1">
      <alignment horizontal="left" vertical="center" shrinkToFit="1"/>
    </xf>
    <xf numFmtId="0" fontId="65" fillId="0" borderId="55" xfId="0" applyFont="1" applyBorder="1" applyAlignment="1">
      <alignment horizontal="left" vertical="center" wrapText="1" shrinkToFit="1"/>
    </xf>
    <xf numFmtId="0" fontId="65" fillId="0" borderId="49" xfId="0" applyFont="1" applyBorder="1" applyAlignment="1">
      <alignment horizontal="left" vertical="center" wrapText="1" shrinkToFit="1"/>
    </xf>
    <xf numFmtId="170" fontId="49" fillId="0" borderId="0" xfId="138" applyNumberFormat="1" applyFont="1" applyAlignment="1">
      <alignment horizontal="center" vertical="center" shrinkToFit="1"/>
    </xf>
    <xf numFmtId="0" fontId="143" fillId="0" borderId="17" xfId="0" applyFont="1" applyBorder="1" applyAlignment="1">
      <alignment horizontal="left" vertical="center" wrapText="1"/>
    </xf>
    <xf numFmtId="0" fontId="143" fillId="0" borderId="18" xfId="0" applyFont="1" applyBorder="1" applyAlignment="1">
      <alignment horizontal="left" vertical="center" wrapText="1"/>
    </xf>
    <xf numFmtId="0" fontId="175" fillId="133" borderId="4" xfId="0" applyFont="1" applyFill="1" applyBorder="1" applyAlignment="1">
      <alignment horizontal="center" vertical="center"/>
    </xf>
    <xf numFmtId="0" fontId="175" fillId="133" borderId="24" xfId="0" applyFont="1" applyFill="1" applyBorder="1" applyAlignment="1">
      <alignment horizontal="center" vertical="center"/>
    </xf>
    <xf numFmtId="0" fontId="175" fillId="133" borderId="5" xfId="0" applyFont="1" applyFill="1" applyBorder="1" applyAlignment="1">
      <alignment horizontal="center" vertical="center"/>
    </xf>
    <xf numFmtId="0" fontId="137" fillId="0" borderId="4" xfId="0" applyFont="1" applyBorder="1" applyAlignment="1" applyProtection="1">
      <alignment horizontal="center"/>
      <protection locked="0"/>
    </xf>
    <xf numFmtId="0" fontId="137" fillId="0" borderId="24" xfId="0" applyFont="1" applyBorder="1" applyAlignment="1" applyProtection="1">
      <alignment horizontal="center"/>
      <protection locked="0"/>
    </xf>
    <xf numFmtId="0" fontId="137" fillId="0" borderId="5" xfId="0" applyFont="1" applyBorder="1" applyAlignment="1" applyProtection="1">
      <alignment horizontal="center"/>
      <protection locked="0"/>
    </xf>
    <xf numFmtId="172" fontId="138" fillId="120" borderId="4" xfId="0" applyNumberFormat="1" applyFont="1" applyFill="1" applyBorder="1" applyAlignment="1">
      <alignment horizontal="center" vertical="center"/>
    </xf>
    <xf numFmtId="172" fontId="138" fillId="120" borderId="5" xfId="0" applyNumberFormat="1" applyFont="1" applyFill="1" applyBorder="1" applyAlignment="1">
      <alignment horizontal="center" vertical="center"/>
    </xf>
    <xf numFmtId="0" fontId="139" fillId="35" borderId="0" xfId="0" applyFont="1" applyFill="1" applyAlignment="1" applyProtection="1">
      <alignment horizontal="center" vertical="center"/>
      <protection locked="0"/>
    </xf>
    <xf numFmtId="0" fontId="49" fillId="0" borderId="87" xfId="138" applyFont="1" applyBorder="1" applyAlignment="1">
      <alignment horizontal="center" vertical="center" shrinkToFit="1"/>
    </xf>
    <xf numFmtId="0" fontId="49" fillId="0" borderId="68" xfId="138" applyFont="1" applyBorder="1" applyAlignment="1">
      <alignment horizontal="center" vertical="center" shrinkToFit="1"/>
    </xf>
    <xf numFmtId="170" fontId="50" fillId="120" borderId="1" xfId="138" applyNumberFormat="1" applyFont="1" applyFill="1" applyBorder="1" applyAlignment="1">
      <alignment horizontal="center" vertical="center" shrinkToFit="1"/>
    </xf>
    <xf numFmtId="0" fontId="49" fillId="0" borderId="1" xfId="138" applyFont="1" applyBorder="1" applyAlignment="1">
      <alignment horizontal="center" vertical="center" wrapText="1" shrinkToFit="1"/>
    </xf>
    <xf numFmtId="0" fontId="49" fillId="0" borderId="1" xfId="138" applyFont="1" applyBorder="1" applyAlignment="1">
      <alignment horizontal="center" vertical="center" shrinkToFit="1"/>
    </xf>
    <xf numFmtId="170" fontId="50" fillId="120" borderId="37" xfId="138" applyNumberFormat="1" applyFont="1" applyFill="1" applyBorder="1" applyAlignment="1">
      <alignment horizontal="center" vertical="center" shrinkToFit="1"/>
    </xf>
    <xf numFmtId="0" fontId="134" fillId="0" borderId="15" xfId="150" applyFont="1" applyBorder="1" applyAlignment="1">
      <alignment horizontal="left" vertical="center" shrinkToFit="1"/>
    </xf>
    <xf numFmtId="0" fontId="134" fillId="0" borderId="68" xfId="150" applyFont="1" applyBorder="1" applyAlignment="1">
      <alignment horizontal="left" vertical="center" shrinkToFit="1"/>
    </xf>
    <xf numFmtId="0" fontId="134" fillId="0" borderId="69" xfId="150" applyFont="1" applyBorder="1" applyAlignment="1">
      <alignment horizontal="left" vertical="center" shrinkToFit="1"/>
    </xf>
    <xf numFmtId="0" fontId="134" fillId="0" borderId="15" xfId="138" applyFont="1" applyBorder="1" applyAlignment="1">
      <alignment horizontal="left" vertical="center" shrinkToFit="1"/>
    </xf>
    <xf numFmtId="0" fontId="134" fillId="0" borderId="69" xfId="138" applyFont="1" applyBorder="1" applyAlignment="1">
      <alignment horizontal="left" vertical="center" shrinkToFit="1"/>
    </xf>
    <xf numFmtId="0" fontId="65" fillId="82" borderId="92" xfId="138" applyFont="1" applyFill="1" applyBorder="1" applyAlignment="1">
      <alignment horizontal="center" vertical="center" shrinkToFit="1"/>
    </xf>
    <xf numFmtId="0" fontId="65" fillId="82" borderId="85" xfId="138" applyFont="1" applyFill="1" applyBorder="1" applyAlignment="1">
      <alignment horizontal="center" vertical="center" shrinkToFit="1"/>
    </xf>
    <xf numFmtId="0" fontId="65" fillId="82" borderId="76" xfId="138" applyFont="1" applyFill="1" applyBorder="1" applyAlignment="1">
      <alignment horizontal="center" vertical="center" shrinkToFit="1"/>
    </xf>
    <xf numFmtId="170" fontId="49" fillId="0" borderId="36" xfId="138" applyNumberFormat="1" applyFont="1" applyBorder="1" applyAlignment="1">
      <alignment horizontal="center" vertical="center" shrinkToFit="1"/>
    </xf>
    <xf numFmtId="170" fontId="49" fillId="0" borderId="77" xfId="138" applyNumberFormat="1" applyFont="1" applyBorder="1" applyAlignment="1">
      <alignment horizontal="center" vertical="center" shrinkToFit="1"/>
    </xf>
    <xf numFmtId="0" fontId="65" fillId="132" borderId="92" xfId="138" applyFont="1" applyFill="1" applyBorder="1" applyAlignment="1">
      <alignment horizontal="center" vertical="center" shrinkToFit="1"/>
    </xf>
    <xf numFmtId="0" fontId="65" fillId="132" borderId="85" xfId="138" applyFont="1" applyFill="1" applyBorder="1" applyAlignment="1">
      <alignment horizontal="center" vertical="center" shrinkToFit="1"/>
    </xf>
    <xf numFmtId="0" fontId="65" fillId="132" borderId="76" xfId="138" applyFont="1" applyFill="1" applyBorder="1" applyAlignment="1">
      <alignment horizontal="center" vertical="center" shrinkToFit="1"/>
    </xf>
    <xf numFmtId="0" fontId="65" fillId="80" borderId="92" xfId="138" applyFont="1" applyFill="1" applyBorder="1" applyAlignment="1">
      <alignment horizontal="center" vertical="center" shrinkToFit="1"/>
    </xf>
    <xf numFmtId="0" fontId="65" fillId="80" borderId="85" xfId="138" applyFont="1" applyFill="1" applyBorder="1" applyAlignment="1">
      <alignment horizontal="center" vertical="center" shrinkToFit="1"/>
    </xf>
    <xf numFmtId="0" fontId="65" fillId="80" borderId="76" xfId="138" applyFont="1" applyFill="1" applyBorder="1" applyAlignment="1">
      <alignment horizontal="center" vertical="center" shrinkToFit="1"/>
    </xf>
    <xf numFmtId="0" fontId="69" fillId="0" borderId="67" xfId="0" applyFont="1" applyBorder="1" applyAlignment="1">
      <alignment horizontal="center"/>
    </xf>
    <xf numFmtId="0" fontId="69" fillId="0" borderId="68" xfId="0" applyFont="1" applyBorder="1" applyAlignment="1">
      <alignment horizontal="center"/>
    </xf>
    <xf numFmtId="0" fontId="84" fillId="0" borderId="67" xfId="0" applyFont="1" applyBorder="1" applyAlignment="1">
      <alignment horizontal="center"/>
    </xf>
    <xf numFmtId="0" fontId="65" fillId="63" borderId="92" xfId="138" applyFont="1" applyFill="1" applyBorder="1" applyAlignment="1">
      <alignment horizontal="center" vertical="center" shrinkToFit="1"/>
    </xf>
    <xf numFmtId="0" fontId="65" fillId="63" borderId="85" xfId="138" applyFont="1" applyFill="1" applyBorder="1" applyAlignment="1">
      <alignment horizontal="center" vertical="center" shrinkToFit="1"/>
    </xf>
    <xf numFmtId="0" fontId="65" fillId="63" borderId="76" xfId="138" applyFont="1" applyFill="1" applyBorder="1" applyAlignment="1">
      <alignment horizontal="center" vertical="center" shrinkToFit="1"/>
    </xf>
    <xf numFmtId="170" fontId="60" fillId="182" borderId="1" xfId="138" applyNumberFormat="1" applyFont="1" applyFill="1" applyBorder="1" applyAlignment="1">
      <alignment horizontal="center" vertical="center" shrinkToFit="1"/>
    </xf>
    <xf numFmtId="0" fontId="49" fillId="0" borderId="17" xfId="138" applyFont="1" applyBorder="1" applyAlignment="1">
      <alignment horizontal="center" vertical="center" shrinkToFit="1"/>
    </xf>
    <xf numFmtId="0" fontId="49" fillId="0" borderId="18" xfId="138" applyFont="1" applyBorder="1" applyAlignment="1">
      <alignment horizontal="center" vertical="center" shrinkToFit="1"/>
    </xf>
    <xf numFmtId="170" fontId="160" fillId="182" borderId="1" xfId="138" applyNumberFormat="1" applyFont="1" applyFill="1" applyBorder="1" applyAlignment="1">
      <alignment horizontal="center" vertical="center" shrinkToFit="1"/>
    </xf>
    <xf numFmtId="0" fontId="157" fillId="131" borderId="15" xfId="138" applyFont="1" applyFill="1" applyBorder="1" applyAlignment="1">
      <alignment horizontal="center" vertical="center" shrinkToFit="1"/>
    </xf>
    <xf numFmtId="0" fontId="157" fillId="131" borderId="68" xfId="138" applyFont="1" applyFill="1" applyBorder="1" applyAlignment="1">
      <alignment horizontal="center" vertical="center" shrinkToFit="1"/>
    </xf>
    <xf numFmtId="0" fontId="157" fillId="131" borderId="69" xfId="138" applyFont="1" applyFill="1" applyBorder="1" applyAlignment="1">
      <alignment horizontal="center" vertical="center" shrinkToFit="1"/>
    </xf>
    <xf numFmtId="170" fontId="49" fillId="0" borderId="89" xfId="138" applyNumberFormat="1" applyFont="1" applyBorder="1" applyAlignment="1">
      <alignment horizontal="center" vertical="center" shrinkToFit="1"/>
    </xf>
    <xf numFmtId="170" fontId="49" fillId="0" borderId="90" xfId="138" applyNumberFormat="1" applyFont="1" applyBorder="1" applyAlignment="1">
      <alignment horizontal="center" vertical="center" shrinkToFit="1"/>
    </xf>
    <xf numFmtId="170" fontId="49" fillId="0" borderId="91" xfId="138" applyNumberFormat="1" applyFont="1" applyBorder="1" applyAlignment="1">
      <alignment horizontal="center" vertical="center" shrinkToFit="1"/>
    </xf>
    <xf numFmtId="0" fontId="134" fillId="84" borderId="15" xfId="150" applyFont="1" applyFill="1" applyBorder="1" applyAlignment="1">
      <alignment horizontal="left" vertical="center" shrinkToFit="1"/>
    </xf>
    <xf numFmtId="0" fontId="134" fillId="84" borderId="68" xfId="150" applyFont="1" applyFill="1" applyBorder="1" applyAlignment="1">
      <alignment horizontal="left" vertical="center" shrinkToFit="1"/>
    </xf>
    <xf numFmtId="0" fontId="134" fillId="84" borderId="69" xfId="150" applyFont="1" applyFill="1" applyBorder="1" applyAlignment="1">
      <alignment horizontal="left" vertical="center" shrinkToFit="1"/>
    </xf>
    <xf numFmtId="0" fontId="157" fillId="204" borderId="15" xfId="138" applyFont="1" applyFill="1" applyBorder="1" applyAlignment="1">
      <alignment horizontal="center" vertical="center" shrinkToFit="1"/>
    </xf>
    <xf numFmtId="0" fontId="157" fillId="204" borderId="68" xfId="138" applyFont="1" applyFill="1" applyBorder="1" applyAlignment="1">
      <alignment horizontal="center" vertical="center" shrinkToFit="1"/>
    </xf>
    <xf numFmtId="0" fontId="157" fillId="204" borderId="69" xfId="138" applyFont="1" applyFill="1" applyBorder="1" applyAlignment="1">
      <alignment horizontal="center" vertical="center" shrinkToFit="1"/>
    </xf>
    <xf numFmtId="0" fontId="134" fillId="84" borderId="26" xfId="150" applyFont="1" applyFill="1" applyBorder="1" applyAlignment="1">
      <alignment horizontal="left" vertical="center" shrinkToFit="1"/>
    </xf>
    <xf numFmtId="0" fontId="134" fillId="84" borderId="36" xfId="150" applyFont="1" applyFill="1" applyBorder="1" applyAlignment="1">
      <alignment horizontal="left" vertical="center" shrinkToFit="1"/>
    </xf>
    <xf numFmtId="0" fontId="134" fillId="84" borderId="77" xfId="150" applyFont="1" applyFill="1" applyBorder="1" applyAlignment="1">
      <alignment horizontal="left" vertical="center" shrinkToFit="1"/>
    </xf>
    <xf numFmtId="170" fontId="49" fillId="0" borderId="26" xfId="138" applyNumberFormat="1" applyFont="1" applyBorder="1" applyAlignment="1">
      <alignment horizontal="center" vertical="center" shrinkToFit="1"/>
    </xf>
    <xf numFmtId="0" fontId="134" fillId="0" borderId="76" xfId="138" applyFont="1" applyBorder="1" applyAlignment="1">
      <alignment horizontal="left" vertical="center" shrinkToFit="1"/>
    </xf>
    <xf numFmtId="0" fontId="157" fillId="55" borderId="15" xfId="138" applyFont="1" applyFill="1" applyBorder="1" applyAlignment="1">
      <alignment horizontal="center" vertical="center" shrinkToFit="1"/>
    </xf>
    <xf numFmtId="0" fontId="157" fillId="55" borderId="68" xfId="138" applyFont="1" applyFill="1" applyBorder="1" applyAlignment="1">
      <alignment horizontal="center" vertical="center" shrinkToFit="1"/>
    </xf>
    <xf numFmtId="0" fontId="157" fillId="55" borderId="69" xfId="138" applyFont="1" applyFill="1" applyBorder="1" applyAlignment="1">
      <alignment horizontal="center" vertical="center" shrinkToFit="1"/>
    </xf>
    <xf numFmtId="0" fontId="49" fillId="0" borderId="16" xfId="138" applyFont="1" applyBorder="1" applyAlignment="1">
      <alignment horizontal="center" vertical="center" shrinkToFit="1"/>
    </xf>
    <xf numFmtId="0" fontId="49" fillId="0" borderId="20" xfId="138" applyFont="1" applyBorder="1" applyAlignment="1">
      <alignment horizontal="center" vertical="center" shrinkToFit="1"/>
    </xf>
    <xf numFmtId="170" fontId="60" fillId="182" borderId="37" xfId="138" applyNumberFormat="1" applyFont="1" applyFill="1" applyBorder="1" applyAlignment="1">
      <alignment horizontal="center" vertical="center" shrinkToFit="1"/>
    </xf>
    <xf numFmtId="0" fontId="67" fillId="120" borderId="15" xfId="138" applyFont="1" applyFill="1" applyBorder="1" applyAlignment="1">
      <alignment horizontal="center" vertical="center" shrinkToFit="1"/>
    </xf>
    <xf numFmtId="0" fontId="67" fillId="120" borderId="68" xfId="138" applyFont="1" applyFill="1" applyBorder="1" applyAlignment="1">
      <alignment horizontal="center" vertical="center" shrinkToFit="1"/>
    </xf>
    <xf numFmtId="0" fontId="65" fillId="34" borderId="53" xfId="138" applyFont="1" applyFill="1" applyBorder="1" applyAlignment="1">
      <alignment horizontal="center" vertical="center" shrinkToFit="1"/>
    </xf>
    <xf numFmtId="0" fontId="65" fillId="34" borderId="0" xfId="138" applyFont="1" applyFill="1" applyAlignment="1">
      <alignment horizontal="center" vertical="center" shrinkToFit="1"/>
    </xf>
    <xf numFmtId="0" fontId="65" fillId="34" borderId="51" xfId="138" applyFont="1" applyFill="1" applyBorder="1" applyAlignment="1">
      <alignment horizontal="center" vertical="center" shrinkToFit="1"/>
    </xf>
    <xf numFmtId="0" fontId="137" fillId="0" borderId="4" xfId="0" applyFont="1" applyBorder="1" applyAlignment="1">
      <alignment horizontal="center"/>
    </xf>
    <xf numFmtId="0" fontId="137" fillId="0" borderId="24" xfId="0" applyFont="1" applyBorder="1" applyAlignment="1">
      <alignment horizontal="center"/>
    </xf>
    <xf numFmtId="0" fontId="137" fillId="0" borderId="5" xfId="0" applyFont="1" applyBorder="1" applyAlignment="1">
      <alignment horizontal="center"/>
    </xf>
    <xf numFmtId="170" fontId="138" fillId="120" borderId="4" xfId="0" applyNumberFormat="1" applyFont="1" applyFill="1" applyBorder="1" applyAlignment="1">
      <alignment horizontal="center"/>
    </xf>
    <xf numFmtId="170" fontId="138" fillId="120" borderId="5" xfId="0" applyNumberFormat="1" applyFont="1" applyFill="1" applyBorder="1" applyAlignment="1">
      <alignment horizontal="center"/>
    </xf>
    <xf numFmtId="0" fontId="88" fillId="0" borderId="34" xfId="0" applyFont="1" applyBorder="1" applyAlignment="1">
      <alignment horizontal="center"/>
    </xf>
    <xf numFmtId="0" fontId="88" fillId="0" borderId="27" xfId="0" applyFont="1" applyBorder="1" applyAlignment="1">
      <alignment horizontal="center"/>
    </xf>
    <xf numFmtId="0" fontId="88" fillId="0" borderId="24" xfId="0" applyFont="1" applyBorder="1" applyAlignment="1">
      <alignment horizontal="center"/>
    </xf>
    <xf numFmtId="0" fontId="88" fillId="0" borderId="5" xfId="0" applyFont="1" applyBorder="1" applyAlignment="1">
      <alignment horizontal="center"/>
    </xf>
    <xf numFmtId="170" fontId="138" fillId="108" borderId="34" xfId="0" applyNumberFormat="1" applyFont="1" applyFill="1" applyBorder="1" applyAlignment="1">
      <alignment horizontal="center"/>
    </xf>
    <xf numFmtId="170" fontId="138" fillId="108" borderId="29" xfId="0" applyNumberFormat="1" applyFont="1" applyFill="1" applyBorder="1" applyAlignment="1">
      <alignment horizontal="center"/>
    </xf>
    <xf numFmtId="0" fontId="88" fillId="0" borderId="29" xfId="0" applyFont="1" applyBorder="1" applyAlignment="1">
      <alignment horizontal="center"/>
    </xf>
    <xf numFmtId="0" fontId="65" fillId="0" borderId="67" xfId="138" applyFont="1" applyBorder="1" applyAlignment="1">
      <alignment horizontal="center" vertical="center" shrinkToFit="1"/>
    </xf>
    <xf numFmtId="0" fontId="65" fillId="0" borderId="68" xfId="138" applyFont="1" applyBorder="1" applyAlignment="1">
      <alignment horizontal="center" vertical="center" shrinkToFit="1"/>
    </xf>
    <xf numFmtId="0" fontId="65" fillId="0" borderId="69" xfId="138" applyFont="1" applyBorder="1" applyAlignment="1">
      <alignment horizontal="center" vertical="center" shrinkToFit="1"/>
    </xf>
    <xf numFmtId="0" fontId="88" fillId="0" borderId="72" xfId="0" applyFont="1" applyBorder="1" applyAlignment="1">
      <alignment horizontal="center"/>
    </xf>
    <xf numFmtId="0" fontId="88" fillId="0" borderId="73" xfId="0" applyFont="1" applyBorder="1" applyAlignment="1">
      <alignment horizontal="center"/>
    </xf>
    <xf numFmtId="0" fontId="139" fillId="35" borderId="30" xfId="0" applyFont="1" applyFill="1" applyBorder="1" applyAlignment="1">
      <alignment horizontal="center"/>
    </xf>
    <xf numFmtId="0" fontId="139" fillId="35" borderId="0" xfId="0" applyFont="1" applyFill="1" applyAlignment="1">
      <alignment horizontal="center"/>
    </xf>
    <xf numFmtId="170" fontId="137" fillId="0" borderId="62" xfId="0" applyNumberFormat="1" applyFont="1" applyBorder="1" applyAlignment="1">
      <alignment horizontal="center"/>
    </xf>
    <xf numFmtId="170" fontId="137" fillId="0" borderId="63" xfId="0" applyNumberFormat="1" applyFont="1" applyBorder="1" applyAlignment="1">
      <alignment horizontal="center"/>
    </xf>
    <xf numFmtId="0" fontId="141" fillId="89" borderId="34" xfId="0" applyFont="1" applyFill="1" applyBorder="1" applyAlignment="1">
      <alignment horizontal="center" vertical="center"/>
    </xf>
    <xf numFmtId="0" fontId="141" fillId="89" borderId="27" xfId="0" applyFont="1" applyFill="1" applyBorder="1" applyAlignment="1">
      <alignment horizontal="center" vertical="center"/>
    </xf>
    <xf numFmtId="0" fontId="141" fillId="89" borderId="29" xfId="0" applyFont="1" applyFill="1" applyBorder="1" applyAlignment="1">
      <alignment horizontal="center" vertical="center"/>
    </xf>
    <xf numFmtId="0" fontId="141" fillId="89" borderId="39" xfId="0" applyFont="1" applyFill="1" applyBorder="1" applyAlignment="1">
      <alignment horizontal="center" vertical="center"/>
    </xf>
    <xf numFmtId="0" fontId="141" fillId="89" borderId="25" xfId="0" applyFont="1" applyFill="1" applyBorder="1" applyAlignment="1">
      <alignment horizontal="center" vertical="center"/>
    </xf>
    <xf numFmtId="0" fontId="141" fillId="89" borderId="40" xfId="0" applyFont="1" applyFill="1" applyBorder="1" applyAlignment="1">
      <alignment horizontal="center" vertical="center"/>
    </xf>
    <xf numFmtId="0" fontId="53" fillId="0" borderId="53" xfId="0" applyFont="1" applyBorder="1" applyAlignment="1">
      <alignment horizontal="center"/>
    </xf>
    <xf numFmtId="0" fontId="53" fillId="0" borderId="51" xfId="0" applyFont="1" applyBorder="1" applyAlignment="1">
      <alignment horizontal="center"/>
    </xf>
    <xf numFmtId="0" fontId="132" fillId="84" borderId="4" xfId="138" applyFont="1" applyFill="1" applyBorder="1" applyAlignment="1">
      <alignment horizontal="center" vertical="center" shrinkToFit="1"/>
    </xf>
    <xf numFmtId="0" fontId="132" fillId="84" borderId="24" xfId="138" applyFont="1" applyFill="1" applyBorder="1" applyAlignment="1">
      <alignment horizontal="center" vertical="center" shrinkToFit="1"/>
    </xf>
    <xf numFmtId="0" fontId="137" fillId="0" borderId="59" xfId="0" applyFont="1" applyBorder="1" applyAlignment="1">
      <alignment horizontal="center" vertical="center"/>
    </xf>
    <xf numFmtId="0" fontId="137" fillId="0" borderId="60" xfId="0" applyFont="1" applyBorder="1" applyAlignment="1">
      <alignment horizontal="center" vertical="center"/>
    </xf>
    <xf numFmtId="0" fontId="137" fillId="0" borderId="61" xfId="0" applyFont="1" applyBorder="1" applyAlignment="1">
      <alignment horizontal="center" vertical="center"/>
    </xf>
    <xf numFmtId="0" fontId="131" fillId="120" borderId="4" xfId="138" applyFont="1" applyFill="1" applyBorder="1" applyAlignment="1">
      <alignment horizontal="center" vertical="center" shrinkToFit="1"/>
    </xf>
    <xf numFmtId="0" fontId="131" fillId="120" borderId="24" xfId="138" applyFont="1" applyFill="1" applyBorder="1" applyAlignment="1">
      <alignment horizontal="center" vertical="center" shrinkToFit="1"/>
    </xf>
    <xf numFmtId="0" fontId="131" fillId="120" borderId="5" xfId="138" applyFont="1" applyFill="1" applyBorder="1" applyAlignment="1">
      <alignment horizontal="center" vertical="center" shrinkToFit="1"/>
    </xf>
    <xf numFmtId="170" fontId="52" fillId="120" borderId="4" xfId="138" applyNumberFormat="1" applyFont="1" applyFill="1" applyBorder="1" applyAlignment="1">
      <alignment horizontal="center" vertical="center" shrinkToFit="1"/>
    </xf>
    <xf numFmtId="170" fontId="52" fillId="120" borderId="24" xfId="138" applyNumberFormat="1" applyFont="1" applyFill="1" applyBorder="1" applyAlignment="1">
      <alignment horizontal="center" vertical="center" shrinkToFit="1"/>
    </xf>
    <xf numFmtId="170" fontId="52" fillId="120" borderId="5" xfId="138" applyNumberFormat="1" applyFont="1" applyFill="1" applyBorder="1" applyAlignment="1">
      <alignment horizontal="center" vertical="center" shrinkToFit="1"/>
    </xf>
    <xf numFmtId="14" fontId="130" fillId="0" borderId="1" xfId="0" applyNumberFormat="1" applyFont="1" applyBorder="1" applyAlignment="1">
      <alignment horizontal="center" wrapText="1"/>
    </xf>
    <xf numFmtId="0" fontId="130" fillId="0" borderId="1" xfId="0" applyFont="1" applyBorder="1" applyAlignment="1" applyProtection="1">
      <alignment horizontal="center" wrapText="1"/>
      <protection locked="0"/>
    </xf>
    <xf numFmtId="0" fontId="102" fillId="131" borderId="4" xfId="252" applyFont="1" applyFill="1" applyBorder="1" applyAlignment="1">
      <alignment horizontal="center" vertical="top" shrinkToFit="1"/>
    </xf>
    <xf numFmtId="0" fontId="124" fillId="131" borderId="24" xfId="252" applyFont="1" applyFill="1" applyBorder="1" applyAlignment="1">
      <alignment horizontal="center" vertical="top" shrinkToFit="1"/>
    </xf>
    <xf numFmtId="0" fontId="124" fillId="131" borderId="5" xfId="252" applyFont="1" applyFill="1" applyBorder="1" applyAlignment="1">
      <alignment horizontal="center" vertical="top" shrinkToFit="1"/>
    </xf>
    <xf numFmtId="170" fontId="125" fillId="131" borderId="4" xfId="252" applyNumberFormat="1" applyFont="1" applyFill="1" applyBorder="1" applyAlignment="1">
      <alignment horizontal="center" vertical="center" shrinkToFit="1"/>
    </xf>
    <xf numFmtId="170" fontId="125" fillId="131" borderId="24" xfId="252" applyNumberFormat="1" applyFont="1" applyFill="1" applyBorder="1" applyAlignment="1">
      <alignment horizontal="center" vertical="center" shrinkToFit="1"/>
    </xf>
    <xf numFmtId="170" fontId="125" fillId="131" borderId="5" xfId="252" applyNumberFormat="1" applyFont="1" applyFill="1" applyBorder="1" applyAlignment="1">
      <alignment horizontal="center" vertical="center" shrinkToFit="1"/>
    </xf>
    <xf numFmtId="0" fontId="126" fillId="80" borderId="1" xfId="0" applyFont="1" applyFill="1" applyBorder="1" applyAlignment="1">
      <alignment horizontal="center" vertical="center" wrapText="1"/>
    </xf>
    <xf numFmtId="0" fontId="130" fillId="132" borderId="1" xfId="0" applyFont="1" applyFill="1" applyBorder="1" applyAlignment="1">
      <alignment horizontal="center" wrapText="1"/>
    </xf>
    <xf numFmtId="0" fontId="117" fillId="84" borderId="0" xfId="142" applyFont="1" applyFill="1" applyAlignment="1" applyProtection="1">
      <alignment horizontal="center" vertical="center" wrapText="1" shrinkToFit="1"/>
    </xf>
    <xf numFmtId="0" fontId="120" fillId="84" borderId="34" xfId="0" applyFont="1" applyFill="1" applyBorder="1" applyAlignment="1">
      <alignment horizontal="center" vertical="center" wrapText="1"/>
    </xf>
    <xf numFmtId="0" fontId="120" fillId="84" borderId="29" xfId="0" applyFont="1" applyFill="1" applyBorder="1" applyAlignment="1">
      <alignment horizontal="center" vertical="center" wrapText="1"/>
    </xf>
    <xf numFmtId="0" fontId="120" fillId="84" borderId="30" xfId="0" applyFont="1" applyFill="1" applyBorder="1" applyAlignment="1">
      <alignment horizontal="center" vertical="center" wrapText="1"/>
    </xf>
    <xf numFmtId="0" fontId="120" fillId="84" borderId="31" xfId="0" applyFont="1" applyFill="1" applyBorder="1" applyAlignment="1">
      <alignment horizontal="center" vertical="center" wrapText="1"/>
    </xf>
    <xf numFmtId="0" fontId="120" fillId="84" borderId="39" xfId="0" applyFont="1" applyFill="1" applyBorder="1" applyAlignment="1">
      <alignment horizontal="center" vertical="center" wrapText="1"/>
    </xf>
    <xf numFmtId="0" fontId="120" fillId="84" borderId="40" xfId="0" applyFont="1" applyFill="1" applyBorder="1" applyAlignment="1">
      <alignment horizontal="center" vertical="center" wrapText="1"/>
    </xf>
    <xf numFmtId="0" fontId="114" fillId="84" borderId="34" xfId="177" applyFont="1" applyFill="1" applyBorder="1" applyAlignment="1">
      <alignment horizontal="center" vertical="center"/>
    </xf>
    <xf numFmtId="0" fontId="114" fillId="84" borderId="27" xfId="177" applyFont="1" applyFill="1" applyBorder="1" applyAlignment="1">
      <alignment horizontal="center" vertical="center"/>
    </xf>
    <xf numFmtId="0" fontId="114" fillId="84" borderId="29" xfId="177" applyFont="1" applyFill="1" applyBorder="1" applyAlignment="1">
      <alignment horizontal="center" vertical="center"/>
    </xf>
    <xf numFmtId="0" fontId="114" fillId="84" borderId="30" xfId="177" applyFont="1" applyFill="1" applyBorder="1" applyAlignment="1">
      <alignment horizontal="center" vertical="center"/>
    </xf>
    <xf numFmtId="0" fontId="114" fillId="84" borderId="0" xfId="177" applyFont="1" applyFill="1" applyAlignment="1">
      <alignment horizontal="center" vertical="center"/>
    </xf>
    <xf numFmtId="0" fontId="114" fillId="84" borderId="31" xfId="177" applyFont="1" applyFill="1" applyBorder="1" applyAlignment="1">
      <alignment horizontal="center" vertical="center"/>
    </xf>
    <xf numFmtId="0" fontId="114" fillId="84" borderId="39" xfId="177" applyFont="1" applyFill="1" applyBorder="1" applyAlignment="1">
      <alignment horizontal="center" vertical="center"/>
    </xf>
    <xf numFmtId="0" fontId="114" fillId="84" borderId="25" xfId="177" applyFont="1" applyFill="1" applyBorder="1" applyAlignment="1">
      <alignment horizontal="center" vertical="center"/>
    </xf>
    <xf numFmtId="0" fontId="114" fillId="84" borderId="40" xfId="177" applyFont="1" applyFill="1" applyBorder="1" applyAlignment="1">
      <alignment horizontal="center" vertical="center"/>
    </xf>
    <xf numFmtId="0" fontId="83" fillId="84" borderId="30" xfId="0" applyFont="1" applyFill="1" applyBorder="1" applyAlignment="1">
      <alignment horizontal="center" vertical="center"/>
    </xf>
    <xf numFmtId="0" fontId="83" fillId="84" borderId="0" xfId="0" applyFont="1" applyFill="1" applyAlignment="1">
      <alignment horizontal="center" vertical="center"/>
    </xf>
    <xf numFmtId="0" fontId="123" fillId="84" borderId="36" xfId="0" applyFont="1" applyFill="1" applyBorder="1" applyAlignment="1">
      <alignment horizontal="center" vertical="center"/>
    </xf>
    <xf numFmtId="0" fontId="70" fillId="35" borderId="47" xfId="0" applyFont="1" applyFill="1" applyBorder="1" applyAlignment="1">
      <alignment horizontal="center" vertical="center" wrapText="1"/>
    </xf>
    <xf numFmtId="0" fontId="70" fillId="35" borderId="50" xfId="0" applyFont="1" applyFill="1" applyBorder="1" applyAlignment="1">
      <alignment horizontal="center" vertical="center" wrapText="1"/>
    </xf>
    <xf numFmtId="0" fontId="0" fillId="84" borderId="49" xfId="0" applyFill="1" applyBorder="1" applyAlignment="1">
      <alignment horizontal="center" vertical="center"/>
    </xf>
    <xf numFmtId="0" fontId="92" fillId="84" borderId="0" xfId="0" applyFont="1" applyFill="1" applyAlignment="1">
      <alignment horizontal="center" vertical="center"/>
    </xf>
    <xf numFmtId="0" fontId="115" fillId="84" borderId="48" xfId="0" applyFont="1" applyFill="1" applyBorder="1" applyAlignment="1">
      <alignment horizontal="center" vertical="center" wrapText="1"/>
    </xf>
    <xf numFmtId="0" fontId="115" fillId="84" borderId="50" xfId="0" applyFont="1" applyFill="1" applyBorder="1" applyAlignment="1">
      <alignment horizontal="center" vertical="center" wrapText="1"/>
    </xf>
    <xf numFmtId="0" fontId="116" fillId="84" borderId="34" xfId="0" applyFont="1" applyFill="1" applyBorder="1" applyAlignment="1">
      <alignment horizontal="center" vertical="center"/>
    </xf>
    <xf numFmtId="0" fontId="116" fillId="84" borderId="27" xfId="0" applyFont="1" applyFill="1" applyBorder="1" applyAlignment="1">
      <alignment horizontal="center" vertical="center"/>
    </xf>
    <xf numFmtId="0" fontId="116" fillId="84" borderId="29" xfId="0" applyFont="1" applyFill="1" applyBorder="1" applyAlignment="1">
      <alignment horizontal="center" vertical="center"/>
    </xf>
    <xf numFmtId="0" fontId="116" fillId="84" borderId="30" xfId="0" applyFont="1" applyFill="1" applyBorder="1" applyAlignment="1">
      <alignment horizontal="center" vertical="center"/>
    </xf>
    <xf numFmtId="0" fontId="116" fillId="84" borderId="0" xfId="0" applyFont="1" applyFill="1" applyAlignment="1">
      <alignment horizontal="center" vertical="center"/>
    </xf>
    <xf numFmtId="0" fontId="116" fillId="84" borderId="31" xfId="0" applyFont="1" applyFill="1" applyBorder="1" applyAlignment="1">
      <alignment horizontal="center" vertical="center"/>
    </xf>
    <xf numFmtId="0" fontId="116" fillId="84" borderId="39" xfId="0" applyFont="1" applyFill="1" applyBorder="1" applyAlignment="1">
      <alignment horizontal="center" vertical="center"/>
    </xf>
    <xf numFmtId="0" fontId="116" fillId="84" borderId="25" xfId="0" applyFont="1" applyFill="1" applyBorder="1" applyAlignment="1">
      <alignment horizontal="center" vertical="center"/>
    </xf>
    <xf numFmtId="0" fontId="116" fillId="84" borderId="40" xfId="0" applyFont="1" applyFill="1" applyBorder="1" applyAlignment="1">
      <alignment horizontal="center" vertical="center"/>
    </xf>
    <xf numFmtId="0" fontId="117" fillId="84" borderId="0" xfId="142" applyFont="1" applyFill="1" applyAlignment="1" applyProtection="1">
      <alignment horizontal="center" vertical="center" shrinkToFit="1"/>
    </xf>
    <xf numFmtId="0" fontId="103" fillId="84" borderId="0" xfId="0" applyFont="1" applyFill="1" applyAlignment="1" applyProtection="1">
      <alignment horizontal="center" vertical="center"/>
      <protection locked="0"/>
    </xf>
    <xf numFmtId="0" fontId="92" fillId="0" borderId="0" xfId="0" applyFont="1" applyAlignment="1">
      <alignment horizontal="center" vertical="center"/>
    </xf>
    <xf numFmtId="0" fontId="51" fillId="84" borderId="0" xfId="0" applyFont="1" applyFill="1" applyAlignment="1">
      <alignment horizontal="center" vertical="center"/>
    </xf>
    <xf numFmtId="0" fontId="0" fillId="84" borderId="36" xfId="0" applyFill="1" applyBorder="1" applyAlignment="1">
      <alignment horizontal="center" vertical="center" wrapText="1"/>
    </xf>
    <xf numFmtId="0" fontId="112" fillId="84" borderId="34" xfId="0" applyFont="1" applyFill="1" applyBorder="1" applyAlignment="1">
      <alignment horizontal="center" vertical="center"/>
    </xf>
    <xf numFmtId="0" fontId="112" fillId="84" borderId="27" xfId="0" applyFont="1" applyFill="1" applyBorder="1" applyAlignment="1">
      <alignment horizontal="center" vertical="center"/>
    </xf>
    <xf numFmtId="0" fontId="112" fillId="84" borderId="29" xfId="0" applyFont="1" applyFill="1" applyBorder="1" applyAlignment="1">
      <alignment horizontal="center" vertical="center"/>
    </xf>
    <xf numFmtId="0" fontId="112" fillId="84" borderId="30" xfId="0" applyFont="1" applyFill="1" applyBorder="1" applyAlignment="1">
      <alignment horizontal="center" vertical="center"/>
    </xf>
    <xf numFmtId="0" fontId="112" fillId="84" borderId="0" xfId="0" applyFont="1" applyFill="1" applyAlignment="1">
      <alignment horizontal="center" vertical="center"/>
    </xf>
    <xf numFmtId="0" fontId="112" fillId="84" borderId="31" xfId="0" applyFont="1" applyFill="1" applyBorder="1" applyAlignment="1">
      <alignment horizontal="center" vertical="center"/>
    </xf>
    <xf numFmtId="0" fontId="112" fillId="84" borderId="39" xfId="0" applyFont="1" applyFill="1" applyBorder="1" applyAlignment="1">
      <alignment horizontal="center" vertical="center"/>
    </xf>
    <xf numFmtId="0" fontId="112" fillId="84" borderId="25" xfId="0" applyFont="1" applyFill="1" applyBorder="1" applyAlignment="1">
      <alignment horizontal="center" vertical="center"/>
    </xf>
    <xf numFmtId="0" fontId="112" fillId="84" borderId="40" xfId="0" applyFont="1" applyFill="1" applyBorder="1" applyAlignment="1">
      <alignment horizontal="center" vertical="center"/>
    </xf>
    <xf numFmtId="0" fontId="92" fillId="84" borderId="0" xfId="0" applyFont="1" applyFill="1" applyAlignment="1" applyProtection="1">
      <alignment horizontal="center" vertical="center"/>
      <protection locked="0"/>
    </xf>
    <xf numFmtId="0" fontId="0" fillId="84" borderId="36" xfId="0" applyFill="1" applyBorder="1" applyAlignment="1">
      <alignment horizontal="center" vertical="center"/>
    </xf>
    <xf numFmtId="0" fontId="109" fillId="84" borderId="34" xfId="131" applyFont="1" applyFill="1" applyBorder="1" applyAlignment="1">
      <alignment horizontal="center" vertical="center" wrapText="1"/>
    </xf>
    <xf numFmtId="0" fontId="109" fillId="84" borderId="29" xfId="131" applyFont="1" applyFill="1" applyBorder="1" applyAlignment="1">
      <alignment horizontal="center" vertical="center" wrapText="1"/>
    </xf>
    <xf numFmtId="0" fontId="109" fillId="84" borderId="30" xfId="131" applyFont="1" applyFill="1" applyBorder="1" applyAlignment="1">
      <alignment horizontal="center" vertical="center" wrapText="1"/>
    </xf>
    <xf numFmtId="0" fontId="109" fillId="84" borderId="31" xfId="131" applyFont="1" applyFill="1" applyBorder="1" applyAlignment="1">
      <alignment horizontal="center" vertical="center" wrapText="1"/>
    </xf>
    <xf numFmtId="0" fontId="109" fillId="84" borderId="39" xfId="131" applyFont="1" applyFill="1" applyBorder="1" applyAlignment="1">
      <alignment horizontal="center" vertical="center" wrapText="1"/>
    </xf>
    <xf numFmtId="0" fontId="109" fillId="84" borderId="40" xfId="131" applyFont="1" applyFill="1" applyBorder="1" applyAlignment="1">
      <alignment horizontal="center" vertical="center" wrapText="1"/>
    </xf>
    <xf numFmtId="0" fontId="37" fillId="84" borderId="0" xfId="141" applyFont="1" applyFill="1" applyAlignment="1">
      <alignment horizontal="right" vertical="center" shrinkToFit="1"/>
    </xf>
    <xf numFmtId="0" fontId="110" fillId="84" borderId="51" xfId="141" applyFont="1" applyFill="1" applyBorder="1" applyAlignment="1">
      <alignment horizontal="center" vertical="center" wrapText="1" shrinkToFit="1"/>
    </xf>
    <xf numFmtId="0" fontId="110" fillId="84" borderId="0" xfId="141" applyFont="1" applyFill="1" applyAlignment="1">
      <alignment horizontal="center" vertical="center" wrapText="1" shrinkToFit="1"/>
    </xf>
    <xf numFmtId="0" fontId="37" fillId="84" borderId="0" xfId="141" applyFont="1" applyFill="1" applyAlignment="1">
      <alignment horizontal="left" vertical="center" shrinkToFit="1"/>
    </xf>
    <xf numFmtId="0" fontId="86" fillId="84" borderId="51" xfId="141" applyFont="1" applyFill="1" applyBorder="1" applyAlignment="1">
      <alignment horizontal="center" vertical="center" shrinkToFit="1"/>
    </xf>
    <xf numFmtId="0" fontId="86" fillId="84" borderId="0" xfId="141" applyFont="1" applyFill="1" applyAlignment="1">
      <alignment horizontal="center" vertical="center" shrinkToFit="1"/>
    </xf>
    <xf numFmtId="0" fontId="70" fillId="84" borderId="47" xfId="0" applyFont="1" applyFill="1" applyBorder="1" applyAlignment="1">
      <alignment horizontal="center" vertical="center" wrapText="1"/>
    </xf>
    <xf numFmtId="0" fontId="70" fillId="84" borderId="50" xfId="0" applyFont="1" applyFill="1" applyBorder="1" applyAlignment="1">
      <alignment horizontal="center" vertical="center" wrapText="1"/>
    </xf>
    <xf numFmtId="0" fontId="70" fillId="84" borderId="0" xfId="0" applyFont="1" applyFill="1" applyAlignment="1">
      <alignment horizontal="center" vertical="center"/>
    </xf>
    <xf numFmtId="0" fontId="101" fillId="84" borderId="47" xfId="0" applyFont="1" applyFill="1" applyBorder="1" applyAlignment="1">
      <alignment horizontal="center" vertical="center" wrapText="1"/>
    </xf>
    <xf numFmtId="0" fontId="101" fillId="84" borderId="48" xfId="0" applyFont="1" applyFill="1" applyBorder="1" applyAlignment="1">
      <alignment horizontal="center" vertical="center" wrapText="1"/>
    </xf>
    <xf numFmtId="0" fontId="101" fillId="84" borderId="50" xfId="0" applyFont="1" applyFill="1" applyBorder="1" applyAlignment="1">
      <alignment horizontal="center" vertical="center" wrapText="1"/>
    </xf>
    <xf numFmtId="0" fontId="92" fillId="84" borderId="49" xfId="0" applyFont="1" applyFill="1" applyBorder="1" applyAlignment="1" applyProtection="1">
      <alignment horizontal="center" vertical="center"/>
      <protection locked="0"/>
    </xf>
    <xf numFmtId="0" fontId="0" fillId="84" borderId="0" xfId="0" applyFill="1" applyAlignment="1">
      <alignment horizontal="center" vertical="center"/>
    </xf>
    <xf numFmtId="0" fontId="103" fillId="84" borderId="0" xfId="0" applyFont="1" applyFill="1" applyAlignment="1">
      <alignment horizontal="center" vertical="center" shrinkToFit="1"/>
    </xf>
    <xf numFmtId="0" fontId="61" fillId="79" borderId="4" xfId="177" applyFont="1" applyFill="1" applyBorder="1" applyAlignment="1">
      <alignment horizontal="center" vertical="center"/>
    </xf>
    <xf numFmtId="0" fontId="61" fillId="79" borderId="24" xfId="177" applyFont="1" applyFill="1" applyBorder="1" applyAlignment="1">
      <alignment horizontal="center" vertical="center"/>
    </xf>
    <xf numFmtId="0" fontId="61" fillId="79" borderId="5" xfId="177" applyFont="1" applyFill="1" applyBorder="1" applyAlignment="1">
      <alignment horizontal="center" vertical="center"/>
    </xf>
    <xf numFmtId="0" fontId="82" fillId="84" borderId="34" xfId="177" applyFont="1" applyFill="1" applyBorder="1" applyAlignment="1">
      <alignment horizontal="center" vertical="center" wrapText="1"/>
    </xf>
    <xf numFmtId="0" fontId="82" fillId="84" borderId="27" xfId="177" applyFont="1" applyFill="1" applyBorder="1" applyAlignment="1">
      <alignment horizontal="center" vertical="center" wrapText="1"/>
    </xf>
    <xf numFmtId="0" fontId="82" fillId="84" borderId="29" xfId="177" applyFont="1" applyFill="1" applyBorder="1" applyAlignment="1">
      <alignment horizontal="center" vertical="center" wrapText="1"/>
    </xf>
    <xf numFmtId="0" fontId="82" fillId="84" borderId="30" xfId="177" applyFont="1" applyFill="1" applyBorder="1" applyAlignment="1">
      <alignment horizontal="center" vertical="center" wrapText="1"/>
    </xf>
    <xf numFmtId="0" fontId="82" fillId="84" borderId="0" xfId="177" applyFont="1" applyFill="1" applyAlignment="1">
      <alignment horizontal="center" vertical="center" wrapText="1"/>
    </xf>
    <xf numFmtId="0" fontId="82" fillId="84" borderId="31" xfId="177" applyFont="1" applyFill="1" applyBorder="1" applyAlignment="1">
      <alignment horizontal="center" vertical="center" wrapText="1"/>
    </xf>
    <xf numFmtId="0" fontId="82" fillId="84" borderId="39" xfId="177" applyFont="1" applyFill="1" applyBorder="1" applyAlignment="1">
      <alignment horizontal="center" vertical="center" wrapText="1"/>
    </xf>
    <xf numFmtId="0" fontId="82" fillId="84" borderId="25" xfId="177" applyFont="1" applyFill="1" applyBorder="1" applyAlignment="1">
      <alignment horizontal="center" vertical="center" wrapText="1"/>
    </xf>
    <xf numFmtId="0" fontId="82" fillId="84" borderId="40" xfId="177" applyFont="1" applyFill="1" applyBorder="1" applyAlignment="1">
      <alignment horizontal="center" vertical="center" wrapText="1"/>
    </xf>
    <xf numFmtId="0" fontId="55" fillId="35" borderId="0" xfId="138" applyFont="1" applyFill="1" applyAlignment="1">
      <alignment horizontal="center" vertical="center" shrinkToFit="1"/>
    </xf>
    <xf numFmtId="0" fontId="55" fillId="35" borderId="31" xfId="138" applyFont="1" applyFill="1" applyBorder="1" applyAlignment="1">
      <alignment horizontal="center" vertical="center" shrinkToFit="1"/>
    </xf>
    <xf numFmtId="0" fontId="117" fillId="35" borderId="0" xfId="142" applyFont="1" applyFill="1" applyAlignment="1" applyProtection="1">
      <alignment horizontal="center" vertical="center" wrapText="1" shrinkToFit="1"/>
    </xf>
    <xf numFmtId="0" fontId="120" fillId="0" borderId="34" xfId="0" applyFont="1" applyBorder="1" applyAlignment="1">
      <alignment horizontal="center" vertical="center" wrapText="1"/>
    </xf>
    <xf numFmtId="0" fontId="120" fillId="0" borderId="29" xfId="0" applyFont="1" applyBorder="1" applyAlignment="1">
      <alignment horizontal="center" vertical="center" wrapText="1"/>
    </xf>
    <xf numFmtId="0" fontId="120" fillId="0" borderId="30" xfId="0" applyFont="1" applyBorder="1" applyAlignment="1">
      <alignment horizontal="center" vertical="center" wrapText="1"/>
    </xf>
    <xf numFmtId="0" fontId="120" fillId="0" borderId="31" xfId="0" applyFont="1" applyBorder="1" applyAlignment="1">
      <alignment horizontal="center" vertical="center" wrapText="1"/>
    </xf>
    <xf numFmtId="0" fontId="120" fillId="0" borderId="39" xfId="0" applyFont="1" applyBorder="1" applyAlignment="1">
      <alignment horizontal="center" vertical="center" wrapText="1"/>
    </xf>
    <xf numFmtId="0" fontId="120" fillId="0" borderId="40" xfId="0" applyFont="1" applyBorder="1" applyAlignment="1">
      <alignment horizontal="center" vertical="center" wrapText="1"/>
    </xf>
    <xf numFmtId="0" fontId="114" fillId="35" borderId="34" xfId="177" applyFont="1" applyFill="1" applyBorder="1" applyAlignment="1">
      <alignment horizontal="center" vertical="center"/>
    </xf>
    <xf numFmtId="0" fontId="114" fillId="35" borderId="27" xfId="177" applyFont="1" applyFill="1" applyBorder="1" applyAlignment="1">
      <alignment horizontal="center" vertical="center"/>
    </xf>
    <xf numFmtId="0" fontId="114" fillId="35" borderId="29" xfId="177" applyFont="1" applyFill="1" applyBorder="1" applyAlignment="1">
      <alignment horizontal="center" vertical="center"/>
    </xf>
    <xf numFmtId="0" fontId="114" fillId="35" borderId="30" xfId="177" applyFont="1" applyFill="1" applyBorder="1" applyAlignment="1">
      <alignment horizontal="center" vertical="center"/>
    </xf>
    <xf numFmtId="0" fontId="114" fillId="35" borderId="0" xfId="177" applyFont="1" applyFill="1" applyAlignment="1">
      <alignment horizontal="center" vertical="center"/>
    </xf>
    <xf numFmtId="0" fontId="114" fillId="35" borderId="31" xfId="177" applyFont="1" applyFill="1" applyBorder="1" applyAlignment="1">
      <alignment horizontal="center" vertical="center"/>
    </xf>
    <xf numFmtId="0" fontId="114" fillId="35" borderId="39" xfId="177" applyFont="1" applyFill="1" applyBorder="1" applyAlignment="1">
      <alignment horizontal="center" vertical="center"/>
    </xf>
    <xf numFmtId="0" fontId="114" fillId="35" borderId="25" xfId="177" applyFont="1" applyFill="1" applyBorder="1" applyAlignment="1">
      <alignment horizontal="center" vertical="center"/>
    </xf>
    <xf numFmtId="0" fontId="114" fillId="35" borderId="40" xfId="177" applyFont="1" applyFill="1" applyBorder="1" applyAlignment="1">
      <alignment horizontal="center" vertical="center"/>
    </xf>
    <xf numFmtId="0" fontId="83" fillId="35" borderId="30" xfId="0" applyFont="1" applyFill="1" applyBorder="1" applyAlignment="1">
      <alignment horizontal="center" vertical="center"/>
    </xf>
    <xf numFmtId="0" fontId="83" fillId="35" borderId="0" xfId="0" applyFont="1" applyFill="1" applyAlignment="1">
      <alignment horizontal="center" vertical="center"/>
    </xf>
    <xf numFmtId="0" fontId="123" fillId="0" borderId="36" xfId="0" applyFont="1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92" fillId="35" borderId="0" xfId="0" applyFont="1" applyFill="1" applyAlignment="1">
      <alignment horizontal="center" vertical="center"/>
    </xf>
    <xf numFmtId="0" fontId="115" fillId="35" borderId="48" xfId="0" applyFont="1" applyFill="1" applyBorder="1" applyAlignment="1">
      <alignment horizontal="center" vertical="center" wrapText="1"/>
    </xf>
    <xf numFmtId="0" fontId="115" fillId="35" borderId="50" xfId="0" applyFont="1" applyFill="1" applyBorder="1" applyAlignment="1">
      <alignment horizontal="center" vertical="center" wrapText="1"/>
    </xf>
    <xf numFmtId="0" fontId="116" fillId="0" borderId="34" xfId="0" applyFont="1" applyBorder="1" applyAlignment="1">
      <alignment horizontal="center" vertical="center"/>
    </xf>
    <xf numFmtId="0" fontId="116" fillId="0" borderId="27" xfId="0" applyFont="1" applyBorder="1" applyAlignment="1">
      <alignment horizontal="center" vertical="center"/>
    </xf>
    <xf numFmtId="0" fontId="116" fillId="0" borderId="29" xfId="0" applyFont="1" applyBorder="1" applyAlignment="1">
      <alignment horizontal="center" vertical="center"/>
    </xf>
    <xf numFmtId="0" fontId="116" fillId="0" borderId="30" xfId="0" applyFont="1" applyBorder="1" applyAlignment="1">
      <alignment horizontal="center" vertical="center"/>
    </xf>
    <xf numFmtId="0" fontId="116" fillId="0" borderId="0" xfId="0" applyFont="1" applyAlignment="1">
      <alignment horizontal="center" vertical="center"/>
    </xf>
    <xf numFmtId="0" fontId="116" fillId="0" borderId="31" xfId="0" applyFont="1" applyBorder="1" applyAlignment="1">
      <alignment horizontal="center" vertical="center"/>
    </xf>
    <xf numFmtId="0" fontId="116" fillId="0" borderId="39" xfId="0" applyFont="1" applyBorder="1" applyAlignment="1">
      <alignment horizontal="center" vertical="center"/>
    </xf>
    <xf numFmtId="0" fontId="116" fillId="0" borderId="25" xfId="0" applyFont="1" applyBorder="1" applyAlignment="1">
      <alignment horizontal="center" vertical="center"/>
    </xf>
    <xf numFmtId="0" fontId="116" fillId="0" borderId="40" xfId="0" applyFont="1" applyBorder="1" applyAlignment="1">
      <alignment horizontal="center" vertical="center"/>
    </xf>
    <xf numFmtId="0" fontId="117" fillId="35" borderId="0" xfId="142" applyFont="1" applyFill="1" applyAlignment="1" applyProtection="1">
      <alignment horizontal="center" vertical="center" shrinkToFit="1"/>
    </xf>
    <xf numFmtId="0" fontId="103" fillId="35" borderId="0" xfId="0" applyFont="1" applyFill="1" applyAlignment="1" applyProtection="1">
      <alignment horizontal="center" vertical="center"/>
      <protection locked="0"/>
    </xf>
    <xf numFmtId="0" fontId="51" fillId="35" borderId="0" xfId="0" applyFont="1" applyFill="1" applyAlignment="1">
      <alignment horizontal="center" vertical="center"/>
    </xf>
    <xf numFmtId="0" fontId="0" fillId="0" borderId="36" xfId="0" applyBorder="1" applyAlignment="1">
      <alignment horizontal="center" vertical="center" wrapText="1"/>
    </xf>
    <xf numFmtId="0" fontId="112" fillId="0" borderId="34" xfId="0" applyFont="1" applyBorder="1" applyAlignment="1">
      <alignment horizontal="center" vertical="center"/>
    </xf>
    <xf numFmtId="0" fontId="112" fillId="0" borderId="27" xfId="0" applyFont="1" applyBorder="1" applyAlignment="1">
      <alignment horizontal="center" vertical="center"/>
    </xf>
    <xf numFmtId="0" fontId="112" fillId="0" borderId="29" xfId="0" applyFont="1" applyBorder="1" applyAlignment="1">
      <alignment horizontal="center" vertical="center"/>
    </xf>
    <xf numFmtId="0" fontId="112" fillId="0" borderId="30" xfId="0" applyFont="1" applyBorder="1" applyAlignment="1">
      <alignment horizontal="center" vertical="center"/>
    </xf>
    <xf numFmtId="0" fontId="112" fillId="0" borderId="0" xfId="0" applyFont="1" applyAlignment="1">
      <alignment horizontal="center" vertical="center"/>
    </xf>
    <xf numFmtId="0" fontId="112" fillId="0" borderId="31" xfId="0" applyFont="1" applyBorder="1" applyAlignment="1">
      <alignment horizontal="center" vertical="center"/>
    </xf>
    <xf numFmtId="0" fontId="112" fillId="0" borderId="39" xfId="0" applyFont="1" applyBorder="1" applyAlignment="1">
      <alignment horizontal="center" vertical="center"/>
    </xf>
    <xf numFmtId="0" fontId="112" fillId="0" borderId="25" xfId="0" applyFont="1" applyBorder="1" applyAlignment="1">
      <alignment horizontal="center" vertical="center"/>
    </xf>
    <xf numFmtId="0" fontId="112" fillId="0" borderId="40" xfId="0" applyFont="1" applyBorder="1" applyAlignment="1">
      <alignment horizontal="center" vertical="center"/>
    </xf>
    <xf numFmtId="0" fontId="92" fillId="35" borderId="0" xfId="0" applyFont="1" applyFill="1" applyAlignment="1" applyProtection="1">
      <alignment horizontal="center" vertical="center"/>
      <protection locked="0"/>
    </xf>
    <xf numFmtId="0" fontId="0" fillId="0" borderId="36" xfId="0" applyBorder="1" applyAlignment="1">
      <alignment horizontal="center" vertical="center"/>
    </xf>
    <xf numFmtId="0" fontId="109" fillId="35" borderId="34" xfId="131" applyFont="1" applyFill="1" applyBorder="1" applyAlignment="1">
      <alignment horizontal="center" vertical="center" wrapText="1"/>
    </xf>
    <xf numFmtId="0" fontId="109" fillId="35" borderId="29" xfId="131" applyFont="1" applyFill="1" applyBorder="1" applyAlignment="1">
      <alignment horizontal="center" vertical="center" wrapText="1"/>
    </xf>
    <xf numFmtId="0" fontId="109" fillId="35" borderId="30" xfId="131" applyFont="1" applyFill="1" applyBorder="1" applyAlignment="1">
      <alignment horizontal="center" vertical="center" wrapText="1"/>
    </xf>
    <xf numFmtId="0" fontId="109" fillId="35" borderId="31" xfId="131" applyFont="1" applyFill="1" applyBorder="1" applyAlignment="1">
      <alignment horizontal="center" vertical="center" wrapText="1"/>
    </xf>
    <xf numFmtId="0" fontId="109" fillId="35" borderId="39" xfId="131" applyFont="1" applyFill="1" applyBorder="1" applyAlignment="1">
      <alignment horizontal="center" vertical="center" wrapText="1"/>
    </xf>
    <xf numFmtId="0" fontId="109" fillId="35" borderId="40" xfId="131" applyFont="1" applyFill="1" applyBorder="1" applyAlignment="1">
      <alignment horizontal="center" vertical="center" wrapText="1"/>
    </xf>
    <xf numFmtId="0" fontId="37" fillId="0" borderId="0" xfId="141" applyFont="1" applyAlignment="1">
      <alignment horizontal="right" vertical="center" shrinkToFit="1"/>
    </xf>
    <xf numFmtId="0" fontId="110" fillId="127" borderId="51" xfId="141" applyFont="1" applyFill="1" applyBorder="1" applyAlignment="1">
      <alignment horizontal="center" vertical="center" wrapText="1" shrinkToFit="1"/>
    </xf>
    <xf numFmtId="0" fontId="110" fillId="127" borderId="0" xfId="141" applyFont="1" applyFill="1" applyAlignment="1">
      <alignment horizontal="center" vertical="center" wrapText="1" shrinkToFit="1"/>
    </xf>
    <xf numFmtId="0" fontId="37" fillId="0" borderId="0" xfId="141" applyFont="1" applyAlignment="1">
      <alignment horizontal="left" vertical="center" shrinkToFit="1"/>
    </xf>
    <xf numFmtId="0" fontId="86" fillId="127" borderId="51" xfId="141" applyFont="1" applyFill="1" applyBorder="1" applyAlignment="1">
      <alignment horizontal="center" vertical="center" shrinkToFit="1"/>
    </xf>
    <xf numFmtId="0" fontId="86" fillId="127" borderId="0" xfId="141" applyFont="1" applyFill="1" applyAlignment="1">
      <alignment horizontal="center" vertical="center" shrinkToFit="1"/>
    </xf>
    <xf numFmtId="0" fontId="70" fillId="35" borderId="0" xfId="0" applyFont="1" applyFill="1" applyAlignment="1">
      <alignment horizontal="center" vertical="center"/>
    </xf>
    <xf numFmtId="0" fontId="101" fillId="35" borderId="47" xfId="0" applyFont="1" applyFill="1" applyBorder="1" applyAlignment="1">
      <alignment horizontal="center" vertical="center" wrapText="1"/>
    </xf>
    <xf numFmtId="0" fontId="101" fillId="35" borderId="48" xfId="0" applyFont="1" applyFill="1" applyBorder="1" applyAlignment="1">
      <alignment horizontal="center" vertical="center" wrapText="1"/>
    </xf>
    <xf numFmtId="0" fontId="101" fillId="35" borderId="50" xfId="0" applyFont="1" applyFill="1" applyBorder="1" applyAlignment="1">
      <alignment horizontal="center" vertical="center" wrapText="1"/>
    </xf>
    <xf numFmtId="0" fontId="92" fillId="35" borderId="49" xfId="0" applyFont="1" applyFill="1" applyBorder="1" applyAlignment="1" applyProtection="1">
      <alignment horizontal="center" vertical="center"/>
      <protection locked="0"/>
    </xf>
    <xf numFmtId="0" fontId="0" fillId="0" borderId="0" xfId="0" applyAlignment="1">
      <alignment horizontal="center" vertical="center"/>
    </xf>
    <xf numFmtId="0" fontId="103" fillId="35" borderId="0" xfId="0" applyFont="1" applyFill="1" applyAlignment="1">
      <alignment horizontal="center" vertical="center" shrinkToFit="1"/>
    </xf>
    <xf numFmtId="0" fontId="82" fillId="103" borderId="34" xfId="177" applyFont="1" applyFill="1" applyBorder="1" applyAlignment="1">
      <alignment horizontal="center" vertical="center" wrapText="1"/>
    </xf>
    <xf numFmtId="0" fontId="82" fillId="103" borderId="27" xfId="177" applyFont="1" applyFill="1" applyBorder="1" applyAlignment="1">
      <alignment horizontal="center" vertical="center" wrapText="1"/>
    </xf>
    <xf numFmtId="0" fontId="82" fillId="103" borderId="29" xfId="177" applyFont="1" applyFill="1" applyBorder="1" applyAlignment="1">
      <alignment horizontal="center" vertical="center" wrapText="1"/>
    </xf>
    <xf numFmtId="0" fontId="82" fillId="103" borderId="30" xfId="177" applyFont="1" applyFill="1" applyBorder="1" applyAlignment="1">
      <alignment horizontal="center" vertical="center" wrapText="1"/>
    </xf>
    <xf numFmtId="0" fontId="82" fillId="103" borderId="0" xfId="177" applyFont="1" applyFill="1" applyAlignment="1">
      <alignment horizontal="center" vertical="center" wrapText="1"/>
    </xf>
    <xf numFmtId="0" fontId="82" fillId="103" borderId="31" xfId="177" applyFont="1" applyFill="1" applyBorder="1" applyAlignment="1">
      <alignment horizontal="center" vertical="center" wrapText="1"/>
    </xf>
    <xf numFmtId="0" fontId="82" fillId="103" borderId="39" xfId="177" applyFont="1" applyFill="1" applyBorder="1" applyAlignment="1">
      <alignment horizontal="center" vertical="center" wrapText="1"/>
    </xf>
    <xf numFmtId="0" fontId="82" fillId="103" borderId="25" xfId="177" applyFont="1" applyFill="1" applyBorder="1" applyAlignment="1">
      <alignment horizontal="center" vertical="center" wrapText="1"/>
    </xf>
    <xf numFmtId="0" fontId="82" fillId="103" borderId="40" xfId="177" applyFont="1" applyFill="1" applyBorder="1" applyAlignment="1">
      <alignment horizontal="center" vertical="center" wrapText="1"/>
    </xf>
    <xf numFmtId="0" fontId="55" fillId="84" borderId="0" xfId="138" applyFont="1" applyFill="1" applyAlignment="1">
      <alignment horizontal="center" vertical="center" shrinkToFit="1"/>
    </xf>
    <xf numFmtId="0" fontId="55" fillId="84" borderId="31" xfId="138" applyFont="1" applyFill="1" applyBorder="1" applyAlignment="1">
      <alignment horizontal="center" vertical="center" shrinkToFit="1"/>
    </xf>
    <xf numFmtId="173" fontId="61" fillId="79" borderId="4" xfId="177" applyNumberFormat="1" applyFont="1" applyFill="1" applyBorder="1" applyAlignment="1">
      <alignment horizontal="center" vertical="center"/>
    </xf>
    <xf numFmtId="173" fontId="61" fillId="79" borderId="24" xfId="177" applyNumberFormat="1" applyFont="1" applyFill="1" applyBorder="1" applyAlignment="1">
      <alignment horizontal="center" vertical="center"/>
    </xf>
    <xf numFmtId="173" fontId="61" fillId="79" borderId="5" xfId="177" applyNumberFormat="1" applyFont="1" applyFill="1" applyBorder="1" applyAlignment="1">
      <alignment horizontal="center" vertical="center"/>
    </xf>
    <xf numFmtId="173" fontId="23" fillId="0" borderId="0" xfId="0" applyNumberFormat="1" applyFont="1" applyAlignment="1">
      <alignment horizontal="center" vertical="center"/>
    </xf>
    <xf numFmtId="173" fontId="0" fillId="0" borderId="0" xfId="0" applyNumberFormat="1"/>
    <xf numFmtId="173" fontId="62" fillId="0" borderId="0" xfId="177" applyNumberFormat="1" applyFont="1" applyAlignment="1">
      <alignment horizontal="center" vertical="center"/>
    </xf>
    <xf numFmtId="173" fontId="62" fillId="0" borderId="0" xfId="177" applyNumberFormat="1" applyFont="1" applyAlignment="1">
      <alignment vertical="center"/>
    </xf>
    <xf numFmtId="173" fontId="63" fillId="84" borderId="25" xfId="0" applyNumberFormat="1" applyFont="1" applyFill="1" applyBorder="1" applyAlignment="1">
      <alignment horizontal="center" vertical="center"/>
    </xf>
    <xf numFmtId="173" fontId="62" fillId="0" borderId="25" xfId="177" applyNumberFormat="1" applyFont="1" applyBorder="1" applyAlignment="1">
      <alignment horizontal="center" vertical="center"/>
    </xf>
    <xf numFmtId="173" fontId="0" fillId="0" borderId="25" xfId="0" applyNumberFormat="1" applyBorder="1" applyAlignment="1">
      <alignment vertical="center"/>
    </xf>
    <xf numFmtId="173" fontId="64" fillId="0" borderId="25" xfId="0" applyNumberFormat="1" applyFont="1" applyBorder="1" applyAlignment="1" applyProtection="1">
      <alignment vertical="center"/>
      <protection locked="0"/>
    </xf>
    <xf numFmtId="173" fontId="2" fillId="0" borderId="25" xfId="177" applyNumberFormat="1" applyBorder="1" applyAlignment="1">
      <alignment horizontal="center" vertical="center"/>
    </xf>
    <xf numFmtId="173" fontId="2" fillId="0" borderId="0" xfId="177" applyNumberFormat="1" applyAlignment="1">
      <alignment horizontal="center" vertical="center"/>
    </xf>
    <xf numFmtId="173" fontId="65" fillId="84" borderId="1" xfId="138" applyNumberFormat="1" applyFont="1" applyFill="1" applyBorder="1" applyAlignment="1">
      <alignment horizontal="center" vertical="center" shrinkToFit="1"/>
    </xf>
    <xf numFmtId="173" fontId="0" fillId="84" borderId="0" xfId="0" applyNumberFormat="1" applyFill="1" applyAlignment="1">
      <alignment vertical="center"/>
    </xf>
    <xf numFmtId="173" fontId="0" fillId="0" borderId="0" xfId="0" applyNumberFormat="1" applyAlignment="1">
      <alignment vertical="center"/>
    </xf>
    <xf numFmtId="173" fontId="66" fillId="295" borderId="2" xfId="138" applyNumberFormat="1" applyFont="1" applyFill="1" applyBorder="1" applyAlignment="1">
      <alignment horizontal="center" vertical="center" shrinkToFit="1"/>
    </xf>
    <xf numFmtId="173" fontId="66" fillId="84" borderId="2" xfId="138" applyNumberFormat="1" applyFont="1" applyFill="1" applyBorder="1" applyAlignment="1">
      <alignment horizontal="center" vertical="center" shrinkToFit="1"/>
    </xf>
    <xf numFmtId="173" fontId="67" fillId="296" borderId="2" xfId="138" applyNumberFormat="1" applyFont="1" applyFill="1" applyBorder="1" applyAlignment="1">
      <alignment horizontal="center" vertical="center" shrinkToFit="1"/>
    </xf>
    <xf numFmtId="173" fontId="66" fillId="297" borderId="2" xfId="138" applyNumberFormat="1" applyFont="1" applyFill="1" applyBorder="1" applyAlignment="1">
      <alignment horizontal="center" vertical="center" shrinkToFit="1"/>
    </xf>
    <xf numFmtId="173" fontId="66" fillId="298" borderId="2" xfId="138" applyNumberFormat="1" applyFont="1" applyFill="1" applyBorder="1" applyAlignment="1">
      <alignment horizontal="center" vertical="center" shrinkToFit="1"/>
    </xf>
    <xf numFmtId="173" fontId="67" fillId="299" borderId="26" xfId="138" applyNumberFormat="1" applyFont="1" applyFill="1" applyBorder="1" applyAlignment="1">
      <alignment horizontal="center" vertical="center" shrinkToFit="1"/>
    </xf>
    <xf numFmtId="173" fontId="0" fillId="81" borderId="0" xfId="0" applyNumberFormat="1" applyFill="1" applyAlignment="1">
      <alignment vertical="center"/>
    </xf>
    <xf numFmtId="173" fontId="2" fillId="116" borderId="27" xfId="0" applyNumberFormat="1" applyFont="1" applyFill="1" applyBorder="1" applyAlignment="1">
      <alignment horizontal="center" vertical="center"/>
    </xf>
    <xf numFmtId="173" fontId="31" fillId="0" borderId="28" xfId="0" applyNumberFormat="1" applyFont="1" applyBorder="1" applyAlignment="1">
      <alignment horizontal="center" vertical="center"/>
    </xf>
    <xf numFmtId="173" fontId="68" fillId="116" borderId="29" xfId="0" applyNumberFormat="1" applyFont="1" applyFill="1" applyBorder="1" applyAlignment="1">
      <alignment horizontal="center" vertical="center"/>
    </xf>
    <xf numFmtId="173" fontId="59" fillId="0" borderId="0" xfId="0" applyNumberFormat="1" applyFont="1" applyAlignment="1">
      <alignment horizontal="center" vertical="center"/>
    </xf>
    <xf numFmtId="173" fontId="49" fillId="0" borderId="0" xfId="177" applyNumberFormat="1" applyFont="1" applyAlignment="1">
      <alignment horizontal="center" vertical="center" wrapText="1"/>
    </xf>
    <xf numFmtId="173" fontId="23" fillId="0" borderId="30" xfId="0" applyNumberFormat="1" applyFont="1" applyBorder="1" applyAlignment="1">
      <alignment horizontal="center" vertical="center"/>
    </xf>
    <xf numFmtId="173" fontId="23" fillId="84" borderId="0" xfId="0" applyNumberFormat="1" applyFont="1" applyFill="1" applyAlignment="1">
      <alignment horizontal="center" vertical="center"/>
    </xf>
    <xf numFmtId="173" fontId="69" fillId="0" borderId="0" xfId="0" applyNumberFormat="1" applyFont="1" applyAlignment="1">
      <alignment vertical="center"/>
    </xf>
    <xf numFmtId="173" fontId="49" fillId="0" borderId="0" xfId="0" applyNumberFormat="1" applyFont="1" applyAlignment="1">
      <alignment horizontal="center" vertical="center"/>
    </xf>
    <xf numFmtId="173" fontId="70" fillId="81" borderId="0" xfId="0" applyNumberFormat="1" applyFont="1" applyFill="1" applyAlignment="1">
      <alignment horizontal="center" vertical="center"/>
    </xf>
    <xf numFmtId="173" fontId="68" fillId="116" borderId="0" xfId="0" applyNumberFormat="1" applyFont="1" applyFill="1" applyAlignment="1">
      <alignment horizontal="center" vertical="center"/>
    </xf>
    <xf numFmtId="173" fontId="71" fillId="81" borderId="31" xfId="177" applyNumberFormat="1" applyFont="1" applyFill="1" applyBorder="1" applyAlignment="1">
      <alignment horizontal="center" vertical="center"/>
    </xf>
    <xf numFmtId="173" fontId="72" fillId="84" borderId="0" xfId="177" applyNumberFormat="1" applyFont="1" applyFill="1" applyAlignment="1">
      <alignment horizontal="left" vertical="center"/>
    </xf>
    <xf numFmtId="173" fontId="49" fillId="84" borderId="0" xfId="177" applyNumberFormat="1" applyFont="1" applyFill="1" applyAlignment="1">
      <alignment horizontal="center" vertical="center"/>
    </xf>
    <xf numFmtId="173" fontId="49" fillId="0" borderId="0" xfId="177" applyNumberFormat="1" applyFont="1" applyAlignment="1">
      <alignment horizontal="center" vertical="center"/>
    </xf>
    <xf numFmtId="173" fontId="71" fillId="81" borderId="0" xfId="177" applyNumberFormat="1" applyFont="1" applyFill="1" applyAlignment="1">
      <alignment horizontal="center" vertical="center"/>
    </xf>
    <xf numFmtId="173" fontId="70" fillId="81" borderId="31" xfId="0" applyNumberFormat="1" applyFont="1" applyFill="1" applyBorder="1" applyAlignment="1">
      <alignment horizontal="center" vertical="center"/>
    </xf>
    <xf numFmtId="173" fontId="54" fillId="84" borderId="0" xfId="0" applyNumberFormat="1" applyFont="1" applyFill="1" applyAlignment="1">
      <alignment horizontal="center" vertical="center" shrinkToFit="1"/>
    </xf>
    <xf numFmtId="173" fontId="73" fillId="84" borderId="0" xfId="0" applyNumberFormat="1" applyFont="1" applyFill="1" applyAlignment="1">
      <alignment horizontal="center" vertical="center"/>
    </xf>
    <xf numFmtId="173" fontId="49" fillId="84" borderId="0" xfId="0" applyNumberFormat="1" applyFont="1" applyFill="1" applyAlignment="1">
      <alignment horizontal="center" vertical="center"/>
    </xf>
    <xf numFmtId="173" fontId="65" fillId="84" borderId="0" xfId="177" applyNumberFormat="1" applyFont="1" applyFill="1" applyAlignment="1">
      <alignment horizontal="center" vertical="center"/>
    </xf>
    <xf numFmtId="173" fontId="2" fillId="84" borderId="0" xfId="177" applyNumberFormat="1" applyFill="1" applyAlignment="1">
      <alignment horizontal="center" vertical="center"/>
    </xf>
    <xf numFmtId="173" fontId="71" fillId="81" borderId="0" xfId="177" applyNumberFormat="1" applyFont="1" applyFill="1" applyAlignment="1">
      <alignment horizontal="right" vertical="center"/>
    </xf>
    <xf numFmtId="173" fontId="35" fillId="95" borderId="32" xfId="0" applyNumberFormat="1" applyFont="1" applyFill="1" applyBorder="1" applyAlignment="1">
      <alignment horizontal="center" vertical="center"/>
    </xf>
    <xf numFmtId="173" fontId="63" fillId="84" borderId="0" xfId="0" applyNumberFormat="1" applyFont="1" applyFill="1" applyAlignment="1">
      <alignment horizontal="center" vertical="center"/>
    </xf>
    <xf numFmtId="173" fontId="74" fillId="84" borderId="0" xfId="0" applyNumberFormat="1" applyFont="1" applyFill="1" applyAlignment="1">
      <alignment horizontal="center" vertical="center"/>
    </xf>
    <xf numFmtId="173" fontId="75" fillId="84" borderId="0" xfId="0" applyNumberFormat="1" applyFont="1" applyFill="1" applyAlignment="1">
      <alignment horizontal="center" vertical="center"/>
    </xf>
    <xf numFmtId="173" fontId="76" fillId="84" borderId="0" xfId="118" applyNumberFormat="1" applyFont="1" applyFill="1" applyAlignment="1">
      <alignment horizontal="center" vertical="center"/>
    </xf>
    <xf numFmtId="173" fontId="77" fillId="84" borderId="0" xfId="0" applyNumberFormat="1" applyFont="1" applyFill="1" applyAlignment="1">
      <alignment horizontal="center" vertical="center"/>
    </xf>
    <xf numFmtId="173" fontId="78" fillId="293" borderId="1" xfId="131" applyNumberFormat="1" applyFont="1" applyFill="1" applyBorder="1" applyAlignment="1">
      <alignment horizontal="center"/>
    </xf>
    <xf numFmtId="173" fontId="79" fillId="84" borderId="1" xfId="0" applyNumberFormat="1" applyFont="1" applyFill="1" applyBorder="1" applyAlignment="1">
      <alignment horizontal="center" vertical="center"/>
    </xf>
    <xf numFmtId="173" fontId="80" fillId="103" borderId="0" xfId="131" applyNumberFormat="1" applyFont="1" applyFill="1" applyAlignment="1">
      <alignment horizontal="center" vertical="center"/>
    </xf>
    <xf numFmtId="173" fontId="81" fillId="84" borderId="1" xfId="131" applyNumberFormat="1" applyFont="1" applyFill="1" applyBorder="1" applyAlignment="1">
      <alignment horizontal="center" vertical="center"/>
    </xf>
    <xf numFmtId="173" fontId="39" fillId="97" borderId="33" xfId="0" applyNumberFormat="1" applyFont="1" applyFill="1" applyBorder="1" applyAlignment="1">
      <alignment horizontal="center" vertical="center"/>
    </xf>
    <xf numFmtId="173" fontId="82" fillId="84" borderId="34" xfId="177" applyNumberFormat="1" applyFont="1" applyFill="1" applyBorder="1" applyAlignment="1">
      <alignment horizontal="center" vertical="center" wrapText="1"/>
    </xf>
    <xf numFmtId="173" fontId="82" fillId="84" borderId="27" xfId="177" applyNumberFormat="1" applyFont="1" applyFill="1" applyBorder="1" applyAlignment="1">
      <alignment horizontal="center" vertical="center" wrapText="1"/>
    </xf>
    <xf numFmtId="173" fontId="82" fillId="84" borderId="29" xfId="177" applyNumberFormat="1" applyFont="1" applyFill="1" applyBorder="1" applyAlignment="1">
      <alignment horizontal="center" vertical="center" wrapText="1"/>
    </xf>
    <xf numFmtId="173" fontId="62" fillId="84" borderId="0" xfId="177" applyNumberFormat="1" applyFont="1" applyFill="1" applyAlignment="1">
      <alignment horizontal="left" vertical="center"/>
    </xf>
    <xf numFmtId="173" fontId="36" fillId="47" borderId="35" xfId="0" applyNumberFormat="1" applyFont="1" applyFill="1" applyBorder="1" applyAlignment="1">
      <alignment horizontal="center" vertical="center"/>
    </xf>
    <xf numFmtId="173" fontId="82" fillId="84" borderId="30" xfId="177" applyNumberFormat="1" applyFont="1" applyFill="1" applyBorder="1" applyAlignment="1">
      <alignment horizontal="center" vertical="center" wrapText="1"/>
    </xf>
    <xf numFmtId="173" fontId="82" fillId="84" borderId="0" xfId="177" applyNumberFormat="1" applyFont="1" applyFill="1" applyAlignment="1">
      <alignment horizontal="center" vertical="center" wrapText="1"/>
    </xf>
    <xf numFmtId="173" fontId="82" fillId="84" borderId="31" xfId="177" applyNumberFormat="1" applyFont="1" applyFill="1" applyBorder="1" applyAlignment="1">
      <alignment horizontal="center" vertical="center" wrapText="1"/>
    </xf>
    <xf numFmtId="173" fontId="59" fillId="84" borderId="0" xfId="0" applyNumberFormat="1" applyFont="1" applyFill="1" applyAlignment="1">
      <alignment horizontal="center" vertical="center"/>
    </xf>
    <xf numFmtId="173" fontId="37" fillId="84" borderId="0" xfId="141" applyNumberFormat="1" applyFont="1" applyFill="1" applyAlignment="1">
      <alignment horizontal="center" vertical="center" shrinkToFit="1"/>
    </xf>
    <xf numFmtId="173" fontId="35" fillId="71" borderId="1" xfId="250" applyNumberFormat="1" applyFont="1" applyFill="1" applyBorder="1" applyAlignment="1">
      <alignment horizontal="center" vertical="center"/>
    </xf>
    <xf numFmtId="173" fontId="83" fillId="84" borderId="0" xfId="0" applyNumberFormat="1" applyFont="1" applyFill="1" applyAlignment="1">
      <alignment horizontal="center" vertical="center"/>
    </xf>
    <xf numFmtId="173" fontId="83" fillId="84" borderId="0" xfId="0" applyNumberFormat="1" applyFont="1" applyFill="1" applyAlignment="1">
      <alignment horizontal="center" vertical="center"/>
    </xf>
    <xf numFmtId="173" fontId="56" fillId="84" borderId="0" xfId="138" applyNumberFormat="1" applyFont="1" applyFill="1" applyAlignment="1">
      <alignment horizontal="center" vertical="center" shrinkToFit="1"/>
    </xf>
    <xf numFmtId="173" fontId="36" fillId="37" borderId="1" xfId="0" applyNumberFormat="1" applyFont="1" applyFill="1" applyBorder="1" applyAlignment="1">
      <alignment horizontal="center" vertical="center"/>
    </xf>
    <xf numFmtId="173" fontId="51" fillId="84" borderId="0" xfId="0" applyNumberFormat="1" applyFont="1" applyFill="1" applyAlignment="1">
      <alignment horizontal="center" vertical="center"/>
    </xf>
    <xf numFmtId="173" fontId="0" fillId="84" borderId="0" xfId="0" applyNumberFormat="1" applyFill="1" applyAlignment="1">
      <alignment horizontal="center" vertical="center"/>
    </xf>
    <xf numFmtId="173" fontId="84" fillId="84" borderId="1" xfId="131" applyNumberFormat="1" applyFont="1" applyFill="1" applyBorder="1" applyAlignment="1">
      <alignment horizontal="center" vertical="center"/>
    </xf>
    <xf numFmtId="173" fontId="0" fillId="84" borderId="36" xfId="0" applyNumberFormat="1" applyFill="1" applyBorder="1" applyAlignment="1">
      <alignment horizontal="center" vertical="center"/>
    </xf>
    <xf numFmtId="173" fontId="44" fillId="92" borderId="15" xfId="0" applyNumberFormat="1" applyFont="1" applyFill="1" applyBorder="1" applyAlignment="1">
      <alignment horizontal="center" vertical="center"/>
    </xf>
    <xf numFmtId="173" fontId="81" fillId="84" borderId="37" xfId="131" applyNumberFormat="1" applyFont="1" applyFill="1" applyBorder="1" applyAlignment="1">
      <alignment horizontal="center" vertical="center"/>
    </xf>
    <xf numFmtId="173" fontId="39" fillId="97" borderId="32" xfId="0" applyNumberFormat="1" applyFont="1" applyFill="1" applyBorder="1" applyAlignment="1">
      <alignment horizontal="center" vertical="center"/>
    </xf>
    <xf numFmtId="173" fontId="85" fillId="84" borderId="0" xfId="0" applyNumberFormat="1" applyFont="1" applyFill="1" applyAlignment="1">
      <alignment horizontal="center" vertical="center"/>
    </xf>
    <xf numFmtId="173" fontId="37" fillId="84" borderId="0" xfId="141" applyNumberFormat="1" applyFont="1" applyFill="1" applyAlignment="1">
      <alignment horizontal="left" vertical="center" shrinkToFit="1"/>
    </xf>
    <xf numFmtId="173" fontId="0" fillId="84" borderId="0" xfId="0" applyNumberFormat="1" applyFill="1" applyAlignment="1">
      <alignment horizontal="right" vertical="center"/>
    </xf>
    <xf numFmtId="173" fontId="39" fillId="97" borderId="38" xfId="0" applyNumberFormat="1" applyFont="1" applyFill="1" applyBorder="1" applyAlignment="1">
      <alignment horizontal="center" vertical="center"/>
    </xf>
    <xf numFmtId="173" fontId="86" fillId="84" borderId="0" xfId="0" applyNumberFormat="1" applyFont="1" applyFill="1" applyAlignment="1">
      <alignment horizontal="center" vertical="center"/>
    </xf>
    <xf numFmtId="173" fontId="2" fillId="116" borderId="0" xfId="0" applyNumberFormat="1" applyFont="1" applyFill="1" applyAlignment="1">
      <alignment horizontal="center" vertical="center"/>
    </xf>
    <xf numFmtId="173" fontId="33" fillId="84" borderId="0" xfId="0" applyNumberFormat="1" applyFont="1" applyFill="1" applyAlignment="1">
      <alignment horizontal="center" vertical="center"/>
    </xf>
    <xf numFmtId="173" fontId="55" fillId="35" borderId="0" xfId="138" applyNumberFormat="1" applyFont="1" applyFill="1" applyAlignment="1">
      <alignment horizontal="center" vertical="center" shrinkToFit="1"/>
    </xf>
    <xf numFmtId="173" fontId="55" fillId="35" borderId="31" xfId="138" applyNumberFormat="1" applyFont="1" applyFill="1" applyBorder="1" applyAlignment="1">
      <alignment horizontal="center" vertical="center" shrinkToFit="1"/>
    </xf>
    <xf numFmtId="173" fontId="23" fillId="0" borderId="27" xfId="0" applyNumberFormat="1" applyFont="1" applyBorder="1" applyAlignment="1">
      <alignment horizontal="center" vertical="center"/>
    </xf>
    <xf numFmtId="173" fontId="23" fillId="0" borderId="29" xfId="0" applyNumberFormat="1" applyFont="1" applyBorder="1" applyAlignment="1">
      <alignment horizontal="center" vertical="center"/>
    </xf>
    <xf numFmtId="173" fontId="37" fillId="84" borderId="0" xfId="141" applyNumberFormat="1" applyFont="1" applyFill="1" applyAlignment="1">
      <alignment horizontal="right" vertical="center" shrinkToFit="1"/>
    </xf>
    <xf numFmtId="173" fontId="56" fillId="0" borderId="0" xfId="138" applyNumberFormat="1" applyFont="1" applyAlignment="1">
      <alignment horizontal="center" vertical="center" shrinkToFit="1"/>
    </xf>
    <xf numFmtId="173" fontId="87" fillId="81" borderId="0" xfId="0" applyNumberFormat="1" applyFont="1" applyFill="1" applyAlignment="1">
      <alignment horizontal="center" vertical="center"/>
    </xf>
    <xf numFmtId="173" fontId="23" fillId="0" borderId="31" xfId="0" applyNumberFormat="1" applyFont="1" applyBorder="1" applyAlignment="1">
      <alignment horizontal="center" vertical="center"/>
    </xf>
    <xf numFmtId="173" fontId="63" fillId="0" borderId="0" xfId="0" applyNumberFormat="1" applyFont="1" applyAlignment="1">
      <alignment horizontal="center" vertical="center"/>
    </xf>
    <xf numFmtId="173" fontId="75" fillId="122" borderId="0" xfId="0" applyNumberFormat="1" applyFont="1" applyFill="1" applyAlignment="1">
      <alignment horizontal="center" vertical="center"/>
    </xf>
    <xf numFmtId="173" fontId="82" fillId="84" borderId="39" xfId="177" applyNumberFormat="1" applyFont="1" applyFill="1" applyBorder="1" applyAlignment="1">
      <alignment horizontal="center" vertical="center" wrapText="1"/>
    </xf>
    <xf numFmtId="173" fontId="82" fillId="84" borderId="25" xfId="177" applyNumberFormat="1" applyFont="1" applyFill="1" applyBorder="1" applyAlignment="1">
      <alignment horizontal="center" vertical="center" wrapText="1"/>
    </xf>
    <xf numFmtId="173" fontId="82" fillId="84" borderId="40" xfId="177" applyNumberFormat="1" applyFont="1" applyFill="1" applyBorder="1" applyAlignment="1">
      <alignment horizontal="center" vertical="center" wrapText="1"/>
    </xf>
    <xf numFmtId="173" fontId="44" fillId="92" borderId="41" xfId="0" applyNumberFormat="1" applyFont="1" applyFill="1" applyBorder="1" applyAlignment="1">
      <alignment horizontal="center" vertical="center"/>
    </xf>
    <xf numFmtId="173" fontId="82" fillId="103" borderId="34" xfId="177" applyNumberFormat="1" applyFont="1" applyFill="1" applyBorder="1" applyAlignment="1">
      <alignment horizontal="center" vertical="center" wrapText="1"/>
    </xf>
    <xf numFmtId="173" fontId="82" fillId="103" borderId="0" xfId="177" applyNumberFormat="1" applyFont="1" applyFill="1" applyAlignment="1">
      <alignment horizontal="center" vertical="center" wrapText="1"/>
    </xf>
    <xf numFmtId="173" fontId="0" fillId="0" borderId="0" xfId="0" applyNumberFormat="1" applyAlignment="1">
      <alignment horizontal="center" vertical="center"/>
    </xf>
    <xf numFmtId="173" fontId="82" fillId="103" borderId="31" xfId="177" applyNumberFormat="1" applyFont="1" applyFill="1" applyBorder="1" applyAlignment="1">
      <alignment horizontal="center" vertical="center" wrapText="1"/>
    </xf>
    <xf numFmtId="173" fontId="88" fillId="84" borderId="0" xfId="0" applyNumberFormat="1" applyFont="1" applyFill="1" applyAlignment="1">
      <alignment horizontal="left" vertical="top"/>
    </xf>
    <xf numFmtId="173" fontId="37" fillId="84" borderId="0" xfId="0" applyNumberFormat="1" applyFont="1" applyFill="1" applyAlignment="1">
      <alignment horizontal="center" vertical="center" shrinkToFit="1"/>
    </xf>
    <xf numFmtId="173" fontId="33" fillId="35" borderId="0" xfId="0" applyNumberFormat="1" applyFont="1" applyFill="1" applyAlignment="1">
      <alignment horizontal="center" vertical="center"/>
    </xf>
    <xf numFmtId="173" fontId="89" fillId="84" borderId="42" xfId="131" applyNumberFormat="1" applyFont="1" applyFill="1" applyBorder="1" applyAlignment="1">
      <alignment horizontal="center" vertical="center"/>
    </xf>
    <xf numFmtId="173" fontId="86" fillId="84" borderId="0" xfId="141" applyNumberFormat="1" applyFont="1" applyFill="1" applyAlignment="1">
      <alignment horizontal="center" vertical="center" shrinkToFit="1"/>
    </xf>
    <xf numFmtId="173" fontId="35" fillId="71" borderId="15" xfId="250" applyNumberFormat="1" applyFont="1" applyFill="1" applyBorder="1" applyAlignment="1">
      <alignment horizontal="center" vertical="center"/>
    </xf>
    <xf numFmtId="173" fontId="90" fillId="84" borderId="0" xfId="0" applyNumberFormat="1" applyFont="1" applyFill="1" applyAlignment="1">
      <alignment horizontal="center" vertical="center"/>
    </xf>
    <xf numFmtId="173" fontId="23" fillId="0" borderId="0" xfId="0" applyNumberFormat="1" applyFont="1" applyAlignment="1" applyProtection="1">
      <alignment horizontal="center" vertical="center"/>
      <protection locked="0"/>
    </xf>
    <xf numFmtId="173" fontId="91" fillId="103" borderId="0" xfId="129" applyNumberFormat="1" applyFont="1" applyFill="1" applyAlignment="1">
      <alignment horizontal="center" vertical="center"/>
    </xf>
    <xf numFmtId="173" fontId="92" fillId="84" borderId="0" xfId="0" applyNumberFormat="1" applyFont="1" applyFill="1" applyAlignment="1" applyProtection="1">
      <alignment vertical="center"/>
      <protection locked="0"/>
    </xf>
    <xf numFmtId="173" fontId="49" fillId="84" borderId="0" xfId="0" applyNumberFormat="1" applyFont="1" applyFill="1" applyAlignment="1">
      <alignment horizontal="left" vertical="center"/>
    </xf>
    <xf numFmtId="173" fontId="87" fillId="86" borderId="0" xfId="0" applyNumberFormat="1" applyFont="1" applyFill="1" applyAlignment="1">
      <alignment horizontal="center" vertical="center"/>
    </xf>
    <xf numFmtId="173" fontId="35" fillId="124" borderId="43" xfId="0" applyNumberFormat="1" applyFont="1" applyFill="1" applyBorder="1" applyAlignment="1">
      <alignment horizontal="center" vertical="center"/>
    </xf>
    <xf numFmtId="173" fontId="23" fillId="84" borderId="30" xfId="0" applyNumberFormat="1" applyFont="1" applyFill="1" applyBorder="1" applyAlignment="1">
      <alignment horizontal="center" vertical="center"/>
    </xf>
    <xf numFmtId="173" fontId="93" fillId="84" borderId="0" xfId="141" applyNumberFormat="1" applyFont="1" applyFill="1" applyAlignment="1">
      <alignment horizontal="center" vertical="center" shrinkToFit="1"/>
    </xf>
    <xf numFmtId="173" fontId="94" fillId="84" borderId="0" xfId="129" applyNumberFormat="1" applyFont="1" applyFill="1" applyAlignment="1">
      <alignment horizontal="center" vertical="center" shrinkToFit="1"/>
    </xf>
    <xf numFmtId="173" fontId="54" fillId="84" borderId="0" xfId="142" applyNumberFormat="1" applyFont="1" applyFill="1" applyAlignment="1" applyProtection="1">
      <alignment horizontal="center" vertical="center" shrinkToFit="1"/>
    </xf>
    <xf numFmtId="173" fontId="35" fillId="87" borderId="17" xfId="0" applyNumberFormat="1" applyFont="1" applyFill="1" applyBorder="1" applyAlignment="1">
      <alignment horizontal="center" vertical="center"/>
    </xf>
    <xf numFmtId="173" fontId="70" fillId="84" borderId="0" xfId="0" applyNumberFormat="1" applyFont="1" applyFill="1" applyAlignment="1">
      <alignment horizontal="center" vertical="center"/>
    </xf>
    <xf numFmtId="173" fontId="45" fillId="84" borderId="0" xfId="141" applyNumberFormat="1" applyFont="1" applyFill="1" applyAlignment="1">
      <alignment horizontal="center" vertical="center" shrinkToFit="1"/>
    </xf>
    <xf numFmtId="173" fontId="31" fillId="0" borderId="43" xfId="0" applyNumberFormat="1" applyFont="1" applyBorder="1" applyAlignment="1">
      <alignment horizontal="center" vertical="center"/>
    </xf>
    <xf numFmtId="173" fontId="31" fillId="0" borderId="41" xfId="0" applyNumberFormat="1" applyFont="1" applyBorder="1" applyAlignment="1">
      <alignment horizontal="center" vertical="center"/>
    </xf>
    <xf numFmtId="173" fontId="37" fillId="84" borderId="0" xfId="0" applyNumberFormat="1" applyFont="1" applyFill="1" applyAlignment="1">
      <alignment horizontal="center" vertical="center"/>
    </xf>
    <xf numFmtId="173" fontId="23" fillId="84" borderId="31" xfId="0" applyNumberFormat="1" applyFont="1" applyFill="1" applyBorder="1" applyAlignment="1">
      <alignment horizontal="center" vertical="center"/>
    </xf>
    <xf numFmtId="173" fontId="86" fillId="84" borderId="0" xfId="141" applyNumberFormat="1" applyFont="1" applyFill="1" applyAlignment="1">
      <alignment vertical="center" shrinkToFit="1"/>
    </xf>
    <xf numFmtId="173" fontId="87" fillId="294" borderId="0" xfId="0" applyNumberFormat="1" applyFont="1" applyFill="1" applyAlignment="1">
      <alignment horizontal="right" vertical="center"/>
    </xf>
    <xf numFmtId="173" fontId="31" fillId="0" borderId="44" xfId="0" applyNumberFormat="1" applyFont="1" applyBorder="1" applyAlignment="1">
      <alignment horizontal="center" vertical="center"/>
    </xf>
    <xf numFmtId="173" fontId="82" fillId="103" borderId="30" xfId="177" applyNumberFormat="1" applyFont="1" applyFill="1" applyBorder="1" applyAlignment="1">
      <alignment horizontal="center" vertical="center" wrapText="1"/>
    </xf>
    <xf numFmtId="173" fontId="95" fillId="84" borderId="0" xfId="0" applyNumberFormat="1" applyFont="1" applyFill="1" applyAlignment="1">
      <alignment horizontal="center" vertical="center"/>
    </xf>
    <xf numFmtId="173" fontId="96" fillId="302" borderId="0" xfId="0" applyNumberFormat="1" applyFont="1" applyFill="1" applyAlignment="1">
      <alignment horizontal="center" vertical="center"/>
    </xf>
    <xf numFmtId="173" fontId="97" fillId="84" borderId="0" xfId="0" applyNumberFormat="1" applyFont="1" applyFill="1" applyAlignment="1">
      <alignment horizontal="center" vertical="center"/>
    </xf>
    <xf numFmtId="173" fontId="0" fillId="84" borderId="0" xfId="0" applyNumberFormat="1" applyFill="1"/>
    <xf numFmtId="173" fontId="89" fillId="84" borderId="1" xfId="131" applyNumberFormat="1" applyFont="1" applyFill="1" applyBorder="1" applyAlignment="1">
      <alignment horizontal="center" vertical="center"/>
    </xf>
    <xf numFmtId="173" fontId="98" fillId="302" borderId="0" xfId="0" applyNumberFormat="1" applyFont="1" applyFill="1" applyAlignment="1">
      <alignment horizontal="center" vertical="center"/>
    </xf>
    <xf numFmtId="173" fontId="23" fillId="84" borderId="39" xfId="0" applyNumberFormat="1" applyFont="1" applyFill="1" applyBorder="1" applyAlignment="1">
      <alignment horizontal="center" vertical="center"/>
    </xf>
    <xf numFmtId="173" fontId="23" fillId="84" borderId="25" xfId="0" applyNumberFormat="1" applyFont="1" applyFill="1" applyBorder="1" applyAlignment="1">
      <alignment horizontal="center" vertical="center"/>
    </xf>
    <xf numFmtId="173" fontId="23" fillId="84" borderId="40" xfId="0" applyNumberFormat="1" applyFont="1" applyFill="1" applyBorder="1" applyAlignment="1">
      <alignment horizontal="center" vertical="center"/>
    </xf>
    <xf numFmtId="173" fontId="23" fillId="0" borderId="25" xfId="0" applyNumberFormat="1" applyFont="1" applyBorder="1" applyAlignment="1">
      <alignment horizontal="center" vertical="center"/>
    </xf>
    <xf numFmtId="173" fontId="23" fillId="0" borderId="40" xfId="0" applyNumberFormat="1" applyFont="1" applyBorder="1" applyAlignment="1">
      <alignment horizontal="center" vertical="center"/>
    </xf>
    <xf numFmtId="173" fontId="23" fillId="103" borderId="0" xfId="0" applyNumberFormat="1" applyFont="1" applyFill="1" applyAlignment="1">
      <alignment horizontal="center" vertical="center"/>
    </xf>
    <xf numFmtId="173" fontId="54" fillId="84" borderId="0" xfId="141" applyNumberFormat="1" applyFont="1" applyFill="1" applyAlignment="1">
      <alignment horizontal="center" vertical="center" shrinkToFit="1"/>
    </xf>
    <xf numFmtId="173" fontId="0" fillId="0" borderId="0" xfId="0" applyNumberFormat="1" applyAlignment="1">
      <alignment horizontal="left" vertical="center"/>
    </xf>
    <xf numFmtId="173" fontId="99" fillId="84" borderId="1" xfId="131" applyNumberFormat="1" applyFont="1" applyFill="1" applyBorder="1" applyAlignment="1">
      <alignment horizontal="center" vertical="center"/>
    </xf>
    <xf numFmtId="173" fontId="37" fillId="84" borderId="0" xfId="0" applyNumberFormat="1" applyFont="1" applyFill="1" applyAlignment="1">
      <alignment horizontal="right" vertical="center"/>
    </xf>
    <xf numFmtId="173" fontId="37" fillId="84" borderId="0" xfId="0" applyNumberFormat="1" applyFont="1" applyFill="1" applyAlignment="1">
      <alignment horizontal="left" vertical="center"/>
    </xf>
    <xf numFmtId="173" fontId="0" fillId="84" borderId="45" xfId="0" applyNumberFormat="1" applyFill="1" applyBorder="1" applyAlignment="1">
      <alignment horizontal="center" vertical="center"/>
    </xf>
    <xf numFmtId="173" fontId="100" fillId="103" borderId="0" xfId="131" applyNumberFormat="1" applyFont="1" applyFill="1" applyAlignment="1">
      <alignment horizontal="center" vertical="center"/>
    </xf>
    <xf numFmtId="173" fontId="49" fillId="84" borderId="0" xfId="0" applyNumberFormat="1" applyFont="1" applyFill="1" applyAlignment="1">
      <alignment horizontal="right" vertical="center"/>
    </xf>
    <xf numFmtId="173" fontId="81" fillId="84" borderId="46" xfId="0" applyNumberFormat="1" applyFont="1" applyFill="1" applyBorder="1" applyAlignment="1">
      <alignment horizontal="center" vertical="center"/>
    </xf>
    <xf numFmtId="173" fontId="101" fillId="84" borderId="47" xfId="0" applyNumberFormat="1" applyFont="1" applyFill="1" applyBorder="1" applyAlignment="1">
      <alignment horizontal="center" vertical="center" wrapText="1"/>
    </xf>
    <xf numFmtId="173" fontId="70" fillId="86" borderId="0" xfId="0" applyNumberFormat="1" applyFont="1" applyFill="1" applyAlignment="1">
      <alignment horizontal="center" vertical="center"/>
    </xf>
    <xf numFmtId="173" fontId="81" fillId="84" borderId="15" xfId="131" applyNumberFormat="1" applyFont="1" applyFill="1" applyBorder="1" applyAlignment="1">
      <alignment horizontal="center" vertical="center"/>
    </xf>
    <xf numFmtId="173" fontId="101" fillId="84" borderId="48" xfId="0" applyNumberFormat="1" applyFont="1" applyFill="1" applyBorder="1" applyAlignment="1">
      <alignment horizontal="center" vertical="center" wrapText="1"/>
    </xf>
    <xf numFmtId="173" fontId="92" fillId="84" borderId="49" xfId="0" applyNumberFormat="1" applyFont="1" applyFill="1" applyBorder="1" applyAlignment="1" applyProtection="1">
      <alignment horizontal="center" vertical="center"/>
      <protection locked="0"/>
    </xf>
    <xf numFmtId="173" fontId="92" fillId="84" borderId="0" xfId="0" applyNumberFormat="1" applyFont="1" applyFill="1" applyAlignment="1" applyProtection="1">
      <alignment horizontal="center" vertical="center"/>
      <protection locked="0"/>
    </xf>
    <xf numFmtId="173" fontId="23" fillId="84" borderId="0" xfId="0" applyNumberFormat="1" applyFont="1" applyFill="1" applyAlignment="1">
      <alignment horizontal="right" vertical="center"/>
    </xf>
    <xf numFmtId="173" fontId="84" fillId="84" borderId="15" xfId="131" applyNumberFormat="1" applyFont="1" applyFill="1" applyBorder="1" applyAlignment="1">
      <alignment horizontal="center" vertical="center"/>
    </xf>
    <xf numFmtId="173" fontId="0" fillId="84" borderId="0" xfId="0" applyNumberFormat="1" applyFill="1" applyAlignment="1">
      <alignment horizontal="center" vertical="center"/>
    </xf>
    <xf numFmtId="173" fontId="59" fillId="0" borderId="30" xfId="131" applyNumberFormat="1" applyFont="1" applyBorder="1" applyAlignment="1">
      <alignment horizontal="center" vertical="center"/>
    </xf>
    <xf numFmtId="173" fontId="101" fillId="84" borderId="50" xfId="0" applyNumberFormat="1" applyFont="1" applyFill="1" applyBorder="1" applyAlignment="1">
      <alignment horizontal="center" vertical="center" wrapText="1"/>
    </xf>
    <xf numFmtId="173" fontId="102" fillId="84" borderId="0" xfId="141" applyNumberFormat="1" applyFont="1" applyFill="1" applyAlignment="1">
      <alignment horizontal="center" vertical="center" shrinkToFit="1"/>
    </xf>
    <xf numFmtId="173" fontId="82" fillId="84" borderId="30" xfId="177" applyNumberFormat="1" applyFont="1" applyFill="1" applyBorder="1" applyAlignment="1">
      <alignment horizontal="center" vertical="center" wrapText="1"/>
    </xf>
    <xf numFmtId="173" fontId="103" fillId="84" borderId="0" xfId="0" applyNumberFormat="1" applyFont="1" applyFill="1" applyAlignment="1">
      <alignment horizontal="center" vertical="center" shrinkToFit="1"/>
    </xf>
    <xf numFmtId="173" fontId="59" fillId="0" borderId="0" xfId="131" applyNumberFormat="1" applyFont="1" applyAlignment="1">
      <alignment horizontal="center" vertical="center"/>
    </xf>
    <xf numFmtId="173" fontId="81" fillId="84" borderId="28" xfId="131" applyNumberFormat="1" applyFont="1" applyFill="1" applyBorder="1" applyAlignment="1">
      <alignment horizontal="center" vertical="center"/>
    </xf>
    <xf numFmtId="173" fontId="37" fillId="84" borderId="0" xfId="141" applyNumberFormat="1" applyFont="1" applyFill="1" applyAlignment="1">
      <alignment horizontal="right" vertical="center" shrinkToFit="1"/>
    </xf>
    <xf numFmtId="173" fontId="86" fillId="84" borderId="51" xfId="141" applyNumberFormat="1" applyFont="1" applyFill="1" applyBorder="1" applyAlignment="1">
      <alignment horizontal="center" vertical="center" shrinkToFit="1"/>
    </xf>
    <xf numFmtId="173" fontId="86" fillId="84" borderId="0" xfId="141" applyNumberFormat="1" applyFont="1" applyFill="1" applyAlignment="1">
      <alignment horizontal="center" vertical="center" shrinkToFit="1"/>
    </xf>
    <xf numFmtId="173" fontId="31" fillId="84" borderId="0" xfId="0" applyNumberFormat="1" applyFont="1" applyFill="1" applyAlignment="1">
      <alignment horizontal="center" vertical="center"/>
    </xf>
    <xf numFmtId="173" fontId="83" fillId="84" borderId="30" xfId="0" applyNumberFormat="1" applyFont="1" applyFill="1" applyBorder="1" applyAlignment="1">
      <alignment horizontal="center" vertical="center"/>
    </xf>
    <xf numFmtId="173" fontId="104" fillId="84" borderId="0" xfId="0" applyNumberFormat="1" applyFont="1" applyFill="1" applyAlignment="1">
      <alignment horizontal="center" vertical="center"/>
    </xf>
    <xf numFmtId="173" fontId="105" fillId="84" borderId="0" xfId="118" applyNumberFormat="1" applyFont="1" applyFill="1" applyAlignment="1">
      <alignment horizontal="center" vertical="center"/>
    </xf>
    <xf numFmtId="173" fontId="106" fillId="84" borderId="0" xfId="138" applyNumberFormat="1" applyFont="1" applyFill="1" applyAlignment="1">
      <alignment vertical="center" shrinkToFit="1"/>
    </xf>
    <xf numFmtId="173" fontId="107" fillId="84" borderId="0" xfId="0" applyNumberFormat="1" applyFont="1" applyFill="1" applyAlignment="1">
      <alignment horizontal="right" vertical="center"/>
    </xf>
    <xf numFmtId="173" fontId="23" fillId="84" borderId="0" xfId="0" applyNumberFormat="1" applyFont="1" applyFill="1" applyAlignment="1" applyProtection="1">
      <alignment horizontal="center" vertical="center"/>
      <protection locked="0"/>
    </xf>
    <xf numFmtId="173" fontId="84" fillId="84" borderId="44" xfId="131" applyNumberFormat="1" applyFont="1" applyFill="1" applyBorder="1" applyAlignment="1">
      <alignment horizontal="center" vertical="center"/>
    </xf>
    <xf numFmtId="173" fontId="78" fillId="293" borderId="46" xfId="131" applyNumberFormat="1" applyFont="1" applyFill="1" applyBorder="1" applyAlignment="1">
      <alignment horizontal="center"/>
    </xf>
    <xf numFmtId="173" fontId="85" fillId="84" borderId="0" xfId="0" applyNumberFormat="1" applyFont="1" applyFill="1" applyAlignment="1">
      <alignment horizontal="left" vertical="center"/>
    </xf>
    <xf numFmtId="173" fontId="70" fillId="84" borderId="47" xfId="0" applyNumberFormat="1" applyFont="1" applyFill="1" applyBorder="1" applyAlignment="1">
      <alignment horizontal="center" vertical="center" wrapText="1"/>
    </xf>
    <xf numFmtId="173" fontId="108" fillId="84" borderId="49" xfId="0" applyNumberFormat="1" applyFont="1" applyFill="1" applyBorder="1" applyAlignment="1">
      <alignment horizontal="center" vertical="center"/>
    </xf>
    <xf numFmtId="173" fontId="81" fillId="84" borderId="52" xfId="0" applyNumberFormat="1" applyFont="1" applyFill="1" applyBorder="1" applyAlignment="1">
      <alignment horizontal="center" vertical="center"/>
    </xf>
    <xf numFmtId="173" fontId="63" fillId="84" borderId="53" xfId="0" applyNumberFormat="1" applyFont="1" applyFill="1" applyBorder="1" applyAlignment="1">
      <alignment horizontal="center" vertical="center"/>
    </xf>
    <xf numFmtId="173" fontId="70" fillId="84" borderId="50" xfId="0" applyNumberFormat="1" applyFont="1" applyFill="1" applyBorder="1" applyAlignment="1">
      <alignment horizontal="center" vertical="center" wrapText="1"/>
    </xf>
    <xf numFmtId="173" fontId="107" fillId="84" borderId="0" xfId="0" applyNumberFormat="1" applyFont="1" applyFill="1" applyAlignment="1">
      <alignment horizontal="left" vertical="center"/>
    </xf>
    <xf numFmtId="173" fontId="70" fillId="84" borderId="0" xfId="0" applyNumberFormat="1" applyFont="1" applyFill="1" applyAlignment="1">
      <alignment vertical="center"/>
    </xf>
    <xf numFmtId="173" fontId="31" fillId="84" borderId="0" xfId="0" applyNumberFormat="1" applyFont="1" applyFill="1" applyAlignment="1">
      <alignment horizontal="left" vertical="center"/>
    </xf>
    <xf numFmtId="173" fontId="81" fillId="84" borderId="53" xfId="131" applyNumberFormat="1" applyFont="1" applyFill="1" applyBorder="1" applyAlignment="1">
      <alignment horizontal="center" vertical="center"/>
    </xf>
    <xf numFmtId="173" fontId="78" fillId="293" borderId="54" xfId="131" applyNumberFormat="1" applyFont="1" applyFill="1" applyBorder="1" applyAlignment="1">
      <alignment horizontal="center"/>
    </xf>
    <xf numFmtId="173" fontId="76" fillId="84" borderId="25" xfId="118" applyNumberFormat="1" applyFont="1" applyFill="1" applyBorder="1" applyAlignment="1">
      <alignment horizontal="center" vertical="center"/>
    </xf>
    <xf numFmtId="173" fontId="37" fillId="84" borderId="25" xfId="141" applyNumberFormat="1" applyFont="1" applyFill="1" applyBorder="1" applyAlignment="1">
      <alignment horizontal="left" vertical="center" shrinkToFit="1"/>
    </xf>
    <xf numFmtId="173" fontId="0" fillId="0" borderId="0" xfId="0" applyNumberFormat="1" applyAlignment="1">
      <alignment horizontal="right" vertical="center"/>
    </xf>
    <xf numFmtId="173" fontId="82" fillId="84" borderId="0" xfId="177" applyNumberFormat="1" applyFont="1" applyFill="1" applyAlignment="1">
      <alignment horizontal="center" vertical="center" wrapText="1"/>
    </xf>
    <xf numFmtId="173" fontId="109" fillId="84" borderId="34" xfId="131" applyNumberFormat="1" applyFont="1" applyFill="1" applyBorder="1" applyAlignment="1">
      <alignment horizontal="center" vertical="center" wrapText="1"/>
    </xf>
    <xf numFmtId="173" fontId="109" fillId="84" borderId="29" xfId="131" applyNumberFormat="1" applyFont="1" applyFill="1" applyBorder="1" applyAlignment="1">
      <alignment horizontal="center" vertical="center" wrapText="1"/>
    </xf>
    <xf numFmtId="173" fontId="37" fillId="0" borderId="0" xfId="142" applyNumberFormat="1" applyFont="1" applyAlignment="1" applyProtection="1">
      <alignment horizontal="left" vertical="center" shrinkToFit="1"/>
    </xf>
    <xf numFmtId="173" fontId="92" fillId="84" borderId="0" xfId="0" applyNumberFormat="1" applyFont="1" applyFill="1" applyAlignment="1">
      <alignment horizontal="center" vertical="center"/>
    </xf>
    <xf numFmtId="173" fontId="54" fillId="0" borderId="0" xfId="142" applyNumberFormat="1" applyFont="1" applyAlignment="1" applyProtection="1">
      <alignment horizontal="center" vertical="center" shrinkToFit="1"/>
    </xf>
    <xf numFmtId="173" fontId="110" fillId="84" borderId="51" xfId="141" applyNumberFormat="1" applyFont="1" applyFill="1" applyBorder="1" applyAlignment="1">
      <alignment horizontal="center" vertical="center" wrapText="1" shrinkToFit="1"/>
    </xf>
    <xf numFmtId="173" fontId="110" fillId="84" borderId="0" xfId="141" applyNumberFormat="1" applyFont="1" applyFill="1" applyAlignment="1">
      <alignment horizontal="center" vertical="center" wrapText="1" shrinkToFit="1"/>
    </xf>
    <xf numFmtId="173" fontId="37" fillId="84" borderId="0" xfId="141" applyNumberFormat="1" applyFont="1" applyFill="1" applyAlignment="1">
      <alignment horizontal="left" vertical="center" shrinkToFit="1"/>
    </xf>
    <xf numFmtId="173" fontId="109" fillId="84" borderId="30" xfId="131" applyNumberFormat="1" applyFont="1" applyFill="1" applyBorder="1" applyAlignment="1">
      <alignment horizontal="center" vertical="center" wrapText="1"/>
    </xf>
    <xf numFmtId="173" fontId="109" fillId="84" borderId="31" xfId="131" applyNumberFormat="1" applyFont="1" applyFill="1" applyBorder="1" applyAlignment="1">
      <alignment horizontal="center" vertical="center" wrapText="1"/>
    </xf>
    <xf numFmtId="173" fontId="103" fillId="84" borderId="0" xfId="0" applyNumberFormat="1" applyFont="1" applyFill="1" applyAlignment="1" applyProtection="1">
      <alignment horizontal="center" vertical="center"/>
      <protection locked="0"/>
    </xf>
    <xf numFmtId="173" fontId="92" fillId="0" borderId="0" xfId="0" applyNumberFormat="1" applyFont="1" applyAlignment="1">
      <alignment horizontal="center" vertical="center"/>
    </xf>
    <xf numFmtId="173" fontId="51" fillId="84" borderId="0" xfId="0" applyNumberFormat="1" applyFont="1" applyFill="1" applyAlignment="1">
      <alignment horizontal="center" vertical="center"/>
    </xf>
    <xf numFmtId="173" fontId="109" fillId="84" borderId="39" xfId="131" applyNumberFormat="1" applyFont="1" applyFill="1" applyBorder="1" applyAlignment="1">
      <alignment horizontal="center" vertical="center" wrapText="1"/>
    </xf>
    <xf numFmtId="173" fontId="109" fillId="84" borderId="40" xfId="131" applyNumberFormat="1" applyFont="1" applyFill="1" applyBorder="1" applyAlignment="1">
      <alignment horizontal="center" vertical="center" wrapText="1"/>
    </xf>
    <xf numFmtId="173" fontId="37" fillId="84" borderId="0" xfId="142" applyNumberFormat="1" applyFont="1" applyFill="1" applyAlignment="1" applyProtection="1">
      <alignment horizontal="center" vertical="center" shrinkToFit="1"/>
    </xf>
    <xf numFmtId="173" fontId="106" fillId="84" borderId="0" xfId="141" applyNumberFormat="1" applyFont="1" applyFill="1" applyAlignment="1">
      <alignment horizontal="center" vertical="center" shrinkToFit="1"/>
    </xf>
    <xf numFmtId="173" fontId="111" fillId="103" borderId="0" xfId="177" applyNumberFormat="1" applyFont="1" applyFill="1" applyAlignment="1">
      <alignment horizontal="center" vertical="center"/>
    </xf>
    <xf numFmtId="173" fontId="23" fillId="84" borderId="0" xfId="0" applyNumberFormat="1" applyFont="1" applyFill="1" applyAlignment="1">
      <alignment horizontal="left" vertical="center"/>
    </xf>
    <xf numFmtId="173" fontId="56" fillId="0" borderId="5" xfId="138" applyNumberFormat="1" applyFont="1" applyBorder="1" applyAlignment="1">
      <alignment horizontal="center" vertical="center" shrinkToFit="1"/>
    </xf>
    <xf numFmtId="173" fontId="110" fillId="84" borderId="0" xfId="141" applyNumberFormat="1" applyFont="1" applyFill="1" applyAlignment="1">
      <alignment horizontal="center" vertical="center" shrinkToFit="1"/>
    </xf>
    <xf numFmtId="173" fontId="0" fillId="84" borderId="36" xfId="0" applyNumberFormat="1" applyFill="1" applyBorder="1" applyAlignment="1">
      <alignment horizontal="center" vertical="center" wrapText="1"/>
    </xf>
    <xf numFmtId="173" fontId="112" fillId="84" borderId="34" xfId="0" applyNumberFormat="1" applyFont="1" applyFill="1" applyBorder="1" applyAlignment="1">
      <alignment horizontal="center" vertical="center"/>
    </xf>
    <xf numFmtId="173" fontId="112" fillId="84" borderId="27" xfId="0" applyNumberFormat="1" applyFont="1" applyFill="1" applyBorder="1" applyAlignment="1">
      <alignment horizontal="center" vertical="center"/>
    </xf>
    <xf numFmtId="173" fontId="112" fillId="84" borderId="29" xfId="0" applyNumberFormat="1" applyFont="1" applyFill="1" applyBorder="1" applyAlignment="1">
      <alignment horizontal="center" vertical="center"/>
    </xf>
    <xf numFmtId="173" fontId="111" fillId="84" borderId="0" xfId="177" applyNumberFormat="1" applyFont="1" applyFill="1" applyAlignment="1">
      <alignment horizontal="center" vertical="center"/>
    </xf>
    <xf numFmtId="173" fontId="56" fillId="0" borderId="40" xfId="138" applyNumberFormat="1" applyFont="1" applyBorder="1" applyAlignment="1">
      <alignment horizontal="center" vertical="center" shrinkToFit="1"/>
    </xf>
    <xf numFmtId="173" fontId="81" fillId="84" borderId="1" xfId="0" applyNumberFormat="1" applyFont="1" applyFill="1" applyBorder="1" applyAlignment="1">
      <alignment horizontal="center" vertical="center"/>
    </xf>
    <xf numFmtId="173" fontId="112" fillId="84" borderId="30" xfId="0" applyNumberFormat="1" applyFont="1" applyFill="1" applyBorder="1" applyAlignment="1">
      <alignment horizontal="center" vertical="center"/>
    </xf>
    <xf numFmtId="173" fontId="112" fillId="84" borderId="0" xfId="0" applyNumberFormat="1" applyFont="1" applyFill="1" applyAlignment="1">
      <alignment horizontal="center" vertical="center"/>
    </xf>
    <xf numFmtId="173" fontId="112" fillId="84" borderId="31" xfId="0" applyNumberFormat="1" applyFont="1" applyFill="1" applyBorder="1" applyAlignment="1">
      <alignment horizontal="center" vertical="center"/>
    </xf>
    <xf numFmtId="173" fontId="92" fillId="84" borderId="0" xfId="0" applyNumberFormat="1" applyFont="1" applyFill="1" applyAlignment="1" applyProtection="1">
      <alignment horizontal="center" vertical="center"/>
      <protection locked="0"/>
    </xf>
    <xf numFmtId="173" fontId="0" fillId="84" borderId="31" xfId="0" applyNumberFormat="1" applyFill="1" applyBorder="1" applyAlignment="1">
      <alignment horizontal="center" vertical="center"/>
    </xf>
    <xf numFmtId="173" fontId="58" fillId="0" borderId="0" xfId="138" applyNumberFormat="1" applyFont="1" applyAlignment="1">
      <alignment horizontal="left" vertical="center" shrinkToFit="1"/>
    </xf>
    <xf numFmtId="173" fontId="84" fillId="84" borderId="0" xfId="131" applyNumberFormat="1" applyFont="1" applyFill="1" applyAlignment="1">
      <alignment horizontal="center" vertical="center"/>
    </xf>
    <xf numFmtId="173" fontId="0" fillId="84" borderId="30" xfId="0" applyNumberFormat="1" applyFill="1" applyBorder="1" applyAlignment="1">
      <alignment vertical="center"/>
    </xf>
    <xf numFmtId="173" fontId="91" fillId="84" borderId="0" xfId="129" applyNumberFormat="1" applyFont="1" applyFill="1" applyAlignment="1">
      <alignment horizontal="center" vertical="center"/>
    </xf>
    <xf numFmtId="173" fontId="60" fillId="81" borderId="0" xfId="138" applyNumberFormat="1" applyFont="1" applyFill="1" applyAlignment="1">
      <alignment horizontal="center" vertical="center" shrinkToFit="1"/>
    </xf>
    <xf numFmtId="173" fontId="60" fillId="84" borderId="0" xfId="138" applyNumberFormat="1" applyFont="1" applyFill="1" applyAlignment="1">
      <alignment horizontal="center" vertical="center" shrinkToFit="1"/>
    </xf>
    <xf numFmtId="173" fontId="60" fillId="0" borderId="0" xfId="0" applyNumberFormat="1" applyFont="1" applyAlignment="1">
      <alignment horizontal="center" vertical="center"/>
    </xf>
    <xf numFmtId="173" fontId="70" fillId="35" borderId="0" xfId="0" applyNumberFormat="1" applyFont="1" applyFill="1" applyAlignment="1">
      <alignment horizontal="center" vertical="center"/>
    </xf>
    <xf numFmtId="173" fontId="70" fillId="0" borderId="0" xfId="0" applyNumberFormat="1" applyFont="1" applyAlignment="1">
      <alignment horizontal="center" vertical="center"/>
    </xf>
    <xf numFmtId="173" fontId="23" fillId="84" borderId="0" xfId="0" applyNumberFormat="1" applyFont="1" applyFill="1" applyAlignment="1">
      <alignment vertical="center"/>
    </xf>
    <xf numFmtId="173" fontId="70" fillId="35" borderId="47" xfId="0" applyNumberFormat="1" applyFont="1" applyFill="1" applyBorder="1" applyAlignment="1">
      <alignment horizontal="center" vertical="center" wrapText="1"/>
    </xf>
    <xf numFmtId="173" fontId="35" fillId="96" borderId="21" xfId="0" applyNumberFormat="1" applyFont="1" applyFill="1" applyBorder="1" applyAlignment="1">
      <alignment horizontal="center" vertical="center" shrinkToFit="1"/>
    </xf>
    <xf numFmtId="173" fontId="44" fillId="92" borderId="21" xfId="0" applyNumberFormat="1" applyFont="1" applyFill="1" applyBorder="1" applyAlignment="1">
      <alignment horizontal="center" vertical="center"/>
    </xf>
    <xf numFmtId="173" fontId="46" fillId="85" borderId="21" xfId="0" applyNumberFormat="1" applyFont="1" applyFill="1" applyBorder="1" applyAlignment="1">
      <alignment horizontal="center" vertical="center"/>
    </xf>
    <xf numFmtId="173" fontId="35" fillId="93" borderId="21" xfId="0" applyNumberFormat="1" applyFont="1" applyFill="1" applyBorder="1" applyAlignment="1">
      <alignment horizontal="center" vertical="center"/>
    </xf>
    <xf numFmtId="173" fontId="75" fillId="0" borderId="0" xfId="0" applyNumberFormat="1" applyFont="1" applyAlignment="1">
      <alignment horizontal="center" vertical="center"/>
    </xf>
    <xf numFmtId="173" fontId="36" fillId="0" borderId="1" xfId="0" applyNumberFormat="1" applyFont="1" applyBorder="1" applyAlignment="1">
      <alignment horizontal="center" vertical="center"/>
    </xf>
    <xf numFmtId="173" fontId="35" fillId="0" borderId="1" xfId="0" applyNumberFormat="1" applyFont="1" applyBorder="1" applyAlignment="1">
      <alignment horizontal="center" vertical="center"/>
    </xf>
    <xf numFmtId="173" fontId="5" fillId="84" borderId="0" xfId="165" applyNumberFormat="1" applyFill="1" applyAlignment="1">
      <alignment horizontal="center" vertical="center"/>
    </xf>
    <xf numFmtId="173" fontId="81" fillId="84" borderId="1" xfId="0" applyNumberFormat="1" applyFont="1" applyFill="1" applyBorder="1" applyAlignment="1" applyProtection="1">
      <alignment horizontal="center" vertical="center"/>
      <protection locked="0"/>
    </xf>
    <xf numFmtId="173" fontId="70" fillId="35" borderId="50" xfId="0" applyNumberFormat="1" applyFont="1" applyFill="1" applyBorder="1" applyAlignment="1">
      <alignment horizontal="center" vertical="center" wrapText="1"/>
    </xf>
    <xf numFmtId="173" fontId="39" fillId="97" borderId="21" xfId="0" applyNumberFormat="1" applyFont="1" applyFill="1" applyBorder="1" applyAlignment="1">
      <alignment horizontal="center" vertical="center"/>
    </xf>
    <xf numFmtId="173" fontId="44" fillId="92" borderId="1" xfId="0" applyNumberFormat="1" applyFont="1" applyFill="1" applyBorder="1" applyAlignment="1">
      <alignment horizontal="center" vertical="center"/>
    </xf>
    <xf numFmtId="173" fontId="38" fillId="0" borderId="1" xfId="0" applyNumberFormat="1" applyFont="1" applyBorder="1" applyAlignment="1">
      <alignment horizontal="center" vertical="center"/>
    </xf>
    <xf numFmtId="173" fontId="113" fillId="84" borderId="0" xfId="144" applyNumberFormat="1" applyFont="1" applyFill="1" applyAlignment="1">
      <alignment horizontal="center" vertical="center" shrinkToFit="1"/>
    </xf>
    <xf numFmtId="173" fontId="0" fillId="84" borderId="49" xfId="0" applyNumberFormat="1" applyFill="1" applyBorder="1" applyAlignment="1">
      <alignment horizontal="center" vertical="center"/>
    </xf>
    <xf numFmtId="173" fontId="114" fillId="84" borderId="0" xfId="138" applyNumberFormat="1" applyFont="1" applyFill="1" applyAlignment="1">
      <alignment vertical="center" shrinkToFit="1"/>
    </xf>
    <xf numFmtId="173" fontId="70" fillId="84" borderId="0" xfId="0" applyNumberFormat="1" applyFont="1" applyFill="1" applyAlignment="1">
      <alignment horizontal="center" vertical="center"/>
    </xf>
    <xf numFmtId="173" fontId="99" fillId="84" borderId="15" xfId="131" applyNumberFormat="1" applyFont="1" applyFill="1" applyBorder="1" applyAlignment="1">
      <alignment horizontal="center" vertical="center"/>
    </xf>
    <xf numFmtId="173" fontId="65" fillId="84" borderId="46" xfId="138" applyNumberFormat="1" applyFont="1" applyFill="1" applyBorder="1" applyAlignment="1">
      <alignment horizontal="center" vertical="center" shrinkToFit="1"/>
    </xf>
    <xf numFmtId="173" fontId="60" fillId="0" borderId="0" xfId="138" applyNumberFormat="1" applyFont="1" applyAlignment="1">
      <alignment horizontal="center" vertical="center" shrinkToFit="1"/>
    </xf>
    <xf numFmtId="173" fontId="112" fillId="84" borderId="39" xfId="0" applyNumberFormat="1" applyFont="1" applyFill="1" applyBorder="1" applyAlignment="1">
      <alignment horizontal="center" vertical="center"/>
    </xf>
    <xf numFmtId="173" fontId="112" fillId="84" borderId="25" xfId="0" applyNumberFormat="1" applyFont="1" applyFill="1" applyBorder="1" applyAlignment="1">
      <alignment horizontal="center" vertical="center"/>
    </xf>
    <xf numFmtId="173" fontId="112" fillId="84" borderId="40" xfId="0" applyNumberFormat="1" applyFont="1" applyFill="1" applyBorder="1" applyAlignment="1">
      <alignment horizontal="center" vertical="center"/>
    </xf>
    <xf numFmtId="173" fontId="110" fillId="0" borderId="0" xfId="251" applyNumberFormat="1" applyFont="1" applyAlignment="1" applyProtection="1">
      <alignment horizontal="center" vertical="center" shrinkToFit="1"/>
    </xf>
    <xf numFmtId="173" fontId="115" fillId="84" borderId="48" xfId="0" applyNumberFormat="1" applyFont="1" applyFill="1" applyBorder="1" applyAlignment="1">
      <alignment horizontal="center" vertical="center" wrapText="1"/>
    </xf>
    <xf numFmtId="173" fontId="116" fillId="84" borderId="34" xfId="0" applyNumberFormat="1" applyFont="1" applyFill="1" applyBorder="1" applyAlignment="1">
      <alignment horizontal="center" vertical="center"/>
    </xf>
    <xf numFmtId="173" fontId="116" fillId="84" borderId="27" xfId="0" applyNumberFormat="1" applyFont="1" applyFill="1" applyBorder="1" applyAlignment="1">
      <alignment horizontal="center" vertical="center"/>
    </xf>
    <xf numFmtId="173" fontId="116" fillId="84" borderId="29" xfId="0" applyNumberFormat="1" applyFont="1" applyFill="1" applyBorder="1" applyAlignment="1">
      <alignment horizontal="center" vertical="center"/>
    </xf>
    <xf numFmtId="173" fontId="10" fillId="0" borderId="0" xfId="0" applyNumberFormat="1" applyFont="1" applyAlignment="1">
      <alignment vertical="center"/>
    </xf>
    <xf numFmtId="173" fontId="49" fillId="86" borderId="0" xfId="0" applyNumberFormat="1" applyFont="1" applyFill="1" applyAlignment="1">
      <alignment horizontal="center" vertical="center" shrinkToFit="1"/>
    </xf>
    <xf numFmtId="173" fontId="10" fillId="0" borderId="0" xfId="0" applyNumberFormat="1" applyFont="1" applyAlignment="1">
      <alignment horizontal="center" vertical="center"/>
    </xf>
    <xf numFmtId="173" fontId="116" fillId="84" borderId="30" xfId="0" applyNumberFormat="1" applyFont="1" applyFill="1" applyBorder="1" applyAlignment="1">
      <alignment horizontal="center" vertical="center"/>
    </xf>
    <xf numFmtId="173" fontId="116" fillId="84" borderId="0" xfId="0" applyNumberFormat="1" applyFont="1" applyFill="1" applyAlignment="1">
      <alignment horizontal="center" vertical="center"/>
    </xf>
    <xf numFmtId="173" fontId="116" fillId="84" borderId="31" xfId="0" applyNumberFormat="1" applyFont="1" applyFill="1" applyBorder="1" applyAlignment="1">
      <alignment horizontal="center" vertical="center"/>
    </xf>
    <xf numFmtId="173" fontId="23" fillId="0" borderId="39" xfId="0" applyNumberFormat="1" applyFont="1" applyBorder="1" applyAlignment="1">
      <alignment horizontal="center" vertical="center"/>
    </xf>
    <xf numFmtId="173" fontId="115" fillId="84" borderId="50" xfId="0" applyNumberFormat="1" applyFont="1" applyFill="1" applyBorder="1" applyAlignment="1">
      <alignment horizontal="center" vertical="center" wrapText="1"/>
    </xf>
    <xf numFmtId="173" fontId="81" fillId="84" borderId="55" xfId="131" applyNumberFormat="1" applyFont="1" applyFill="1" applyBorder="1" applyAlignment="1">
      <alignment horizontal="center" vertical="center"/>
    </xf>
    <xf numFmtId="173" fontId="117" fillId="84" borderId="0" xfId="142" applyNumberFormat="1" applyFont="1" applyFill="1" applyAlignment="1" applyProtection="1">
      <alignment horizontal="center" vertical="center" shrinkToFit="1"/>
    </xf>
    <xf numFmtId="173" fontId="65" fillId="84" borderId="21" xfId="0" applyNumberFormat="1" applyFont="1" applyFill="1" applyBorder="1" applyAlignment="1">
      <alignment horizontal="center" vertical="center" shrinkToFit="1"/>
    </xf>
    <xf numFmtId="173" fontId="65" fillId="300" borderId="21" xfId="0" applyNumberFormat="1" applyFont="1" applyFill="1" applyBorder="1" applyAlignment="1">
      <alignment horizontal="center" vertical="center" shrinkToFit="1"/>
    </xf>
    <xf numFmtId="173" fontId="36" fillId="57" borderId="1" xfId="0" applyNumberFormat="1" applyFont="1" applyFill="1" applyBorder="1" applyAlignment="1">
      <alignment horizontal="center" vertical="center"/>
    </xf>
    <xf numFmtId="173" fontId="35" fillId="94" borderId="1" xfId="0" applyNumberFormat="1" applyFont="1" applyFill="1" applyBorder="1" applyAlignment="1">
      <alignment horizontal="center" vertical="center"/>
    </xf>
    <xf numFmtId="173" fontId="65" fillId="301" borderId="21" xfId="0" applyNumberFormat="1" applyFont="1" applyFill="1" applyBorder="1" applyAlignment="1">
      <alignment horizontal="center" vertical="center" shrinkToFit="1"/>
    </xf>
    <xf numFmtId="173" fontId="35" fillId="34" borderId="1" xfId="0" applyNumberFormat="1" applyFont="1" applyFill="1" applyBorder="1" applyAlignment="1">
      <alignment horizontal="center" vertical="center"/>
    </xf>
    <xf numFmtId="173" fontId="46" fillId="85" borderId="1" xfId="0" applyNumberFormat="1" applyFont="1" applyFill="1" applyBorder="1" applyAlignment="1">
      <alignment horizontal="center" vertical="center"/>
    </xf>
    <xf numFmtId="173" fontId="116" fillId="84" borderId="39" xfId="0" applyNumberFormat="1" applyFont="1" applyFill="1" applyBorder="1" applyAlignment="1">
      <alignment horizontal="center" vertical="center"/>
    </xf>
    <xf numFmtId="173" fontId="116" fillId="84" borderId="25" xfId="0" applyNumberFormat="1" applyFont="1" applyFill="1" applyBorder="1" applyAlignment="1">
      <alignment horizontal="center" vertical="center"/>
    </xf>
    <xf numFmtId="173" fontId="116" fillId="84" borderId="40" xfId="0" applyNumberFormat="1" applyFont="1" applyFill="1" applyBorder="1" applyAlignment="1">
      <alignment horizontal="center" vertical="center"/>
    </xf>
    <xf numFmtId="173" fontId="23" fillId="0" borderId="34" xfId="0" applyNumberFormat="1" applyFont="1" applyBorder="1" applyAlignment="1">
      <alignment horizontal="center" vertical="center"/>
    </xf>
    <xf numFmtId="173" fontId="118" fillId="119" borderId="0" xfId="177" applyNumberFormat="1" applyFont="1" applyFill="1" applyAlignment="1">
      <alignment horizontal="center" vertical="center"/>
    </xf>
    <xf numFmtId="173" fontId="31" fillId="84" borderId="0" xfId="131" applyNumberFormat="1" applyFont="1" applyFill="1" applyAlignment="1">
      <alignment horizontal="center" vertical="center"/>
    </xf>
    <xf numFmtId="173" fontId="118" fillId="119" borderId="30" xfId="177" applyNumberFormat="1" applyFont="1" applyFill="1" applyBorder="1" applyAlignment="1">
      <alignment horizontal="center" vertical="center"/>
    </xf>
    <xf numFmtId="173" fontId="59" fillId="0" borderId="0" xfId="114" applyNumberFormat="1" applyFont="1" applyAlignment="1">
      <alignment horizontal="center" vertical="center"/>
    </xf>
    <xf numFmtId="173" fontId="119" fillId="119" borderId="0" xfId="177" applyNumberFormat="1" applyFont="1" applyFill="1" applyAlignment="1">
      <alignment horizontal="center" vertical="center"/>
    </xf>
    <xf numFmtId="173" fontId="81" fillId="84" borderId="15" xfId="0" applyNumberFormat="1" applyFont="1" applyFill="1" applyBorder="1" applyAlignment="1" applyProtection="1">
      <alignment horizontal="center" vertical="center"/>
      <protection locked="0"/>
    </xf>
    <xf numFmtId="173" fontId="59" fillId="84" borderId="0" xfId="114" applyNumberFormat="1" applyFont="1" applyFill="1" applyAlignment="1">
      <alignment horizontal="right" vertical="center"/>
    </xf>
    <xf numFmtId="173" fontId="110" fillId="0" borderId="0" xfId="114" applyNumberFormat="1" applyFont="1" applyAlignment="1">
      <alignment horizontal="center" vertical="center" shrinkToFit="1"/>
    </xf>
    <xf numFmtId="173" fontId="59" fillId="0" borderId="0" xfId="114" applyNumberFormat="1" applyFont="1" applyAlignment="1">
      <alignment horizontal="left" vertical="center"/>
    </xf>
    <xf numFmtId="173" fontId="111" fillId="103" borderId="31" xfId="177" applyNumberFormat="1" applyFont="1" applyFill="1" applyBorder="1" applyAlignment="1">
      <alignment horizontal="center" vertical="center"/>
    </xf>
    <xf numFmtId="173" fontId="65" fillId="119" borderId="0" xfId="177" applyNumberFormat="1" applyFont="1" applyFill="1" applyAlignment="1">
      <alignment horizontal="center" vertical="center"/>
    </xf>
    <xf numFmtId="173" fontId="117" fillId="84" borderId="0" xfId="142" applyNumberFormat="1" applyFont="1" applyFill="1" applyAlignment="1" applyProtection="1">
      <alignment horizontal="center" vertical="center" wrapText="1" shrinkToFit="1"/>
    </xf>
    <xf numFmtId="173" fontId="23" fillId="84" borderId="0" xfId="114" applyNumberFormat="1" applyFont="1" applyFill="1" applyAlignment="1">
      <alignment horizontal="center" vertical="center"/>
    </xf>
    <xf numFmtId="173" fontId="110" fillId="84" borderId="0" xfId="114" applyNumberFormat="1" applyFont="1" applyFill="1" applyAlignment="1">
      <alignment horizontal="center" vertical="center" shrinkToFit="1"/>
    </xf>
    <xf numFmtId="173" fontId="111" fillId="0" borderId="0" xfId="177" applyNumberFormat="1" applyFont="1" applyAlignment="1">
      <alignment horizontal="center" vertical="center"/>
    </xf>
    <xf numFmtId="173" fontId="115" fillId="84" borderId="3" xfId="0" applyNumberFormat="1" applyFont="1" applyFill="1" applyBorder="1" applyAlignment="1">
      <alignment horizontal="center" vertical="center" wrapText="1"/>
    </xf>
    <xf numFmtId="173" fontId="2" fillId="84" borderId="56" xfId="177" applyNumberFormat="1" applyFill="1" applyBorder="1" applyAlignment="1">
      <alignment horizontal="center" vertical="center"/>
    </xf>
    <xf numFmtId="173" fontId="0" fillId="0" borderId="31" xfId="0" applyNumberFormat="1" applyBorder="1" applyAlignment="1">
      <alignment vertical="center"/>
    </xf>
    <xf numFmtId="173" fontId="81" fillId="84" borderId="57" xfId="131" applyNumberFormat="1" applyFont="1" applyFill="1" applyBorder="1" applyAlignment="1">
      <alignment horizontal="center" vertical="center"/>
    </xf>
    <xf numFmtId="173" fontId="0" fillId="84" borderId="25" xfId="0" applyNumberFormat="1" applyFill="1" applyBorder="1" applyAlignment="1">
      <alignment horizontal="center" vertical="center"/>
    </xf>
    <xf numFmtId="173" fontId="0" fillId="0" borderId="25" xfId="0" applyNumberFormat="1" applyBorder="1" applyAlignment="1">
      <alignment horizontal="center" vertical="center"/>
    </xf>
    <xf numFmtId="173" fontId="81" fillId="84" borderId="25" xfId="131" applyNumberFormat="1" applyFont="1" applyFill="1" applyBorder="1" applyAlignment="1">
      <alignment horizontal="center" vertical="center"/>
    </xf>
    <xf numFmtId="173" fontId="81" fillId="84" borderId="57" xfId="0" applyNumberFormat="1" applyFont="1" applyFill="1" applyBorder="1" applyAlignment="1" applyProtection="1">
      <alignment horizontal="center" vertical="center"/>
      <protection locked="0"/>
    </xf>
    <xf numFmtId="173" fontId="81" fillId="84" borderId="40" xfId="131" applyNumberFormat="1" applyFont="1" applyFill="1" applyBorder="1" applyAlignment="1">
      <alignment horizontal="center" vertical="center"/>
    </xf>
    <xf numFmtId="173" fontId="10" fillId="103" borderId="30" xfId="0" applyNumberFormat="1" applyFont="1" applyFill="1" applyBorder="1" applyAlignment="1">
      <alignment horizontal="center" vertical="center"/>
    </xf>
    <xf numFmtId="173" fontId="2" fillId="103" borderId="0" xfId="177" applyNumberFormat="1" applyFill="1" applyAlignment="1">
      <alignment horizontal="center" vertical="center"/>
    </xf>
    <xf numFmtId="173" fontId="10" fillId="103" borderId="0" xfId="0" applyNumberFormat="1" applyFont="1" applyFill="1" applyAlignment="1">
      <alignment horizontal="center" vertical="center"/>
    </xf>
    <xf numFmtId="173" fontId="10" fillId="84" borderId="0" xfId="0" applyNumberFormat="1" applyFont="1" applyFill="1" applyAlignment="1">
      <alignment horizontal="center" vertical="center"/>
    </xf>
    <xf numFmtId="173" fontId="120" fillId="84" borderId="34" xfId="0" applyNumberFormat="1" applyFont="1" applyFill="1" applyBorder="1" applyAlignment="1">
      <alignment horizontal="center" vertical="center" wrapText="1"/>
    </xf>
    <xf numFmtId="173" fontId="120" fillId="84" borderId="29" xfId="0" applyNumberFormat="1" applyFont="1" applyFill="1" applyBorder="1" applyAlignment="1">
      <alignment horizontal="center" vertical="center" wrapText="1"/>
    </xf>
    <xf numFmtId="173" fontId="114" fillId="84" borderId="34" xfId="177" applyNumberFormat="1" applyFont="1" applyFill="1" applyBorder="1" applyAlignment="1">
      <alignment horizontal="center" vertical="center"/>
    </xf>
    <xf numFmtId="173" fontId="114" fillId="84" borderId="27" xfId="177" applyNumberFormat="1" applyFont="1" applyFill="1" applyBorder="1" applyAlignment="1">
      <alignment horizontal="center" vertical="center"/>
    </xf>
    <xf numFmtId="173" fontId="114" fillId="84" borderId="29" xfId="177" applyNumberFormat="1" applyFont="1" applyFill="1" applyBorder="1" applyAlignment="1">
      <alignment horizontal="center" vertical="center"/>
    </xf>
    <xf numFmtId="173" fontId="112" fillId="84" borderId="0" xfId="0" applyNumberFormat="1" applyFont="1" applyFill="1" applyAlignment="1">
      <alignment vertical="center"/>
    </xf>
    <xf numFmtId="173" fontId="0" fillId="84" borderId="30" xfId="0" applyNumberFormat="1" applyFill="1" applyBorder="1" applyAlignment="1">
      <alignment horizontal="center" vertical="center"/>
    </xf>
    <xf numFmtId="173" fontId="121" fillId="84" borderId="0" xfId="0" applyNumberFormat="1" applyFont="1" applyFill="1" applyAlignment="1">
      <alignment horizontal="center" vertical="center"/>
    </xf>
    <xf numFmtId="173" fontId="7" fillId="84" borderId="0" xfId="142" applyNumberFormat="1" applyFont="1" applyFill="1" applyAlignment="1" applyProtection="1">
      <alignment horizontal="center" vertical="center" shrinkToFit="1"/>
    </xf>
    <xf numFmtId="173" fontId="120" fillId="84" borderId="30" xfId="0" applyNumberFormat="1" applyFont="1" applyFill="1" applyBorder="1" applyAlignment="1">
      <alignment horizontal="center" vertical="center" wrapText="1"/>
    </xf>
    <xf numFmtId="173" fontId="120" fillId="84" borderId="31" xfId="0" applyNumberFormat="1" applyFont="1" applyFill="1" applyBorder="1" applyAlignment="1">
      <alignment horizontal="center" vertical="center" wrapText="1"/>
    </xf>
    <xf numFmtId="173" fontId="10" fillId="84" borderId="0" xfId="0" applyNumberFormat="1" applyFont="1" applyFill="1" applyAlignment="1" applyProtection="1">
      <alignment horizontal="center" vertical="center"/>
      <protection locked="0"/>
    </xf>
    <xf numFmtId="173" fontId="114" fillId="84" borderId="30" xfId="177" applyNumberFormat="1" applyFont="1" applyFill="1" applyBorder="1" applyAlignment="1">
      <alignment horizontal="center" vertical="center"/>
    </xf>
    <xf numFmtId="173" fontId="114" fillId="84" borderId="0" xfId="177" applyNumberFormat="1" applyFont="1" applyFill="1" applyAlignment="1">
      <alignment horizontal="center" vertical="center"/>
    </xf>
    <xf numFmtId="173" fontId="114" fillId="84" borderId="31" xfId="177" applyNumberFormat="1" applyFont="1" applyFill="1" applyBorder="1" applyAlignment="1">
      <alignment horizontal="center" vertical="center"/>
    </xf>
    <xf numFmtId="173" fontId="87" fillId="84" borderId="30" xfId="0" applyNumberFormat="1" applyFont="1" applyFill="1" applyBorder="1" applyAlignment="1">
      <alignment horizontal="center" vertical="center"/>
    </xf>
    <xf numFmtId="173" fontId="87" fillId="103" borderId="0" xfId="0" applyNumberFormat="1" applyFont="1" applyFill="1" applyAlignment="1">
      <alignment horizontal="center" vertical="center"/>
    </xf>
    <xf numFmtId="173" fontId="87" fillId="103" borderId="25" xfId="0" applyNumberFormat="1" applyFont="1" applyFill="1" applyBorder="1" applyAlignment="1">
      <alignment horizontal="center" vertical="center"/>
    </xf>
    <xf numFmtId="173" fontId="87" fillId="103" borderId="39" xfId="0" applyNumberFormat="1" applyFont="1" applyFill="1" applyBorder="1" applyAlignment="1">
      <alignment horizontal="center" vertical="center"/>
    </xf>
    <xf numFmtId="173" fontId="87" fillId="103" borderId="40" xfId="0" applyNumberFormat="1" applyFont="1" applyFill="1" applyBorder="1" applyAlignment="1">
      <alignment horizontal="center" vertical="center"/>
    </xf>
    <xf numFmtId="173" fontId="10" fillId="84" borderId="25" xfId="0" applyNumberFormat="1" applyFont="1" applyFill="1" applyBorder="1" applyAlignment="1">
      <alignment horizontal="center" vertical="center"/>
    </xf>
    <xf numFmtId="173" fontId="120" fillId="84" borderId="39" xfId="0" applyNumberFormat="1" applyFont="1" applyFill="1" applyBorder="1" applyAlignment="1">
      <alignment horizontal="center" vertical="center" wrapText="1"/>
    </xf>
    <xf numFmtId="173" fontId="120" fillId="84" borderId="40" xfId="0" applyNumberFormat="1" applyFont="1" applyFill="1" applyBorder="1" applyAlignment="1">
      <alignment horizontal="center" vertical="center" wrapText="1"/>
    </xf>
    <xf numFmtId="173" fontId="114" fillId="84" borderId="39" xfId="177" applyNumberFormat="1" applyFont="1" applyFill="1" applyBorder="1" applyAlignment="1">
      <alignment horizontal="center" vertical="center"/>
    </xf>
    <xf numFmtId="173" fontId="114" fillId="84" borderId="25" xfId="177" applyNumberFormat="1" applyFont="1" applyFill="1" applyBorder="1" applyAlignment="1">
      <alignment horizontal="center" vertical="center"/>
    </xf>
    <xf numFmtId="173" fontId="114" fillId="84" borderId="40" xfId="177" applyNumberFormat="1" applyFont="1" applyFill="1" applyBorder="1" applyAlignment="1">
      <alignment horizontal="center" vertical="center"/>
    </xf>
    <xf numFmtId="173" fontId="122" fillId="103" borderId="30" xfId="165" applyNumberFormat="1" applyFont="1" applyFill="1" applyBorder="1" applyAlignment="1">
      <alignment horizontal="center" vertical="center"/>
    </xf>
    <xf numFmtId="173" fontId="5" fillId="0" borderId="0" xfId="165" applyNumberFormat="1" applyAlignment="1">
      <alignment horizontal="center" vertical="center"/>
    </xf>
    <xf numFmtId="173" fontId="5" fillId="0" borderId="27" xfId="165" applyNumberFormat="1" applyBorder="1" applyAlignment="1">
      <alignment horizontal="center" vertical="center"/>
    </xf>
    <xf numFmtId="173" fontId="31" fillId="0" borderId="0" xfId="0" applyNumberFormat="1" applyFont="1" applyAlignment="1" applyProtection="1">
      <alignment horizontal="center" vertical="center"/>
      <protection locked="0"/>
    </xf>
    <xf numFmtId="173" fontId="0" fillId="0" borderId="0" xfId="0" applyNumberFormat="1" applyAlignment="1" applyProtection="1">
      <alignment horizontal="center" vertical="center"/>
      <protection locked="0"/>
    </xf>
    <xf numFmtId="173" fontId="123" fillId="84" borderId="36" xfId="0" applyNumberFormat="1" applyFont="1" applyFill="1" applyBorder="1" applyAlignment="1">
      <alignment horizontal="center" vertical="center"/>
    </xf>
    <xf numFmtId="173" fontId="59" fillId="84" borderId="0" xfId="0" applyNumberFormat="1" applyFont="1" applyFill="1" applyAlignment="1" applyProtection="1">
      <alignment horizontal="center" vertical="center"/>
      <protection locked="0"/>
    </xf>
    <xf numFmtId="173" fontId="34" fillId="0" borderId="0" xfId="0" applyNumberFormat="1" applyFont="1"/>
    <xf numFmtId="173" fontId="102" fillId="131" borderId="4" xfId="252" applyNumberFormat="1" applyFont="1" applyFill="1" applyBorder="1" applyAlignment="1">
      <alignment horizontal="center" vertical="top" shrinkToFit="1"/>
    </xf>
    <xf numFmtId="173" fontId="124" fillId="131" borderId="24" xfId="252" applyNumberFormat="1" applyFont="1" applyFill="1" applyBorder="1" applyAlignment="1">
      <alignment horizontal="center" vertical="top" shrinkToFit="1"/>
    </xf>
    <xf numFmtId="173" fontId="124" fillId="131" borderId="5" xfId="252" applyNumberFormat="1" applyFont="1" applyFill="1" applyBorder="1" applyAlignment="1">
      <alignment horizontal="center" vertical="top" shrinkToFit="1"/>
    </xf>
    <xf numFmtId="173" fontId="125" fillId="131" borderId="4" xfId="252" applyNumberFormat="1" applyFont="1" applyFill="1" applyBorder="1" applyAlignment="1">
      <alignment horizontal="center" vertical="center" shrinkToFit="1"/>
    </xf>
    <xf numFmtId="173" fontId="125" fillId="131" borderId="24" xfId="252" applyNumberFormat="1" applyFont="1" applyFill="1" applyBorder="1" applyAlignment="1">
      <alignment horizontal="center" vertical="center" shrinkToFit="1"/>
    </xf>
    <xf numFmtId="173" fontId="125" fillId="131" borderId="5" xfId="252" applyNumberFormat="1" applyFont="1" applyFill="1" applyBorder="1" applyAlignment="1">
      <alignment horizontal="center" vertical="center" shrinkToFit="1"/>
    </xf>
    <xf numFmtId="173" fontId="126" fillId="80" borderId="1" xfId="0" applyNumberFormat="1" applyFont="1" applyFill="1" applyBorder="1" applyAlignment="1">
      <alignment horizontal="center" vertical="center" wrapText="1"/>
    </xf>
    <xf numFmtId="173" fontId="127" fillId="0" borderId="0" xfId="0" applyNumberFormat="1" applyFont="1" applyAlignment="1">
      <alignment horizontal="center" vertical="center"/>
    </xf>
    <xf numFmtId="173" fontId="128" fillId="0" borderId="0" xfId="0" applyNumberFormat="1" applyFont="1"/>
    <xf numFmtId="173" fontId="108" fillId="0" borderId="0" xfId="0" applyNumberFormat="1" applyFont="1"/>
    <xf numFmtId="173" fontId="129" fillId="0" borderId="0" xfId="0" applyNumberFormat="1" applyFont="1"/>
    <xf numFmtId="173" fontId="130" fillId="132" borderId="1" xfId="0" applyNumberFormat="1" applyFont="1" applyFill="1" applyBorder="1" applyAlignment="1">
      <alignment horizontal="center" wrapText="1"/>
    </xf>
    <xf numFmtId="173" fontId="53" fillId="0" borderId="0" xfId="0" applyNumberFormat="1" applyFont="1" applyAlignment="1">
      <alignment horizontal="left" vertical="top" wrapText="1"/>
    </xf>
    <xf numFmtId="173" fontId="131" fillId="120" borderId="4" xfId="138" applyNumberFormat="1" applyFont="1" applyFill="1" applyBorder="1" applyAlignment="1">
      <alignment horizontal="center" vertical="center" shrinkToFit="1"/>
    </xf>
    <xf numFmtId="173" fontId="131" fillId="120" borderId="24" xfId="138" applyNumberFormat="1" applyFont="1" applyFill="1" applyBorder="1" applyAlignment="1">
      <alignment horizontal="center" vertical="center" shrinkToFit="1"/>
    </xf>
    <xf numFmtId="173" fontId="131" fillId="120" borderId="5" xfId="138" applyNumberFormat="1" applyFont="1" applyFill="1" applyBorder="1" applyAlignment="1">
      <alignment horizontal="center" vertical="center" shrinkToFit="1"/>
    </xf>
    <xf numFmtId="173" fontId="52" fillId="120" borderId="4" xfId="138" applyNumberFormat="1" applyFont="1" applyFill="1" applyBorder="1" applyAlignment="1">
      <alignment horizontal="center" vertical="center" shrinkToFit="1"/>
    </xf>
    <xf numFmtId="173" fontId="52" fillId="120" borderId="24" xfId="138" applyNumberFormat="1" applyFont="1" applyFill="1" applyBorder="1" applyAlignment="1">
      <alignment horizontal="center" vertical="center" shrinkToFit="1"/>
    </xf>
    <xf numFmtId="173" fontId="52" fillId="120" borderId="5" xfId="138" applyNumberFormat="1" applyFont="1" applyFill="1" applyBorder="1" applyAlignment="1">
      <alignment horizontal="center" vertical="center" shrinkToFit="1"/>
    </xf>
    <xf numFmtId="173" fontId="130" fillId="0" borderId="1" xfId="0" applyNumberFormat="1" applyFont="1" applyBorder="1" applyAlignment="1">
      <alignment horizontal="center" wrapText="1"/>
    </xf>
    <xf numFmtId="173" fontId="130" fillId="0" borderId="1" xfId="0" applyNumberFormat="1" applyFont="1" applyBorder="1" applyAlignment="1" applyProtection="1">
      <alignment horizontal="center" wrapText="1"/>
      <protection locked="0"/>
    </xf>
    <xf numFmtId="173" fontId="131" fillId="84" borderId="0" xfId="138" applyNumberFormat="1" applyFont="1" applyFill="1" applyAlignment="1">
      <alignment horizontal="center" vertical="center" shrinkToFit="1"/>
    </xf>
    <xf numFmtId="173" fontId="130" fillId="0" borderId="1" xfId="0" applyNumberFormat="1" applyFont="1" applyBorder="1" applyAlignment="1">
      <alignment horizontal="center" vertical="center" wrapText="1"/>
    </xf>
    <xf numFmtId="173" fontId="126" fillId="61" borderId="1" xfId="0" applyNumberFormat="1" applyFont="1" applyFill="1" applyBorder="1" applyAlignment="1" applyProtection="1">
      <alignment horizontal="center" vertical="center" wrapText="1"/>
      <protection locked="0"/>
    </xf>
    <xf numFmtId="173" fontId="53" fillId="0" borderId="53" xfId="0" applyNumberFormat="1" applyFont="1" applyBorder="1" applyAlignment="1">
      <alignment horizontal="center"/>
    </xf>
    <xf numFmtId="173" fontId="53" fillId="0" borderId="51" xfId="0" applyNumberFormat="1" applyFont="1" applyBorder="1" applyAlignment="1">
      <alignment horizontal="center"/>
    </xf>
    <xf numFmtId="173" fontId="50" fillId="84" borderId="0" xfId="138" applyNumberFormat="1" applyFont="1" applyFill="1" applyAlignment="1">
      <alignment vertical="center" shrinkToFit="1"/>
    </xf>
    <xf numFmtId="173" fontId="132" fillId="84" borderId="4" xfId="138" applyNumberFormat="1" applyFont="1" applyFill="1" applyBorder="1" applyAlignment="1">
      <alignment horizontal="center" vertical="center" shrinkToFit="1"/>
    </xf>
    <xf numFmtId="173" fontId="132" fillId="84" borderId="24" xfId="138" applyNumberFormat="1" applyFont="1" applyFill="1" applyBorder="1" applyAlignment="1">
      <alignment horizontal="center" vertical="center" shrinkToFit="1"/>
    </xf>
    <xf numFmtId="173" fontId="133" fillId="84" borderId="58" xfId="138" applyNumberFormat="1" applyFont="1" applyFill="1" applyBorder="1" applyAlignment="1">
      <alignment horizontal="center" vertical="center" shrinkToFit="1"/>
    </xf>
    <xf numFmtId="173" fontId="31" fillId="133" borderId="1" xfId="0" applyNumberFormat="1" applyFont="1" applyFill="1" applyBorder="1" applyAlignment="1" applyProtection="1">
      <alignment horizontal="center" vertical="center" wrapText="1"/>
      <protection locked="0"/>
    </xf>
    <xf numFmtId="173" fontId="31" fillId="133" borderId="1" xfId="253" applyNumberFormat="1" applyFont="1" applyFill="1" applyBorder="1" applyAlignment="1">
      <alignment horizontal="right" vertical="center"/>
    </xf>
    <xf numFmtId="173" fontId="134" fillId="84" borderId="0" xfId="138" applyNumberFormat="1" applyFont="1" applyFill="1" applyAlignment="1">
      <alignment vertical="center" shrinkToFit="1"/>
    </xf>
    <xf numFmtId="173" fontId="135" fillId="84" borderId="0" xfId="138" applyNumberFormat="1" applyFont="1" applyFill="1" applyAlignment="1">
      <alignment horizontal="center" vertical="center" shrinkToFit="1"/>
    </xf>
    <xf numFmtId="173" fontId="31" fillId="134" borderId="1" xfId="0" applyNumberFormat="1" applyFont="1" applyFill="1" applyBorder="1" applyAlignment="1" applyProtection="1">
      <alignment horizontal="center" vertical="center" wrapText="1"/>
      <protection locked="0"/>
    </xf>
    <xf numFmtId="173" fontId="31" fillId="134" borderId="37" xfId="253" applyNumberFormat="1" applyFont="1" applyFill="1" applyBorder="1" applyAlignment="1">
      <alignment horizontal="right" vertical="center"/>
    </xf>
    <xf numFmtId="173" fontId="31" fillId="134" borderId="1" xfId="253" applyNumberFormat="1" applyFont="1" applyFill="1" applyBorder="1" applyAlignment="1">
      <alignment horizontal="right" vertical="center"/>
    </xf>
    <xf numFmtId="173" fontId="136" fillId="0" borderId="0" xfId="150" applyNumberFormat="1" applyFont="1" applyAlignment="1">
      <alignment vertical="center" shrinkToFit="1"/>
    </xf>
    <xf numFmtId="173" fontId="31" fillId="135" borderId="15" xfId="0" applyNumberFormat="1" applyFont="1" applyFill="1" applyBorder="1" applyAlignment="1" applyProtection="1">
      <alignment horizontal="center" vertical="center" wrapText="1"/>
      <protection locked="0"/>
    </xf>
    <xf numFmtId="173" fontId="31" fillId="135" borderId="1" xfId="203" applyNumberFormat="1" applyFont="1" applyFill="1" applyBorder="1" applyAlignment="1" applyProtection="1">
      <alignment horizontal="right" vertical="center" wrapText="1"/>
      <protection locked="0"/>
    </xf>
    <xf numFmtId="173" fontId="65" fillId="84" borderId="0" xfId="138" applyNumberFormat="1" applyFont="1" applyFill="1" applyAlignment="1">
      <alignment vertical="center" shrinkToFit="1"/>
    </xf>
    <xf numFmtId="173" fontId="137" fillId="0" borderId="59" xfId="0" applyNumberFormat="1" applyFont="1" applyBorder="1" applyAlignment="1">
      <alignment horizontal="center" vertical="center"/>
    </xf>
    <xf numFmtId="173" fontId="137" fillId="0" borderId="60" xfId="0" applyNumberFormat="1" applyFont="1" applyBorder="1" applyAlignment="1">
      <alignment horizontal="center" vertical="center"/>
    </xf>
    <xf numFmtId="173" fontId="137" fillId="0" borderId="61" xfId="0" applyNumberFormat="1" applyFont="1" applyBorder="1" applyAlignment="1">
      <alignment horizontal="center" vertical="center"/>
    </xf>
    <xf numFmtId="173" fontId="138" fillId="106" borderId="47" xfId="150" applyNumberFormat="1" applyFont="1" applyFill="1" applyBorder="1" applyAlignment="1">
      <alignment horizontal="center" vertical="center" shrinkToFit="1"/>
    </xf>
    <xf numFmtId="173" fontId="31" fillId="136" borderId="1" xfId="0" applyNumberFormat="1" applyFont="1" applyFill="1" applyBorder="1" applyAlignment="1" applyProtection="1">
      <alignment horizontal="center" vertical="center" wrapText="1"/>
      <protection locked="0"/>
    </xf>
    <xf numFmtId="173" fontId="31" fillId="136" borderId="2" xfId="203" applyNumberFormat="1" applyFont="1" applyFill="1" applyBorder="1" applyAlignment="1">
      <alignment horizontal="right" vertical="center"/>
    </xf>
    <xf numFmtId="173" fontId="31" fillId="136" borderId="1" xfId="203" applyNumberFormat="1" applyFont="1" applyFill="1" applyBorder="1" applyAlignment="1">
      <alignment horizontal="right" vertical="center"/>
    </xf>
    <xf numFmtId="173" fontId="138" fillId="60" borderId="3" xfId="150" applyNumberFormat="1" applyFont="1" applyFill="1" applyBorder="1" applyAlignment="1">
      <alignment horizontal="center" vertical="center" shrinkToFit="1"/>
    </xf>
    <xf numFmtId="173" fontId="31" fillId="137" borderId="1" xfId="0" applyNumberFormat="1" applyFont="1" applyFill="1" applyBorder="1" applyAlignment="1" applyProtection="1">
      <alignment horizontal="center" vertical="center" wrapText="1"/>
      <protection locked="0"/>
    </xf>
    <xf numFmtId="173" fontId="31" fillId="137" borderId="2" xfId="203" applyNumberFormat="1" applyFont="1" applyFill="1" applyBorder="1" applyAlignment="1">
      <alignment horizontal="right" vertical="center"/>
    </xf>
    <xf numFmtId="173" fontId="31" fillId="137" borderId="1" xfId="203" applyNumberFormat="1" applyFont="1" applyFill="1" applyBorder="1" applyAlignment="1">
      <alignment horizontal="right" vertical="center"/>
    </xf>
    <xf numFmtId="173" fontId="134" fillId="138" borderId="3" xfId="138" applyNumberFormat="1" applyFont="1" applyFill="1" applyBorder="1" applyAlignment="1">
      <alignment horizontal="center" vertical="center"/>
    </xf>
    <xf numFmtId="173" fontId="31" fillId="59" borderId="1" xfId="0" applyNumberFormat="1" applyFont="1" applyFill="1" applyBorder="1" applyAlignment="1" applyProtection="1">
      <alignment horizontal="center" vertical="center" wrapText="1"/>
      <protection locked="0"/>
    </xf>
    <xf numFmtId="173" fontId="31" fillId="59" borderId="2" xfId="203" applyNumberFormat="1" applyFont="1" applyFill="1" applyBorder="1" applyAlignment="1">
      <alignment horizontal="right" vertical="center"/>
    </xf>
    <xf numFmtId="173" fontId="31" fillId="59" borderId="1" xfId="203" applyNumberFormat="1" applyFont="1" applyFill="1" applyBorder="1" applyAlignment="1">
      <alignment horizontal="right" vertical="center"/>
    </xf>
    <xf numFmtId="173" fontId="139" fillId="35" borderId="30" xfId="0" applyNumberFormat="1" applyFont="1" applyFill="1" applyBorder="1" applyAlignment="1">
      <alignment horizontal="center"/>
    </xf>
    <xf numFmtId="173" fontId="139" fillId="35" borderId="0" xfId="0" applyNumberFormat="1" applyFont="1" applyFill="1" applyAlignment="1">
      <alignment horizontal="center"/>
    </xf>
    <xf numFmtId="173" fontId="88" fillId="0" borderId="34" xfId="0" applyNumberFormat="1" applyFont="1" applyBorder="1" applyAlignment="1">
      <alignment horizontal="center"/>
    </xf>
    <xf numFmtId="173" fontId="88" fillId="0" borderId="27" xfId="0" applyNumberFormat="1" applyFont="1" applyBorder="1" applyAlignment="1">
      <alignment horizontal="center"/>
    </xf>
    <xf numFmtId="173" fontId="88" fillId="0" borderId="24" xfId="0" applyNumberFormat="1" applyFont="1" applyBorder="1" applyAlignment="1">
      <alignment horizontal="center"/>
    </xf>
    <xf numFmtId="173" fontId="137" fillId="0" borderId="62" xfId="0" applyNumberFormat="1" applyFont="1" applyBorder="1" applyAlignment="1">
      <alignment horizontal="center"/>
    </xf>
    <xf numFmtId="173" fontId="137" fillId="0" borderId="63" xfId="0" applyNumberFormat="1" applyFont="1" applyBorder="1" applyAlignment="1">
      <alignment horizontal="center"/>
    </xf>
    <xf numFmtId="173" fontId="91" fillId="0" borderId="0" xfId="252" applyNumberFormat="1" applyFont="1" applyAlignment="1"/>
    <xf numFmtId="173" fontId="140" fillId="0" borderId="0" xfId="0" applyNumberFormat="1" applyFont="1" applyAlignment="1">
      <alignment horizontal="center" wrapText="1" shrinkToFit="1"/>
    </xf>
    <xf numFmtId="173" fontId="141" fillId="89" borderId="34" xfId="0" applyNumberFormat="1" applyFont="1" applyFill="1" applyBorder="1" applyAlignment="1">
      <alignment horizontal="center" vertical="center"/>
    </xf>
    <xf numFmtId="173" fontId="141" fillId="89" borderId="27" xfId="0" applyNumberFormat="1" applyFont="1" applyFill="1" applyBorder="1" applyAlignment="1">
      <alignment horizontal="center" vertical="center"/>
    </xf>
    <xf numFmtId="173" fontId="141" fillId="89" borderId="29" xfId="0" applyNumberFormat="1" applyFont="1" applyFill="1" applyBorder="1" applyAlignment="1">
      <alignment horizontal="center" vertical="center"/>
    </xf>
    <xf numFmtId="173" fontId="0" fillId="0" borderId="64" xfId="0" applyNumberFormat="1" applyBorder="1"/>
    <xf numFmtId="173" fontId="0" fillId="0" borderId="65" xfId="0" applyNumberFormat="1" applyBorder="1"/>
    <xf numFmtId="173" fontId="0" fillId="0" borderId="66" xfId="0" applyNumberFormat="1" applyBorder="1"/>
    <xf numFmtId="173" fontId="141" fillId="89" borderId="39" xfId="0" applyNumberFormat="1" applyFont="1" applyFill="1" applyBorder="1" applyAlignment="1">
      <alignment horizontal="center" vertical="center"/>
    </xf>
    <xf numFmtId="173" fontId="141" fillId="89" borderId="25" xfId="0" applyNumberFormat="1" applyFont="1" applyFill="1" applyBorder="1" applyAlignment="1">
      <alignment horizontal="center" vertical="center"/>
    </xf>
    <xf numFmtId="173" fontId="141" fillId="89" borderId="40" xfId="0" applyNumberFormat="1" applyFont="1" applyFill="1" applyBorder="1" applyAlignment="1">
      <alignment horizontal="center" vertical="center"/>
    </xf>
    <xf numFmtId="173" fontId="69" fillId="0" borderId="0" xfId="0" applyNumberFormat="1" applyFont="1"/>
    <xf numFmtId="173" fontId="65" fillId="0" borderId="67" xfId="138" applyNumberFormat="1" applyFont="1" applyBorder="1" applyAlignment="1">
      <alignment horizontal="center" vertical="center" shrinkToFit="1"/>
    </xf>
    <xf numFmtId="173" fontId="65" fillId="0" borderId="68" xfId="138" applyNumberFormat="1" applyFont="1" applyBorder="1" applyAlignment="1">
      <alignment horizontal="center" vertical="center" shrinkToFit="1"/>
    </xf>
    <xf numFmtId="173" fontId="65" fillId="0" borderId="69" xfId="138" applyNumberFormat="1" applyFont="1" applyBorder="1" applyAlignment="1">
      <alignment horizontal="center" vertical="center" shrinkToFit="1"/>
    </xf>
    <xf numFmtId="173" fontId="65" fillId="0" borderId="1" xfId="138" applyNumberFormat="1" applyFont="1" applyBorder="1" applyAlignment="1">
      <alignment horizontal="center" vertical="center" shrinkToFit="1"/>
    </xf>
    <xf numFmtId="173" fontId="69" fillId="0" borderId="69" xfId="0" applyNumberFormat="1" applyFont="1" applyBorder="1"/>
    <xf numFmtId="173" fontId="65" fillId="0" borderId="17" xfId="138" applyNumberFormat="1" applyFont="1" applyBorder="1" applyAlignment="1">
      <alignment horizontal="center" vertical="center" shrinkToFit="1"/>
    </xf>
    <xf numFmtId="173" fontId="65" fillId="0" borderId="18" xfId="138" applyNumberFormat="1" applyFont="1" applyBorder="1" applyAlignment="1">
      <alignment horizontal="center" vertical="center" shrinkToFit="1"/>
    </xf>
    <xf numFmtId="173" fontId="65" fillId="0" borderId="70" xfId="138" applyNumberFormat="1" applyFont="1" applyBorder="1" applyAlignment="1">
      <alignment horizontal="center" vertical="center" shrinkToFit="1"/>
    </xf>
    <xf numFmtId="173" fontId="0" fillId="0" borderId="71" xfId="0" applyNumberFormat="1" applyBorder="1"/>
    <xf numFmtId="173" fontId="88" fillId="0" borderId="5" xfId="0" applyNumberFormat="1" applyFont="1" applyBorder="1" applyAlignment="1">
      <alignment horizontal="center"/>
    </xf>
    <xf numFmtId="173" fontId="138" fillId="108" borderId="34" xfId="0" applyNumberFormat="1" applyFont="1" applyFill="1" applyBorder="1" applyAlignment="1">
      <alignment horizontal="center"/>
    </xf>
    <xf numFmtId="173" fontId="138" fillId="108" borderId="29" xfId="0" applyNumberFormat="1" applyFont="1" applyFill="1" applyBorder="1" applyAlignment="1">
      <alignment horizontal="center"/>
    </xf>
    <xf numFmtId="173" fontId="31" fillId="0" borderId="0" xfId="0" applyNumberFormat="1" applyFont="1" applyAlignment="1">
      <alignment horizontal="center" vertical="center"/>
    </xf>
    <xf numFmtId="173" fontId="142" fillId="0" borderId="0" xfId="0" applyNumberFormat="1" applyFont="1"/>
    <xf numFmtId="173" fontId="88" fillId="0" borderId="29" xfId="0" applyNumberFormat="1" applyFont="1" applyBorder="1" applyAlignment="1">
      <alignment horizontal="center"/>
    </xf>
    <xf numFmtId="173" fontId="32" fillId="0" borderId="0" xfId="0" applyNumberFormat="1" applyFont="1" applyAlignment="1">
      <alignment horizontal="center" vertical="center"/>
    </xf>
    <xf numFmtId="173" fontId="88" fillId="0" borderId="72" xfId="0" applyNumberFormat="1" applyFont="1" applyBorder="1" applyAlignment="1">
      <alignment horizontal="center"/>
    </xf>
    <xf numFmtId="173" fontId="88" fillId="0" borderId="73" xfId="0" applyNumberFormat="1" applyFont="1" applyBorder="1" applyAlignment="1">
      <alignment horizontal="center"/>
    </xf>
    <xf numFmtId="173" fontId="88" fillId="0" borderId="47" xfId="0" applyNumberFormat="1" applyFont="1" applyBorder="1"/>
    <xf numFmtId="173" fontId="88" fillId="0" borderId="29" xfId="0" applyNumberFormat="1" applyFont="1" applyBorder="1"/>
    <xf numFmtId="173" fontId="143" fillId="0" borderId="67" xfId="138" applyNumberFormat="1" applyFont="1" applyBorder="1" applyAlignment="1">
      <alignment horizontal="left" vertical="center" shrinkToFit="1"/>
    </xf>
    <xf numFmtId="173" fontId="143" fillId="0" borderId="68" xfId="138" applyNumberFormat="1" applyFont="1" applyBorder="1" applyAlignment="1">
      <alignment horizontal="left" vertical="center" shrinkToFit="1"/>
    </xf>
    <xf numFmtId="173" fontId="65" fillId="139" borderId="1" xfId="138" applyNumberFormat="1" applyFont="1" applyFill="1" applyBorder="1" applyAlignment="1">
      <alignment horizontal="center" vertical="center" shrinkToFit="1"/>
    </xf>
    <xf numFmtId="173" fontId="143" fillId="0" borderId="1" xfId="138" applyNumberFormat="1" applyFont="1" applyBorder="1" applyAlignment="1">
      <alignment horizontal="center" vertical="center" shrinkToFit="1"/>
    </xf>
    <xf numFmtId="173" fontId="69" fillId="140" borderId="0" xfId="0" applyNumberFormat="1" applyFont="1" applyFill="1"/>
    <xf numFmtId="173" fontId="134" fillId="0" borderId="17" xfId="138" applyNumberFormat="1" applyFont="1" applyBorder="1" applyAlignment="1">
      <alignment horizontal="left" vertical="center" shrinkToFit="1"/>
    </xf>
    <xf numFmtId="173" fontId="134" fillId="0" borderId="18" xfId="138" applyNumberFormat="1" applyFont="1" applyBorder="1" applyAlignment="1">
      <alignment horizontal="left" vertical="center" shrinkToFit="1"/>
    </xf>
    <xf numFmtId="173" fontId="67" fillId="113" borderId="1" xfId="138" applyNumberFormat="1" applyFont="1" applyFill="1" applyBorder="1" applyAlignment="1">
      <alignment horizontal="center" vertical="center" shrinkToFit="1"/>
    </xf>
    <xf numFmtId="173" fontId="69" fillId="141" borderId="49" xfId="0" applyNumberFormat="1" applyFont="1" applyFill="1" applyBorder="1" applyAlignment="1">
      <alignment wrapText="1"/>
    </xf>
    <xf numFmtId="173" fontId="144" fillId="0" borderId="0" xfId="0" applyNumberFormat="1" applyFont="1" applyAlignment="1">
      <alignment wrapText="1" shrinkToFit="1"/>
    </xf>
    <xf numFmtId="173" fontId="13" fillId="0" borderId="0" xfId="0" applyNumberFormat="1" applyFont="1"/>
    <xf numFmtId="173" fontId="67" fillId="120" borderId="15" xfId="138" applyNumberFormat="1" applyFont="1" applyFill="1" applyBorder="1" applyAlignment="1">
      <alignment horizontal="center" vertical="center" shrinkToFit="1"/>
    </xf>
    <xf numFmtId="173" fontId="67" fillId="120" borderId="68" xfId="138" applyNumberFormat="1" applyFont="1" applyFill="1" applyBorder="1" applyAlignment="1">
      <alignment horizontal="center" vertical="center" shrinkToFit="1"/>
    </xf>
    <xf numFmtId="173" fontId="66" fillId="142" borderId="1" xfId="138" applyNumberFormat="1" applyFont="1" applyFill="1" applyBorder="1" applyAlignment="1">
      <alignment horizontal="center" vertical="center" shrinkToFit="1"/>
    </xf>
    <xf numFmtId="173" fontId="67" fillId="143" borderId="1" xfId="138" applyNumberFormat="1" applyFont="1" applyFill="1" applyBorder="1" applyAlignment="1">
      <alignment horizontal="center" vertical="center" shrinkToFit="1"/>
    </xf>
    <xf numFmtId="173" fontId="69" fillId="141" borderId="0" xfId="0" applyNumberFormat="1" applyFont="1" applyFill="1" applyAlignment="1">
      <alignment wrapText="1"/>
    </xf>
    <xf numFmtId="173" fontId="145" fillId="0" borderId="0" xfId="0" applyNumberFormat="1" applyFont="1" applyAlignment="1">
      <alignment horizontal="center" wrapText="1" shrinkToFit="1"/>
    </xf>
    <xf numFmtId="173" fontId="49" fillId="0" borderId="0" xfId="0" applyNumberFormat="1" applyFont="1" applyAlignment="1">
      <alignment shrinkToFit="1"/>
    </xf>
    <xf numFmtId="173" fontId="137" fillId="0" borderId="4" xfId="0" applyNumberFormat="1" applyFont="1" applyBorder="1" applyAlignment="1">
      <alignment horizontal="center"/>
    </xf>
    <xf numFmtId="173" fontId="137" fillId="0" borderId="24" xfId="0" applyNumberFormat="1" applyFont="1" applyBorder="1" applyAlignment="1">
      <alignment horizontal="center"/>
    </xf>
    <xf numFmtId="173" fontId="137" fillId="0" borderId="5" xfId="0" applyNumberFormat="1" applyFont="1" applyBorder="1" applyAlignment="1">
      <alignment horizontal="center"/>
    </xf>
    <xf numFmtId="173" fontId="138" fillId="120" borderId="4" xfId="0" applyNumberFormat="1" applyFont="1" applyFill="1" applyBorder="1" applyAlignment="1">
      <alignment horizontal="center"/>
    </xf>
    <xf numFmtId="173" fontId="138" fillId="120" borderId="5" xfId="0" applyNumberFormat="1" applyFont="1" applyFill="1" applyBorder="1" applyAlignment="1">
      <alignment horizontal="center"/>
    </xf>
    <xf numFmtId="173" fontId="120" fillId="0" borderId="1" xfId="126" applyNumberFormat="1" applyFont="1" applyBorder="1" applyAlignment="1">
      <alignment shrinkToFit="1"/>
    </xf>
    <xf numFmtId="173" fontId="84" fillId="63" borderId="69" xfId="131" applyNumberFormat="1" applyFont="1" applyFill="1" applyBorder="1" applyAlignment="1">
      <alignment horizontal="center"/>
    </xf>
    <xf numFmtId="173" fontId="0" fillId="0" borderId="1" xfId="0" applyNumberFormat="1" applyBorder="1" applyAlignment="1">
      <alignment horizontal="center" vertical="center"/>
    </xf>
    <xf numFmtId="173" fontId="0" fillId="0" borderId="1" xfId="200" applyNumberFormat="1" applyFont="1" applyFill="1" applyBorder="1" applyAlignment="1">
      <alignment horizontal="center"/>
    </xf>
    <xf numFmtId="173" fontId="146" fillId="144" borderId="1" xfId="138" applyNumberFormat="1" applyFont="1" applyFill="1" applyBorder="1" applyAlignment="1">
      <alignment horizontal="center" vertical="center" shrinkToFit="1"/>
    </xf>
    <xf numFmtId="173" fontId="67" fillId="91" borderId="1" xfId="138" applyNumberFormat="1" applyFont="1" applyFill="1" applyBorder="1" applyAlignment="1">
      <alignment horizontal="center" vertical="center" shrinkToFit="1"/>
    </xf>
    <xf numFmtId="173" fontId="13" fillId="84" borderId="0" xfId="0" applyNumberFormat="1" applyFont="1" applyFill="1"/>
    <xf numFmtId="173" fontId="137" fillId="84" borderId="0" xfId="0" applyNumberFormat="1" applyFont="1" applyFill="1" applyAlignment="1">
      <alignment horizontal="center"/>
    </xf>
    <xf numFmtId="173" fontId="138" fillId="84" borderId="0" xfId="0" applyNumberFormat="1" applyFont="1" applyFill="1" applyAlignment="1">
      <alignment horizontal="center"/>
    </xf>
    <xf numFmtId="173" fontId="34" fillId="84" borderId="0" xfId="0" applyNumberFormat="1" applyFont="1" applyFill="1"/>
    <xf numFmtId="173" fontId="81" fillId="145" borderId="0" xfId="0" applyNumberFormat="1" applyFont="1" applyFill="1" applyAlignment="1">
      <alignment horizontal="center" vertical="center"/>
    </xf>
    <xf numFmtId="173" fontId="147" fillId="146" borderId="1" xfId="138" applyNumberFormat="1" applyFont="1" applyFill="1" applyBorder="1" applyAlignment="1">
      <alignment horizontal="center" vertical="center" shrinkToFit="1"/>
    </xf>
    <xf numFmtId="173" fontId="67" fillId="147" borderId="1" xfId="138" applyNumberFormat="1" applyFont="1" applyFill="1" applyBorder="1" applyAlignment="1">
      <alignment horizontal="center" vertical="center" shrinkToFit="1"/>
    </xf>
    <xf numFmtId="173" fontId="49" fillId="0" borderId="0" xfId="0" applyNumberFormat="1" applyFont="1" applyAlignment="1">
      <alignment wrapText="1" shrinkToFit="1"/>
    </xf>
    <xf numFmtId="173" fontId="50" fillId="0" borderId="0" xfId="56" applyNumberFormat="1" applyFont="1" applyFill="1" applyBorder="1" applyAlignment="1" applyProtection="1">
      <alignment shrinkToFit="1"/>
    </xf>
    <xf numFmtId="173" fontId="65" fillId="34" borderId="53" xfId="138" applyNumberFormat="1" applyFont="1" applyFill="1" applyBorder="1" applyAlignment="1">
      <alignment horizontal="center" vertical="center" shrinkToFit="1"/>
    </xf>
    <xf numFmtId="173" fontId="65" fillId="34" borderId="0" xfId="138" applyNumberFormat="1" applyFont="1" applyFill="1" applyAlignment="1">
      <alignment horizontal="center" vertical="center" shrinkToFit="1"/>
    </xf>
    <xf numFmtId="173" fontId="65" fillId="34" borderId="51" xfId="138" applyNumberFormat="1" applyFont="1" applyFill="1" applyBorder="1" applyAlignment="1">
      <alignment horizontal="center" vertical="center" shrinkToFit="1"/>
    </xf>
    <xf numFmtId="173" fontId="3" fillId="0" borderId="1" xfId="150" applyNumberFormat="1" applyFont="1" applyBorder="1" applyAlignment="1">
      <alignment horizontal="center" vertical="center"/>
    </xf>
    <xf numFmtId="173" fontId="3" fillId="0" borderId="69" xfId="150" applyNumberFormat="1" applyFont="1" applyBorder="1" applyAlignment="1">
      <alignment horizontal="center" vertical="center"/>
    </xf>
    <xf numFmtId="173" fontId="148" fillId="84" borderId="69" xfId="131" applyNumberFormat="1" applyFont="1" applyFill="1" applyBorder="1" applyAlignment="1">
      <alignment horizontal="center"/>
    </xf>
    <xf numFmtId="173" fontId="66" fillId="146" borderId="1" xfId="138" applyNumberFormat="1" applyFont="1" applyFill="1" applyBorder="1" applyAlignment="1">
      <alignment horizontal="center" vertical="center" shrinkToFit="1"/>
    </xf>
    <xf numFmtId="173" fontId="134" fillId="0" borderId="15" xfId="150" applyNumberFormat="1" applyFont="1" applyBorder="1" applyAlignment="1">
      <alignment horizontal="left" vertical="center" shrinkToFit="1"/>
    </xf>
    <xf numFmtId="173" fontId="134" fillId="0" borderId="68" xfId="150" applyNumberFormat="1" applyFont="1" applyBorder="1" applyAlignment="1">
      <alignment horizontal="left" vertical="center" shrinkToFit="1"/>
    </xf>
    <xf numFmtId="173" fontId="134" fillId="0" borderId="69" xfId="150" applyNumberFormat="1" applyFont="1" applyBorder="1" applyAlignment="1">
      <alignment horizontal="left" vertical="center" shrinkToFit="1"/>
    </xf>
    <xf numFmtId="173" fontId="3" fillId="0" borderId="15" xfId="138" applyNumberFormat="1" applyFont="1" applyBorder="1" applyAlignment="1">
      <alignment horizontal="center" vertical="center" shrinkToFit="1"/>
    </xf>
    <xf numFmtId="173" fontId="134" fillId="0" borderId="74" xfId="138" applyNumberFormat="1" applyFont="1" applyBorder="1" applyAlignment="1">
      <alignment horizontal="center" vertical="center" shrinkToFit="1"/>
    </xf>
    <xf numFmtId="173" fontId="36" fillId="35" borderId="5" xfId="0" applyNumberFormat="1" applyFont="1" applyFill="1" applyBorder="1" applyAlignment="1">
      <alignment horizontal="center" vertical="center"/>
    </xf>
    <xf numFmtId="173" fontId="49" fillId="0" borderId="15" xfId="138" applyNumberFormat="1" applyFont="1" applyBorder="1" applyAlignment="1">
      <alignment horizontal="center" vertical="center" shrinkToFit="1"/>
    </xf>
    <xf numFmtId="173" fontId="49" fillId="0" borderId="68" xfId="138" applyNumberFormat="1" applyFont="1" applyBorder="1" applyAlignment="1">
      <alignment horizontal="center" vertical="center" shrinkToFit="1"/>
    </xf>
    <xf numFmtId="173" fontId="49" fillId="0" borderId="69" xfId="138" applyNumberFormat="1" applyFont="1" applyBorder="1" applyAlignment="1">
      <alignment horizontal="center" vertical="center" shrinkToFit="1"/>
    </xf>
    <xf numFmtId="173" fontId="3" fillId="138" borderId="0" xfId="138" applyNumberFormat="1" applyFont="1" applyFill="1" applyAlignment="1">
      <alignment horizontal="center" vertical="center"/>
    </xf>
    <xf numFmtId="173" fontId="3" fillId="106" borderId="0" xfId="150" applyNumberFormat="1" applyFont="1" applyFill="1" applyAlignment="1">
      <alignment horizontal="center" vertical="center" shrinkToFit="1"/>
    </xf>
    <xf numFmtId="173" fontId="3" fillId="60" borderId="0" xfId="150" applyNumberFormat="1" applyFont="1" applyFill="1" applyAlignment="1">
      <alignment horizontal="center" vertical="center" shrinkToFit="1"/>
    </xf>
    <xf numFmtId="173" fontId="49" fillId="0" borderId="1" xfId="138" applyNumberFormat="1" applyFont="1" applyBorder="1" applyAlignment="1">
      <alignment horizontal="center" vertical="center" shrinkToFit="1"/>
    </xf>
    <xf numFmtId="173" fontId="73" fillId="148" borderId="0" xfId="138" applyNumberFormat="1" applyFont="1" applyFill="1" applyAlignment="1">
      <alignment horizontal="center" vertical="center"/>
    </xf>
    <xf numFmtId="173" fontId="120" fillId="72" borderId="69" xfId="131" applyNumberFormat="1" applyFont="1" applyFill="1" applyBorder="1" applyAlignment="1">
      <alignment horizontal="center"/>
    </xf>
    <xf numFmtId="173" fontId="66" fillId="54" borderId="1" xfId="138" applyNumberFormat="1" applyFont="1" applyFill="1" applyBorder="1" applyAlignment="1">
      <alignment horizontal="center" vertical="center" shrinkToFit="1"/>
    </xf>
    <xf numFmtId="173" fontId="67" fillId="149" borderId="1" xfId="138" applyNumberFormat="1" applyFont="1" applyFill="1" applyBorder="1" applyAlignment="1">
      <alignment horizontal="center" vertical="center" shrinkToFit="1"/>
    </xf>
    <xf numFmtId="173" fontId="36" fillId="37" borderId="40" xfId="0" applyNumberFormat="1" applyFont="1" applyFill="1" applyBorder="1" applyAlignment="1">
      <alignment horizontal="center" vertical="center"/>
    </xf>
    <xf numFmtId="173" fontId="84" fillId="90" borderId="69" xfId="131" applyNumberFormat="1" applyFont="1" applyFill="1" applyBorder="1" applyAlignment="1">
      <alignment horizontal="center"/>
    </xf>
    <xf numFmtId="173" fontId="149" fillId="150" borderId="1" xfId="138" applyNumberFormat="1" applyFont="1" applyFill="1" applyBorder="1" applyAlignment="1">
      <alignment horizontal="center" vertical="center" shrinkToFit="1"/>
    </xf>
    <xf numFmtId="173" fontId="67" fillId="151" borderId="1" xfId="138" applyNumberFormat="1" applyFont="1" applyFill="1" applyBorder="1" applyAlignment="1">
      <alignment horizontal="center" vertical="center" shrinkToFit="1"/>
    </xf>
    <xf numFmtId="173" fontId="44" fillId="65" borderId="25" xfId="0" applyNumberFormat="1" applyFont="1" applyFill="1" applyBorder="1" applyAlignment="1">
      <alignment horizontal="center" vertical="center"/>
    </xf>
    <xf numFmtId="173" fontId="81" fillId="80" borderId="69" xfId="131" applyNumberFormat="1" applyFont="1" applyFill="1" applyBorder="1" applyAlignment="1">
      <alignment horizontal="center"/>
    </xf>
    <xf numFmtId="173" fontId="149" fillId="152" borderId="1" xfId="138" applyNumberFormat="1" applyFont="1" applyFill="1" applyBorder="1" applyAlignment="1">
      <alignment horizontal="center" vertical="center" shrinkToFit="1"/>
    </xf>
    <xf numFmtId="173" fontId="67" fillId="153" borderId="1" xfId="138" applyNumberFormat="1" applyFont="1" applyFill="1" applyBorder="1" applyAlignment="1">
      <alignment horizontal="center" vertical="center" shrinkToFit="1"/>
    </xf>
    <xf numFmtId="173" fontId="36" fillId="63" borderId="40" xfId="0" applyNumberFormat="1" applyFont="1" applyFill="1" applyBorder="1" applyAlignment="1">
      <alignment horizontal="center" vertical="center"/>
    </xf>
    <xf numFmtId="173" fontId="84" fillId="44" borderId="69" xfId="131" applyNumberFormat="1" applyFont="1" applyFill="1" applyBorder="1" applyAlignment="1">
      <alignment horizontal="center"/>
    </xf>
    <xf numFmtId="173" fontId="66" fillId="154" borderId="1" xfId="138" applyNumberFormat="1" applyFont="1" applyFill="1" applyBorder="1" applyAlignment="1">
      <alignment horizontal="center" vertical="center" shrinkToFit="1"/>
    </xf>
    <xf numFmtId="173" fontId="67" fillId="155" borderId="1" xfId="138" applyNumberFormat="1" applyFont="1" applyFill="1" applyBorder="1" applyAlignment="1">
      <alignment horizontal="center" vertical="center" shrinkToFit="1"/>
    </xf>
    <xf numFmtId="173" fontId="35" fillId="71" borderId="0" xfId="0" applyNumberFormat="1" applyFont="1" applyFill="1" applyAlignment="1">
      <alignment horizontal="center" vertical="center"/>
    </xf>
    <xf numFmtId="173" fontId="99" fillId="63" borderId="1" xfId="131" applyNumberFormat="1" applyFont="1" applyFill="1" applyBorder="1" applyAlignment="1">
      <alignment horizontal="center"/>
    </xf>
    <xf numFmtId="173" fontId="150" fillId="156" borderId="1" xfId="138" applyNumberFormat="1" applyFont="1" applyFill="1" applyBorder="1" applyAlignment="1">
      <alignment horizontal="center" vertical="center" shrinkToFit="1"/>
    </xf>
    <xf numFmtId="173" fontId="81" fillId="80" borderId="1" xfId="0" applyNumberFormat="1" applyFont="1" applyFill="1" applyBorder="1" applyAlignment="1">
      <alignment horizontal="center" vertical="center"/>
    </xf>
    <xf numFmtId="173" fontId="36" fillId="62" borderId="24" xfId="0" applyNumberFormat="1" applyFont="1" applyFill="1" applyBorder="1" applyAlignment="1">
      <alignment horizontal="center" vertical="center"/>
    </xf>
    <xf numFmtId="173" fontId="84" fillId="50" borderId="69" xfId="131" applyNumberFormat="1" applyFont="1" applyFill="1" applyBorder="1" applyAlignment="1">
      <alignment horizontal="center"/>
    </xf>
    <xf numFmtId="173" fontId="146" fillId="157" borderId="1" xfId="138" applyNumberFormat="1" applyFont="1" applyFill="1" applyBorder="1" applyAlignment="1">
      <alignment horizontal="center" vertical="center" shrinkToFit="1"/>
    </xf>
    <xf numFmtId="173" fontId="81" fillId="158" borderId="1" xfId="0" applyNumberFormat="1" applyFont="1" applyFill="1" applyBorder="1" applyAlignment="1">
      <alignment horizontal="center" vertical="center"/>
    </xf>
    <xf numFmtId="173" fontId="35" fillId="67" borderId="0" xfId="0" applyNumberFormat="1" applyFont="1" applyFill="1" applyAlignment="1">
      <alignment horizontal="center" vertical="center"/>
    </xf>
    <xf numFmtId="173" fontId="84" fillId="159" borderId="69" xfId="131" applyNumberFormat="1" applyFont="1" applyFill="1" applyBorder="1" applyAlignment="1">
      <alignment horizontal="center"/>
    </xf>
    <xf numFmtId="173" fontId="81" fillId="72" borderId="1" xfId="0" applyNumberFormat="1" applyFont="1" applyFill="1" applyBorder="1" applyAlignment="1">
      <alignment horizontal="center" vertical="center"/>
    </xf>
    <xf numFmtId="173" fontId="89" fillId="160" borderId="1" xfId="0" applyNumberFormat="1" applyFont="1" applyFill="1" applyBorder="1" applyAlignment="1">
      <alignment horizontal="center" vertical="center"/>
    </xf>
    <xf numFmtId="173" fontId="36" fillId="51" borderId="23" xfId="0" applyNumberFormat="1" applyFont="1" applyFill="1" applyBorder="1" applyAlignment="1">
      <alignment horizontal="center" vertical="center"/>
    </xf>
    <xf numFmtId="173" fontId="84" fillId="55" borderId="69" xfId="131" applyNumberFormat="1" applyFont="1" applyFill="1" applyBorder="1" applyAlignment="1">
      <alignment horizontal="center"/>
    </xf>
    <xf numFmtId="173" fontId="120" fillId="110" borderId="1" xfId="0" applyNumberFormat="1" applyFont="1" applyFill="1" applyBorder="1" applyAlignment="1">
      <alignment horizontal="center" vertical="center"/>
    </xf>
    <xf numFmtId="173" fontId="36" fillId="47" borderId="75" xfId="0" applyNumberFormat="1" applyFont="1" applyFill="1" applyBorder="1" applyAlignment="1">
      <alignment horizontal="center" vertical="center"/>
    </xf>
    <xf numFmtId="173" fontId="120" fillId="0" borderId="1" xfId="138" applyNumberFormat="1" applyFont="1" applyBorder="1" applyAlignment="1">
      <alignment vertical="center" shrinkToFit="1"/>
    </xf>
    <xf numFmtId="173" fontId="66" fillId="161" borderId="69" xfId="138" applyNumberFormat="1" applyFont="1" applyFill="1" applyBorder="1" applyAlignment="1">
      <alignment horizontal="center" vertical="center" shrinkToFit="1"/>
    </xf>
    <xf numFmtId="173" fontId="153" fillId="162" borderId="1" xfId="138" applyNumberFormat="1" applyFont="1" applyFill="1" applyBorder="1" applyAlignment="1">
      <alignment horizontal="center" vertical="center" shrinkToFit="1"/>
    </xf>
    <xf numFmtId="173" fontId="66" fillId="0" borderId="1" xfId="138" applyNumberFormat="1" applyFont="1" applyBorder="1" applyAlignment="1">
      <alignment horizontal="center" vertical="center" shrinkToFit="1"/>
    </xf>
    <xf numFmtId="173" fontId="45" fillId="66" borderId="1" xfId="150" applyNumberFormat="1" applyFont="1" applyFill="1" applyBorder="1" applyAlignment="1">
      <alignment horizontal="center" vertical="center" shrinkToFit="1"/>
    </xf>
    <xf numFmtId="173" fontId="84" fillId="44" borderId="1" xfId="131" applyNumberFormat="1" applyFont="1" applyFill="1" applyBorder="1" applyAlignment="1">
      <alignment horizontal="center"/>
    </xf>
    <xf numFmtId="173" fontId="67" fillId="163" borderId="1" xfId="138" applyNumberFormat="1" applyFont="1" applyFill="1" applyBorder="1" applyAlignment="1">
      <alignment horizontal="center" vertical="center" shrinkToFit="1"/>
    </xf>
    <xf numFmtId="173" fontId="66" fillId="115" borderId="1" xfId="138" applyNumberFormat="1" applyFont="1" applyFill="1" applyBorder="1" applyAlignment="1">
      <alignment horizontal="center" vertical="center" shrinkToFit="1"/>
    </xf>
    <xf numFmtId="173" fontId="41" fillId="52" borderId="40" xfId="0" applyNumberFormat="1" applyFont="1" applyFill="1" applyBorder="1" applyAlignment="1">
      <alignment horizontal="center" vertical="center"/>
    </xf>
    <xf numFmtId="173" fontId="66" fillId="164" borderId="69" xfId="138" applyNumberFormat="1" applyFont="1" applyFill="1" applyBorder="1" applyAlignment="1">
      <alignment horizontal="center" vertical="center" shrinkToFit="1"/>
    </xf>
    <xf numFmtId="173" fontId="146" fillId="165" borderId="1" xfId="138" applyNumberFormat="1" applyFont="1" applyFill="1" applyBorder="1" applyAlignment="1">
      <alignment horizontal="center" vertical="center" shrinkToFit="1"/>
    </xf>
    <xf numFmtId="173" fontId="84" fillId="133" borderId="1" xfId="0" applyNumberFormat="1" applyFont="1" applyFill="1" applyBorder="1" applyAlignment="1">
      <alignment horizontal="center" vertical="center"/>
    </xf>
    <xf numFmtId="173" fontId="36" fillId="62" borderId="40" xfId="0" applyNumberFormat="1" applyFont="1" applyFill="1" applyBorder="1" applyAlignment="1">
      <alignment horizontal="center" vertical="center"/>
    </xf>
    <xf numFmtId="173" fontId="66" fillId="166" borderId="69" xfId="138" applyNumberFormat="1" applyFont="1" applyFill="1" applyBorder="1" applyAlignment="1">
      <alignment horizontal="center" vertical="center" shrinkToFit="1"/>
    </xf>
    <xf numFmtId="173" fontId="67" fillId="167" borderId="1" xfId="138" applyNumberFormat="1" applyFont="1" applyFill="1" applyBorder="1" applyAlignment="1">
      <alignment horizontal="center" vertical="center" shrinkToFit="1"/>
    </xf>
    <xf numFmtId="173" fontId="67" fillId="168" borderId="1" xfId="138" applyNumberFormat="1" applyFont="1" applyFill="1" applyBorder="1" applyAlignment="1">
      <alignment horizontal="center" vertical="center" shrinkToFit="1"/>
    </xf>
    <xf numFmtId="173" fontId="39" fillId="43" borderId="25" xfId="0" applyNumberFormat="1" applyFont="1" applyFill="1" applyBorder="1" applyAlignment="1">
      <alignment horizontal="center" vertical="center"/>
    </xf>
    <xf numFmtId="173" fontId="154" fillId="44" borderId="1" xfId="131" applyNumberFormat="1" applyFont="1" applyFill="1" applyBorder="1" applyAlignment="1">
      <alignment horizontal="center"/>
    </xf>
    <xf numFmtId="173" fontId="143" fillId="140" borderId="0" xfId="0" applyNumberFormat="1" applyFont="1" applyFill="1" applyAlignment="1">
      <alignment horizontal="center" vertical="center"/>
    </xf>
    <xf numFmtId="173" fontId="42" fillId="58" borderId="15" xfId="138" applyNumberFormat="1" applyFont="1" applyFill="1" applyBorder="1" applyAlignment="1">
      <alignment horizontal="center" vertical="center" shrinkToFit="1"/>
    </xf>
    <xf numFmtId="173" fontId="120" fillId="0" borderId="1" xfId="138" applyNumberFormat="1" applyFont="1" applyBorder="1" applyAlignment="1">
      <alignment shrinkToFit="1"/>
    </xf>
    <xf numFmtId="173" fontId="79" fillId="52" borderId="1" xfId="0" applyNumberFormat="1" applyFont="1" applyFill="1" applyBorder="1" applyAlignment="1">
      <alignment horizontal="center"/>
    </xf>
    <xf numFmtId="173" fontId="66" fillId="169" borderId="1" xfId="138" applyNumberFormat="1" applyFont="1" applyFill="1" applyBorder="1" applyAlignment="1">
      <alignment horizontal="center" vertical="center" shrinkToFit="1"/>
    </xf>
    <xf numFmtId="173" fontId="66" fillId="114" borderId="1" xfId="138" applyNumberFormat="1" applyFont="1" applyFill="1" applyBorder="1" applyAlignment="1">
      <alignment horizontal="center" vertical="center" shrinkToFit="1"/>
    </xf>
    <xf numFmtId="173" fontId="35" fillId="55" borderId="25" xfId="0" applyNumberFormat="1" applyFont="1" applyFill="1" applyBorder="1" applyAlignment="1">
      <alignment horizontal="center" vertical="center"/>
    </xf>
    <xf numFmtId="173" fontId="67" fillId="170" borderId="69" xfId="138" applyNumberFormat="1" applyFont="1" applyFill="1" applyBorder="1" applyAlignment="1">
      <alignment horizontal="center" vertical="center" shrinkToFit="1"/>
    </xf>
    <xf numFmtId="173" fontId="65" fillId="171" borderId="1" xfId="138" applyNumberFormat="1" applyFont="1" applyFill="1" applyBorder="1" applyAlignment="1">
      <alignment horizontal="center" vertical="center" shrinkToFit="1"/>
    </xf>
    <xf numFmtId="173" fontId="81" fillId="108" borderId="1" xfId="0" applyNumberFormat="1" applyFont="1" applyFill="1" applyBorder="1" applyAlignment="1">
      <alignment horizontal="center" vertical="center"/>
    </xf>
    <xf numFmtId="173" fontId="36" fillId="57" borderId="25" xfId="0" applyNumberFormat="1" applyFont="1" applyFill="1" applyBorder="1" applyAlignment="1">
      <alignment horizontal="center" vertical="center"/>
    </xf>
    <xf numFmtId="173" fontId="65" fillId="172" borderId="69" xfId="138" applyNumberFormat="1" applyFont="1" applyFill="1" applyBorder="1" applyAlignment="1">
      <alignment horizontal="center" vertical="center" shrinkToFit="1"/>
    </xf>
    <xf numFmtId="173" fontId="66" fillId="173" borderId="1" xfId="138" applyNumberFormat="1" applyFont="1" applyFill="1" applyBorder="1" applyAlignment="1">
      <alignment horizontal="center" vertical="center" shrinkToFit="1"/>
    </xf>
    <xf numFmtId="173" fontId="81" fillId="150" borderId="1" xfId="0" applyNumberFormat="1" applyFont="1" applyFill="1" applyBorder="1" applyAlignment="1">
      <alignment horizontal="center" vertical="center"/>
    </xf>
    <xf numFmtId="173" fontId="35" fillId="36" borderId="25" xfId="0" applyNumberFormat="1" applyFont="1" applyFill="1" applyBorder="1" applyAlignment="1">
      <alignment horizontal="center" vertical="center"/>
    </xf>
    <xf numFmtId="173" fontId="67" fillId="174" borderId="69" xfId="138" applyNumberFormat="1" applyFont="1" applyFill="1" applyBorder="1" applyAlignment="1">
      <alignment horizontal="center" vertical="center" shrinkToFit="1"/>
    </xf>
    <xf numFmtId="173" fontId="155" fillId="154" borderId="1" xfId="138" applyNumberFormat="1" applyFont="1" applyFill="1" applyBorder="1" applyAlignment="1">
      <alignment horizontal="center" vertical="center" shrinkToFit="1"/>
    </xf>
    <xf numFmtId="173" fontId="36" fillId="40" borderId="25" xfId="0" applyNumberFormat="1" applyFont="1" applyFill="1" applyBorder="1" applyAlignment="1">
      <alignment horizontal="center" vertical="center"/>
    </xf>
    <xf numFmtId="173" fontId="67" fillId="175" borderId="69" xfId="138" applyNumberFormat="1" applyFont="1" applyFill="1" applyBorder="1" applyAlignment="1">
      <alignment horizontal="center" vertical="center" shrinkToFit="1"/>
    </xf>
    <xf numFmtId="173" fontId="152" fillId="176" borderId="1" xfId="0" applyNumberFormat="1" applyFont="1" applyFill="1" applyBorder="1" applyAlignment="1">
      <alignment horizontal="center" vertical="center"/>
    </xf>
    <xf numFmtId="173" fontId="45" fillId="72" borderId="25" xfId="0" applyNumberFormat="1" applyFont="1" applyFill="1" applyBorder="1" applyAlignment="1">
      <alignment horizontal="center" vertical="center"/>
    </xf>
    <xf numFmtId="173" fontId="84" fillId="123" borderId="1" xfId="0" applyNumberFormat="1" applyFont="1" applyFill="1" applyBorder="1" applyAlignment="1">
      <alignment horizontal="center"/>
    </xf>
    <xf numFmtId="173" fontId="67" fillId="177" borderId="1" xfId="138" applyNumberFormat="1" applyFont="1" applyFill="1" applyBorder="1" applyAlignment="1">
      <alignment horizontal="center" vertical="center" shrinkToFit="1"/>
    </xf>
    <xf numFmtId="173" fontId="84" fillId="44" borderId="1" xfId="0" applyNumberFormat="1" applyFont="1" applyFill="1" applyBorder="1" applyAlignment="1">
      <alignment horizontal="center" vertical="center"/>
    </xf>
    <xf numFmtId="173" fontId="39" fillId="64" borderId="25" xfId="0" applyNumberFormat="1" applyFont="1" applyFill="1" applyBorder="1" applyAlignment="1">
      <alignment horizontal="center" vertical="center"/>
    </xf>
    <xf numFmtId="173" fontId="120" fillId="178" borderId="1" xfId="0" applyNumberFormat="1" applyFont="1" applyFill="1" applyBorder="1" applyAlignment="1">
      <alignment horizontal="center" vertical="center"/>
    </xf>
    <xf numFmtId="173" fontId="156" fillId="179" borderId="1" xfId="0" applyNumberFormat="1" applyFont="1" applyFill="1" applyBorder="1" applyAlignment="1">
      <alignment horizontal="center" vertical="center"/>
    </xf>
    <xf numFmtId="173" fontId="36" fillId="59" borderId="25" xfId="0" applyNumberFormat="1" applyFont="1" applyFill="1" applyBorder="1" applyAlignment="1">
      <alignment horizontal="center" vertical="center"/>
    </xf>
    <xf numFmtId="173" fontId="120" fillId="34" borderId="1" xfId="0" applyNumberFormat="1" applyFont="1" applyFill="1" applyBorder="1" applyAlignment="1">
      <alignment horizontal="center" vertical="center"/>
    </xf>
    <xf numFmtId="173" fontId="156" fillId="180" borderId="1" xfId="0" applyNumberFormat="1" applyFont="1" applyFill="1" applyBorder="1" applyAlignment="1">
      <alignment horizontal="center" vertical="center"/>
    </xf>
    <xf numFmtId="173" fontId="69" fillId="0" borderId="71" xfId="0" applyNumberFormat="1" applyFont="1" applyBorder="1"/>
    <xf numFmtId="173" fontId="49" fillId="0" borderId="16" xfId="138" applyNumberFormat="1" applyFont="1" applyBorder="1" applyAlignment="1">
      <alignment horizontal="center" vertical="center" shrinkToFit="1"/>
    </xf>
    <xf numFmtId="173" fontId="49" fillId="0" borderId="20" xfId="138" applyNumberFormat="1" applyFont="1" applyBorder="1" applyAlignment="1">
      <alignment horizontal="center" vertical="center" shrinkToFit="1"/>
    </xf>
    <xf numFmtId="173" fontId="35" fillId="181" borderId="70" xfId="138" applyNumberFormat="1" applyFont="1" applyFill="1" applyBorder="1" applyAlignment="1">
      <alignment vertical="center" shrinkToFit="1"/>
    </xf>
    <xf numFmtId="173" fontId="60" fillId="182" borderId="37" xfId="138" applyNumberFormat="1" applyFont="1" applyFill="1" applyBorder="1" applyAlignment="1">
      <alignment horizontal="center" vertical="center" shrinkToFit="1"/>
    </xf>
    <xf numFmtId="173" fontId="49" fillId="0" borderId="17" xfId="138" applyNumberFormat="1" applyFont="1" applyBorder="1" applyAlignment="1">
      <alignment horizontal="center" vertical="center" shrinkToFit="1"/>
    </xf>
    <xf numFmtId="173" fontId="49" fillId="0" borderId="18" xfId="138" applyNumberFormat="1" applyFont="1" applyBorder="1" applyAlignment="1">
      <alignment horizontal="center" vertical="center" shrinkToFit="1"/>
    </xf>
    <xf numFmtId="173" fontId="35" fillId="181" borderId="76" xfId="138" applyNumberFormat="1" applyFont="1" applyFill="1" applyBorder="1" applyAlignment="1">
      <alignment vertical="center" shrinkToFit="1"/>
    </xf>
    <xf numFmtId="173" fontId="60" fillId="182" borderId="1" xfId="138" applyNumberFormat="1" applyFont="1" applyFill="1" applyBorder="1" applyAlignment="1">
      <alignment horizontal="center" vertical="center" shrinkToFit="1"/>
    </xf>
    <xf numFmtId="173" fontId="120" fillId="0" borderId="15" xfId="126" applyNumberFormat="1" applyFont="1" applyBorder="1" applyAlignment="1">
      <alignment horizontal="left" shrinkToFit="1"/>
    </xf>
    <xf numFmtId="173" fontId="81" fillId="61" borderId="1" xfId="131" applyNumberFormat="1" applyFont="1" applyFill="1" applyBorder="1" applyAlignment="1">
      <alignment horizontal="center"/>
    </xf>
    <xf numFmtId="173" fontId="66" fillId="183" borderId="1" xfId="138" applyNumberFormat="1" applyFont="1" applyFill="1" applyBorder="1" applyAlignment="1">
      <alignment horizontal="center" vertical="center" shrinkToFit="1"/>
    </xf>
    <xf numFmtId="173" fontId="67" fillId="184" borderId="1" xfId="138" applyNumberFormat="1" applyFont="1" applyFill="1" applyBorder="1" applyAlignment="1">
      <alignment horizontal="center" vertical="center" shrinkToFit="1"/>
    </xf>
    <xf numFmtId="173" fontId="157" fillId="55" borderId="15" xfId="138" applyNumberFormat="1" applyFont="1" applyFill="1" applyBorder="1" applyAlignment="1">
      <alignment horizontal="center" vertical="center" shrinkToFit="1"/>
    </xf>
    <xf numFmtId="173" fontId="157" fillId="55" borderId="68" xfId="138" applyNumberFormat="1" applyFont="1" applyFill="1" applyBorder="1" applyAlignment="1">
      <alignment horizontal="center" vertical="center" shrinkToFit="1"/>
    </xf>
    <xf numFmtId="173" fontId="157" fillId="55" borderId="69" xfId="138" applyNumberFormat="1" applyFont="1" applyFill="1" applyBorder="1" applyAlignment="1">
      <alignment horizontal="center" vertical="center" shrinkToFit="1"/>
    </xf>
    <xf numFmtId="173" fontId="12" fillId="0" borderId="0" xfId="0" applyNumberFormat="1" applyFont="1"/>
    <xf numFmtId="173" fontId="65" fillId="59" borderId="1" xfId="138" applyNumberFormat="1" applyFont="1" applyFill="1" applyBorder="1" applyAlignment="1">
      <alignment horizontal="center" vertical="center" shrinkToFit="1"/>
    </xf>
    <xf numFmtId="173" fontId="149" fillId="185" borderId="1" xfId="138" applyNumberFormat="1" applyFont="1" applyFill="1" applyBorder="1" applyAlignment="1">
      <alignment horizontal="center" vertical="center" shrinkToFit="1"/>
    </xf>
    <xf numFmtId="173" fontId="158" fillId="186" borderId="1" xfId="0" applyNumberFormat="1" applyFont="1" applyFill="1" applyBorder="1" applyAlignment="1">
      <alignment horizontal="center" vertical="center"/>
    </xf>
    <xf numFmtId="173" fontId="134" fillId="84" borderId="26" xfId="150" applyNumberFormat="1" applyFont="1" applyFill="1" applyBorder="1" applyAlignment="1">
      <alignment horizontal="left" vertical="center" shrinkToFit="1"/>
    </xf>
    <xf numFmtId="173" fontId="134" fillId="84" borderId="36" xfId="150" applyNumberFormat="1" applyFont="1" applyFill="1" applyBorder="1" applyAlignment="1">
      <alignment horizontal="left" vertical="center" shrinkToFit="1"/>
    </xf>
    <xf numFmtId="173" fontId="134" fillId="84" borderId="77" xfId="150" applyNumberFormat="1" applyFont="1" applyFill="1" applyBorder="1" applyAlignment="1">
      <alignment horizontal="left" vertical="center" shrinkToFit="1"/>
    </xf>
    <xf numFmtId="173" fontId="3" fillId="0" borderId="26" xfId="138" applyNumberFormat="1" applyFont="1" applyBorder="1" applyAlignment="1">
      <alignment horizontal="center" vertical="center" shrinkToFit="1"/>
    </xf>
    <xf numFmtId="173" fontId="134" fillId="0" borderId="78" xfId="138" applyNumberFormat="1" applyFont="1" applyBorder="1" applyAlignment="1">
      <alignment horizontal="center" vertical="center" shrinkToFit="1"/>
    </xf>
    <xf numFmtId="173" fontId="37" fillId="39" borderId="0" xfId="0" applyNumberFormat="1" applyFont="1" applyFill="1" applyAlignment="1">
      <alignment horizontal="center" vertical="center"/>
    </xf>
    <xf numFmtId="173" fontId="49" fillId="0" borderId="26" xfId="138" applyNumberFormat="1" applyFont="1" applyBorder="1" applyAlignment="1">
      <alignment horizontal="center" vertical="center" shrinkToFit="1"/>
    </xf>
    <xf numFmtId="173" fontId="49" fillId="0" borderId="36" xfId="138" applyNumberFormat="1" applyFont="1" applyBorder="1" applyAlignment="1">
      <alignment horizontal="center" vertical="center" shrinkToFit="1"/>
    </xf>
    <xf numFmtId="173" fontId="49" fillId="0" borderId="77" xfId="138" applyNumberFormat="1" applyFont="1" applyBorder="1" applyAlignment="1">
      <alignment horizontal="center" vertical="center" shrinkToFit="1"/>
    </xf>
    <xf numFmtId="173" fontId="152" fillId="158" borderId="1" xfId="0" applyNumberFormat="1" applyFont="1" applyFill="1" applyBorder="1" applyAlignment="1">
      <alignment horizontal="center"/>
    </xf>
    <xf numFmtId="173" fontId="149" fillId="187" borderId="1" xfId="138" applyNumberFormat="1" applyFont="1" applyFill="1" applyBorder="1" applyAlignment="1">
      <alignment horizontal="center" vertical="center" shrinkToFit="1"/>
    </xf>
    <xf numFmtId="173" fontId="84" fillId="188" borderId="1" xfId="0" applyNumberFormat="1" applyFont="1" applyFill="1" applyBorder="1" applyAlignment="1">
      <alignment horizontal="center" vertical="center"/>
    </xf>
    <xf numFmtId="173" fontId="134" fillId="84" borderId="15" xfId="150" applyNumberFormat="1" applyFont="1" applyFill="1" applyBorder="1" applyAlignment="1">
      <alignment horizontal="left" vertical="center" shrinkToFit="1"/>
    </xf>
    <xf numFmtId="173" fontId="134" fillId="84" borderId="68" xfId="150" applyNumberFormat="1" applyFont="1" applyFill="1" applyBorder="1" applyAlignment="1">
      <alignment horizontal="left" vertical="center" shrinkToFit="1"/>
    </xf>
    <xf numFmtId="173" fontId="134" fillId="84" borderId="69" xfId="150" applyNumberFormat="1" applyFont="1" applyFill="1" applyBorder="1" applyAlignment="1">
      <alignment horizontal="left" vertical="center" shrinkToFit="1"/>
    </xf>
    <xf numFmtId="173" fontId="134" fillId="0" borderId="68" xfId="138" applyNumberFormat="1" applyFont="1" applyBorder="1" applyAlignment="1">
      <alignment horizontal="center" vertical="center" shrinkToFit="1"/>
    </xf>
    <xf numFmtId="173" fontId="35" fillId="42" borderId="1" xfId="0" applyNumberFormat="1" applyFont="1" applyFill="1" applyBorder="1" applyAlignment="1">
      <alignment horizontal="center" vertical="center"/>
    </xf>
    <xf numFmtId="173" fontId="35" fillId="42" borderId="25" xfId="0" applyNumberFormat="1" applyFont="1" applyFill="1" applyBorder="1" applyAlignment="1">
      <alignment horizontal="center" vertical="center"/>
    </xf>
    <xf numFmtId="173" fontId="84" fillId="158" borderId="1" xfId="0" applyNumberFormat="1" applyFont="1" applyFill="1" applyBorder="1" applyAlignment="1">
      <alignment horizontal="center"/>
    </xf>
    <xf numFmtId="173" fontId="147" fillId="154" borderId="1" xfId="138" applyNumberFormat="1" applyFont="1" applyFill="1" applyBorder="1" applyAlignment="1">
      <alignment horizontal="center" vertical="center" shrinkToFit="1"/>
    </xf>
    <xf numFmtId="173" fontId="60" fillId="104" borderId="79" xfId="0" applyNumberFormat="1" applyFont="1" applyFill="1" applyBorder="1" applyAlignment="1">
      <alignment horizontal="center" vertical="center"/>
    </xf>
    <xf numFmtId="173" fontId="66" fillId="112" borderId="1" xfId="138" applyNumberFormat="1" applyFont="1" applyFill="1" applyBorder="1" applyAlignment="1">
      <alignment horizontal="center" vertical="center" shrinkToFit="1"/>
    </xf>
    <xf numFmtId="173" fontId="50" fillId="52" borderId="80" xfId="0" applyNumberFormat="1" applyFont="1" applyFill="1" applyBorder="1" applyAlignment="1">
      <alignment horizontal="center" vertical="center"/>
    </xf>
    <xf numFmtId="173" fontId="84" fillId="81" borderId="1" xfId="0" applyNumberFormat="1" applyFont="1" applyFill="1" applyBorder="1" applyAlignment="1">
      <alignment horizontal="center"/>
    </xf>
    <xf numFmtId="173" fontId="147" fillId="132" borderId="1" xfId="138" applyNumberFormat="1" applyFont="1" applyFill="1" applyBorder="1" applyAlignment="1">
      <alignment horizontal="center" vertical="center" shrinkToFit="1"/>
    </xf>
    <xf numFmtId="173" fontId="67" fillId="189" borderId="1" xfId="138" applyNumberFormat="1" applyFont="1" applyFill="1" applyBorder="1" applyAlignment="1">
      <alignment horizontal="center" vertical="center" shrinkToFit="1"/>
    </xf>
    <xf numFmtId="173" fontId="46" fillId="63" borderId="5" xfId="0" applyNumberFormat="1" applyFont="1" applyFill="1" applyBorder="1" applyAlignment="1">
      <alignment horizontal="center" vertical="center"/>
    </xf>
    <xf numFmtId="173" fontId="65" fillId="131" borderId="1" xfId="138" applyNumberFormat="1" applyFont="1" applyFill="1" applyBorder="1" applyAlignment="1">
      <alignment horizontal="center" vertical="center" shrinkToFit="1"/>
    </xf>
    <xf numFmtId="173" fontId="67" fillId="154" borderId="1" xfId="138" applyNumberFormat="1" applyFont="1" applyFill="1" applyBorder="1" applyAlignment="1">
      <alignment horizontal="center" vertical="center" shrinkToFit="1"/>
    </xf>
    <xf numFmtId="173" fontId="66" fillId="190" borderId="1" xfId="138" applyNumberFormat="1" applyFont="1" applyFill="1" applyBorder="1" applyAlignment="1">
      <alignment horizontal="center" vertical="center" shrinkToFit="1"/>
    </xf>
    <xf numFmtId="173" fontId="35" fillId="48" borderId="75" xfId="0" applyNumberFormat="1" applyFont="1" applyFill="1" applyBorder="1" applyAlignment="1">
      <alignment horizontal="center" vertical="center"/>
    </xf>
    <xf numFmtId="173" fontId="84" fillId="178" borderId="1" xfId="0" applyNumberFormat="1" applyFont="1" applyFill="1" applyBorder="1" applyAlignment="1">
      <alignment horizontal="center"/>
    </xf>
    <xf numFmtId="173" fontId="150" fillId="191" borderId="1" xfId="138" applyNumberFormat="1" applyFont="1" applyFill="1" applyBorder="1" applyAlignment="1">
      <alignment horizontal="center" vertical="center" shrinkToFit="1"/>
    </xf>
    <xf numFmtId="173" fontId="67" fillId="192" borderId="1" xfId="138" applyNumberFormat="1" applyFont="1" applyFill="1" applyBorder="1" applyAlignment="1">
      <alignment horizontal="center" vertical="center" shrinkToFit="1"/>
    </xf>
    <xf numFmtId="173" fontId="69" fillId="141" borderId="53" xfId="0" applyNumberFormat="1" applyFont="1" applyFill="1" applyBorder="1" applyAlignment="1">
      <alignment wrapText="1"/>
    </xf>
    <xf numFmtId="173" fontId="36" fillId="68" borderId="81" xfId="0" applyNumberFormat="1" applyFont="1" applyFill="1" applyBorder="1" applyAlignment="1">
      <alignment horizontal="center" vertical="center"/>
    </xf>
    <xf numFmtId="173" fontId="81" fillId="120" borderId="1" xfId="131" applyNumberFormat="1" applyFont="1" applyFill="1" applyBorder="1" applyAlignment="1">
      <alignment horizontal="center"/>
    </xf>
    <xf numFmtId="173" fontId="146" fillId="193" borderId="1" xfId="138" applyNumberFormat="1" applyFont="1" applyFill="1" applyBorder="1" applyAlignment="1">
      <alignment horizontal="center" vertical="center" shrinkToFit="1"/>
    </xf>
    <xf numFmtId="173" fontId="66" fillId="194" borderId="1" xfId="138" applyNumberFormat="1" applyFont="1" applyFill="1" applyBorder="1" applyAlignment="1">
      <alignment horizontal="center" vertical="center" shrinkToFit="1"/>
    </xf>
    <xf numFmtId="173" fontId="35" fillId="70" borderId="82" xfId="0" applyNumberFormat="1" applyFont="1" applyFill="1" applyBorder="1" applyAlignment="1">
      <alignment horizontal="center" vertical="center"/>
    </xf>
    <xf numFmtId="173" fontId="35" fillId="70" borderId="40" xfId="0" applyNumberFormat="1" applyFont="1" applyFill="1" applyBorder="1" applyAlignment="1">
      <alignment horizontal="center" vertical="center"/>
    </xf>
    <xf numFmtId="173" fontId="67" fillId="195" borderId="1" xfId="138" applyNumberFormat="1" applyFont="1" applyFill="1" applyBorder="1" applyAlignment="1">
      <alignment horizontal="center" vertical="center" shrinkToFit="1"/>
    </xf>
    <xf numFmtId="173" fontId="120" fillId="63" borderId="1" xfId="0" applyNumberFormat="1" applyFont="1" applyFill="1" applyBorder="1" applyAlignment="1">
      <alignment horizontal="center" vertical="center"/>
    </xf>
    <xf numFmtId="173" fontId="35" fillId="34" borderId="83" xfId="0" applyNumberFormat="1" applyFont="1" applyFill="1" applyBorder="1" applyAlignment="1">
      <alignment horizontal="center" vertical="center"/>
    </xf>
    <xf numFmtId="173" fontId="120" fillId="196" borderId="1" xfId="0" applyNumberFormat="1" applyFont="1" applyFill="1" applyBorder="1" applyAlignment="1">
      <alignment horizontal="center"/>
    </xf>
    <xf numFmtId="173" fontId="67" fillId="197" borderId="1" xfId="138" applyNumberFormat="1" applyFont="1" applyFill="1" applyBorder="1" applyAlignment="1">
      <alignment horizontal="center" vertical="center" shrinkToFit="1"/>
    </xf>
    <xf numFmtId="173" fontId="35" fillId="41" borderId="80" xfId="0" applyNumberFormat="1" applyFont="1" applyFill="1" applyBorder="1" applyAlignment="1">
      <alignment horizontal="center" vertical="center"/>
    </xf>
    <xf numFmtId="173" fontId="35" fillId="41" borderId="25" xfId="0" applyNumberFormat="1" applyFont="1" applyFill="1" applyBorder="1" applyAlignment="1">
      <alignment horizontal="center" vertical="center"/>
    </xf>
    <xf numFmtId="173" fontId="134" fillId="0" borderId="17" xfId="138" applyNumberFormat="1" applyFont="1" applyBorder="1" applyAlignment="1">
      <alignment horizontal="left" vertical="center" shrinkToFit="1"/>
    </xf>
    <xf numFmtId="173" fontId="134" fillId="0" borderId="18" xfId="138" applyNumberFormat="1" applyFont="1" applyBorder="1" applyAlignment="1">
      <alignment horizontal="left" vertical="center" shrinkToFit="1"/>
    </xf>
    <xf numFmtId="173" fontId="67" fillId="198" borderId="1" xfId="138" applyNumberFormat="1" applyFont="1" applyFill="1" applyBorder="1" applyAlignment="1">
      <alignment horizontal="center" vertical="center" shrinkToFit="1"/>
    </xf>
    <xf numFmtId="173" fontId="50" fillId="105" borderId="1" xfId="150" applyNumberFormat="1" applyFont="1" applyFill="1" applyBorder="1" applyAlignment="1">
      <alignment horizontal="center" vertical="center" shrinkToFit="1"/>
    </xf>
    <xf numFmtId="173" fontId="67" fillId="60" borderId="1" xfId="138" applyNumberFormat="1" applyFont="1" applyFill="1" applyBorder="1" applyAlignment="1">
      <alignment horizontal="center" vertical="center" shrinkToFit="1"/>
    </xf>
    <xf numFmtId="173" fontId="40" fillId="35" borderId="75" xfId="0" applyNumberFormat="1" applyFont="1" applyFill="1" applyBorder="1" applyAlignment="1">
      <alignment horizontal="center" vertical="center"/>
    </xf>
    <xf numFmtId="173" fontId="147" fillId="35" borderId="1" xfId="0" applyNumberFormat="1" applyFont="1" applyFill="1" applyBorder="1" applyAlignment="1">
      <alignment horizontal="center" vertical="center"/>
    </xf>
    <xf numFmtId="173" fontId="134" fillId="0" borderId="84" xfId="138" applyNumberFormat="1" applyFont="1" applyBorder="1" applyAlignment="1">
      <alignment horizontal="left" vertical="center" shrinkToFit="1"/>
    </xf>
    <xf numFmtId="173" fontId="134" fillId="0" borderId="85" xfId="138" applyNumberFormat="1" applyFont="1" applyBorder="1" applyAlignment="1">
      <alignment horizontal="left" vertical="center" shrinkToFit="1"/>
    </xf>
    <xf numFmtId="173" fontId="134" fillId="0" borderId="76" xfId="138" applyNumberFormat="1" applyFont="1" applyBorder="1" applyAlignment="1">
      <alignment horizontal="left" vertical="center" shrinkToFit="1"/>
    </xf>
    <xf numFmtId="173" fontId="67" fillId="199" borderId="1" xfId="138" applyNumberFormat="1" applyFont="1" applyFill="1" applyBorder="1" applyAlignment="1">
      <alignment horizontal="center" vertical="center" shrinkToFit="1"/>
    </xf>
    <xf numFmtId="173" fontId="35" fillId="52" borderId="25" xfId="0" applyNumberFormat="1" applyFont="1" applyFill="1" applyBorder="1" applyAlignment="1">
      <alignment horizontal="center" vertical="center"/>
    </xf>
    <xf numFmtId="173" fontId="89" fillId="81" borderId="1" xfId="0" applyNumberFormat="1" applyFont="1" applyFill="1" applyBorder="1" applyAlignment="1">
      <alignment horizontal="center"/>
    </xf>
    <xf numFmtId="173" fontId="143" fillId="0" borderId="86" xfId="138" applyNumberFormat="1" applyFont="1" applyBorder="1" applyAlignment="1">
      <alignment horizontal="left" vertical="center" shrinkToFit="1"/>
    </xf>
    <xf numFmtId="173" fontId="143" fillId="0" borderId="85" xfId="138" applyNumberFormat="1" applyFont="1" applyBorder="1" applyAlignment="1">
      <alignment horizontal="left" vertical="center" shrinkToFit="1"/>
    </xf>
    <xf numFmtId="173" fontId="16" fillId="178" borderId="1" xfId="0" applyNumberFormat="1" applyFont="1" applyFill="1" applyBorder="1" applyAlignment="1">
      <alignment horizontal="center" vertical="center"/>
    </xf>
    <xf numFmtId="173" fontId="69" fillId="141" borderId="36" xfId="0" applyNumberFormat="1" applyFont="1" applyFill="1" applyBorder="1" applyAlignment="1">
      <alignment wrapText="1"/>
    </xf>
    <xf numFmtId="173" fontId="43" fillId="61" borderId="25" xfId="0" applyNumberFormat="1" applyFont="1" applyFill="1" applyBorder="1" applyAlignment="1">
      <alignment horizontal="center" vertical="center"/>
    </xf>
    <xf numFmtId="173" fontId="67" fillId="200" borderId="1" xfId="138" applyNumberFormat="1" applyFont="1" applyFill="1" applyBorder="1" applyAlignment="1">
      <alignment horizontal="center" vertical="center" shrinkToFit="1"/>
    </xf>
    <xf numFmtId="173" fontId="84" fillId="0" borderId="15" xfId="0" applyNumberFormat="1" applyFont="1" applyBorder="1" applyAlignment="1">
      <alignment horizontal="center"/>
    </xf>
    <xf numFmtId="173" fontId="84" fillId="0" borderId="68" xfId="0" applyNumberFormat="1" applyFont="1" applyBorder="1" applyAlignment="1">
      <alignment horizontal="center"/>
    </xf>
    <xf numFmtId="173" fontId="84" fillId="0" borderId="69" xfId="0" applyNumberFormat="1" applyFont="1" applyBorder="1" applyAlignment="1">
      <alignment horizontal="center"/>
    </xf>
    <xf numFmtId="173" fontId="84" fillId="0" borderId="1" xfId="0" applyNumberFormat="1" applyFont="1" applyBorder="1"/>
    <xf numFmtId="173" fontId="84" fillId="0" borderId="1" xfId="0" applyNumberFormat="1" applyFont="1" applyBorder="1" applyAlignment="1">
      <alignment horizontal="center" vertical="center"/>
    </xf>
    <xf numFmtId="173" fontId="35" fillId="34" borderId="25" xfId="0" applyNumberFormat="1" applyFont="1" applyFill="1" applyBorder="1" applyAlignment="1">
      <alignment horizontal="center" vertical="center"/>
    </xf>
    <xf numFmtId="173" fontId="66" fillId="161" borderId="1" xfId="138" applyNumberFormat="1" applyFont="1" applyFill="1" applyBorder="1" applyAlignment="1">
      <alignment horizontal="center" vertical="center" shrinkToFit="1"/>
    </xf>
    <xf numFmtId="173" fontId="67" fillId="201" borderId="1" xfId="0" applyNumberFormat="1" applyFont="1" applyFill="1" applyBorder="1" applyAlignment="1">
      <alignment horizontal="center" vertical="center"/>
    </xf>
    <xf numFmtId="173" fontId="35" fillId="54" borderId="25" xfId="0" applyNumberFormat="1" applyFont="1" applyFill="1" applyBorder="1" applyAlignment="1">
      <alignment horizontal="center" vertical="center"/>
    </xf>
    <xf numFmtId="173" fontId="159" fillId="132" borderId="1" xfId="131" applyNumberFormat="1" applyFont="1" applyFill="1" applyBorder="1" applyAlignment="1">
      <alignment horizontal="center"/>
    </xf>
    <xf numFmtId="173" fontId="35" fillId="44" borderId="25" xfId="0" applyNumberFormat="1" applyFont="1" applyFill="1" applyBorder="1" applyAlignment="1">
      <alignment horizontal="center" vertical="center"/>
    </xf>
    <xf numFmtId="173" fontId="120" fillId="0" borderId="1" xfId="126" applyNumberFormat="1" applyFont="1" applyBorder="1" applyAlignment="1" applyProtection="1">
      <alignment shrinkToFit="1"/>
      <protection locked="0"/>
    </xf>
    <xf numFmtId="173" fontId="78" fillId="118" borderId="1" xfId="131" applyNumberFormat="1" applyFont="1" applyFill="1" applyBorder="1" applyAlignment="1">
      <alignment horizontal="center"/>
    </xf>
    <xf numFmtId="173" fontId="67" fillId="202" borderId="1" xfId="0" applyNumberFormat="1" applyFont="1" applyFill="1" applyBorder="1" applyAlignment="1">
      <alignment horizontal="center" vertical="center"/>
    </xf>
    <xf numFmtId="173" fontId="143" fillId="0" borderId="17" xfId="0" applyNumberFormat="1" applyFont="1" applyBorder="1" applyAlignment="1">
      <alignment horizontal="left" wrapText="1"/>
    </xf>
    <xf numFmtId="173" fontId="143" fillId="0" borderId="18" xfId="0" applyNumberFormat="1" applyFont="1" applyBorder="1" applyAlignment="1">
      <alignment horizontal="left" wrapText="1"/>
    </xf>
    <xf numFmtId="173" fontId="66" fillId="44" borderId="1" xfId="0" applyNumberFormat="1" applyFont="1" applyFill="1" applyBorder="1" applyAlignment="1">
      <alignment horizontal="center" vertical="center"/>
    </xf>
    <xf numFmtId="173" fontId="69" fillId="90" borderId="0" xfId="0" applyNumberFormat="1" applyFont="1" applyFill="1"/>
    <xf numFmtId="173" fontId="3" fillId="0" borderId="68" xfId="138" applyNumberFormat="1" applyFont="1" applyBorder="1" applyAlignment="1">
      <alignment horizontal="center" vertical="center" shrinkToFit="1"/>
    </xf>
    <xf numFmtId="173" fontId="35" fillId="61" borderId="0" xfId="0" applyNumberFormat="1" applyFont="1" applyFill="1" applyAlignment="1">
      <alignment horizontal="center" vertical="center"/>
    </xf>
    <xf numFmtId="173" fontId="3" fillId="0" borderId="0" xfId="138" applyNumberFormat="1" applyFont="1" applyAlignment="1">
      <alignment horizontal="center" vertical="center" shrinkToFit="1"/>
    </xf>
    <xf numFmtId="173" fontId="134" fillId="0" borderId="0" xfId="138" applyNumberFormat="1" applyFont="1" applyAlignment="1">
      <alignment horizontal="center" vertical="center" shrinkToFit="1"/>
    </xf>
    <xf numFmtId="173" fontId="66" fillId="71" borderId="1" xfId="0" applyNumberFormat="1" applyFont="1" applyFill="1" applyBorder="1" applyAlignment="1">
      <alignment horizontal="center" vertical="center" wrapText="1"/>
    </xf>
    <xf numFmtId="173" fontId="49" fillId="0" borderId="87" xfId="138" applyNumberFormat="1" applyFont="1" applyBorder="1" applyAlignment="1">
      <alignment horizontal="center" vertical="center" shrinkToFit="1"/>
    </xf>
    <xf numFmtId="173" fontId="35" fillId="181" borderId="69" xfId="138" applyNumberFormat="1" applyFont="1" applyFill="1" applyBorder="1" applyAlignment="1">
      <alignment vertical="center" shrinkToFit="1"/>
    </xf>
    <xf numFmtId="173" fontId="35" fillId="181" borderId="88" xfId="138" applyNumberFormat="1" applyFont="1" applyFill="1" applyBorder="1" applyAlignment="1">
      <alignment vertical="center" shrinkToFit="1"/>
    </xf>
    <xf numFmtId="173" fontId="160" fillId="182" borderId="1" xfId="138" applyNumberFormat="1" applyFont="1" applyFill="1" applyBorder="1" applyAlignment="1">
      <alignment horizontal="center" vertical="center" shrinkToFit="1"/>
    </xf>
    <xf numFmtId="173" fontId="89" fillId="35" borderId="69" xfId="0" applyNumberFormat="1" applyFont="1" applyFill="1" applyBorder="1" applyAlignment="1">
      <alignment horizontal="center"/>
    </xf>
    <xf numFmtId="173" fontId="67" fillId="203" borderId="1" xfId="138" applyNumberFormat="1" applyFont="1" applyFill="1" applyBorder="1" applyAlignment="1">
      <alignment horizontal="center" vertical="center" shrinkToFit="1"/>
    </xf>
    <xf numFmtId="173" fontId="157" fillId="204" borderId="15" xfId="138" applyNumberFormat="1" applyFont="1" applyFill="1" applyBorder="1" applyAlignment="1">
      <alignment horizontal="center" vertical="center" shrinkToFit="1"/>
    </xf>
    <xf numFmtId="173" fontId="157" fillId="204" borderId="68" xfId="138" applyNumberFormat="1" applyFont="1" applyFill="1" applyBorder="1" applyAlignment="1">
      <alignment horizontal="center" vertical="center" shrinkToFit="1"/>
    </xf>
    <xf numFmtId="173" fontId="157" fillId="204" borderId="69" xfId="138" applyNumberFormat="1" applyFont="1" applyFill="1" applyBorder="1" applyAlignment="1">
      <alignment horizontal="center" vertical="center" shrinkToFit="1"/>
    </xf>
    <xf numFmtId="173" fontId="152" fillId="205" borderId="1" xfId="0" applyNumberFormat="1" applyFont="1" applyFill="1" applyBorder="1" applyAlignment="1">
      <alignment horizontal="center"/>
    </xf>
    <xf numFmtId="173" fontId="153" fillId="206" borderId="1" xfId="0" applyNumberFormat="1" applyFont="1" applyFill="1" applyBorder="1" applyAlignment="1">
      <alignment horizontal="center" vertical="center"/>
    </xf>
    <xf numFmtId="173" fontId="84" fillId="207" borderId="1" xfId="0" applyNumberFormat="1" applyFont="1" applyFill="1" applyBorder="1" applyAlignment="1">
      <alignment horizontal="center"/>
    </xf>
    <xf numFmtId="173" fontId="161" fillId="208" borderId="1" xfId="138" applyNumberFormat="1" applyFont="1" applyFill="1" applyBorder="1" applyAlignment="1">
      <alignment horizontal="center" vertical="center" shrinkToFit="1"/>
    </xf>
    <xf numFmtId="173" fontId="65" fillId="172" borderId="1" xfId="138" applyNumberFormat="1" applyFont="1" applyFill="1" applyBorder="1" applyAlignment="1">
      <alignment horizontal="center" vertical="center" shrinkToFit="1"/>
    </xf>
    <xf numFmtId="173" fontId="67" fillId="209" borderId="1" xfId="138" applyNumberFormat="1" applyFont="1" applyFill="1" applyBorder="1" applyAlignment="1">
      <alignment horizontal="center" vertical="center" shrinkToFit="1"/>
    </xf>
    <xf numFmtId="173" fontId="84" fillId="35" borderId="1" xfId="0" applyNumberFormat="1" applyFont="1" applyFill="1" applyBorder="1" applyAlignment="1">
      <alignment horizontal="center"/>
    </xf>
    <xf numFmtId="173" fontId="67" fillId="210" borderId="1" xfId="138" applyNumberFormat="1" applyFont="1" applyFill="1" applyBorder="1" applyAlignment="1">
      <alignment horizontal="center" vertical="center" shrinkToFit="1"/>
    </xf>
    <xf numFmtId="173" fontId="69" fillId="90" borderId="0" xfId="0" applyNumberFormat="1" applyFont="1" applyFill="1" applyAlignment="1">
      <alignment wrapText="1"/>
    </xf>
    <xf numFmtId="173" fontId="157" fillId="131" borderId="15" xfId="138" applyNumberFormat="1" applyFont="1" applyFill="1" applyBorder="1" applyAlignment="1">
      <alignment horizontal="center" vertical="center" shrinkToFit="1"/>
    </xf>
    <xf numFmtId="173" fontId="157" fillId="131" borderId="68" xfId="138" applyNumberFormat="1" applyFont="1" applyFill="1" applyBorder="1" applyAlignment="1">
      <alignment horizontal="center" vertical="center" shrinkToFit="1"/>
    </xf>
    <xf numFmtId="173" fontId="157" fillId="131" borderId="69" xfId="138" applyNumberFormat="1" applyFont="1" applyFill="1" applyBorder="1" applyAlignment="1">
      <alignment horizontal="center" vertical="center" shrinkToFit="1"/>
    </xf>
    <xf numFmtId="173" fontId="81" fillId="44" borderId="1" xfId="0" applyNumberFormat="1" applyFont="1" applyFill="1" applyBorder="1" applyAlignment="1">
      <alignment horizontal="center"/>
    </xf>
    <xf numFmtId="173" fontId="66" fillId="211" borderId="1" xfId="138" applyNumberFormat="1" applyFont="1" applyFill="1" applyBorder="1" applyAlignment="1">
      <alignment horizontal="center" vertical="center" shrinkToFit="1"/>
    </xf>
    <xf numFmtId="173" fontId="162" fillId="212" borderId="1" xfId="0" applyNumberFormat="1" applyFont="1" applyFill="1" applyBorder="1" applyAlignment="1">
      <alignment horizontal="center" vertical="center"/>
    </xf>
    <xf numFmtId="173" fontId="35" fillId="56" borderId="25" xfId="0" applyNumberFormat="1" applyFont="1" applyFill="1" applyBorder="1" applyAlignment="1">
      <alignment horizontal="center" vertical="center"/>
    </xf>
    <xf numFmtId="173" fontId="49" fillId="0" borderId="89" xfId="138" applyNumberFormat="1" applyFont="1" applyBorder="1" applyAlignment="1">
      <alignment horizontal="center" vertical="center" shrinkToFit="1"/>
    </xf>
    <xf numFmtId="173" fontId="49" fillId="0" borderId="90" xfId="138" applyNumberFormat="1" applyFont="1" applyBorder="1" applyAlignment="1">
      <alignment horizontal="center" vertical="center" shrinkToFit="1"/>
    </xf>
    <xf numFmtId="173" fontId="49" fillId="0" borderId="91" xfId="138" applyNumberFormat="1" applyFont="1" applyBorder="1" applyAlignment="1">
      <alignment horizontal="center" vertical="center" shrinkToFit="1"/>
    </xf>
    <xf numFmtId="173" fontId="67" fillId="213" borderId="1" xfId="138" applyNumberFormat="1" applyFont="1" applyFill="1" applyBorder="1" applyAlignment="1">
      <alignment horizontal="center" vertical="center" shrinkToFit="1"/>
    </xf>
    <xf numFmtId="173" fontId="65" fillId="204" borderId="1" xfId="138" applyNumberFormat="1" applyFont="1" applyFill="1" applyBorder="1" applyAlignment="1">
      <alignment horizontal="center" vertical="center" shrinkToFit="1"/>
    </xf>
    <xf numFmtId="173" fontId="40" fillId="63" borderId="0" xfId="0" applyNumberFormat="1" applyFont="1" applyFill="1" applyAlignment="1">
      <alignment horizontal="center" vertical="center"/>
    </xf>
    <xf numFmtId="173" fontId="147" fillId="120" borderId="1" xfId="138" applyNumberFormat="1" applyFont="1" applyFill="1" applyBorder="1" applyAlignment="1">
      <alignment horizontal="center" vertical="center" shrinkToFit="1"/>
    </xf>
    <xf numFmtId="173" fontId="81" fillId="126" borderId="1" xfId="0" applyNumberFormat="1" applyFont="1" applyFill="1" applyBorder="1" applyAlignment="1">
      <alignment horizontal="center" vertical="center"/>
    </xf>
    <xf numFmtId="173" fontId="67" fillId="52" borderId="1" xfId="0" applyNumberFormat="1" applyFont="1" applyFill="1" applyBorder="1" applyAlignment="1">
      <alignment horizontal="center" vertical="center"/>
    </xf>
    <xf numFmtId="173" fontId="35" fillId="46" borderId="25" xfId="0" applyNumberFormat="1" applyFont="1" applyFill="1" applyBorder="1" applyAlignment="1">
      <alignment horizontal="center" vertical="center"/>
    </xf>
    <xf numFmtId="173" fontId="163" fillId="120" borderId="1" xfId="138" applyNumberFormat="1" applyFont="1" applyFill="1" applyBorder="1" applyAlignment="1">
      <alignment horizontal="center" vertical="center" shrinkToFit="1"/>
    </xf>
    <xf numFmtId="173" fontId="67" fillId="214" borderId="1" xfId="138" applyNumberFormat="1" applyFont="1" applyFill="1" applyBorder="1" applyAlignment="1">
      <alignment horizontal="center" vertical="center" shrinkToFit="1"/>
    </xf>
    <xf numFmtId="173" fontId="0" fillId="140" borderId="53" xfId="0" applyNumberFormat="1" applyFill="1" applyBorder="1" applyAlignment="1">
      <alignment wrapText="1"/>
    </xf>
    <xf numFmtId="173" fontId="35" fillId="38" borderId="25" xfId="0" applyNumberFormat="1" applyFont="1" applyFill="1" applyBorder="1" applyAlignment="1">
      <alignment horizontal="center" vertical="center"/>
    </xf>
    <xf numFmtId="173" fontId="164" fillId="52" borderId="1" xfId="138" applyNumberFormat="1" applyFont="1" applyFill="1" applyBorder="1" applyAlignment="1">
      <alignment horizontal="center" vertical="center" shrinkToFit="1"/>
    </xf>
    <xf numFmtId="173" fontId="67" fillId="215" borderId="1" xfId="138" applyNumberFormat="1" applyFont="1" applyFill="1" applyBorder="1" applyAlignment="1">
      <alignment horizontal="center" vertical="center" shrinkToFit="1"/>
    </xf>
    <xf numFmtId="173" fontId="35" fillId="53" borderId="40" xfId="0" applyNumberFormat="1" applyFont="1" applyFill="1" applyBorder="1" applyAlignment="1">
      <alignment horizontal="center" vertical="center"/>
    </xf>
    <xf numFmtId="173" fontId="81" fillId="126" borderId="1" xfId="0" applyNumberFormat="1" applyFont="1" applyFill="1" applyBorder="1" applyAlignment="1">
      <alignment horizontal="center"/>
    </xf>
    <xf numFmtId="173" fontId="66" fillId="216" borderId="1" xfId="138" applyNumberFormat="1" applyFont="1" applyFill="1" applyBorder="1" applyAlignment="1">
      <alignment horizontal="center" vertical="center" shrinkToFit="1"/>
    </xf>
    <xf numFmtId="173" fontId="60" fillId="63" borderId="0" xfId="0" applyNumberFormat="1" applyFont="1" applyFill="1" applyAlignment="1">
      <alignment horizontal="center" vertical="center"/>
    </xf>
    <xf numFmtId="173" fontId="66" fillId="217" borderId="1" xfId="138" applyNumberFormat="1" applyFont="1" applyFill="1" applyBorder="1" applyAlignment="1" applyProtection="1">
      <alignment horizontal="center" vertical="center" shrinkToFit="1"/>
      <protection locked="0"/>
    </xf>
    <xf numFmtId="173" fontId="65" fillId="104" borderId="1" xfId="138" applyNumberFormat="1" applyFont="1" applyFill="1" applyBorder="1" applyAlignment="1">
      <alignment horizontal="center" vertical="center" shrinkToFit="1"/>
    </xf>
    <xf numFmtId="173" fontId="65" fillId="218" borderId="1" xfId="0" applyNumberFormat="1" applyFont="1" applyFill="1" applyBorder="1" applyAlignment="1">
      <alignment horizontal="center" vertical="center"/>
    </xf>
    <xf numFmtId="173" fontId="67" fillId="219" borderId="1" xfId="138" applyNumberFormat="1" applyFont="1" applyFill="1" applyBorder="1" applyAlignment="1">
      <alignment horizontal="center" vertical="center" shrinkToFit="1"/>
    </xf>
    <xf numFmtId="173" fontId="66" fillId="220" borderId="1" xfId="138" applyNumberFormat="1" applyFont="1" applyFill="1" applyBorder="1" applyAlignment="1">
      <alignment horizontal="center" vertical="center" shrinkToFit="1"/>
    </xf>
    <xf numFmtId="173" fontId="35" fillId="69" borderId="0" xfId="0" applyNumberFormat="1" applyFont="1" applyFill="1" applyAlignment="1">
      <alignment horizontal="center" vertical="center"/>
    </xf>
    <xf numFmtId="173" fontId="84" fillId="80" borderId="1" xfId="0" applyNumberFormat="1" applyFont="1" applyFill="1" applyBorder="1" applyAlignment="1">
      <alignment horizontal="center"/>
    </xf>
    <xf numFmtId="173" fontId="65" fillId="221" borderId="1" xfId="138" applyNumberFormat="1" applyFont="1" applyFill="1" applyBorder="1" applyAlignment="1">
      <alignment horizontal="center" vertical="center" shrinkToFit="1"/>
    </xf>
    <xf numFmtId="173" fontId="66" fillId="42" borderId="1" xfId="0" applyNumberFormat="1" applyFont="1" applyFill="1" applyBorder="1" applyAlignment="1">
      <alignment horizontal="center" vertical="center" wrapText="1"/>
    </xf>
    <xf numFmtId="173" fontId="38" fillId="49" borderId="0" xfId="0" applyNumberFormat="1" applyFont="1" applyFill="1" applyAlignment="1">
      <alignment horizontal="center" vertical="center"/>
    </xf>
    <xf numFmtId="173" fontId="65" fillId="222" borderId="1" xfId="138" applyNumberFormat="1" applyFont="1" applyFill="1" applyBorder="1" applyAlignment="1">
      <alignment horizontal="center" vertical="center" shrinkToFit="1"/>
    </xf>
    <xf numFmtId="173" fontId="146" fillId="223" borderId="1" xfId="0" applyNumberFormat="1" applyFont="1" applyFill="1" applyBorder="1" applyAlignment="1">
      <alignment horizontal="center" vertical="center"/>
    </xf>
    <xf numFmtId="173" fontId="65" fillId="79" borderId="1" xfId="138" applyNumberFormat="1" applyFont="1" applyFill="1" applyBorder="1" applyAlignment="1">
      <alignment horizontal="center" vertical="center" shrinkToFit="1"/>
    </xf>
    <xf numFmtId="173" fontId="146" fillId="50" borderId="1" xfId="138" applyNumberFormat="1" applyFont="1" applyFill="1" applyBorder="1" applyAlignment="1">
      <alignment horizontal="center" vertical="center" shrinkToFit="1"/>
    </xf>
    <xf numFmtId="173" fontId="66" fillId="34" borderId="1" xfId="0" applyNumberFormat="1" applyFont="1" applyFill="1" applyBorder="1" applyAlignment="1">
      <alignment horizontal="center" vertical="center"/>
    </xf>
    <xf numFmtId="173" fontId="35" fillId="69" borderId="40" xfId="0" applyNumberFormat="1" applyFont="1" applyFill="1" applyBorder="1" applyAlignment="1">
      <alignment horizontal="center" vertical="center"/>
    </xf>
    <xf numFmtId="173" fontId="147" fillId="55" borderId="1" xfId="138" applyNumberFormat="1" applyFont="1" applyFill="1" applyBorder="1" applyAlignment="1" applyProtection="1">
      <alignment horizontal="center" vertical="center" shrinkToFit="1"/>
      <protection locked="0"/>
    </xf>
    <xf numFmtId="173" fontId="165" fillId="224" borderId="1" xfId="138" applyNumberFormat="1" applyFont="1" applyFill="1" applyBorder="1" applyAlignment="1">
      <alignment horizontal="center" vertical="center" shrinkToFit="1"/>
    </xf>
    <xf numFmtId="173" fontId="66" fillId="224" borderId="1" xfId="138" applyNumberFormat="1" applyFont="1" applyFill="1" applyBorder="1" applyAlignment="1">
      <alignment horizontal="center" vertical="center" shrinkToFit="1"/>
    </xf>
    <xf numFmtId="173" fontId="66" fillId="54" borderId="1" xfId="0" applyNumberFormat="1" applyFont="1" applyFill="1" applyBorder="1" applyAlignment="1">
      <alignment horizontal="center" vertical="center"/>
    </xf>
    <xf numFmtId="173" fontId="35" fillId="69" borderId="24" xfId="0" applyNumberFormat="1" applyFont="1" applyFill="1" applyBorder="1" applyAlignment="1">
      <alignment horizontal="center" vertical="center"/>
    </xf>
    <xf numFmtId="173" fontId="66" fillId="225" borderId="1" xfId="138" applyNumberFormat="1" applyFont="1" applyFill="1" applyBorder="1" applyAlignment="1">
      <alignment horizontal="center" vertical="center" shrinkToFit="1"/>
    </xf>
    <xf numFmtId="173" fontId="143" fillId="0" borderId="69" xfId="138" applyNumberFormat="1" applyFont="1" applyBorder="1" applyAlignment="1">
      <alignment horizontal="left" vertical="center" shrinkToFit="1"/>
    </xf>
    <xf numFmtId="173" fontId="153" fillId="226" borderId="1" xfId="0" applyNumberFormat="1" applyFont="1" applyFill="1" applyBorder="1" applyAlignment="1">
      <alignment horizontal="center" vertical="center"/>
    </xf>
    <xf numFmtId="173" fontId="35" fillId="45" borderId="0" xfId="0" applyNumberFormat="1" applyFont="1" applyFill="1" applyAlignment="1">
      <alignment horizontal="center" vertical="center"/>
    </xf>
    <xf numFmtId="173" fontId="84" fillId="42" borderId="1" xfId="0" applyNumberFormat="1" applyFont="1" applyFill="1" applyBorder="1" applyAlignment="1">
      <alignment horizontal="center"/>
    </xf>
    <xf numFmtId="173" fontId="38" fillId="38" borderId="0" xfId="0" applyNumberFormat="1" applyFont="1" applyFill="1" applyAlignment="1">
      <alignment horizontal="center" vertical="center"/>
    </xf>
    <xf numFmtId="173" fontId="84" fillId="52" borderId="1" xfId="0" applyNumberFormat="1" applyFont="1" applyFill="1" applyBorder="1" applyAlignment="1">
      <alignment horizontal="center"/>
    </xf>
    <xf numFmtId="173" fontId="150" fillId="227" borderId="1" xfId="138" applyNumberFormat="1" applyFont="1" applyFill="1" applyBorder="1" applyAlignment="1">
      <alignment horizontal="center" vertical="center" shrinkToFit="1"/>
    </xf>
    <xf numFmtId="173" fontId="66" fillId="228" borderId="1" xfId="0" applyNumberFormat="1" applyFont="1" applyFill="1" applyBorder="1" applyAlignment="1">
      <alignment horizontal="center" vertical="center" wrapText="1"/>
    </xf>
    <xf numFmtId="173" fontId="35" fillId="50" borderId="0" xfId="0" applyNumberFormat="1" applyFont="1" applyFill="1" applyAlignment="1">
      <alignment horizontal="center" vertical="center"/>
    </xf>
    <xf numFmtId="173" fontId="89" fillId="123" borderId="1" xfId="131" applyNumberFormat="1" applyFont="1" applyFill="1" applyBorder="1" applyAlignment="1">
      <alignment horizontal="center"/>
    </xf>
    <xf numFmtId="173" fontId="146" fillId="229" borderId="1" xfId="138" applyNumberFormat="1" applyFont="1" applyFill="1" applyBorder="1" applyAlignment="1">
      <alignment horizontal="center" vertical="center" shrinkToFit="1"/>
    </xf>
    <xf numFmtId="173" fontId="43" fillId="60" borderId="25" xfId="0" applyNumberFormat="1" applyFont="1" applyFill="1" applyBorder="1" applyAlignment="1">
      <alignment horizontal="center" vertical="center"/>
    </xf>
    <xf numFmtId="173" fontId="84" fillId="55" borderId="1" xfId="0" applyNumberFormat="1" applyFont="1" applyFill="1" applyBorder="1" applyAlignment="1">
      <alignment horizontal="center"/>
    </xf>
    <xf numFmtId="173" fontId="84" fillId="195" borderId="1" xfId="0" applyNumberFormat="1" applyFont="1" applyFill="1" applyBorder="1" applyAlignment="1">
      <alignment horizontal="center"/>
    </xf>
    <xf numFmtId="173" fontId="166" fillId="230" borderId="1" xfId="138" applyNumberFormat="1" applyFont="1" applyFill="1" applyBorder="1" applyAlignment="1">
      <alignment horizontal="center" vertical="center" shrinkToFit="1"/>
    </xf>
    <xf numFmtId="173" fontId="49" fillId="0" borderId="0" xfId="138" applyNumberFormat="1" applyFont="1" applyAlignment="1">
      <alignment horizontal="center" vertical="center" shrinkToFit="1"/>
    </xf>
    <xf numFmtId="173" fontId="35" fillId="181" borderId="0" xfId="138" applyNumberFormat="1" applyFont="1" applyFill="1" applyAlignment="1">
      <alignment vertical="center" shrinkToFit="1"/>
    </xf>
    <xf numFmtId="173" fontId="67" fillId="140" borderId="1" xfId="0" applyNumberFormat="1" applyFont="1" applyFill="1" applyBorder="1" applyAlignment="1">
      <alignment horizontal="center" vertical="center"/>
    </xf>
    <xf numFmtId="173" fontId="65" fillId="63" borderId="92" xfId="138" applyNumberFormat="1" applyFont="1" applyFill="1" applyBorder="1" applyAlignment="1">
      <alignment horizontal="center" vertical="center" shrinkToFit="1"/>
    </xf>
    <xf numFmtId="173" fontId="65" fillId="63" borderId="85" xfId="138" applyNumberFormat="1" applyFont="1" applyFill="1" applyBorder="1" applyAlignment="1">
      <alignment horizontal="center" vertical="center" shrinkToFit="1"/>
    </xf>
    <xf numFmtId="173" fontId="65" fillId="63" borderId="76" xfId="138" applyNumberFormat="1" applyFont="1" applyFill="1" applyBorder="1" applyAlignment="1">
      <alignment horizontal="center" vertical="center" shrinkToFit="1"/>
    </xf>
    <xf numFmtId="173" fontId="65" fillId="0" borderId="93" xfId="138" applyNumberFormat="1" applyFont="1" applyBorder="1" applyAlignment="1">
      <alignment vertical="center" shrinkToFit="1"/>
    </xf>
    <xf numFmtId="173" fontId="2" fillId="0" borderId="69" xfId="150" applyNumberFormat="1" applyBorder="1" applyAlignment="1">
      <alignment horizontal="center" vertical="center"/>
    </xf>
    <xf numFmtId="173" fontId="2" fillId="0" borderId="1" xfId="150" applyNumberFormat="1" applyBorder="1" applyAlignment="1">
      <alignment horizontal="center" vertical="center"/>
    </xf>
    <xf numFmtId="173" fontId="134" fillId="0" borderId="15" xfId="138" applyNumberFormat="1" applyFont="1" applyBorder="1" applyAlignment="1">
      <alignment horizontal="left" vertical="center" shrinkToFit="1"/>
    </xf>
    <xf numFmtId="173" fontId="134" fillId="0" borderId="69" xfId="138" applyNumberFormat="1" applyFont="1" applyBorder="1" applyAlignment="1">
      <alignment horizontal="left" vertical="center" shrinkToFit="1"/>
    </xf>
    <xf numFmtId="173" fontId="47" fillId="73" borderId="15" xfId="138" applyNumberFormat="1" applyFont="1" applyFill="1" applyBorder="1" applyAlignment="1">
      <alignment horizontal="center" vertical="center" shrinkToFit="1"/>
    </xf>
    <xf numFmtId="173" fontId="66" fillId="231" borderId="1" xfId="138" applyNumberFormat="1" applyFont="1" applyFill="1" applyBorder="1" applyAlignment="1">
      <alignment horizontal="center" vertical="center" shrinkToFit="1"/>
    </xf>
    <xf numFmtId="173" fontId="146" fillId="154" borderId="1" xfId="138" applyNumberFormat="1" applyFont="1" applyFill="1" applyBorder="1" applyAlignment="1">
      <alignment horizontal="center" vertical="center" shrinkToFit="1"/>
    </xf>
    <xf numFmtId="173" fontId="47" fillId="74" borderId="1" xfId="138" applyNumberFormat="1" applyFont="1" applyFill="1" applyBorder="1" applyAlignment="1">
      <alignment horizontal="center" vertical="center" shrinkToFit="1"/>
    </xf>
    <xf numFmtId="173" fontId="66" fillId="232" borderId="1" xfId="138" applyNumberFormat="1" applyFont="1" applyFill="1" applyBorder="1" applyAlignment="1">
      <alignment horizontal="center" vertical="center" shrinkToFit="1"/>
    </xf>
    <xf numFmtId="173" fontId="167" fillId="233" borderId="1" xfId="138" applyNumberFormat="1" applyFont="1" applyFill="1" applyBorder="1" applyAlignment="1">
      <alignment horizontal="center" vertical="center" shrinkToFit="1"/>
    </xf>
    <xf numFmtId="173" fontId="168" fillId="234" borderId="1" xfId="0" applyNumberFormat="1" applyFont="1" applyFill="1" applyBorder="1" applyAlignment="1">
      <alignment horizontal="center" vertical="center"/>
    </xf>
    <xf numFmtId="173" fontId="43" fillId="55" borderId="16" xfId="150" applyNumberFormat="1" applyFont="1" applyFill="1" applyBorder="1" applyAlignment="1">
      <alignment horizontal="center" vertical="center" shrinkToFit="1"/>
    </xf>
    <xf numFmtId="173" fontId="167" fillId="233" borderId="37" xfId="138" applyNumberFormat="1" applyFont="1" applyFill="1" applyBorder="1" applyAlignment="1">
      <alignment horizontal="center" vertical="center" shrinkToFit="1"/>
    </xf>
    <xf numFmtId="173" fontId="66" fillId="132" borderId="1" xfId="0" applyNumberFormat="1" applyFont="1" applyFill="1" applyBorder="1" applyAlignment="1">
      <alignment horizontal="center" vertical="center"/>
    </xf>
    <xf numFmtId="173" fontId="48" fillId="75" borderId="16" xfId="150" applyNumberFormat="1" applyFont="1" applyFill="1" applyBorder="1" applyAlignment="1">
      <alignment horizontal="center" vertical="center" shrinkToFit="1"/>
    </xf>
    <xf numFmtId="173" fontId="67" fillId="235" borderId="1" xfId="138" applyNumberFormat="1" applyFont="1" applyFill="1" applyBorder="1" applyAlignment="1">
      <alignment horizontal="center" vertical="center" shrinkToFit="1"/>
    </xf>
    <xf numFmtId="173" fontId="84" fillId="0" borderId="67" xfId="0" applyNumberFormat="1" applyFont="1" applyBorder="1" applyAlignment="1">
      <alignment horizontal="center"/>
    </xf>
    <xf numFmtId="173" fontId="84" fillId="0" borderId="37" xfId="0" applyNumberFormat="1" applyFont="1" applyBorder="1"/>
    <xf numFmtId="173" fontId="50" fillId="120" borderId="37" xfId="138" applyNumberFormat="1" applyFont="1" applyFill="1" applyBorder="1" applyAlignment="1">
      <alignment horizontal="center" vertical="center" shrinkToFit="1"/>
    </xf>
    <xf numFmtId="173" fontId="3" fillId="236" borderId="0" xfId="150" applyNumberFormat="1" applyFont="1" applyFill="1" applyAlignment="1">
      <alignment horizontal="center" vertical="center" shrinkToFit="1"/>
    </xf>
    <xf numFmtId="173" fontId="0" fillId="90" borderId="0" xfId="0" applyNumberFormat="1" applyFill="1"/>
    <xf numFmtId="173" fontId="99" fillId="79" borderId="1" xfId="131" applyNumberFormat="1" applyFont="1" applyFill="1" applyBorder="1" applyAlignment="1">
      <alignment horizontal="center"/>
    </xf>
    <xf numFmtId="173" fontId="69" fillId="0" borderId="67" xfId="0" applyNumberFormat="1" applyFont="1" applyBorder="1" applyAlignment="1">
      <alignment horizontal="center"/>
    </xf>
    <xf numFmtId="173" fontId="69" fillId="0" borderId="68" xfId="0" applyNumberFormat="1" applyFont="1" applyBorder="1" applyAlignment="1">
      <alignment horizontal="center"/>
    </xf>
    <xf numFmtId="173" fontId="88" fillId="63" borderId="94" xfId="0" applyNumberFormat="1" applyFont="1" applyFill="1" applyBorder="1" applyAlignment="1">
      <alignment horizontal="center"/>
    </xf>
    <xf numFmtId="173" fontId="84" fillId="54" borderId="1" xfId="0" applyNumberFormat="1" applyFont="1" applyFill="1" applyBorder="1" applyAlignment="1">
      <alignment horizontal="center"/>
    </xf>
    <xf numFmtId="173" fontId="0" fillId="0" borderId="95" xfId="0" applyNumberFormat="1" applyBorder="1"/>
    <xf numFmtId="173" fontId="0" fillId="0" borderId="22" xfId="0" applyNumberFormat="1" applyBorder="1"/>
    <xf numFmtId="173" fontId="84" fillId="107" borderId="1" xfId="131" applyNumberFormat="1" applyFont="1" applyFill="1" applyBorder="1" applyAlignment="1">
      <alignment horizontal="center"/>
    </xf>
    <xf numFmtId="173" fontId="65" fillId="0" borderId="96" xfId="138" applyNumberFormat="1" applyFont="1" applyBorder="1" applyAlignment="1">
      <alignment horizontal="center" vertical="center" shrinkToFit="1"/>
    </xf>
    <xf numFmtId="173" fontId="69" fillId="0" borderId="1" xfId="0" applyNumberFormat="1" applyFont="1" applyBorder="1"/>
    <xf numFmtId="173" fontId="65" fillId="80" borderId="92" xfId="138" applyNumberFormat="1" applyFont="1" applyFill="1" applyBorder="1" applyAlignment="1">
      <alignment horizontal="center" vertical="center" shrinkToFit="1"/>
    </xf>
    <xf numFmtId="173" fontId="65" fillId="80" borderId="85" xfId="138" applyNumberFormat="1" applyFont="1" applyFill="1" applyBorder="1" applyAlignment="1">
      <alignment horizontal="center" vertical="center" shrinkToFit="1"/>
    </xf>
    <xf numFmtId="173" fontId="65" fillId="80" borderId="76" xfId="138" applyNumberFormat="1" applyFont="1" applyFill="1" applyBorder="1" applyAlignment="1">
      <alignment horizontal="center" vertical="center" shrinkToFit="1"/>
    </xf>
    <xf numFmtId="173" fontId="169" fillId="237" borderId="1" xfId="0" applyNumberFormat="1" applyFont="1" applyFill="1" applyBorder="1" applyAlignment="1">
      <alignment horizontal="center" vertical="center" wrapText="1"/>
    </xf>
    <xf numFmtId="173" fontId="69" fillId="50" borderId="0" xfId="0" applyNumberFormat="1" applyFont="1" applyFill="1" applyAlignment="1">
      <alignment wrapText="1"/>
    </xf>
    <xf numFmtId="173" fontId="42" fillId="82" borderId="17" xfId="138" applyNumberFormat="1" applyFont="1" applyFill="1" applyBorder="1" applyAlignment="1">
      <alignment horizontal="center" vertical="center" shrinkToFit="1"/>
    </xf>
    <xf numFmtId="173" fontId="84" fillId="238" borderId="1" xfId="0" applyNumberFormat="1" applyFont="1" applyFill="1" applyBorder="1" applyAlignment="1">
      <alignment horizontal="center"/>
    </xf>
    <xf numFmtId="173" fontId="66" fillId="154" borderId="1" xfId="0" applyNumberFormat="1" applyFont="1" applyFill="1" applyBorder="1" applyAlignment="1">
      <alignment horizontal="center" vertical="center" wrapText="1"/>
    </xf>
    <xf numFmtId="173" fontId="49" fillId="98" borderId="17" xfId="150" applyNumberFormat="1" applyFont="1" applyFill="1" applyBorder="1" applyAlignment="1">
      <alignment horizontal="center" vertical="center" shrinkToFit="1"/>
    </xf>
    <xf numFmtId="173" fontId="66" fillId="239" borderId="1" xfId="138" applyNumberFormat="1" applyFont="1" applyFill="1" applyBorder="1" applyAlignment="1">
      <alignment horizontal="center" vertical="center" shrinkToFit="1"/>
    </xf>
    <xf numFmtId="173" fontId="66" fillId="63" borderId="1" xfId="0" applyNumberFormat="1" applyFont="1" applyFill="1" applyBorder="1" applyAlignment="1">
      <alignment horizontal="center" vertical="center" wrapText="1"/>
    </xf>
    <xf numFmtId="173" fontId="50" fillId="99" borderId="1" xfId="150" applyNumberFormat="1" applyFont="1" applyFill="1" applyBorder="1" applyAlignment="1">
      <alignment horizontal="center" vertical="center" shrinkToFit="1"/>
    </xf>
    <xf numFmtId="173" fontId="67" fillId="240" borderId="1" xfId="138" applyNumberFormat="1" applyFont="1" applyFill="1" applyBorder="1" applyAlignment="1">
      <alignment horizontal="center" vertical="center" shrinkToFit="1"/>
    </xf>
    <xf numFmtId="173" fontId="170" fillId="241" borderId="1" xfId="0" applyNumberFormat="1" applyFont="1" applyFill="1" applyBorder="1" applyAlignment="1">
      <alignment horizontal="center" vertical="center" wrapText="1"/>
    </xf>
    <xf numFmtId="173" fontId="84" fillId="83" borderId="1" xfId="0" applyNumberFormat="1" applyFont="1" applyFill="1" applyBorder="1" applyAlignment="1">
      <alignment horizontal="center"/>
    </xf>
    <xf numFmtId="173" fontId="65" fillId="242" borderId="1" xfId="0" applyNumberFormat="1" applyFont="1" applyFill="1" applyBorder="1" applyAlignment="1">
      <alignment horizontal="center" vertical="center" wrapText="1"/>
    </xf>
    <xf numFmtId="173" fontId="66" fillId="126" borderId="1" xfId="0" applyNumberFormat="1" applyFont="1" applyFill="1" applyBorder="1" applyAlignment="1">
      <alignment horizontal="center" vertical="center"/>
    </xf>
    <xf numFmtId="173" fontId="84" fillId="228" borderId="1" xfId="0" applyNumberFormat="1" applyFont="1" applyFill="1" applyBorder="1" applyAlignment="1">
      <alignment horizontal="center"/>
    </xf>
    <xf numFmtId="173" fontId="157" fillId="0" borderId="0" xfId="138" applyNumberFormat="1" applyFont="1" applyAlignment="1">
      <alignment shrinkToFit="1"/>
    </xf>
    <xf numFmtId="173" fontId="65" fillId="132" borderId="92" xfId="138" applyNumberFormat="1" applyFont="1" applyFill="1" applyBorder="1" applyAlignment="1">
      <alignment horizontal="center" vertical="center" shrinkToFit="1"/>
    </xf>
    <xf numFmtId="173" fontId="65" fillId="132" borderId="85" xfId="138" applyNumberFormat="1" applyFont="1" applyFill="1" applyBorder="1" applyAlignment="1">
      <alignment horizontal="center" vertical="center" shrinkToFit="1"/>
    </xf>
    <xf numFmtId="173" fontId="65" fillId="132" borderId="76" xfId="138" applyNumberFormat="1" applyFont="1" applyFill="1" applyBorder="1" applyAlignment="1">
      <alignment horizontal="center" vertical="center" shrinkToFit="1"/>
    </xf>
    <xf numFmtId="173" fontId="65" fillId="111" borderId="1" xfId="138" applyNumberFormat="1" applyFont="1" applyFill="1" applyBorder="1" applyAlignment="1">
      <alignment horizontal="center" vertical="center" shrinkToFit="1"/>
    </xf>
    <xf numFmtId="173" fontId="66" fillId="149" borderId="1" xfId="138" applyNumberFormat="1" applyFont="1" applyFill="1" applyBorder="1" applyAlignment="1">
      <alignment horizontal="center" vertical="center" shrinkToFit="1"/>
    </xf>
    <xf numFmtId="173" fontId="134" fillId="0" borderId="0" xfId="138" applyNumberFormat="1" applyFont="1" applyAlignment="1">
      <alignment vertical="center" shrinkToFit="1"/>
    </xf>
    <xf numFmtId="173" fontId="48" fillId="100" borderId="15" xfId="138" applyNumberFormat="1" applyFont="1" applyFill="1" applyBorder="1" applyAlignment="1">
      <alignment horizontal="center" vertical="center" shrinkToFit="1"/>
    </xf>
    <xf numFmtId="173" fontId="84" fillId="133" borderId="1" xfId="0" applyNumberFormat="1" applyFont="1" applyFill="1" applyBorder="1" applyAlignment="1">
      <alignment horizontal="center"/>
    </xf>
    <xf numFmtId="173" fontId="67" fillId="243" borderId="1" xfId="138" applyNumberFormat="1" applyFont="1" applyFill="1" applyBorder="1" applyAlignment="1">
      <alignment horizontal="center" vertical="center" shrinkToFit="1"/>
    </xf>
    <xf numFmtId="173" fontId="47" fillId="101" borderId="1" xfId="138" applyNumberFormat="1" applyFont="1" applyFill="1" applyBorder="1" applyAlignment="1">
      <alignment horizontal="center" vertical="center" shrinkToFit="1"/>
    </xf>
    <xf numFmtId="173" fontId="67" fillId="164" borderId="1" xfId="138" applyNumberFormat="1" applyFont="1" applyFill="1" applyBorder="1" applyAlignment="1">
      <alignment horizontal="center" vertical="center" shrinkToFit="1"/>
    </xf>
    <xf numFmtId="173" fontId="66" fillId="50" borderId="37" xfId="0" applyNumberFormat="1" applyFont="1" applyFill="1" applyBorder="1" applyAlignment="1">
      <alignment horizontal="center" vertical="center"/>
    </xf>
    <xf numFmtId="173" fontId="134" fillId="0" borderId="0" xfId="126" applyNumberFormat="1" applyFont="1" applyAlignment="1">
      <alignment vertical="center" shrinkToFit="1"/>
    </xf>
    <xf numFmtId="173" fontId="57" fillId="102" borderId="16" xfId="150" applyNumberFormat="1" applyFont="1" applyFill="1" applyBorder="1" applyAlignment="1">
      <alignment horizontal="center" vertical="center" shrinkToFit="1"/>
    </xf>
    <xf numFmtId="173" fontId="171" fillId="244" borderId="1" xfId="0" applyNumberFormat="1" applyFont="1" applyFill="1" applyBorder="1" applyAlignment="1">
      <alignment horizontal="center" vertical="center" wrapText="1"/>
    </xf>
    <xf numFmtId="173" fontId="48" fillId="66" borderId="16" xfId="150" applyNumberFormat="1" applyFont="1" applyFill="1" applyBorder="1" applyAlignment="1">
      <alignment horizontal="center" vertical="center" shrinkToFit="1"/>
    </xf>
    <xf numFmtId="173" fontId="147" fillId="245" borderId="1" xfId="138" applyNumberFormat="1" applyFont="1" applyFill="1" applyBorder="1" applyAlignment="1">
      <alignment horizontal="center" vertical="center" shrinkToFit="1"/>
    </xf>
    <xf numFmtId="173" fontId="172" fillId="246" borderId="1" xfId="0" applyNumberFormat="1" applyFont="1" applyFill="1" applyBorder="1" applyAlignment="1">
      <alignment horizontal="center" vertical="center"/>
    </xf>
    <xf numFmtId="173" fontId="147" fillId="247" borderId="2" xfId="0" applyNumberFormat="1" applyFont="1" applyFill="1" applyBorder="1" applyAlignment="1">
      <alignment horizontal="center" vertical="center"/>
    </xf>
    <xf numFmtId="173" fontId="66" fillId="184" borderId="2" xfId="138" applyNumberFormat="1" applyFont="1" applyFill="1" applyBorder="1" applyAlignment="1">
      <alignment horizontal="center" vertical="center" shrinkToFit="1"/>
    </xf>
    <xf numFmtId="173" fontId="67" fillId="248" borderId="1" xfId="138" applyNumberFormat="1" applyFont="1" applyFill="1" applyBorder="1" applyAlignment="1">
      <alignment horizontal="center" vertical="center" shrinkToFit="1"/>
    </xf>
    <xf numFmtId="173" fontId="67" fillId="249" borderId="1" xfId="138" applyNumberFormat="1" applyFont="1" applyFill="1" applyBorder="1" applyAlignment="1">
      <alignment horizontal="center" vertical="center" shrinkToFit="1"/>
    </xf>
    <xf numFmtId="173" fontId="65" fillId="82" borderId="92" xfId="138" applyNumberFormat="1" applyFont="1" applyFill="1" applyBorder="1" applyAlignment="1">
      <alignment horizontal="center" vertical="center" shrinkToFit="1"/>
    </xf>
    <xf numFmtId="173" fontId="65" fillId="82" borderId="85" xfId="138" applyNumberFormat="1" applyFont="1" applyFill="1" applyBorder="1" applyAlignment="1">
      <alignment horizontal="center" vertical="center" shrinkToFit="1"/>
    </xf>
    <xf numFmtId="173" fontId="65" fillId="82" borderId="76" xfId="138" applyNumberFormat="1" applyFont="1" applyFill="1" applyBorder="1" applyAlignment="1">
      <alignment horizontal="center" vertical="center" shrinkToFit="1"/>
    </xf>
    <xf numFmtId="173" fontId="65" fillId="136" borderId="1" xfId="138" applyNumberFormat="1" applyFont="1" applyFill="1" applyBorder="1" applyAlignment="1">
      <alignment horizontal="center" vertical="center" shrinkToFit="1"/>
    </xf>
    <xf numFmtId="173" fontId="67" fillId="250" borderId="1" xfId="138" applyNumberFormat="1" applyFont="1" applyFill="1" applyBorder="1" applyAlignment="1">
      <alignment horizontal="center" vertical="center" shrinkToFit="1"/>
    </xf>
    <xf numFmtId="173" fontId="42" fillId="76" borderId="17" xfId="138" applyNumberFormat="1" applyFont="1" applyFill="1" applyBorder="1" applyAlignment="1">
      <alignment horizontal="center" vertical="center" shrinkToFit="1"/>
    </xf>
    <xf numFmtId="173" fontId="49" fillId="77" borderId="17" xfId="150" applyNumberFormat="1" applyFont="1" applyFill="1" applyBorder="1" applyAlignment="1">
      <alignment horizontal="center" vertical="center" shrinkToFit="1"/>
    </xf>
    <xf numFmtId="173" fontId="147" fillId="81" borderId="1" xfId="0" applyNumberFormat="1" applyFont="1" applyFill="1" applyBorder="1" applyAlignment="1">
      <alignment horizontal="center" vertical="center" wrapText="1"/>
    </xf>
    <xf numFmtId="173" fontId="147" fillId="251" borderId="1" xfId="0" applyNumberFormat="1" applyFont="1" applyFill="1" applyBorder="1" applyAlignment="1">
      <alignment horizontal="center" vertical="center"/>
    </xf>
    <xf numFmtId="173" fontId="50" fillId="78" borderId="1" xfId="150" applyNumberFormat="1" applyFont="1" applyFill="1" applyBorder="1" applyAlignment="1">
      <alignment horizontal="center" vertical="center" shrinkToFit="1"/>
    </xf>
    <xf numFmtId="173" fontId="84" fillId="132" borderId="1" xfId="0" applyNumberFormat="1" applyFont="1" applyFill="1" applyBorder="1" applyAlignment="1">
      <alignment horizontal="center"/>
    </xf>
    <xf numFmtId="173" fontId="147" fillId="50" borderId="1" xfId="0" applyNumberFormat="1" applyFont="1" applyFill="1" applyBorder="1" applyAlignment="1">
      <alignment horizontal="center" vertical="center" wrapText="1"/>
    </xf>
    <xf numFmtId="173" fontId="49" fillId="0" borderId="1" xfId="138" applyNumberFormat="1" applyFont="1" applyBorder="1" applyAlignment="1">
      <alignment horizontal="center" vertical="center" wrapText="1" shrinkToFit="1"/>
    </xf>
    <xf numFmtId="173" fontId="173" fillId="252" borderId="1" xfId="0" applyNumberFormat="1" applyFont="1" applyFill="1" applyBorder="1" applyAlignment="1">
      <alignment horizontal="center" vertical="center" wrapText="1"/>
    </xf>
    <xf numFmtId="173" fontId="67" fillId="82" borderId="1" xfId="0" applyNumberFormat="1" applyFont="1" applyFill="1" applyBorder="1" applyAlignment="1">
      <alignment horizontal="center" vertical="center" wrapText="1"/>
    </xf>
    <xf numFmtId="173" fontId="69" fillId="111" borderId="0" xfId="0" applyNumberFormat="1" applyFont="1" applyFill="1"/>
    <xf numFmtId="173" fontId="50" fillId="120" borderId="1" xfId="138" applyNumberFormat="1" applyFont="1" applyFill="1" applyBorder="1" applyAlignment="1">
      <alignment horizontal="center" vertical="center" shrinkToFit="1"/>
    </xf>
    <xf numFmtId="173" fontId="134" fillId="138" borderId="0" xfId="138" applyNumberFormat="1" applyFont="1" applyFill="1" applyAlignment="1">
      <alignment horizontal="center" vertical="center"/>
    </xf>
    <xf numFmtId="173" fontId="174" fillId="35" borderId="1" xfId="0" applyNumberFormat="1" applyFont="1" applyFill="1" applyBorder="1" applyAlignment="1">
      <alignment horizontal="center" vertical="center" wrapText="1"/>
    </xf>
    <xf numFmtId="173" fontId="66" fillId="55" borderId="1" xfId="0" applyNumberFormat="1" applyFont="1" applyFill="1" applyBorder="1" applyAlignment="1">
      <alignment horizontal="center" vertical="center" wrapText="1"/>
    </xf>
    <xf numFmtId="173" fontId="67" fillId="55" borderId="1" xfId="0" applyNumberFormat="1" applyFont="1" applyFill="1" applyBorder="1" applyAlignment="1">
      <alignment horizontal="center" vertical="center"/>
    </xf>
    <xf numFmtId="173" fontId="49" fillId="0" borderId="0" xfId="138" applyNumberFormat="1" applyFont="1" applyAlignment="1">
      <alignment horizontal="center" shrinkToFit="1"/>
    </xf>
    <xf numFmtId="173" fontId="67" fillId="61" borderId="1" xfId="0" applyNumberFormat="1" applyFont="1" applyFill="1" applyBorder="1" applyAlignment="1">
      <alignment horizontal="center" vertical="center"/>
    </xf>
    <xf numFmtId="173" fontId="31" fillId="0" borderId="0" xfId="0" applyNumberFormat="1" applyFont="1" applyAlignment="1">
      <alignment horizontal="center"/>
    </xf>
    <xf numFmtId="173" fontId="66" fillId="253" borderId="1" xfId="138" applyNumberFormat="1" applyFont="1" applyFill="1" applyBorder="1" applyAlignment="1">
      <alignment horizontal="center" vertical="center" shrinkToFit="1"/>
    </xf>
    <xf numFmtId="173" fontId="66" fillId="254" borderId="1" xfId="0" applyNumberFormat="1" applyFont="1" applyFill="1" applyBorder="1" applyAlignment="1">
      <alignment horizontal="center" vertical="center"/>
    </xf>
    <xf numFmtId="173" fontId="139" fillId="35" borderId="0" xfId="0" applyNumberFormat="1" applyFont="1" applyFill="1" applyAlignment="1" applyProtection="1">
      <alignment horizontal="center" vertical="center"/>
      <protection locked="0"/>
    </xf>
    <xf numFmtId="173" fontId="146" fillId="50" borderId="1" xfId="0" applyNumberFormat="1" applyFont="1" applyFill="1" applyBorder="1" applyAlignment="1">
      <alignment horizontal="center" vertical="center"/>
    </xf>
    <xf numFmtId="173" fontId="67" fillId="126" borderId="1" xfId="0" applyNumberFormat="1" applyFont="1" applyFill="1" applyBorder="1" applyAlignment="1">
      <alignment horizontal="center" vertical="center"/>
    </xf>
    <xf numFmtId="173" fontId="66" fillId="82" borderId="1" xfId="0" applyNumberFormat="1" applyFont="1" applyFill="1" applyBorder="1" applyAlignment="1">
      <alignment horizontal="center" vertical="center"/>
    </xf>
    <xf numFmtId="173" fontId="146" fillId="255" borderId="1" xfId="0" applyNumberFormat="1" applyFont="1" applyFill="1" applyBorder="1" applyAlignment="1">
      <alignment horizontal="center" vertical="center"/>
    </xf>
    <xf numFmtId="173" fontId="175" fillId="133" borderId="4" xfId="0" applyNumberFormat="1" applyFont="1" applyFill="1" applyBorder="1" applyAlignment="1">
      <alignment horizontal="center" vertical="center"/>
    </xf>
    <xf numFmtId="173" fontId="175" fillId="133" borderId="24" xfId="0" applyNumberFormat="1" applyFont="1" applyFill="1" applyBorder="1" applyAlignment="1">
      <alignment horizontal="center" vertical="center"/>
    </xf>
    <xf numFmtId="173" fontId="175" fillId="133" borderId="5" xfId="0" applyNumberFormat="1" applyFont="1" applyFill="1" applyBorder="1" applyAlignment="1">
      <alignment horizontal="center" vertical="center"/>
    </xf>
    <xf numFmtId="173" fontId="176" fillId="0" borderId="3" xfId="0" applyNumberFormat="1" applyFont="1" applyBorder="1" applyAlignment="1">
      <alignment horizontal="center" vertical="center"/>
    </xf>
    <xf numFmtId="173" fontId="66" fillId="0" borderId="67" xfId="138" applyNumberFormat="1" applyFont="1" applyBorder="1" applyAlignment="1">
      <alignment horizontal="center" vertical="center" shrinkToFit="1"/>
    </xf>
    <xf numFmtId="173" fontId="66" fillId="0" borderId="68" xfId="138" applyNumberFormat="1" applyFont="1" applyBorder="1" applyAlignment="1">
      <alignment horizontal="center" vertical="center" shrinkToFit="1"/>
    </xf>
    <xf numFmtId="173" fontId="66" fillId="0" borderId="69" xfId="138" applyNumberFormat="1" applyFont="1" applyBorder="1" applyAlignment="1">
      <alignment horizontal="center" vertical="center" shrinkToFit="1"/>
    </xf>
    <xf numFmtId="173" fontId="67" fillId="256" borderId="1" xfId="0" applyNumberFormat="1" applyFont="1" applyFill="1" applyBorder="1" applyAlignment="1">
      <alignment horizontal="center" vertical="center"/>
    </xf>
    <xf numFmtId="173" fontId="69" fillId="0" borderId="97" xfId="0" applyNumberFormat="1" applyFont="1" applyBorder="1"/>
    <xf numFmtId="173" fontId="137" fillId="0" borderId="4" xfId="0" applyNumberFormat="1" applyFont="1" applyBorder="1" applyAlignment="1" applyProtection="1">
      <alignment horizontal="center"/>
      <protection locked="0"/>
    </xf>
    <xf numFmtId="173" fontId="137" fillId="0" borderId="24" xfId="0" applyNumberFormat="1" applyFont="1" applyBorder="1" applyAlignment="1" applyProtection="1">
      <alignment horizontal="center"/>
      <protection locked="0"/>
    </xf>
    <xf numFmtId="173" fontId="137" fillId="0" borderId="5" xfId="0" applyNumberFormat="1" applyFont="1" applyBorder="1" applyAlignment="1" applyProtection="1">
      <alignment horizontal="center"/>
      <protection locked="0"/>
    </xf>
    <xf numFmtId="173" fontId="138" fillId="120" borderId="4" xfId="0" applyNumberFormat="1" applyFont="1" applyFill="1" applyBorder="1" applyAlignment="1">
      <alignment horizontal="center" vertical="center"/>
    </xf>
    <xf numFmtId="173" fontId="138" fillId="120" borderId="5" xfId="0" applyNumberFormat="1" applyFont="1" applyFill="1" applyBorder="1" applyAlignment="1">
      <alignment horizontal="center" vertical="center"/>
    </xf>
    <xf numFmtId="173" fontId="66" fillId="178" borderId="1" xfId="0" applyNumberFormat="1" applyFont="1" applyFill="1" applyBorder="1" applyAlignment="1">
      <alignment horizontal="center" vertical="center"/>
    </xf>
    <xf numFmtId="173" fontId="177" fillId="111" borderId="0" xfId="0" applyNumberFormat="1" applyFont="1" applyFill="1"/>
    <xf numFmtId="173" fontId="137" fillId="0" borderId="34" xfId="0" applyNumberFormat="1" applyFont="1" applyBorder="1" applyAlignment="1" applyProtection="1">
      <alignment horizontal="center"/>
      <protection locked="0"/>
    </xf>
    <xf numFmtId="173" fontId="137" fillId="0" borderId="27" xfId="0" applyNumberFormat="1" applyFont="1" applyBorder="1" applyAlignment="1" applyProtection="1">
      <alignment horizontal="center"/>
      <protection locked="0"/>
    </xf>
    <xf numFmtId="173" fontId="137" fillId="0" borderId="0" xfId="0" applyNumberFormat="1" applyFont="1" applyAlignment="1" applyProtection="1">
      <alignment horizontal="center"/>
      <protection locked="0"/>
    </xf>
    <xf numFmtId="173" fontId="65" fillId="0" borderId="98" xfId="138" applyNumberFormat="1" applyFont="1" applyBorder="1" applyAlignment="1">
      <alignment horizontal="center" vertical="center" shrinkToFit="1"/>
    </xf>
    <xf numFmtId="173" fontId="146" fillId="257" borderId="1" xfId="0" applyNumberFormat="1" applyFont="1" applyFill="1" applyBorder="1" applyAlignment="1">
      <alignment horizontal="center" vertical="center"/>
    </xf>
    <xf numFmtId="173" fontId="49" fillId="0" borderId="4" xfId="0" applyNumberFormat="1" applyFont="1" applyBorder="1" applyAlignment="1">
      <alignment horizontal="center" vertical="center" wrapText="1" shrinkToFit="1"/>
    </xf>
    <xf numFmtId="173" fontId="49" fillId="0" borderId="24" xfId="0" applyNumberFormat="1" applyFont="1" applyBorder="1" applyAlignment="1">
      <alignment horizontal="center" vertical="center" wrapText="1" shrinkToFit="1"/>
    </xf>
    <xf numFmtId="173" fontId="49" fillId="0" borderId="5" xfId="0" applyNumberFormat="1" applyFont="1" applyBorder="1" applyAlignment="1">
      <alignment horizontal="center" vertical="center" wrapText="1" shrinkToFit="1"/>
    </xf>
    <xf numFmtId="173" fontId="49" fillId="0" borderId="0" xfId="138" applyNumberFormat="1" applyFont="1" applyAlignment="1">
      <alignment horizontal="center" vertical="center" shrinkToFit="1"/>
    </xf>
    <xf numFmtId="173" fontId="143" fillId="0" borderId="99" xfId="138" applyNumberFormat="1" applyFont="1" applyBorder="1" applyAlignment="1">
      <alignment horizontal="left" vertical="center" shrinkToFit="1"/>
    </xf>
    <xf numFmtId="173" fontId="67" fillId="113" borderId="100" xfId="138" applyNumberFormat="1" applyFont="1" applyFill="1" applyBorder="1" applyAlignment="1">
      <alignment horizontal="center" vertical="center" shrinkToFit="1"/>
    </xf>
    <xf numFmtId="173" fontId="69" fillId="61" borderId="0" xfId="0" applyNumberFormat="1" applyFont="1" applyFill="1"/>
    <xf numFmtId="173" fontId="143" fillId="0" borderId="17" xfId="0" applyNumberFormat="1" applyFont="1" applyBorder="1" applyAlignment="1">
      <alignment horizontal="left" vertical="center" wrapText="1"/>
    </xf>
    <xf numFmtId="173" fontId="143" fillId="0" borderId="18" xfId="0" applyNumberFormat="1" applyFont="1" applyBorder="1" applyAlignment="1">
      <alignment horizontal="left" vertical="center" wrapText="1"/>
    </xf>
    <xf numFmtId="173" fontId="178" fillId="258" borderId="1" xfId="0" applyNumberFormat="1" applyFont="1" applyFill="1" applyBorder="1" applyAlignment="1">
      <alignment horizontal="center" vertical="center"/>
    </xf>
    <xf numFmtId="173" fontId="179" fillId="0" borderId="2" xfId="150" applyNumberFormat="1" applyFont="1" applyBorder="1" applyAlignment="1">
      <alignment horizontal="left" vertical="center" shrinkToFit="1"/>
    </xf>
    <xf numFmtId="173" fontId="66" fillId="35" borderId="17" xfId="138" applyNumberFormat="1" applyFont="1" applyFill="1" applyBorder="1" applyAlignment="1">
      <alignment horizontal="center" vertical="center" shrinkToFit="1"/>
    </xf>
    <xf numFmtId="173" fontId="179" fillId="0" borderId="1" xfId="150" applyNumberFormat="1" applyFont="1" applyBorder="1" applyAlignment="1">
      <alignment horizontal="left" vertical="center" shrinkToFit="1"/>
    </xf>
    <xf numFmtId="173" fontId="172" fillId="259" borderId="1" xfId="0" applyNumberFormat="1" applyFont="1" applyFill="1" applyBorder="1" applyAlignment="1">
      <alignment horizontal="center" vertical="center" wrapText="1"/>
    </xf>
    <xf numFmtId="173" fontId="66" fillId="83" borderId="1" xfId="0" applyNumberFormat="1" applyFont="1" applyFill="1" applyBorder="1" applyAlignment="1">
      <alignment horizontal="center" vertical="center"/>
    </xf>
    <xf numFmtId="173" fontId="65" fillId="0" borderId="101" xfId="138" applyNumberFormat="1" applyFont="1" applyBorder="1" applyAlignment="1">
      <alignment horizontal="center" vertical="center" shrinkToFit="1"/>
    </xf>
    <xf numFmtId="173" fontId="65" fillId="0" borderId="20" xfId="138" applyNumberFormat="1" applyFont="1" applyBorder="1" applyAlignment="1">
      <alignment horizontal="center" vertical="center" shrinkToFit="1"/>
    </xf>
    <xf numFmtId="173" fontId="69" fillId="44" borderId="49" xfId="0" applyNumberFormat="1" applyFont="1" applyFill="1" applyBorder="1" applyAlignment="1">
      <alignment horizontal="center" wrapText="1"/>
    </xf>
    <xf numFmtId="173" fontId="66" fillId="260" borderId="1" xfId="138" applyNumberFormat="1" applyFont="1" applyFill="1" applyBorder="1" applyAlignment="1">
      <alignment horizontal="center" vertical="center" shrinkToFit="1"/>
    </xf>
    <xf numFmtId="173" fontId="65" fillId="0" borderId="55" xfId="0" applyNumberFormat="1" applyFont="1" applyBorder="1" applyAlignment="1">
      <alignment horizontal="left" vertical="center" wrapText="1" shrinkToFit="1"/>
    </xf>
    <xf numFmtId="173" fontId="65" fillId="0" borderId="49" xfId="0" applyNumberFormat="1" applyFont="1" applyBorder="1" applyAlignment="1">
      <alignment horizontal="left" vertical="center" wrapText="1" shrinkToFit="1"/>
    </xf>
    <xf numFmtId="173" fontId="60" fillId="182" borderId="1" xfId="141" applyNumberFormat="1" applyFont="1" applyFill="1" applyBorder="1" applyAlignment="1">
      <alignment vertical="center" shrinkToFit="1"/>
    </xf>
    <xf numFmtId="173" fontId="60" fillId="182" borderId="15" xfId="141" applyNumberFormat="1" applyFont="1" applyFill="1" applyBorder="1" applyAlignment="1">
      <alignment horizontal="center" vertical="center" shrinkToFit="1"/>
    </xf>
    <xf numFmtId="173" fontId="60" fillId="182" borderId="68" xfId="141" applyNumberFormat="1" applyFont="1" applyFill="1" applyBorder="1" applyAlignment="1">
      <alignment horizontal="center" vertical="center" shrinkToFit="1"/>
    </xf>
    <xf numFmtId="173" fontId="60" fillId="182" borderId="69" xfId="141" applyNumberFormat="1" applyFont="1" applyFill="1" applyBorder="1" applyAlignment="1">
      <alignment horizontal="center" vertical="center" shrinkToFit="1"/>
    </xf>
    <xf numFmtId="173" fontId="49" fillId="0" borderId="71" xfId="138" applyNumberFormat="1" applyFont="1" applyBorder="1" applyAlignment="1">
      <alignment horizontal="center" shrinkToFit="1"/>
    </xf>
    <xf numFmtId="173" fontId="143" fillId="0" borderId="74" xfId="138" applyNumberFormat="1" applyFont="1" applyBorder="1" applyAlignment="1">
      <alignment horizontal="left" vertical="center" shrinkToFit="1"/>
    </xf>
    <xf numFmtId="173" fontId="69" fillId="44" borderId="0" xfId="0" applyNumberFormat="1" applyFont="1" applyFill="1" applyAlignment="1">
      <alignment horizontal="center" wrapText="1"/>
    </xf>
    <xf numFmtId="173" fontId="146" fillId="261" borderId="1" xfId="138" applyNumberFormat="1" applyFont="1" applyFill="1" applyBorder="1" applyAlignment="1">
      <alignment horizontal="center" vertical="center" shrinkToFit="1"/>
    </xf>
    <xf numFmtId="173" fontId="66" fillId="135" borderId="17" xfId="0" applyNumberFormat="1" applyFont="1" applyFill="1" applyBorder="1" applyAlignment="1">
      <alignment horizontal="center" vertical="center"/>
    </xf>
    <xf numFmtId="173" fontId="66" fillId="225" borderId="1" xfId="0" applyNumberFormat="1" applyFont="1" applyFill="1" applyBorder="1" applyAlignment="1">
      <alignment horizontal="center" vertical="center"/>
    </xf>
    <xf numFmtId="173" fontId="66" fillId="115" borderId="17" xfId="138" applyNumberFormat="1" applyFont="1" applyFill="1" applyBorder="1" applyAlignment="1">
      <alignment horizontal="center" vertical="center" shrinkToFit="1"/>
    </xf>
    <xf numFmtId="173" fontId="153" fillId="262" borderId="1" xfId="0" applyNumberFormat="1" applyFont="1" applyFill="1" applyBorder="1" applyAlignment="1">
      <alignment horizontal="center" vertical="center"/>
    </xf>
    <xf numFmtId="173" fontId="66" fillId="112" borderId="16" xfId="138" applyNumberFormat="1" applyFont="1" applyFill="1" applyBorder="1" applyAlignment="1">
      <alignment horizontal="center" vertical="center" shrinkToFit="1"/>
    </xf>
    <xf numFmtId="173" fontId="66" fillId="263" borderId="1" xfId="0" applyNumberFormat="1" applyFont="1" applyFill="1" applyBorder="1" applyAlignment="1">
      <alignment horizontal="center" vertical="center" wrapText="1"/>
    </xf>
    <xf numFmtId="173" fontId="66" fillId="50" borderId="1" xfId="0" applyNumberFormat="1" applyFont="1" applyFill="1" applyBorder="1" applyAlignment="1">
      <alignment horizontal="center" vertical="center"/>
    </xf>
    <xf numFmtId="173" fontId="67" fillId="264" borderId="1" xfId="0" applyNumberFormat="1" applyFont="1" applyFill="1" applyBorder="1" applyAlignment="1">
      <alignment horizontal="center" vertical="center" wrapText="1"/>
    </xf>
    <xf numFmtId="173" fontId="180" fillId="0" borderId="0" xfId="138" applyNumberFormat="1" applyFont="1" applyAlignment="1">
      <alignment horizontal="center" vertical="center" shrinkToFit="1"/>
    </xf>
    <xf numFmtId="173" fontId="67" fillId="265" borderId="1" xfId="0" applyNumberFormat="1" applyFont="1" applyFill="1" applyBorder="1" applyAlignment="1">
      <alignment horizontal="center" vertical="center" wrapText="1"/>
    </xf>
    <xf numFmtId="173" fontId="0" fillId="0" borderId="97" xfId="0" applyNumberFormat="1" applyBorder="1"/>
    <xf numFmtId="173" fontId="67" fillId="266" borderId="1" xfId="0" applyNumberFormat="1" applyFont="1" applyFill="1" applyBorder="1" applyAlignment="1">
      <alignment horizontal="center" vertical="center" wrapText="1"/>
    </xf>
    <xf numFmtId="173" fontId="69" fillId="0" borderId="51" xfId="0" applyNumberFormat="1" applyFont="1" applyBorder="1"/>
    <xf numFmtId="173" fontId="168" fillId="267" borderId="1" xfId="0" applyNumberFormat="1" applyFont="1" applyFill="1" applyBorder="1" applyAlignment="1">
      <alignment horizontal="center" vertical="center" wrapText="1"/>
    </xf>
    <xf numFmtId="173" fontId="160" fillId="0" borderId="0" xfId="138" applyNumberFormat="1" applyFont="1" applyAlignment="1">
      <alignment horizontal="center" vertical="center" shrinkToFit="1"/>
    </xf>
    <xf numFmtId="173" fontId="143" fillId="0" borderId="96" xfId="138" applyNumberFormat="1" applyFont="1" applyBorder="1" applyAlignment="1">
      <alignment horizontal="left" vertical="center" shrinkToFit="1"/>
    </xf>
    <xf numFmtId="173" fontId="143" fillId="0" borderId="18" xfId="138" applyNumberFormat="1" applyFont="1" applyBorder="1" applyAlignment="1">
      <alignment horizontal="left" vertical="center" shrinkToFit="1"/>
    </xf>
    <xf numFmtId="173" fontId="143" fillId="0" borderId="19" xfId="138" applyNumberFormat="1" applyFont="1" applyBorder="1" applyAlignment="1">
      <alignment horizontal="left" vertical="center" shrinkToFit="1"/>
    </xf>
    <xf numFmtId="173" fontId="181" fillId="268" borderId="100" xfId="138" applyNumberFormat="1" applyFont="1" applyFill="1" applyBorder="1" applyAlignment="1">
      <alignment horizontal="center" vertical="center" shrinkToFit="1"/>
    </xf>
    <xf numFmtId="173" fontId="69" fillId="54" borderId="49" xfId="0" applyNumberFormat="1" applyFont="1" applyFill="1" applyBorder="1" applyAlignment="1">
      <alignment horizontal="center" wrapText="1"/>
    </xf>
    <xf numFmtId="173" fontId="69" fillId="54" borderId="0" xfId="0" applyNumberFormat="1" applyFont="1" applyFill="1" applyAlignment="1">
      <alignment horizontal="center" wrapText="1"/>
    </xf>
    <xf numFmtId="173" fontId="165" fillId="54" borderId="1" xfId="0" applyNumberFormat="1" applyFont="1" applyFill="1" applyBorder="1" applyAlignment="1">
      <alignment horizontal="center" vertical="center"/>
    </xf>
    <xf numFmtId="173" fontId="67" fillId="54" borderId="1" xfId="0" applyNumberFormat="1" applyFont="1" applyFill="1" applyBorder="1" applyAlignment="1">
      <alignment horizontal="center" vertical="center"/>
    </xf>
    <xf numFmtId="173" fontId="84" fillId="0" borderId="0" xfId="0" applyNumberFormat="1" applyFont="1" applyAlignment="1">
      <alignment horizontal="center"/>
    </xf>
    <xf numFmtId="173" fontId="65" fillId="0" borderId="37" xfId="0" applyNumberFormat="1" applyFont="1" applyBorder="1" applyAlignment="1">
      <alignment horizontal="left" vertical="center" wrapText="1" shrinkToFit="1"/>
    </xf>
    <xf numFmtId="173" fontId="65" fillId="35" borderId="1" xfId="0" applyNumberFormat="1" applyFont="1" applyFill="1" applyBorder="1" applyAlignment="1">
      <alignment horizontal="center" vertical="center"/>
    </xf>
    <xf numFmtId="173" fontId="67" fillId="50" borderId="1" xfId="0" applyNumberFormat="1" applyFont="1" applyFill="1" applyBorder="1" applyAlignment="1">
      <alignment horizontal="center" vertical="center"/>
    </xf>
    <xf numFmtId="173" fontId="169" fillId="269" borderId="1" xfId="0" applyNumberFormat="1" applyFont="1" applyFill="1" applyBorder="1" applyAlignment="1">
      <alignment horizontal="center" vertical="center"/>
    </xf>
    <xf numFmtId="173" fontId="179" fillId="0" borderId="37" xfId="150" applyNumberFormat="1" applyFont="1" applyBorder="1" applyAlignment="1">
      <alignment horizontal="left" vertical="center" shrinkToFit="1"/>
    </xf>
    <xf numFmtId="173" fontId="134" fillId="0" borderId="99" xfId="138" applyNumberFormat="1" applyFont="1" applyBorder="1" applyAlignment="1">
      <alignment horizontal="left" vertical="center" shrinkToFit="1"/>
    </xf>
    <xf numFmtId="173" fontId="66" fillId="270" borderId="100" xfId="138" applyNumberFormat="1" applyFont="1" applyFill="1" applyBorder="1" applyAlignment="1">
      <alignment horizontal="center" vertical="center" shrinkToFit="1"/>
    </xf>
    <xf numFmtId="173" fontId="69" fillId="55" borderId="0" xfId="0" applyNumberFormat="1" applyFont="1" applyFill="1"/>
    <xf numFmtId="173" fontId="65" fillId="0" borderId="4" xfId="0" applyNumberFormat="1" applyFont="1" applyBorder="1" applyAlignment="1">
      <alignment horizontal="left" vertical="center" wrapText="1" shrinkToFit="1"/>
    </xf>
    <xf numFmtId="173" fontId="65" fillId="0" borderId="24" xfId="0" applyNumberFormat="1" applyFont="1" applyBorder="1" applyAlignment="1">
      <alignment horizontal="left" vertical="center" wrapText="1" shrinkToFit="1"/>
    </xf>
    <xf numFmtId="173" fontId="143" fillId="0" borderId="15" xfId="0" applyNumberFormat="1" applyFont="1" applyBorder="1" applyAlignment="1">
      <alignment horizontal="left" wrapText="1"/>
    </xf>
    <xf numFmtId="173" fontId="143" fillId="0" borderId="68" xfId="0" applyNumberFormat="1" applyFont="1" applyBorder="1" applyAlignment="1">
      <alignment horizontal="left" wrapText="1"/>
    </xf>
    <xf numFmtId="173" fontId="143" fillId="0" borderId="74" xfId="0" applyNumberFormat="1" applyFont="1" applyBorder="1" applyAlignment="1">
      <alignment horizontal="left" wrapText="1"/>
    </xf>
    <xf numFmtId="173" fontId="66" fillId="271" borderId="17" xfId="138" applyNumberFormat="1" applyFont="1" applyFill="1" applyBorder="1" applyAlignment="1">
      <alignment horizontal="center" vertical="center" shrinkToFit="1"/>
    </xf>
    <xf numFmtId="173" fontId="49" fillId="0" borderId="4" xfId="0" applyNumberFormat="1" applyFont="1" applyBorder="1" applyAlignment="1">
      <alignment horizontal="center" vertical="center" shrinkToFit="1"/>
    </xf>
    <xf numFmtId="173" fontId="49" fillId="0" borderId="24" xfId="0" applyNumberFormat="1" applyFont="1" applyBorder="1" applyAlignment="1">
      <alignment horizontal="center" vertical="center" shrinkToFit="1"/>
    </xf>
    <xf numFmtId="173" fontId="49" fillId="0" borderId="5" xfId="0" applyNumberFormat="1" applyFont="1" applyBorder="1" applyAlignment="1">
      <alignment horizontal="center" vertical="center" shrinkToFit="1"/>
    </xf>
    <xf numFmtId="173" fontId="66" fillId="0" borderId="15" xfId="0" applyNumberFormat="1" applyFont="1" applyBorder="1" applyAlignment="1">
      <alignment horizontal="center" wrapText="1"/>
    </xf>
    <xf numFmtId="173" fontId="66" fillId="0" borderId="68" xfId="0" applyNumberFormat="1" applyFont="1" applyBorder="1" applyAlignment="1">
      <alignment horizontal="center" wrapText="1"/>
    </xf>
    <xf numFmtId="173" fontId="66" fillId="0" borderId="69" xfId="0" applyNumberFormat="1" applyFont="1" applyBorder="1" applyAlignment="1">
      <alignment horizontal="center" wrapText="1"/>
    </xf>
    <xf numFmtId="173" fontId="65" fillId="0" borderId="102" xfId="0" applyNumberFormat="1" applyFont="1" applyBorder="1" applyAlignment="1">
      <alignment horizontal="left" vertical="center" wrapText="1" shrinkToFit="1"/>
    </xf>
    <xf numFmtId="173" fontId="65" fillId="0" borderId="103" xfId="0" applyNumberFormat="1" applyFont="1" applyBorder="1" applyAlignment="1">
      <alignment horizontal="left" vertical="center" wrapText="1" shrinkToFit="1"/>
    </xf>
    <xf numFmtId="173" fontId="65" fillId="0" borderId="104" xfId="0" applyNumberFormat="1" applyFont="1" applyBorder="1" applyAlignment="1">
      <alignment horizontal="left" vertical="center" wrapText="1" shrinkToFit="1"/>
    </xf>
    <xf numFmtId="173" fontId="134" fillId="0" borderId="19" xfId="138" applyNumberFormat="1" applyFont="1" applyBorder="1" applyAlignment="1">
      <alignment horizontal="left" vertical="center" shrinkToFit="1"/>
    </xf>
    <xf numFmtId="173" fontId="66" fillId="35" borderId="100" xfId="0" applyNumberFormat="1" applyFont="1" applyFill="1" applyBorder="1" applyAlignment="1">
      <alignment horizontal="center" vertical="center"/>
    </xf>
    <xf numFmtId="173" fontId="0" fillId="88" borderId="0" xfId="0" applyNumberFormat="1" applyFill="1"/>
    <xf numFmtId="173" fontId="67" fillId="107" borderId="17" xfId="0" applyNumberFormat="1" applyFont="1" applyFill="1" applyBorder="1" applyAlignment="1">
      <alignment horizontal="center" vertical="center"/>
    </xf>
    <xf numFmtId="173" fontId="0" fillId="56" borderId="1" xfId="0" applyNumberFormat="1" applyFill="1" applyBorder="1"/>
    <xf numFmtId="173" fontId="66" fillId="272" borderId="1" xfId="0" applyNumberFormat="1" applyFont="1" applyFill="1" applyBorder="1" applyAlignment="1">
      <alignment horizontal="center" vertical="center"/>
    </xf>
    <xf numFmtId="173" fontId="67" fillId="195" borderId="1" xfId="0" applyNumberFormat="1" applyFont="1" applyFill="1" applyBorder="1" applyAlignment="1">
      <alignment horizontal="center" vertical="center"/>
    </xf>
    <xf numFmtId="173" fontId="66" fillId="273" borderId="1" xfId="138" applyNumberFormat="1" applyFont="1" applyFill="1" applyBorder="1" applyAlignment="1">
      <alignment horizontal="center" vertical="center" shrinkToFit="1"/>
    </xf>
    <xf numFmtId="173" fontId="66" fillId="270" borderId="1" xfId="138" applyNumberFormat="1" applyFont="1" applyFill="1" applyBorder="1" applyAlignment="1">
      <alignment horizontal="center" vertical="center" shrinkToFit="1"/>
    </xf>
    <xf numFmtId="173" fontId="66" fillId="274" borderId="100" xfId="138" applyNumberFormat="1" applyFont="1" applyFill="1" applyBorder="1" applyAlignment="1">
      <alignment horizontal="center" vertical="center" shrinkToFit="1"/>
    </xf>
    <xf numFmtId="173" fontId="69" fillId="107" borderId="49" xfId="0" applyNumberFormat="1" applyFont="1" applyFill="1" applyBorder="1" applyAlignment="1">
      <alignment horizontal="center" wrapText="1"/>
    </xf>
    <xf numFmtId="173" fontId="66" fillId="275" borderId="17" xfId="138" applyNumberFormat="1" applyFont="1" applyFill="1" applyBorder="1" applyAlignment="1">
      <alignment horizontal="center" vertical="center" shrinkToFit="1"/>
    </xf>
    <xf numFmtId="173" fontId="69" fillId="107" borderId="0" xfId="0" applyNumberFormat="1" applyFont="1" applyFill="1" applyAlignment="1">
      <alignment horizontal="center" wrapText="1"/>
    </xf>
    <xf numFmtId="173" fontId="66" fillId="239" borderId="17" xfId="138" applyNumberFormat="1" applyFont="1" applyFill="1" applyBorder="1" applyAlignment="1">
      <alignment horizontal="center" vertical="center" shrinkToFit="1"/>
    </xf>
    <xf numFmtId="173" fontId="66" fillId="161" borderId="100" xfId="138" applyNumberFormat="1" applyFont="1" applyFill="1" applyBorder="1" applyAlignment="1">
      <alignment horizontal="center" vertical="center" shrinkToFit="1"/>
    </xf>
    <xf numFmtId="173" fontId="66" fillId="276" borderId="17" xfId="138" applyNumberFormat="1" applyFont="1" applyFill="1" applyBorder="1" applyAlignment="1">
      <alignment horizontal="center" vertical="center" shrinkToFit="1"/>
    </xf>
    <xf numFmtId="173" fontId="66" fillId="277" borderId="16" xfId="138" applyNumberFormat="1" applyFont="1" applyFill="1" applyBorder="1" applyAlignment="1">
      <alignment horizontal="center" vertical="center" shrinkToFit="1"/>
    </xf>
    <xf numFmtId="173" fontId="134" fillId="0" borderId="105" xfId="138" applyNumberFormat="1" applyFont="1" applyBorder="1" applyAlignment="1">
      <alignment horizontal="left" vertical="center" shrinkToFit="1"/>
    </xf>
    <xf numFmtId="173" fontId="66" fillId="164" borderId="100" xfId="138" applyNumberFormat="1" applyFont="1" applyFill="1" applyBorder="1" applyAlignment="1">
      <alignment horizontal="center" vertical="center" shrinkToFit="1"/>
    </xf>
    <xf numFmtId="173" fontId="66" fillId="164" borderId="53" xfId="138" applyNumberFormat="1" applyFont="1" applyFill="1" applyBorder="1" applyAlignment="1">
      <alignment horizontal="center" vertical="center" shrinkToFit="1"/>
    </xf>
    <xf numFmtId="173" fontId="147" fillId="135" borderId="1" xfId="138" applyNumberFormat="1" applyFont="1" applyFill="1" applyBorder="1" applyAlignment="1">
      <alignment horizontal="center" vertical="center" shrinkToFit="1"/>
    </xf>
    <xf numFmtId="173" fontId="69" fillId="35" borderId="0" xfId="0" applyNumberFormat="1" applyFont="1" applyFill="1"/>
    <xf numFmtId="173" fontId="67" fillId="278" borderId="106" xfId="138" applyNumberFormat="1" applyFont="1" applyFill="1" applyBorder="1" applyAlignment="1">
      <alignment horizontal="center" vertical="center" shrinkToFit="1"/>
    </xf>
    <xf numFmtId="173" fontId="67" fillId="279" borderId="100" xfId="138" applyNumberFormat="1" applyFont="1" applyFill="1" applyBorder="1" applyAlignment="1">
      <alignment horizontal="center" vertical="center" shrinkToFit="1"/>
    </xf>
    <xf numFmtId="173" fontId="0" fillId="79" borderId="0" xfId="0" applyNumberFormat="1" applyFill="1"/>
    <xf numFmtId="173" fontId="66" fillId="0" borderId="1" xfId="0" applyNumberFormat="1" applyFont="1" applyBorder="1"/>
    <xf numFmtId="173" fontId="69" fillId="135" borderId="0" xfId="0" applyNumberFormat="1" applyFont="1" applyFill="1"/>
    <xf numFmtId="173" fontId="66" fillId="280" borderId="100" xfId="138" applyNumberFormat="1" applyFont="1" applyFill="1" applyBorder="1" applyAlignment="1">
      <alignment horizontal="center" vertical="center" shrinkToFit="1"/>
    </xf>
    <xf numFmtId="173" fontId="67" fillId="174" borderId="100" xfId="138" applyNumberFormat="1" applyFont="1" applyFill="1" applyBorder="1" applyAlignment="1">
      <alignment horizontal="center" vertical="center" shrinkToFit="1"/>
    </xf>
    <xf numFmtId="173" fontId="0" fillId="135" borderId="0" xfId="0" applyNumberFormat="1" applyFill="1"/>
    <xf numFmtId="173" fontId="66" fillId="281" borderId="100" xfId="138" applyNumberFormat="1" applyFont="1" applyFill="1" applyBorder="1" applyAlignment="1">
      <alignment horizontal="center" vertical="center" shrinkToFit="1"/>
    </xf>
    <xf numFmtId="173" fontId="66" fillId="282" borderId="100" xfId="138" applyNumberFormat="1" applyFont="1" applyFill="1" applyBorder="1" applyAlignment="1">
      <alignment horizontal="center" vertical="center" shrinkToFit="1"/>
    </xf>
    <xf numFmtId="173" fontId="66" fillId="283" borderId="100" xfId="138" applyNumberFormat="1" applyFont="1" applyFill="1" applyBorder="1" applyAlignment="1">
      <alignment horizontal="center" vertical="center" shrinkToFit="1"/>
    </xf>
    <xf numFmtId="173" fontId="65" fillId="0" borderId="16" xfId="138" applyNumberFormat="1" applyFont="1" applyBorder="1" applyAlignment="1">
      <alignment horizontal="center" vertical="center" shrinkToFit="1"/>
    </xf>
    <xf numFmtId="173" fontId="66" fillId="284" borderId="100" xfId="138" applyNumberFormat="1" applyFont="1" applyFill="1" applyBorder="1" applyAlignment="1">
      <alignment horizontal="center" vertical="center" shrinkToFit="1"/>
    </xf>
    <xf numFmtId="173" fontId="134" fillId="0" borderId="1" xfId="138" applyNumberFormat="1" applyFont="1" applyBorder="1" applyAlignment="1">
      <alignment horizontal="left" vertical="center" shrinkToFit="1"/>
    </xf>
    <xf numFmtId="173" fontId="182" fillId="285" borderId="1" xfId="138" applyNumberFormat="1" applyFont="1" applyFill="1" applyBorder="1" applyAlignment="1">
      <alignment horizontal="center" vertical="center" shrinkToFit="1"/>
    </xf>
    <xf numFmtId="173" fontId="0" fillId="145" borderId="0" xfId="0" applyNumberFormat="1" applyFill="1"/>
    <xf numFmtId="173" fontId="66" fillId="286" borderId="100" xfId="138" applyNumberFormat="1" applyFont="1" applyFill="1" applyBorder="1" applyAlignment="1">
      <alignment horizontal="center" vertical="center" shrinkToFit="1"/>
    </xf>
    <xf numFmtId="173" fontId="183" fillId="287" borderId="1" xfId="138" applyNumberFormat="1" applyFont="1" applyFill="1" applyBorder="1" applyAlignment="1">
      <alignment horizontal="center" vertical="center" shrinkToFit="1"/>
    </xf>
    <xf numFmtId="173" fontId="66" fillId="288" borderId="100" xfId="138" applyNumberFormat="1" applyFont="1" applyFill="1" applyBorder="1" applyAlignment="1">
      <alignment horizontal="center" vertical="center" shrinkToFit="1"/>
    </xf>
    <xf numFmtId="173" fontId="67" fillId="289" borderId="1" xfId="138" applyNumberFormat="1" applyFont="1" applyFill="1" applyBorder="1" applyAlignment="1">
      <alignment horizontal="center" vertical="center" shrinkToFit="1"/>
    </xf>
    <xf numFmtId="173" fontId="66" fillId="290" borderId="100" xfId="138" applyNumberFormat="1" applyFont="1" applyFill="1" applyBorder="1" applyAlignment="1">
      <alignment horizontal="center" vertical="center" shrinkToFit="1"/>
    </xf>
    <xf numFmtId="173" fontId="184" fillId="291" borderId="1" xfId="138" applyNumberFormat="1" applyFont="1" applyFill="1" applyBorder="1" applyAlignment="1">
      <alignment horizontal="center" vertical="center" shrinkToFit="1"/>
    </xf>
    <xf numFmtId="173" fontId="66" fillId="292" borderId="100" xfId="138" applyNumberFormat="1" applyFont="1" applyFill="1" applyBorder="1" applyAlignment="1">
      <alignment horizontal="center" vertical="center" shrinkToFit="1"/>
    </xf>
    <xf numFmtId="173" fontId="65" fillId="0" borderId="100" xfId="138" applyNumberFormat="1" applyFont="1" applyBorder="1" applyAlignment="1">
      <alignment horizontal="center" vertical="center" shrinkToFit="1"/>
    </xf>
    <xf numFmtId="173" fontId="65" fillId="0" borderId="22" xfId="138" applyNumberFormat="1" applyFont="1" applyBorder="1" applyAlignment="1">
      <alignment horizontal="center" vertical="center" shrinkToFit="1"/>
    </xf>
    <xf numFmtId="173" fontId="65" fillId="0" borderId="107" xfId="138" applyNumberFormat="1" applyFont="1" applyBorder="1" applyAlignment="1">
      <alignment horizontal="center" vertical="center" shrinkToFit="1"/>
    </xf>
    <xf numFmtId="173" fontId="84" fillId="0" borderId="2" xfId="0" applyNumberFormat="1" applyFont="1" applyBorder="1"/>
    <xf numFmtId="173" fontId="147" fillId="35" borderId="1" xfId="138" applyNumberFormat="1" applyFont="1" applyFill="1" applyBorder="1" applyAlignment="1">
      <alignment horizontal="center" vertical="center" shrinkToFit="1"/>
    </xf>
    <xf numFmtId="173" fontId="67" fillId="0" borderId="106" xfId="138" applyNumberFormat="1" applyFont="1" applyBorder="1" applyAlignment="1">
      <alignment horizontal="center" vertical="center" shrinkToFit="1"/>
    </xf>
    <xf numFmtId="173" fontId="66" fillId="0" borderId="97" xfId="138" applyNumberFormat="1" applyFont="1" applyBorder="1" applyAlignment="1">
      <alignment horizontal="center" vertical="center" shrinkToFit="1"/>
    </xf>
    <xf numFmtId="173" fontId="66" fillId="0" borderId="0" xfId="138" applyNumberFormat="1" applyFont="1" applyAlignment="1">
      <alignment horizontal="center" vertical="center" shrinkToFit="1"/>
    </xf>
    <xf numFmtId="173" fontId="84" fillId="0" borderId="0" xfId="0" applyNumberFormat="1" applyFont="1"/>
    <xf numFmtId="173" fontId="84" fillId="0" borderId="0" xfId="0" applyNumberFormat="1" applyFont="1" applyAlignment="1">
      <alignment horizontal="center" vertical="center"/>
    </xf>
    <xf numFmtId="173" fontId="0" fillId="0" borderId="108" xfId="0" applyNumberFormat="1" applyBorder="1"/>
    <xf numFmtId="173" fontId="0" fillId="0" borderId="109" xfId="0" applyNumberFormat="1" applyBorder="1"/>
    <xf numFmtId="173" fontId="13" fillId="0" borderId="110" xfId="0" applyNumberFormat="1" applyFont="1" applyBorder="1" applyAlignment="1">
      <alignment horizontal="right"/>
    </xf>
    <xf numFmtId="173" fontId="157" fillId="0" borderId="0" xfId="138" applyNumberFormat="1" applyFont="1" applyAlignment="1">
      <alignment horizontal="center" shrinkToFit="1"/>
    </xf>
    <xf numFmtId="173" fontId="49" fillId="0" borderId="0" xfId="138" applyNumberFormat="1" applyFont="1" applyAlignment="1">
      <alignment horizontal="center" shrinkToFit="1"/>
    </xf>
    <xf numFmtId="173" fontId="157" fillId="0" borderId="0" xfId="138" applyNumberFormat="1" applyFont="1" applyAlignment="1">
      <alignment horizontal="center" shrinkToFit="1"/>
    </xf>
    <xf numFmtId="173" fontId="134" fillId="0" borderId="0" xfId="126" applyNumberFormat="1" applyFont="1" applyAlignment="1">
      <alignment horizontal="center" vertical="center" shrinkToFit="1"/>
    </xf>
    <xf numFmtId="173" fontId="65" fillId="0" borderId="0" xfId="126" applyNumberFormat="1" applyFont="1" applyAlignment="1">
      <alignment horizontal="center" shrinkToFit="1"/>
    </xf>
    <xf numFmtId="173" fontId="134" fillId="0" borderId="0" xfId="126" applyNumberFormat="1" applyFont="1" applyAlignment="1">
      <alignment horizontal="center" vertical="center" shrinkToFit="1"/>
    </xf>
    <xf numFmtId="173" fontId="13" fillId="63" borderId="0" xfId="0" applyNumberFormat="1" applyFont="1" applyFill="1" applyAlignment="1">
      <alignment horizontal="center" vertical="center"/>
    </xf>
  </cellXfs>
  <cellStyles count="308">
    <cellStyle name="20% - Énfasis1" xfId="1" builtinId="30" customBuiltin="1"/>
    <cellStyle name="20% - Énfasis2" xfId="2" builtinId="34" customBuiltin="1"/>
    <cellStyle name="20% - Énfasis3" xfId="3" builtinId="38" customBuiltin="1"/>
    <cellStyle name="20% - Énfasis4" xfId="4" builtinId="42" customBuiltin="1"/>
    <cellStyle name="20% - Énfasis5" xfId="5" builtinId="46" customBuiltin="1"/>
    <cellStyle name="20% - Énfasis6" xfId="6" builtinId="50" customBuiltin="1"/>
    <cellStyle name="40% - Énfasis1" xfId="7" builtinId="31" customBuiltin="1"/>
    <cellStyle name="40% - Énfasis2" xfId="8" builtinId="35" customBuiltin="1"/>
    <cellStyle name="40% - Énfasis3" xfId="9" builtinId="39" customBuiltin="1"/>
    <cellStyle name="40% - Énfasis4" xfId="10" builtinId="43" customBuiltin="1"/>
    <cellStyle name="40% - Énfasis5" xfId="11" builtinId="47" customBuiltin="1"/>
    <cellStyle name="40% - Énfasis6" xfId="12" builtinId="51" customBuiltin="1"/>
    <cellStyle name="60% - Énfasis1" xfId="13" builtinId="32" customBuiltin="1"/>
    <cellStyle name="60% - Énfasis2" xfId="14" builtinId="36" customBuiltin="1"/>
    <cellStyle name="60% - Énfasis3" xfId="15" builtinId="40" customBuiltin="1"/>
    <cellStyle name="60% - Énfasis4" xfId="16" builtinId="44" customBuiltin="1"/>
    <cellStyle name="60% - Énfasis5" xfId="17" builtinId="48" customBuiltin="1"/>
    <cellStyle name="60% - Énfasis6" xfId="18" builtinId="52" customBuiltin="1"/>
    <cellStyle name="Bueno" xfId="19" builtinId="26" customBuiltin="1"/>
    <cellStyle name="Cálculo" xfId="20" builtinId="22" customBuiltin="1"/>
    <cellStyle name="Celda de comprobación" xfId="21" builtinId="23" customBuiltin="1"/>
    <cellStyle name="Celda vinculada" xfId="22" builtinId="24" customBuiltin="1"/>
    <cellStyle name="Encabezado 1" xfId="246" builtinId="16" customBuiltin="1"/>
    <cellStyle name="Encabezado 4" xfId="23" builtinId="19" customBuiltin="1"/>
    <cellStyle name="Énfasis1" xfId="24" builtinId="29" customBuiltin="1"/>
    <cellStyle name="Énfasis2" xfId="25" builtinId="33" customBuiltin="1"/>
    <cellStyle name="Énfasis3" xfId="26" builtinId="37" customBuiltin="1"/>
    <cellStyle name="Énfasis4" xfId="27" builtinId="41" customBuiltin="1"/>
    <cellStyle name="Énfasis5" xfId="28" builtinId="45" customBuiltin="1"/>
    <cellStyle name="Énfasis6" xfId="29" builtinId="49" customBuiltin="1"/>
    <cellStyle name="Entrada" xfId="30" builtinId="20" customBuiltin="1"/>
    <cellStyle name="Estilo 1" xfId="31" xr:uid="{00000000-0005-0000-0000-00001E000000}"/>
    <cellStyle name="Excel Built-in Normal" xfId="32" xr:uid="{00000000-0005-0000-0000-00001F000000}"/>
    <cellStyle name="headerStyle" xfId="33" xr:uid="{00000000-0005-0000-0000-000020000000}"/>
    <cellStyle name="Hipervínculo 2" xfId="34" xr:uid="{00000000-0005-0000-0000-000021000000}"/>
    <cellStyle name="Hipervínculo 3" xfId="35" xr:uid="{00000000-0005-0000-0000-000022000000}"/>
    <cellStyle name="Hipervínculo 3 2" xfId="36" xr:uid="{00000000-0005-0000-0000-000023000000}"/>
    <cellStyle name="Incorrecto" xfId="37" builtinId="27" customBuiltin="1"/>
    <cellStyle name="Millares 2" xfId="38" xr:uid="{00000000-0005-0000-0000-000025000000}"/>
    <cellStyle name="Millares 2 2" xfId="39" xr:uid="{00000000-0005-0000-0000-000026000000}"/>
    <cellStyle name="Millares 2 2 2" xfId="40" xr:uid="{00000000-0005-0000-0000-000027000000}"/>
    <cellStyle name="Millares 2 2 2 2" xfId="255" xr:uid="{F6E935BB-C7E7-46B4-8C5A-2B433C8C3CD6}"/>
    <cellStyle name="Millares 2 2 3" xfId="254" xr:uid="{177867A8-7813-4B83-9FB7-EB46A2BDC26D}"/>
    <cellStyle name="Millares 3" xfId="41" xr:uid="{00000000-0005-0000-0000-000028000000}"/>
    <cellStyle name="Millares 3 2" xfId="42" xr:uid="{00000000-0005-0000-0000-000029000000}"/>
    <cellStyle name="Millares 3 2 2" xfId="43" xr:uid="{00000000-0005-0000-0000-00002A000000}"/>
    <cellStyle name="Millares 3 2 2 2" xfId="253" xr:uid="{DEB5C2C1-8DD6-4A6B-93D0-4E3DFE6E7686}"/>
    <cellStyle name="Millares 3 2 2 2 2" xfId="307" xr:uid="{6C29829E-E950-4BEA-99CB-5B1C18CA2BB0}"/>
    <cellStyle name="Millares 3 2 2 3" xfId="258" xr:uid="{0A4B92D6-08F8-41CE-8547-298B222C7D6E}"/>
    <cellStyle name="Millares 3 2 3" xfId="257" xr:uid="{6A98304B-0EBF-41B6-AAA4-C4EC8C286B00}"/>
    <cellStyle name="Millares 3 3" xfId="44" xr:uid="{00000000-0005-0000-0000-00002B000000}"/>
    <cellStyle name="Millares 3 3 2" xfId="45" xr:uid="{00000000-0005-0000-0000-00002C000000}"/>
    <cellStyle name="Millares 3 3 2 2" xfId="260" xr:uid="{3E5E0B6B-73DE-46B7-AC66-8355C1942A71}"/>
    <cellStyle name="Millares 3 3 3" xfId="259" xr:uid="{69F70383-E9F3-46F7-914D-91F62586876B}"/>
    <cellStyle name="Millares 3 4" xfId="46" xr:uid="{00000000-0005-0000-0000-00002D000000}"/>
    <cellStyle name="Millares 3 4 2" xfId="261" xr:uid="{3D568112-1407-45B2-ABBC-91A2226DF27B}"/>
    <cellStyle name="Millares 3 5" xfId="47" xr:uid="{00000000-0005-0000-0000-00002E000000}"/>
    <cellStyle name="Millares 3 5 2" xfId="262" xr:uid="{AA5DCFBE-8D6B-4162-BDD9-2AC25A34E0CB}"/>
    <cellStyle name="Millares 3 6" xfId="256" xr:uid="{EAFBC195-EA16-4ECF-BBED-02A3852E2EB9}"/>
    <cellStyle name="Millares 4" xfId="48" xr:uid="{00000000-0005-0000-0000-00002F000000}"/>
    <cellStyle name="Millares 4 2" xfId="49" xr:uid="{00000000-0005-0000-0000-000030000000}"/>
    <cellStyle name="Millares 4 2 2" xfId="50" xr:uid="{00000000-0005-0000-0000-000031000000}"/>
    <cellStyle name="Millares 4 2 2 2" xfId="265" xr:uid="{1D6DB2E8-04C5-4231-B898-F3C82646DC80}"/>
    <cellStyle name="Millares 4 2 3" xfId="264" xr:uid="{BF5E3DC3-87F0-46F9-8017-ABE4222D0FC4}"/>
    <cellStyle name="Millares 4 3" xfId="51" xr:uid="{00000000-0005-0000-0000-000032000000}"/>
    <cellStyle name="Millares 4 3 2" xfId="52" xr:uid="{00000000-0005-0000-0000-000033000000}"/>
    <cellStyle name="Millares 4 3 2 2" xfId="267" xr:uid="{11487E09-BF42-4970-B43D-8FA74008EACB}"/>
    <cellStyle name="Millares 4 3 3" xfId="266" xr:uid="{B6709AAA-9F2D-4BBE-9847-C7ABDD0FCF93}"/>
    <cellStyle name="Millares 4 4" xfId="53" xr:uid="{00000000-0005-0000-0000-000034000000}"/>
    <cellStyle name="Millares 4 4 2" xfId="268" xr:uid="{D3A69C72-8E86-4B7A-A031-17647CEB0ADB}"/>
    <cellStyle name="Millares 4 5" xfId="263" xr:uid="{B34CC188-EB55-4945-ABDD-C1C2E3317F40}"/>
    <cellStyle name="Millares 5" xfId="54" xr:uid="{00000000-0005-0000-0000-000035000000}"/>
    <cellStyle name="Millares 5 2" xfId="55" xr:uid="{00000000-0005-0000-0000-000036000000}"/>
    <cellStyle name="Millares 5 2 2" xfId="56" xr:uid="{00000000-0005-0000-0000-000037000000}"/>
    <cellStyle name="Millares 5 2 2 2" xfId="57" xr:uid="{00000000-0005-0000-0000-000038000000}"/>
    <cellStyle name="Millares 5 2 2 2 2" xfId="58" xr:uid="{00000000-0005-0000-0000-000039000000}"/>
    <cellStyle name="Millares 5 2 2 2 2 2" xfId="59" xr:uid="{00000000-0005-0000-0000-00003A000000}"/>
    <cellStyle name="Millares 5 2 2 2 2 2 2" xfId="272" xr:uid="{E74C7AB5-0BD7-40D4-AA96-341C4DCDC392}"/>
    <cellStyle name="Millares 5 2 2 2 2 3" xfId="60" xr:uid="{00000000-0005-0000-0000-00003B000000}"/>
    <cellStyle name="Millares 5 2 2 2 2 3 2" xfId="273" xr:uid="{094E1994-0F40-4FA4-A925-F8168108CA6F}"/>
    <cellStyle name="Millares 5 2 2 2 2 4" xfId="61" xr:uid="{00000000-0005-0000-0000-00003C000000}"/>
    <cellStyle name="Millares 5 2 2 2 2 4 2" xfId="274" xr:uid="{79293D9C-E52D-464A-B46F-B952F0B6B057}"/>
    <cellStyle name="Millares 5 2 2 2 2 5" xfId="271" xr:uid="{AA642FC3-5FA8-4C38-9248-4F6EC694868A}"/>
    <cellStyle name="Millares 5 2 2 2 3" xfId="62" xr:uid="{00000000-0005-0000-0000-00003D000000}"/>
    <cellStyle name="Millares 5 2 2 2 3 2" xfId="275" xr:uid="{2BF07CC0-1676-43BB-97BB-160805B84892}"/>
    <cellStyle name="Millares 5 2 2 2 4" xfId="63" xr:uid="{00000000-0005-0000-0000-00003E000000}"/>
    <cellStyle name="Millares 5 2 2 2 4 2" xfId="276" xr:uid="{DEEDEB04-8E39-46B0-96F1-C51D115FAD5E}"/>
    <cellStyle name="Millares 5 2 2 2 5" xfId="270" xr:uid="{63401846-7D71-4EE9-86B7-657F295A4054}"/>
    <cellStyle name="Millares 5 2 2 3" xfId="64" xr:uid="{00000000-0005-0000-0000-00003F000000}"/>
    <cellStyle name="Millares 5 2 2 3 2" xfId="65" xr:uid="{00000000-0005-0000-0000-000040000000}"/>
    <cellStyle name="Millares 5 2 2 3 2 2" xfId="66" xr:uid="{00000000-0005-0000-0000-000041000000}"/>
    <cellStyle name="Millares 5 2 2 3 2 3" xfId="67" xr:uid="{00000000-0005-0000-0000-000042000000}"/>
    <cellStyle name="Millares 5 2 2 3 2 4" xfId="68" xr:uid="{00000000-0005-0000-0000-000043000000}"/>
    <cellStyle name="Millares 5 2 2 3 3" xfId="69" xr:uid="{00000000-0005-0000-0000-000044000000}"/>
    <cellStyle name="Millares 5 2 2 3 4" xfId="70" xr:uid="{00000000-0005-0000-0000-000045000000}"/>
    <cellStyle name="Millares 5 2 2 4" xfId="71" xr:uid="{00000000-0005-0000-0000-000046000000}"/>
    <cellStyle name="Millares 5 2 2 4 2" xfId="72" xr:uid="{00000000-0005-0000-0000-000047000000}"/>
    <cellStyle name="Millares 5 2 2 4 2 2" xfId="278" xr:uid="{39294754-6C6A-40D6-9ACD-1CB9C1BFAC0A}"/>
    <cellStyle name="Millares 5 2 2 4 3" xfId="73" xr:uid="{00000000-0005-0000-0000-000048000000}"/>
    <cellStyle name="Millares 5 2 2 4 3 2" xfId="279" xr:uid="{6EE9D926-D4B9-4A2E-85D0-CE77ED8BDB0E}"/>
    <cellStyle name="Millares 5 2 2 4 4" xfId="74" xr:uid="{00000000-0005-0000-0000-000049000000}"/>
    <cellStyle name="Millares 5 2 2 4 4 2" xfId="280" xr:uid="{D4D71B33-FFB3-44E4-93C9-A53333DFD0CD}"/>
    <cellStyle name="Millares 5 2 2 4 5" xfId="277" xr:uid="{F7514640-C8B2-4D5B-8613-DD3F07226641}"/>
    <cellStyle name="Millares 5 2 2 5" xfId="75" xr:uid="{00000000-0005-0000-0000-00004A000000}"/>
    <cellStyle name="Millares 5 2 2 6" xfId="76" xr:uid="{00000000-0005-0000-0000-00004B000000}"/>
    <cellStyle name="Millares 5 2 2 6 2" xfId="281" xr:uid="{BE7B69DB-2567-49FE-8A96-65F75C3C8ABA}"/>
    <cellStyle name="Millares 5 2 3" xfId="77" xr:uid="{00000000-0005-0000-0000-00004C000000}"/>
    <cellStyle name="Millares 5 2 3 2" xfId="282" xr:uid="{3EDF07B2-890D-4796-B5EA-B6BF81ED7D31}"/>
    <cellStyle name="Millares 5 2 4" xfId="269" xr:uid="{33F433FC-1DC3-4F7E-942A-4C2DA6EF5C1A}"/>
    <cellStyle name="Millares 5 3" xfId="78" xr:uid="{00000000-0005-0000-0000-00004D000000}"/>
    <cellStyle name="Millares 5 3 2" xfId="283" xr:uid="{D21CB36E-3852-477E-B65A-1FCAE52E412D}"/>
    <cellStyle name="Millares 5 4" xfId="79" xr:uid="{00000000-0005-0000-0000-00004E000000}"/>
    <cellStyle name="Millares 5 4 2" xfId="284" xr:uid="{D5E8E969-535E-4D9B-9B08-CBF2C64537FB}"/>
    <cellStyle name="Millares 6" xfId="80" xr:uid="{00000000-0005-0000-0000-00004F000000}"/>
    <cellStyle name="Millares 6 2" xfId="81" xr:uid="{00000000-0005-0000-0000-000050000000}"/>
    <cellStyle name="Millares 6 2 2" xfId="286" xr:uid="{51C94B55-4F56-49B7-9D56-4C97A9B8C98E}"/>
    <cellStyle name="Millares 6 3" xfId="285" xr:uid="{05415659-55BF-4A9F-BAA7-8F3F88EB6563}"/>
    <cellStyle name="Moneda 2" xfId="82" xr:uid="{00000000-0005-0000-0000-000051000000}"/>
    <cellStyle name="Moneda 2 2" xfId="83" xr:uid="{00000000-0005-0000-0000-000052000000}"/>
    <cellStyle name="Moneda 2 2 2" xfId="84" xr:uid="{00000000-0005-0000-0000-000053000000}"/>
    <cellStyle name="Moneda 2 2 2 2" xfId="85" xr:uid="{00000000-0005-0000-0000-000054000000}"/>
    <cellStyle name="Moneda 2 2 2 2 2" xfId="290" xr:uid="{513E8B2E-7AB3-4051-9595-AE32423545F5}"/>
    <cellStyle name="Moneda 2 2 2 3" xfId="86" xr:uid="{00000000-0005-0000-0000-000055000000}"/>
    <cellStyle name="Moneda 2 2 2 3 2" xfId="291" xr:uid="{34AEB6E2-D35A-4C44-BC87-8F65E99A2F0C}"/>
    <cellStyle name="Moneda 2 2 2 4" xfId="87" xr:uid="{00000000-0005-0000-0000-000056000000}"/>
    <cellStyle name="Moneda 2 2 2 4 2" xfId="292" xr:uid="{E0CAEF02-6B1C-4C2C-AA04-6C44BD4BFE28}"/>
    <cellStyle name="Moneda 2 2 2 5" xfId="289" xr:uid="{CC5673B7-A437-41AC-98DC-E01652CFEA14}"/>
    <cellStyle name="Moneda 2 2 3" xfId="88" xr:uid="{00000000-0005-0000-0000-000057000000}"/>
    <cellStyle name="Moneda 2 2 3 2" xfId="293" xr:uid="{6A673680-6B4A-4317-A102-679D4E716051}"/>
    <cellStyle name="Moneda 2 2 4" xfId="89" xr:uid="{00000000-0005-0000-0000-000058000000}"/>
    <cellStyle name="Moneda 2 2 4 2" xfId="294" xr:uid="{716CF53F-FB84-41BF-ABF3-BB001F0C1D20}"/>
    <cellStyle name="Moneda 2 2 5" xfId="288" xr:uid="{E7F6E606-3B04-43A7-A1D9-3961A84BE01C}"/>
    <cellStyle name="Moneda 2 3" xfId="90" xr:uid="{00000000-0005-0000-0000-000059000000}"/>
    <cellStyle name="Moneda 2 3 2" xfId="295" xr:uid="{31CFF57E-CFCD-4256-8C80-E6202D57E198}"/>
    <cellStyle name="Moneda 2 4" xfId="91" xr:uid="{00000000-0005-0000-0000-00005A000000}"/>
    <cellStyle name="Moneda 2 4 2" xfId="92" xr:uid="{00000000-0005-0000-0000-00005B000000}"/>
    <cellStyle name="Moneda 2 4 2 2" xfId="297" xr:uid="{C9B26E56-00C2-43E7-9F83-2D137CB0A544}"/>
    <cellStyle name="Moneda 2 4 3" xfId="93" xr:uid="{00000000-0005-0000-0000-00005C000000}"/>
    <cellStyle name="Moneda 2 4 3 2" xfId="298" xr:uid="{CA0043BA-B871-4454-83F9-01DF34357978}"/>
    <cellStyle name="Moneda 2 4 4" xfId="94" xr:uid="{00000000-0005-0000-0000-00005D000000}"/>
    <cellStyle name="Moneda 2 4 4 2" xfId="299" xr:uid="{7DF166D9-CDAD-450A-80A9-8CF586DA1527}"/>
    <cellStyle name="Moneda 2 4 5" xfId="296" xr:uid="{2786D5C2-BED5-4C21-9033-3AB3E767EE7B}"/>
    <cellStyle name="Moneda 2 5" xfId="95" xr:uid="{00000000-0005-0000-0000-00005E000000}"/>
    <cellStyle name="Moneda 2 5 2" xfId="300" xr:uid="{50A45199-C51D-40B8-B3FE-346F59988CB9}"/>
    <cellStyle name="Moneda 2 6" xfId="96" xr:uid="{00000000-0005-0000-0000-00005F000000}"/>
    <cellStyle name="Moneda 2 6 2" xfId="301" xr:uid="{A95A118C-03A3-4106-98AC-6C0DEFC83E7A}"/>
    <cellStyle name="Moneda 2 7" xfId="287" xr:uid="{81AC2EC7-29AB-4A45-B5DA-E31008F981A8}"/>
    <cellStyle name="Moneda 3" xfId="97" xr:uid="{00000000-0005-0000-0000-000060000000}"/>
    <cellStyle name="Moneda 3 2" xfId="98" xr:uid="{00000000-0005-0000-0000-000061000000}"/>
    <cellStyle name="Moneda 3 2 2" xfId="303" xr:uid="{00DA609C-E7C2-40EE-88D2-FAA39CC1CCF1}"/>
    <cellStyle name="Moneda 3 3" xfId="99" xr:uid="{00000000-0005-0000-0000-000062000000}"/>
    <cellStyle name="Moneda 3 3 2" xfId="304" xr:uid="{585D4E7D-F260-46FB-B700-31B39C7FF55E}"/>
    <cellStyle name="Moneda 3 4" xfId="100" xr:uid="{00000000-0005-0000-0000-000063000000}"/>
    <cellStyle name="Moneda 3 4 2" xfId="305" xr:uid="{BE4527A7-E893-4136-B916-C47CD960C766}"/>
    <cellStyle name="Moneda 3 5" xfId="302" xr:uid="{92885FE1-7B18-4D4C-B74C-4D24F07DFE06}"/>
    <cellStyle name="Moneda 4" xfId="101" xr:uid="{00000000-0005-0000-0000-000064000000}"/>
    <cellStyle name="Moneda 4 2" xfId="306" xr:uid="{95A033D7-2F4F-4AD1-B260-8CE37530064C}"/>
    <cellStyle name="Moneda 4 3" xfId="102" xr:uid="{00000000-0005-0000-0000-000065000000}"/>
    <cellStyle name="Neutral" xfId="103" builtinId="28" customBuiltin="1"/>
    <cellStyle name="Normal" xfId="0" builtinId="0"/>
    <cellStyle name="Normal 10" xfId="104" xr:uid="{00000000-0005-0000-0000-000068000000}"/>
    <cellStyle name="Normal 11" xfId="105" xr:uid="{00000000-0005-0000-0000-000069000000}"/>
    <cellStyle name="Normal 11 2" xfId="106" xr:uid="{00000000-0005-0000-0000-00006A000000}"/>
    <cellStyle name="Normal 12" xfId="107" xr:uid="{00000000-0005-0000-0000-00006B000000}"/>
    <cellStyle name="Normal 12 2" xfId="108" xr:uid="{00000000-0005-0000-0000-00006C000000}"/>
    <cellStyle name="Normal 124" xfId="109" xr:uid="{00000000-0005-0000-0000-00006D000000}"/>
    <cellStyle name="Normal 125" xfId="110" xr:uid="{00000000-0005-0000-0000-00006E000000}"/>
    <cellStyle name="Normal 13" xfId="111" xr:uid="{00000000-0005-0000-0000-00006F000000}"/>
    <cellStyle name="Normal 14" xfId="112" xr:uid="{00000000-0005-0000-0000-000070000000}"/>
    <cellStyle name="Normal 14 2" xfId="113" xr:uid="{00000000-0005-0000-0000-000071000000}"/>
    <cellStyle name="Normal 15" xfId="114" xr:uid="{00000000-0005-0000-0000-000072000000}"/>
    <cellStyle name="Normal 16" xfId="115" xr:uid="{00000000-0005-0000-0000-000073000000}"/>
    <cellStyle name="Normal 17" xfId="116" xr:uid="{00000000-0005-0000-0000-000074000000}"/>
    <cellStyle name="Normal 18" xfId="250" xr:uid="{0C2F0EAE-4164-4B42-B884-19D4C6A79805}"/>
    <cellStyle name="Normal 19" xfId="117" xr:uid="{00000000-0005-0000-0000-000075000000}"/>
    <cellStyle name="Normal 2" xfId="118" xr:uid="{00000000-0005-0000-0000-000076000000}"/>
    <cellStyle name="Normal 2 10 2" xfId="119" xr:uid="{00000000-0005-0000-0000-000077000000}"/>
    <cellStyle name="Normal 2 10 2 2" xfId="120" xr:uid="{00000000-0005-0000-0000-000078000000}"/>
    <cellStyle name="Normal 2 100" xfId="121" xr:uid="{00000000-0005-0000-0000-000079000000}"/>
    <cellStyle name="Normal 2 100 2" xfId="122" xr:uid="{00000000-0005-0000-0000-00007A000000}"/>
    <cellStyle name="Normal 2 2" xfId="123" xr:uid="{00000000-0005-0000-0000-00007B000000}"/>
    <cellStyle name="Normal 2 2 10" xfId="124" xr:uid="{00000000-0005-0000-0000-00007C000000}"/>
    <cellStyle name="Normal 2 2 10 2" xfId="125" xr:uid="{00000000-0005-0000-0000-00007D000000}"/>
    <cellStyle name="Normal 2 2 2" xfId="126" xr:uid="{00000000-0005-0000-0000-00007E000000}"/>
    <cellStyle name="Normal 2 2 2 2" xfId="127" xr:uid="{00000000-0005-0000-0000-00007F000000}"/>
    <cellStyle name="Normal 2 2 2 3" xfId="128" xr:uid="{00000000-0005-0000-0000-000080000000}"/>
    <cellStyle name="Normal 2 2 2 4" xfId="129" xr:uid="{00000000-0005-0000-0000-000081000000}"/>
    <cellStyle name="Normal 2 2 3" xfId="130" xr:uid="{00000000-0005-0000-0000-000082000000}"/>
    <cellStyle name="Normal 2 2 4" xfId="131" xr:uid="{00000000-0005-0000-0000-000083000000}"/>
    <cellStyle name="Normal 2 2 4 2" xfId="132" xr:uid="{00000000-0005-0000-0000-000084000000}"/>
    <cellStyle name="Normal 2 2 4 2 2" xfId="133" xr:uid="{00000000-0005-0000-0000-000085000000}"/>
    <cellStyle name="Normal 2 2 4 2 2 3" xfId="134" xr:uid="{00000000-0005-0000-0000-000086000000}"/>
    <cellStyle name="Normal 2 2 4 3" xfId="135" xr:uid="{00000000-0005-0000-0000-000087000000}"/>
    <cellStyle name="Normal 2 2 4 4" xfId="136" xr:uid="{00000000-0005-0000-0000-000088000000}"/>
    <cellStyle name="Normal 2 2 5" xfId="137" xr:uid="{00000000-0005-0000-0000-000089000000}"/>
    <cellStyle name="Normal 2 3" xfId="138" xr:uid="{00000000-0005-0000-0000-00008A000000}"/>
    <cellStyle name="Normal 2 3 2" xfId="139" xr:uid="{00000000-0005-0000-0000-00008B000000}"/>
    <cellStyle name="Normal 2 3 2 2" xfId="140" xr:uid="{00000000-0005-0000-0000-00008C000000}"/>
    <cellStyle name="Normal 2 3 2 2 2 2" xfId="141" xr:uid="{00000000-0005-0000-0000-00008D000000}"/>
    <cellStyle name="Normal 2 3 2 2 2 2 2 2" xfId="251" xr:uid="{D98CAD22-4D78-4022-9682-BD398800BD56}"/>
    <cellStyle name="Normal 2 3 2 3" xfId="142" xr:uid="{00000000-0005-0000-0000-00008E000000}"/>
    <cellStyle name="Normal 2 3 3" xfId="143" xr:uid="{00000000-0005-0000-0000-00008F000000}"/>
    <cellStyle name="Normal 2 3 3 2 3 2" xfId="144" xr:uid="{00000000-0005-0000-0000-000090000000}"/>
    <cellStyle name="Normal 2 3 4" xfId="145" xr:uid="{00000000-0005-0000-0000-000091000000}"/>
    <cellStyle name="Normal 2 3 5" xfId="146" xr:uid="{00000000-0005-0000-0000-000092000000}"/>
    <cellStyle name="Normal 2 3 6" xfId="147" xr:uid="{00000000-0005-0000-0000-000093000000}"/>
    <cellStyle name="Normal 2 4" xfId="148" xr:uid="{00000000-0005-0000-0000-000094000000}"/>
    <cellStyle name="Normal 2 5" xfId="149" xr:uid="{00000000-0005-0000-0000-000095000000}"/>
    <cellStyle name="Normal 2 6" xfId="150" xr:uid="{00000000-0005-0000-0000-000096000000}"/>
    <cellStyle name="Normal 2 6 10" xfId="151" xr:uid="{00000000-0005-0000-0000-000097000000}"/>
    <cellStyle name="Normal 2 6 10 2" xfId="152" xr:uid="{00000000-0005-0000-0000-000098000000}"/>
    <cellStyle name="Normal 2 6 2" xfId="153" xr:uid="{00000000-0005-0000-0000-000099000000}"/>
    <cellStyle name="Normal 2 7" xfId="154" xr:uid="{00000000-0005-0000-0000-00009A000000}"/>
    <cellStyle name="Normal 2 9" xfId="155" xr:uid="{00000000-0005-0000-0000-00009B000000}"/>
    <cellStyle name="Normal 2_2010 Enero METEPEC(1)" xfId="156" xr:uid="{00000000-0005-0000-0000-00009C000000}"/>
    <cellStyle name="Normal 21" xfId="157" xr:uid="{00000000-0005-0000-0000-00009D000000}"/>
    <cellStyle name="Normal 22" xfId="158" xr:uid="{00000000-0005-0000-0000-00009E000000}"/>
    <cellStyle name="Normal 23" xfId="159" xr:uid="{00000000-0005-0000-0000-00009F000000}"/>
    <cellStyle name="Normal 3" xfId="160" xr:uid="{00000000-0005-0000-0000-0000A0000000}"/>
    <cellStyle name="Normal 3 2" xfId="161" xr:uid="{00000000-0005-0000-0000-0000A1000000}"/>
    <cellStyle name="Normal 3 2 2" xfId="162" xr:uid="{00000000-0005-0000-0000-0000A2000000}"/>
    <cellStyle name="Normal 3 3" xfId="163" xr:uid="{00000000-0005-0000-0000-0000A3000000}"/>
    <cellStyle name="Normal 3 4" xfId="164" xr:uid="{00000000-0005-0000-0000-0000A4000000}"/>
    <cellStyle name="Normal 3 4 2 4" xfId="165" xr:uid="{00000000-0005-0000-0000-0000A5000000}"/>
    <cellStyle name="Normal 3 5" xfId="166" xr:uid="{00000000-0005-0000-0000-0000A6000000}"/>
    <cellStyle name="Normal 3 5 2" xfId="167" xr:uid="{00000000-0005-0000-0000-0000A7000000}"/>
    <cellStyle name="Normal 3 6" xfId="168" xr:uid="{00000000-0005-0000-0000-0000A8000000}"/>
    <cellStyle name="Normal 3 7" xfId="169" xr:uid="{00000000-0005-0000-0000-0000A9000000}"/>
    <cellStyle name="Normal 3_2010-09-30-PUEBLA(1)" xfId="170" xr:uid="{00000000-0005-0000-0000-0000AA000000}"/>
    <cellStyle name="Normal 4" xfId="171" xr:uid="{00000000-0005-0000-0000-0000AB000000}"/>
    <cellStyle name="Normal 4 2" xfId="172" xr:uid="{00000000-0005-0000-0000-0000AC000000}"/>
    <cellStyle name="Normal 4 3" xfId="173" xr:uid="{00000000-0005-0000-0000-0000AD000000}"/>
    <cellStyle name="Normal 4 4" xfId="174" xr:uid="{00000000-0005-0000-0000-0000AE000000}"/>
    <cellStyle name="Normal 5" xfId="175" xr:uid="{00000000-0005-0000-0000-0000AF000000}"/>
    <cellStyle name="Normal 5 2" xfId="176" xr:uid="{00000000-0005-0000-0000-0000B0000000}"/>
    <cellStyle name="Normal 5 2 2" xfId="177" xr:uid="{00000000-0005-0000-0000-0000B1000000}"/>
    <cellStyle name="Normal 5 2 2 3" xfId="178" xr:uid="{00000000-0005-0000-0000-0000B2000000}"/>
    <cellStyle name="Normal 5 3" xfId="179" xr:uid="{00000000-0005-0000-0000-0000B3000000}"/>
    <cellStyle name="Normal 5 3 2" xfId="180" xr:uid="{00000000-0005-0000-0000-0000B4000000}"/>
    <cellStyle name="Normal 5 4" xfId="181" xr:uid="{00000000-0005-0000-0000-0000B5000000}"/>
    <cellStyle name="Normal 5 5" xfId="182" xr:uid="{00000000-0005-0000-0000-0000B6000000}"/>
    <cellStyle name="Normal 5_CAMBIO DE MIX CAPRI SATELITE CON PWB y FISH 2-11-11(1)" xfId="183" xr:uid="{00000000-0005-0000-0000-0000B7000000}"/>
    <cellStyle name="Normal 6" xfId="184" xr:uid="{00000000-0005-0000-0000-0000B8000000}"/>
    <cellStyle name="Normal 6 2" xfId="185" xr:uid="{00000000-0005-0000-0000-0000B9000000}"/>
    <cellStyle name="Normal 6 3" xfId="186" xr:uid="{00000000-0005-0000-0000-0000BA000000}"/>
    <cellStyle name="Normal 7" xfId="187" xr:uid="{00000000-0005-0000-0000-0000BB000000}"/>
    <cellStyle name="Normal 8" xfId="188" xr:uid="{00000000-0005-0000-0000-0000BC000000}"/>
    <cellStyle name="Normal 8 2" xfId="189" xr:uid="{00000000-0005-0000-0000-0000BD000000}"/>
    <cellStyle name="Normal 8_PROPUESTA MIX PALACE CANCUN 5-03-12-P(1)" xfId="190" xr:uid="{00000000-0005-0000-0000-0000BE000000}"/>
    <cellStyle name="Normal 9" xfId="191" xr:uid="{00000000-0005-0000-0000-0000BF000000}"/>
    <cellStyle name="Normal 9 2 2" xfId="192" xr:uid="{00000000-0005-0000-0000-0000C0000000}"/>
    <cellStyle name="Normal_Hoja1 2" xfId="252" xr:uid="{32B2233E-5996-40C3-91A6-FBF5006CF3E2}"/>
    <cellStyle name="Notas 2" xfId="193" xr:uid="{00000000-0005-0000-0000-0000C1000000}"/>
    <cellStyle name="Notas 2 2" xfId="194" xr:uid="{00000000-0005-0000-0000-0000C2000000}"/>
    <cellStyle name="Notas 2 2 2" xfId="195" xr:uid="{00000000-0005-0000-0000-0000C3000000}"/>
    <cellStyle name="Notas 2 2 3" xfId="196" xr:uid="{00000000-0005-0000-0000-0000C4000000}"/>
    <cellStyle name="Notas 2 2 4" xfId="197" xr:uid="{00000000-0005-0000-0000-0000C5000000}"/>
    <cellStyle name="Notas 2 3" xfId="198" xr:uid="{00000000-0005-0000-0000-0000C6000000}"/>
    <cellStyle name="Notas 2 4" xfId="199" xr:uid="{00000000-0005-0000-0000-0000C7000000}"/>
    <cellStyle name="Porcentaje 2" xfId="200" xr:uid="{00000000-0005-0000-0000-0000C8000000}"/>
    <cellStyle name="Porcentaje 2 2" xfId="201" xr:uid="{00000000-0005-0000-0000-0000C9000000}"/>
    <cellStyle name="Porcentaje 2 2 2" xfId="202" xr:uid="{00000000-0005-0000-0000-0000CA000000}"/>
    <cellStyle name="Porcentaje 2 2 2 2" xfId="203" xr:uid="{00000000-0005-0000-0000-0000CB000000}"/>
    <cellStyle name="Porcentaje 2 2 2 3" xfId="204" xr:uid="{00000000-0005-0000-0000-0000CC000000}"/>
    <cellStyle name="Porcentaje 2 2 2 4" xfId="205" xr:uid="{00000000-0005-0000-0000-0000CD000000}"/>
    <cellStyle name="Porcentaje 2 2 2 4 2" xfId="206" xr:uid="{00000000-0005-0000-0000-0000CE000000}"/>
    <cellStyle name="Porcentaje 2 2 3" xfId="207" xr:uid="{00000000-0005-0000-0000-0000CF000000}"/>
    <cellStyle name="Porcentaje 2 2 4" xfId="208" xr:uid="{00000000-0005-0000-0000-0000D0000000}"/>
    <cellStyle name="Porcentaje 2 3" xfId="209" xr:uid="{00000000-0005-0000-0000-0000D1000000}"/>
    <cellStyle name="Porcentaje 2 4" xfId="210" xr:uid="{00000000-0005-0000-0000-0000D2000000}"/>
    <cellStyle name="Porcentaje 2 4 2" xfId="211" xr:uid="{00000000-0005-0000-0000-0000D3000000}"/>
    <cellStyle name="Porcentaje 2 4 2 2" xfId="212" xr:uid="{00000000-0005-0000-0000-0000D4000000}"/>
    <cellStyle name="Porcentaje 2 4 2 3" xfId="213" xr:uid="{00000000-0005-0000-0000-0000D5000000}"/>
    <cellStyle name="Porcentaje 2 4 2 4" xfId="214" xr:uid="{00000000-0005-0000-0000-0000D6000000}"/>
    <cellStyle name="Porcentaje 2 4 3" xfId="215" xr:uid="{00000000-0005-0000-0000-0000D7000000}"/>
    <cellStyle name="Porcentaje 2 4 4" xfId="216" xr:uid="{00000000-0005-0000-0000-0000D8000000}"/>
    <cellStyle name="Porcentaje 2 5" xfId="217" xr:uid="{00000000-0005-0000-0000-0000D9000000}"/>
    <cellStyle name="Porcentaje 2 5 2" xfId="218" xr:uid="{00000000-0005-0000-0000-0000DA000000}"/>
    <cellStyle name="Porcentaje 2 5 3" xfId="219" xr:uid="{00000000-0005-0000-0000-0000DB000000}"/>
    <cellStyle name="Porcentaje 2 5 4" xfId="220" xr:uid="{00000000-0005-0000-0000-0000DC000000}"/>
    <cellStyle name="Porcentaje 2 6" xfId="221" xr:uid="{00000000-0005-0000-0000-0000DD000000}"/>
    <cellStyle name="Porcentaje 3" xfId="222" xr:uid="{00000000-0005-0000-0000-0000DE000000}"/>
    <cellStyle name="Porcentaje 3 2" xfId="223" xr:uid="{00000000-0005-0000-0000-0000DF000000}"/>
    <cellStyle name="Porcentaje 4" xfId="224" xr:uid="{00000000-0005-0000-0000-0000E0000000}"/>
    <cellStyle name="Porcentaje 4 2" xfId="225" xr:uid="{00000000-0005-0000-0000-0000E1000000}"/>
    <cellStyle name="Porcentaje 4 2 2" xfId="226" xr:uid="{00000000-0005-0000-0000-0000E2000000}"/>
    <cellStyle name="Porcentaje 4 2 2 2" xfId="227" xr:uid="{00000000-0005-0000-0000-0000E3000000}"/>
    <cellStyle name="Porcentaje 4 2 2 3" xfId="228" xr:uid="{00000000-0005-0000-0000-0000E4000000}"/>
    <cellStyle name="Porcentaje 4 2 2 4" xfId="229" xr:uid="{00000000-0005-0000-0000-0000E5000000}"/>
    <cellStyle name="Porcentaje 4 2 3" xfId="230" xr:uid="{00000000-0005-0000-0000-0000E6000000}"/>
    <cellStyle name="Porcentaje 4 2 4" xfId="231" xr:uid="{00000000-0005-0000-0000-0000E7000000}"/>
    <cellStyle name="Porcentaje 4 2 5" xfId="232" xr:uid="{00000000-0005-0000-0000-0000E8000000}"/>
    <cellStyle name="Porcentaje 4 3" xfId="233" xr:uid="{00000000-0005-0000-0000-0000E9000000}"/>
    <cellStyle name="Porcentaje 4 4" xfId="234" xr:uid="{00000000-0005-0000-0000-0000EA000000}"/>
    <cellStyle name="Porcentaje 4 5" xfId="235" xr:uid="{00000000-0005-0000-0000-0000EB000000}"/>
    <cellStyle name="Porcentaje 4 6" xfId="236" xr:uid="{00000000-0005-0000-0000-0000EC000000}"/>
    <cellStyle name="Porcentaje 4 7" xfId="237" xr:uid="{00000000-0005-0000-0000-0000ED000000}"/>
    <cellStyle name="Porcentual 2" xfId="238" xr:uid="{00000000-0005-0000-0000-0000EE000000}"/>
    <cellStyle name="Salida" xfId="239" builtinId="21" customBuiltin="1"/>
    <cellStyle name="Style 1 10" xfId="240" xr:uid="{00000000-0005-0000-0000-0000F0000000}"/>
    <cellStyle name="Style 1 12" xfId="241" xr:uid="{00000000-0005-0000-0000-0000F1000000}"/>
    <cellStyle name="TableStyleLight1" xfId="242" xr:uid="{00000000-0005-0000-0000-0000F2000000}"/>
    <cellStyle name="Texto de advertencia" xfId="243" builtinId="11" customBuiltin="1"/>
    <cellStyle name="Texto explicativo" xfId="244" builtinId="53" customBuiltin="1"/>
    <cellStyle name="Título" xfId="245" builtinId="15" customBuiltin="1"/>
    <cellStyle name="Título 2" xfId="247" builtinId="17" customBuiltin="1"/>
    <cellStyle name="Título 3" xfId="248" builtinId="18" customBuiltin="1"/>
    <cellStyle name="Total" xfId="249" builtinId="25" customBuiltin="1"/>
  </cellStyles>
  <dxfs count="26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 tint="-0.24994659260841701"/>
      </font>
      <fill>
        <patternFill patternType="solid">
          <fgColor theme="0"/>
          <bgColor theme="8" tint="0.79995117038483843"/>
        </patternFill>
      </fill>
    </dxf>
    <dxf>
      <font>
        <color theme="0" tint="-0.24994659260841701"/>
      </font>
      <fill>
        <patternFill patternType="solid">
          <fgColor theme="0"/>
          <bgColor theme="8" tint="0.79995117038483843"/>
        </patternFill>
      </fill>
    </dxf>
    <dxf>
      <font>
        <color theme="0" tint="-0.24994659260841701"/>
      </font>
      <fill>
        <patternFill patternType="solid">
          <fgColor theme="0"/>
          <bgColor theme="8" tint="0.79995117038483843"/>
        </patternFill>
      </fill>
    </dxf>
    <dxf>
      <font>
        <color theme="0" tint="-0.24994659260841701"/>
      </font>
      <fill>
        <patternFill patternType="solid">
          <fgColor theme="0"/>
          <bgColor theme="8" tint="0.79995117038483843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theme="0" tint="-0.24994659260841701"/>
      </font>
      <fill>
        <patternFill patternType="solid">
          <fgColor theme="0"/>
          <bgColor theme="8" tint="0.79995117038483843"/>
        </patternFill>
      </fill>
    </dxf>
    <dxf>
      <font>
        <color theme="0" tint="-0.24994659260841701"/>
      </font>
      <fill>
        <patternFill patternType="solid">
          <fgColor theme="0"/>
          <bgColor theme="8" tint="0.79995117038483843"/>
        </patternFill>
      </fill>
    </dxf>
    <dxf>
      <font>
        <color theme="0" tint="-0.24994659260841701"/>
      </font>
      <fill>
        <patternFill patternType="solid">
          <fgColor theme="0"/>
          <bgColor theme="8" tint="0.79995117038483843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 tint="-0.24994659260841701"/>
      </font>
      <fill>
        <patternFill patternType="solid">
          <fgColor theme="0"/>
          <bgColor theme="8" tint="0.79995117038483843"/>
        </patternFill>
      </fill>
    </dxf>
    <dxf>
      <font>
        <color theme="0" tint="-0.24994659260841701"/>
      </font>
      <fill>
        <patternFill patternType="solid">
          <fgColor theme="0"/>
          <bgColor theme="8" tint="0.79995117038483843"/>
        </patternFill>
      </fill>
    </dxf>
    <dxf>
      <font>
        <color theme="0" tint="-0.24994659260841701"/>
      </font>
      <fill>
        <patternFill patternType="solid">
          <fgColor theme="0"/>
          <bgColor theme="8" tint="0.79995117038483843"/>
        </patternFill>
      </fill>
    </dxf>
    <dxf>
      <font>
        <color theme="0" tint="-0.24994659260841701"/>
      </font>
      <fill>
        <patternFill patternType="solid">
          <fgColor theme="0"/>
          <bgColor theme="8" tint="0.79995117038483843"/>
        </patternFill>
      </fill>
    </dxf>
    <dxf>
      <font>
        <color theme="0" tint="-0.24994659260841701"/>
      </font>
      <fill>
        <patternFill patternType="solid">
          <fgColor theme="0"/>
          <bgColor theme="8" tint="0.79995117038483843"/>
        </patternFill>
      </fill>
    </dxf>
    <dxf>
      <font>
        <color theme="0" tint="-0.24994659260841701"/>
      </font>
      <fill>
        <patternFill patternType="solid">
          <fgColor theme="0"/>
          <bgColor theme="8" tint="0.79995117038483843"/>
        </patternFill>
      </fill>
    </dxf>
    <dxf>
      <font>
        <color theme="0" tint="-0.24994659260841701"/>
      </font>
      <fill>
        <patternFill patternType="solid">
          <fgColor theme="0"/>
          <bgColor theme="8" tint="0.79995117038483843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 tint="-0.24994659260841701"/>
      </font>
      <fill>
        <patternFill patternType="solid">
          <fgColor theme="0"/>
          <bgColor theme="8" tint="0.79995117038483843"/>
        </patternFill>
      </fill>
    </dxf>
    <dxf>
      <font>
        <color theme="0" tint="-0.24994659260841701"/>
      </font>
      <fill>
        <patternFill patternType="solid">
          <fgColor theme="0"/>
          <bgColor theme="8" tint="0.79995117038483843"/>
        </patternFill>
      </fill>
    </dxf>
    <dxf>
      <font>
        <color theme="0" tint="-0.24994659260841701"/>
      </font>
      <fill>
        <patternFill patternType="solid">
          <fgColor theme="0"/>
          <bgColor theme="8" tint="0.79995117038483843"/>
        </patternFill>
      </fill>
    </dxf>
    <dxf>
      <font>
        <color theme="0" tint="-0.24994659260841701"/>
      </font>
      <fill>
        <patternFill patternType="solid">
          <fgColor theme="0"/>
          <bgColor theme="8" tint="0.79995117038483843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theme="0" tint="-0.24994659260841701"/>
      </font>
      <fill>
        <patternFill patternType="solid">
          <fgColor theme="0"/>
          <bgColor theme="8" tint="0.79995117038483843"/>
        </patternFill>
      </fill>
    </dxf>
    <dxf>
      <font>
        <color theme="0" tint="-0.24994659260841701"/>
      </font>
      <fill>
        <patternFill patternType="solid">
          <fgColor theme="0"/>
          <bgColor theme="8" tint="0.79995117038483843"/>
        </patternFill>
      </fill>
    </dxf>
    <dxf>
      <font>
        <color theme="0" tint="-0.24994659260841701"/>
      </font>
      <fill>
        <patternFill patternType="solid">
          <fgColor theme="0"/>
          <bgColor theme="8" tint="0.79995117038483843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 tint="-0.24994659260841701"/>
      </font>
      <fill>
        <patternFill patternType="solid">
          <fgColor theme="0"/>
          <bgColor theme="8" tint="0.79995117038483843"/>
        </patternFill>
      </fill>
    </dxf>
    <dxf>
      <font>
        <color theme="0" tint="-0.24994659260841701"/>
      </font>
      <fill>
        <patternFill patternType="solid">
          <fgColor theme="0"/>
          <bgColor theme="8" tint="0.79995117038483843"/>
        </patternFill>
      </fill>
    </dxf>
    <dxf>
      <font>
        <color theme="0" tint="-0.24994659260841701"/>
      </font>
      <fill>
        <patternFill patternType="solid">
          <fgColor theme="0"/>
          <bgColor theme="8" tint="0.79995117038483843"/>
        </patternFill>
      </fill>
    </dxf>
    <dxf>
      <font>
        <color theme="0" tint="-0.24994659260841701"/>
      </font>
      <fill>
        <patternFill patternType="solid">
          <fgColor theme="0"/>
          <bgColor theme="8" tint="0.79995117038483843"/>
        </patternFill>
      </fill>
    </dxf>
    <dxf>
      <font>
        <color theme="0" tint="-0.24994659260841701"/>
      </font>
      <fill>
        <patternFill patternType="solid">
          <fgColor theme="0"/>
          <bgColor theme="8" tint="0.79995117038483843"/>
        </patternFill>
      </fill>
    </dxf>
    <dxf>
      <font>
        <color theme="0" tint="-0.24994659260841701"/>
      </font>
      <fill>
        <patternFill patternType="solid">
          <fgColor theme="0"/>
          <bgColor theme="8" tint="0.79995117038483843"/>
        </patternFill>
      </fill>
    </dxf>
    <dxf>
      <font>
        <color theme="0" tint="-0.24994659260841701"/>
      </font>
      <fill>
        <patternFill patternType="solid">
          <fgColor theme="0"/>
          <bgColor theme="8" tint="0.79995117038483843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 tint="-0.24994659260841701"/>
      </font>
      <fill>
        <patternFill patternType="solid">
          <fgColor theme="0"/>
          <bgColor theme="8" tint="0.79995117038483843"/>
        </patternFill>
      </fill>
    </dxf>
    <dxf>
      <font>
        <color theme="0" tint="-0.24994659260841701"/>
      </font>
      <fill>
        <patternFill patternType="solid">
          <fgColor theme="0"/>
          <bgColor theme="8" tint="0.79995117038483843"/>
        </patternFill>
      </fill>
    </dxf>
    <dxf>
      <font>
        <color theme="0" tint="-0.24994659260841701"/>
      </font>
      <fill>
        <patternFill patternType="solid">
          <fgColor theme="0"/>
          <bgColor theme="8" tint="0.79995117038483843"/>
        </patternFill>
      </fill>
    </dxf>
    <dxf>
      <font>
        <color theme="0" tint="-0.24994659260841701"/>
      </font>
      <fill>
        <patternFill patternType="solid">
          <fgColor theme="0"/>
          <bgColor theme="8" tint="0.79995117038483843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theme="0" tint="-0.24994659260841701"/>
      </font>
      <fill>
        <patternFill patternType="solid">
          <fgColor theme="0"/>
          <bgColor theme="8" tint="0.79995117038483843"/>
        </patternFill>
      </fill>
    </dxf>
    <dxf>
      <font>
        <color theme="0" tint="-0.24994659260841701"/>
      </font>
      <fill>
        <patternFill patternType="solid">
          <fgColor theme="0"/>
          <bgColor theme="8" tint="0.79995117038483843"/>
        </patternFill>
      </fill>
    </dxf>
    <dxf>
      <font>
        <color theme="0" tint="-0.24994659260841701"/>
      </font>
      <fill>
        <patternFill patternType="solid">
          <fgColor theme="0"/>
          <bgColor theme="8" tint="0.79995117038483843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 tint="-0.24994659260841701"/>
      </font>
      <fill>
        <patternFill patternType="solid">
          <fgColor theme="0"/>
          <bgColor theme="8" tint="0.79995117038483843"/>
        </patternFill>
      </fill>
    </dxf>
    <dxf>
      <font>
        <color theme="0" tint="-0.24994659260841701"/>
      </font>
      <fill>
        <patternFill patternType="solid">
          <fgColor theme="0"/>
          <bgColor theme="8" tint="0.79995117038483843"/>
        </patternFill>
      </fill>
    </dxf>
    <dxf>
      <font>
        <color theme="0" tint="-0.24994659260841701"/>
      </font>
      <fill>
        <patternFill patternType="solid">
          <fgColor theme="0"/>
          <bgColor theme="8" tint="0.79995117038483843"/>
        </patternFill>
      </fill>
    </dxf>
    <dxf>
      <font>
        <color theme="0" tint="-0.24994659260841701"/>
      </font>
      <fill>
        <patternFill patternType="solid">
          <fgColor theme="0"/>
          <bgColor theme="8" tint="0.79995117038483843"/>
        </patternFill>
      </fill>
    </dxf>
    <dxf>
      <font>
        <color theme="0" tint="-0.24994659260841701"/>
      </font>
      <fill>
        <patternFill patternType="solid">
          <fgColor theme="0"/>
          <bgColor theme="8" tint="0.79995117038483843"/>
        </patternFill>
      </fill>
    </dxf>
    <dxf>
      <font>
        <color theme="0" tint="-0.24994659260841701"/>
      </font>
      <fill>
        <patternFill patternType="solid">
          <fgColor theme="0"/>
          <bgColor theme="8" tint="0.79995117038483843"/>
        </patternFill>
      </fill>
    </dxf>
    <dxf>
      <font>
        <color theme="0" tint="-0.24994659260841701"/>
      </font>
      <fill>
        <patternFill patternType="solid">
          <fgColor theme="0"/>
          <bgColor theme="8" tint="0.79995117038483843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 tint="-0.24994659260841701"/>
      </font>
      <fill>
        <patternFill patternType="solid">
          <fgColor theme="0"/>
          <bgColor theme="8" tint="0.79995117038483843"/>
        </patternFill>
      </fill>
    </dxf>
    <dxf>
      <font>
        <color theme="0" tint="-0.24994659260841701"/>
      </font>
      <fill>
        <patternFill patternType="solid">
          <fgColor theme="0"/>
          <bgColor theme="8" tint="0.79995117038483843"/>
        </patternFill>
      </fill>
    </dxf>
    <dxf>
      <font>
        <color theme="0" tint="-0.24994659260841701"/>
      </font>
      <fill>
        <patternFill patternType="solid">
          <fgColor theme="0"/>
          <bgColor theme="8" tint="0.79995117038483843"/>
        </patternFill>
      </fill>
    </dxf>
    <dxf>
      <font>
        <color theme="0" tint="-0.24994659260841701"/>
      </font>
      <fill>
        <patternFill patternType="solid">
          <fgColor theme="0"/>
          <bgColor theme="8" tint="0.79995117038483843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theme="0" tint="-0.24994659260841701"/>
      </font>
      <fill>
        <patternFill patternType="solid">
          <fgColor theme="0"/>
          <bgColor theme="8" tint="0.79995117038483843"/>
        </patternFill>
      </fill>
    </dxf>
    <dxf>
      <font>
        <color theme="0" tint="-0.24994659260841701"/>
      </font>
      <fill>
        <patternFill patternType="solid">
          <fgColor theme="0"/>
          <bgColor theme="8" tint="0.79995117038483843"/>
        </patternFill>
      </fill>
    </dxf>
    <dxf>
      <font>
        <color theme="0" tint="-0.24994659260841701"/>
      </font>
      <fill>
        <patternFill patternType="solid">
          <fgColor theme="0"/>
          <bgColor theme="8" tint="0.79995117038483843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 tint="-0.24994659260841701"/>
      </font>
      <fill>
        <patternFill patternType="solid">
          <fgColor theme="0"/>
          <bgColor theme="8" tint="0.79995117038483843"/>
        </patternFill>
      </fill>
    </dxf>
    <dxf>
      <font>
        <color theme="0" tint="-0.24994659260841701"/>
      </font>
      <fill>
        <patternFill patternType="solid">
          <fgColor theme="0"/>
          <bgColor theme="8" tint="0.79995117038483843"/>
        </patternFill>
      </fill>
    </dxf>
    <dxf>
      <font>
        <color theme="0" tint="-0.24994659260841701"/>
      </font>
      <fill>
        <patternFill patternType="solid">
          <fgColor theme="0"/>
          <bgColor theme="8" tint="0.79995117038483843"/>
        </patternFill>
      </fill>
    </dxf>
    <dxf>
      <font>
        <color theme="0" tint="-0.24994659260841701"/>
      </font>
      <fill>
        <patternFill patternType="solid">
          <fgColor theme="0"/>
          <bgColor theme="8" tint="0.79995117038483843"/>
        </patternFill>
      </fill>
    </dxf>
    <dxf>
      <font>
        <color theme="0" tint="-0.24994659260841701"/>
      </font>
      <fill>
        <patternFill patternType="solid">
          <fgColor theme="0"/>
          <bgColor theme="8" tint="0.79995117038483843"/>
        </patternFill>
      </fill>
    </dxf>
    <dxf>
      <font>
        <color theme="0" tint="-0.24994659260841701"/>
      </font>
      <fill>
        <patternFill patternType="solid">
          <fgColor theme="0"/>
          <bgColor theme="8" tint="0.79995117038483843"/>
        </patternFill>
      </fill>
    </dxf>
    <dxf>
      <font>
        <color theme="0" tint="-0.24994659260841701"/>
      </font>
      <fill>
        <patternFill patternType="solid">
          <fgColor theme="0"/>
          <bgColor theme="8" tint="0.79995117038483843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1066800</xdr:colOff>
      <xdr:row>0</xdr:row>
      <xdr:rowOff>0</xdr:rowOff>
    </xdr:from>
    <xdr:ext cx="0" cy="38100"/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 flipH="1">
          <a:off x="3295650" y="0"/>
          <a:ext cx="0" cy="38100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lvl="0" algn="ctr"/>
          <a:r>
            <a:rPr lang="es-MX" sz="1200" b="1">
              <a:solidFill>
                <a:sysClr val="windowText" lastClr="000000"/>
              </a:solidFill>
            </a:rPr>
            <a:t>ISLA 9: CAMBIO DE MIX POSICIONES 4, 5, 6 Y 7</a:t>
          </a: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3" name="Rectángulo 8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4" name="Rectángulo 8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5" name="rect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6" name="rect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952500</xdr:colOff>
      <xdr:row>0</xdr:row>
      <xdr:rowOff>0</xdr:rowOff>
    </xdr:from>
    <xdr:ext cx="180975" cy="647700"/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/>
      </xdr:nvSpPr>
      <xdr:spPr>
        <a:xfrm>
          <a:off x="98679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8" name="Rectángulo 8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10" name="rect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11" name="rect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952500</xdr:colOff>
      <xdr:row>0</xdr:row>
      <xdr:rowOff>0</xdr:rowOff>
    </xdr:from>
    <xdr:ext cx="180975" cy="647700"/>
    <xdr:sp macro="" textlink="">
      <xdr:nvSpPr>
        <xdr:cNvPr id="12" name="Rectángulo 8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SpPr/>
      </xdr:nvSpPr>
      <xdr:spPr>
        <a:xfrm>
          <a:off x="98679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13" name="Rectángulo 8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14" name="Rectángulo 8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15" name="rect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16" name="rect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952500</xdr:colOff>
      <xdr:row>0</xdr:row>
      <xdr:rowOff>0</xdr:rowOff>
    </xdr:from>
    <xdr:ext cx="180975" cy="647700"/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SpPr/>
      </xdr:nvSpPr>
      <xdr:spPr>
        <a:xfrm>
          <a:off x="98679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18" name="Rectángulo 8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19" name="Rectángulo 8"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20" name="rect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21" name="rect"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952500</xdr:colOff>
      <xdr:row>0</xdr:row>
      <xdr:rowOff>0</xdr:rowOff>
    </xdr:from>
    <xdr:ext cx="180975" cy="647700"/>
    <xdr:sp macro="" textlink="">
      <xdr:nvSpPr>
        <xdr:cNvPr id="22" name="Rectángulo 8">
          <a:extLst>
            <a:ext uri="{FF2B5EF4-FFF2-40B4-BE49-F238E27FC236}">
              <a16:creationId xmlns:a16="http://schemas.microsoft.com/office/drawing/2014/main" id="{00000000-0008-0000-0100-000016000000}"/>
            </a:ext>
          </a:extLst>
        </xdr:cNvPr>
        <xdr:cNvSpPr/>
      </xdr:nvSpPr>
      <xdr:spPr>
        <a:xfrm>
          <a:off x="98679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23" name="Rectángulo 8">
          <a:extLst>
            <a:ext uri="{FF2B5EF4-FFF2-40B4-BE49-F238E27FC236}">
              <a16:creationId xmlns:a16="http://schemas.microsoft.com/office/drawing/2014/main" id="{00000000-0008-0000-0100-00001700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25" name="rect">
          <a:extLst>
            <a:ext uri="{FF2B5EF4-FFF2-40B4-BE49-F238E27FC236}">
              <a16:creationId xmlns:a16="http://schemas.microsoft.com/office/drawing/2014/main" id="{00000000-0008-0000-0100-00001900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26" name="rect">
          <a:extLst>
            <a:ext uri="{FF2B5EF4-FFF2-40B4-BE49-F238E27FC236}">
              <a16:creationId xmlns:a16="http://schemas.microsoft.com/office/drawing/2014/main" id="{00000000-0008-0000-0100-00001A00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952500</xdr:colOff>
      <xdr:row>0</xdr:row>
      <xdr:rowOff>0</xdr:rowOff>
    </xdr:from>
    <xdr:ext cx="180975" cy="647700"/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100-00001B000000}"/>
            </a:ext>
          </a:extLst>
        </xdr:cNvPr>
        <xdr:cNvSpPr/>
      </xdr:nvSpPr>
      <xdr:spPr>
        <a:xfrm>
          <a:off x="98679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2</xdr:col>
      <xdr:colOff>1066800</xdr:colOff>
      <xdr:row>0</xdr:row>
      <xdr:rowOff>0</xdr:rowOff>
    </xdr:from>
    <xdr:ext cx="0" cy="38100"/>
    <xdr:sp macro="" textlink="">
      <xdr:nvSpPr>
        <xdr:cNvPr id="28" name="CuadroTexto 27">
          <a:extLst>
            <a:ext uri="{FF2B5EF4-FFF2-40B4-BE49-F238E27FC236}">
              <a16:creationId xmlns:a16="http://schemas.microsoft.com/office/drawing/2014/main" id="{00000000-0008-0000-0100-00001C000000}"/>
            </a:ext>
          </a:extLst>
        </xdr:cNvPr>
        <xdr:cNvSpPr txBox="1"/>
      </xdr:nvSpPr>
      <xdr:spPr>
        <a:xfrm flipH="1">
          <a:off x="3295650" y="0"/>
          <a:ext cx="0" cy="38100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lvl="0" algn="ctr"/>
          <a:r>
            <a:rPr lang="es-MX" sz="1200" b="1">
              <a:solidFill>
                <a:sysClr val="windowText" lastClr="000000"/>
              </a:solidFill>
            </a:rPr>
            <a:t>ISLA 9: CAMBIO DE MIX POSICIONES 4, 5, 6 Y 7</a:t>
          </a: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29" name="Rectángulo 8">
          <a:extLst>
            <a:ext uri="{FF2B5EF4-FFF2-40B4-BE49-F238E27FC236}">
              <a16:creationId xmlns:a16="http://schemas.microsoft.com/office/drawing/2014/main" id="{00000000-0008-0000-0100-00001D00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30" name="Rectángulo 8">
          <a:extLst>
            <a:ext uri="{FF2B5EF4-FFF2-40B4-BE49-F238E27FC236}">
              <a16:creationId xmlns:a16="http://schemas.microsoft.com/office/drawing/2014/main" id="{00000000-0008-0000-0100-00001E00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31" name="rect">
          <a:extLst>
            <a:ext uri="{FF2B5EF4-FFF2-40B4-BE49-F238E27FC236}">
              <a16:creationId xmlns:a16="http://schemas.microsoft.com/office/drawing/2014/main" id="{00000000-0008-0000-0100-00001F00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32" name="rect">
          <a:extLst>
            <a:ext uri="{FF2B5EF4-FFF2-40B4-BE49-F238E27FC236}">
              <a16:creationId xmlns:a16="http://schemas.microsoft.com/office/drawing/2014/main" id="{00000000-0008-0000-0100-00002000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952500</xdr:colOff>
      <xdr:row>0</xdr:row>
      <xdr:rowOff>0</xdr:rowOff>
    </xdr:from>
    <xdr:ext cx="180975" cy="647700"/>
    <xdr:sp macro="" textlink="">
      <xdr:nvSpPr>
        <xdr:cNvPr id="33" name="Rectángulo 8">
          <a:extLst>
            <a:ext uri="{FF2B5EF4-FFF2-40B4-BE49-F238E27FC236}">
              <a16:creationId xmlns:a16="http://schemas.microsoft.com/office/drawing/2014/main" id="{00000000-0008-0000-0100-000021000000}"/>
            </a:ext>
          </a:extLst>
        </xdr:cNvPr>
        <xdr:cNvSpPr/>
      </xdr:nvSpPr>
      <xdr:spPr>
        <a:xfrm>
          <a:off x="98679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34" name="Rectángulo 8">
          <a:extLst>
            <a:ext uri="{FF2B5EF4-FFF2-40B4-BE49-F238E27FC236}">
              <a16:creationId xmlns:a16="http://schemas.microsoft.com/office/drawing/2014/main" id="{00000000-0008-0000-0100-00002200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35" name="Rectángulo 8">
          <a:extLst>
            <a:ext uri="{FF2B5EF4-FFF2-40B4-BE49-F238E27FC236}">
              <a16:creationId xmlns:a16="http://schemas.microsoft.com/office/drawing/2014/main" id="{00000000-0008-0000-0100-00002300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36" name="rect">
          <a:extLst>
            <a:ext uri="{FF2B5EF4-FFF2-40B4-BE49-F238E27FC236}">
              <a16:creationId xmlns:a16="http://schemas.microsoft.com/office/drawing/2014/main" id="{00000000-0008-0000-0100-00002400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37" name="rect">
          <a:extLst>
            <a:ext uri="{FF2B5EF4-FFF2-40B4-BE49-F238E27FC236}">
              <a16:creationId xmlns:a16="http://schemas.microsoft.com/office/drawing/2014/main" id="{00000000-0008-0000-0100-00002500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952500</xdr:colOff>
      <xdr:row>0</xdr:row>
      <xdr:rowOff>0</xdr:rowOff>
    </xdr:from>
    <xdr:ext cx="180975" cy="647700"/>
    <xdr:sp macro="" textlink="">
      <xdr:nvSpPr>
        <xdr:cNvPr id="38" name="Rectángulo 37">
          <a:extLst>
            <a:ext uri="{FF2B5EF4-FFF2-40B4-BE49-F238E27FC236}">
              <a16:creationId xmlns:a16="http://schemas.microsoft.com/office/drawing/2014/main" id="{00000000-0008-0000-0100-000026000000}"/>
            </a:ext>
          </a:extLst>
        </xdr:cNvPr>
        <xdr:cNvSpPr/>
      </xdr:nvSpPr>
      <xdr:spPr>
        <a:xfrm>
          <a:off x="98679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39" name="Rectángulo 8">
          <a:extLst>
            <a:ext uri="{FF2B5EF4-FFF2-40B4-BE49-F238E27FC236}">
              <a16:creationId xmlns:a16="http://schemas.microsoft.com/office/drawing/2014/main" id="{00000000-0008-0000-0100-00002700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40" name="Rectángulo 8">
          <a:extLst>
            <a:ext uri="{FF2B5EF4-FFF2-40B4-BE49-F238E27FC236}">
              <a16:creationId xmlns:a16="http://schemas.microsoft.com/office/drawing/2014/main" id="{00000000-0008-0000-0100-00002800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41" name="rect">
          <a:extLst>
            <a:ext uri="{FF2B5EF4-FFF2-40B4-BE49-F238E27FC236}">
              <a16:creationId xmlns:a16="http://schemas.microsoft.com/office/drawing/2014/main" id="{00000000-0008-0000-0100-00002900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42" name="rect">
          <a:extLst>
            <a:ext uri="{FF2B5EF4-FFF2-40B4-BE49-F238E27FC236}">
              <a16:creationId xmlns:a16="http://schemas.microsoft.com/office/drawing/2014/main" id="{00000000-0008-0000-0100-00002A00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952500</xdr:colOff>
      <xdr:row>0</xdr:row>
      <xdr:rowOff>0</xdr:rowOff>
    </xdr:from>
    <xdr:ext cx="180975" cy="647700"/>
    <xdr:sp macro="" textlink="">
      <xdr:nvSpPr>
        <xdr:cNvPr id="43" name="Rectángulo 8">
          <a:extLst>
            <a:ext uri="{FF2B5EF4-FFF2-40B4-BE49-F238E27FC236}">
              <a16:creationId xmlns:a16="http://schemas.microsoft.com/office/drawing/2014/main" id="{00000000-0008-0000-0100-00002B000000}"/>
            </a:ext>
          </a:extLst>
        </xdr:cNvPr>
        <xdr:cNvSpPr/>
      </xdr:nvSpPr>
      <xdr:spPr>
        <a:xfrm>
          <a:off x="98679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807383</xdr:colOff>
      <xdr:row>0</xdr:row>
      <xdr:rowOff>0</xdr:rowOff>
    </xdr:from>
    <xdr:ext cx="184731" cy="655885"/>
    <xdr:sp macro="" textlink="">
      <xdr:nvSpPr>
        <xdr:cNvPr id="44" name="Rectángulo 8">
          <a:extLst>
            <a:ext uri="{FF2B5EF4-FFF2-40B4-BE49-F238E27FC236}">
              <a16:creationId xmlns:a16="http://schemas.microsoft.com/office/drawing/2014/main" id="{00000000-0008-0000-0100-00002C000000}"/>
            </a:ext>
          </a:extLst>
        </xdr:cNvPr>
        <xdr:cNvSpPr/>
      </xdr:nvSpPr>
      <xdr:spPr>
        <a:xfrm>
          <a:off x="97227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0</xdr:row>
      <xdr:rowOff>0</xdr:rowOff>
    </xdr:from>
    <xdr:ext cx="184731" cy="655885"/>
    <xdr:sp macro="" textlink="">
      <xdr:nvSpPr>
        <xdr:cNvPr id="45" name="Rectángulo 8">
          <a:extLst>
            <a:ext uri="{FF2B5EF4-FFF2-40B4-BE49-F238E27FC236}">
              <a16:creationId xmlns:a16="http://schemas.microsoft.com/office/drawing/2014/main" id="{00000000-0008-0000-0100-00002D000000}"/>
            </a:ext>
          </a:extLst>
        </xdr:cNvPr>
        <xdr:cNvSpPr/>
      </xdr:nvSpPr>
      <xdr:spPr>
        <a:xfrm>
          <a:off x="97227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959783</xdr:colOff>
      <xdr:row>0</xdr:row>
      <xdr:rowOff>0</xdr:rowOff>
    </xdr:from>
    <xdr:ext cx="184731" cy="655885"/>
    <xdr:sp macro="" textlink="">
      <xdr:nvSpPr>
        <xdr:cNvPr id="46" name="Rectángulo 45">
          <a:extLst>
            <a:ext uri="{FF2B5EF4-FFF2-40B4-BE49-F238E27FC236}">
              <a16:creationId xmlns:a16="http://schemas.microsoft.com/office/drawing/2014/main" id="{00000000-0008-0000-0100-00002E000000}"/>
            </a:ext>
          </a:extLst>
        </xdr:cNvPr>
        <xdr:cNvSpPr/>
      </xdr:nvSpPr>
      <xdr:spPr>
        <a:xfrm>
          <a:off x="98751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0</xdr:row>
      <xdr:rowOff>0</xdr:rowOff>
    </xdr:from>
    <xdr:ext cx="184731" cy="655885"/>
    <xdr:sp macro="" textlink="">
      <xdr:nvSpPr>
        <xdr:cNvPr id="47" name="Rectángulo 46">
          <a:extLst>
            <a:ext uri="{FF2B5EF4-FFF2-40B4-BE49-F238E27FC236}">
              <a16:creationId xmlns:a16="http://schemas.microsoft.com/office/drawing/2014/main" id="{00000000-0008-0000-0100-00002F000000}"/>
            </a:ext>
          </a:extLst>
        </xdr:cNvPr>
        <xdr:cNvSpPr/>
      </xdr:nvSpPr>
      <xdr:spPr>
        <a:xfrm>
          <a:off x="97227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0</xdr:row>
      <xdr:rowOff>0</xdr:rowOff>
    </xdr:from>
    <xdr:ext cx="184731" cy="655885"/>
    <xdr:sp macro="" textlink="">
      <xdr:nvSpPr>
        <xdr:cNvPr id="48" name="Rectángulo 8">
          <a:extLst>
            <a:ext uri="{FF2B5EF4-FFF2-40B4-BE49-F238E27FC236}">
              <a16:creationId xmlns:a16="http://schemas.microsoft.com/office/drawing/2014/main" id="{00000000-0008-0000-0100-000030000000}"/>
            </a:ext>
          </a:extLst>
        </xdr:cNvPr>
        <xdr:cNvSpPr/>
      </xdr:nvSpPr>
      <xdr:spPr>
        <a:xfrm>
          <a:off x="97227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959783</xdr:colOff>
      <xdr:row>0</xdr:row>
      <xdr:rowOff>0</xdr:rowOff>
    </xdr:from>
    <xdr:ext cx="184731" cy="655885"/>
    <xdr:sp macro="" textlink="">
      <xdr:nvSpPr>
        <xdr:cNvPr id="49" name="Rectángulo 48">
          <a:extLst>
            <a:ext uri="{FF2B5EF4-FFF2-40B4-BE49-F238E27FC236}">
              <a16:creationId xmlns:a16="http://schemas.microsoft.com/office/drawing/2014/main" id="{00000000-0008-0000-0100-000031000000}"/>
            </a:ext>
          </a:extLst>
        </xdr:cNvPr>
        <xdr:cNvSpPr/>
      </xdr:nvSpPr>
      <xdr:spPr>
        <a:xfrm>
          <a:off x="98751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0</xdr:row>
      <xdr:rowOff>0</xdr:rowOff>
    </xdr:from>
    <xdr:ext cx="184731" cy="655885"/>
    <xdr:sp macro="" textlink="">
      <xdr:nvSpPr>
        <xdr:cNvPr id="50" name="Rectángulo 8">
          <a:extLst>
            <a:ext uri="{FF2B5EF4-FFF2-40B4-BE49-F238E27FC236}">
              <a16:creationId xmlns:a16="http://schemas.microsoft.com/office/drawing/2014/main" id="{00000000-0008-0000-0100-000032000000}"/>
            </a:ext>
          </a:extLst>
        </xdr:cNvPr>
        <xdr:cNvSpPr/>
      </xdr:nvSpPr>
      <xdr:spPr>
        <a:xfrm>
          <a:off x="97227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0</xdr:row>
      <xdr:rowOff>0</xdr:rowOff>
    </xdr:from>
    <xdr:ext cx="184731" cy="655885"/>
    <xdr:sp macro="" textlink="">
      <xdr:nvSpPr>
        <xdr:cNvPr id="51" name="Rectángulo 8">
          <a:extLst>
            <a:ext uri="{FF2B5EF4-FFF2-40B4-BE49-F238E27FC236}">
              <a16:creationId xmlns:a16="http://schemas.microsoft.com/office/drawing/2014/main" id="{00000000-0008-0000-0100-000033000000}"/>
            </a:ext>
          </a:extLst>
        </xdr:cNvPr>
        <xdr:cNvSpPr/>
      </xdr:nvSpPr>
      <xdr:spPr>
        <a:xfrm>
          <a:off x="97227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959783</xdr:colOff>
      <xdr:row>0</xdr:row>
      <xdr:rowOff>0</xdr:rowOff>
    </xdr:from>
    <xdr:ext cx="184731" cy="655885"/>
    <xdr:sp macro="" textlink="">
      <xdr:nvSpPr>
        <xdr:cNvPr id="52" name="Rectángulo 51">
          <a:extLst>
            <a:ext uri="{FF2B5EF4-FFF2-40B4-BE49-F238E27FC236}">
              <a16:creationId xmlns:a16="http://schemas.microsoft.com/office/drawing/2014/main" id="{00000000-0008-0000-0100-000034000000}"/>
            </a:ext>
          </a:extLst>
        </xdr:cNvPr>
        <xdr:cNvSpPr/>
      </xdr:nvSpPr>
      <xdr:spPr>
        <a:xfrm>
          <a:off x="98751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0</xdr:row>
      <xdr:rowOff>0</xdr:rowOff>
    </xdr:from>
    <xdr:ext cx="184731" cy="655885"/>
    <xdr:sp macro="" textlink="">
      <xdr:nvSpPr>
        <xdr:cNvPr id="53" name="Rectángulo 52">
          <a:extLst>
            <a:ext uri="{FF2B5EF4-FFF2-40B4-BE49-F238E27FC236}">
              <a16:creationId xmlns:a16="http://schemas.microsoft.com/office/drawing/2014/main" id="{00000000-0008-0000-0100-000035000000}"/>
            </a:ext>
          </a:extLst>
        </xdr:cNvPr>
        <xdr:cNvSpPr/>
      </xdr:nvSpPr>
      <xdr:spPr>
        <a:xfrm>
          <a:off x="97227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0</xdr:row>
      <xdr:rowOff>0</xdr:rowOff>
    </xdr:from>
    <xdr:ext cx="184731" cy="655885"/>
    <xdr:sp macro="" textlink="">
      <xdr:nvSpPr>
        <xdr:cNvPr id="54" name="Rectángulo 8">
          <a:extLst>
            <a:ext uri="{FF2B5EF4-FFF2-40B4-BE49-F238E27FC236}">
              <a16:creationId xmlns:a16="http://schemas.microsoft.com/office/drawing/2014/main" id="{00000000-0008-0000-0100-000036000000}"/>
            </a:ext>
          </a:extLst>
        </xdr:cNvPr>
        <xdr:cNvSpPr/>
      </xdr:nvSpPr>
      <xdr:spPr>
        <a:xfrm>
          <a:off x="97227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959783</xdr:colOff>
      <xdr:row>0</xdr:row>
      <xdr:rowOff>0</xdr:rowOff>
    </xdr:from>
    <xdr:ext cx="184731" cy="655885"/>
    <xdr:sp macro="" textlink="">
      <xdr:nvSpPr>
        <xdr:cNvPr id="55" name="Rectángulo 54">
          <a:extLst>
            <a:ext uri="{FF2B5EF4-FFF2-40B4-BE49-F238E27FC236}">
              <a16:creationId xmlns:a16="http://schemas.microsoft.com/office/drawing/2014/main" id="{00000000-0008-0000-0100-000037000000}"/>
            </a:ext>
          </a:extLst>
        </xdr:cNvPr>
        <xdr:cNvSpPr/>
      </xdr:nvSpPr>
      <xdr:spPr>
        <a:xfrm>
          <a:off x="98751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0</xdr:col>
      <xdr:colOff>959783</xdr:colOff>
      <xdr:row>0</xdr:row>
      <xdr:rowOff>0</xdr:rowOff>
    </xdr:from>
    <xdr:ext cx="184731" cy="655885"/>
    <xdr:sp macro="" textlink="">
      <xdr:nvSpPr>
        <xdr:cNvPr id="56" name="Rectángulo 55">
          <a:extLst>
            <a:ext uri="{FF2B5EF4-FFF2-40B4-BE49-F238E27FC236}">
              <a16:creationId xmlns:a16="http://schemas.microsoft.com/office/drawing/2014/main" id="{00000000-0008-0000-0100-000038000000}"/>
            </a:ext>
          </a:extLst>
        </xdr:cNvPr>
        <xdr:cNvSpPr/>
      </xdr:nvSpPr>
      <xdr:spPr>
        <a:xfrm>
          <a:off x="9597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0</xdr:col>
      <xdr:colOff>959783</xdr:colOff>
      <xdr:row>0</xdr:row>
      <xdr:rowOff>0</xdr:rowOff>
    </xdr:from>
    <xdr:ext cx="184731" cy="655885"/>
    <xdr:sp macro="" textlink="">
      <xdr:nvSpPr>
        <xdr:cNvPr id="57" name="Rectángulo 56">
          <a:extLst>
            <a:ext uri="{FF2B5EF4-FFF2-40B4-BE49-F238E27FC236}">
              <a16:creationId xmlns:a16="http://schemas.microsoft.com/office/drawing/2014/main" id="{00000000-0008-0000-0100-000039000000}"/>
            </a:ext>
          </a:extLst>
        </xdr:cNvPr>
        <xdr:cNvSpPr/>
      </xdr:nvSpPr>
      <xdr:spPr>
        <a:xfrm>
          <a:off x="9597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2</xdr:col>
      <xdr:colOff>1066800</xdr:colOff>
      <xdr:row>0</xdr:row>
      <xdr:rowOff>0</xdr:rowOff>
    </xdr:from>
    <xdr:ext cx="0" cy="38100"/>
    <xdr:sp macro="" textlink="">
      <xdr:nvSpPr>
        <xdr:cNvPr id="58" name="CuadroTexto 57">
          <a:extLst>
            <a:ext uri="{FF2B5EF4-FFF2-40B4-BE49-F238E27FC236}">
              <a16:creationId xmlns:a16="http://schemas.microsoft.com/office/drawing/2014/main" id="{00000000-0008-0000-0100-00003A000000}"/>
            </a:ext>
          </a:extLst>
        </xdr:cNvPr>
        <xdr:cNvSpPr txBox="1"/>
      </xdr:nvSpPr>
      <xdr:spPr>
        <a:xfrm flipH="1">
          <a:off x="3295650" y="0"/>
          <a:ext cx="0" cy="38100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lvl="0" algn="ctr"/>
          <a:r>
            <a:rPr lang="es-MX" sz="1200" b="1">
              <a:solidFill>
                <a:sysClr val="windowText" lastClr="000000"/>
              </a:solidFill>
            </a:rPr>
            <a:t>ISLA 9: CAMBIO DE MIX POSICIONES 4, 5, 6 Y 7</a:t>
          </a: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59" name="Rectángulo 8">
          <a:extLst>
            <a:ext uri="{FF2B5EF4-FFF2-40B4-BE49-F238E27FC236}">
              <a16:creationId xmlns:a16="http://schemas.microsoft.com/office/drawing/2014/main" id="{00000000-0008-0000-0100-00003B00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60" name="Rectángulo 8">
          <a:extLst>
            <a:ext uri="{FF2B5EF4-FFF2-40B4-BE49-F238E27FC236}">
              <a16:creationId xmlns:a16="http://schemas.microsoft.com/office/drawing/2014/main" id="{00000000-0008-0000-0100-00003C00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61" name="rect">
          <a:extLst>
            <a:ext uri="{FF2B5EF4-FFF2-40B4-BE49-F238E27FC236}">
              <a16:creationId xmlns:a16="http://schemas.microsoft.com/office/drawing/2014/main" id="{00000000-0008-0000-0100-00003D00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62" name="rect">
          <a:extLst>
            <a:ext uri="{FF2B5EF4-FFF2-40B4-BE49-F238E27FC236}">
              <a16:creationId xmlns:a16="http://schemas.microsoft.com/office/drawing/2014/main" id="{00000000-0008-0000-0100-00003E00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952500</xdr:colOff>
      <xdr:row>0</xdr:row>
      <xdr:rowOff>0</xdr:rowOff>
    </xdr:from>
    <xdr:ext cx="180975" cy="647700"/>
    <xdr:sp macro="" textlink="">
      <xdr:nvSpPr>
        <xdr:cNvPr id="63" name="Rectángulo 62">
          <a:extLst>
            <a:ext uri="{FF2B5EF4-FFF2-40B4-BE49-F238E27FC236}">
              <a16:creationId xmlns:a16="http://schemas.microsoft.com/office/drawing/2014/main" id="{00000000-0008-0000-0100-00003F000000}"/>
            </a:ext>
          </a:extLst>
        </xdr:cNvPr>
        <xdr:cNvSpPr/>
      </xdr:nvSpPr>
      <xdr:spPr>
        <a:xfrm>
          <a:off x="98679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64" name="Rectángulo 8">
          <a:extLst>
            <a:ext uri="{FF2B5EF4-FFF2-40B4-BE49-F238E27FC236}">
              <a16:creationId xmlns:a16="http://schemas.microsoft.com/office/drawing/2014/main" id="{00000000-0008-0000-0100-00004000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65" name="Rectángulo 8">
          <a:extLst>
            <a:ext uri="{FF2B5EF4-FFF2-40B4-BE49-F238E27FC236}">
              <a16:creationId xmlns:a16="http://schemas.microsoft.com/office/drawing/2014/main" id="{00000000-0008-0000-0100-00004100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66" name="rect">
          <a:extLst>
            <a:ext uri="{FF2B5EF4-FFF2-40B4-BE49-F238E27FC236}">
              <a16:creationId xmlns:a16="http://schemas.microsoft.com/office/drawing/2014/main" id="{00000000-0008-0000-0100-00004200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67" name="rect">
          <a:extLst>
            <a:ext uri="{FF2B5EF4-FFF2-40B4-BE49-F238E27FC236}">
              <a16:creationId xmlns:a16="http://schemas.microsoft.com/office/drawing/2014/main" id="{00000000-0008-0000-0100-00004300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952500</xdr:colOff>
      <xdr:row>0</xdr:row>
      <xdr:rowOff>0</xdr:rowOff>
    </xdr:from>
    <xdr:ext cx="180975" cy="647700"/>
    <xdr:sp macro="" textlink="">
      <xdr:nvSpPr>
        <xdr:cNvPr id="68" name="Rectángulo 8">
          <a:extLst>
            <a:ext uri="{FF2B5EF4-FFF2-40B4-BE49-F238E27FC236}">
              <a16:creationId xmlns:a16="http://schemas.microsoft.com/office/drawing/2014/main" id="{00000000-0008-0000-0100-000044000000}"/>
            </a:ext>
          </a:extLst>
        </xdr:cNvPr>
        <xdr:cNvSpPr/>
      </xdr:nvSpPr>
      <xdr:spPr>
        <a:xfrm>
          <a:off x="98679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69" name="Rectángulo 8">
          <a:extLst>
            <a:ext uri="{FF2B5EF4-FFF2-40B4-BE49-F238E27FC236}">
              <a16:creationId xmlns:a16="http://schemas.microsoft.com/office/drawing/2014/main" id="{00000000-0008-0000-0100-00004500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70" name="Rectángulo 8">
          <a:extLst>
            <a:ext uri="{FF2B5EF4-FFF2-40B4-BE49-F238E27FC236}">
              <a16:creationId xmlns:a16="http://schemas.microsoft.com/office/drawing/2014/main" id="{00000000-0008-0000-0100-00004600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71" name="rect">
          <a:extLst>
            <a:ext uri="{FF2B5EF4-FFF2-40B4-BE49-F238E27FC236}">
              <a16:creationId xmlns:a16="http://schemas.microsoft.com/office/drawing/2014/main" id="{00000000-0008-0000-0100-00004700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72" name="rect">
          <a:extLst>
            <a:ext uri="{FF2B5EF4-FFF2-40B4-BE49-F238E27FC236}">
              <a16:creationId xmlns:a16="http://schemas.microsoft.com/office/drawing/2014/main" id="{00000000-0008-0000-0100-00004800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952500</xdr:colOff>
      <xdr:row>0</xdr:row>
      <xdr:rowOff>0</xdr:rowOff>
    </xdr:from>
    <xdr:ext cx="180975" cy="647700"/>
    <xdr:sp macro="" textlink="">
      <xdr:nvSpPr>
        <xdr:cNvPr id="73" name="Rectángulo 72">
          <a:extLst>
            <a:ext uri="{FF2B5EF4-FFF2-40B4-BE49-F238E27FC236}">
              <a16:creationId xmlns:a16="http://schemas.microsoft.com/office/drawing/2014/main" id="{00000000-0008-0000-0100-000049000000}"/>
            </a:ext>
          </a:extLst>
        </xdr:cNvPr>
        <xdr:cNvSpPr/>
      </xdr:nvSpPr>
      <xdr:spPr>
        <a:xfrm>
          <a:off x="98679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74" name="Rectángulo 8">
          <a:extLst>
            <a:ext uri="{FF2B5EF4-FFF2-40B4-BE49-F238E27FC236}">
              <a16:creationId xmlns:a16="http://schemas.microsoft.com/office/drawing/2014/main" id="{00000000-0008-0000-0100-00004A00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75" name="Rectángulo 8">
          <a:extLst>
            <a:ext uri="{FF2B5EF4-FFF2-40B4-BE49-F238E27FC236}">
              <a16:creationId xmlns:a16="http://schemas.microsoft.com/office/drawing/2014/main" id="{00000000-0008-0000-0100-00004B00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76" name="rect">
          <a:extLst>
            <a:ext uri="{FF2B5EF4-FFF2-40B4-BE49-F238E27FC236}">
              <a16:creationId xmlns:a16="http://schemas.microsoft.com/office/drawing/2014/main" id="{00000000-0008-0000-0100-00004C00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77" name="rect">
          <a:extLst>
            <a:ext uri="{FF2B5EF4-FFF2-40B4-BE49-F238E27FC236}">
              <a16:creationId xmlns:a16="http://schemas.microsoft.com/office/drawing/2014/main" id="{00000000-0008-0000-0100-00004D00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952500</xdr:colOff>
      <xdr:row>0</xdr:row>
      <xdr:rowOff>0</xdr:rowOff>
    </xdr:from>
    <xdr:ext cx="180975" cy="647700"/>
    <xdr:sp macro="" textlink="">
      <xdr:nvSpPr>
        <xdr:cNvPr id="78" name="Rectángulo 8">
          <a:extLst>
            <a:ext uri="{FF2B5EF4-FFF2-40B4-BE49-F238E27FC236}">
              <a16:creationId xmlns:a16="http://schemas.microsoft.com/office/drawing/2014/main" id="{00000000-0008-0000-0100-00004E000000}"/>
            </a:ext>
          </a:extLst>
        </xdr:cNvPr>
        <xdr:cNvSpPr/>
      </xdr:nvSpPr>
      <xdr:spPr>
        <a:xfrm>
          <a:off x="98679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79" name="Rectángulo 8">
          <a:extLst>
            <a:ext uri="{FF2B5EF4-FFF2-40B4-BE49-F238E27FC236}">
              <a16:creationId xmlns:a16="http://schemas.microsoft.com/office/drawing/2014/main" id="{00000000-0008-0000-0100-00004F00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80" name="Rectángulo 79">
          <a:extLst>
            <a:ext uri="{FF2B5EF4-FFF2-40B4-BE49-F238E27FC236}">
              <a16:creationId xmlns:a16="http://schemas.microsoft.com/office/drawing/2014/main" id="{00000000-0008-0000-0100-00005000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81" name="rect">
          <a:extLst>
            <a:ext uri="{FF2B5EF4-FFF2-40B4-BE49-F238E27FC236}">
              <a16:creationId xmlns:a16="http://schemas.microsoft.com/office/drawing/2014/main" id="{00000000-0008-0000-0100-00005100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82" name="rect">
          <a:extLst>
            <a:ext uri="{FF2B5EF4-FFF2-40B4-BE49-F238E27FC236}">
              <a16:creationId xmlns:a16="http://schemas.microsoft.com/office/drawing/2014/main" id="{00000000-0008-0000-0100-00005200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952500</xdr:colOff>
      <xdr:row>0</xdr:row>
      <xdr:rowOff>0</xdr:rowOff>
    </xdr:from>
    <xdr:ext cx="180975" cy="647700"/>
    <xdr:sp macro="" textlink="">
      <xdr:nvSpPr>
        <xdr:cNvPr id="83" name="Rectángulo 82">
          <a:extLst>
            <a:ext uri="{FF2B5EF4-FFF2-40B4-BE49-F238E27FC236}">
              <a16:creationId xmlns:a16="http://schemas.microsoft.com/office/drawing/2014/main" id="{00000000-0008-0000-0100-000053000000}"/>
            </a:ext>
          </a:extLst>
        </xdr:cNvPr>
        <xdr:cNvSpPr/>
      </xdr:nvSpPr>
      <xdr:spPr>
        <a:xfrm>
          <a:off x="98679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2</xdr:col>
      <xdr:colOff>1066800</xdr:colOff>
      <xdr:row>0</xdr:row>
      <xdr:rowOff>0</xdr:rowOff>
    </xdr:from>
    <xdr:ext cx="0" cy="38100"/>
    <xdr:sp macro="" textlink="">
      <xdr:nvSpPr>
        <xdr:cNvPr id="84" name="CuadroTexto 83">
          <a:extLst>
            <a:ext uri="{FF2B5EF4-FFF2-40B4-BE49-F238E27FC236}">
              <a16:creationId xmlns:a16="http://schemas.microsoft.com/office/drawing/2014/main" id="{00000000-0008-0000-0100-000054000000}"/>
            </a:ext>
          </a:extLst>
        </xdr:cNvPr>
        <xdr:cNvSpPr txBox="1"/>
      </xdr:nvSpPr>
      <xdr:spPr>
        <a:xfrm flipH="1">
          <a:off x="3295650" y="0"/>
          <a:ext cx="0" cy="38100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lvl="0" algn="ctr"/>
          <a:r>
            <a:rPr lang="es-MX" sz="1200" b="1">
              <a:solidFill>
                <a:sysClr val="windowText" lastClr="000000"/>
              </a:solidFill>
            </a:rPr>
            <a:t>ISLA 9: CAMBIO DE MIX POSICIONES 4, 5, 6 Y 7</a:t>
          </a: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85" name="Rectángulo 8">
          <a:extLst>
            <a:ext uri="{FF2B5EF4-FFF2-40B4-BE49-F238E27FC236}">
              <a16:creationId xmlns:a16="http://schemas.microsoft.com/office/drawing/2014/main" id="{00000000-0008-0000-0100-00005500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86" name="Rectángulo 8">
          <a:extLst>
            <a:ext uri="{FF2B5EF4-FFF2-40B4-BE49-F238E27FC236}">
              <a16:creationId xmlns:a16="http://schemas.microsoft.com/office/drawing/2014/main" id="{00000000-0008-0000-0100-00005600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87" name="rect">
          <a:extLst>
            <a:ext uri="{FF2B5EF4-FFF2-40B4-BE49-F238E27FC236}">
              <a16:creationId xmlns:a16="http://schemas.microsoft.com/office/drawing/2014/main" id="{00000000-0008-0000-0100-00005700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88" name="rect">
          <a:extLst>
            <a:ext uri="{FF2B5EF4-FFF2-40B4-BE49-F238E27FC236}">
              <a16:creationId xmlns:a16="http://schemas.microsoft.com/office/drawing/2014/main" id="{00000000-0008-0000-0100-00005800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952500</xdr:colOff>
      <xdr:row>0</xdr:row>
      <xdr:rowOff>0</xdr:rowOff>
    </xdr:from>
    <xdr:ext cx="180975" cy="647700"/>
    <xdr:sp macro="" textlink="">
      <xdr:nvSpPr>
        <xdr:cNvPr id="89" name="Rectángulo 8">
          <a:extLst>
            <a:ext uri="{FF2B5EF4-FFF2-40B4-BE49-F238E27FC236}">
              <a16:creationId xmlns:a16="http://schemas.microsoft.com/office/drawing/2014/main" id="{00000000-0008-0000-0100-000059000000}"/>
            </a:ext>
          </a:extLst>
        </xdr:cNvPr>
        <xdr:cNvSpPr/>
      </xdr:nvSpPr>
      <xdr:spPr>
        <a:xfrm>
          <a:off x="98679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90" name="Rectángulo 8">
          <a:extLst>
            <a:ext uri="{FF2B5EF4-FFF2-40B4-BE49-F238E27FC236}">
              <a16:creationId xmlns:a16="http://schemas.microsoft.com/office/drawing/2014/main" id="{00000000-0008-0000-0100-00005A00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91" name="Rectángulo 8">
          <a:extLst>
            <a:ext uri="{FF2B5EF4-FFF2-40B4-BE49-F238E27FC236}">
              <a16:creationId xmlns:a16="http://schemas.microsoft.com/office/drawing/2014/main" id="{00000000-0008-0000-0100-00005B00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92" name="rect">
          <a:extLst>
            <a:ext uri="{FF2B5EF4-FFF2-40B4-BE49-F238E27FC236}">
              <a16:creationId xmlns:a16="http://schemas.microsoft.com/office/drawing/2014/main" id="{00000000-0008-0000-0100-00005C00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93" name="rect">
          <a:extLst>
            <a:ext uri="{FF2B5EF4-FFF2-40B4-BE49-F238E27FC236}">
              <a16:creationId xmlns:a16="http://schemas.microsoft.com/office/drawing/2014/main" id="{00000000-0008-0000-0100-00005D00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952500</xdr:colOff>
      <xdr:row>0</xdr:row>
      <xdr:rowOff>0</xdr:rowOff>
    </xdr:from>
    <xdr:ext cx="180975" cy="647700"/>
    <xdr:sp macro="" textlink="">
      <xdr:nvSpPr>
        <xdr:cNvPr id="94" name="Rectángulo 93">
          <a:extLst>
            <a:ext uri="{FF2B5EF4-FFF2-40B4-BE49-F238E27FC236}">
              <a16:creationId xmlns:a16="http://schemas.microsoft.com/office/drawing/2014/main" id="{00000000-0008-0000-0100-00005E000000}"/>
            </a:ext>
          </a:extLst>
        </xdr:cNvPr>
        <xdr:cNvSpPr/>
      </xdr:nvSpPr>
      <xdr:spPr>
        <a:xfrm>
          <a:off x="98679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95" name="Rectángulo 8">
          <a:extLst>
            <a:ext uri="{FF2B5EF4-FFF2-40B4-BE49-F238E27FC236}">
              <a16:creationId xmlns:a16="http://schemas.microsoft.com/office/drawing/2014/main" id="{00000000-0008-0000-0100-00005F00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96" name="Rectángulo 8">
          <a:extLst>
            <a:ext uri="{FF2B5EF4-FFF2-40B4-BE49-F238E27FC236}">
              <a16:creationId xmlns:a16="http://schemas.microsoft.com/office/drawing/2014/main" id="{00000000-0008-0000-0100-00006000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97" name="rect">
          <a:extLst>
            <a:ext uri="{FF2B5EF4-FFF2-40B4-BE49-F238E27FC236}">
              <a16:creationId xmlns:a16="http://schemas.microsoft.com/office/drawing/2014/main" id="{00000000-0008-0000-0100-00006100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98" name="rect">
          <a:extLst>
            <a:ext uri="{FF2B5EF4-FFF2-40B4-BE49-F238E27FC236}">
              <a16:creationId xmlns:a16="http://schemas.microsoft.com/office/drawing/2014/main" id="{00000000-0008-0000-0100-00006200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952500</xdr:colOff>
      <xdr:row>0</xdr:row>
      <xdr:rowOff>0</xdr:rowOff>
    </xdr:from>
    <xdr:ext cx="180975" cy="647700"/>
    <xdr:sp macro="" textlink="">
      <xdr:nvSpPr>
        <xdr:cNvPr id="99" name="Rectángulo 8">
          <a:extLst>
            <a:ext uri="{FF2B5EF4-FFF2-40B4-BE49-F238E27FC236}">
              <a16:creationId xmlns:a16="http://schemas.microsoft.com/office/drawing/2014/main" id="{00000000-0008-0000-0100-000063000000}"/>
            </a:ext>
          </a:extLst>
        </xdr:cNvPr>
        <xdr:cNvSpPr/>
      </xdr:nvSpPr>
      <xdr:spPr>
        <a:xfrm>
          <a:off x="98679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807383</xdr:colOff>
      <xdr:row>0</xdr:row>
      <xdr:rowOff>0</xdr:rowOff>
    </xdr:from>
    <xdr:ext cx="184731" cy="655885"/>
    <xdr:sp macro="" textlink="">
      <xdr:nvSpPr>
        <xdr:cNvPr id="100" name="Rectángulo 8">
          <a:extLst>
            <a:ext uri="{FF2B5EF4-FFF2-40B4-BE49-F238E27FC236}">
              <a16:creationId xmlns:a16="http://schemas.microsoft.com/office/drawing/2014/main" id="{00000000-0008-0000-0100-000064000000}"/>
            </a:ext>
          </a:extLst>
        </xdr:cNvPr>
        <xdr:cNvSpPr/>
      </xdr:nvSpPr>
      <xdr:spPr>
        <a:xfrm>
          <a:off x="97227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0</xdr:row>
      <xdr:rowOff>0</xdr:rowOff>
    </xdr:from>
    <xdr:ext cx="184731" cy="655885"/>
    <xdr:sp macro="" textlink="">
      <xdr:nvSpPr>
        <xdr:cNvPr id="101" name="Rectángulo 8">
          <a:extLst>
            <a:ext uri="{FF2B5EF4-FFF2-40B4-BE49-F238E27FC236}">
              <a16:creationId xmlns:a16="http://schemas.microsoft.com/office/drawing/2014/main" id="{00000000-0008-0000-0100-000065000000}"/>
            </a:ext>
          </a:extLst>
        </xdr:cNvPr>
        <xdr:cNvSpPr/>
      </xdr:nvSpPr>
      <xdr:spPr>
        <a:xfrm>
          <a:off x="97227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959783</xdr:colOff>
      <xdr:row>0</xdr:row>
      <xdr:rowOff>0</xdr:rowOff>
    </xdr:from>
    <xdr:ext cx="184731" cy="655885"/>
    <xdr:sp macro="" textlink="">
      <xdr:nvSpPr>
        <xdr:cNvPr id="102" name="Rectángulo 101">
          <a:extLst>
            <a:ext uri="{FF2B5EF4-FFF2-40B4-BE49-F238E27FC236}">
              <a16:creationId xmlns:a16="http://schemas.microsoft.com/office/drawing/2014/main" id="{00000000-0008-0000-0100-000066000000}"/>
            </a:ext>
          </a:extLst>
        </xdr:cNvPr>
        <xdr:cNvSpPr/>
      </xdr:nvSpPr>
      <xdr:spPr>
        <a:xfrm>
          <a:off x="98751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0</xdr:row>
      <xdr:rowOff>0</xdr:rowOff>
    </xdr:from>
    <xdr:ext cx="184731" cy="655885"/>
    <xdr:sp macro="" textlink="">
      <xdr:nvSpPr>
        <xdr:cNvPr id="103" name="Rectángulo 102">
          <a:extLst>
            <a:ext uri="{FF2B5EF4-FFF2-40B4-BE49-F238E27FC236}">
              <a16:creationId xmlns:a16="http://schemas.microsoft.com/office/drawing/2014/main" id="{00000000-0008-0000-0100-000067000000}"/>
            </a:ext>
          </a:extLst>
        </xdr:cNvPr>
        <xdr:cNvSpPr/>
      </xdr:nvSpPr>
      <xdr:spPr>
        <a:xfrm>
          <a:off x="97227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0</xdr:row>
      <xdr:rowOff>0</xdr:rowOff>
    </xdr:from>
    <xdr:ext cx="184731" cy="655885"/>
    <xdr:sp macro="" textlink="">
      <xdr:nvSpPr>
        <xdr:cNvPr id="104" name="Rectángulo 8">
          <a:extLst>
            <a:ext uri="{FF2B5EF4-FFF2-40B4-BE49-F238E27FC236}">
              <a16:creationId xmlns:a16="http://schemas.microsoft.com/office/drawing/2014/main" id="{00000000-0008-0000-0100-000068000000}"/>
            </a:ext>
          </a:extLst>
        </xdr:cNvPr>
        <xdr:cNvSpPr/>
      </xdr:nvSpPr>
      <xdr:spPr>
        <a:xfrm>
          <a:off x="97227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959783</xdr:colOff>
      <xdr:row>0</xdr:row>
      <xdr:rowOff>0</xdr:rowOff>
    </xdr:from>
    <xdr:ext cx="184731" cy="655885"/>
    <xdr:sp macro="" textlink="">
      <xdr:nvSpPr>
        <xdr:cNvPr id="105" name="Rectángulo 104">
          <a:extLst>
            <a:ext uri="{FF2B5EF4-FFF2-40B4-BE49-F238E27FC236}">
              <a16:creationId xmlns:a16="http://schemas.microsoft.com/office/drawing/2014/main" id="{00000000-0008-0000-0100-000069000000}"/>
            </a:ext>
          </a:extLst>
        </xdr:cNvPr>
        <xdr:cNvSpPr/>
      </xdr:nvSpPr>
      <xdr:spPr>
        <a:xfrm>
          <a:off x="98751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0</xdr:row>
      <xdr:rowOff>0</xdr:rowOff>
    </xdr:from>
    <xdr:ext cx="184731" cy="655885"/>
    <xdr:sp macro="" textlink="">
      <xdr:nvSpPr>
        <xdr:cNvPr id="106" name="Rectángulo 8">
          <a:extLst>
            <a:ext uri="{FF2B5EF4-FFF2-40B4-BE49-F238E27FC236}">
              <a16:creationId xmlns:a16="http://schemas.microsoft.com/office/drawing/2014/main" id="{00000000-0008-0000-0100-00006A000000}"/>
            </a:ext>
          </a:extLst>
        </xdr:cNvPr>
        <xdr:cNvSpPr/>
      </xdr:nvSpPr>
      <xdr:spPr>
        <a:xfrm>
          <a:off x="97227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0</xdr:row>
      <xdr:rowOff>0</xdr:rowOff>
    </xdr:from>
    <xdr:ext cx="184731" cy="655885"/>
    <xdr:sp macro="" textlink="">
      <xdr:nvSpPr>
        <xdr:cNvPr id="107" name="Rectángulo 8">
          <a:extLst>
            <a:ext uri="{FF2B5EF4-FFF2-40B4-BE49-F238E27FC236}">
              <a16:creationId xmlns:a16="http://schemas.microsoft.com/office/drawing/2014/main" id="{00000000-0008-0000-0100-00006B000000}"/>
            </a:ext>
          </a:extLst>
        </xdr:cNvPr>
        <xdr:cNvSpPr/>
      </xdr:nvSpPr>
      <xdr:spPr>
        <a:xfrm>
          <a:off x="97227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959783</xdr:colOff>
      <xdr:row>0</xdr:row>
      <xdr:rowOff>0</xdr:rowOff>
    </xdr:from>
    <xdr:ext cx="184731" cy="655885"/>
    <xdr:sp macro="" textlink="">
      <xdr:nvSpPr>
        <xdr:cNvPr id="108" name="Rectángulo 107">
          <a:extLst>
            <a:ext uri="{FF2B5EF4-FFF2-40B4-BE49-F238E27FC236}">
              <a16:creationId xmlns:a16="http://schemas.microsoft.com/office/drawing/2014/main" id="{00000000-0008-0000-0100-00006C000000}"/>
            </a:ext>
          </a:extLst>
        </xdr:cNvPr>
        <xdr:cNvSpPr/>
      </xdr:nvSpPr>
      <xdr:spPr>
        <a:xfrm>
          <a:off x="98751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0</xdr:row>
      <xdr:rowOff>0</xdr:rowOff>
    </xdr:from>
    <xdr:ext cx="184731" cy="655885"/>
    <xdr:sp macro="" textlink="">
      <xdr:nvSpPr>
        <xdr:cNvPr id="109" name="Rectángulo 108">
          <a:extLst>
            <a:ext uri="{FF2B5EF4-FFF2-40B4-BE49-F238E27FC236}">
              <a16:creationId xmlns:a16="http://schemas.microsoft.com/office/drawing/2014/main" id="{00000000-0008-0000-0100-00006D000000}"/>
            </a:ext>
          </a:extLst>
        </xdr:cNvPr>
        <xdr:cNvSpPr/>
      </xdr:nvSpPr>
      <xdr:spPr>
        <a:xfrm>
          <a:off x="97227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0</xdr:row>
      <xdr:rowOff>0</xdr:rowOff>
    </xdr:from>
    <xdr:ext cx="184731" cy="655885"/>
    <xdr:sp macro="" textlink="">
      <xdr:nvSpPr>
        <xdr:cNvPr id="110" name="Rectángulo 8">
          <a:extLst>
            <a:ext uri="{FF2B5EF4-FFF2-40B4-BE49-F238E27FC236}">
              <a16:creationId xmlns:a16="http://schemas.microsoft.com/office/drawing/2014/main" id="{00000000-0008-0000-0100-00006E000000}"/>
            </a:ext>
          </a:extLst>
        </xdr:cNvPr>
        <xdr:cNvSpPr/>
      </xdr:nvSpPr>
      <xdr:spPr>
        <a:xfrm>
          <a:off x="97227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959783</xdr:colOff>
      <xdr:row>0</xdr:row>
      <xdr:rowOff>0</xdr:rowOff>
    </xdr:from>
    <xdr:ext cx="184731" cy="655885"/>
    <xdr:sp macro="" textlink="">
      <xdr:nvSpPr>
        <xdr:cNvPr id="111" name="Rectángulo 110">
          <a:extLst>
            <a:ext uri="{FF2B5EF4-FFF2-40B4-BE49-F238E27FC236}">
              <a16:creationId xmlns:a16="http://schemas.microsoft.com/office/drawing/2014/main" id="{00000000-0008-0000-0100-00006F000000}"/>
            </a:ext>
          </a:extLst>
        </xdr:cNvPr>
        <xdr:cNvSpPr/>
      </xdr:nvSpPr>
      <xdr:spPr>
        <a:xfrm>
          <a:off x="98751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0</xdr:col>
      <xdr:colOff>959783</xdr:colOff>
      <xdr:row>0</xdr:row>
      <xdr:rowOff>0</xdr:rowOff>
    </xdr:from>
    <xdr:ext cx="184731" cy="655885"/>
    <xdr:sp macro="" textlink="">
      <xdr:nvSpPr>
        <xdr:cNvPr id="112" name="Rectángulo 111">
          <a:extLst>
            <a:ext uri="{FF2B5EF4-FFF2-40B4-BE49-F238E27FC236}">
              <a16:creationId xmlns:a16="http://schemas.microsoft.com/office/drawing/2014/main" id="{00000000-0008-0000-0100-000070000000}"/>
            </a:ext>
          </a:extLst>
        </xdr:cNvPr>
        <xdr:cNvSpPr/>
      </xdr:nvSpPr>
      <xdr:spPr>
        <a:xfrm>
          <a:off x="9597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0</xdr:col>
      <xdr:colOff>959783</xdr:colOff>
      <xdr:row>0</xdr:row>
      <xdr:rowOff>0</xdr:rowOff>
    </xdr:from>
    <xdr:ext cx="184731" cy="655885"/>
    <xdr:sp macro="" textlink="">
      <xdr:nvSpPr>
        <xdr:cNvPr id="113" name="Rectángulo 112">
          <a:extLst>
            <a:ext uri="{FF2B5EF4-FFF2-40B4-BE49-F238E27FC236}">
              <a16:creationId xmlns:a16="http://schemas.microsoft.com/office/drawing/2014/main" id="{00000000-0008-0000-0100-000071000000}"/>
            </a:ext>
          </a:extLst>
        </xdr:cNvPr>
        <xdr:cNvSpPr/>
      </xdr:nvSpPr>
      <xdr:spPr>
        <a:xfrm>
          <a:off x="9597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2</xdr:col>
      <xdr:colOff>1066800</xdr:colOff>
      <xdr:row>0</xdr:row>
      <xdr:rowOff>0</xdr:rowOff>
    </xdr:from>
    <xdr:ext cx="0" cy="38100"/>
    <xdr:sp macro="" textlink="">
      <xdr:nvSpPr>
        <xdr:cNvPr id="114" name="CuadroTexto 113">
          <a:extLst>
            <a:ext uri="{FF2B5EF4-FFF2-40B4-BE49-F238E27FC236}">
              <a16:creationId xmlns:a16="http://schemas.microsoft.com/office/drawing/2014/main" id="{00000000-0008-0000-0100-000072000000}"/>
            </a:ext>
          </a:extLst>
        </xdr:cNvPr>
        <xdr:cNvSpPr txBox="1"/>
      </xdr:nvSpPr>
      <xdr:spPr>
        <a:xfrm flipH="1">
          <a:off x="3295650" y="0"/>
          <a:ext cx="0" cy="38100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lvl="0" algn="ctr"/>
          <a:r>
            <a:rPr lang="es-MX" sz="1200" b="1">
              <a:solidFill>
                <a:sysClr val="windowText" lastClr="000000"/>
              </a:solidFill>
            </a:rPr>
            <a:t>ISLA 9: CAMBIO DE MIX POSICIONES 4, 5, 6 Y 7</a:t>
          </a: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115" name="Rectángulo 8">
          <a:extLst>
            <a:ext uri="{FF2B5EF4-FFF2-40B4-BE49-F238E27FC236}">
              <a16:creationId xmlns:a16="http://schemas.microsoft.com/office/drawing/2014/main" id="{00000000-0008-0000-0100-00007300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116" name="Rectángulo 8">
          <a:extLst>
            <a:ext uri="{FF2B5EF4-FFF2-40B4-BE49-F238E27FC236}">
              <a16:creationId xmlns:a16="http://schemas.microsoft.com/office/drawing/2014/main" id="{00000000-0008-0000-0100-00007400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117" name="rect">
          <a:extLst>
            <a:ext uri="{FF2B5EF4-FFF2-40B4-BE49-F238E27FC236}">
              <a16:creationId xmlns:a16="http://schemas.microsoft.com/office/drawing/2014/main" id="{00000000-0008-0000-0100-00007500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118" name="rect">
          <a:extLst>
            <a:ext uri="{FF2B5EF4-FFF2-40B4-BE49-F238E27FC236}">
              <a16:creationId xmlns:a16="http://schemas.microsoft.com/office/drawing/2014/main" id="{00000000-0008-0000-0100-00007600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952500</xdr:colOff>
      <xdr:row>0</xdr:row>
      <xdr:rowOff>0</xdr:rowOff>
    </xdr:from>
    <xdr:ext cx="180975" cy="647700"/>
    <xdr:sp macro="" textlink="">
      <xdr:nvSpPr>
        <xdr:cNvPr id="119" name="Rectángulo 118">
          <a:extLst>
            <a:ext uri="{FF2B5EF4-FFF2-40B4-BE49-F238E27FC236}">
              <a16:creationId xmlns:a16="http://schemas.microsoft.com/office/drawing/2014/main" id="{00000000-0008-0000-0100-000077000000}"/>
            </a:ext>
          </a:extLst>
        </xdr:cNvPr>
        <xdr:cNvSpPr/>
      </xdr:nvSpPr>
      <xdr:spPr>
        <a:xfrm>
          <a:off x="98679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120" name="Rectángulo 8">
          <a:extLst>
            <a:ext uri="{FF2B5EF4-FFF2-40B4-BE49-F238E27FC236}">
              <a16:creationId xmlns:a16="http://schemas.microsoft.com/office/drawing/2014/main" id="{00000000-0008-0000-0100-00007800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121" name="Rectángulo 8">
          <a:extLst>
            <a:ext uri="{FF2B5EF4-FFF2-40B4-BE49-F238E27FC236}">
              <a16:creationId xmlns:a16="http://schemas.microsoft.com/office/drawing/2014/main" id="{00000000-0008-0000-0100-00007900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122" name="rect">
          <a:extLst>
            <a:ext uri="{FF2B5EF4-FFF2-40B4-BE49-F238E27FC236}">
              <a16:creationId xmlns:a16="http://schemas.microsoft.com/office/drawing/2014/main" id="{00000000-0008-0000-0100-00007A00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123" name="rect">
          <a:extLst>
            <a:ext uri="{FF2B5EF4-FFF2-40B4-BE49-F238E27FC236}">
              <a16:creationId xmlns:a16="http://schemas.microsoft.com/office/drawing/2014/main" id="{00000000-0008-0000-0100-00007B00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952500</xdr:colOff>
      <xdr:row>0</xdr:row>
      <xdr:rowOff>0</xdr:rowOff>
    </xdr:from>
    <xdr:ext cx="180975" cy="647700"/>
    <xdr:sp macro="" textlink="">
      <xdr:nvSpPr>
        <xdr:cNvPr id="124" name="Rectángulo 8">
          <a:extLst>
            <a:ext uri="{FF2B5EF4-FFF2-40B4-BE49-F238E27FC236}">
              <a16:creationId xmlns:a16="http://schemas.microsoft.com/office/drawing/2014/main" id="{00000000-0008-0000-0100-00007C000000}"/>
            </a:ext>
          </a:extLst>
        </xdr:cNvPr>
        <xdr:cNvSpPr/>
      </xdr:nvSpPr>
      <xdr:spPr>
        <a:xfrm>
          <a:off x="98679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125" name="Rectángulo 8">
          <a:extLst>
            <a:ext uri="{FF2B5EF4-FFF2-40B4-BE49-F238E27FC236}">
              <a16:creationId xmlns:a16="http://schemas.microsoft.com/office/drawing/2014/main" id="{00000000-0008-0000-0100-00007D00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126" name="Rectángulo 8">
          <a:extLst>
            <a:ext uri="{FF2B5EF4-FFF2-40B4-BE49-F238E27FC236}">
              <a16:creationId xmlns:a16="http://schemas.microsoft.com/office/drawing/2014/main" id="{00000000-0008-0000-0100-00007E00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127" name="rect">
          <a:extLst>
            <a:ext uri="{FF2B5EF4-FFF2-40B4-BE49-F238E27FC236}">
              <a16:creationId xmlns:a16="http://schemas.microsoft.com/office/drawing/2014/main" id="{00000000-0008-0000-0100-00007F00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128" name="rect">
          <a:extLst>
            <a:ext uri="{FF2B5EF4-FFF2-40B4-BE49-F238E27FC236}">
              <a16:creationId xmlns:a16="http://schemas.microsoft.com/office/drawing/2014/main" id="{00000000-0008-0000-0100-00008000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952500</xdr:colOff>
      <xdr:row>0</xdr:row>
      <xdr:rowOff>0</xdr:rowOff>
    </xdr:from>
    <xdr:ext cx="180975" cy="647700"/>
    <xdr:sp macro="" textlink="">
      <xdr:nvSpPr>
        <xdr:cNvPr id="129" name="Rectángulo 128">
          <a:extLst>
            <a:ext uri="{FF2B5EF4-FFF2-40B4-BE49-F238E27FC236}">
              <a16:creationId xmlns:a16="http://schemas.microsoft.com/office/drawing/2014/main" id="{00000000-0008-0000-0100-000081000000}"/>
            </a:ext>
          </a:extLst>
        </xdr:cNvPr>
        <xdr:cNvSpPr/>
      </xdr:nvSpPr>
      <xdr:spPr>
        <a:xfrm>
          <a:off x="98679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130" name="Rectángulo 8">
          <a:extLst>
            <a:ext uri="{FF2B5EF4-FFF2-40B4-BE49-F238E27FC236}">
              <a16:creationId xmlns:a16="http://schemas.microsoft.com/office/drawing/2014/main" id="{00000000-0008-0000-0100-00008200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131" name="Rectángulo 8">
          <a:extLst>
            <a:ext uri="{FF2B5EF4-FFF2-40B4-BE49-F238E27FC236}">
              <a16:creationId xmlns:a16="http://schemas.microsoft.com/office/drawing/2014/main" id="{00000000-0008-0000-0100-00008300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132" name="rect">
          <a:extLst>
            <a:ext uri="{FF2B5EF4-FFF2-40B4-BE49-F238E27FC236}">
              <a16:creationId xmlns:a16="http://schemas.microsoft.com/office/drawing/2014/main" id="{00000000-0008-0000-0100-00008400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133" name="rect">
          <a:extLst>
            <a:ext uri="{FF2B5EF4-FFF2-40B4-BE49-F238E27FC236}">
              <a16:creationId xmlns:a16="http://schemas.microsoft.com/office/drawing/2014/main" id="{00000000-0008-0000-0100-00008500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952500</xdr:colOff>
      <xdr:row>0</xdr:row>
      <xdr:rowOff>0</xdr:rowOff>
    </xdr:from>
    <xdr:ext cx="180975" cy="647700"/>
    <xdr:sp macro="" textlink="">
      <xdr:nvSpPr>
        <xdr:cNvPr id="134" name="Rectángulo 8">
          <a:extLst>
            <a:ext uri="{FF2B5EF4-FFF2-40B4-BE49-F238E27FC236}">
              <a16:creationId xmlns:a16="http://schemas.microsoft.com/office/drawing/2014/main" id="{00000000-0008-0000-0100-000086000000}"/>
            </a:ext>
          </a:extLst>
        </xdr:cNvPr>
        <xdr:cNvSpPr/>
      </xdr:nvSpPr>
      <xdr:spPr>
        <a:xfrm>
          <a:off x="98679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135" name="Rectángulo 8">
          <a:extLst>
            <a:ext uri="{FF2B5EF4-FFF2-40B4-BE49-F238E27FC236}">
              <a16:creationId xmlns:a16="http://schemas.microsoft.com/office/drawing/2014/main" id="{00000000-0008-0000-0100-00008700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136" name="Rectángulo 135">
          <a:extLst>
            <a:ext uri="{FF2B5EF4-FFF2-40B4-BE49-F238E27FC236}">
              <a16:creationId xmlns:a16="http://schemas.microsoft.com/office/drawing/2014/main" id="{00000000-0008-0000-0100-00008800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137" name="rect">
          <a:extLst>
            <a:ext uri="{FF2B5EF4-FFF2-40B4-BE49-F238E27FC236}">
              <a16:creationId xmlns:a16="http://schemas.microsoft.com/office/drawing/2014/main" id="{00000000-0008-0000-0100-00008900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138" name="rect">
          <a:extLst>
            <a:ext uri="{FF2B5EF4-FFF2-40B4-BE49-F238E27FC236}">
              <a16:creationId xmlns:a16="http://schemas.microsoft.com/office/drawing/2014/main" id="{00000000-0008-0000-0100-00008A00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952500</xdr:colOff>
      <xdr:row>0</xdr:row>
      <xdr:rowOff>0</xdr:rowOff>
    </xdr:from>
    <xdr:ext cx="180975" cy="647700"/>
    <xdr:sp macro="" textlink="">
      <xdr:nvSpPr>
        <xdr:cNvPr id="139" name="Rectángulo 138">
          <a:extLst>
            <a:ext uri="{FF2B5EF4-FFF2-40B4-BE49-F238E27FC236}">
              <a16:creationId xmlns:a16="http://schemas.microsoft.com/office/drawing/2014/main" id="{00000000-0008-0000-0100-00008B000000}"/>
            </a:ext>
          </a:extLst>
        </xdr:cNvPr>
        <xdr:cNvSpPr/>
      </xdr:nvSpPr>
      <xdr:spPr>
        <a:xfrm>
          <a:off x="98679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2</xdr:col>
      <xdr:colOff>1066800</xdr:colOff>
      <xdr:row>0</xdr:row>
      <xdr:rowOff>0</xdr:rowOff>
    </xdr:from>
    <xdr:ext cx="0" cy="38100"/>
    <xdr:sp macro="" textlink="">
      <xdr:nvSpPr>
        <xdr:cNvPr id="140" name="CuadroTexto 139">
          <a:extLst>
            <a:ext uri="{FF2B5EF4-FFF2-40B4-BE49-F238E27FC236}">
              <a16:creationId xmlns:a16="http://schemas.microsoft.com/office/drawing/2014/main" id="{00000000-0008-0000-0100-00008C000000}"/>
            </a:ext>
          </a:extLst>
        </xdr:cNvPr>
        <xdr:cNvSpPr txBox="1"/>
      </xdr:nvSpPr>
      <xdr:spPr>
        <a:xfrm flipH="1">
          <a:off x="3295650" y="0"/>
          <a:ext cx="0" cy="38100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lvl="0" algn="ctr"/>
          <a:r>
            <a:rPr lang="es-MX" sz="1200" b="1">
              <a:solidFill>
                <a:sysClr val="windowText" lastClr="000000"/>
              </a:solidFill>
            </a:rPr>
            <a:t>ISLA 9: CAMBIO DE MIX POSICIONES 4, 5, 6 Y 7</a:t>
          </a: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141" name="Rectángulo 8">
          <a:extLst>
            <a:ext uri="{FF2B5EF4-FFF2-40B4-BE49-F238E27FC236}">
              <a16:creationId xmlns:a16="http://schemas.microsoft.com/office/drawing/2014/main" id="{00000000-0008-0000-0100-00008D00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142" name="Rectángulo 8">
          <a:extLst>
            <a:ext uri="{FF2B5EF4-FFF2-40B4-BE49-F238E27FC236}">
              <a16:creationId xmlns:a16="http://schemas.microsoft.com/office/drawing/2014/main" id="{00000000-0008-0000-0100-00008E00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143" name="rect">
          <a:extLst>
            <a:ext uri="{FF2B5EF4-FFF2-40B4-BE49-F238E27FC236}">
              <a16:creationId xmlns:a16="http://schemas.microsoft.com/office/drawing/2014/main" id="{00000000-0008-0000-0100-00008F00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144" name="rect">
          <a:extLst>
            <a:ext uri="{FF2B5EF4-FFF2-40B4-BE49-F238E27FC236}">
              <a16:creationId xmlns:a16="http://schemas.microsoft.com/office/drawing/2014/main" id="{00000000-0008-0000-0100-00009000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952500</xdr:colOff>
      <xdr:row>0</xdr:row>
      <xdr:rowOff>0</xdr:rowOff>
    </xdr:from>
    <xdr:ext cx="180975" cy="647700"/>
    <xdr:sp macro="" textlink="">
      <xdr:nvSpPr>
        <xdr:cNvPr id="145" name="Rectángulo 8">
          <a:extLst>
            <a:ext uri="{FF2B5EF4-FFF2-40B4-BE49-F238E27FC236}">
              <a16:creationId xmlns:a16="http://schemas.microsoft.com/office/drawing/2014/main" id="{00000000-0008-0000-0100-000091000000}"/>
            </a:ext>
          </a:extLst>
        </xdr:cNvPr>
        <xdr:cNvSpPr/>
      </xdr:nvSpPr>
      <xdr:spPr>
        <a:xfrm>
          <a:off x="98679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146" name="Rectángulo 8">
          <a:extLst>
            <a:ext uri="{FF2B5EF4-FFF2-40B4-BE49-F238E27FC236}">
              <a16:creationId xmlns:a16="http://schemas.microsoft.com/office/drawing/2014/main" id="{00000000-0008-0000-0100-00009200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147" name="Rectángulo 8">
          <a:extLst>
            <a:ext uri="{FF2B5EF4-FFF2-40B4-BE49-F238E27FC236}">
              <a16:creationId xmlns:a16="http://schemas.microsoft.com/office/drawing/2014/main" id="{00000000-0008-0000-0100-00009300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148" name="rect">
          <a:extLst>
            <a:ext uri="{FF2B5EF4-FFF2-40B4-BE49-F238E27FC236}">
              <a16:creationId xmlns:a16="http://schemas.microsoft.com/office/drawing/2014/main" id="{00000000-0008-0000-0100-00009400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149" name="rect">
          <a:extLst>
            <a:ext uri="{FF2B5EF4-FFF2-40B4-BE49-F238E27FC236}">
              <a16:creationId xmlns:a16="http://schemas.microsoft.com/office/drawing/2014/main" id="{00000000-0008-0000-0100-00009500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952500</xdr:colOff>
      <xdr:row>0</xdr:row>
      <xdr:rowOff>0</xdr:rowOff>
    </xdr:from>
    <xdr:ext cx="180975" cy="647700"/>
    <xdr:sp macro="" textlink="">
      <xdr:nvSpPr>
        <xdr:cNvPr id="150" name="Rectángulo 149">
          <a:extLst>
            <a:ext uri="{FF2B5EF4-FFF2-40B4-BE49-F238E27FC236}">
              <a16:creationId xmlns:a16="http://schemas.microsoft.com/office/drawing/2014/main" id="{00000000-0008-0000-0100-000096000000}"/>
            </a:ext>
          </a:extLst>
        </xdr:cNvPr>
        <xdr:cNvSpPr/>
      </xdr:nvSpPr>
      <xdr:spPr>
        <a:xfrm>
          <a:off x="98679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151" name="Rectángulo 8">
          <a:extLst>
            <a:ext uri="{FF2B5EF4-FFF2-40B4-BE49-F238E27FC236}">
              <a16:creationId xmlns:a16="http://schemas.microsoft.com/office/drawing/2014/main" id="{00000000-0008-0000-0100-00009700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152" name="Rectángulo 8">
          <a:extLst>
            <a:ext uri="{FF2B5EF4-FFF2-40B4-BE49-F238E27FC236}">
              <a16:creationId xmlns:a16="http://schemas.microsoft.com/office/drawing/2014/main" id="{00000000-0008-0000-0100-00009800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153" name="rect">
          <a:extLst>
            <a:ext uri="{FF2B5EF4-FFF2-40B4-BE49-F238E27FC236}">
              <a16:creationId xmlns:a16="http://schemas.microsoft.com/office/drawing/2014/main" id="{00000000-0008-0000-0100-00009900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154" name="rect">
          <a:extLst>
            <a:ext uri="{FF2B5EF4-FFF2-40B4-BE49-F238E27FC236}">
              <a16:creationId xmlns:a16="http://schemas.microsoft.com/office/drawing/2014/main" id="{00000000-0008-0000-0100-00009A00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952500</xdr:colOff>
      <xdr:row>0</xdr:row>
      <xdr:rowOff>0</xdr:rowOff>
    </xdr:from>
    <xdr:ext cx="180975" cy="647700"/>
    <xdr:sp macro="" textlink="">
      <xdr:nvSpPr>
        <xdr:cNvPr id="155" name="Rectángulo 8">
          <a:extLst>
            <a:ext uri="{FF2B5EF4-FFF2-40B4-BE49-F238E27FC236}">
              <a16:creationId xmlns:a16="http://schemas.microsoft.com/office/drawing/2014/main" id="{00000000-0008-0000-0100-00009B000000}"/>
            </a:ext>
          </a:extLst>
        </xdr:cNvPr>
        <xdr:cNvSpPr/>
      </xdr:nvSpPr>
      <xdr:spPr>
        <a:xfrm>
          <a:off x="98679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807383</xdr:colOff>
      <xdr:row>0</xdr:row>
      <xdr:rowOff>0</xdr:rowOff>
    </xdr:from>
    <xdr:ext cx="184731" cy="655885"/>
    <xdr:sp macro="" textlink="">
      <xdr:nvSpPr>
        <xdr:cNvPr id="156" name="Rectángulo 8">
          <a:extLst>
            <a:ext uri="{FF2B5EF4-FFF2-40B4-BE49-F238E27FC236}">
              <a16:creationId xmlns:a16="http://schemas.microsoft.com/office/drawing/2014/main" id="{00000000-0008-0000-0100-00009C000000}"/>
            </a:ext>
          </a:extLst>
        </xdr:cNvPr>
        <xdr:cNvSpPr/>
      </xdr:nvSpPr>
      <xdr:spPr>
        <a:xfrm>
          <a:off x="97227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0</xdr:row>
      <xdr:rowOff>0</xdr:rowOff>
    </xdr:from>
    <xdr:ext cx="184731" cy="655885"/>
    <xdr:sp macro="" textlink="">
      <xdr:nvSpPr>
        <xdr:cNvPr id="157" name="Rectángulo 8">
          <a:extLst>
            <a:ext uri="{FF2B5EF4-FFF2-40B4-BE49-F238E27FC236}">
              <a16:creationId xmlns:a16="http://schemas.microsoft.com/office/drawing/2014/main" id="{00000000-0008-0000-0100-00009D000000}"/>
            </a:ext>
          </a:extLst>
        </xdr:cNvPr>
        <xdr:cNvSpPr/>
      </xdr:nvSpPr>
      <xdr:spPr>
        <a:xfrm>
          <a:off x="97227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959783</xdr:colOff>
      <xdr:row>0</xdr:row>
      <xdr:rowOff>0</xdr:rowOff>
    </xdr:from>
    <xdr:ext cx="184731" cy="655885"/>
    <xdr:sp macro="" textlink="">
      <xdr:nvSpPr>
        <xdr:cNvPr id="158" name="Rectángulo 157">
          <a:extLst>
            <a:ext uri="{FF2B5EF4-FFF2-40B4-BE49-F238E27FC236}">
              <a16:creationId xmlns:a16="http://schemas.microsoft.com/office/drawing/2014/main" id="{00000000-0008-0000-0100-00009E000000}"/>
            </a:ext>
          </a:extLst>
        </xdr:cNvPr>
        <xdr:cNvSpPr/>
      </xdr:nvSpPr>
      <xdr:spPr>
        <a:xfrm>
          <a:off x="98751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0</xdr:row>
      <xdr:rowOff>0</xdr:rowOff>
    </xdr:from>
    <xdr:ext cx="184731" cy="655885"/>
    <xdr:sp macro="" textlink="">
      <xdr:nvSpPr>
        <xdr:cNvPr id="159" name="Rectángulo 158">
          <a:extLst>
            <a:ext uri="{FF2B5EF4-FFF2-40B4-BE49-F238E27FC236}">
              <a16:creationId xmlns:a16="http://schemas.microsoft.com/office/drawing/2014/main" id="{00000000-0008-0000-0100-00009F000000}"/>
            </a:ext>
          </a:extLst>
        </xdr:cNvPr>
        <xdr:cNvSpPr/>
      </xdr:nvSpPr>
      <xdr:spPr>
        <a:xfrm>
          <a:off x="97227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0</xdr:row>
      <xdr:rowOff>0</xdr:rowOff>
    </xdr:from>
    <xdr:ext cx="184731" cy="655885"/>
    <xdr:sp macro="" textlink="">
      <xdr:nvSpPr>
        <xdr:cNvPr id="160" name="Rectángulo 8">
          <a:extLst>
            <a:ext uri="{FF2B5EF4-FFF2-40B4-BE49-F238E27FC236}">
              <a16:creationId xmlns:a16="http://schemas.microsoft.com/office/drawing/2014/main" id="{00000000-0008-0000-0100-0000A0000000}"/>
            </a:ext>
          </a:extLst>
        </xdr:cNvPr>
        <xdr:cNvSpPr/>
      </xdr:nvSpPr>
      <xdr:spPr>
        <a:xfrm>
          <a:off x="97227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959783</xdr:colOff>
      <xdr:row>0</xdr:row>
      <xdr:rowOff>0</xdr:rowOff>
    </xdr:from>
    <xdr:ext cx="184731" cy="655885"/>
    <xdr:sp macro="" textlink="">
      <xdr:nvSpPr>
        <xdr:cNvPr id="161" name="Rectángulo 160">
          <a:extLst>
            <a:ext uri="{FF2B5EF4-FFF2-40B4-BE49-F238E27FC236}">
              <a16:creationId xmlns:a16="http://schemas.microsoft.com/office/drawing/2014/main" id="{00000000-0008-0000-0100-0000A1000000}"/>
            </a:ext>
          </a:extLst>
        </xdr:cNvPr>
        <xdr:cNvSpPr/>
      </xdr:nvSpPr>
      <xdr:spPr>
        <a:xfrm>
          <a:off x="98751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0</xdr:row>
      <xdr:rowOff>0</xdr:rowOff>
    </xdr:from>
    <xdr:ext cx="184731" cy="655885"/>
    <xdr:sp macro="" textlink="">
      <xdr:nvSpPr>
        <xdr:cNvPr id="162" name="Rectángulo 8">
          <a:extLst>
            <a:ext uri="{FF2B5EF4-FFF2-40B4-BE49-F238E27FC236}">
              <a16:creationId xmlns:a16="http://schemas.microsoft.com/office/drawing/2014/main" id="{00000000-0008-0000-0100-0000A2000000}"/>
            </a:ext>
          </a:extLst>
        </xdr:cNvPr>
        <xdr:cNvSpPr/>
      </xdr:nvSpPr>
      <xdr:spPr>
        <a:xfrm>
          <a:off x="97227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0</xdr:row>
      <xdr:rowOff>0</xdr:rowOff>
    </xdr:from>
    <xdr:ext cx="184731" cy="655885"/>
    <xdr:sp macro="" textlink="">
      <xdr:nvSpPr>
        <xdr:cNvPr id="163" name="Rectángulo 8">
          <a:extLst>
            <a:ext uri="{FF2B5EF4-FFF2-40B4-BE49-F238E27FC236}">
              <a16:creationId xmlns:a16="http://schemas.microsoft.com/office/drawing/2014/main" id="{00000000-0008-0000-0100-0000A3000000}"/>
            </a:ext>
          </a:extLst>
        </xdr:cNvPr>
        <xdr:cNvSpPr/>
      </xdr:nvSpPr>
      <xdr:spPr>
        <a:xfrm>
          <a:off x="97227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959783</xdr:colOff>
      <xdr:row>0</xdr:row>
      <xdr:rowOff>0</xdr:rowOff>
    </xdr:from>
    <xdr:ext cx="184731" cy="655885"/>
    <xdr:sp macro="" textlink="">
      <xdr:nvSpPr>
        <xdr:cNvPr id="164" name="Rectángulo 163">
          <a:extLst>
            <a:ext uri="{FF2B5EF4-FFF2-40B4-BE49-F238E27FC236}">
              <a16:creationId xmlns:a16="http://schemas.microsoft.com/office/drawing/2014/main" id="{00000000-0008-0000-0100-0000A4000000}"/>
            </a:ext>
          </a:extLst>
        </xdr:cNvPr>
        <xdr:cNvSpPr/>
      </xdr:nvSpPr>
      <xdr:spPr>
        <a:xfrm>
          <a:off x="98751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0</xdr:row>
      <xdr:rowOff>0</xdr:rowOff>
    </xdr:from>
    <xdr:ext cx="184731" cy="655885"/>
    <xdr:sp macro="" textlink="">
      <xdr:nvSpPr>
        <xdr:cNvPr id="165" name="Rectángulo 164">
          <a:extLst>
            <a:ext uri="{FF2B5EF4-FFF2-40B4-BE49-F238E27FC236}">
              <a16:creationId xmlns:a16="http://schemas.microsoft.com/office/drawing/2014/main" id="{00000000-0008-0000-0100-0000A5000000}"/>
            </a:ext>
          </a:extLst>
        </xdr:cNvPr>
        <xdr:cNvSpPr/>
      </xdr:nvSpPr>
      <xdr:spPr>
        <a:xfrm>
          <a:off x="97227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0</xdr:row>
      <xdr:rowOff>0</xdr:rowOff>
    </xdr:from>
    <xdr:ext cx="184731" cy="655885"/>
    <xdr:sp macro="" textlink="">
      <xdr:nvSpPr>
        <xdr:cNvPr id="166" name="Rectángulo 8">
          <a:extLst>
            <a:ext uri="{FF2B5EF4-FFF2-40B4-BE49-F238E27FC236}">
              <a16:creationId xmlns:a16="http://schemas.microsoft.com/office/drawing/2014/main" id="{00000000-0008-0000-0100-0000A6000000}"/>
            </a:ext>
          </a:extLst>
        </xdr:cNvPr>
        <xdr:cNvSpPr/>
      </xdr:nvSpPr>
      <xdr:spPr>
        <a:xfrm>
          <a:off x="97227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959783</xdr:colOff>
      <xdr:row>0</xdr:row>
      <xdr:rowOff>0</xdr:rowOff>
    </xdr:from>
    <xdr:ext cx="184731" cy="655885"/>
    <xdr:sp macro="" textlink="">
      <xdr:nvSpPr>
        <xdr:cNvPr id="167" name="Rectángulo 166">
          <a:extLst>
            <a:ext uri="{FF2B5EF4-FFF2-40B4-BE49-F238E27FC236}">
              <a16:creationId xmlns:a16="http://schemas.microsoft.com/office/drawing/2014/main" id="{00000000-0008-0000-0100-0000A7000000}"/>
            </a:ext>
          </a:extLst>
        </xdr:cNvPr>
        <xdr:cNvSpPr/>
      </xdr:nvSpPr>
      <xdr:spPr>
        <a:xfrm>
          <a:off x="98751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0</xdr:col>
      <xdr:colOff>959783</xdr:colOff>
      <xdr:row>0</xdr:row>
      <xdr:rowOff>0</xdr:rowOff>
    </xdr:from>
    <xdr:ext cx="184731" cy="655885"/>
    <xdr:sp macro="" textlink="">
      <xdr:nvSpPr>
        <xdr:cNvPr id="168" name="Rectángulo 167">
          <a:extLst>
            <a:ext uri="{FF2B5EF4-FFF2-40B4-BE49-F238E27FC236}">
              <a16:creationId xmlns:a16="http://schemas.microsoft.com/office/drawing/2014/main" id="{00000000-0008-0000-0100-0000A8000000}"/>
            </a:ext>
          </a:extLst>
        </xdr:cNvPr>
        <xdr:cNvSpPr/>
      </xdr:nvSpPr>
      <xdr:spPr>
        <a:xfrm>
          <a:off x="9597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0</xdr:col>
      <xdr:colOff>959783</xdr:colOff>
      <xdr:row>0</xdr:row>
      <xdr:rowOff>0</xdr:rowOff>
    </xdr:from>
    <xdr:ext cx="184731" cy="655885"/>
    <xdr:sp macro="" textlink="">
      <xdr:nvSpPr>
        <xdr:cNvPr id="169" name="Rectángulo 168">
          <a:extLst>
            <a:ext uri="{FF2B5EF4-FFF2-40B4-BE49-F238E27FC236}">
              <a16:creationId xmlns:a16="http://schemas.microsoft.com/office/drawing/2014/main" id="{00000000-0008-0000-0100-0000A9000000}"/>
            </a:ext>
          </a:extLst>
        </xdr:cNvPr>
        <xdr:cNvSpPr/>
      </xdr:nvSpPr>
      <xdr:spPr>
        <a:xfrm>
          <a:off x="9597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2</xdr:col>
      <xdr:colOff>1066800</xdr:colOff>
      <xdr:row>0</xdr:row>
      <xdr:rowOff>0</xdr:rowOff>
    </xdr:from>
    <xdr:ext cx="0" cy="38100"/>
    <xdr:sp macro="" textlink="">
      <xdr:nvSpPr>
        <xdr:cNvPr id="170" name="CuadroTexto 169">
          <a:extLst>
            <a:ext uri="{FF2B5EF4-FFF2-40B4-BE49-F238E27FC236}">
              <a16:creationId xmlns:a16="http://schemas.microsoft.com/office/drawing/2014/main" id="{00000000-0008-0000-0100-0000AA000000}"/>
            </a:ext>
          </a:extLst>
        </xdr:cNvPr>
        <xdr:cNvSpPr txBox="1"/>
      </xdr:nvSpPr>
      <xdr:spPr>
        <a:xfrm flipH="1">
          <a:off x="3295650" y="0"/>
          <a:ext cx="0" cy="38100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lvl="0" algn="ctr"/>
          <a:r>
            <a:rPr lang="es-MX" sz="1200" b="1">
              <a:solidFill>
                <a:sysClr val="windowText" lastClr="000000"/>
              </a:solidFill>
            </a:rPr>
            <a:t>ISLA 9: CAMBIO DE MIX POSICIONES 4, 5, 6 Y 7</a:t>
          </a: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171" name="Rectángulo 8">
          <a:extLst>
            <a:ext uri="{FF2B5EF4-FFF2-40B4-BE49-F238E27FC236}">
              <a16:creationId xmlns:a16="http://schemas.microsoft.com/office/drawing/2014/main" id="{00000000-0008-0000-0100-0000AB00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172" name="Rectángulo 8">
          <a:extLst>
            <a:ext uri="{FF2B5EF4-FFF2-40B4-BE49-F238E27FC236}">
              <a16:creationId xmlns:a16="http://schemas.microsoft.com/office/drawing/2014/main" id="{00000000-0008-0000-0100-0000AC00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173" name="rect">
          <a:extLst>
            <a:ext uri="{FF2B5EF4-FFF2-40B4-BE49-F238E27FC236}">
              <a16:creationId xmlns:a16="http://schemas.microsoft.com/office/drawing/2014/main" id="{00000000-0008-0000-0100-0000AD00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174" name="rect">
          <a:extLst>
            <a:ext uri="{FF2B5EF4-FFF2-40B4-BE49-F238E27FC236}">
              <a16:creationId xmlns:a16="http://schemas.microsoft.com/office/drawing/2014/main" id="{00000000-0008-0000-0100-0000AE00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952500</xdr:colOff>
      <xdr:row>0</xdr:row>
      <xdr:rowOff>0</xdr:rowOff>
    </xdr:from>
    <xdr:ext cx="180975" cy="647700"/>
    <xdr:sp macro="" textlink="">
      <xdr:nvSpPr>
        <xdr:cNvPr id="175" name="Rectángulo 174">
          <a:extLst>
            <a:ext uri="{FF2B5EF4-FFF2-40B4-BE49-F238E27FC236}">
              <a16:creationId xmlns:a16="http://schemas.microsoft.com/office/drawing/2014/main" id="{00000000-0008-0000-0100-0000AF000000}"/>
            </a:ext>
          </a:extLst>
        </xdr:cNvPr>
        <xdr:cNvSpPr/>
      </xdr:nvSpPr>
      <xdr:spPr>
        <a:xfrm>
          <a:off x="98679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176" name="Rectángulo 8">
          <a:extLst>
            <a:ext uri="{FF2B5EF4-FFF2-40B4-BE49-F238E27FC236}">
              <a16:creationId xmlns:a16="http://schemas.microsoft.com/office/drawing/2014/main" id="{00000000-0008-0000-0100-0000B000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177" name="Rectángulo 176">
          <a:extLst>
            <a:ext uri="{FF2B5EF4-FFF2-40B4-BE49-F238E27FC236}">
              <a16:creationId xmlns:a16="http://schemas.microsoft.com/office/drawing/2014/main" id="{00000000-0008-0000-0100-0000B100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178" name="rect">
          <a:extLst>
            <a:ext uri="{FF2B5EF4-FFF2-40B4-BE49-F238E27FC236}">
              <a16:creationId xmlns:a16="http://schemas.microsoft.com/office/drawing/2014/main" id="{00000000-0008-0000-0100-0000B200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179" name="rect">
          <a:extLst>
            <a:ext uri="{FF2B5EF4-FFF2-40B4-BE49-F238E27FC236}">
              <a16:creationId xmlns:a16="http://schemas.microsoft.com/office/drawing/2014/main" id="{00000000-0008-0000-0100-0000B300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952500</xdr:colOff>
      <xdr:row>0</xdr:row>
      <xdr:rowOff>0</xdr:rowOff>
    </xdr:from>
    <xdr:ext cx="180975" cy="647700"/>
    <xdr:sp macro="" textlink="">
      <xdr:nvSpPr>
        <xdr:cNvPr id="180" name="Rectángulo 8">
          <a:extLst>
            <a:ext uri="{FF2B5EF4-FFF2-40B4-BE49-F238E27FC236}">
              <a16:creationId xmlns:a16="http://schemas.microsoft.com/office/drawing/2014/main" id="{00000000-0008-0000-0100-0000B4000000}"/>
            </a:ext>
          </a:extLst>
        </xdr:cNvPr>
        <xdr:cNvSpPr/>
      </xdr:nvSpPr>
      <xdr:spPr>
        <a:xfrm>
          <a:off x="98679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181" name="Rectángulo 8">
          <a:extLst>
            <a:ext uri="{FF2B5EF4-FFF2-40B4-BE49-F238E27FC236}">
              <a16:creationId xmlns:a16="http://schemas.microsoft.com/office/drawing/2014/main" id="{00000000-0008-0000-0100-0000B500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182" name="Rectángulo 8">
          <a:extLst>
            <a:ext uri="{FF2B5EF4-FFF2-40B4-BE49-F238E27FC236}">
              <a16:creationId xmlns:a16="http://schemas.microsoft.com/office/drawing/2014/main" id="{00000000-0008-0000-0100-0000B600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183" name="rect">
          <a:extLst>
            <a:ext uri="{FF2B5EF4-FFF2-40B4-BE49-F238E27FC236}">
              <a16:creationId xmlns:a16="http://schemas.microsoft.com/office/drawing/2014/main" id="{00000000-0008-0000-0100-0000B700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184" name="rect">
          <a:extLst>
            <a:ext uri="{FF2B5EF4-FFF2-40B4-BE49-F238E27FC236}">
              <a16:creationId xmlns:a16="http://schemas.microsoft.com/office/drawing/2014/main" id="{00000000-0008-0000-0100-0000B800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952500</xdr:colOff>
      <xdr:row>0</xdr:row>
      <xdr:rowOff>0</xdr:rowOff>
    </xdr:from>
    <xdr:ext cx="180975" cy="647700"/>
    <xdr:sp macro="" textlink="">
      <xdr:nvSpPr>
        <xdr:cNvPr id="185" name="Rectángulo 184">
          <a:extLst>
            <a:ext uri="{FF2B5EF4-FFF2-40B4-BE49-F238E27FC236}">
              <a16:creationId xmlns:a16="http://schemas.microsoft.com/office/drawing/2014/main" id="{00000000-0008-0000-0100-0000B9000000}"/>
            </a:ext>
          </a:extLst>
        </xdr:cNvPr>
        <xdr:cNvSpPr/>
      </xdr:nvSpPr>
      <xdr:spPr>
        <a:xfrm>
          <a:off x="98679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186" name="Rectángulo 8">
          <a:extLst>
            <a:ext uri="{FF2B5EF4-FFF2-40B4-BE49-F238E27FC236}">
              <a16:creationId xmlns:a16="http://schemas.microsoft.com/office/drawing/2014/main" id="{00000000-0008-0000-0100-0000BA00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187" name="Rectángulo 8">
          <a:extLst>
            <a:ext uri="{FF2B5EF4-FFF2-40B4-BE49-F238E27FC236}">
              <a16:creationId xmlns:a16="http://schemas.microsoft.com/office/drawing/2014/main" id="{00000000-0008-0000-0100-0000BB00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188" name="rect">
          <a:extLst>
            <a:ext uri="{FF2B5EF4-FFF2-40B4-BE49-F238E27FC236}">
              <a16:creationId xmlns:a16="http://schemas.microsoft.com/office/drawing/2014/main" id="{00000000-0008-0000-0100-0000BC00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189" name="rect">
          <a:extLst>
            <a:ext uri="{FF2B5EF4-FFF2-40B4-BE49-F238E27FC236}">
              <a16:creationId xmlns:a16="http://schemas.microsoft.com/office/drawing/2014/main" id="{00000000-0008-0000-0100-0000BD00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952500</xdr:colOff>
      <xdr:row>0</xdr:row>
      <xdr:rowOff>0</xdr:rowOff>
    </xdr:from>
    <xdr:ext cx="180975" cy="647700"/>
    <xdr:sp macro="" textlink="">
      <xdr:nvSpPr>
        <xdr:cNvPr id="190" name="Rectángulo 8">
          <a:extLst>
            <a:ext uri="{FF2B5EF4-FFF2-40B4-BE49-F238E27FC236}">
              <a16:creationId xmlns:a16="http://schemas.microsoft.com/office/drawing/2014/main" id="{00000000-0008-0000-0100-0000BE000000}"/>
            </a:ext>
          </a:extLst>
        </xdr:cNvPr>
        <xdr:cNvSpPr/>
      </xdr:nvSpPr>
      <xdr:spPr>
        <a:xfrm>
          <a:off x="98679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191" name="Rectángulo 8">
          <a:extLst>
            <a:ext uri="{FF2B5EF4-FFF2-40B4-BE49-F238E27FC236}">
              <a16:creationId xmlns:a16="http://schemas.microsoft.com/office/drawing/2014/main" id="{00000000-0008-0000-0100-0000BF00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192" name="Rectángulo 191">
          <a:extLst>
            <a:ext uri="{FF2B5EF4-FFF2-40B4-BE49-F238E27FC236}">
              <a16:creationId xmlns:a16="http://schemas.microsoft.com/office/drawing/2014/main" id="{00000000-0008-0000-0100-0000C000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193" name="rect">
          <a:extLst>
            <a:ext uri="{FF2B5EF4-FFF2-40B4-BE49-F238E27FC236}">
              <a16:creationId xmlns:a16="http://schemas.microsoft.com/office/drawing/2014/main" id="{00000000-0008-0000-0100-0000C100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194" name="rect">
          <a:extLst>
            <a:ext uri="{FF2B5EF4-FFF2-40B4-BE49-F238E27FC236}">
              <a16:creationId xmlns:a16="http://schemas.microsoft.com/office/drawing/2014/main" id="{00000000-0008-0000-0100-0000C200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952500</xdr:colOff>
      <xdr:row>0</xdr:row>
      <xdr:rowOff>0</xdr:rowOff>
    </xdr:from>
    <xdr:ext cx="180975" cy="647700"/>
    <xdr:sp macro="" textlink="">
      <xdr:nvSpPr>
        <xdr:cNvPr id="195" name="Rectángulo 194">
          <a:extLst>
            <a:ext uri="{FF2B5EF4-FFF2-40B4-BE49-F238E27FC236}">
              <a16:creationId xmlns:a16="http://schemas.microsoft.com/office/drawing/2014/main" id="{00000000-0008-0000-0100-0000C3000000}"/>
            </a:ext>
          </a:extLst>
        </xdr:cNvPr>
        <xdr:cNvSpPr/>
      </xdr:nvSpPr>
      <xdr:spPr>
        <a:xfrm>
          <a:off x="98679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2</xdr:col>
      <xdr:colOff>1066800</xdr:colOff>
      <xdr:row>0</xdr:row>
      <xdr:rowOff>0</xdr:rowOff>
    </xdr:from>
    <xdr:ext cx="0" cy="38100"/>
    <xdr:sp macro="" textlink="">
      <xdr:nvSpPr>
        <xdr:cNvPr id="196" name="CuadroTexto 195">
          <a:extLst>
            <a:ext uri="{FF2B5EF4-FFF2-40B4-BE49-F238E27FC236}">
              <a16:creationId xmlns:a16="http://schemas.microsoft.com/office/drawing/2014/main" id="{00000000-0008-0000-0100-0000C4000000}"/>
            </a:ext>
          </a:extLst>
        </xdr:cNvPr>
        <xdr:cNvSpPr txBox="1"/>
      </xdr:nvSpPr>
      <xdr:spPr>
        <a:xfrm flipH="1">
          <a:off x="3295650" y="0"/>
          <a:ext cx="0" cy="38100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lvl="0" algn="ctr"/>
          <a:r>
            <a:rPr lang="es-MX" sz="1200" b="1">
              <a:solidFill>
                <a:sysClr val="windowText" lastClr="000000"/>
              </a:solidFill>
            </a:rPr>
            <a:t>ISLA 9: CAMBIO DE MIX POSICIONES 4, 5, 6 Y 7</a:t>
          </a: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197" name="Rectángulo 8">
          <a:extLst>
            <a:ext uri="{FF2B5EF4-FFF2-40B4-BE49-F238E27FC236}">
              <a16:creationId xmlns:a16="http://schemas.microsoft.com/office/drawing/2014/main" id="{00000000-0008-0000-0100-0000C500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198" name="Rectángulo 8">
          <a:extLst>
            <a:ext uri="{FF2B5EF4-FFF2-40B4-BE49-F238E27FC236}">
              <a16:creationId xmlns:a16="http://schemas.microsoft.com/office/drawing/2014/main" id="{00000000-0008-0000-0100-0000C600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199" name="rect">
          <a:extLst>
            <a:ext uri="{FF2B5EF4-FFF2-40B4-BE49-F238E27FC236}">
              <a16:creationId xmlns:a16="http://schemas.microsoft.com/office/drawing/2014/main" id="{00000000-0008-0000-0100-0000C700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200" name="rect">
          <a:extLst>
            <a:ext uri="{FF2B5EF4-FFF2-40B4-BE49-F238E27FC236}">
              <a16:creationId xmlns:a16="http://schemas.microsoft.com/office/drawing/2014/main" id="{00000000-0008-0000-0100-0000C800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952500</xdr:colOff>
      <xdr:row>0</xdr:row>
      <xdr:rowOff>0</xdr:rowOff>
    </xdr:from>
    <xdr:ext cx="180975" cy="647700"/>
    <xdr:sp macro="" textlink="">
      <xdr:nvSpPr>
        <xdr:cNvPr id="201" name="Rectángulo 8">
          <a:extLst>
            <a:ext uri="{FF2B5EF4-FFF2-40B4-BE49-F238E27FC236}">
              <a16:creationId xmlns:a16="http://schemas.microsoft.com/office/drawing/2014/main" id="{00000000-0008-0000-0100-0000C9000000}"/>
            </a:ext>
          </a:extLst>
        </xdr:cNvPr>
        <xdr:cNvSpPr/>
      </xdr:nvSpPr>
      <xdr:spPr>
        <a:xfrm>
          <a:off x="98679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202" name="Rectángulo 8">
          <a:extLst>
            <a:ext uri="{FF2B5EF4-FFF2-40B4-BE49-F238E27FC236}">
              <a16:creationId xmlns:a16="http://schemas.microsoft.com/office/drawing/2014/main" id="{00000000-0008-0000-0100-0000CA00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203" name="Rectángulo 8">
          <a:extLst>
            <a:ext uri="{FF2B5EF4-FFF2-40B4-BE49-F238E27FC236}">
              <a16:creationId xmlns:a16="http://schemas.microsoft.com/office/drawing/2014/main" id="{00000000-0008-0000-0100-0000CB00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204" name="rect">
          <a:extLst>
            <a:ext uri="{FF2B5EF4-FFF2-40B4-BE49-F238E27FC236}">
              <a16:creationId xmlns:a16="http://schemas.microsoft.com/office/drawing/2014/main" id="{00000000-0008-0000-0100-0000CC00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205" name="rect">
          <a:extLst>
            <a:ext uri="{FF2B5EF4-FFF2-40B4-BE49-F238E27FC236}">
              <a16:creationId xmlns:a16="http://schemas.microsoft.com/office/drawing/2014/main" id="{00000000-0008-0000-0100-0000CD00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952500</xdr:colOff>
      <xdr:row>0</xdr:row>
      <xdr:rowOff>0</xdr:rowOff>
    </xdr:from>
    <xdr:ext cx="180975" cy="647700"/>
    <xdr:sp macro="" textlink="">
      <xdr:nvSpPr>
        <xdr:cNvPr id="206" name="Rectángulo 205">
          <a:extLst>
            <a:ext uri="{FF2B5EF4-FFF2-40B4-BE49-F238E27FC236}">
              <a16:creationId xmlns:a16="http://schemas.microsoft.com/office/drawing/2014/main" id="{00000000-0008-0000-0100-0000CE000000}"/>
            </a:ext>
          </a:extLst>
        </xdr:cNvPr>
        <xdr:cNvSpPr/>
      </xdr:nvSpPr>
      <xdr:spPr>
        <a:xfrm>
          <a:off x="98679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207" name="Rectángulo 8">
          <a:extLst>
            <a:ext uri="{FF2B5EF4-FFF2-40B4-BE49-F238E27FC236}">
              <a16:creationId xmlns:a16="http://schemas.microsoft.com/office/drawing/2014/main" id="{00000000-0008-0000-0100-0000CF00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208" name="Rectángulo 8">
          <a:extLst>
            <a:ext uri="{FF2B5EF4-FFF2-40B4-BE49-F238E27FC236}">
              <a16:creationId xmlns:a16="http://schemas.microsoft.com/office/drawing/2014/main" id="{00000000-0008-0000-0100-0000D000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209" name="rect">
          <a:extLst>
            <a:ext uri="{FF2B5EF4-FFF2-40B4-BE49-F238E27FC236}">
              <a16:creationId xmlns:a16="http://schemas.microsoft.com/office/drawing/2014/main" id="{00000000-0008-0000-0100-0000D100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210" name="rect">
          <a:extLst>
            <a:ext uri="{FF2B5EF4-FFF2-40B4-BE49-F238E27FC236}">
              <a16:creationId xmlns:a16="http://schemas.microsoft.com/office/drawing/2014/main" id="{00000000-0008-0000-0100-0000D200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952500</xdr:colOff>
      <xdr:row>0</xdr:row>
      <xdr:rowOff>0</xdr:rowOff>
    </xdr:from>
    <xdr:ext cx="180975" cy="647700"/>
    <xdr:sp macro="" textlink="">
      <xdr:nvSpPr>
        <xdr:cNvPr id="211" name="Rectángulo 8">
          <a:extLst>
            <a:ext uri="{FF2B5EF4-FFF2-40B4-BE49-F238E27FC236}">
              <a16:creationId xmlns:a16="http://schemas.microsoft.com/office/drawing/2014/main" id="{00000000-0008-0000-0100-0000D3000000}"/>
            </a:ext>
          </a:extLst>
        </xdr:cNvPr>
        <xdr:cNvSpPr/>
      </xdr:nvSpPr>
      <xdr:spPr>
        <a:xfrm>
          <a:off x="98679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807383</xdr:colOff>
      <xdr:row>0</xdr:row>
      <xdr:rowOff>0</xdr:rowOff>
    </xdr:from>
    <xdr:ext cx="184731" cy="655885"/>
    <xdr:sp macro="" textlink="">
      <xdr:nvSpPr>
        <xdr:cNvPr id="212" name="Rectángulo 8">
          <a:extLst>
            <a:ext uri="{FF2B5EF4-FFF2-40B4-BE49-F238E27FC236}">
              <a16:creationId xmlns:a16="http://schemas.microsoft.com/office/drawing/2014/main" id="{00000000-0008-0000-0100-0000D4000000}"/>
            </a:ext>
          </a:extLst>
        </xdr:cNvPr>
        <xdr:cNvSpPr/>
      </xdr:nvSpPr>
      <xdr:spPr>
        <a:xfrm>
          <a:off x="97227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0</xdr:row>
      <xdr:rowOff>0</xdr:rowOff>
    </xdr:from>
    <xdr:ext cx="184731" cy="655885"/>
    <xdr:sp macro="" textlink="">
      <xdr:nvSpPr>
        <xdr:cNvPr id="213" name="Rectángulo 8">
          <a:extLst>
            <a:ext uri="{FF2B5EF4-FFF2-40B4-BE49-F238E27FC236}">
              <a16:creationId xmlns:a16="http://schemas.microsoft.com/office/drawing/2014/main" id="{00000000-0008-0000-0100-0000D5000000}"/>
            </a:ext>
          </a:extLst>
        </xdr:cNvPr>
        <xdr:cNvSpPr/>
      </xdr:nvSpPr>
      <xdr:spPr>
        <a:xfrm>
          <a:off x="97227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959783</xdr:colOff>
      <xdr:row>0</xdr:row>
      <xdr:rowOff>0</xdr:rowOff>
    </xdr:from>
    <xdr:ext cx="184731" cy="655885"/>
    <xdr:sp macro="" textlink="">
      <xdr:nvSpPr>
        <xdr:cNvPr id="214" name="Rectángulo 213">
          <a:extLst>
            <a:ext uri="{FF2B5EF4-FFF2-40B4-BE49-F238E27FC236}">
              <a16:creationId xmlns:a16="http://schemas.microsoft.com/office/drawing/2014/main" id="{00000000-0008-0000-0100-0000D6000000}"/>
            </a:ext>
          </a:extLst>
        </xdr:cNvPr>
        <xdr:cNvSpPr/>
      </xdr:nvSpPr>
      <xdr:spPr>
        <a:xfrm>
          <a:off x="98751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0</xdr:row>
      <xdr:rowOff>0</xdr:rowOff>
    </xdr:from>
    <xdr:ext cx="184731" cy="655885"/>
    <xdr:sp macro="" textlink="">
      <xdr:nvSpPr>
        <xdr:cNvPr id="215" name="Rectángulo 214">
          <a:extLst>
            <a:ext uri="{FF2B5EF4-FFF2-40B4-BE49-F238E27FC236}">
              <a16:creationId xmlns:a16="http://schemas.microsoft.com/office/drawing/2014/main" id="{00000000-0008-0000-0100-0000D7000000}"/>
            </a:ext>
          </a:extLst>
        </xdr:cNvPr>
        <xdr:cNvSpPr/>
      </xdr:nvSpPr>
      <xdr:spPr>
        <a:xfrm>
          <a:off x="97227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0</xdr:row>
      <xdr:rowOff>0</xdr:rowOff>
    </xdr:from>
    <xdr:ext cx="184731" cy="655885"/>
    <xdr:sp macro="" textlink="">
      <xdr:nvSpPr>
        <xdr:cNvPr id="216" name="Rectángulo 8">
          <a:extLst>
            <a:ext uri="{FF2B5EF4-FFF2-40B4-BE49-F238E27FC236}">
              <a16:creationId xmlns:a16="http://schemas.microsoft.com/office/drawing/2014/main" id="{00000000-0008-0000-0100-0000D8000000}"/>
            </a:ext>
          </a:extLst>
        </xdr:cNvPr>
        <xdr:cNvSpPr/>
      </xdr:nvSpPr>
      <xdr:spPr>
        <a:xfrm>
          <a:off x="97227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959783</xdr:colOff>
      <xdr:row>0</xdr:row>
      <xdr:rowOff>0</xdr:rowOff>
    </xdr:from>
    <xdr:ext cx="184731" cy="655885"/>
    <xdr:sp macro="" textlink="">
      <xdr:nvSpPr>
        <xdr:cNvPr id="217" name="Rectángulo 216">
          <a:extLst>
            <a:ext uri="{FF2B5EF4-FFF2-40B4-BE49-F238E27FC236}">
              <a16:creationId xmlns:a16="http://schemas.microsoft.com/office/drawing/2014/main" id="{00000000-0008-0000-0100-0000D9000000}"/>
            </a:ext>
          </a:extLst>
        </xdr:cNvPr>
        <xdr:cNvSpPr/>
      </xdr:nvSpPr>
      <xdr:spPr>
        <a:xfrm>
          <a:off x="98751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0</xdr:row>
      <xdr:rowOff>0</xdr:rowOff>
    </xdr:from>
    <xdr:ext cx="184731" cy="655885"/>
    <xdr:sp macro="" textlink="">
      <xdr:nvSpPr>
        <xdr:cNvPr id="218" name="Rectángulo 8">
          <a:extLst>
            <a:ext uri="{FF2B5EF4-FFF2-40B4-BE49-F238E27FC236}">
              <a16:creationId xmlns:a16="http://schemas.microsoft.com/office/drawing/2014/main" id="{00000000-0008-0000-0100-0000DA000000}"/>
            </a:ext>
          </a:extLst>
        </xdr:cNvPr>
        <xdr:cNvSpPr/>
      </xdr:nvSpPr>
      <xdr:spPr>
        <a:xfrm>
          <a:off x="97227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0</xdr:row>
      <xdr:rowOff>0</xdr:rowOff>
    </xdr:from>
    <xdr:ext cx="184731" cy="655885"/>
    <xdr:sp macro="" textlink="">
      <xdr:nvSpPr>
        <xdr:cNvPr id="219" name="Rectángulo 8">
          <a:extLst>
            <a:ext uri="{FF2B5EF4-FFF2-40B4-BE49-F238E27FC236}">
              <a16:creationId xmlns:a16="http://schemas.microsoft.com/office/drawing/2014/main" id="{00000000-0008-0000-0100-0000DB000000}"/>
            </a:ext>
          </a:extLst>
        </xdr:cNvPr>
        <xdr:cNvSpPr/>
      </xdr:nvSpPr>
      <xdr:spPr>
        <a:xfrm>
          <a:off x="97227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959783</xdr:colOff>
      <xdr:row>0</xdr:row>
      <xdr:rowOff>0</xdr:rowOff>
    </xdr:from>
    <xdr:ext cx="184731" cy="655885"/>
    <xdr:sp macro="" textlink="">
      <xdr:nvSpPr>
        <xdr:cNvPr id="220" name="Rectángulo 219">
          <a:extLst>
            <a:ext uri="{FF2B5EF4-FFF2-40B4-BE49-F238E27FC236}">
              <a16:creationId xmlns:a16="http://schemas.microsoft.com/office/drawing/2014/main" id="{00000000-0008-0000-0100-0000DC000000}"/>
            </a:ext>
          </a:extLst>
        </xdr:cNvPr>
        <xdr:cNvSpPr/>
      </xdr:nvSpPr>
      <xdr:spPr>
        <a:xfrm>
          <a:off x="98751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0</xdr:row>
      <xdr:rowOff>0</xdr:rowOff>
    </xdr:from>
    <xdr:ext cx="184731" cy="655885"/>
    <xdr:sp macro="" textlink="">
      <xdr:nvSpPr>
        <xdr:cNvPr id="221" name="Rectángulo 220">
          <a:extLst>
            <a:ext uri="{FF2B5EF4-FFF2-40B4-BE49-F238E27FC236}">
              <a16:creationId xmlns:a16="http://schemas.microsoft.com/office/drawing/2014/main" id="{00000000-0008-0000-0100-0000DD000000}"/>
            </a:ext>
          </a:extLst>
        </xdr:cNvPr>
        <xdr:cNvSpPr/>
      </xdr:nvSpPr>
      <xdr:spPr>
        <a:xfrm>
          <a:off x="97227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0</xdr:row>
      <xdr:rowOff>0</xdr:rowOff>
    </xdr:from>
    <xdr:ext cx="184731" cy="655885"/>
    <xdr:sp macro="" textlink="">
      <xdr:nvSpPr>
        <xdr:cNvPr id="222" name="Rectángulo 8">
          <a:extLst>
            <a:ext uri="{FF2B5EF4-FFF2-40B4-BE49-F238E27FC236}">
              <a16:creationId xmlns:a16="http://schemas.microsoft.com/office/drawing/2014/main" id="{00000000-0008-0000-0100-0000DE000000}"/>
            </a:ext>
          </a:extLst>
        </xdr:cNvPr>
        <xdr:cNvSpPr/>
      </xdr:nvSpPr>
      <xdr:spPr>
        <a:xfrm>
          <a:off x="97227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959783</xdr:colOff>
      <xdr:row>0</xdr:row>
      <xdr:rowOff>0</xdr:rowOff>
    </xdr:from>
    <xdr:ext cx="184731" cy="655885"/>
    <xdr:sp macro="" textlink="">
      <xdr:nvSpPr>
        <xdr:cNvPr id="223" name="Rectángulo 222">
          <a:extLst>
            <a:ext uri="{FF2B5EF4-FFF2-40B4-BE49-F238E27FC236}">
              <a16:creationId xmlns:a16="http://schemas.microsoft.com/office/drawing/2014/main" id="{00000000-0008-0000-0100-0000DF000000}"/>
            </a:ext>
          </a:extLst>
        </xdr:cNvPr>
        <xdr:cNvSpPr/>
      </xdr:nvSpPr>
      <xdr:spPr>
        <a:xfrm>
          <a:off x="98751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0</xdr:col>
      <xdr:colOff>959783</xdr:colOff>
      <xdr:row>0</xdr:row>
      <xdr:rowOff>0</xdr:rowOff>
    </xdr:from>
    <xdr:ext cx="184731" cy="655885"/>
    <xdr:sp macro="" textlink="">
      <xdr:nvSpPr>
        <xdr:cNvPr id="224" name="Rectángulo 223">
          <a:extLst>
            <a:ext uri="{FF2B5EF4-FFF2-40B4-BE49-F238E27FC236}">
              <a16:creationId xmlns:a16="http://schemas.microsoft.com/office/drawing/2014/main" id="{00000000-0008-0000-0100-0000E0000000}"/>
            </a:ext>
          </a:extLst>
        </xdr:cNvPr>
        <xdr:cNvSpPr/>
      </xdr:nvSpPr>
      <xdr:spPr>
        <a:xfrm>
          <a:off x="9597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0</xdr:col>
      <xdr:colOff>959783</xdr:colOff>
      <xdr:row>0</xdr:row>
      <xdr:rowOff>0</xdr:rowOff>
    </xdr:from>
    <xdr:ext cx="184731" cy="655885"/>
    <xdr:sp macro="" textlink="">
      <xdr:nvSpPr>
        <xdr:cNvPr id="225" name="Rectángulo 224">
          <a:extLst>
            <a:ext uri="{FF2B5EF4-FFF2-40B4-BE49-F238E27FC236}">
              <a16:creationId xmlns:a16="http://schemas.microsoft.com/office/drawing/2014/main" id="{00000000-0008-0000-0100-0000E1000000}"/>
            </a:ext>
          </a:extLst>
        </xdr:cNvPr>
        <xdr:cNvSpPr/>
      </xdr:nvSpPr>
      <xdr:spPr>
        <a:xfrm>
          <a:off x="9597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2</xdr:col>
      <xdr:colOff>1066800</xdr:colOff>
      <xdr:row>0</xdr:row>
      <xdr:rowOff>0</xdr:rowOff>
    </xdr:from>
    <xdr:ext cx="0" cy="38100"/>
    <xdr:sp macro="" textlink="">
      <xdr:nvSpPr>
        <xdr:cNvPr id="226" name="CuadroTexto 225">
          <a:extLst>
            <a:ext uri="{FF2B5EF4-FFF2-40B4-BE49-F238E27FC236}">
              <a16:creationId xmlns:a16="http://schemas.microsoft.com/office/drawing/2014/main" id="{00000000-0008-0000-0100-0000E2000000}"/>
            </a:ext>
          </a:extLst>
        </xdr:cNvPr>
        <xdr:cNvSpPr txBox="1"/>
      </xdr:nvSpPr>
      <xdr:spPr>
        <a:xfrm flipH="1">
          <a:off x="3295650" y="0"/>
          <a:ext cx="0" cy="38100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lvl="0" algn="ctr"/>
          <a:r>
            <a:rPr lang="es-MX" sz="1200" b="1">
              <a:solidFill>
                <a:sysClr val="windowText" lastClr="000000"/>
              </a:solidFill>
            </a:rPr>
            <a:t>ISLA 9: CAMBIO DE MIX POSICIONES 4, 5, 6 Y 7</a:t>
          </a: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227" name="Rectángulo 8">
          <a:extLst>
            <a:ext uri="{FF2B5EF4-FFF2-40B4-BE49-F238E27FC236}">
              <a16:creationId xmlns:a16="http://schemas.microsoft.com/office/drawing/2014/main" id="{00000000-0008-0000-0100-0000E300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228" name="Rectángulo 8">
          <a:extLst>
            <a:ext uri="{FF2B5EF4-FFF2-40B4-BE49-F238E27FC236}">
              <a16:creationId xmlns:a16="http://schemas.microsoft.com/office/drawing/2014/main" id="{00000000-0008-0000-0100-0000E400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229" name="rect">
          <a:extLst>
            <a:ext uri="{FF2B5EF4-FFF2-40B4-BE49-F238E27FC236}">
              <a16:creationId xmlns:a16="http://schemas.microsoft.com/office/drawing/2014/main" id="{00000000-0008-0000-0100-0000E500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230" name="rect">
          <a:extLst>
            <a:ext uri="{FF2B5EF4-FFF2-40B4-BE49-F238E27FC236}">
              <a16:creationId xmlns:a16="http://schemas.microsoft.com/office/drawing/2014/main" id="{00000000-0008-0000-0100-0000E600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952500</xdr:colOff>
      <xdr:row>0</xdr:row>
      <xdr:rowOff>0</xdr:rowOff>
    </xdr:from>
    <xdr:ext cx="180975" cy="647700"/>
    <xdr:sp macro="" textlink="">
      <xdr:nvSpPr>
        <xdr:cNvPr id="231" name="Rectángulo 230">
          <a:extLst>
            <a:ext uri="{FF2B5EF4-FFF2-40B4-BE49-F238E27FC236}">
              <a16:creationId xmlns:a16="http://schemas.microsoft.com/office/drawing/2014/main" id="{00000000-0008-0000-0100-0000E7000000}"/>
            </a:ext>
          </a:extLst>
        </xdr:cNvPr>
        <xdr:cNvSpPr/>
      </xdr:nvSpPr>
      <xdr:spPr>
        <a:xfrm>
          <a:off x="98679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232" name="Rectángulo 8">
          <a:extLst>
            <a:ext uri="{FF2B5EF4-FFF2-40B4-BE49-F238E27FC236}">
              <a16:creationId xmlns:a16="http://schemas.microsoft.com/office/drawing/2014/main" id="{00000000-0008-0000-0100-0000E800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233" name="Rectángulo 8">
          <a:extLst>
            <a:ext uri="{FF2B5EF4-FFF2-40B4-BE49-F238E27FC236}">
              <a16:creationId xmlns:a16="http://schemas.microsoft.com/office/drawing/2014/main" id="{00000000-0008-0000-0100-0000E900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234" name="rect">
          <a:extLst>
            <a:ext uri="{FF2B5EF4-FFF2-40B4-BE49-F238E27FC236}">
              <a16:creationId xmlns:a16="http://schemas.microsoft.com/office/drawing/2014/main" id="{00000000-0008-0000-0100-0000EA00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235" name="rect">
          <a:extLst>
            <a:ext uri="{FF2B5EF4-FFF2-40B4-BE49-F238E27FC236}">
              <a16:creationId xmlns:a16="http://schemas.microsoft.com/office/drawing/2014/main" id="{00000000-0008-0000-0100-0000EB00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952500</xdr:colOff>
      <xdr:row>0</xdr:row>
      <xdr:rowOff>0</xdr:rowOff>
    </xdr:from>
    <xdr:ext cx="180975" cy="647700"/>
    <xdr:sp macro="" textlink="">
      <xdr:nvSpPr>
        <xdr:cNvPr id="236" name="Rectángulo 8">
          <a:extLst>
            <a:ext uri="{FF2B5EF4-FFF2-40B4-BE49-F238E27FC236}">
              <a16:creationId xmlns:a16="http://schemas.microsoft.com/office/drawing/2014/main" id="{00000000-0008-0000-0100-0000EC000000}"/>
            </a:ext>
          </a:extLst>
        </xdr:cNvPr>
        <xdr:cNvSpPr/>
      </xdr:nvSpPr>
      <xdr:spPr>
        <a:xfrm>
          <a:off x="98679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237" name="Rectángulo 8">
          <a:extLst>
            <a:ext uri="{FF2B5EF4-FFF2-40B4-BE49-F238E27FC236}">
              <a16:creationId xmlns:a16="http://schemas.microsoft.com/office/drawing/2014/main" id="{00000000-0008-0000-0100-0000ED00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238" name="Rectángulo 8">
          <a:extLst>
            <a:ext uri="{FF2B5EF4-FFF2-40B4-BE49-F238E27FC236}">
              <a16:creationId xmlns:a16="http://schemas.microsoft.com/office/drawing/2014/main" id="{00000000-0008-0000-0100-0000EE00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239" name="rect">
          <a:extLst>
            <a:ext uri="{FF2B5EF4-FFF2-40B4-BE49-F238E27FC236}">
              <a16:creationId xmlns:a16="http://schemas.microsoft.com/office/drawing/2014/main" id="{00000000-0008-0000-0100-0000EF00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240" name="rect">
          <a:extLst>
            <a:ext uri="{FF2B5EF4-FFF2-40B4-BE49-F238E27FC236}">
              <a16:creationId xmlns:a16="http://schemas.microsoft.com/office/drawing/2014/main" id="{00000000-0008-0000-0100-0000F000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952500</xdr:colOff>
      <xdr:row>0</xdr:row>
      <xdr:rowOff>0</xdr:rowOff>
    </xdr:from>
    <xdr:ext cx="180975" cy="647700"/>
    <xdr:sp macro="" textlink="">
      <xdr:nvSpPr>
        <xdr:cNvPr id="241" name="Rectángulo 240">
          <a:extLst>
            <a:ext uri="{FF2B5EF4-FFF2-40B4-BE49-F238E27FC236}">
              <a16:creationId xmlns:a16="http://schemas.microsoft.com/office/drawing/2014/main" id="{00000000-0008-0000-0100-0000F1000000}"/>
            </a:ext>
          </a:extLst>
        </xdr:cNvPr>
        <xdr:cNvSpPr/>
      </xdr:nvSpPr>
      <xdr:spPr>
        <a:xfrm>
          <a:off x="98679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242" name="Rectángulo 8">
          <a:extLst>
            <a:ext uri="{FF2B5EF4-FFF2-40B4-BE49-F238E27FC236}">
              <a16:creationId xmlns:a16="http://schemas.microsoft.com/office/drawing/2014/main" id="{00000000-0008-0000-0100-0000F200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243" name="Rectángulo 8">
          <a:extLst>
            <a:ext uri="{FF2B5EF4-FFF2-40B4-BE49-F238E27FC236}">
              <a16:creationId xmlns:a16="http://schemas.microsoft.com/office/drawing/2014/main" id="{00000000-0008-0000-0100-0000F300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244" name="rect">
          <a:extLst>
            <a:ext uri="{FF2B5EF4-FFF2-40B4-BE49-F238E27FC236}">
              <a16:creationId xmlns:a16="http://schemas.microsoft.com/office/drawing/2014/main" id="{00000000-0008-0000-0100-0000F400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245" name="rect">
          <a:extLst>
            <a:ext uri="{FF2B5EF4-FFF2-40B4-BE49-F238E27FC236}">
              <a16:creationId xmlns:a16="http://schemas.microsoft.com/office/drawing/2014/main" id="{00000000-0008-0000-0100-0000F500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952500</xdr:colOff>
      <xdr:row>0</xdr:row>
      <xdr:rowOff>0</xdr:rowOff>
    </xdr:from>
    <xdr:ext cx="180975" cy="647700"/>
    <xdr:sp macro="" textlink="">
      <xdr:nvSpPr>
        <xdr:cNvPr id="246" name="Rectángulo 8">
          <a:extLst>
            <a:ext uri="{FF2B5EF4-FFF2-40B4-BE49-F238E27FC236}">
              <a16:creationId xmlns:a16="http://schemas.microsoft.com/office/drawing/2014/main" id="{00000000-0008-0000-0100-0000F6000000}"/>
            </a:ext>
          </a:extLst>
        </xdr:cNvPr>
        <xdr:cNvSpPr/>
      </xdr:nvSpPr>
      <xdr:spPr>
        <a:xfrm>
          <a:off x="98679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247" name="Rectángulo 8">
          <a:extLst>
            <a:ext uri="{FF2B5EF4-FFF2-40B4-BE49-F238E27FC236}">
              <a16:creationId xmlns:a16="http://schemas.microsoft.com/office/drawing/2014/main" id="{00000000-0008-0000-0100-0000F700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248" name="Rectángulo 247">
          <a:extLst>
            <a:ext uri="{FF2B5EF4-FFF2-40B4-BE49-F238E27FC236}">
              <a16:creationId xmlns:a16="http://schemas.microsoft.com/office/drawing/2014/main" id="{00000000-0008-0000-0100-0000F800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249" name="rect">
          <a:extLst>
            <a:ext uri="{FF2B5EF4-FFF2-40B4-BE49-F238E27FC236}">
              <a16:creationId xmlns:a16="http://schemas.microsoft.com/office/drawing/2014/main" id="{00000000-0008-0000-0100-0000F900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250" name="rect">
          <a:extLst>
            <a:ext uri="{FF2B5EF4-FFF2-40B4-BE49-F238E27FC236}">
              <a16:creationId xmlns:a16="http://schemas.microsoft.com/office/drawing/2014/main" id="{00000000-0008-0000-0100-0000FA00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952500</xdr:colOff>
      <xdr:row>0</xdr:row>
      <xdr:rowOff>0</xdr:rowOff>
    </xdr:from>
    <xdr:ext cx="180975" cy="647700"/>
    <xdr:sp macro="" textlink="">
      <xdr:nvSpPr>
        <xdr:cNvPr id="251" name="Rectángulo 250">
          <a:extLst>
            <a:ext uri="{FF2B5EF4-FFF2-40B4-BE49-F238E27FC236}">
              <a16:creationId xmlns:a16="http://schemas.microsoft.com/office/drawing/2014/main" id="{00000000-0008-0000-0100-0000FB000000}"/>
            </a:ext>
          </a:extLst>
        </xdr:cNvPr>
        <xdr:cNvSpPr/>
      </xdr:nvSpPr>
      <xdr:spPr>
        <a:xfrm>
          <a:off x="98679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2</xdr:col>
      <xdr:colOff>1066800</xdr:colOff>
      <xdr:row>0</xdr:row>
      <xdr:rowOff>0</xdr:rowOff>
    </xdr:from>
    <xdr:ext cx="0" cy="38100"/>
    <xdr:sp macro="" textlink="">
      <xdr:nvSpPr>
        <xdr:cNvPr id="252" name="CuadroTexto 251">
          <a:extLst>
            <a:ext uri="{FF2B5EF4-FFF2-40B4-BE49-F238E27FC236}">
              <a16:creationId xmlns:a16="http://schemas.microsoft.com/office/drawing/2014/main" id="{00000000-0008-0000-0100-0000FC000000}"/>
            </a:ext>
          </a:extLst>
        </xdr:cNvPr>
        <xdr:cNvSpPr txBox="1"/>
      </xdr:nvSpPr>
      <xdr:spPr>
        <a:xfrm flipH="1">
          <a:off x="3295650" y="0"/>
          <a:ext cx="0" cy="38100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lvl="0" algn="ctr"/>
          <a:r>
            <a:rPr lang="es-MX" sz="1200" b="1">
              <a:solidFill>
                <a:sysClr val="windowText" lastClr="000000"/>
              </a:solidFill>
            </a:rPr>
            <a:t>ISLA 9: CAMBIO DE MIX POSICIONES 4, 5, 6 Y 7</a:t>
          </a: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253" name="Rectángulo 8">
          <a:extLst>
            <a:ext uri="{FF2B5EF4-FFF2-40B4-BE49-F238E27FC236}">
              <a16:creationId xmlns:a16="http://schemas.microsoft.com/office/drawing/2014/main" id="{00000000-0008-0000-0100-0000FD00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254" name="Rectángulo 8">
          <a:extLst>
            <a:ext uri="{FF2B5EF4-FFF2-40B4-BE49-F238E27FC236}">
              <a16:creationId xmlns:a16="http://schemas.microsoft.com/office/drawing/2014/main" id="{00000000-0008-0000-0100-0000FE00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255" name="rect">
          <a:extLst>
            <a:ext uri="{FF2B5EF4-FFF2-40B4-BE49-F238E27FC236}">
              <a16:creationId xmlns:a16="http://schemas.microsoft.com/office/drawing/2014/main" id="{00000000-0008-0000-0100-0000FF00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256" name="rect">
          <a:extLst>
            <a:ext uri="{FF2B5EF4-FFF2-40B4-BE49-F238E27FC236}">
              <a16:creationId xmlns:a16="http://schemas.microsoft.com/office/drawing/2014/main" id="{00000000-0008-0000-0100-00000001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952500</xdr:colOff>
      <xdr:row>0</xdr:row>
      <xdr:rowOff>0</xdr:rowOff>
    </xdr:from>
    <xdr:ext cx="180975" cy="647700"/>
    <xdr:sp macro="" textlink="">
      <xdr:nvSpPr>
        <xdr:cNvPr id="257" name="Rectángulo 8">
          <a:extLst>
            <a:ext uri="{FF2B5EF4-FFF2-40B4-BE49-F238E27FC236}">
              <a16:creationId xmlns:a16="http://schemas.microsoft.com/office/drawing/2014/main" id="{00000000-0008-0000-0100-000001010000}"/>
            </a:ext>
          </a:extLst>
        </xdr:cNvPr>
        <xdr:cNvSpPr/>
      </xdr:nvSpPr>
      <xdr:spPr>
        <a:xfrm>
          <a:off x="98679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258" name="Rectángulo 8">
          <a:extLst>
            <a:ext uri="{FF2B5EF4-FFF2-40B4-BE49-F238E27FC236}">
              <a16:creationId xmlns:a16="http://schemas.microsoft.com/office/drawing/2014/main" id="{00000000-0008-0000-0100-00000201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259" name="Rectángulo 8">
          <a:extLst>
            <a:ext uri="{FF2B5EF4-FFF2-40B4-BE49-F238E27FC236}">
              <a16:creationId xmlns:a16="http://schemas.microsoft.com/office/drawing/2014/main" id="{00000000-0008-0000-0100-00000301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260" name="rect">
          <a:extLst>
            <a:ext uri="{FF2B5EF4-FFF2-40B4-BE49-F238E27FC236}">
              <a16:creationId xmlns:a16="http://schemas.microsoft.com/office/drawing/2014/main" id="{00000000-0008-0000-0100-00000401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261" name="rect">
          <a:extLst>
            <a:ext uri="{FF2B5EF4-FFF2-40B4-BE49-F238E27FC236}">
              <a16:creationId xmlns:a16="http://schemas.microsoft.com/office/drawing/2014/main" id="{00000000-0008-0000-0100-00000501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952500</xdr:colOff>
      <xdr:row>0</xdr:row>
      <xdr:rowOff>0</xdr:rowOff>
    </xdr:from>
    <xdr:ext cx="180975" cy="647700"/>
    <xdr:sp macro="" textlink="">
      <xdr:nvSpPr>
        <xdr:cNvPr id="262" name="Rectángulo 261">
          <a:extLst>
            <a:ext uri="{FF2B5EF4-FFF2-40B4-BE49-F238E27FC236}">
              <a16:creationId xmlns:a16="http://schemas.microsoft.com/office/drawing/2014/main" id="{00000000-0008-0000-0100-000006010000}"/>
            </a:ext>
          </a:extLst>
        </xdr:cNvPr>
        <xdr:cNvSpPr/>
      </xdr:nvSpPr>
      <xdr:spPr>
        <a:xfrm>
          <a:off x="98679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263" name="Rectángulo 8">
          <a:extLst>
            <a:ext uri="{FF2B5EF4-FFF2-40B4-BE49-F238E27FC236}">
              <a16:creationId xmlns:a16="http://schemas.microsoft.com/office/drawing/2014/main" id="{00000000-0008-0000-0100-00000701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264" name="Rectángulo 8">
          <a:extLst>
            <a:ext uri="{FF2B5EF4-FFF2-40B4-BE49-F238E27FC236}">
              <a16:creationId xmlns:a16="http://schemas.microsoft.com/office/drawing/2014/main" id="{00000000-0008-0000-0100-00000801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265" name="rect">
          <a:extLst>
            <a:ext uri="{FF2B5EF4-FFF2-40B4-BE49-F238E27FC236}">
              <a16:creationId xmlns:a16="http://schemas.microsoft.com/office/drawing/2014/main" id="{00000000-0008-0000-0100-00000901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266" name="rect">
          <a:extLst>
            <a:ext uri="{FF2B5EF4-FFF2-40B4-BE49-F238E27FC236}">
              <a16:creationId xmlns:a16="http://schemas.microsoft.com/office/drawing/2014/main" id="{00000000-0008-0000-0100-00000A01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952500</xdr:colOff>
      <xdr:row>0</xdr:row>
      <xdr:rowOff>0</xdr:rowOff>
    </xdr:from>
    <xdr:ext cx="180975" cy="647700"/>
    <xdr:sp macro="" textlink="">
      <xdr:nvSpPr>
        <xdr:cNvPr id="267" name="Rectángulo 8">
          <a:extLst>
            <a:ext uri="{FF2B5EF4-FFF2-40B4-BE49-F238E27FC236}">
              <a16:creationId xmlns:a16="http://schemas.microsoft.com/office/drawing/2014/main" id="{00000000-0008-0000-0100-00000B010000}"/>
            </a:ext>
          </a:extLst>
        </xdr:cNvPr>
        <xdr:cNvSpPr/>
      </xdr:nvSpPr>
      <xdr:spPr>
        <a:xfrm>
          <a:off x="98679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807383</xdr:colOff>
      <xdr:row>0</xdr:row>
      <xdr:rowOff>0</xdr:rowOff>
    </xdr:from>
    <xdr:ext cx="184731" cy="655885"/>
    <xdr:sp macro="" textlink="">
      <xdr:nvSpPr>
        <xdr:cNvPr id="268" name="Rectángulo 8">
          <a:extLst>
            <a:ext uri="{FF2B5EF4-FFF2-40B4-BE49-F238E27FC236}">
              <a16:creationId xmlns:a16="http://schemas.microsoft.com/office/drawing/2014/main" id="{00000000-0008-0000-0100-00000C010000}"/>
            </a:ext>
          </a:extLst>
        </xdr:cNvPr>
        <xdr:cNvSpPr/>
      </xdr:nvSpPr>
      <xdr:spPr>
        <a:xfrm>
          <a:off x="97227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0</xdr:row>
      <xdr:rowOff>0</xdr:rowOff>
    </xdr:from>
    <xdr:ext cx="184731" cy="655885"/>
    <xdr:sp macro="" textlink="">
      <xdr:nvSpPr>
        <xdr:cNvPr id="269" name="Rectángulo 8">
          <a:extLst>
            <a:ext uri="{FF2B5EF4-FFF2-40B4-BE49-F238E27FC236}">
              <a16:creationId xmlns:a16="http://schemas.microsoft.com/office/drawing/2014/main" id="{00000000-0008-0000-0100-00000D010000}"/>
            </a:ext>
          </a:extLst>
        </xdr:cNvPr>
        <xdr:cNvSpPr/>
      </xdr:nvSpPr>
      <xdr:spPr>
        <a:xfrm>
          <a:off x="97227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959783</xdr:colOff>
      <xdr:row>0</xdr:row>
      <xdr:rowOff>0</xdr:rowOff>
    </xdr:from>
    <xdr:ext cx="184731" cy="655885"/>
    <xdr:sp macro="" textlink="">
      <xdr:nvSpPr>
        <xdr:cNvPr id="270" name="Rectángulo 269">
          <a:extLst>
            <a:ext uri="{FF2B5EF4-FFF2-40B4-BE49-F238E27FC236}">
              <a16:creationId xmlns:a16="http://schemas.microsoft.com/office/drawing/2014/main" id="{00000000-0008-0000-0100-00000E010000}"/>
            </a:ext>
          </a:extLst>
        </xdr:cNvPr>
        <xdr:cNvSpPr/>
      </xdr:nvSpPr>
      <xdr:spPr>
        <a:xfrm>
          <a:off x="98751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0</xdr:row>
      <xdr:rowOff>0</xdr:rowOff>
    </xdr:from>
    <xdr:ext cx="184731" cy="655885"/>
    <xdr:sp macro="" textlink="">
      <xdr:nvSpPr>
        <xdr:cNvPr id="271" name="Rectángulo 270">
          <a:extLst>
            <a:ext uri="{FF2B5EF4-FFF2-40B4-BE49-F238E27FC236}">
              <a16:creationId xmlns:a16="http://schemas.microsoft.com/office/drawing/2014/main" id="{00000000-0008-0000-0100-00000F010000}"/>
            </a:ext>
          </a:extLst>
        </xdr:cNvPr>
        <xdr:cNvSpPr/>
      </xdr:nvSpPr>
      <xdr:spPr>
        <a:xfrm>
          <a:off x="97227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0</xdr:row>
      <xdr:rowOff>0</xdr:rowOff>
    </xdr:from>
    <xdr:ext cx="184731" cy="655885"/>
    <xdr:sp macro="" textlink="">
      <xdr:nvSpPr>
        <xdr:cNvPr id="272" name="Rectángulo 8">
          <a:extLst>
            <a:ext uri="{FF2B5EF4-FFF2-40B4-BE49-F238E27FC236}">
              <a16:creationId xmlns:a16="http://schemas.microsoft.com/office/drawing/2014/main" id="{00000000-0008-0000-0100-000010010000}"/>
            </a:ext>
          </a:extLst>
        </xdr:cNvPr>
        <xdr:cNvSpPr/>
      </xdr:nvSpPr>
      <xdr:spPr>
        <a:xfrm>
          <a:off x="97227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959783</xdr:colOff>
      <xdr:row>0</xdr:row>
      <xdr:rowOff>0</xdr:rowOff>
    </xdr:from>
    <xdr:ext cx="184731" cy="655885"/>
    <xdr:sp macro="" textlink="">
      <xdr:nvSpPr>
        <xdr:cNvPr id="273" name="Rectángulo 272">
          <a:extLst>
            <a:ext uri="{FF2B5EF4-FFF2-40B4-BE49-F238E27FC236}">
              <a16:creationId xmlns:a16="http://schemas.microsoft.com/office/drawing/2014/main" id="{00000000-0008-0000-0100-000011010000}"/>
            </a:ext>
          </a:extLst>
        </xdr:cNvPr>
        <xdr:cNvSpPr/>
      </xdr:nvSpPr>
      <xdr:spPr>
        <a:xfrm>
          <a:off x="98751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0</xdr:row>
      <xdr:rowOff>0</xdr:rowOff>
    </xdr:from>
    <xdr:ext cx="184731" cy="655885"/>
    <xdr:sp macro="" textlink="">
      <xdr:nvSpPr>
        <xdr:cNvPr id="274" name="Rectángulo 8">
          <a:extLst>
            <a:ext uri="{FF2B5EF4-FFF2-40B4-BE49-F238E27FC236}">
              <a16:creationId xmlns:a16="http://schemas.microsoft.com/office/drawing/2014/main" id="{00000000-0008-0000-0100-000012010000}"/>
            </a:ext>
          </a:extLst>
        </xdr:cNvPr>
        <xdr:cNvSpPr/>
      </xdr:nvSpPr>
      <xdr:spPr>
        <a:xfrm>
          <a:off x="97227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0</xdr:row>
      <xdr:rowOff>0</xdr:rowOff>
    </xdr:from>
    <xdr:ext cx="184731" cy="655885"/>
    <xdr:sp macro="" textlink="">
      <xdr:nvSpPr>
        <xdr:cNvPr id="275" name="Rectángulo 8">
          <a:extLst>
            <a:ext uri="{FF2B5EF4-FFF2-40B4-BE49-F238E27FC236}">
              <a16:creationId xmlns:a16="http://schemas.microsoft.com/office/drawing/2014/main" id="{00000000-0008-0000-0100-000013010000}"/>
            </a:ext>
          </a:extLst>
        </xdr:cNvPr>
        <xdr:cNvSpPr/>
      </xdr:nvSpPr>
      <xdr:spPr>
        <a:xfrm>
          <a:off x="97227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959783</xdr:colOff>
      <xdr:row>0</xdr:row>
      <xdr:rowOff>0</xdr:rowOff>
    </xdr:from>
    <xdr:ext cx="184731" cy="655885"/>
    <xdr:sp macro="" textlink="">
      <xdr:nvSpPr>
        <xdr:cNvPr id="276" name="Rectángulo 275">
          <a:extLst>
            <a:ext uri="{FF2B5EF4-FFF2-40B4-BE49-F238E27FC236}">
              <a16:creationId xmlns:a16="http://schemas.microsoft.com/office/drawing/2014/main" id="{00000000-0008-0000-0100-000014010000}"/>
            </a:ext>
          </a:extLst>
        </xdr:cNvPr>
        <xdr:cNvSpPr/>
      </xdr:nvSpPr>
      <xdr:spPr>
        <a:xfrm>
          <a:off x="98751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0</xdr:row>
      <xdr:rowOff>0</xdr:rowOff>
    </xdr:from>
    <xdr:ext cx="184731" cy="655885"/>
    <xdr:sp macro="" textlink="">
      <xdr:nvSpPr>
        <xdr:cNvPr id="277" name="Rectángulo 276">
          <a:extLst>
            <a:ext uri="{FF2B5EF4-FFF2-40B4-BE49-F238E27FC236}">
              <a16:creationId xmlns:a16="http://schemas.microsoft.com/office/drawing/2014/main" id="{00000000-0008-0000-0100-000015010000}"/>
            </a:ext>
          </a:extLst>
        </xdr:cNvPr>
        <xdr:cNvSpPr/>
      </xdr:nvSpPr>
      <xdr:spPr>
        <a:xfrm>
          <a:off x="97227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0</xdr:row>
      <xdr:rowOff>0</xdr:rowOff>
    </xdr:from>
    <xdr:ext cx="184731" cy="655885"/>
    <xdr:sp macro="" textlink="">
      <xdr:nvSpPr>
        <xdr:cNvPr id="278" name="Rectángulo 8">
          <a:extLst>
            <a:ext uri="{FF2B5EF4-FFF2-40B4-BE49-F238E27FC236}">
              <a16:creationId xmlns:a16="http://schemas.microsoft.com/office/drawing/2014/main" id="{00000000-0008-0000-0100-000016010000}"/>
            </a:ext>
          </a:extLst>
        </xdr:cNvPr>
        <xdr:cNvSpPr/>
      </xdr:nvSpPr>
      <xdr:spPr>
        <a:xfrm>
          <a:off x="97227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959783</xdr:colOff>
      <xdr:row>0</xdr:row>
      <xdr:rowOff>0</xdr:rowOff>
    </xdr:from>
    <xdr:ext cx="184731" cy="655885"/>
    <xdr:sp macro="" textlink="">
      <xdr:nvSpPr>
        <xdr:cNvPr id="279" name="Rectángulo 278">
          <a:extLst>
            <a:ext uri="{FF2B5EF4-FFF2-40B4-BE49-F238E27FC236}">
              <a16:creationId xmlns:a16="http://schemas.microsoft.com/office/drawing/2014/main" id="{00000000-0008-0000-0100-000017010000}"/>
            </a:ext>
          </a:extLst>
        </xdr:cNvPr>
        <xdr:cNvSpPr/>
      </xdr:nvSpPr>
      <xdr:spPr>
        <a:xfrm>
          <a:off x="98751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0</xdr:col>
      <xdr:colOff>959783</xdr:colOff>
      <xdr:row>0</xdr:row>
      <xdr:rowOff>0</xdr:rowOff>
    </xdr:from>
    <xdr:ext cx="184731" cy="655885"/>
    <xdr:sp macro="" textlink="">
      <xdr:nvSpPr>
        <xdr:cNvPr id="280" name="Rectángulo 279">
          <a:extLst>
            <a:ext uri="{FF2B5EF4-FFF2-40B4-BE49-F238E27FC236}">
              <a16:creationId xmlns:a16="http://schemas.microsoft.com/office/drawing/2014/main" id="{00000000-0008-0000-0100-000018010000}"/>
            </a:ext>
          </a:extLst>
        </xdr:cNvPr>
        <xdr:cNvSpPr/>
      </xdr:nvSpPr>
      <xdr:spPr>
        <a:xfrm>
          <a:off x="9597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0</xdr:col>
      <xdr:colOff>959783</xdr:colOff>
      <xdr:row>0</xdr:row>
      <xdr:rowOff>0</xdr:rowOff>
    </xdr:from>
    <xdr:ext cx="184731" cy="655885"/>
    <xdr:sp macro="" textlink="">
      <xdr:nvSpPr>
        <xdr:cNvPr id="281" name="Rectángulo 280">
          <a:extLst>
            <a:ext uri="{FF2B5EF4-FFF2-40B4-BE49-F238E27FC236}">
              <a16:creationId xmlns:a16="http://schemas.microsoft.com/office/drawing/2014/main" id="{00000000-0008-0000-0100-000019010000}"/>
            </a:ext>
          </a:extLst>
        </xdr:cNvPr>
        <xdr:cNvSpPr/>
      </xdr:nvSpPr>
      <xdr:spPr>
        <a:xfrm>
          <a:off x="9597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2</xdr:col>
      <xdr:colOff>1066800</xdr:colOff>
      <xdr:row>0</xdr:row>
      <xdr:rowOff>0</xdr:rowOff>
    </xdr:from>
    <xdr:ext cx="0" cy="38100"/>
    <xdr:sp macro="" textlink="">
      <xdr:nvSpPr>
        <xdr:cNvPr id="282" name="CuadroTexto 281">
          <a:extLst>
            <a:ext uri="{FF2B5EF4-FFF2-40B4-BE49-F238E27FC236}">
              <a16:creationId xmlns:a16="http://schemas.microsoft.com/office/drawing/2014/main" id="{00000000-0008-0000-0100-00001A010000}"/>
            </a:ext>
          </a:extLst>
        </xdr:cNvPr>
        <xdr:cNvSpPr txBox="1"/>
      </xdr:nvSpPr>
      <xdr:spPr>
        <a:xfrm flipH="1">
          <a:off x="3295650" y="0"/>
          <a:ext cx="0" cy="38100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lvl="0" algn="ctr"/>
          <a:r>
            <a:rPr lang="es-MX" sz="1200" b="1">
              <a:solidFill>
                <a:sysClr val="windowText" lastClr="000000"/>
              </a:solidFill>
            </a:rPr>
            <a:t>ISLA 9: CAMBIO DE MIX POSICIONES 4, 5, 6 Y 7</a:t>
          </a: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283" name="Rectángulo 8">
          <a:extLst>
            <a:ext uri="{FF2B5EF4-FFF2-40B4-BE49-F238E27FC236}">
              <a16:creationId xmlns:a16="http://schemas.microsoft.com/office/drawing/2014/main" id="{00000000-0008-0000-0100-00001B01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284" name="Rectángulo 8">
          <a:extLst>
            <a:ext uri="{FF2B5EF4-FFF2-40B4-BE49-F238E27FC236}">
              <a16:creationId xmlns:a16="http://schemas.microsoft.com/office/drawing/2014/main" id="{00000000-0008-0000-0100-00001C01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285" name="rect">
          <a:extLst>
            <a:ext uri="{FF2B5EF4-FFF2-40B4-BE49-F238E27FC236}">
              <a16:creationId xmlns:a16="http://schemas.microsoft.com/office/drawing/2014/main" id="{00000000-0008-0000-0100-00001D01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286" name="rect">
          <a:extLst>
            <a:ext uri="{FF2B5EF4-FFF2-40B4-BE49-F238E27FC236}">
              <a16:creationId xmlns:a16="http://schemas.microsoft.com/office/drawing/2014/main" id="{00000000-0008-0000-0100-00001E01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952500</xdr:colOff>
      <xdr:row>0</xdr:row>
      <xdr:rowOff>0</xdr:rowOff>
    </xdr:from>
    <xdr:ext cx="180975" cy="647700"/>
    <xdr:sp macro="" textlink="">
      <xdr:nvSpPr>
        <xdr:cNvPr id="287" name="Rectángulo 286">
          <a:extLst>
            <a:ext uri="{FF2B5EF4-FFF2-40B4-BE49-F238E27FC236}">
              <a16:creationId xmlns:a16="http://schemas.microsoft.com/office/drawing/2014/main" id="{00000000-0008-0000-0100-00001F010000}"/>
            </a:ext>
          </a:extLst>
        </xdr:cNvPr>
        <xdr:cNvSpPr/>
      </xdr:nvSpPr>
      <xdr:spPr>
        <a:xfrm>
          <a:off x="98679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288" name="Rectángulo 8">
          <a:extLst>
            <a:ext uri="{FF2B5EF4-FFF2-40B4-BE49-F238E27FC236}">
              <a16:creationId xmlns:a16="http://schemas.microsoft.com/office/drawing/2014/main" id="{00000000-0008-0000-0100-00002001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289" name="Rectángulo 8">
          <a:extLst>
            <a:ext uri="{FF2B5EF4-FFF2-40B4-BE49-F238E27FC236}">
              <a16:creationId xmlns:a16="http://schemas.microsoft.com/office/drawing/2014/main" id="{00000000-0008-0000-0100-00002101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290" name="rect">
          <a:extLst>
            <a:ext uri="{FF2B5EF4-FFF2-40B4-BE49-F238E27FC236}">
              <a16:creationId xmlns:a16="http://schemas.microsoft.com/office/drawing/2014/main" id="{00000000-0008-0000-0100-00002201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291" name="rect">
          <a:extLst>
            <a:ext uri="{FF2B5EF4-FFF2-40B4-BE49-F238E27FC236}">
              <a16:creationId xmlns:a16="http://schemas.microsoft.com/office/drawing/2014/main" id="{00000000-0008-0000-0100-00002301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952500</xdr:colOff>
      <xdr:row>0</xdr:row>
      <xdr:rowOff>0</xdr:rowOff>
    </xdr:from>
    <xdr:ext cx="180975" cy="647700"/>
    <xdr:sp macro="" textlink="">
      <xdr:nvSpPr>
        <xdr:cNvPr id="292" name="Rectángulo 8">
          <a:extLst>
            <a:ext uri="{FF2B5EF4-FFF2-40B4-BE49-F238E27FC236}">
              <a16:creationId xmlns:a16="http://schemas.microsoft.com/office/drawing/2014/main" id="{00000000-0008-0000-0100-000024010000}"/>
            </a:ext>
          </a:extLst>
        </xdr:cNvPr>
        <xdr:cNvSpPr/>
      </xdr:nvSpPr>
      <xdr:spPr>
        <a:xfrm>
          <a:off x="98679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293" name="Rectángulo 8">
          <a:extLst>
            <a:ext uri="{FF2B5EF4-FFF2-40B4-BE49-F238E27FC236}">
              <a16:creationId xmlns:a16="http://schemas.microsoft.com/office/drawing/2014/main" id="{00000000-0008-0000-0100-00002501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294" name="Rectángulo 8">
          <a:extLst>
            <a:ext uri="{FF2B5EF4-FFF2-40B4-BE49-F238E27FC236}">
              <a16:creationId xmlns:a16="http://schemas.microsoft.com/office/drawing/2014/main" id="{00000000-0008-0000-0100-00002601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295" name="rect">
          <a:extLst>
            <a:ext uri="{FF2B5EF4-FFF2-40B4-BE49-F238E27FC236}">
              <a16:creationId xmlns:a16="http://schemas.microsoft.com/office/drawing/2014/main" id="{00000000-0008-0000-0100-00002701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296" name="rect">
          <a:extLst>
            <a:ext uri="{FF2B5EF4-FFF2-40B4-BE49-F238E27FC236}">
              <a16:creationId xmlns:a16="http://schemas.microsoft.com/office/drawing/2014/main" id="{00000000-0008-0000-0100-00002801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952500</xdr:colOff>
      <xdr:row>0</xdr:row>
      <xdr:rowOff>0</xdr:rowOff>
    </xdr:from>
    <xdr:ext cx="180975" cy="647700"/>
    <xdr:sp macro="" textlink="">
      <xdr:nvSpPr>
        <xdr:cNvPr id="297" name="Rectángulo 296">
          <a:extLst>
            <a:ext uri="{FF2B5EF4-FFF2-40B4-BE49-F238E27FC236}">
              <a16:creationId xmlns:a16="http://schemas.microsoft.com/office/drawing/2014/main" id="{00000000-0008-0000-0100-000029010000}"/>
            </a:ext>
          </a:extLst>
        </xdr:cNvPr>
        <xdr:cNvSpPr/>
      </xdr:nvSpPr>
      <xdr:spPr>
        <a:xfrm>
          <a:off x="98679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298" name="Rectángulo 8">
          <a:extLst>
            <a:ext uri="{FF2B5EF4-FFF2-40B4-BE49-F238E27FC236}">
              <a16:creationId xmlns:a16="http://schemas.microsoft.com/office/drawing/2014/main" id="{00000000-0008-0000-0100-00002A01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299" name="Rectángulo 8">
          <a:extLst>
            <a:ext uri="{FF2B5EF4-FFF2-40B4-BE49-F238E27FC236}">
              <a16:creationId xmlns:a16="http://schemas.microsoft.com/office/drawing/2014/main" id="{00000000-0008-0000-0100-00002B01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300" name="rect">
          <a:extLst>
            <a:ext uri="{FF2B5EF4-FFF2-40B4-BE49-F238E27FC236}">
              <a16:creationId xmlns:a16="http://schemas.microsoft.com/office/drawing/2014/main" id="{00000000-0008-0000-0100-00002C01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301" name="rect">
          <a:extLst>
            <a:ext uri="{FF2B5EF4-FFF2-40B4-BE49-F238E27FC236}">
              <a16:creationId xmlns:a16="http://schemas.microsoft.com/office/drawing/2014/main" id="{00000000-0008-0000-0100-00002D01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952500</xdr:colOff>
      <xdr:row>0</xdr:row>
      <xdr:rowOff>0</xdr:rowOff>
    </xdr:from>
    <xdr:ext cx="180975" cy="647700"/>
    <xdr:sp macro="" textlink="">
      <xdr:nvSpPr>
        <xdr:cNvPr id="302" name="Rectángulo 8">
          <a:extLst>
            <a:ext uri="{FF2B5EF4-FFF2-40B4-BE49-F238E27FC236}">
              <a16:creationId xmlns:a16="http://schemas.microsoft.com/office/drawing/2014/main" id="{00000000-0008-0000-0100-00002E010000}"/>
            </a:ext>
          </a:extLst>
        </xdr:cNvPr>
        <xdr:cNvSpPr/>
      </xdr:nvSpPr>
      <xdr:spPr>
        <a:xfrm>
          <a:off x="98679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303" name="Rectángulo 8">
          <a:extLst>
            <a:ext uri="{FF2B5EF4-FFF2-40B4-BE49-F238E27FC236}">
              <a16:creationId xmlns:a16="http://schemas.microsoft.com/office/drawing/2014/main" id="{00000000-0008-0000-0100-00002F01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304" name="Rectángulo 303">
          <a:extLst>
            <a:ext uri="{FF2B5EF4-FFF2-40B4-BE49-F238E27FC236}">
              <a16:creationId xmlns:a16="http://schemas.microsoft.com/office/drawing/2014/main" id="{00000000-0008-0000-0100-00003001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305" name="rect">
          <a:extLst>
            <a:ext uri="{FF2B5EF4-FFF2-40B4-BE49-F238E27FC236}">
              <a16:creationId xmlns:a16="http://schemas.microsoft.com/office/drawing/2014/main" id="{00000000-0008-0000-0100-00003101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306" name="rect">
          <a:extLst>
            <a:ext uri="{FF2B5EF4-FFF2-40B4-BE49-F238E27FC236}">
              <a16:creationId xmlns:a16="http://schemas.microsoft.com/office/drawing/2014/main" id="{00000000-0008-0000-0100-00003201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952500</xdr:colOff>
      <xdr:row>0</xdr:row>
      <xdr:rowOff>0</xdr:rowOff>
    </xdr:from>
    <xdr:ext cx="180975" cy="647700"/>
    <xdr:sp macro="" textlink="">
      <xdr:nvSpPr>
        <xdr:cNvPr id="307" name="Rectángulo 306">
          <a:extLst>
            <a:ext uri="{FF2B5EF4-FFF2-40B4-BE49-F238E27FC236}">
              <a16:creationId xmlns:a16="http://schemas.microsoft.com/office/drawing/2014/main" id="{00000000-0008-0000-0100-000033010000}"/>
            </a:ext>
          </a:extLst>
        </xdr:cNvPr>
        <xdr:cNvSpPr/>
      </xdr:nvSpPr>
      <xdr:spPr>
        <a:xfrm>
          <a:off x="98679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2</xdr:col>
      <xdr:colOff>1066800</xdr:colOff>
      <xdr:row>0</xdr:row>
      <xdr:rowOff>0</xdr:rowOff>
    </xdr:from>
    <xdr:ext cx="0" cy="38100"/>
    <xdr:sp macro="" textlink="">
      <xdr:nvSpPr>
        <xdr:cNvPr id="308" name="CuadroTexto 307">
          <a:extLst>
            <a:ext uri="{FF2B5EF4-FFF2-40B4-BE49-F238E27FC236}">
              <a16:creationId xmlns:a16="http://schemas.microsoft.com/office/drawing/2014/main" id="{00000000-0008-0000-0100-000034010000}"/>
            </a:ext>
          </a:extLst>
        </xdr:cNvPr>
        <xdr:cNvSpPr txBox="1"/>
      </xdr:nvSpPr>
      <xdr:spPr>
        <a:xfrm flipH="1">
          <a:off x="3295650" y="0"/>
          <a:ext cx="0" cy="38100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lvl="0" algn="ctr"/>
          <a:r>
            <a:rPr lang="es-MX" sz="1200" b="1">
              <a:solidFill>
                <a:sysClr val="windowText" lastClr="000000"/>
              </a:solidFill>
            </a:rPr>
            <a:t>ISLA 9: CAMBIO DE MIX POSICIONES 4, 5, 6 Y 7</a:t>
          </a: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309" name="Rectángulo 8">
          <a:extLst>
            <a:ext uri="{FF2B5EF4-FFF2-40B4-BE49-F238E27FC236}">
              <a16:creationId xmlns:a16="http://schemas.microsoft.com/office/drawing/2014/main" id="{00000000-0008-0000-0100-00003501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310" name="Rectángulo 8">
          <a:extLst>
            <a:ext uri="{FF2B5EF4-FFF2-40B4-BE49-F238E27FC236}">
              <a16:creationId xmlns:a16="http://schemas.microsoft.com/office/drawing/2014/main" id="{00000000-0008-0000-0100-00003601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311" name="rect">
          <a:extLst>
            <a:ext uri="{FF2B5EF4-FFF2-40B4-BE49-F238E27FC236}">
              <a16:creationId xmlns:a16="http://schemas.microsoft.com/office/drawing/2014/main" id="{00000000-0008-0000-0100-00003701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312" name="rect">
          <a:extLst>
            <a:ext uri="{FF2B5EF4-FFF2-40B4-BE49-F238E27FC236}">
              <a16:creationId xmlns:a16="http://schemas.microsoft.com/office/drawing/2014/main" id="{00000000-0008-0000-0100-00003801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952500</xdr:colOff>
      <xdr:row>0</xdr:row>
      <xdr:rowOff>0</xdr:rowOff>
    </xdr:from>
    <xdr:ext cx="180975" cy="647700"/>
    <xdr:sp macro="" textlink="">
      <xdr:nvSpPr>
        <xdr:cNvPr id="313" name="Rectángulo 8">
          <a:extLst>
            <a:ext uri="{FF2B5EF4-FFF2-40B4-BE49-F238E27FC236}">
              <a16:creationId xmlns:a16="http://schemas.microsoft.com/office/drawing/2014/main" id="{00000000-0008-0000-0100-000039010000}"/>
            </a:ext>
          </a:extLst>
        </xdr:cNvPr>
        <xdr:cNvSpPr/>
      </xdr:nvSpPr>
      <xdr:spPr>
        <a:xfrm>
          <a:off x="98679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314" name="Rectángulo 8">
          <a:extLst>
            <a:ext uri="{FF2B5EF4-FFF2-40B4-BE49-F238E27FC236}">
              <a16:creationId xmlns:a16="http://schemas.microsoft.com/office/drawing/2014/main" id="{00000000-0008-0000-0100-00003A01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315" name="Rectángulo 8">
          <a:extLst>
            <a:ext uri="{FF2B5EF4-FFF2-40B4-BE49-F238E27FC236}">
              <a16:creationId xmlns:a16="http://schemas.microsoft.com/office/drawing/2014/main" id="{00000000-0008-0000-0100-00003B01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316" name="rect">
          <a:extLst>
            <a:ext uri="{FF2B5EF4-FFF2-40B4-BE49-F238E27FC236}">
              <a16:creationId xmlns:a16="http://schemas.microsoft.com/office/drawing/2014/main" id="{00000000-0008-0000-0100-00003C01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317" name="rect">
          <a:extLst>
            <a:ext uri="{FF2B5EF4-FFF2-40B4-BE49-F238E27FC236}">
              <a16:creationId xmlns:a16="http://schemas.microsoft.com/office/drawing/2014/main" id="{00000000-0008-0000-0100-00003D01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952500</xdr:colOff>
      <xdr:row>0</xdr:row>
      <xdr:rowOff>0</xdr:rowOff>
    </xdr:from>
    <xdr:ext cx="180975" cy="647700"/>
    <xdr:sp macro="" textlink="">
      <xdr:nvSpPr>
        <xdr:cNvPr id="318" name="Rectángulo 317">
          <a:extLst>
            <a:ext uri="{FF2B5EF4-FFF2-40B4-BE49-F238E27FC236}">
              <a16:creationId xmlns:a16="http://schemas.microsoft.com/office/drawing/2014/main" id="{00000000-0008-0000-0100-00003E010000}"/>
            </a:ext>
          </a:extLst>
        </xdr:cNvPr>
        <xdr:cNvSpPr/>
      </xdr:nvSpPr>
      <xdr:spPr>
        <a:xfrm>
          <a:off x="98679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319" name="Rectángulo 8">
          <a:extLst>
            <a:ext uri="{FF2B5EF4-FFF2-40B4-BE49-F238E27FC236}">
              <a16:creationId xmlns:a16="http://schemas.microsoft.com/office/drawing/2014/main" id="{00000000-0008-0000-0100-00003F01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320" name="Rectángulo 8">
          <a:extLst>
            <a:ext uri="{FF2B5EF4-FFF2-40B4-BE49-F238E27FC236}">
              <a16:creationId xmlns:a16="http://schemas.microsoft.com/office/drawing/2014/main" id="{00000000-0008-0000-0100-00004001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321" name="rect">
          <a:extLst>
            <a:ext uri="{FF2B5EF4-FFF2-40B4-BE49-F238E27FC236}">
              <a16:creationId xmlns:a16="http://schemas.microsoft.com/office/drawing/2014/main" id="{00000000-0008-0000-0100-00004101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322" name="rect">
          <a:extLst>
            <a:ext uri="{FF2B5EF4-FFF2-40B4-BE49-F238E27FC236}">
              <a16:creationId xmlns:a16="http://schemas.microsoft.com/office/drawing/2014/main" id="{00000000-0008-0000-0100-00004201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952500</xdr:colOff>
      <xdr:row>0</xdr:row>
      <xdr:rowOff>0</xdr:rowOff>
    </xdr:from>
    <xdr:ext cx="180975" cy="647700"/>
    <xdr:sp macro="" textlink="">
      <xdr:nvSpPr>
        <xdr:cNvPr id="323" name="Rectángulo 8">
          <a:extLst>
            <a:ext uri="{FF2B5EF4-FFF2-40B4-BE49-F238E27FC236}">
              <a16:creationId xmlns:a16="http://schemas.microsoft.com/office/drawing/2014/main" id="{00000000-0008-0000-0100-000043010000}"/>
            </a:ext>
          </a:extLst>
        </xdr:cNvPr>
        <xdr:cNvSpPr/>
      </xdr:nvSpPr>
      <xdr:spPr>
        <a:xfrm>
          <a:off x="98679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807383</xdr:colOff>
      <xdr:row>0</xdr:row>
      <xdr:rowOff>0</xdr:rowOff>
    </xdr:from>
    <xdr:ext cx="184731" cy="655885"/>
    <xdr:sp macro="" textlink="">
      <xdr:nvSpPr>
        <xdr:cNvPr id="324" name="Rectángulo 8">
          <a:extLst>
            <a:ext uri="{FF2B5EF4-FFF2-40B4-BE49-F238E27FC236}">
              <a16:creationId xmlns:a16="http://schemas.microsoft.com/office/drawing/2014/main" id="{00000000-0008-0000-0100-000044010000}"/>
            </a:ext>
          </a:extLst>
        </xdr:cNvPr>
        <xdr:cNvSpPr/>
      </xdr:nvSpPr>
      <xdr:spPr>
        <a:xfrm>
          <a:off x="97227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0</xdr:row>
      <xdr:rowOff>0</xdr:rowOff>
    </xdr:from>
    <xdr:ext cx="184731" cy="655885"/>
    <xdr:sp macro="" textlink="">
      <xdr:nvSpPr>
        <xdr:cNvPr id="325" name="Rectángulo 8">
          <a:extLst>
            <a:ext uri="{FF2B5EF4-FFF2-40B4-BE49-F238E27FC236}">
              <a16:creationId xmlns:a16="http://schemas.microsoft.com/office/drawing/2014/main" id="{00000000-0008-0000-0100-000045010000}"/>
            </a:ext>
          </a:extLst>
        </xdr:cNvPr>
        <xdr:cNvSpPr/>
      </xdr:nvSpPr>
      <xdr:spPr>
        <a:xfrm>
          <a:off x="97227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959783</xdr:colOff>
      <xdr:row>0</xdr:row>
      <xdr:rowOff>0</xdr:rowOff>
    </xdr:from>
    <xdr:ext cx="184731" cy="655885"/>
    <xdr:sp macro="" textlink="">
      <xdr:nvSpPr>
        <xdr:cNvPr id="326" name="Rectángulo 325">
          <a:extLst>
            <a:ext uri="{FF2B5EF4-FFF2-40B4-BE49-F238E27FC236}">
              <a16:creationId xmlns:a16="http://schemas.microsoft.com/office/drawing/2014/main" id="{00000000-0008-0000-0100-000046010000}"/>
            </a:ext>
          </a:extLst>
        </xdr:cNvPr>
        <xdr:cNvSpPr/>
      </xdr:nvSpPr>
      <xdr:spPr>
        <a:xfrm>
          <a:off x="98751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0</xdr:row>
      <xdr:rowOff>0</xdr:rowOff>
    </xdr:from>
    <xdr:ext cx="184731" cy="655885"/>
    <xdr:sp macro="" textlink="">
      <xdr:nvSpPr>
        <xdr:cNvPr id="327" name="Rectángulo 326">
          <a:extLst>
            <a:ext uri="{FF2B5EF4-FFF2-40B4-BE49-F238E27FC236}">
              <a16:creationId xmlns:a16="http://schemas.microsoft.com/office/drawing/2014/main" id="{00000000-0008-0000-0100-000047010000}"/>
            </a:ext>
          </a:extLst>
        </xdr:cNvPr>
        <xdr:cNvSpPr/>
      </xdr:nvSpPr>
      <xdr:spPr>
        <a:xfrm>
          <a:off x="97227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0</xdr:row>
      <xdr:rowOff>0</xdr:rowOff>
    </xdr:from>
    <xdr:ext cx="184731" cy="655885"/>
    <xdr:sp macro="" textlink="">
      <xdr:nvSpPr>
        <xdr:cNvPr id="328" name="Rectángulo 8">
          <a:extLst>
            <a:ext uri="{FF2B5EF4-FFF2-40B4-BE49-F238E27FC236}">
              <a16:creationId xmlns:a16="http://schemas.microsoft.com/office/drawing/2014/main" id="{00000000-0008-0000-0100-000048010000}"/>
            </a:ext>
          </a:extLst>
        </xdr:cNvPr>
        <xdr:cNvSpPr/>
      </xdr:nvSpPr>
      <xdr:spPr>
        <a:xfrm>
          <a:off x="97227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959783</xdr:colOff>
      <xdr:row>0</xdr:row>
      <xdr:rowOff>0</xdr:rowOff>
    </xdr:from>
    <xdr:ext cx="184731" cy="655885"/>
    <xdr:sp macro="" textlink="">
      <xdr:nvSpPr>
        <xdr:cNvPr id="329" name="Rectángulo 328">
          <a:extLst>
            <a:ext uri="{FF2B5EF4-FFF2-40B4-BE49-F238E27FC236}">
              <a16:creationId xmlns:a16="http://schemas.microsoft.com/office/drawing/2014/main" id="{00000000-0008-0000-0100-000049010000}"/>
            </a:ext>
          </a:extLst>
        </xdr:cNvPr>
        <xdr:cNvSpPr/>
      </xdr:nvSpPr>
      <xdr:spPr>
        <a:xfrm>
          <a:off x="98751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0</xdr:row>
      <xdr:rowOff>0</xdr:rowOff>
    </xdr:from>
    <xdr:ext cx="184731" cy="655885"/>
    <xdr:sp macro="" textlink="">
      <xdr:nvSpPr>
        <xdr:cNvPr id="330" name="Rectángulo 8">
          <a:extLst>
            <a:ext uri="{FF2B5EF4-FFF2-40B4-BE49-F238E27FC236}">
              <a16:creationId xmlns:a16="http://schemas.microsoft.com/office/drawing/2014/main" id="{00000000-0008-0000-0100-00004A010000}"/>
            </a:ext>
          </a:extLst>
        </xdr:cNvPr>
        <xdr:cNvSpPr/>
      </xdr:nvSpPr>
      <xdr:spPr>
        <a:xfrm>
          <a:off x="97227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0</xdr:row>
      <xdr:rowOff>0</xdr:rowOff>
    </xdr:from>
    <xdr:ext cx="184731" cy="655885"/>
    <xdr:sp macro="" textlink="">
      <xdr:nvSpPr>
        <xdr:cNvPr id="331" name="Rectángulo 8">
          <a:extLst>
            <a:ext uri="{FF2B5EF4-FFF2-40B4-BE49-F238E27FC236}">
              <a16:creationId xmlns:a16="http://schemas.microsoft.com/office/drawing/2014/main" id="{00000000-0008-0000-0100-00004B010000}"/>
            </a:ext>
          </a:extLst>
        </xdr:cNvPr>
        <xdr:cNvSpPr/>
      </xdr:nvSpPr>
      <xdr:spPr>
        <a:xfrm>
          <a:off x="97227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959783</xdr:colOff>
      <xdr:row>0</xdr:row>
      <xdr:rowOff>0</xdr:rowOff>
    </xdr:from>
    <xdr:ext cx="184731" cy="655885"/>
    <xdr:sp macro="" textlink="">
      <xdr:nvSpPr>
        <xdr:cNvPr id="332" name="Rectángulo 331">
          <a:extLst>
            <a:ext uri="{FF2B5EF4-FFF2-40B4-BE49-F238E27FC236}">
              <a16:creationId xmlns:a16="http://schemas.microsoft.com/office/drawing/2014/main" id="{00000000-0008-0000-0100-00004C010000}"/>
            </a:ext>
          </a:extLst>
        </xdr:cNvPr>
        <xdr:cNvSpPr/>
      </xdr:nvSpPr>
      <xdr:spPr>
        <a:xfrm>
          <a:off x="98751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0</xdr:row>
      <xdr:rowOff>0</xdr:rowOff>
    </xdr:from>
    <xdr:ext cx="184731" cy="655885"/>
    <xdr:sp macro="" textlink="">
      <xdr:nvSpPr>
        <xdr:cNvPr id="333" name="Rectángulo 332">
          <a:extLst>
            <a:ext uri="{FF2B5EF4-FFF2-40B4-BE49-F238E27FC236}">
              <a16:creationId xmlns:a16="http://schemas.microsoft.com/office/drawing/2014/main" id="{00000000-0008-0000-0100-00004D010000}"/>
            </a:ext>
          </a:extLst>
        </xdr:cNvPr>
        <xdr:cNvSpPr/>
      </xdr:nvSpPr>
      <xdr:spPr>
        <a:xfrm>
          <a:off x="97227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0</xdr:row>
      <xdr:rowOff>0</xdr:rowOff>
    </xdr:from>
    <xdr:ext cx="184731" cy="655885"/>
    <xdr:sp macro="" textlink="">
      <xdr:nvSpPr>
        <xdr:cNvPr id="334" name="Rectángulo 8">
          <a:extLst>
            <a:ext uri="{FF2B5EF4-FFF2-40B4-BE49-F238E27FC236}">
              <a16:creationId xmlns:a16="http://schemas.microsoft.com/office/drawing/2014/main" id="{00000000-0008-0000-0100-00004E010000}"/>
            </a:ext>
          </a:extLst>
        </xdr:cNvPr>
        <xdr:cNvSpPr/>
      </xdr:nvSpPr>
      <xdr:spPr>
        <a:xfrm>
          <a:off x="97227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959783</xdr:colOff>
      <xdr:row>0</xdr:row>
      <xdr:rowOff>0</xdr:rowOff>
    </xdr:from>
    <xdr:ext cx="184731" cy="655885"/>
    <xdr:sp macro="" textlink="">
      <xdr:nvSpPr>
        <xdr:cNvPr id="335" name="Rectángulo 334">
          <a:extLst>
            <a:ext uri="{FF2B5EF4-FFF2-40B4-BE49-F238E27FC236}">
              <a16:creationId xmlns:a16="http://schemas.microsoft.com/office/drawing/2014/main" id="{00000000-0008-0000-0100-00004F010000}"/>
            </a:ext>
          </a:extLst>
        </xdr:cNvPr>
        <xdr:cNvSpPr/>
      </xdr:nvSpPr>
      <xdr:spPr>
        <a:xfrm>
          <a:off x="98751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0</xdr:col>
      <xdr:colOff>959783</xdr:colOff>
      <xdr:row>0</xdr:row>
      <xdr:rowOff>0</xdr:rowOff>
    </xdr:from>
    <xdr:ext cx="184731" cy="655885"/>
    <xdr:sp macro="" textlink="">
      <xdr:nvSpPr>
        <xdr:cNvPr id="336" name="Rectángulo 335">
          <a:extLst>
            <a:ext uri="{FF2B5EF4-FFF2-40B4-BE49-F238E27FC236}">
              <a16:creationId xmlns:a16="http://schemas.microsoft.com/office/drawing/2014/main" id="{00000000-0008-0000-0100-000050010000}"/>
            </a:ext>
          </a:extLst>
        </xdr:cNvPr>
        <xdr:cNvSpPr/>
      </xdr:nvSpPr>
      <xdr:spPr>
        <a:xfrm>
          <a:off x="9597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0</xdr:col>
      <xdr:colOff>959783</xdr:colOff>
      <xdr:row>0</xdr:row>
      <xdr:rowOff>0</xdr:rowOff>
    </xdr:from>
    <xdr:ext cx="184731" cy="655885"/>
    <xdr:sp macro="" textlink="">
      <xdr:nvSpPr>
        <xdr:cNvPr id="337" name="Rectángulo 336">
          <a:extLst>
            <a:ext uri="{FF2B5EF4-FFF2-40B4-BE49-F238E27FC236}">
              <a16:creationId xmlns:a16="http://schemas.microsoft.com/office/drawing/2014/main" id="{00000000-0008-0000-0100-000051010000}"/>
            </a:ext>
          </a:extLst>
        </xdr:cNvPr>
        <xdr:cNvSpPr/>
      </xdr:nvSpPr>
      <xdr:spPr>
        <a:xfrm>
          <a:off x="9597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2</xdr:col>
      <xdr:colOff>1066800</xdr:colOff>
      <xdr:row>0</xdr:row>
      <xdr:rowOff>0</xdr:rowOff>
    </xdr:from>
    <xdr:ext cx="0" cy="38100"/>
    <xdr:sp macro="" textlink="">
      <xdr:nvSpPr>
        <xdr:cNvPr id="338" name="CuadroTexto 337">
          <a:extLst>
            <a:ext uri="{FF2B5EF4-FFF2-40B4-BE49-F238E27FC236}">
              <a16:creationId xmlns:a16="http://schemas.microsoft.com/office/drawing/2014/main" id="{00000000-0008-0000-0100-000052010000}"/>
            </a:ext>
          </a:extLst>
        </xdr:cNvPr>
        <xdr:cNvSpPr txBox="1"/>
      </xdr:nvSpPr>
      <xdr:spPr>
        <a:xfrm flipH="1">
          <a:off x="3295650" y="0"/>
          <a:ext cx="0" cy="38100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lvl="0" algn="ctr"/>
          <a:r>
            <a:rPr lang="es-MX" sz="1200" b="1">
              <a:solidFill>
                <a:sysClr val="windowText" lastClr="000000"/>
              </a:solidFill>
            </a:rPr>
            <a:t>ISLA 9: CAMBIO DE MIX POSICIONES 4, 5, 6 Y 7</a:t>
          </a: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339" name="Rectángulo 8">
          <a:extLst>
            <a:ext uri="{FF2B5EF4-FFF2-40B4-BE49-F238E27FC236}">
              <a16:creationId xmlns:a16="http://schemas.microsoft.com/office/drawing/2014/main" id="{00000000-0008-0000-0100-00005301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340" name="Rectángulo 8">
          <a:extLst>
            <a:ext uri="{FF2B5EF4-FFF2-40B4-BE49-F238E27FC236}">
              <a16:creationId xmlns:a16="http://schemas.microsoft.com/office/drawing/2014/main" id="{00000000-0008-0000-0100-00005401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341" name="rect">
          <a:extLst>
            <a:ext uri="{FF2B5EF4-FFF2-40B4-BE49-F238E27FC236}">
              <a16:creationId xmlns:a16="http://schemas.microsoft.com/office/drawing/2014/main" id="{00000000-0008-0000-0100-00005501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342" name="rect">
          <a:extLst>
            <a:ext uri="{FF2B5EF4-FFF2-40B4-BE49-F238E27FC236}">
              <a16:creationId xmlns:a16="http://schemas.microsoft.com/office/drawing/2014/main" id="{00000000-0008-0000-0100-00005601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952500</xdr:colOff>
      <xdr:row>0</xdr:row>
      <xdr:rowOff>0</xdr:rowOff>
    </xdr:from>
    <xdr:ext cx="180975" cy="647700"/>
    <xdr:sp macro="" textlink="">
      <xdr:nvSpPr>
        <xdr:cNvPr id="343" name="Rectángulo 342">
          <a:extLst>
            <a:ext uri="{FF2B5EF4-FFF2-40B4-BE49-F238E27FC236}">
              <a16:creationId xmlns:a16="http://schemas.microsoft.com/office/drawing/2014/main" id="{00000000-0008-0000-0100-000057010000}"/>
            </a:ext>
          </a:extLst>
        </xdr:cNvPr>
        <xdr:cNvSpPr/>
      </xdr:nvSpPr>
      <xdr:spPr>
        <a:xfrm>
          <a:off x="98679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344" name="Rectángulo 8">
          <a:extLst>
            <a:ext uri="{FF2B5EF4-FFF2-40B4-BE49-F238E27FC236}">
              <a16:creationId xmlns:a16="http://schemas.microsoft.com/office/drawing/2014/main" id="{00000000-0008-0000-0100-00005801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345" name="Rectángulo 344">
          <a:extLst>
            <a:ext uri="{FF2B5EF4-FFF2-40B4-BE49-F238E27FC236}">
              <a16:creationId xmlns:a16="http://schemas.microsoft.com/office/drawing/2014/main" id="{00000000-0008-0000-0100-00005901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346" name="rect">
          <a:extLst>
            <a:ext uri="{FF2B5EF4-FFF2-40B4-BE49-F238E27FC236}">
              <a16:creationId xmlns:a16="http://schemas.microsoft.com/office/drawing/2014/main" id="{00000000-0008-0000-0100-00005A01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347" name="rect">
          <a:extLst>
            <a:ext uri="{FF2B5EF4-FFF2-40B4-BE49-F238E27FC236}">
              <a16:creationId xmlns:a16="http://schemas.microsoft.com/office/drawing/2014/main" id="{00000000-0008-0000-0100-00005B01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952500</xdr:colOff>
      <xdr:row>0</xdr:row>
      <xdr:rowOff>0</xdr:rowOff>
    </xdr:from>
    <xdr:ext cx="180975" cy="647700"/>
    <xdr:sp macro="" textlink="">
      <xdr:nvSpPr>
        <xdr:cNvPr id="348" name="Rectángulo 8">
          <a:extLst>
            <a:ext uri="{FF2B5EF4-FFF2-40B4-BE49-F238E27FC236}">
              <a16:creationId xmlns:a16="http://schemas.microsoft.com/office/drawing/2014/main" id="{00000000-0008-0000-0100-00005C010000}"/>
            </a:ext>
          </a:extLst>
        </xdr:cNvPr>
        <xdr:cNvSpPr/>
      </xdr:nvSpPr>
      <xdr:spPr>
        <a:xfrm>
          <a:off x="98679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349" name="Rectángulo 8">
          <a:extLst>
            <a:ext uri="{FF2B5EF4-FFF2-40B4-BE49-F238E27FC236}">
              <a16:creationId xmlns:a16="http://schemas.microsoft.com/office/drawing/2014/main" id="{00000000-0008-0000-0100-00005D01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350" name="Rectángulo 8">
          <a:extLst>
            <a:ext uri="{FF2B5EF4-FFF2-40B4-BE49-F238E27FC236}">
              <a16:creationId xmlns:a16="http://schemas.microsoft.com/office/drawing/2014/main" id="{00000000-0008-0000-0100-00005E01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351" name="rect">
          <a:extLst>
            <a:ext uri="{FF2B5EF4-FFF2-40B4-BE49-F238E27FC236}">
              <a16:creationId xmlns:a16="http://schemas.microsoft.com/office/drawing/2014/main" id="{00000000-0008-0000-0100-00005F01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352" name="rect">
          <a:extLst>
            <a:ext uri="{FF2B5EF4-FFF2-40B4-BE49-F238E27FC236}">
              <a16:creationId xmlns:a16="http://schemas.microsoft.com/office/drawing/2014/main" id="{00000000-0008-0000-0100-00006001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952500</xdr:colOff>
      <xdr:row>0</xdr:row>
      <xdr:rowOff>0</xdr:rowOff>
    </xdr:from>
    <xdr:ext cx="180975" cy="647700"/>
    <xdr:sp macro="" textlink="">
      <xdr:nvSpPr>
        <xdr:cNvPr id="353" name="Rectángulo 352">
          <a:extLst>
            <a:ext uri="{FF2B5EF4-FFF2-40B4-BE49-F238E27FC236}">
              <a16:creationId xmlns:a16="http://schemas.microsoft.com/office/drawing/2014/main" id="{00000000-0008-0000-0100-000061010000}"/>
            </a:ext>
          </a:extLst>
        </xdr:cNvPr>
        <xdr:cNvSpPr/>
      </xdr:nvSpPr>
      <xdr:spPr>
        <a:xfrm>
          <a:off x="98679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354" name="Rectángulo 8">
          <a:extLst>
            <a:ext uri="{FF2B5EF4-FFF2-40B4-BE49-F238E27FC236}">
              <a16:creationId xmlns:a16="http://schemas.microsoft.com/office/drawing/2014/main" id="{00000000-0008-0000-0100-00006201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355" name="Rectángulo 8">
          <a:extLst>
            <a:ext uri="{FF2B5EF4-FFF2-40B4-BE49-F238E27FC236}">
              <a16:creationId xmlns:a16="http://schemas.microsoft.com/office/drawing/2014/main" id="{00000000-0008-0000-0100-00006301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356" name="rect">
          <a:extLst>
            <a:ext uri="{FF2B5EF4-FFF2-40B4-BE49-F238E27FC236}">
              <a16:creationId xmlns:a16="http://schemas.microsoft.com/office/drawing/2014/main" id="{00000000-0008-0000-0100-00006401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357" name="rect">
          <a:extLst>
            <a:ext uri="{FF2B5EF4-FFF2-40B4-BE49-F238E27FC236}">
              <a16:creationId xmlns:a16="http://schemas.microsoft.com/office/drawing/2014/main" id="{00000000-0008-0000-0100-00006501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952500</xdr:colOff>
      <xdr:row>0</xdr:row>
      <xdr:rowOff>0</xdr:rowOff>
    </xdr:from>
    <xdr:ext cx="180975" cy="647700"/>
    <xdr:sp macro="" textlink="">
      <xdr:nvSpPr>
        <xdr:cNvPr id="358" name="Rectángulo 8">
          <a:extLst>
            <a:ext uri="{FF2B5EF4-FFF2-40B4-BE49-F238E27FC236}">
              <a16:creationId xmlns:a16="http://schemas.microsoft.com/office/drawing/2014/main" id="{00000000-0008-0000-0100-000066010000}"/>
            </a:ext>
          </a:extLst>
        </xdr:cNvPr>
        <xdr:cNvSpPr/>
      </xdr:nvSpPr>
      <xdr:spPr>
        <a:xfrm>
          <a:off x="98679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359" name="Rectángulo 8">
          <a:extLst>
            <a:ext uri="{FF2B5EF4-FFF2-40B4-BE49-F238E27FC236}">
              <a16:creationId xmlns:a16="http://schemas.microsoft.com/office/drawing/2014/main" id="{00000000-0008-0000-0100-00006701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360" name="Rectángulo 359">
          <a:extLst>
            <a:ext uri="{FF2B5EF4-FFF2-40B4-BE49-F238E27FC236}">
              <a16:creationId xmlns:a16="http://schemas.microsoft.com/office/drawing/2014/main" id="{00000000-0008-0000-0100-00006801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361" name="rect">
          <a:extLst>
            <a:ext uri="{FF2B5EF4-FFF2-40B4-BE49-F238E27FC236}">
              <a16:creationId xmlns:a16="http://schemas.microsoft.com/office/drawing/2014/main" id="{00000000-0008-0000-0100-00006901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362" name="rect">
          <a:extLst>
            <a:ext uri="{FF2B5EF4-FFF2-40B4-BE49-F238E27FC236}">
              <a16:creationId xmlns:a16="http://schemas.microsoft.com/office/drawing/2014/main" id="{00000000-0008-0000-0100-00006A01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952500</xdr:colOff>
      <xdr:row>0</xdr:row>
      <xdr:rowOff>0</xdr:rowOff>
    </xdr:from>
    <xdr:ext cx="180975" cy="647700"/>
    <xdr:sp macro="" textlink="">
      <xdr:nvSpPr>
        <xdr:cNvPr id="363" name="Rectángulo 362">
          <a:extLst>
            <a:ext uri="{FF2B5EF4-FFF2-40B4-BE49-F238E27FC236}">
              <a16:creationId xmlns:a16="http://schemas.microsoft.com/office/drawing/2014/main" id="{00000000-0008-0000-0100-00006B010000}"/>
            </a:ext>
          </a:extLst>
        </xdr:cNvPr>
        <xdr:cNvSpPr/>
      </xdr:nvSpPr>
      <xdr:spPr>
        <a:xfrm>
          <a:off x="98679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2</xdr:col>
      <xdr:colOff>1066800</xdr:colOff>
      <xdr:row>0</xdr:row>
      <xdr:rowOff>0</xdr:rowOff>
    </xdr:from>
    <xdr:ext cx="0" cy="38100"/>
    <xdr:sp macro="" textlink="">
      <xdr:nvSpPr>
        <xdr:cNvPr id="364" name="CuadroTexto 363">
          <a:extLst>
            <a:ext uri="{FF2B5EF4-FFF2-40B4-BE49-F238E27FC236}">
              <a16:creationId xmlns:a16="http://schemas.microsoft.com/office/drawing/2014/main" id="{00000000-0008-0000-0100-00006C010000}"/>
            </a:ext>
          </a:extLst>
        </xdr:cNvPr>
        <xdr:cNvSpPr txBox="1"/>
      </xdr:nvSpPr>
      <xdr:spPr>
        <a:xfrm flipH="1">
          <a:off x="3295650" y="0"/>
          <a:ext cx="0" cy="38100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lvl="0" algn="ctr"/>
          <a:r>
            <a:rPr lang="es-MX" sz="1200" b="1">
              <a:solidFill>
                <a:sysClr val="windowText" lastClr="000000"/>
              </a:solidFill>
            </a:rPr>
            <a:t>ISLA 9: CAMBIO DE MIX POSICIONES 4, 5, 6 Y 7</a:t>
          </a: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365" name="Rectángulo 8">
          <a:extLst>
            <a:ext uri="{FF2B5EF4-FFF2-40B4-BE49-F238E27FC236}">
              <a16:creationId xmlns:a16="http://schemas.microsoft.com/office/drawing/2014/main" id="{00000000-0008-0000-0100-00006D01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366" name="Rectángulo 8">
          <a:extLst>
            <a:ext uri="{FF2B5EF4-FFF2-40B4-BE49-F238E27FC236}">
              <a16:creationId xmlns:a16="http://schemas.microsoft.com/office/drawing/2014/main" id="{00000000-0008-0000-0100-00006E01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367" name="rect">
          <a:extLst>
            <a:ext uri="{FF2B5EF4-FFF2-40B4-BE49-F238E27FC236}">
              <a16:creationId xmlns:a16="http://schemas.microsoft.com/office/drawing/2014/main" id="{00000000-0008-0000-0100-00006F01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368" name="rect">
          <a:extLst>
            <a:ext uri="{FF2B5EF4-FFF2-40B4-BE49-F238E27FC236}">
              <a16:creationId xmlns:a16="http://schemas.microsoft.com/office/drawing/2014/main" id="{00000000-0008-0000-0100-00007001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952500</xdr:colOff>
      <xdr:row>0</xdr:row>
      <xdr:rowOff>0</xdr:rowOff>
    </xdr:from>
    <xdr:ext cx="180975" cy="647700"/>
    <xdr:sp macro="" textlink="">
      <xdr:nvSpPr>
        <xdr:cNvPr id="369" name="Rectángulo 8">
          <a:extLst>
            <a:ext uri="{FF2B5EF4-FFF2-40B4-BE49-F238E27FC236}">
              <a16:creationId xmlns:a16="http://schemas.microsoft.com/office/drawing/2014/main" id="{00000000-0008-0000-0100-000071010000}"/>
            </a:ext>
          </a:extLst>
        </xdr:cNvPr>
        <xdr:cNvSpPr/>
      </xdr:nvSpPr>
      <xdr:spPr>
        <a:xfrm>
          <a:off x="98679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370" name="Rectángulo 8">
          <a:extLst>
            <a:ext uri="{FF2B5EF4-FFF2-40B4-BE49-F238E27FC236}">
              <a16:creationId xmlns:a16="http://schemas.microsoft.com/office/drawing/2014/main" id="{00000000-0008-0000-0100-00007201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371" name="Rectángulo 8">
          <a:extLst>
            <a:ext uri="{FF2B5EF4-FFF2-40B4-BE49-F238E27FC236}">
              <a16:creationId xmlns:a16="http://schemas.microsoft.com/office/drawing/2014/main" id="{00000000-0008-0000-0100-00007301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372" name="rect">
          <a:extLst>
            <a:ext uri="{FF2B5EF4-FFF2-40B4-BE49-F238E27FC236}">
              <a16:creationId xmlns:a16="http://schemas.microsoft.com/office/drawing/2014/main" id="{00000000-0008-0000-0100-00007401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373" name="rect">
          <a:extLst>
            <a:ext uri="{FF2B5EF4-FFF2-40B4-BE49-F238E27FC236}">
              <a16:creationId xmlns:a16="http://schemas.microsoft.com/office/drawing/2014/main" id="{00000000-0008-0000-0100-00007501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952500</xdr:colOff>
      <xdr:row>0</xdr:row>
      <xdr:rowOff>0</xdr:rowOff>
    </xdr:from>
    <xdr:ext cx="180975" cy="647700"/>
    <xdr:sp macro="" textlink="">
      <xdr:nvSpPr>
        <xdr:cNvPr id="374" name="Rectángulo 373">
          <a:extLst>
            <a:ext uri="{FF2B5EF4-FFF2-40B4-BE49-F238E27FC236}">
              <a16:creationId xmlns:a16="http://schemas.microsoft.com/office/drawing/2014/main" id="{00000000-0008-0000-0100-000076010000}"/>
            </a:ext>
          </a:extLst>
        </xdr:cNvPr>
        <xdr:cNvSpPr/>
      </xdr:nvSpPr>
      <xdr:spPr>
        <a:xfrm>
          <a:off x="98679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375" name="Rectángulo 8">
          <a:extLst>
            <a:ext uri="{FF2B5EF4-FFF2-40B4-BE49-F238E27FC236}">
              <a16:creationId xmlns:a16="http://schemas.microsoft.com/office/drawing/2014/main" id="{00000000-0008-0000-0100-00007701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376" name="Rectángulo 8">
          <a:extLst>
            <a:ext uri="{FF2B5EF4-FFF2-40B4-BE49-F238E27FC236}">
              <a16:creationId xmlns:a16="http://schemas.microsoft.com/office/drawing/2014/main" id="{00000000-0008-0000-0100-00007801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377" name="rect">
          <a:extLst>
            <a:ext uri="{FF2B5EF4-FFF2-40B4-BE49-F238E27FC236}">
              <a16:creationId xmlns:a16="http://schemas.microsoft.com/office/drawing/2014/main" id="{00000000-0008-0000-0100-00007901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378" name="rect">
          <a:extLst>
            <a:ext uri="{FF2B5EF4-FFF2-40B4-BE49-F238E27FC236}">
              <a16:creationId xmlns:a16="http://schemas.microsoft.com/office/drawing/2014/main" id="{00000000-0008-0000-0100-00007A01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952500</xdr:colOff>
      <xdr:row>0</xdr:row>
      <xdr:rowOff>0</xdr:rowOff>
    </xdr:from>
    <xdr:ext cx="180975" cy="647700"/>
    <xdr:sp macro="" textlink="">
      <xdr:nvSpPr>
        <xdr:cNvPr id="379" name="Rectángulo 8">
          <a:extLst>
            <a:ext uri="{FF2B5EF4-FFF2-40B4-BE49-F238E27FC236}">
              <a16:creationId xmlns:a16="http://schemas.microsoft.com/office/drawing/2014/main" id="{00000000-0008-0000-0100-00007B010000}"/>
            </a:ext>
          </a:extLst>
        </xdr:cNvPr>
        <xdr:cNvSpPr/>
      </xdr:nvSpPr>
      <xdr:spPr>
        <a:xfrm>
          <a:off x="98679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807383</xdr:colOff>
      <xdr:row>0</xdr:row>
      <xdr:rowOff>0</xdr:rowOff>
    </xdr:from>
    <xdr:ext cx="184731" cy="655885"/>
    <xdr:sp macro="" textlink="">
      <xdr:nvSpPr>
        <xdr:cNvPr id="380" name="Rectángulo 8">
          <a:extLst>
            <a:ext uri="{FF2B5EF4-FFF2-40B4-BE49-F238E27FC236}">
              <a16:creationId xmlns:a16="http://schemas.microsoft.com/office/drawing/2014/main" id="{00000000-0008-0000-0100-00007C010000}"/>
            </a:ext>
          </a:extLst>
        </xdr:cNvPr>
        <xdr:cNvSpPr/>
      </xdr:nvSpPr>
      <xdr:spPr>
        <a:xfrm>
          <a:off x="97227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0</xdr:row>
      <xdr:rowOff>0</xdr:rowOff>
    </xdr:from>
    <xdr:ext cx="184731" cy="655885"/>
    <xdr:sp macro="" textlink="">
      <xdr:nvSpPr>
        <xdr:cNvPr id="381" name="Rectángulo 8">
          <a:extLst>
            <a:ext uri="{FF2B5EF4-FFF2-40B4-BE49-F238E27FC236}">
              <a16:creationId xmlns:a16="http://schemas.microsoft.com/office/drawing/2014/main" id="{00000000-0008-0000-0100-00007D010000}"/>
            </a:ext>
          </a:extLst>
        </xdr:cNvPr>
        <xdr:cNvSpPr/>
      </xdr:nvSpPr>
      <xdr:spPr>
        <a:xfrm>
          <a:off x="97227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959783</xdr:colOff>
      <xdr:row>0</xdr:row>
      <xdr:rowOff>0</xdr:rowOff>
    </xdr:from>
    <xdr:ext cx="184731" cy="655885"/>
    <xdr:sp macro="" textlink="">
      <xdr:nvSpPr>
        <xdr:cNvPr id="382" name="Rectángulo 381">
          <a:extLst>
            <a:ext uri="{FF2B5EF4-FFF2-40B4-BE49-F238E27FC236}">
              <a16:creationId xmlns:a16="http://schemas.microsoft.com/office/drawing/2014/main" id="{00000000-0008-0000-0100-00007E010000}"/>
            </a:ext>
          </a:extLst>
        </xdr:cNvPr>
        <xdr:cNvSpPr/>
      </xdr:nvSpPr>
      <xdr:spPr>
        <a:xfrm>
          <a:off x="98751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0</xdr:row>
      <xdr:rowOff>0</xdr:rowOff>
    </xdr:from>
    <xdr:ext cx="184731" cy="655885"/>
    <xdr:sp macro="" textlink="">
      <xdr:nvSpPr>
        <xdr:cNvPr id="383" name="Rectángulo 382">
          <a:extLst>
            <a:ext uri="{FF2B5EF4-FFF2-40B4-BE49-F238E27FC236}">
              <a16:creationId xmlns:a16="http://schemas.microsoft.com/office/drawing/2014/main" id="{00000000-0008-0000-0100-00007F010000}"/>
            </a:ext>
          </a:extLst>
        </xdr:cNvPr>
        <xdr:cNvSpPr/>
      </xdr:nvSpPr>
      <xdr:spPr>
        <a:xfrm>
          <a:off x="97227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0</xdr:row>
      <xdr:rowOff>0</xdr:rowOff>
    </xdr:from>
    <xdr:ext cx="184731" cy="655885"/>
    <xdr:sp macro="" textlink="">
      <xdr:nvSpPr>
        <xdr:cNvPr id="384" name="Rectángulo 8">
          <a:extLst>
            <a:ext uri="{FF2B5EF4-FFF2-40B4-BE49-F238E27FC236}">
              <a16:creationId xmlns:a16="http://schemas.microsoft.com/office/drawing/2014/main" id="{00000000-0008-0000-0100-000080010000}"/>
            </a:ext>
          </a:extLst>
        </xdr:cNvPr>
        <xdr:cNvSpPr/>
      </xdr:nvSpPr>
      <xdr:spPr>
        <a:xfrm>
          <a:off x="97227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959783</xdr:colOff>
      <xdr:row>0</xdr:row>
      <xdr:rowOff>0</xdr:rowOff>
    </xdr:from>
    <xdr:ext cx="184731" cy="655885"/>
    <xdr:sp macro="" textlink="">
      <xdr:nvSpPr>
        <xdr:cNvPr id="385" name="Rectángulo 384">
          <a:extLst>
            <a:ext uri="{FF2B5EF4-FFF2-40B4-BE49-F238E27FC236}">
              <a16:creationId xmlns:a16="http://schemas.microsoft.com/office/drawing/2014/main" id="{00000000-0008-0000-0100-000081010000}"/>
            </a:ext>
          </a:extLst>
        </xdr:cNvPr>
        <xdr:cNvSpPr/>
      </xdr:nvSpPr>
      <xdr:spPr>
        <a:xfrm>
          <a:off x="98751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0</xdr:row>
      <xdr:rowOff>0</xdr:rowOff>
    </xdr:from>
    <xdr:ext cx="184731" cy="655885"/>
    <xdr:sp macro="" textlink="">
      <xdr:nvSpPr>
        <xdr:cNvPr id="386" name="Rectángulo 8">
          <a:extLst>
            <a:ext uri="{FF2B5EF4-FFF2-40B4-BE49-F238E27FC236}">
              <a16:creationId xmlns:a16="http://schemas.microsoft.com/office/drawing/2014/main" id="{00000000-0008-0000-0100-000082010000}"/>
            </a:ext>
          </a:extLst>
        </xdr:cNvPr>
        <xdr:cNvSpPr/>
      </xdr:nvSpPr>
      <xdr:spPr>
        <a:xfrm>
          <a:off x="97227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0</xdr:row>
      <xdr:rowOff>0</xdr:rowOff>
    </xdr:from>
    <xdr:ext cx="184731" cy="655885"/>
    <xdr:sp macro="" textlink="">
      <xdr:nvSpPr>
        <xdr:cNvPr id="387" name="Rectángulo 8">
          <a:extLst>
            <a:ext uri="{FF2B5EF4-FFF2-40B4-BE49-F238E27FC236}">
              <a16:creationId xmlns:a16="http://schemas.microsoft.com/office/drawing/2014/main" id="{00000000-0008-0000-0100-000083010000}"/>
            </a:ext>
          </a:extLst>
        </xdr:cNvPr>
        <xdr:cNvSpPr/>
      </xdr:nvSpPr>
      <xdr:spPr>
        <a:xfrm>
          <a:off x="97227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959783</xdr:colOff>
      <xdr:row>0</xdr:row>
      <xdr:rowOff>0</xdr:rowOff>
    </xdr:from>
    <xdr:ext cx="184731" cy="655885"/>
    <xdr:sp macro="" textlink="">
      <xdr:nvSpPr>
        <xdr:cNvPr id="388" name="Rectángulo 387">
          <a:extLst>
            <a:ext uri="{FF2B5EF4-FFF2-40B4-BE49-F238E27FC236}">
              <a16:creationId xmlns:a16="http://schemas.microsoft.com/office/drawing/2014/main" id="{00000000-0008-0000-0100-000084010000}"/>
            </a:ext>
          </a:extLst>
        </xdr:cNvPr>
        <xdr:cNvSpPr/>
      </xdr:nvSpPr>
      <xdr:spPr>
        <a:xfrm>
          <a:off x="98751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0</xdr:row>
      <xdr:rowOff>0</xdr:rowOff>
    </xdr:from>
    <xdr:ext cx="184731" cy="655885"/>
    <xdr:sp macro="" textlink="">
      <xdr:nvSpPr>
        <xdr:cNvPr id="389" name="Rectángulo 388">
          <a:extLst>
            <a:ext uri="{FF2B5EF4-FFF2-40B4-BE49-F238E27FC236}">
              <a16:creationId xmlns:a16="http://schemas.microsoft.com/office/drawing/2014/main" id="{00000000-0008-0000-0100-000085010000}"/>
            </a:ext>
          </a:extLst>
        </xdr:cNvPr>
        <xdr:cNvSpPr/>
      </xdr:nvSpPr>
      <xdr:spPr>
        <a:xfrm>
          <a:off x="97227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0</xdr:row>
      <xdr:rowOff>0</xdr:rowOff>
    </xdr:from>
    <xdr:ext cx="184731" cy="655885"/>
    <xdr:sp macro="" textlink="">
      <xdr:nvSpPr>
        <xdr:cNvPr id="390" name="Rectángulo 8">
          <a:extLst>
            <a:ext uri="{FF2B5EF4-FFF2-40B4-BE49-F238E27FC236}">
              <a16:creationId xmlns:a16="http://schemas.microsoft.com/office/drawing/2014/main" id="{00000000-0008-0000-0100-000086010000}"/>
            </a:ext>
          </a:extLst>
        </xdr:cNvPr>
        <xdr:cNvSpPr/>
      </xdr:nvSpPr>
      <xdr:spPr>
        <a:xfrm>
          <a:off x="97227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959783</xdr:colOff>
      <xdr:row>0</xdr:row>
      <xdr:rowOff>0</xdr:rowOff>
    </xdr:from>
    <xdr:ext cx="184731" cy="655885"/>
    <xdr:sp macro="" textlink="">
      <xdr:nvSpPr>
        <xdr:cNvPr id="391" name="Rectángulo 390">
          <a:extLst>
            <a:ext uri="{FF2B5EF4-FFF2-40B4-BE49-F238E27FC236}">
              <a16:creationId xmlns:a16="http://schemas.microsoft.com/office/drawing/2014/main" id="{00000000-0008-0000-0100-000087010000}"/>
            </a:ext>
          </a:extLst>
        </xdr:cNvPr>
        <xdr:cNvSpPr/>
      </xdr:nvSpPr>
      <xdr:spPr>
        <a:xfrm>
          <a:off x="98751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0</xdr:col>
      <xdr:colOff>959783</xdr:colOff>
      <xdr:row>0</xdr:row>
      <xdr:rowOff>0</xdr:rowOff>
    </xdr:from>
    <xdr:ext cx="184731" cy="655885"/>
    <xdr:sp macro="" textlink="">
      <xdr:nvSpPr>
        <xdr:cNvPr id="392" name="Rectángulo 391">
          <a:extLst>
            <a:ext uri="{FF2B5EF4-FFF2-40B4-BE49-F238E27FC236}">
              <a16:creationId xmlns:a16="http://schemas.microsoft.com/office/drawing/2014/main" id="{00000000-0008-0000-0100-000088010000}"/>
            </a:ext>
          </a:extLst>
        </xdr:cNvPr>
        <xdr:cNvSpPr/>
      </xdr:nvSpPr>
      <xdr:spPr>
        <a:xfrm>
          <a:off x="9597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0</xdr:col>
      <xdr:colOff>959783</xdr:colOff>
      <xdr:row>0</xdr:row>
      <xdr:rowOff>0</xdr:rowOff>
    </xdr:from>
    <xdr:ext cx="184731" cy="655885"/>
    <xdr:sp macro="" textlink="">
      <xdr:nvSpPr>
        <xdr:cNvPr id="393" name="Rectángulo 392">
          <a:extLst>
            <a:ext uri="{FF2B5EF4-FFF2-40B4-BE49-F238E27FC236}">
              <a16:creationId xmlns:a16="http://schemas.microsoft.com/office/drawing/2014/main" id="{00000000-0008-0000-0100-000089010000}"/>
            </a:ext>
          </a:extLst>
        </xdr:cNvPr>
        <xdr:cNvSpPr/>
      </xdr:nvSpPr>
      <xdr:spPr>
        <a:xfrm>
          <a:off x="9597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2</xdr:col>
      <xdr:colOff>1066800</xdr:colOff>
      <xdr:row>0</xdr:row>
      <xdr:rowOff>0</xdr:rowOff>
    </xdr:from>
    <xdr:ext cx="0" cy="38100"/>
    <xdr:sp macro="" textlink="">
      <xdr:nvSpPr>
        <xdr:cNvPr id="394" name="CuadroTexto 393">
          <a:extLst>
            <a:ext uri="{FF2B5EF4-FFF2-40B4-BE49-F238E27FC236}">
              <a16:creationId xmlns:a16="http://schemas.microsoft.com/office/drawing/2014/main" id="{00000000-0008-0000-0100-00008A010000}"/>
            </a:ext>
          </a:extLst>
        </xdr:cNvPr>
        <xdr:cNvSpPr txBox="1"/>
      </xdr:nvSpPr>
      <xdr:spPr>
        <a:xfrm flipH="1">
          <a:off x="3295650" y="0"/>
          <a:ext cx="0" cy="38100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lvl="0" algn="ctr"/>
          <a:r>
            <a:rPr lang="es-MX" sz="1200" b="1">
              <a:solidFill>
                <a:sysClr val="windowText" lastClr="000000"/>
              </a:solidFill>
            </a:rPr>
            <a:t>ISLA 9: CAMBIO DE MIX POSICIONES 4, 5, 6 Y 7</a:t>
          </a: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395" name="Rectángulo 8">
          <a:extLst>
            <a:ext uri="{FF2B5EF4-FFF2-40B4-BE49-F238E27FC236}">
              <a16:creationId xmlns:a16="http://schemas.microsoft.com/office/drawing/2014/main" id="{00000000-0008-0000-0100-00008B01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396" name="Rectángulo 8">
          <a:extLst>
            <a:ext uri="{FF2B5EF4-FFF2-40B4-BE49-F238E27FC236}">
              <a16:creationId xmlns:a16="http://schemas.microsoft.com/office/drawing/2014/main" id="{00000000-0008-0000-0100-00008C01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397" name="rect">
          <a:extLst>
            <a:ext uri="{FF2B5EF4-FFF2-40B4-BE49-F238E27FC236}">
              <a16:creationId xmlns:a16="http://schemas.microsoft.com/office/drawing/2014/main" id="{00000000-0008-0000-0100-00008D01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398" name="rect">
          <a:extLst>
            <a:ext uri="{FF2B5EF4-FFF2-40B4-BE49-F238E27FC236}">
              <a16:creationId xmlns:a16="http://schemas.microsoft.com/office/drawing/2014/main" id="{00000000-0008-0000-0100-00008E01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952500</xdr:colOff>
      <xdr:row>0</xdr:row>
      <xdr:rowOff>0</xdr:rowOff>
    </xdr:from>
    <xdr:ext cx="180975" cy="647700"/>
    <xdr:sp macro="" textlink="">
      <xdr:nvSpPr>
        <xdr:cNvPr id="399" name="Rectángulo 398">
          <a:extLst>
            <a:ext uri="{FF2B5EF4-FFF2-40B4-BE49-F238E27FC236}">
              <a16:creationId xmlns:a16="http://schemas.microsoft.com/office/drawing/2014/main" id="{00000000-0008-0000-0100-00008F010000}"/>
            </a:ext>
          </a:extLst>
        </xdr:cNvPr>
        <xdr:cNvSpPr/>
      </xdr:nvSpPr>
      <xdr:spPr>
        <a:xfrm>
          <a:off x="98679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400" name="Rectángulo 8">
          <a:extLst>
            <a:ext uri="{FF2B5EF4-FFF2-40B4-BE49-F238E27FC236}">
              <a16:creationId xmlns:a16="http://schemas.microsoft.com/office/drawing/2014/main" id="{00000000-0008-0000-0100-00009001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401" name="Rectángulo 8">
          <a:extLst>
            <a:ext uri="{FF2B5EF4-FFF2-40B4-BE49-F238E27FC236}">
              <a16:creationId xmlns:a16="http://schemas.microsoft.com/office/drawing/2014/main" id="{00000000-0008-0000-0100-00009101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402" name="rect">
          <a:extLst>
            <a:ext uri="{FF2B5EF4-FFF2-40B4-BE49-F238E27FC236}">
              <a16:creationId xmlns:a16="http://schemas.microsoft.com/office/drawing/2014/main" id="{00000000-0008-0000-0100-00009201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403" name="rect">
          <a:extLst>
            <a:ext uri="{FF2B5EF4-FFF2-40B4-BE49-F238E27FC236}">
              <a16:creationId xmlns:a16="http://schemas.microsoft.com/office/drawing/2014/main" id="{00000000-0008-0000-0100-00009301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952500</xdr:colOff>
      <xdr:row>0</xdr:row>
      <xdr:rowOff>0</xdr:rowOff>
    </xdr:from>
    <xdr:ext cx="180975" cy="647700"/>
    <xdr:sp macro="" textlink="">
      <xdr:nvSpPr>
        <xdr:cNvPr id="404" name="Rectángulo 8">
          <a:extLst>
            <a:ext uri="{FF2B5EF4-FFF2-40B4-BE49-F238E27FC236}">
              <a16:creationId xmlns:a16="http://schemas.microsoft.com/office/drawing/2014/main" id="{00000000-0008-0000-0100-000094010000}"/>
            </a:ext>
          </a:extLst>
        </xdr:cNvPr>
        <xdr:cNvSpPr/>
      </xdr:nvSpPr>
      <xdr:spPr>
        <a:xfrm>
          <a:off x="98679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405" name="Rectángulo 8">
          <a:extLst>
            <a:ext uri="{FF2B5EF4-FFF2-40B4-BE49-F238E27FC236}">
              <a16:creationId xmlns:a16="http://schemas.microsoft.com/office/drawing/2014/main" id="{00000000-0008-0000-0100-00009501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406" name="Rectángulo 8">
          <a:extLst>
            <a:ext uri="{FF2B5EF4-FFF2-40B4-BE49-F238E27FC236}">
              <a16:creationId xmlns:a16="http://schemas.microsoft.com/office/drawing/2014/main" id="{00000000-0008-0000-0100-00009601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407" name="rect">
          <a:extLst>
            <a:ext uri="{FF2B5EF4-FFF2-40B4-BE49-F238E27FC236}">
              <a16:creationId xmlns:a16="http://schemas.microsoft.com/office/drawing/2014/main" id="{00000000-0008-0000-0100-00009701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408" name="rect">
          <a:extLst>
            <a:ext uri="{FF2B5EF4-FFF2-40B4-BE49-F238E27FC236}">
              <a16:creationId xmlns:a16="http://schemas.microsoft.com/office/drawing/2014/main" id="{00000000-0008-0000-0100-00009801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952500</xdr:colOff>
      <xdr:row>0</xdr:row>
      <xdr:rowOff>0</xdr:rowOff>
    </xdr:from>
    <xdr:ext cx="180975" cy="647700"/>
    <xdr:sp macro="" textlink="">
      <xdr:nvSpPr>
        <xdr:cNvPr id="409" name="Rectángulo 408">
          <a:extLst>
            <a:ext uri="{FF2B5EF4-FFF2-40B4-BE49-F238E27FC236}">
              <a16:creationId xmlns:a16="http://schemas.microsoft.com/office/drawing/2014/main" id="{00000000-0008-0000-0100-000099010000}"/>
            </a:ext>
          </a:extLst>
        </xdr:cNvPr>
        <xdr:cNvSpPr/>
      </xdr:nvSpPr>
      <xdr:spPr>
        <a:xfrm>
          <a:off x="98679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410" name="Rectángulo 8">
          <a:extLst>
            <a:ext uri="{FF2B5EF4-FFF2-40B4-BE49-F238E27FC236}">
              <a16:creationId xmlns:a16="http://schemas.microsoft.com/office/drawing/2014/main" id="{00000000-0008-0000-0100-00009A01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411" name="Rectángulo 8">
          <a:extLst>
            <a:ext uri="{FF2B5EF4-FFF2-40B4-BE49-F238E27FC236}">
              <a16:creationId xmlns:a16="http://schemas.microsoft.com/office/drawing/2014/main" id="{00000000-0008-0000-0100-00009B01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412" name="rect">
          <a:extLst>
            <a:ext uri="{FF2B5EF4-FFF2-40B4-BE49-F238E27FC236}">
              <a16:creationId xmlns:a16="http://schemas.microsoft.com/office/drawing/2014/main" id="{00000000-0008-0000-0100-00009C01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413" name="rect">
          <a:extLst>
            <a:ext uri="{FF2B5EF4-FFF2-40B4-BE49-F238E27FC236}">
              <a16:creationId xmlns:a16="http://schemas.microsoft.com/office/drawing/2014/main" id="{00000000-0008-0000-0100-00009D01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952500</xdr:colOff>
      <xdr:row>0</xdr:row>
      <xdr:rowOff>0</xdr:rowOff>
    </xdr:from>
    <xdr:ext cx="180975" cy="647700"/>
    <xdr:sp macro="" textlink="">
      <xdr:nvSpPr>
        <xdr:cNvPr id="414" name="Rectángulo 8">
          <a:extLst>
            <a:ext uri="{FF2B5EF4-FFF2-40B4-BE49-F238E27FC236}">
              <a16:creationId xmlns:a16="http://schemas.microsoft.com/office/drawing/2014/main" id="{00000000-0008-0000-0100-00009E010000}"/>
            </a:ext>
          </a:extLst>
        </xdr:cNvPr>
        <xdr:cNvSpPr/>
      </xdr:nvSpPr>
      <xdr:spPr>
        <a:xfrm>
          <a:off x="98679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415" name="Rectángulo 8">
          <a:extLst>
            <a:ext uri="{FF2B5EF4-FFF2-40B4-BE49-F238E27FC236}">
              <a16:creationId xmlns:a16="http://schemas.microsoft.com/office/drawing/2014/main" id="{00000000-0008-0000-0100-00009F01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416" name="Rectángulo 415">
          <a:extLst>
            <a:ext uri="{FF2B5EF4-FFF2-40B4-BE49-F238E27FC236}">
              <a16:creationId xmlns:a16="http://schemas.microsoft.com/office/drawing/2014/main" id="{00000000-0008-0000-0100-0000A001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417" name="rect">
          <a:extLst>
            <a:ext uri="{FF2B5EF4-FFF2-40B4-BE49-F238E27FC236}">
              <a16:creationId xmlns:a16="http://schemas.microsoft.com/office/drawing/2014/main" id="{00000000-0008-0000-0100-0000A101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418" name="rect">
          <a:extLst>
            <a:ext uri="{FF2B5EF4-FFF2-40B4-BE49-F238E27FC236}">
              <a16:creationId xmlns:a16="http://schemas.microsoft.com/office/drawing/2014/main" id="{00000000-0008-0000-0100-0000A201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952500</xdr:colOff>
      <xdr:row>0</xdr:row>
      <xdr:rowOff>0</xdr:rowOff>
    </xdr:from>
    <xdr:ext cx="180975" cy="647700"/>
    <xdr:sp macro="" textlink="">
      <xdr:nvSpPr>
        <xdr:cNvPr id="419" name="Rectángulo 418">
          <a:extLst>
            <a:ext uri="{FF2B5EF4-FFF2-40B4-BE49-F238E27FC236}">
              <a16:creationId xmlns:a16="http://schemas.microsoft.com/office/drawing/2014/main" id="{00000000-0008-0000-0100-0000A3010000}"/>
            </a:ext>
          </a:extLst>
        </xdr:cNvPr>
        <xdr:cNvSpPr/>
      </xdr:nvSpPr>
      <xdr:spPr>
        <a:xfrm>
          <a:off x="98679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2</xdr:col>
      <xdr:colOff>1066800</xdr:colOff>
      <xdr:row>0</xdr:row>
      <xdr:rowOff>0</xdr:rowOff>
    </xdr:from>
    <xdr:ext cx="0" cy="38100"/>
    <xdr:sp macro="" textlink="">
      <xdr:nvSpPr>
        <xdr:cNvPr id="420" name="CuadroTexto 419">
          <a:extLst>
            <a:ext uri="{FF2B5EF4-FFF2-40B4-BE49-F238E27FC236}">
              <a16:creationId xmlns:a16="http://schemas.microsoft.com/office/drawing/2014/main" id="{00000000-0008-0000-0100-0000A4010000}"/>
            </a:ext>
          </a:extLst>
        </xdr:cNvPr>
        <xdr:cNvSpPr txBox="1"/>
      </xdr:nvSpPr>
      <xdr:spPr>
        <a:xfrm flipH="1">
          <a:off x="3295650" y="0"/>
          <a:ext cx="0" cy="38100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lvl="0" algn="ctr"/>
          <a:r>
            <a:rPr lang="es-MX" sz="1200" b="1">
              <a:solidFill>
                <a:sysClr val="windowText" lastClr="000000"/>
              </a:solidFill>
            </a:rPr>
            <a:t>ISLA 9: CAMBIO DE MIX POSICIONES 4, 5, 6 Y 7</a:t>
          </a: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421" name="Rectángulo 8">
          <a:extLst>
            <a:ext uri="{FF2B5EF4-FFF2-40B4-BE49-F238E27FC236}">
              <a16:creationId xmlns:a16="http://schemas.microsoft.com/office/drawing/2014/main" id="{00000000-0008-0000-0100-0000A501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422" name="Rectángulo 8">
          <a:extLst>
            <a:ext uri="{FF2B5EF4-FFF2-40B4-BE49-F238E27FC236}">
              <a16:creationId xmlns:a16="http://schemas.microsoft.com/office/drawing/2014/main" id="{00000000-0008-0000-0100-0000A601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423" name="rect">
          <a:extLst>
            <a:ext uri="{FF2B5EF4-FFF2-40B4-BE49-F238E27FC236}">
              <a16:creationId xmlns:a16="http://schemas.microsoft.com/office/drawing/2014/main" id="{00000000-0008-0000-0100-0000A701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424" name="rect">
          <a:extLst>
            <a:ext uri="{FF2B5EF4-FFF2-40B4-BE49-F238E27FC236}">
              <a16:creationId xmlns:a16="http://schemas.microsoft.com/office/drawing/2014/main" id="{00000000-0008-0000-0100-0000A801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952500</xdr:colOff>
      <xdr:row>0</xdr:row>
      <xdr:rowOff>0</xdr:rowOff>
    </xdr:from>
    <xdr:ext cx="180975" cy="647700"/>
    <xdr:sp macro="" textlink="">
      <xdr:nvSpPr>
        <xdr:cNvPr id="425" name="Rectángulo 8">
          <a:extLst>
            <a:ext uri="{FF2B5EF4-FFF2-40B4-BE49-F238E27FC236}">
              <a16:creationId xmlns:a16="http://schemas.microsoft.com/office/drawing/2014/main" id="{00000000-0008-0000-0100-0000A9010000}"/>
            </a:ext>
          </a:extLst>
        </xdr:cNvPr>
        <xdr:cNvSpPr/>
      </xdr:nvSpPr>
      <xdr:spPr>
        <a:xfrm>
          <a:off x="98679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426" name="Rectángulo 8">
          <a:extLst>
            <a:ext uri="{FF2B5EF4-FFF2-40B4-BE49-F238E27FC236}">
              <a16:creationId xmlns:a16="http://schemas.microsoft.com/office/drawing/2014/main" id="{00000000-0008-0000-0100-0000AA01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427" name="Rectángulo 8">
          <a:extLst>
            <a:ext uri="{FF2B5EF4-FFF2-40B4-BE49-F238E27FC236}">
              <a16:creationId xmlns:a16="http://schemas.microsoft.com/office/drawing/2014/main" id="{00000000-0008-0000-0100-0000AB01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428" name="rect">
          <a:extLst>
            <a:ext uri="{FF2B5EF4-FFF2-40B4-BE49-F238E27FC236}">
              <a16:creationId xmlns:a16="http://schemas.microsoft.com/office/drawing/2014/main" id="{00000000-0008-0000-0100-0000AC01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429" name="rect">
          <a:extLst>
            <a:ext uri="{FF2B5EF4-FFF2-40B4-BE49-F238E27FC236}">
              <a16:creationId xmlns:a16="http://schemas.microsoft.com/office/drawing/2014/main" id="{00000000-0008-0000-0100-0000AD01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952500</xdr:colOff>
      <xdr:row>0</xdr:row>
      <xdr:rowOff>0</xdr:rowOff>
    </xdr:from>
    <xdr:ext cx="180975" cy="647700"/>
    <xdr:sp macro="" textlink="">
      <xdr:nvSpPr>
        <xdr:cNvPr id="430" name="Rectángulo 429">
          <a:extLst>
            <a:ext uri="{FF2B5EF4-FFF2-40B4-BE49-F238E27FC236}">
              <a16:creationId xmlns:a16="http://schemas.microsoft.com/office/drawing/2014/main" id="{00000000-0008-0000-0100-0000AE010000}"/>
            </a:ext>
          </a:extLst>
        </xdr:cNvPr>
        <xdr:cNvSpPr/>
      </xdr:nvSpPr>
      <xdr:spPr>
        <a:xfrm>
          <a:off x="98679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431" name="Rectángulo 8">
          <a:extLst>
            <a:ext uri="{FF2B5EF4-FFF2-40B4-BE49-F238E27FC236}">
              <a16:creationId xmlns:a16="http://schemas.microsoft.com/office/drawing/2014/main" id="{00000000-0008-0000-0100-0000AF01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432" name="Rectángulo 8">
          <a:extLst>
            <a:ext uri="{FF2B5EF4-FFF2-40B4-BE49-F238E27FC236}">
              <a16:creationId xmlns:a16="http://schemas.microsoft.com/office/drawing/2014/main" id="{00000000-0008-0000-0100-0000B001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433" name="rect">
          <a:extLst>
            <a:ext uri="{FF2B5EF4-FFF2-40B4-BE49-F238E27FC236}">
              <a16:creationId xmlns:a16="http://schemas.microsoft.com/office/drawing/2014/main" id="{00000000-0008-0000-0100-0000B101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434" name="rect">
          <a:extLst>
            <a:ext uri="{FF2B5EF4-FFF2-40B4-BE49-F238E27FC236}">
              <a16:creationId xmlns:a16="http://schemas.microsoft.com/office/drawing/2014/main" id="{00000000-0008-0000-0100-0000B201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952500</xdr:colOff>
      <xdr:row>0</xdr:row>
      <xdr:rowOff>0</xdr:rowOff>
    </xdr:from>
    <xdr:ext cx="180975" cy="647700"/>
    <xdr:sp macro="" textlink="">
      <xdr:nvSpPr>
        <xdr:cNvPr id="435" name="Rectángulo 8">
          <a:extLst>
            <a:ext uri="{FF2B5EF4-FFF2-40B4-BE49-F238E27FC236}">
              <a16:creationId xmlns:a16="http://schemas.microsoft.com/office/drawing/2014/main" id="{00000000-0008-0000-0100-0000B3010000}"/>
            </a:ext>
          </a:extLst>
        </xdr:cNvPr>
        <xdr:cNvSpPr/>
      </xdr:nvSpPr>
      <xdr:spPr>
        <a:xfrm>
          <a:off x="98679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807383</xdr:colOff>
      <xdr:row>0</xdr:row>
      <xdr:rowOff>0</xdr:rowOff>
    </xdr:from>
    <xdr:ext cx="184731" cy="655885"/>
    <xdr:sp macro="" textlink="">
      <xdr:nvSpPr>
        <xdr:cNvPr id="436" name="Rectángulo 8">
          <a:extLst>
            <a:ext uri="{FF2B5EF4-FFF2-40B4-BE49-F238E27FC236}">
              <a16:creationId xmlns:a16="http://schemas.microsoft.com/office/drawing/2014/main" id="{00000000-0008-0000-0100-0000B4010000}"/>
            </a:ext>
          </a:extLst>
        </xdr:cNvPr>
        <xdr:cNvSpPr/>
      </xdr:nvSpPr>
      <xdr:spPr>
        <a:xfrm>
          <a:off x="97227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0</xdr:row>
      <xdr:rowOff>0</xdr:rowOff>
    </xdr:from>
    <xdr:ext cx="184731" cy="655885"/>
    <xdr:sp macro="" textlink="">
      <xdr:nvSpPr>
        <xdr:cNvPr id="437" name="Rectángulo 8">
          <a:extLst>
            <a:ext uri="{FF2B5EF4-FFF2-40B4-BE49-F238E27FC236}">
              <a16:creationId xmlns:a16="http://schemas.microsoft.com/office/drawing/2014/main" id="{00000000-0008-0000-0100-0000B5010000}"/>
            </a:ext>
          </a:extLst>
        </xdr:cNvPr>
        <xdr:cNvSpPr/>
      </xdr:nvSpPr>
      <xdr:spPr>
        <a:xfrm>
          <a:off x="97227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959783</xdr:colOff>
      <xdr:row>0</xdr:row>
      <xdr:rowOff>0</xdr:rowOff>
    </xdr:from>
    <xdr:ext cx="184731" cy="655885"/>
    <xdr:sp macro="" textlink="">
      <xdr:nvSpPr>
        <xdr:cNvPr id="438" name="Rectángulo 437">
          <a:extLst>
            <a:ext uri="{FF2B5EF4-FFF2-40B4-BE49-F238E27FC236}">
              <a16:creationId xmlns:a16="http://schemas.microsoft.com/office/drawing/2014/main" id="{00000000-0008-0000-0100-0000B6010000}"/>
            </a:ext>
          </a:extLst>
        </xdr:cNvPr>
        <xdr:cNvSpPr/>
      </xdr:nvSpPr>
      <xdr:spPr>
        <a:xfrm>
          <a:off x="98751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0</xdr:row>
      <xdr:rowOff>0</xdr:rowOff>
    </xdr:from>
    <xdr:ext cx="184731" cy="655885"/>
    <xdr:sp macro="" textlink="">
      <xdr:nvSpPr>
        <xdr:cNvPr id="439" name="Rectángulo 438">
          <a:extLst>
            <a:ext uri="{FF2B5EF4-FFF2-40B4-BE49-F238E27FC236}">
              <a16:creationId xmlns:a16="http://schemas.microsoft.com/office/drawing/2014/main" id="{00000000-0008-0000-0100-0000B7010000}"/>
            </a:ext>
          </a:extLst>
        </xdr:cNvPr>
        <xdr:cNvSpPr/>
      </xdr:nvSpPr>
      <xdr:spPr>
        <a:xfrm>
          <a:off x="97227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0</xdr:row>
      <xdr:rowOff>0</xdr:rowOff>
    </xdr:from>
    <xdr:ext cx="184731" cy="655885"/>
    <xdr:sp macro="" textlink="">
      <xdr:nvSpPr>
        <xdr:cNvPr id="440" name="Rectángulo 8">
          <a:extLst>
            <a:ext uri="{FF2B5EF4-FFF2-40B4-BE49-F238E27FC236}">
              <a16:creationId xmlns:a16="http://schemas.microsoft.com/office/drawing/2014/main" id="{00000000-0008-0000-0100-0000B8010000}"/>
            </a:ext>
          </a:extLst>
        </xdr:cNvPr>
        <xdr:cNvSpPr/>
      </xdr:nvSpPr>
      <xdr:spPr>
        <a:xfrm>
          <a:off x="97227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959783</xdr:colOff>
      <xdr:row>0</xdr:row>
      <xdr:rowOff>0</xdr:rowOff>
    </xdr:from>
    <xdr:ext cx="184731" cy="655885"/>
    <xdr:sp macro="" textlink="">
      <xdr:nvSpPr>
        <xdr:cNvPr id="441" name="Rectángulo 440">
          <a:extLst>
            <a:ext uri="{FF2B5EF4-FFF2-40B4-BE49-F238E27FC236}">
              <a16:creationId xmlns:a16="http://schemas.microsoft.com/office/drawing/2014/main" id="{00000000-0008-0000-0100-0000B9010000}"/>
            </a:ext>
          </a:extLst>
        </xdr:cNvPr>
        <xdr:cNvSpPr/>
      </xdr:nvSpPr>
      <xdr:spPr>
        <a:xfrm>
          <a:off x="98751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0</xdr:row>
      <xdr:rowOff>0</xdr:rowOff>
    </xdr:from>
    <xdr:ext cx="184731" cy="655885"/>
    <xdr:sp macro="" textlink="">
      <xdr:nvSpPr>
        <xdr:cNvPr id="442" name="Rectángulo 8">
          <a:extLst>
            <a:ext uri="{FF2B5EF4-FFF2-40B4-BE49-F238E27FC236}">
              <a16:creationId xmlns:a16="http://schemas.microsoft.com/office/drawing/2014/main" id="{00000000-0008-0000-0100-0000BA010000}"/>
            </a:ext>
          </a:extLst>
        </xdr:cNvPr>
        <xdr:cNvSpPr/>
      </xdr:nvSpPr>
      <xdr:spPr>
        <a:xfrm>
          <a:off x="97227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0</xdr:row>
      <xdr:rowOff>0</xdr:rowOff>
    </xdr:from>
    <xdr:ext cx="184731" cy="655885"/>
    <xdr:sp macro="" textlink="">
      <xdr:nvSpPr>
        <xdr:cNvPr id="443" name="Rectángulo 8">
          <a:extLst>
            <a:ext uri="{FF2B5EF4-FFF2-40B4-BE49-F238E27FC236}">
              <a16:creationId xmlns:a16="http://schemas.microsoft.com/office/drawing/2014/main" id="{00000000-0008-0000-0100-0000BB010000}"/>
            </a:ext>
          </a:extLst>
        </xdr:cNvPr>
        <xdr:cNvSpPr/>
      </xdr:nvSpPr>
      <xdr:spPr>
        <a:xfrm>
          <a:off x="97227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959783</xdr:colOff>
      <xdr:row>0</xdr:row>
      <xdr:rowOff>0</xdr:rowOff>
    </xdr:from>
    <xdr:ext cx="184731" cy="655885"/>
    <xdr:sp macro="" textlink="">
      <xdr:nvSpPr>
        <xdr:cNvPr id="444" name="Rectángulo 443">
          <a:extLst>
            <a:ext uri="{FF2B5EF4-FFF2-40B4-BE49-F238E27FC236}">
              <a16:creationId xmlns:a16="http://schemas.microsoft.com/office/drawing/2014/main" id="{00000000-0008-0000-0100-0000BC010000}"/>
            </a:ext>
          </a:extLst>
        </xdr:cNvPr>
        <xdr:cNvSpPr/>
      </xdr:nvSpPr>
      <xdr:spPr>
        <a:xfrm>
          <a:off x="98751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0</xdr:row>
      <xdr:rowOff>0</xdr:rowOff>
    </xdr:from>
    <xdr:ext cx="184731" cy="655885"/>
    <xdr:sp macro="" textlink="">
      <xdr:nvSpPr>
        <xdr:cNvPr id="445" name="Rectángulo 444">
          <a:extLst>
            <a:ext uri="{FF2B5EF4-FFF2-40B4-BE49-F238E27FC236}">
              <a16:creationId xmlns:a16="http://schemas.microsoft.com/office/drawing/2014/main" id="{00000000-0008-0000-0100-0000BD010000}"/>
            </a:ext>
          </a:extLst>
        </xdr:cNvPr>
        <xdr:cNvSpPr/>
      </xdr:nvSpPr>
      <xdr:spPr>
        <a:xfrm>
          <a:off x="97227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0</xdr:row>
      <xdr:rowOff>0</xdr:rowOff>
    </xdr:from>
    <xdr:ext cx="184731" cy="655885"/>
    <xdr:sp macro="" textlink="">
      <xdr:nvSpPr>
        <xdr:cNvPr id="446" name="Rectángulo 8">
          <a:extLst>
            <a:ext uri="{FF2B5EF4-FFF2-40B4-BE49-F238E27FC236}">
              <a16:creationId xmlns:a16="http://schemas.microsoft.com/office/drawing/2014/main" id="{00000000-0008-0000-0100-0000BE010000}"/>
            </a:ext>
          </a:extLst>
        </xdr:cNvPr>
        <xdr:cNvSpPr/>
      </xdr:nvSpPr>
      <xdr:spPr>
        <a:xfrm>
          <a:off x="97227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959783</xdr:colOff>
      <xdr:row>0</xdr:row>
      <xdr:rowOff>0</xdr:rowOff>
    </xdr:from>
    <xdr:ext cx="184731" cy="655885"/>
    <xdr:sp macro="" textlink="">
      <xdr:nvSpPr>
        <xdr:cNvPr id="447" name="Rectángulo 446">
          <a:extLst>
            <a:ext uri="{FF2B5EF4-FFF2-40B4-BE49-F238E27FC236}">
              <a16:creationId xmlns:a16="http://schemas.microsoft.com/office/drawing/2014/main" id="{00000000-0008-0000-0100-0000BF010000}"/>
            </a:ext>
          </a:extLst>
        </xdr:cNvPr>
        <xdr:cNvSpPr/>
      </xdr:nvSpPr>
      <xdr:spPr>
        <a:xfrm>
          <a:off x="98751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0</xdr:col>
      <xdr:colOff>959783</xdr:colOff>
      <xdr:row>0</xdr:row>
      <xdr:rowOff>0</xdr:rowOff>
    </xdr:from>
    <xdr:ext cx="184731" cy="655885"/>
    <xdr:sp macro="" textlink="">
      <xdr:nvSpPr>
        <xdr:cNvPr id="448" name="Rectángulo 447">
          <a:extLst>
            <a:ext uri="{FF2B5EF4-FFF2-40B4-BE49-F238E27FC236}">
              <a16:creationId xmlns:a16="http://schemas.microsoft.com/office/drawing/2014/main" id="{00000000-0008-0000-0100-0000C0010000}"/>
            </a:ext>
          </a:extLst>
        </xdr:cNvPr>
        <xdr:cNvSpPr/>
      </xdr:nvSpPr>
      <xdr:spPr>
        <a:xfrm>
          <a:off x="9597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0</xdr:col>
      <xdr:colOff>959783</xdr:colOff>
      <xdr:row>0</xdr:row>
      <xdr:rowOff>0</xdr:rowOff>
    </xdr:from>
    <xdr:ext cx="184731" cy="655885"/>
    <xdr:sp macro="" textlink="">
      <xdr:nvSpPr>
        <xdr:cNvPr id="449" name="Rectángulo 448">
          <a:extLst>
            <a:ext uri="{FF2B5EF4-FFF2-40B4-BE49-F238E27FC236}">
              <a16:creationId xmlns:a16="http://schemas.microsoft.com/office/drawing/2014/main" id="{00000000-0008-0000-0100-0000C1010000}"/>
            </a:ext>
          </a:extLst>
        </xdr:cNvPr>
        <xdr:cNvSpPr/>
      </xdr:nvSpPr>
      <xdr:spPr>
        <a:xfrm>
          <a:off x="9597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2</xdr:col>
      <xdr:colOff>1066800</xdr:colOff>
      <xdr:row>6</xdr:row>
      <xdr:rowOff>19050</xdr:rowOff>
    </xdr:from>
    <xdr:ext cx="0" cy="38100"/>
    <xdr:sp macro="" textlink="">
      <xdr:nvSpPr>
        <xdr:cNvPr id="450" name="CuadroTexto 449">
          <a:extLst>
            <a:ext uri="{FF2B5EF4-FFF2-40B4-BE49-F238E27FC236}">
              <a16:creationId xmlns:a16="http://schemas.microsoft.com/office/drawing/2014/main" id="{00000000-0008-0000-0100-0000C2010000}"/>
            </a:ext>
          </a:extLst>
        </xdr:cNvPr>
        <xdr:cNvSpPr txBox="1"/>
      </xdr:nvSpPr>
      <xdr:spPr>
        <a:xfrm flipH="1">
          <a:off x="3295650" y="1333500"/>
          <a:ext cx="0" cy="38100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lvl="0" algn="ctr"/>
          <a:r>
            <a:rPr lang="es-MX" sz="1200" b="1">
              <a:solidFill>
                <a:sysClr val="windowText" lastClr="000000"/>
              </a:solidFill>
            </a:rPr>
            <a:t>ISLA 9: CAMBIO DE MIX POSICIONES 4, 5, 6 Y 7</a:t>
          </a:r>
        </a:p>
      </xdr:txBody>
    </xdr:sp>
    <xdr:clientData fLocksWithSheet="0"/>
  </xdr:oneCellAnchor>
  <xdr:oneCellAnchor>
    <xdr:from>
      <xdr:col>8</xdr:col>
      <xdr:colOff>800100</xdr:colOff>
      <xdr:row>11</xdr:row>
      <xdr:rowOff>104775</xdr:rowOff>
    </xdr:from>
    <xdr:ext cx="180975" cy="647700"/>
    <xdr:sp macro="" textlink="">
      <xdr:nvSpPr>
        <xdr:cNvPr id="451" name="Rectángulo 8">
          <a:extLst>
            <a:ext uri="{FF2B5EF4-FFF2-40B4-BE49-F238E27FC236}">
              <a16:creationId xmlns:a16="http://schemas.microsoft.com/office/drawing/2014/main" id="{00000000-0008-0000-0100-0000C3010000}"/>
            </a:ext>
          </a:extLst>
        </xdr:cNvPr>
        <xdr:cNvSpPr/>
      </xdr:nvSpPr>
      <xdr:spPr>
        <a:xfrm>
          <a:off x="9715500" y="251460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11</xdr:row>
      <xdr:rowOff>104775</xdr:rowOff>
    </xdr:from>
    <xdr:ext cx="180975" cy="647700"/>
    <xdr:sp macro="" textlink="">
      <xdr:nvSpPr>
        <xdr:cNvPr id="452" name="Rectángulo 8">
          <a:extLst>
            <a:ext uri="{FF2B5EF4-FFF2-40B4-BE49-F238E27FC236}">
              <a16:creationId xmlns:a16="http://schemas.microsoft.com/office/drawing/2014/main" id="{00000000-0008-0000-0100-0000C4010000}"/>
            </a:ext>
          </a:extLst>
        </xdr:cNvPr>
        <xdr:cNvSpPr/>
      </xdr:nvSpPr>
      <xdr:spPr>
        <a:xfrm>
          <a:off x="9715500" y="251460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11</xdr:row>
      <xdr:rowOff>57150</xdr:rowOff>
    </xdr:from>
    <xdr:ext cx="0" cy="561975"/>
    <xdr:sp macro="" textlink="">
      <xdr:nvSpPr>
        <xdr:cNvPr id="453" name="rect">
          <a:extLst>
            <a:ext uri="{FF2B5EF4-FFF2-40B4-BE49-F238E27FC236}">
              <a16:creationId xmlns:a16="http://schemas.microsoft.com/office/drawing/2014/main" id="{00000000-0008-0000-0100-0000C5010000}"/>
            </a:ext>
          </a:extLst>
        </xdr:cNvPr>
        <xdr:cNvSpPr/>
      </xdr:nvSpPr>
      <xdr:spPr>
        <a:xfrm>
          <a:off x="9715500" y="2466975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800100</xdr:colOff>
      <xdr:row>11</xdr:row>
      <xdr:rowOff>57150</xdr:rowOff>
    </xdr:from>
    <xdr:ext cx="0" cy="561975"/>
    <xdr:sp macro="" textlink="">
      <xdr:nvSpPr>
        <xdr:cNvPr id="454" name="rect">
          <a:extLst>
            <a:ext uri="{FF2B5EF4-FFF2-40B4-BE49-F238E27FC236}">
              <a16:creationId xmlns:a16="http://schemas.microsoft.com/office/drawing/2014/main" id="{00000000-0008-0000-0100-0000C6010000}"/>
            </a:ext>
          </a:extLst>
        </xdr:cNvPr>
        <xdr:cNvSpPr/>
      </xdr:nvSpPr>
      <xdr:spPr>
        <a:xfrm>
          <a:off x="9715500" y="2466975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952500</xdr:colOff>
      <xdr:row>13</xdr:row>
      <xdr:rowOff>219075</xdr:rowOff>
    </xdr:from>
    <xdr:ext cx="180975" cy="647700"/>
    <xdr:sp macro="" textlink="">
      <xdr:nvSpPr>
        <xdr:cNvPr id="455" name="Rectángulo 454">
          <a:extLst>
            <a:ext uri="{FF2B5EF4-FFF2-40B4-BE49-F238E27FC236}">
              <a16:creationId xmlns:a16="http://schemas.microsoft.com/office/drawing/2014/main" id="{00000000-0008-0000-0100-0000C7010000}"/>
            </a:ext>
          </a:extLst>
        </xdr:cNvPr>
        <xdr:cNvSpPr/>
      </xdr:nvSpPr>
      <xdr:spPr>
        <a:xfrm>
          <a:off x="9867900" y="306705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11</xdr:row>
      <xdr:rowOff>104775</xdr:rowOff>
    </xdr:from>
    <xdr:ext cx="180975" cy="647700"/>
    <xdr:sp macro="" textlink="">
      <xdr:nvSpPr>
        <xdr:cNvPr id="456" name="Rectángulo 8">
          <a:extLst>
            <a:ext uri="{FF2B5EF4-FFF2-40B4-BE49-F238E27FC236}">
              <a16:creationId xmlns:a16="http://schemas.microsoft.com/office/drawing/2014/main" id="{00000000-0008-0000-0100-0000C8010000}"/>
            </a:ext>
          </a:extLst>
        </xdr:cNvPr>
        <xdr:cNvSpPr/>
      </xdr:nvSpPr>
      <xdr:spPr>
        <a:xfrm>
          <a:off x="9715500" y="251460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11</xdr:row>
      <xdr:rowOff>104775</xdr:rowOff>
    </xdr:from>
    <xdr:ext cx="180975" cy="647700"/>
    <xdr:sp macro="" textlink="">
      <xdr:nvSpPr>
        <xdr:cNvPr id="457" name="Rectángulo 8">
          <a:extLst>
            <a:ext uri="{FF2B5EF4-FFF2-40B4-BE49-F238E27FC236}">
              <a16:creationId xmlns:a16="http://schemas.microsoft.com/office/drawing/2014/main" id="{00000000-0008-0000-0100-0000C9010000}"/>
            </a:ext>
          </a:extLst>
        </xdr:cNvPr>
        <xdr:cNvSpPr/>
      </xdr:nvSpPr>
      <xdr:spPr>
        <a:xfrm>
          <a:off x="9715500" y="251460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11</xdr:row>
      <xdr:rowOff>57150</xdr:rowOff>
    </xdr:from>
    <xdr:ext cx="0" cy="561975"/>
    <xdr:sp macro="" textlink="">
      <xdr:nvSpPr>
        <xdr:cNvPr id="458" name="rect">
          <a:extLst>
            <a:ext uri="{FF2B5EF4-FFF2-40B4-BE49-F238E27FC236}">
              <a16:creationId xmlns:a16="http://schemas.microsoft.com/office/drawing/2014/main" id="{00000000-0008-0000-0100-0000CA010000}"/>
            </a:ext>
          </a:extLst>
        </xdr:cNvPr>
        <xdr:cNvSpPr/>
      </xdr:nvSpPr>
      <xdr:spPr>
        <a:xfrm>
          <a:off x="9715500" y="2466975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800100</xdr:colOff>
      <xdr:row>11</xdr:row>
      <xdr:rowOff>57150</xdr:rowOff>
    </xdr:from>
    <xdr:ext cx="0" cy="561975"/>
    <xdr:sp macro="" textlink="">
      <xdr:nvSpPr>
        <xdr:cNvPr id="459" name="rect">
          <a:extLst>
            <a:ext uri="{FF2B5EF4-FFF2-40B4-BE49-F238E27FC236}">
              <a16:creationId xmlns:a16="http://schemas.microsoft.com/office/drawing/2014/main" id="{00000000-0008-0000-0100-0000CB010000}"/>
            </a:ext>
          </a:extLst>
        </xdr:cNvPr>
        <xdr:cNvSpPr/>
      </xdr:nvSpPr>
      <xdr:spPr>
        <a:xfrm>
          <a:off x="9715500" y="2466975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952500</xdr:colOff>
      <xdr:row>13</xdr:row>
      <xdr:rowOff>219075</xdr:rowOff>
    </xdr:from>
    <xdr:ext cx="180975" cy="647700"/>
    <xdr:sp macro="" textlink="">
      <xdr:nvSpPr>
        <xdr:cNvPr id="460" name="Rectángulo 8">
          <a:extLst>
            <a:ext uri="{FF2B5EF4-FFF2-40B4-BE49-F238E27FC236}">
              <a16:creationId xmlns:a16="http://schemas.microsoft.com/office/drawing/2014/main" id="{00000000-0008-0000-0100-0000CC010000}"/>
            </a:ext>
          </a:extLst>
        </xdr:cNvPr>
        <xdr:cNvSpPr/>
      </xdr:nvSpPr>
      <xdr:spPr>
        <a:xfrm>
          <a:off x="9867900" y="306705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11</xdr:row>
      <xdr:rowOff>104775</xdr:rowOff>
    </xdr:from>
    <xdr:ext cx="180975" cy="647700"/>
    <xdr:sp macro="" textlink="">
      <xdr:nvSpPr>
        <xdr:cNvPr id="461" name="Rectángulo 8">
          <a:extLst>
            <a:ext uri="{FF2B5EF4-FFF2-40B4-BE49-F238E27FC236}">
              <a16:creationId xmlns:a16="http://schemas.microsoft.com/office/drawing/2014/main" id="{00000000-0008-0000-0100-0000CD010000}"/>
            </a:ext>
          </a:extLst>
        </xdr:cNvPr>
        <xdr:cNvSpPr/>
      </xdr:nvSpPr>
      <xdr:spPr>
        <a:xfrm>
          <a:off x="9715500" y="251460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11</xdr:row>
      <xdr:rowOff>104775</xdr:rowOff>
    </xdr:from>
    <xdr:ext cx="180975" cy="647700"/>
    <xdr:sp macro="" textlink="">
      <xdr:nvSpPr>
        <xdr:cNvPr id="462" name="Rectángulo 8">
          <a:extLst>
            <a:ext uri="{FF2B5EF4-FFF2-40B4-BE49-F238E27FC236}">
              <a16:creationId xmlns:a16="http://schemas.microsoft.com/office/drawing/2014/main" id="{00000000-0008-0000-0100-0000CE010000}"/>
            </a:ext>
          </a:extLst>
        </xdr:cNvPr>
        <xdr:cNvSpPr/>
      </xdr:nvSpPr>
      <xdr:spPr>
        <a:xfrm>
          <a:off x="9715500" y="251460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11</xdr:row>
      <xdr:rowOff>57150</xdr:rowOff>
    </xdr:from>
    <xdr:ext cx="0" cy="561975"/>
    <xdr:sp macro="" textlink="">
      <xdr:nvSpPr>
        <xdr:cNvPr id="463" name="rect">
          <a:extLst>
            <a:ext uri="{FF2B5EF4-FFF2-40B4-BE49-F238E27FC236}">
              <a16:creationId xmlns:a16="http://schemas.microsoft.com/office/drawing/2014/main" id="{00000000-0008-0000-0100-0000CF010000}"/>
            </a:ext>
          </a:extLst>
        </xdr:cNvPr>
        <xdr:cNvSpPr/>
      </xdr:nvSpPr>
      <xdr:spPr>
        <a:xfrm>
          <a:off x="9715500" y="2466975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800100</xdr:colOff>
      <xdr:row>11</xdr:row>
      <xdr:rowOff>57150</xdr:rowOff>
    </xdr:from>
    <xdr:ext cx="0" cy="561975"/>
    <xdr:sp macro="" textlink="">
      <xdr:nvSpPr>
        <xdr:cNvPr id="464" name="rect">
          <a:extLst>
            <a:ext uri="{FF2B5EF4-FFF2-40B4-BE49-F238E27FC236}">
              <a16:creationId xmlns:a16="http://schemas.microsoft.com/office/drawing/2014/main" id="{00000000-0008-0000-0100-0000D0010000}"/>
            </a:ext>
          </a:extLst>
        </xdr:cNvPr>
        <xdr:cNvSpPr/>
      </xdr:nvSpPr>
      <xdr:spPr>
        <a:xfrm>
          <a:off x="9715500" y="2466975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952500</xdr:colOff>
      <xdr:row>13</xdr:row>
      <xdr:rowOff>219075</xdr:rowOff>
    </xdr:from>
    <xdr:ext cx="180975" cy="647700"/>
    <xdr:sp macro="" textlink="">
      <xdr:nvSpPr>
        <xdr:cNvPr id="465" name="Rectángulo 464">
          <a:extLst>
            <a:ext uri="{FF2B5EF4-FFF2-40B4-BE49-F238E27FC236}">
              <a16:creationId xmlns:a16="http://schemas.microsoft.com/office/drawing/2014/main" id="{00000000-0008-0000-0100-0000D1010000}"/>
            </a:ext>
          </a:extLst>
        </xdr:cNvPr>
        <xdr:cNvSpPr/>
      </xdr:nvSpPr>
      <xdr:spPr>
        <a:xfrm>
          <a:off x="9867900" y="306705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11</xdr:row>
      <xdr:rowOff>104775</xdr:rowOff>
    </xdr:from>
    <xdr:ext cx="180975" cy="647700"/>
    <xdr:sp macro="" textlink="">
      <xdr:nvSpPr>
        <xdr:cNvPr id="466" name="Rectángulo 8">
          <a:extLst>
            <a:ext uri="{FF2B5EF4-FFF2-40B4-BE49-F238E27FC236}">
              <a16:creationId xmlns:a16="http://schemas.microsoft.com/office/drawing/2014/main" id="{00000000-0008-0000-0100-0000D2010000}"/>
            </a:ext>
          </a:extLst>
        </xdr:cNvPr>
        <xdr:cNvSpPr/>
      </xdr:nvSpPr>
      <xdr:spPr>
        <a:xfrm>
          <a:off x="9715500" y="251460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11</xdr:row>
      <xdr:rowOff>104775</xdr:rowOff>
    </xdr:from>
    <xdr:ext cx="180975" cy="647700"/>
    <xdr:sp macro="" textlink="">
      <xdr:nvSpPr>
        <xdr:cNvPr id="467" name="Rectángulo 8">
          <a:extLst>
            <a:ext uri="{FF2B5EF4-FFF2-40B4-BE49-F238E27FC236}">
              <a16:creationId xmlns:a16="http://schemas.microsoft.com/office/drawing/2014/main" id="{00000000-0008-0000-0100-0000D3010000}"/>
            </a:ext>
          </a:extLst>
        </xdr:cNvPr>
        <xdr:cNvSpPr/>
      </xdr:nvSpPr>
      <xdr:spPr>
        <a:xfrm>
          <a:off x="9715500" y="251460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11</xdr:row>
      <xdr:rowOff>57150</xdr:rowOff>
    </xdr:from>
    <xdr:ext cx="0" cy="561975"/>
    <xdr:sp macro="" textlink="">
      <xdr:nvSpPr>
        <xdr:cNvPr id="468" name="rect">
          <a:extLst>
            <a:ext uri="{FF2B5EF4-FFF2-40B4-BE49-F238E27FC236}">
              <a16:creationId xmlns:a16="http://schemas.microsoft.com/office/drawing/2014/main" id="{00000000-0008-0000-0100-0000D4010000}"/>
            </a:ext>
          </a:extLst>
        </xdr:cNvPr>
        <xdr:cNvSpPr/>
      </xdr:nvSpPr>
      <xdr:spPr>
        <a:xfrm>
          <a:off x="9715500" y="2466975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800100</xdr:colOff>
      <xdr:row>11</xdr:row>
      <xdr:rowOff>57150</xdr:rowOff>
    </xdr:from>
    <xdr:ext cx="0" cy="561975"/>
    <xdr:sp macro="" textlink="">
      <xdr:nvSpPr>
        <xdr:cNvPr id="469" name="rect">
          <a:extLst>
            <a:ext uri="{FF2B5EF4-FFF2-40B4-BE49-F238E27FC236}">
              <a16:creationId xmlns:a16="http://schemas.microsoft.com/office/drawing/2014/main" id="{00000000-0008-0000-0100-0000D5010000}"/>
            </a:ext>
          </a:extLst>
        </xdr:cNvPr>
        <xdr:cNvSpPr/>
      </xdr:nvSpPr>
      <xdr:spPr>
        <a:xfrm>
          <a:off x="9715500" y="2466975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952500</xdr:colOff>
      <xdr:row>13</xdr:row>
      <xdr:rowOff>219075</xdr:rowOff>
    </xdr:from>
    <xdr:ext cx="180975" cy="647700"/>
    <xdr:sp macro="" textlink="">
      <xdr:nvSpPr>
        <xdr:cNvPr id="470" name="Rectángulo 8">
          <a:extLst>
            <a:ext uri="{FF2B5EF4-FFF2-40B4-BE49-F238E27FC236}">
              <a16:creationId xmlns:a16="http://schemas.microsoft.com/office/drawing/2014/main" id="{00000000-0008-0000-0100-0000D6010000}"/>
            </a:ext>
          </a:extLst>
        </xdr:cNvPr>
        <xdr:cNvSpPr/>
      </xdr:nvSpPr>
      <xdr:spPr>
        <a:xfrm>
          <a:off x="9867900" y="306705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11</xdr:row>
      <xdr:rowOff>104775</xdr:rowOff>
    </xdr:from>
    <xdr:ext cx="180975" cy="647700"/>
    <xdr:sp macro="" textlink="">
      <xdr:nvSpPr>
        <xdr:cNvPr id="471" name="Rectángulo 8">
          <a:extLst>
            <a:ext uri="{FF2B5EF4-FFF2-40B4-BE49-F238E27FC236}">
              <a16:creationId xmlns:a16="http://schemas.microsoft.com/office/drawing/2014/main" id="{00000000-0008-0000-0100-0000D7010000}"/>
            </a:ext>
          </a:extLst>
        </xdr:cNvPr>
        <xdr:cNvSpPr/>
      </xdr:nvSpPr>
      <xdr:spPr>
        <a:xfrm>
          <a:off x="9715500" y="251460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11</xdr:row>
      <xdr:rowOff>104775</xdr:rowOff>
    </xdr:from>
    <xdr:ext cx="180975" cy="647700"/>
    <xdr:sp macro="" textlink="">
      <xdr:nvSpPr>
        <xdr:cNvPr id="472" name="Rectángulo 471">
          <a:extLst>
            <a:ext uri="{FF2B5EF4-FFF2-40B4-BE49-F238E27FC236}">
              <a16:creationId xmlns:a16="http://schemas.microsoft.com/office/drawing/2014/main" id="{00000000-0008-0000-0100-0000D8010000}"/>
            </a:ext>
          </a:extLst>
        </xdr:cNvPr>
        <xdr:cNvSpPr/>
      </xdr:nvSpPr>
      <xdr:spPr>
        <a:xfrm>
          <a:off x="9715500" y="251460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11</xdr:row>
      <xdr:rowOff>57150</xdr:rowOff>
    </xdr:from>
    <xdr:ext cx="0" cy="561975"/>
    <xdr:sp macro="" textlink="">
      <xdr:nvSpPr>
        <xdr:cNvPr id="473" name="rect">
          <a:extLst>
            <a:ext uri="{FF2B5EF4-FFF2-40B4-BE49-F238E27FC236}">
              <a16:creationId xmlns:a16="http://schemas.microsoft.com/office/drawing/2014/main" id="{00000000-0008-0000-0100-0000D9010000}"/>
            </a:ext>
          </a:extLst>
        </xdr:cNvPr>
        <xdr:cNvSpPr/>
      </xdr:nvSpPr>
      <xdr:spPr>
        <a:xfrm>
          <a:off x="9715500" y="2466975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800100</xdr:colOff>
      <xdr:row>11</xdr:row>
      <xdr:rowOff>57150</xdr:rowOff>
    </xdr:from>
    <xdr:ext cx="0" cy="561975"/>
    <xdr:sp macro="" textlink="">
      <xdr:nvSpPr>
        <xdr:cNvPr id="474" name="rect">
          <a:extLst>
            <a:ext uri="{FF2B5EF4-FFF2-40B4-BE49-F238E27FC236}">
              <a16:creationId xmlns:a16="http://schemas.microsoft.com/office/drawing/2014/main" id="{00000000-0008-0000-0100-0000DA010000}"/>
            </a:ext>
          </a:extLst>
        </xdr:cNvPr>
        <xdr:cNvSpPr/>
      </xdr:nvSpPr>
      <xdr:spPr>
        <a:xfrm>
          <a:off x="9715500" y="2466975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952500</xdr:colOff>
      <xdr:row>13</xdr:row>
      <xdr:rowOff>219075</xdr:rowOff>
    </xdr:from>
    <xdr:ext cx="180975" cy="647700"/>
    <xdr:sp macro="" textlink="">
      <xdr:nvSpPr>
        <xdr:cNvPr id="475" name="Rectángulo 474">
          <a:extLst>
            <a:ext uri="{FF2B5EF4-FFF2-40B4-BE49-F238E27FC236}">
              <a16:creationId xmlns:a16="http://schemas.microsoft.com/office/drawing/2014/main" id="{00000000-0008-0000-0100-0000DB010000}"/>
            </a:ext>
          </a:extLst>
        </xdr:cNvPr>
        <xdr:cNvSpPr/>
      </xdr:nvSpPr>
      <xdr:spPr>
        <a:xfrm>
          <a:off x="9867900" y="306705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2</xdr:col>
      <xdr:colOff>1066800</xdr:colOff>
      <xdr:row>6</xdr:row>
      <xdr:rowOff>19050</xdr:rowOff>
    </xdr:from>
    <xdr:ext cx="0" cy="38100"/>
    <xdr:sp macro="" textlink="">
      <xdr:nvSpPr>
        <xdr:cNvPr id="476" name="CuadroTexto 475">
          <a:extLst>
            <a:ext uri="{FF2B5EF4-FFF2-40B4-BE49-F238E27FC236}">
              <a16:creationId xmlns:a16="http://schemas.microsoft.com/office/drawing/2014/main" id="{00000000-0008-0000-0100-0000DC010000}"/>
            </a:ext>
          </a:extLst>
        </xdr:cNvPr>
        <xdr:cNvSpPr txBox="1"/>
      </xdr:nvSpPr>
      <xdr:spPr>
        <a:xfrm flipH="1">
          <a:off x="3295650" y="1333500"/>
          <a:ext cx="0" cy="38100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lvl="0" algn="ctr"/>
          <a:r>
            <a:rPr lang="es-MX" sz="1200" b="1">
              <a:solidFill>
                <a:sysClr val="windowText" lastClr="000000"/>
              </a:solidFill>
            </a:rPr>
            <a:t>ISLA 9: CAMBIO DE MIX POSICIONES 4, 5, 6 Y 7</a:t>
          </a:r>
        </a:p>
      </xdr:txBody>
    </xdr:sp>
    <xdr:clientData fLocksWithSheet="0"/>
  </xdr:oneCellAnchor>
  <xdr:oneCellAnchor>
    <xdr:from>
      <xdr:col>8</xdr:col>
      <xdr:colOff>800100</xdr:colOff>
      <xdr:row>11</xdr:row>
      <xdr:rowOff>104775</xdr:rowOff>
    </xdr:from>
    <xdr:ext cx="180975" cy="647700"/>
    <xdr:sp macro="" textlink="">
      <xdr:nvSpPr>
        <xdr:cNvPr id="477" name="Rectángulo 8">
          <a:extLst>
            <a:ext uri="{FF2B5EF4-FFF2-40B4-BE49-F238E27FC236}">
              <a16:creationId xmlns:a16="http://schemas.microsoft.com/office/drawing/2014/main" id="{00000000-0008-0000-0100-0000DD010000}"/>
            </a:ext>
          </a:extLst>
        </xdr:cNvPr>
        <xdr:cNvSpPr/>
      </xdr:nvSpPr>
      <xdr:spPr>
        <a:xfrm>
          <a:off x="9715500" y="251460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11</xdr:row>
      <xdr:rowOff>104775</xdr:rowOff>
    </xdr:from>
    <xdr:ext cx="180975" cy="647700"/>
    <xdr:sp macro="" textlink="">
      <xdr:nvSpPr>
        <xdr:cNvPr id="478" name="Rectángulo 8">
          <a:extLst>
            <a:ext uri="{FF2B5EF4-FFF2-40B4-BE49-F238E27FC236}">
              <a16:creationId xmlns:a16="http://schemas.microsoft.com/office/drawing/2014/main" id="{00000000-0008-0000-0100-0000DE010000}"/>
            </a:ext>
          </a:extLst>
        </xdr:cNvPr>
        <xdr:cNvSpPr/>
      </xdr:nvSpPr>
      <xdr:spPr>
        <a:xfrm>
          <a:off x="9715500" y="251460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11</xdr:row>
      <xdr:rowOff>57150</xdr:rowOff>
    </xdr:from>
    <xdr:ext cx="0" cy="561975"/>
    <xdr:sp macro="" textlink="">
      <xdr:nvSpPr>
        <xdr:cNvPr id="479" name="rect">
          <a:extLst>
            <a:ext uri="{FF2B5EF4-FFF2-40B4-BE49-F238E27FC236}">
              <a16:creationId xmlns:a16="http://schemas.microsoft.com/office/drawing/2014/main" id="{00000000-0008-0000-0100-0000DF010000}"/>
            </a:ext>
          </a:extLst>
        </xdr:cNvPr>
        <xdr:cNvSpPr/>
      </xdr:nvSpPr>
      <xdr:spPr>
        <a:xfrm>
          <a:off x="9715500" y="2466975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800100</xdr:colOff>
      <xdr:row>11</xdr:row>
      <xdr:rowOff>57150</xdr:rowOff>
    </xdr:from>
    <xdr:ext cx="0" cy="561975"/>
    <xdr:sp macro="" textlink="">
      <xdr:nvSpPr>
        <xdr:cNvPr id="480" name="rect">
          <a:extLst>
            <a:ext uri="{FF2B5EF4-FFF2-40B4-BE49-F238E27FC236}">
              <a16:creationId xmlns:a16="http://schemas.microsoft.com/office/drawing/2014/main" id="{00000000-0008-0000-0100-0000E0010000}"/>
            </a:ext>
          </a:extLst>
        </xdr:cNvPr>
        <xdr:cNvSpPr/>
      </xdr:nvSpPr>
      <xdr:spPr>
        <a:xfrm>
          <a:off x="9715500" y="2466975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952500</xdr:colOff>
      <xdr:row>13</xdr:row>
      <xdr:rowOff>219075</xdr:rowOff>
    </xdr:from>
    <xdr:ext cx="180975" cy="647700"/>
    <xdr:sp macro="" textlink="">
      <xdr:nvSpPr>
        <xdr:cNvPr id="481" name="Rectángulo 8">
          <a:extLst>
            <a:ext uri="{FF2B5EF4-FFF2-40B4-BE49-F238E27FC236}">
              <a16:creationId xmlns:a16="http://schemas.microsoft.com/office/drawing/2014/main" id="{00000000-0008-0000-0100-0000E1010000}"/>
            </a:ext>
          </a:extLst>
        </xdr:cNvPr>
        <xdr:cNvSpPr/>
      </xdr:nvSpPr>
      <xdr:spPr>
        <a:xfrm>
          <a:off x="9867900" y="306705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11</xdr:row>
      <xdr:rowOff>104775</xdr:rowOff>
    </xdr:from>
    <xdr:ext cx="180975" cy="647700"/>
    <xdr:sp macro="" textlink="">
      <xdr:nvSpPr>
        <xdr:cNvPr id="482" name="Rectángulo 8">
          <a:extLst>
            <a:ext uri="{FF2B5EF4-FFF2-40B4-BE49-F238E27FC236}">
              <a16:creationId xmlns:a16="http://schemas.microsoft.com/office/drawing/2014/main" id="{00000000-0008-0000-0100-0000E2010000}"/>
            </a:ext>
          </a:extLst>
        </xdr:cNvPr>
        <xdr:cNvSpPr/>
      </xdr:nvSpPr>
      <xdr:spPr>
        <a:xfrm>
          <a:off x="9715500" y="251460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11</xdr:row>
      <xdr:rowOff>104775</xdr:rowOff>
    </xdr:from>
    <xdr:ext cx="180975" cy="647700"/>
    <xdr:sp macro="" textlink="">
      <xdr:nvSpPr>
        <xdr:cNvPr id="483" name="Rectángulo 8">
          <a:extLst>
            <a:ext uri="{FF2B5EF4-FFF2-40B4-BE49-F238E27FC236}">
              <a16:creationId xmlns:a16="http://schemas.microsoft.com/office/drawing/2014/main" id="{00000000-0008-0000-0100-0000E3010000}"/>
            </a:ext>
          </a:extLst>
        </xdr:cNvPr>
        <xdr:cNvSpPr/>
      </xdr:nvSpPr>
      <xdr:spPr>
        <a:xfrm>
          <a:off x="9715500" y="251460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11</xdr:row>
      <xdr:rowOff>57150</xdr:rowOff>
    </xdr:from>
    <xdr:ext cx="0" cy="561975"/>
    <xdr:sp macro="" textlink="">
      <xdr:nvSpPr>
        <xdr:cNvPr id="484" name="rect">
          <a:extLst>
            <a:ext uri="{FF2B5EF4-FFF2-40B4-BE49-F238E27FC236}">
              <a16:creationId xmlns:a16="http://schemas.microsoft.com/office/drawing/2014/main" id="{00000000-0008-0000-0100-0000E4010000}"/>
            </a:ext>
          </a:extLst>
        </xdr:cNvPr>
        <xdr:cNvSpPr/>
      </xdr:nvSpPr>
      <xdr:spPr>
        <a:xfrm>
          <a:off x="9715500" y="2466975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800100</xdr:colOff>
      <xdr:row>11</xdr:row>
      <xdr:rowOff>57150</xdr:rowOff>
    </xdr:from>
    <xdr:ext cx="0" cy="561975"/>
    <xdr:sp macro="" textlink="">
      <xdr:nvSpPr>
        <xdr:cNvPr id="485" name="rect">
          <a:extLst>
            <a:ext uri="{FF2B5EF4-FFF2-40B4-BE49-F238E27FC236}">
              <a16:creationId xmlns:a16="http://schemas.microsoft.com/office/drawing/2014/main" id="{00000000-0008-0000-0100-0000E5010000}"/>
            </a:ext>
          </a:extLst>
        </xdr:cNvPr>
        <xdr:cNvSpPr/>
      </xdr:nvSpPr>
      <xdr:spPr>
        <a:xfrm>
          <a:off x="9715500" y="2466975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952500</xdr:colOff>
      <xdr:row>13</xdr:row>
      <xdr:rowOff>219075</xdr:rowOff>
    </xdr:from>
    <xdr:ext cx="180975" cy="647700"/>
    <xdr:sp macro="" textlink="">
      <xdr:nvSpPr>
        <xdr:cNvPr id="486" name="Rectángulo 485">
          <a:extLst>
            <a:ext uri="{FF2B5EF4-FFF2-40B4-BE49-F238E27FC236}">
              <a16:creationId xmlns:a16="http://schemas.microsoft.com/office/drawing/2014/main" id="{00000000-0008-0000-0100-0000E6010000}"/>
            </a:ext>
          </a:extLst>
        </xdr:cNvPr>
        <xdr:cNvSpPr/>
      </xdr:nvSpPr>
      <xdr:spPr>
        <a:xfrm>
          <a:off x="9867900" y="306705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11</xdr:row>
      <xdr:rowOff>104775</xdr:rowOff>
    </xdr:from>
    <xdr:ext cx="180975" cy="647700"/>
    <xdr:sp macro="" textlink="">
      <xdr:nvSpPr>
        <xdr:cNvPr id="487" name="Rectángulo 8">
          <a:extLst>
            <a:ext uri="{FF2B5EF4-FFF2-40B4-BE49-F238E27FC236}">
              <a16:creationId xmlns:a16="http://schemas.microsoft.com/office/drawing/2014/main" id="{00000000-0008-0000-0100-0000E7010000}"/>
            </a:ext>
          </a:extLst>
        </xdr:cNvPr>
        <xdr:cNvSpPr/>
      </xdr:nvSpPr>
      <xdr:spPr>
        <a:xfrm>
          <a:off x="9715500" y="251460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11</xdr:row>
      <xdr:rowOff>104775</xdr:rowOff>
    </xdr:from>
    <xdr:ext cx="180975" cy="647700"/>
    <xdr:sp macro="" textlink="">
      <xdr:nvSpPr>
        <xdr:cNvPr id="488" name="Rectángulo 8">
          <a:extLst>
            <a:ext uri="{FF2B5EF4-FFF2-40B4-BE49-F238E27FC236}">
              <a16:creationId xmlns:a16="http://schemas.microsoft.com/office/drawing/2014/main" id="{00000000-0008-0000-0100-0000E8010000}"/>
            </a:ext>
          </a:extLst>
        </xdr:cNvPr>
        <xdr:cNvSpPr/>
      </xdr:nvSpPr>
      <xdr:spPr>
        <a:xfrm>
          <a:off x="9715500" y="251460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11</xdr:row>
      <xdr:rowOff>57150</xdr:rowOff>
    </xdr:from>
    <xdr:ext cx="0" cy="561975"/>
    <xdr:sp macro="" textlink="">
      <xdr:nvSpPr>
        <xdr:cNvPr id="489" name="rect">
          <a:extLst>
            <a:ext uri="{FF2B5EF4-FFF2-40B4-BE49-F238E27FC236}">
              <a16:creationId xmlns:a16="http://schemas.microsoft.com/office/drawing/2014/main" id="{00000000-0008-0000-0100-0000E9010000}"/>
            </a:ext>
          </a:extLst>
        </xdr:cNvPr>
        <xdr:cNvSpPr/>
      </xdr:nvSpPr>
      <xdr:spPr>
        <a:xfrm>
          <a:off x="9715500" y="2466975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800100</xdr:colOff>
      <xdr:row>11</xdr:row>
      <xdr:rowOff>57150</xdr:rowOff>
    </xdr:from>
    <xdr:ext cx="0" cy="561975"/>
    <xdr:sp macro="" textlink="">
      <xdr:nvSpPr>
        <xdr:cNvPr id="490" name="rect">
          <a:extLst>
            <a:ext uri="{FF2B5EF4-FFF2-40B4-BE49-F238E27FC236}">
              <a16:creationId xmlns:a16="http://schemas.microsoft.com/office/drawing/2014/main" id="{00000000-0008-0000-0100-0000EA010000}"/>
            </a:ext>
          </a:extLst>
        </xdr:cNvPr>
        <xdr:cNvSpPr/>
      </xdr:nvSpPr>
      <xdr:spPr>
        <a:xfrm>
          <a:off x="9715500" y="2466975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952500</xdr:colOff>
      <xdr:row>13</xdr:row>
      <xdr:rowOff>219075</xdr:rowOff>
    </xdr:from>
    <xdr:ext cx="180975" cy="647700"/>
    <xdr:sp macro="" textlink="">
      <xdr:nvSpPr>
        <xdr:cNvPr id="491" name="Rectángulo 8">
          <a:extLst>
            <a:ext uri="{FF2B5EF4-FFF2-40B4-BE49-F238E27FC236}">
              <a16:creationId xmlns:a16="http://schemas.microsoft.com/office/drawing/2014/main" id="{00000000-0008-0000-0100-0000EB010000}"/>
            </a:ext>
          </a:extLst>
        </xdr:cNvPr>
        <xdr:cNvSpPr/>
      </xdr:nvSpPr>
      <xdr:spPr>
        <a:xfrm>
          <a:off x="9867900" y="306705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807383</xdr:colOff>
      <xdr:row>11</xdr:row>
      <xdr:rowOff>111125</xdr:rowOff>
    </xdr:from>
    <xdr:ext cx="184731" cy="655885"/>
    <xdr:sp macro="" textlink="">
      <xdr:nvSpPr>
        <xdr:cNvPr id="492" name="Rectángulo 8">
          <a:extLst>
            <a:ext uri="{FF2B5EF4-FFF2-40B4-BE49-F238E27FC236}">
              <a16:creationId xmlns:a16="http://schemas.microsoft.com/office/drawing/2014/main" id="{00000000-0008-0000-0100-0000EC010000}"/>
            </a:ext>
          </a:extLst>
        </xdr:cNvPr>
        <xdr:cNvSpPr/>
      </xdr:nvSpPr>
      <xdr:spPr>
        <a:xfrm>
          <a:off x="9722783" y="252095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11</xdr:row>
      <xdr:rowOff>111125</xdr:rowOff>
    </xdr:from>
    <xdr:ext cx="184731" cy="655885"/>
    <xdr:sp macro="" textlink="">
      <xdr:nvSpPr>
        <xdr:cNvPr id="493" name="Rectángulo 8">
          <a:extLst>
            <a:ext uri="{FF2B5EF4-FFF2-40B4-BE49-F238E27FC236}">
              <a16:creationId xmlns:a16="http://schemas.microsoft.com/office/drawing/2014/main" id="{00000000-0008-0000-0100-0000ED010000}"/>
            </a:ext>
          </a:extLst>
        </xdr:cNvPr>
        <xdr:cNvSpPr/>
      </xdr:nvSpPr>
      <xdr:spPr>
        <a:xfrm>
          <a:off x="9722783" y="252095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twoCellAnchor>
    <xdr:from>
      <xdr:col>8</xdr:col>
      <xdr:colOff>803348</xdr:colOff>
      <xdr:row>11</xdr:row>
      <xdr:rowOff>62210</xdr:rowOff>
    </xdr:from>
    <xdr:to>
      <xdr:col>8</xdr:col>
      <xdr:colOff>535172</xdr:colOff>
      <xdr:row>13</xdr:row>
      <xdr:rowOff>228376</xdr:rowOff>
    </xdr:to>
    <xdr:sp macro="" textlink="">
      <xdr:nvSpPr>
        <xdr:cNvPr id="494" name="rect">
          <a:extLst>
            <a:ext uri="{FF2B5EF4-FFF2-40B4-BE49-F238E27FC236}">
              <a16:creationId xmlns:a16="http://schemas.microsoft.com/office/drawing/2014/main" id="{00000000-0008-0000-0100-0000EE010000}"/>
            </a:ext>
          </a:extLst>
        </xdr:cNvPr>
        <xdr:cNvSpPr/>
      </xdr:nvSpPr>
      <xdr:spPr>
        <a:xfrm>
          <a:off x="9718748" y="2472035"/>
          <a:ext cx="0" cy="594791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8</xdr:col>
      <xdr:colOff>803348</xdr:colOff>
      <xdr:row>11</xdr:row>
      <xdr:rowOff>62210</xdr:rowOff>
    </xdr:from>
    <xdr:to>
      <xdr:col>8</xdr:col>
      <xdr:colOff>535172</xdr:colOff>
      <xdr:row>13</xdr:row>
      <xdr:rowOff>228376</xdr:rowOff>
    </xdr:to>
    <xdr:sp macro="" textlink="">
      <xdr:nvSpPr>
        <xdr:cNvPr id="496" name="rect">
          <a:extLst>
            <a:ext uri="{FF2B5EF4-FFF2-40B4-BE49-F238E27FC236}">
              <a16:creationId xmlns:a16="http://schemas.microsoft.com/office/drawing/2014/main" id="{00000000-0008-0000-0100-0000F0010000}"/>
            </a:ext>
          </a:extLst>
        </xdr:cNvPr>
        <xdr:cNvSpPr/>
      </xdr:nvSpPr>
      <xdr:spPr>
        <a:xfrm>
          <a:off x="9718748" y="2472035"/>
          <a:ext cx="0" cy="594791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oneCellAnchor>
    <xdr:from>
      <xdr:col>8</xdr:col>
      <xdr:colOff>959783</xdr:colOff>
      <xdr:row>13</xdr:row>
      <xdr:rowOff>225425</xdr:rowOff>
    </xdr:from>
    <xdr:ext cx="184731" cy="655885"/>
    <xdr:sp macro="" textlink="">
      <xdr:nvSpPr>
        <xdr:cNvPr id="497" name="Rectángulo 496">
          <a:extLst>
            <a:ext uri="{FF2B5EF4-FFF2-40B4-BE49-F238E27FC236}">
              <a16:creationId xmlns:a16="http://schemas.microsoft.com/office/drawing/2014/main" id="{00000000-0008-0000-0100-0000F1010000}"/>
            </a:ext>
          </a:extLst>
        </xdr:cNvPr>
        <xdr:cNvSpPr/>
      </xdr:nvSpPr>
      <xdr:spPr>
        <a:xfrm>
          <a:off x="9875183" y="3063875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11</xdr:row>
      <xdr:rowOff>111125</xdr:rowOff>
    </xdr:from>
    <xdr:ext cx="184731" cy="655885"/>
    <xdr:sp macro="" textlink="">
      <xdr:nvSpPr>
        <xdr:cNvPr id="498" name="Rectángulo 497">
          <a:extLst>
            <a:ext uri="{FF2B5EF4-FFF2-40B4-BE49-F238E27FC236}">
              <a16:creationId xmlns:a16="http://schemas.microsoft.com/office/drawing/2014/main" id="{00000000-0008-0000-0100-0000F2010000}"/>
            </a:ext>
          </a:extLst>
        </xdr:cNvPr>
        <xdr:cNvSpPr/>
      </xdr:nvSpPr>
      <xdr:spPr>
        <a:xfrm>
          <a:off x="9722783" y="252095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11</xdr:row>
      <xdr:rowOff>111125</xdr:rowOff>
    </xdr:from>
    <xdr:ext cx="184731" cy="655885"/>
    <xdr:sp macro="" textlink="">
      <xdr:nvSpPr>
        <xdr:cNvPr id="499" name="Rectángulo 8">
          <a:extLst>
            <a:ext uri="{FF2B5EF4-FFF2-40B4-BE49-F238E27FC236}">
              <a16:creationId xmlns:a16="http://schemas.microsoft.com/office/drawing/2014/main" id="{00000000-0008-0000-0100-0000F3010000}"/>
            </a:ext>
          </a:extLst>
        </xdr:cNvPr>
        <xdr:cNvSpPr/>
      </xdr:nvSpPr>
      <xdr:spPr>
        <a:xfrm>
          <a:off x="9722783" y="252095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twoCellAnchor>
    <xdr:from>
      <xdr:col>8</xdr:col>
      <xdr:colOff>803348</xdr:colOff>
      <xdr:row>11</xdr:row>
      <xdr:rowOff>62210</xdr:rowOff>
    </xdr:from>
    <xdr:to>
      <xdr:col>8</xdr:col>
      <xdr:colOff>535172</xdr:colOff>
      <xdr:row>13</xdr:row>
      <xdr:rowOff>228376</xdr:rowOff>
    </xdr:to>
    <xdr:sp macro="" textlink="">
      <xdr:nvSpPr>
        <xdr:cNvPr id="500" name="rect">
          <a:extLst>
            <a:ext uri="{FF2B5EF4-FFF2-40B4-BE49-F238E27FC236}">
              <a16:creationId xmlns:a16="http://schemas.microsoft.com/office/drawing/2014/main" id="{00000000-0008-0000-0100-0000F4010000}"/>
            </a:ext>
          </a:extLst>
        </xdr:cNvPr>
        <xdr:cNvSpPr/>
      </xdr:nvSpPr>
      <xdr:spPr>
        <a:xfrm>
          <a:off x="9718748" y="2472035"/>
          <a:ext cx="0" cy="594791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8</xdr:col>
      <xdr:colOff>803348</xdr:colOff>
      <xdr:row>11</xdr:row>
      <xdr:rowOff>62210</xdr:rowOff>
    </xdr:from>
    <xdr:to>
      <xdr:col>8</xdr:col>
      <xdr:colOff>535172</xdr:colOff>
      <xdr:row>13</xdr:row>
      <xdr:rowOff>228376</xdr:rowOff>
    </xdr:to>
    <xdr:sp macro="" textlink="">
      <xdr:nvSpPr>
        <xdr:cNvPr id="501" name="rect">
          <a:extLst>
            <a:ext uri="{FF2B5EF4-FFF2-40B4-BE49-F238E27FC236}">
              <a16:creationId xmlns:a16="http://schemas.microsoft.com/office/drawing/2014/main" id="{00000000-0008-0000-0100-0000F5010000}"/>
            </a:ext>
          </a:extLst>
        </xdr:cNvPr>
        <xdr:cNvSpPr/>
      </xdr:nvSpPr>
      <xdr:spPr>
        <a:xfrm>
          <a:off x="9718748" y="2472035"/>
          <a:ext cx="0" cy="594791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oneCellAnchor>
    <xdr:from>
      <xdr:col>8</xdr:col>
      <xdr:colOff>959783</xdr:colOff>
      <xdr:row>13</xdr:row>
      <xdr:rowOff>225425</xdr:rowOff>
    </xdr:from>
    <xdr:ext cx="184731" cy="655885"/>
    <xdr:sp macro="" textlink="">
      <xdr:nvSpPr>
        <xdr:cNvPr id="502" name="Rectángulo 501">
          <a:extLst>
            <a:ext uri="{FF2B5EF4-FFF2-40B4-BE49-F238E27FC236}">
              <a16:creationId xmlns:a16="http://schemas.microsoft.com/office/drawing/2014/main" id="{00000000-0008-0000-0100-0000F6010000}"/>
            </a:ext>
          </a:extLst>
        </xdr:cNvPr>
        <xdr:cNvSpPr/>
      </xdr:nvSpPr>
      <xdr:spPr>
        <a:xfrm>
          <a:off x="9875183" y="3063875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11</xdr:row>
      <xdr:rowOff>111125</xdr:rowOff>
    </xdr:from>
    <xdr:ext cx="184731" cy="655885"/>
    <xdr:sp macro="" textlink="">
      <xdr:nvSpPr>
        <xdr:cNvPr id="503" name="Rectángulo 8">
          <a:extLst>
            <a:ext uri="{FF2B5EF4-FFF2-40B4-BE49-F238E27FC236}">
              <a16:creationId xmlns:a16="http://schemas.microsoft.com/office/drawing/2014/main" id="{00000000-0008-0000-0100-0000F7010000}"/>
            </a:ext>
          </a:extLst>
        </xdr:cNvPr>
        <xdr:cNvSpPr/>
      </xdr:nvSpPr>
      <xdr:spPr>
        <a:xfrm>
          <a:off x="9722783" y="252095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11</xdr:row>
      <xdr:rowOff>111125</xdr:rowOff>
    </xdr:from>
    <xdr:ext cx="184731" cy="655885"/>
    <xdr:sp macro="" textlink="">
      <xdr:nvSpPr>
        <xdr:cNvPr id="504" name="Rectángulo 8">
          <a:extLst>
            <a:ext uri="{FF2B5EF4-FFF2-40B4-BE49-F238E27FC236}">
              <a16:creationId xmlns:a16="http://schemas.microsoft.com/office/drawing/2014/main" id="{00000000-0008-0000-0100-0000F8010000}"/>
            </a:ext>
          </a:extLst>
        </xdr:cNvPr>
        <xdr:cNvSpPr/>
      </xdr:nvSpPr>
      <xdr:spPr>
        <a:xfrm>
          <a:off x="9722783" y="252095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twoCellAnchor>
    <xdr:from>
      <xdr:col>8</xdr:col>
      <xdr:colOff>803348</xdr:colOff>
      <xdr:row>11</xdr:row>
      <xdr:rowOff>62210</xdr:rowOff>
    </xdr:from>
    <xdr:to>
      <xdr:col>8</xdr:col>
      <xdr:colOff>535172</xdr:colOff>
      <xdr:row>13</xdr:row>
      <xdr:rowOff>228376</xdr:rowOff>
    </xdr:to>
    <xdr:sp macro="" textlink="">
      <xdr:nvSpPr>
        <xdr:cNvPr id="505" name="rect">
          <a:extLst>
            <a:ext uri="{FF2B5EF4-FFF2-40B4-BE49-F238E27FC236}">
              <a16:creationId xmlns:a16="http://schemas.microsoft.com/office/drawing/2014/main" id="{00000000-0008-0000-0100-0000F9010000}"/>
            </a:ext>
          </a:extLst>
        </xdr:cNvPr>
        <xdr:cNvSpPr/>
      </xdr:nvSpPr>
      <xdr:spPr>
        <a:xfrm>
          <a:off x="9718748" y="2472035"/>
          <a:ext cx="0" cy="594791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8</xdr:col>
      <xdr:colOff>803348</xdr:colOff>
      <xdr:row>11</xdr:row>
      <xdr:rowOff>62210</xdr:rowOff>
    </xdr:from>
    <xdr:to>
      <xdr:col>8</xdr:col>
      <xdr:colOff>535172</xdr:colOff>
      <xdr:row>13</xdr:row>
      <xdr:rowOff>228376</xdr:rowOff>
    </xdr:to>
    <xdr:sp macro="" textlink="">
      <xdr:nvSpPr>
        <xdr:cNvPr id="506" name="rect">
          <a:extLst>
            <a:ext uri="{FF2B5EF4-FFF2-40B4-BE49-F238E27FC236}">
              <a16:creationId xmlns:a16="http://schemas.microsoft.com/office/drawing/2014/main" id="{00000000-0008-0000-0100-0000FA010000}"/>
            </a:ext>
          </a:extLst>
        </xdr:cNvPr>
        <xdr:cNvSpPr/>
      </xdr:nvSpPr>
      <xdr:spPr>
        <a:xfrm>
          <a:off x="9718748" y="2472035"/>
          <a:ext cx="0" cy="594791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oneCellAnchor>
    <xdr:from>
      <xdr:col>8</xdr:col>
      <xdr:colOff>959783</xdr:colOff>
      <xdr:row>13</xdr:row>
      <xdr:rowOff>225425</xdr:rowOff>
    </xdr:from>
    <xdr:ext cx="184731" cy="655885"/>
    <xdr:sp macro="" textlink="">
      <xdr:nvSpPr>
        <xdr:cNvPr id="507" name="Rectángulo 506">
          <a:extLst>
            <a:ext uri="{FF2B5EF4-FFF2-40B4-BE49-F238E27FC236}">
              <a16:creationId xmlns:a16="http://schemas.microsoft.com/office/drawing/2014/main" id="{00000000-0008-0000-0100-0000FB010000}"/>
            </a:ext>
          </a:extLst>
        </xdr:cNvPr>
        <xdr:cNvSpPr/>
      </xdr:nvSpPr>
      <xdr:spPr>
        <a:xfrm>
          <a:off x="9875183" y="3063875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11</xdr:row>
      <xdr:rowOff>111125</xdr:rowOff>
    </xdr:from>
    <xdr:ext cx="184731" cy="655885"/>
    <xdr:sp macro="" textlink="">
      <xdr:nvSpPr>
        <xdr:cNvPr id="508" name="Rectángulo 507">
          <a:extLst>
            <a:ext uri="{FF2B5EF4-FFF2-40B4-BE49-F238E27FC236}">
              <a16:creationId xmlns:a16="http://schemas.microsoft.com/office/drawing/2014/main" id="{00000000-0008-0000-0100-0000FC010000}"/>
            </a:ext>
          </a:extLst>
        </xdr:cNvPr>
        <xdr:cNvSpPr/>
      </xdr:nvSpPr>
      <xdr:spPr>
        <a:xfrm>
          <a:off x="9722783" y="252095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11</xdr:row>
      <xdr:rowOff>111125</xdr:rowOff>
    </xdr:from>
    <xdr:ext cx="184731" cy="655885"/>
    <xdr:sp macro="" textlink="">
      <xdr:nvSpPr>
        <xdr:cNvPr id="509" name="Rectángulo 8">
          <a:extLst>
            <a:ext uri="{FF2B5EF4-FFF2-40B4-BE49-F238E27FC236}">
              <a16:creationId xmlns:a16="http://schemas.microsoft.com/office/drawing/2014/main" id="{00000000-0008-0000-0100-0000FD010000}"/>
            </a:ext>
          </a:extLst>
        </xdr:cNvPr>
        <xdr:cNvSpPr/>
      </xdr:nvSpPr>
      <xdr:spPr>
        <a:xfrm>
          <a:off x="9722783" y="252095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twoCellAnchor>
    <xdr:from>
      <xdr:col>8</xdr:col>
      <xdr:colOff>803348</xdr:colOff>
      <xdr:row>11</xdr:row>
      <xdr:rowOff>62210</xdr:rowOff>
    </xdr:from>
    <xdr:to>
      <xdr:col>8</xdr:col>
      <xdr:colOff>535172</xdr:colOff>
      <xdr:row>13</xdr:row>
      <xdr:rowOff>228376</xdr:rowOff>
    </xdr:to>
    <xdr:sp macro="" textlink="">
      <xdr:nvSpPr>
        <xdr:cNvPr id="510" name="rect">
          <a:extLst>
            <a:ext uri="{FF2B5EF4-FFF2-40B4-BE49-F238E27FC236}">
              <a16:creationId xmlns:a16="http://schemas.microsoft.com/office/drawing/2014/main" id="{00000000-0008-0000-0100-0000FE010000}"/>
            </a:ext>
          </a:extLst>
        </xdr:cNvPr>
        <xdr:cNvSpPr/>
      </xdr:nvSpPr>
      <xdr:spPr>
        <a:xfrm>
          <a:off x="9718748" y="2472035"/>
          <a:ext cx="0" cy="594791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8</xdr:col>
      <xdr:colOff>803348</xdr:colOff>
      <xdr:row>11</xdr:row>
      <xdr:rowOff>62210</xdr:rowOff>
    </xdr:from>
    <xdr:to>
      <xdr:col>8</xdr:col>
      <xdr:colOff>535172</xdr:colOff>
      <xdr:row>13</xdr:row>
      <xdr:rowOff>228376</xdr:rowOff>
    </xdr:to>
    <xdr:sp macro="" textlink="">
      <xdr:nvSpPr>
        <xdr:cNvPr id="511" name="rect">
          <a:extLst>
            <a:ext uri="{FF2B5EF4-FFF2-40B4-BE49-F238E27FC236}">
              <a16:creationId xmlns:a16="http://schemas.microsoft.com/office/drawing/2014/main" id="{00000000-0008-0000-0100-0000FF010000}"/>
            </a:ext>
          </a:extLst>
        </xdr:cNvPr>
        <xdr:cNvSpPr/>
      </xdr:nvSpPr>
      <xdr:spPr>
        <a:xfrm>
          <a:off x="9718748" y="2472035"/>
          <a:ext cx="0" cy="594791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oneCellAnchor>
    <xdr:from>
      <xdr:col>8</xdr:col>
      <xdr:colOff>959783</xdr:colOff>
      <xdr:row>13</xdr:row>
      <xdr:rowOff>225425</xdr:rowOff>
    </xdr:from>
    <xdr:ext cx="184731" cy="655885"/>
    <xdr:sp macro="" textlink="">
      <xdr:nvSpPr>
        <xdr:cNvPr id="512" name="Rectángulo 511">
          <a:extLst>
            <a:ext uri="{FF2B5EF4-FFF2-40B4-BE49-F238E27FC236}">
              <a16:creationId xmlns:a16="http://schemas.microsoft.com/office/drawing/2014/main" id="{00000000-0008-0000-0100-000000020000}"/>
            </a:ext>
          </a:extLst>
        </xdr:cNvPr>
        <xdr:cNvSpPr/>
      </xdr:nvSpPr>
      <xdr:spPr>
        <a:xfrm>
          <a:off x="9875183" y="3063875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0</xdr:col>
      <xdr:colOff>959783</xdr:colOff>
      <xdr:row>59</xdr:row>
      <xdr:rowOff>225425</xdr:rowOff>
    </xdr:from>
    <xdr:ext cx="184731" cy="655885"/>
    <xdr:sp macro="" textlink="">
      <xdr:nvSpPr>
        <xdr:cNvPr id="513" name="Rectángulo 512">
          <a:extLst>
            <a:ext uri="{FF2B5EF4-FFF2-40B4-BE49-F238E27FC236}">
              <a16:creationId xmlns:a16="http://schemas.microsoft.com/office/drawing/2014/main" id="{00000000-0008-0000-0100-000001020000}"/>
            </a:ext>
          </a:extLst>
        </xdr:cNvPr>
        <xdr:cNvSpPr/>
      </xdr:nvSpPr>
      <xdr:spPr>
        <a:xfrm>
          <a:off x="959783" y="13141325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0</xdr:col>
      <xdr:colOff>959783</xdr:colOff>
      <xdr:row>59</xdr:row>
      <xdr:rowOff>225425</xdr:rowOff>
    </xdr:from>
    <xdr:ext cx="184731" cy="655885"/>
    <xdr:sp macro="" textlink="">
      <xdr:nvSpPr>
        <xdr:cNvPr id="514" name="Rectángulo 513">
          <a:extLst>
            <a:ext uri="{FF2B5EF4-FFF2-40B4-BE49-F238E27FC236}">
              <a16:creationId xmlns:a16="http://schemas.microsoft.com/office/drawing/2014/main" id="{00000000-0008-0000-0100-000002020000}"/>
            </a:ext>
          </a:extLst>
        </xdr:cNvPr>
        <xdr:cNvSpPr/>
      </xdr:nvSpPr>
      <xdr:spPr>
        <a:xfrm>
          <a:off x="959783" y="13141325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2</xdr:col>
      <xdr:colOff>0</xdr:colOff>
      <xdr:row>3</xdr:row>
      <xdr:rowOff>0</xdr:rowOff>
    </xdr:from>
    <xdr:ext cx="184731" cy="655885"/>
    <xdr:sp macro="" textlink="">
      <xdr:nvSpPr>
        <xdr:cNvPr id="517" name="Rectángulo 516">
          <a:extLst>
            <a:ext uri="{FF2B5EF4-FFF2-40B4-BE49-F238E27FC236}">
              <a16:creationId xmlns:a16="http://schemas.microsoft.com/office/drawing/2014/main" id="{00000000-0008-0000-0100-000005020000}"/>
            </a:ext>
          </a:extLst>
        </xdr:cNvPr>
        <xdr:cNvSpPr/>
      </xdr:nvSpPr>
      <xdr:spPr>
        <a:xfrm>
          <a:off x="2228850" y="657225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twoCellAnchor>
    <xdr:from>
      <xdr:col>11</xdr:col>
      <xdr:colOff>498763</xdr:colOff>
      <xdr:row>2</xdr:row>
      <xdr:rowOff>44162</xdr:rowOff>
    </xdr:from>
    <xdr:to>
      <xdr:col>12</xdr:col>
      <xdr:colOff>1051214</xdr:colOff>
      <xdr:row>5</xdr:row>
      <xdr:rowOff>126423</xdr:rowOff>
    </xdr:to>
    <xdr:sp macro="" textlink="">
      <xdr:nvSpPr>
        <xdr:cNvPr id="519" name="CuadroTexto 518">
          <a:extLst>
            <a:ext uri="{FF2B5EF4-FFF2-40B4-BE49-F238E27FC236}">
              <a16:creationId xmlns:a16="http://schemas.microsoft.com/office/drawing/2014/main" id="{00000000-0008-0000-0100-000007020000}"/>
            </a:ext>
          </a:extLst>
        </xdr:cNvPr>
        <xdr:cNvSpPr txBox="1"/>
      </xdr:nvSpPr>
      <xdr:spPr>
        <a:xfrm>
          <a:off x="12757438" y="482312"/>
          <a:ext cx="1666876" cy="739486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200" b="1">
              <a:solidFill>
                <a:sysClr val="windowText" lastClr="000000"/>
              </a:solidFill>
            </a:rPr>
            <a:t>RETIRO DE TODAS LAS TERMINALES</a:t>
          </a:r>
        </a:p>
      </xdr:txBody>
    </xdr:sp>
    <xdr:clientData/>
  </xdr:twoCellAnchor>
  <xdr:twoCellAnchor>
    <xdr:from>
      <xdr:col>8</xdr:col>
      <xdr:colOff>1013113</xdr:colOff>
      <xdr:row>25</xdr:row>
      <xdr:rowOff>185304</xdr:rowOff>
    </xdr:from>
    <xdr:to>
      <xdr:col>10</xdr:col>
      <xdr:colOff>426028</xdr:colOff>
      <xdr:row>34</xdr:row>
      <xdr:rowOff>167986</xdr:rowOff>
    </xdr:to>
    <xdr:sp macro="" textlink="">
      <xdr:nvSpPr>
        <xdr:cNvPr id="520" name="CuadroTexto 519">
          <a:extLst>
            <a:ext uri="{FF2B5EF4-FFF2-40B4-BE49-F238E27FC236}">
              <a16:creationId xmlns:a16="http://schemas.microsoft.com/office/drawing/2014/main" id="{00000000-0008-0000-0100-000008020000}"/>
            </a:ext>
          </a:extLst>
        </xdr:cNvPr>
        <xdr:cNvSpPr txBox="1"/>
      </xdr:nvSpPr>
      <xdr:spPr>
        <a:xfrm>
          <a:off x="9928513" y="5662179"/>
          <a:ext cx="1641765" cy="1954357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200" b="1">
              <a:solidFill>
                <a:sysClr val="windowText" lastClr="000000"/>
              </a:solidFill>
            </a:rPr>
            <a:t>ISLA 2: CAMBIO</a:t>
          </a:r>
          <a:r>
            <a:rPr lang="es-MX" sz="1200" b="1" baseline="0">
              <a:solidFill>
                <a:sysClr val="windowText" lastClr="000000"/>
              </a:solidFill>
            </a:rPr>
            <a:t> DE MIX POSICIONES 1, 2, 3, 4 Y 5</a:t>
          </a:r>
        </a:p>
        <a:p>
          <a:pPr algn="ctr"/>
          <a:r>
            <a:rPr lang="es-MX" sz="1200" b="1" baseline="0">
              <a:solidFill>
                <a:sysClr val="windowText" lastClr="000000"/>
              </a:solidFill>
            </a:rPr>
            <a:t>MOVIMIENTO A NO FUMAR (FLECHA ROJA) POSICIONES 6, 7, 8, 9, 10 Y 11</a:t>
          </a:r>
          <a:endParaRPr lang="es-MX" sz="12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13</xdr:col>
      <xdr:colOff>51955</xdr:colOff>
      <xdr:row>27</xdr:row>
      <xdr:rowOff>190500</xdr:rowOff>
    </xdr:from>
    <xdr:to>
      <xdr:col>33</xdr:col>
      <xdr:colOff>1104900</xdr:colOff>
      <xdr:row>52</xdr:row>
      <xdr:rowOff>0</xdr:rowOff>
    </xdr:to>
    <xdr:cxnSp macro="">
      <xdr:nvCxnSpPr>
        <xdr:cNvPr id="521" name="Conector recto de flecha 520">
          <a:extLst>
            <a:ext uri="{FF2B5EF4-FFF2-40B4-BE49-F238E27FC236}">
              <a16:creationId xmlns:a16="http://schemas.microsoft.com/office/drawing/2014/main" id="{00000000-0008-0000-0100-000009020000}"/>
            </a:ext>
          </a:extLst>
        </xdr:cNvPr>
        <xdr:cNvCxnSpPr/>
      </xdr:nvCxnSpPr>
      <xdr:spPr>
        <a:xfrm>
          <a:off x="14539480" y="6105525"/>
          <a:ext cx="23341445" cy="5286375"/>
        </a:xfrm>
        <a:prstGeom prst="straightConnector1">
          <a:avLst/>
        </a:prstGeom>
        <a:ln w="381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207818</xdr:colOff>
      <xdr:row>10</xdr:row>
      <xdr:rowOff>103909</xdr:rowOff>
    </xdr:from>
    <xdr:to>
      <xdr:col>21</xdr:col>
      <xdr:colOff>744683</xdr:colOff>
      <xdr:row>17</xdr:row>
      <xdr:rowOff>86591</xdr:rowOff>
    </xdr:to>
    <xdr:sp macro="" textlink="">
      <xdr:nvSpPr>
        <xdr:cNvPr id="522" name="CuadroTexto 521">
          <a:extLst>
            <a:ext uri="{FF2B5EF4-FFF2-40B4-BE49-F238E27FC236}">
              <a16:creationId xmlns:a16="http://schemas.microsoft.com/office/drawing/2014/main" id="{00000000-0008-0000-0100-00000A020000}"/>
            </a:ext>
          </a:extLst>
        </xdr:cNvPr>
        <xdr:cNvSpPr txBox="1"/>
      </xdr:nvSpPr>
      <xdr:spPr>
        <a:xfrm>
          <a:off x="22496318" y="2294659"/>
          <a:ext cx="1651290" cy="1516207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200" b="1">
              <a:solidFill>
                <a:sysClr val="windowText" lastClr="000000"/>
              </a:solidFill>
            </a:rPr>
            <a:t>ISLA 1: CAMBIO</a:t>
          </a:r>
          <a:r>
            <a:rPr lang="es-MX" sz="1200" b="1" baseline="0">
              <a:solidFill>
                <a:sysClr val="windowText" lastClr="000000"/>
              </a:solidFill>
            </a:rPr>
            <a:t> DE MIX POSICIONES 6 Y 7 CON AJUSTE DE DENOMINACIÓN EN POSICIÓN 6</a:t>
          </a:r>
          <a:endParaRPr lang="es-MX" sz="1200" b="1">
            <a:solidFill>
              <a:sysClr val="windowText" lastClr="000000"/>
            </a:solidFill>
          </a:endParaRPr>
        </a:p>
      </xdr:txBody>
    </xdr:sp>
    <xdr:clientData/>
  </xdr:twoCellAnchor>
  <xdr:oneCellAnchor>
    <xdr:from>
      <xdr:col>38</xdr:col>
      <xdr:colOff>626918</xdr:colOff>
      <xdr:row>50</xdr:row>
      <xdr:rowOff>157597</xdr:rowOff>
    </xdr:from>
    <xdr:ext cx="1524000" cy="905739"/>
    <xdr:sp macro="" textlink="">
      <xdr:nvSpPr>
        <xdr:cNvPr id="523" name="CuadroTexto 522">
          <a:extLst>
            <a:ext uri="{FF2B5EF4-FFF2-40B4-BE49-F238E27FC236}">
              <a16:creationId xmlns:a16="http://schemas.microsoft.com/office/drawing/2014/main" id="{00000000-0008-0000-0100-00000B020000}"/>
            </a:ext>
          </a:extLst>
        </xdr:cNvPr>
        <xdr:cNvSpPr txBox="1"/>
      </xdr:nvSpPr>
      <xdr:spPr>
        <a:xfrm>
          <a:off x="42975068" y="11111347"/>
          <a:ext cx="1524000" cy="905739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s-MX" sz="1200" b="1">
              <a:solidFill>
                <a:sysClr val="windowText" lastClr="000000"/>
              </a:solidFill>
            </a:rPr>
            <a:t>ISLA 4: CAMBIO DE MIX</a:t>
          </a:r>
          <a:r>
            <a:rPr lang="es-MX" sz="1200" b="1" baseline="0">
              <a:solidFill>
                <a:sysClr val="windowText" lastClr="000000"/>
              </a:solidFill>
            </a:rPr>
            <a:t> POSICIONES 4, 5, Y 6</a:t>
          </a:r>
          <a:endParaRPr lang="es-MX" sz="1200" b="1">
            <a:solidFill>
              <a:sysClr val="windowText" lastClr="000000"/>
            </a:solidFill>
          </a:endParaRPr>
        </a:p>
      </xdr:txBody>
    </xdr:sp>
    <xdr:clientData/>
  </xdr:oneCellAnchor>
  <xdr:oneCellAnchor>
    <xdr:from>
      <xdr:col>38</xdr:col>
      <xdr:colOff>665018</xdr:colOff>
      <xdr:row>59</xdr:row>
      <xdr:rowOff>169719</xdr:rowOff>
    </xdr:from>
    <xdr:ext cx="1524000" cy="905739"/>
    <xdr:sp macro="" textlink="">
      <xdr:nvSpPr>
        <xdr:cNvPr id="524" name="CuadroTexto 523">
          <a:extLst>
            <a:ext uri="{FF2B5EF4-FFF2-40B4-BE49-F238E27FC236}">
              <a16:creationId xmlns:a16="http://schemas.microsoft.com/office/drawing/2014/main" id="{00000000-0008-0000-0100-00000C020000}"/>
            </a:ext>
          </a:extLst>
        </xdr:cNvPr>
        <xdr:cNvSpPr txBox="1"/>
      </xdr:nvSpPr>
      <xdr:spPr>
        <a:xfrm>
          <a:off x="43013168" y="13095144"/>
          <a:ext cx="1524000" cy="905739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s-MX" sz="1200" b="1">
              <a:solidFill>
                <a:sysClr val="windowText" lastClr="000000"/>
              </a:solidFill>
            </a:rPr>
            <a:t>ISLA 5: CAMBIO DE MIX</a:t>
          </a:r>
          <a:r>
            <a:rPr lang="es-MX" sz="1200" b="1" baseline="0">
              <a:solidFill>
                <a:sysClr val="windowText" lastClr="000000"/>
              </a:solidFill>
            </a:rPr>
            <a:t> POSICIONES 1, 2, Y 3</a:t>
          </a:r>
          <a:endParaRPr lang="es-MX" sz="1200" b="1">
            <a:solidFill>
              <a:sysClr val="windowText" lastClr="000000"/>
            </a:solidFill>
          </a:endParaRPr>
        </a:p>
      </xdr:txBody>
    </xdr:sp>
    <xdr:clientData/>
  </xdr:oneCellAnchor>
  <xdr:oneCellAnchor>
    <xdr:from>
      <xdr:col>19</xdr:col>
      <xdr:colOff>260350</xdr:colOff>
      <xdr:row>51</xdr:row>
      <xdr:rowOff>75047</xdr:rowOff>
    </xdr:from>
    <xdr:ext cx="3141518" cy="905739"/>
    <xdr:sp macro="" textlink="">
      <xdr:nvSpPr>
        <xdr:cNvPr id="525" name="CuadroTexto 524">
          <a:extLst>
            <a:ext uri="{FF2B5EF4-FFF2-40B4-BE49-F238E27FC236}">
              <a16:creationId xmlns:a16="http://schemas.microsoft.com/office/drawing/2014/main" id="{00000000-0008-0000-0100-00000D020000}"/>
            </a:ext>
          </a:extLst>
        </xdr:cNvPr>
        <xdr:cNvSpPr txBox="1"/>
      </xdr:nvSpPr>
      <xdr:spPr>
        <a:xfrm>
          <a:off x="21374100" y="11409797"/>
          <a:ext cx="3141518" cy="905739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s-MX" sz="1200" b="1">
              <a:solidFill>
                <a:sysClr val="windowText" lastClr="000000"/>
              </a:solidFill>
            </a:rPr>
            <a:t>ISLA 3: RETIRO TODAS LAS TERMINALES </a:t>
          </a:r>
        </a:p>
        <a:p>
          <a:pPr algn="ctr"/>
          <a:r>
            <a:rPr lang="es-MX" sz="1200" b="1">
              <a:solidFill>
                <a:sysClr val="windowText" lastClr="000000"/>
              </a:solidFill>
            </a:rPr>
            <a:t>MOVIMIENTO DE TERMINALES CON CAMBIO DE MIX EN TODAS (FLEHCA ROJA)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1066800</xdr:colOff>
      <xdr:row>0</xdr:row>
      <xdr:rowOff>0</xdr:rowOff>
    </xdr:from>
    <xdr:ext cx="0" cy="38100"/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 txBox="1"/>
      </xdr:nvSpPr>
      <xdr:spPr>
        <a:xfrm flipH="1">
          <a:off x="3295650" y="0"/>
          <a:ext cx="0" cy="38100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lvl="0" algn="ctr"/>
          <a:r>
            <a:rPr lang="es-MX" sz="1200" b="1">
              <a:solidFill>
                <a:sysClr val="windowText" lastClr="000000"/>
              </a:solidFill>
            </a:rPr>
            <a:t>ISLA 9: CAMBIO DE MIX POSICIONES 4, 5, 6 Y 7</a:t>
          </a: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3" name="Rectángulo 8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4" name="Rectángulo 8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5" name="rect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6" name="rect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952500</xdr:colOff>
      <xdr:row>0</xdr:row>
      <xdr:rowOff>0</xdr:rowOff>
    </xdr:from>
    <xdr:ext cx="180975" cy="647700"/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SpPr/>
      </xdr:nvSpPr>
      <xdr:spPr>
        <a:xfrm>
          <a:off x="98679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8" name="Rectángulo 8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10" name="rect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11" name="rect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952500</xdr:colOff>
      <xdr:row>0</xdr:row>
      <xdr:rowOff>0</xdr:rowOff>
    </xdr:from>
    <xdr:ext cx="180975" cy="647700"/>
    <xdr:sp macro="" textlink="">
      <xdr:nvSpPr>
        <xdr:cNvPr id="12" name="Rectángulo 8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SpPr/>
      </xdr:nvSpPr>
      <xdr:spPr>
        <a:xfrm>
          <a:off x="98679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13" name="Rectángulo 8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14" name="Rectángulo 8"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15" name="rect">
          <a:extLst>
            <a:ext uri="{FF2B5EF4-FFF2-40B4-BE49-F238E27FC236}">
              <a16:creationId xmlns:a16="http://schemas.microsoft.com/office/drawing/2014/main" id="{00000000-0008-0000-0400-00000F00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16" name="rect">
          <a:extLst>
            <a:ext uri="{FF2B5EF4-FFF2-40B4-BE49-F238E27FC236}">
              <a16:creationId xmlns:a16="http://schemas.microsoft.com/office/drawing/2014/main" id="{00000000-0008-0000-0400-00001000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952500</xdr:colOff>
      <xdr:row>0</xdr:row>
      <xdr:rowOff>0</xdr:rowOff>
    </xdr:from>
    <xdr:ext cx="180975" cy="647700"/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400-000011000000}"/>
            </a:ext>
          </a:extLst>
        </xdr:cNvPr>
        <xdr:cNvSpPr/>
      </xdr:nvSpPr>
      <xdr:spPr>
        <a:xfrm>
          <a:off x="98679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18" name="Rectángulo 8">
          <a:extLst>
            <a:ext uri="{FF2B5EF4-FFF2-40B4-BE49-F238E27FC236}">
              <a16:creationId xmlns:a16="http://schemas.microsoft.com/office/drawing/2014/main" id="{00000000-0008-0000-0400-00001200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19" name="Rectángulo 8">
          <a:extLst>
            <a:ext uri="{FF2B5EF4-FFF2-40B4-BE49-F238E27FC236}">
              <a16:creationId xmlns:a16="http://schemas.microsoft.com/office/drawing/2014/main" id="{00000000-0008-0000-0400-00001300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20" name="rect">
          <a:extLst>
            <a:ext uri="{FF2B5EF4-FFF2-40B4-BE49-F238E27FC236}">
              <a16:creationId xmlns:a16="http://schemas.microsoft.com/office/drawing/2014/main" id="{00000000-0008-0000-0400-00001400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21" name="rect">
          <a:extLst>
            <a:ext uri="{FF2B5EF4-FFF2-40B4-BE49-F238E27FC236}">
              <a16:creationId xmlns:a16="http://schemas.microsoft.com/office/drawing/2014/main" id="{00000000-0008-0000-0400-00001500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952500</xdr:colOff>
      <xdr:row>0</xdr:row>
      <xdr:rowOff>0</xdr:rowOff>
    </xdr:from>
    <xdr:ext cx="180975" cy="647700"/>
    <xdr:sp macro="" textlink="">
      <xdr:nvSpPr>
        <xdr:cNvPr id="22" name="Rectángulo 8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SpPr/>
      </xdr:nvSpPr>
      <xdr:spPr>
        <a:xfrm>
          <a:off x="98679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23" name="Rectángulo 8">
          <a:extLst>
            <a:ext uri="{FF2B5EF4-FFF2-40B4-BE49-F238E27FC236}">
              <a16:creationId xmlns:a16="http://schemas.microsoft.com/office/drawing/2014/main" id="{00000000-0008-0000-0400-00001700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400-00001800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25" name="rect">
          <a:extLst>
            <a:ext uri="{FF2B5EF4-FFF2-40B4-BE49-F238E27FC236}">
              <a16:creationId xmlns:a16="http://schemas.microsoft.com/office/drawing/2014/main" id="{00000000-0008-0000-0400-00001900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26" name="rect">
          <a:extLst>
            <a:ext uri="{FF2B5EF4-FFF2-40B4-BE49-F238E27FC236}">
              <a16:creationId xmlns:a16="http://schemas.microsoft.com/office/drawing/2014/main" id="{00000000-0008-0000-0400-00001A00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952500</xdr:colOff>
      <xdr:row>0</xdr:row>
      <xdr:rowOff>0</xdr:rowOff>
    </xdr:from>
    <xdr:ext cx="180975" cy="647700"/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400-00001B000000}"/>
            </a:ext>
          </a:extLst>
        </xdr:cNvPr>
        <xdr:cNvSpPr/>
      </xdr:nvSpPr>
      <xdr:spPr>
        <a:xfrm>
          <a:off x="98679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2</xdr:col>
      <xdr:colOff>1066800</xdr:colOff>
      <xdr:row>0</xdr:row>
      <xdr:rowOff>0</xdr:rowOff>
    </xdr:from>
    <xdr:ext cx="0" cy="38100"/>
    <xdr:sp macro="" textlink="">
      <xdr:nvSpPr>
        <xdr:cNvPr id="28" name="CuadroTexto 27">
          <a:extLst>
            <a:ext uri="{FF2B5EF4-FFF2-40B4-BE49-F238E27FC236}">
              <a16:creationId xmlns:a16="http://schemas.microsoft.com/office/drawing/2014/main" id="{00000000-0008-0000-0400-00001C000000}"/>
            </a:ext>
          </a:extLst>
        </xdr:cNvPr>
        <xdr:cNvSpPr txBox="1"/>
      </xdr:nvSpPr>
      <xdr:spPr>
        <a:xfrm flipH="1">
          <a:off x="3295650" y="0"/>
          <a:ext cx="0" cy="38100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lvl="0" algn="ctr"/>
          <a:r>
            <a:rPr lang="es-MX" sz="1200" b="1">
              <a:solidFill>
                <a:sysClr val="windowText" lastClr="000000"/>
              </a:solidFill>
            </a:rPr>
            <a:t>ISLA 9: CAMBIO DE MIX POSICIONES 4, 5, 6 Y 7</a:t>
          </a: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29" name="Rectángulo 8">
          <a:extLst>
            <a:ext uri="{FF2B5EF4-FFF2-40B4-BE49-F238E27FC236}">
              <a16:creationId xmlns:a16="http://schemas.microsoft.com/office/drawing/2014/main" id="{00000000-0008-0000-0400-00001D00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30" name="Rectángulo 8">
          <a:extLst>
            <a:ext uri="{FF2B5EF4-FFF2-40B4-BE49-F238E27FC236}">
              <a16:creationId xmlns:a16="http://schemas.microsoft.com/office/drawing/2014/main" id="{00000000-0008-0000-0400-00001E00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31" name="rect">
          <a:extLst>
            <a:ext uri="{FF2B5EF4-FFF2-40B4-BE49-F238E27FC236}">
              <a16:creationId xmlns:a16="http://schemas.microsoft.com/office/drawing/2014/main" id="{00000000-0008-0000-0400-00001F00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32" name="rect">
          <a:extLst>
            <a:ext uri="{FF2B5EF4-FFF2-40B4-BE49-F238E27FC236}">
              <a16:creationId xmlns:a16="http://schemas.microsoft.com/office/drawing/2014/main" id="{00000000-0008-0000-0400-00002000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952500</xdr:colOff>
      <xdr:row>0</xdr:row>
      <xdr:rowOff>0</xdr:rowOff>
    </xdr:from>
    <xdr:ext cx="180975" cy="647700"/>
    <xdr:sp macro="" textlink="">
      <xdr:nvSpPr>
        <xdr:cNvPr id="33" name="Rectángulo 8">
          <a:extLst>
            <a:ext uri="{FF2B5EF4-FFF2-40B4-BE49-F238E27FC236}">
              <a16:creationId xmlns:a16="http://schemas.microsoft.com/office/drawing/2014/main" id="{00000000-0008-0000-0400-000021000000}"/>
            </a:ext>
          </a:extLst>
        </xdr:cNvPr>
        <xdr:cNvSpPr/>
      </xdr:nvSpPr>
      <xdr:spPr>
        <a:xfrm>
          <a:off x="98679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34" name="Rectángulo 8">
          <a:extLst>
            <a:ext uri="{FF2B5EF4-FFF2-40B4-BE49-F238E27FC236}">
              <a16:creationId xmlns:a16="http://schemas.microsoft.com/office/drawing/2014/main" id="{00000000-0008-0000-0400-00002200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35" name="Rectángulo 8">
          <a:extLst>
            <a:ext uri="{FF2B5EF4-FFF2-40B4-BE49-F238E27FC236}">
              <a16:creationId xmlns:a16="http://schemas.microsoft.com/office/drawing/2014/main" id="{00000000-0008-0000-0400-00002300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36" name="rect">
          <a:extLst>
            <a:ext uri="{FF2B5EF4-FFF2-40B4-BE49-F238E27FC236}">
              <a16:creationId xmlns:a16="http://schemas.microsoft.com/office/drawing/2014/main" id="{00000000-0008-0000-0400-00002400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37" name="rect">
          <a:extLst>
            <a:ext uri="{FF2B5EF4-FFF2-40B4-BE49-F238E27FC236}">
              <a16:creationId xmlns:a16="http://schemas.microsoft.com/office/drawing/2014/main" id="{00000000-0008-0000-0400-00002500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952500</xdr:colOff>
      <xdr:row>0</xdr:row>
      <xdr:rowOff>0</xdr:rowOff>
    </xdr:from>
    <xdr:ext cx="180975" cy="647700"/>
    <xdr:sp macro="" textlink="">
      <xdr:nvSpPr>
        <xdr:cNvPr id="38" name="Rectángulo 37">
          <a:extLst>
            <a:ext uri="{FF2B5EF4-FFF2-40B4-BE49-F238E27FC236}">
              <a16:creationId xmlns:a16="http://schemas.microsoft.com/office/drawing/2014/main" id="{00000000-0008-0000-0400-000026000000}"/>
            </a:ext>
          </a:extLst>
        </xdr:cNvPr>
        <xdr:cNvSpPr/>
      </xdr:nvSpPr>
      <xdr:spPr>
        <a:xfrm>
          <a:off x="98679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39" name="Rectángulo 8">
          <a:extLst>
            <a:ext uri="{FF2B5EF4-FFF2-40B4-BE49-F238E27FC236}">
              <a16:creationId xmlns:a16="http://schemas.microsoft.com/office/drawing/2014/main" id="{00000000-0008-0000-0400-00002700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40" name="Rectángulo 8">
          <a:extLst>
            <a:ext uri="{FF2B5EF4-FFF2-40B4-BE49-F238E27FC236}">
              <a16:creationId xmlns:a16="http://schemas.microsoft.com/office/drawing/2014/main" id="{00000000-0008-0000-0400-00002800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41" name="rect">
          <a:extLst>
            <a:ext uri="{FF2B5EF4-FFF2-40B4-BE49-F238E27FC236}">
              <a16:creationId xmlns:a16="http://schemas.microsoft.com/office/drawing/2014/main" id="{00000000-0008-0000-0400-00002900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42" name="rect">
          <a:extLst>
            <a:ext uri="{FF2B5EF4-FFF2-40B4-BE49-F238E27FC236}">
              <a16:creationId xmlns:a16="http://schemas.microsoft.com/office/drawing/2014/main" id="{00000000-0008-0000-0400-00002A00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952500</xdr:colOff>
      <xdr:row>0</xdr:row>
      <xdr:rowOff>0</xdr:rowOff>
    </xdr:from>
    <xdr:ext cx="180975" cy="647700"/>
    <xdr:sp macro="" textlink="">
      <xdr:nvSpPr>
        <xdr:cNvPr id="43" name="Rectángulo 8">
          <a:extLst>
            <a:ext uri="{FF2B5EF4-FFF2-40B4-BE49-F238E27FC236}">
              <a16:creationId xmlns:a16="http://schemas.microsoft.com/office/drawing/2014/main" id="{00000000-0008-0000-0400-00002B000000}"/>
            </a:ext>
          </a:extLst>
        </xdr:cNvPr>
        <xdr:cNvSpPr/>
      </xdr:nvSpPr>
      <xdr:spPr>
        <a:xfrm>
          <a:off x="98679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807383</xdr:colOff>
      <xdr:row>0</xdr:row>
      <xdr:rowOff>0</xdr:rowOff>
    </xdr:from>
    <xdr:ext cx="184731" cy="655885"/>
    <xdr:sp macro="" textlink="">
      <xdr:nvSpPr>
        <xdr:cNvPr id="44" name="Rectángulo 8">
          <a:extLst>
            <a:ext uri="{FF2B5EF4-FFF2-40B4-BE49-F238E27FC236}">
              <a16:creationId xmlns:a16="http://schemas.microsoft.com/office/drawing/2014/main" id="{00000000-0008-0000-0400-00002C000000}"/>
            </a:ext>
          </a:extLst>
        </xdr:cNvPr>
        <xdr:cNvSpPr/>
      </xdr:nvSpPr>
      <xdr:spPr>
        <a:xfrm>
          <a:off x="97227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0</xdr:row>
      <xdr:rowOff>0</xdr:rowOff>
    </xdr:from>
    <xdr:ext cx="184731" cy="655885"/>
    <xdr:sp macro="" textlink="">
      <xdr:nvSpPr>
        <xdr:cNvPr id="45" name="Rectángulo 8">
          <a:extLst>
            <a:ext uri="{FF2B5EF4-FFF2-40B4-BE49-F238E27FC236}">
              <a16:creationId xmlns:a16="http://schemas.microsoft.com/office/drawing/2014/main" id="{00000000-0008-0000-0400-00002D000000}"/>
            </a:ext>
          </a:extLst>
        </xdr:cNvPr>
        <xdr:cNvSpPr/>
      </xdr:nvSpPr>
      <xdr:spPr>
        <a:xfrm>
          <a:off x="97227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959783</xdr:colOff>
      <xdr:row>0</xdr:row>
      <xdr:rowOff>0</xdr:rowOff>
    </xdr:from>
    <xdr:ext cx="184731" cy="655885"/>
    <xdr:sp macro="" textlink="">
      <xdr:nvSpPr>
        <xdr:cNvPr id="46" name="Rectángulo 45">
          <a:extLst>
            <a:ext uri="{FF2B5EF4-FFF2-40B4-BE49-F238E27FC236}">
              <a16:creationId xmlns:a16="http://schemas.microsoft.com/office/drawing/2014/main" id="{00000000-0008-0000-0400-00002E000000}"/>
            </a:ext>
          </a:extLst>
        </xdr:cNvPr>
        <xdr:cNvSpPr/>
      </xdr:nvSpPr>
      <xdr:spPr>
        <a:xfrm>
          <a:off x="98751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0</xdr:row>
      <xdr:rowOff>0</xdr:rowOff>
    </xdr:from>
    <xdr:ext cx="184731" cy="655885"/>
    <xdr:sp macro="" textlink="">
      <xdr:nvSpPr>
        <xdr:cNvPr id="47" name="Rectángulo 46">
          <a:extLst>
            <a:ext uri="{FF2B5EF4-FFF2-40B4-BE49-F238E27FC236}">
              <a16:creationId xmlns:a16="http://schemas.microsoft.com/office/drawing/2014/main" id="{00000000-0008-0000-0400-00002F000000}"/>
            </a:ext>
          </a:extLst>
        </xdr:cNvPr>
        <xdr:cNvSpPr/>
      </xdr:nvSpPr>
      <xdr:spPr>
        <a:xfrm>
          <a:off x="97227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0</xdr:row>
      <xdr:rowOff>0</xdr:rowOff>
    </xdr:from>
    <xdr:ext cx="184731" cy="655885"/>
    <xdr:sp macro="" textlink="">
      <xdr:nvSpPr>
        <xdr:cNvPr id="48" name="Rectángulo 8">
          <a:extLst>
            <a:ext uri="{FF2B5EF4-FFF2-40B4-BE49-F238E27FC236}">
              <a16:creationId xmlns:a16="http://schemas.microsoft.com/office/drawing/2014/main" id="{00000000-0008-0000-0400-000030000000}"/>
            </a:ext>
          </a:extLst>
        </xdr:cNvPr>
        <xdr:cNvSpPr/>
      </xdr:nvSpPr>
      <xdr:spPr>
        <a:xfrm>
          <a:off x="97227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959783</xdr:colOff>
      <xdr:row>0</xdr:row>
      <xdr:rowOff>0</xdr:rowOff>
    </xdr:from>
    <xdr:ext cx="184731" cy="655885"/>
    <xdr:sp macro="" textlink="">
      <xdr:nvSpPr>
        <xdr:cNvPr id="49" name="Rectángulo 48">
          <a:extLst>
            <a:ext uri="{FF2B5EF4-FFF2-40B4-BE49-F238E27FC236}">
              <a16:creationId xmlns:a16="http://schemas.microsoft.com/office/drawing/2014/main" id="{00000000-0008-0000-0400-000031000000}"/>
            </a:ext>
          </a:extLst>
        </xdr:cNvPr>
        <xdr:cNvSpPr/>
      </xdr:nvSpPr>
      <xdr:spPr>
        <a:xfrm>
          <a:off x="98751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0</xdr:row>
      <xdr:rowOff>0</xdr:rowOff>
    </xdr:from>
    <xdr:ext cx="184731" cy="655885"/>
    <xdr:sp macro="" textlink="">
      <xdr:nvSpPr>
        <xdr:cNvPr id="50" name="Rectángulo 8">
          <a:extLst>
            <a:ext uri="{FF2B5EF4-FFF2-40B4-BE49-F238E27FC236}">
              <a16:creationId xmlns:a16="http://schemas.microsoft.com/office/drawing/2014/main" id="{00000000-0008-0000-0400-000032000000}"/>
            </a:ext>
          </a:extLst>
        </xdr:cNvPr>
        <xdr:cNvSpPr/>
      </xdr:nvSpPr>
      <xdr:spPr>
        <a:xfrm>
          <a:off x="97227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0</xdr:row>
      <xdr:rowOff>0</xdr:rowOff>
    </xdr:from>
    <xdr:ext cx="184731" cy="655885"/>
    <xdr:sp macro="" textlink="">
      <xdr:nvSpPr>
        <xdr:cNvPr id="51" name="Rectángulo 8">
          <a:extLst>
            <a:ext uri="{FF2B5EF4-FFF2-40B4-BE49-F238E27FC236}">
              <a16:creationId xmlns:a16="http://schemas.microsoft.com/office/drawing/2014/main" id="{00000000-0008-0000-0400-000033000000}"/>
            </a:ext>
          </a:extLst>
        </xdr:cNvPr>
        <xdr:cNvSpPr/>
      </xdr:nvSpPr>
      <xdr:spPr>
        <a:xfrm>
          <a:off x="97227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959783</xdr:colOff>
      <xdr:row>0</xdr:row>
      <xdr:rowOff>0</xdr:rowOff>
    </xdr:from>
    <xdr:ext cx="184731" cy="655885"/>
    <xdr:sp macro="" textlink="">
      <xdr:nvSpPr>
        <xdr:cNvPr id="52" name="Rectángulo 51">
          <a:extLst>
            <a:ext uri="{FF2B5EF4-FFF2-40B4-BE49-F238E27FC236}">
              <a16:creationId xmlns:a16="http://schemas.microsoft.com/office/drawing/2014/main" id="{00000000-0008-0000-0400-000034000000}"/>
            </a:ext>
          </a:extLst>
        </xdr:cNvPr>
        <xdr:cNvSpPr/>
      </xdr:nvSpPr>
      <xdr:spPr>
        <a:xfrm>
          <a:off x="98751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0</xdr:row>
      <xdr:rowOff>0</xdr:rowOff>
    </xdr:from>
    <xdr:ext cx="184731" cy="655885"/>
    <xdr:sp macro="" textlink="">
      <xdr:nvSpPr>
        <xdr:cNvPr id="53" name="Rectángulo 52">
          <a:extLst>
            <a:ext uri="{FF2B5EF4-FFF2-40B4-BE49-F238E27FC236}">
              <a16:creationId xmlns:a16="http://schemas.microsoft.com/office/drawing/2014/main" id="{00000000-0008-0000-0400-000035000000}"/>
            </a:ext>
          </a:extLst>
        </xdr:cNvPr>
        <xdr:cNvSpPr/>
      </xdr:nvSpPr>
      <xdr:spPr>
        <a:xfrm>
          <a:off x="97227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0</xdr:row>
      <xdr:rowOff>0</xdr:rowOff>
    </xdr:from>
    <xdr:ext cx="184731" cy="655885"/>
    <xdr:sp macro="" textlink="">
      <xdr:nvSpPr>
        <xdr:cNvPr id="54" name="Rectángulo 8">
          <a:extLst>
            <a:ext uri="{FF2B5EF4-FFF2-40B4-BE49-F238E27FC236}">
              <a16:creationId xmlns:a16="http://schemas.microsoft.com/office/drawing/2014/main" id="{00000000-0008-0000-0400-000036000000}"/>
            </a:ext>
          </a:extLst>
        </xdr:cNvPr>
        <xdr:cNvSpPr/>
      </xdr:nvSpPr>
      <xdr:spPr>
        <a:xfrm>
          <a:off x="97227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959783</xdr:colOff>
      <xdr:row>0</xdr:row>
      <xdr:rowOff>0</xdr:rowOff>
    </xdr:from>
    <xdr:ext cx="184731" cy="655885"/>
    <xdr:sp macro="" textlink="">
      <xdr:nvSpPr>
        <xdr:cNvPr id="55" name="Rectángulo 54">
          <a:extLst>
            <a:ext uri="{FF2B5EF4-FFF2-40B4-BE49-F238E27FC236}">
              <a16:creationId xmlns:a16="http://schemas.microsoft.com/office/drawing/2014/main" id="{00000000-0008-0000-0400-000037000000}"/>
            </a:ext>
          </a:extLst>
        </xdr:cNvPr>
        <xdr:cNvSpPr/>
      </xdr:nvSpPr>
      <xdr:spPr>
        <a:xfrm>
          <a:off x="98751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0</xdr:col>
      <xdr:colOff>959783</xdr:colOff>
      <xdr:row>0</xdr:row>
      <xdr:rowOff>0</xdr:rowOff>
    </xdr:from>
    <xdr:ext cx="184731" cy="655885"/>
    <xdr:sp macro="" textlink="">
      <xdr:nvSpPr>
        <xdr:cNvPr id="56" name="Rectángulo 55">
          <a:extLst>
            <a:ext uri="{FF2B5EF4-FFF2-40B4-BE49-F238E27FC236}">
              <a16:creationId xmlns:a16="http://schemas.microsoft.com/office/drawing/2014/main" id="{00000000-0008-0000-0400-000038000000}"/>
            </a:ext>
          </a:extLst>
        </xdr:cNvPr>
        <xdr:cNvSpPr/>
      </xdr:nvSpPr>
      <xdr:spPr>
        <a:xfrm>
          <a:off x="9597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0</xdr:col>
      <xdr:colOff>959783</xdr:colOff>
      <xdr:row>0</xdr:row>
      <xdr:rowOff>0</xdr:rowOff>
    </xdr:from>
    <xdr:ext cx="184731" cy="655885"/>
    <xdr:sp macro="" textlink="">
      <xdr:nvSpPr>
        <xdr:cNvPr id="57" name="Rectángulo 56">
          <a:extLst>
            <a:ext uri="{FF2B5EF4-FFF2-40B4-BE49-F238E27FC236}">
              <a16:creationId xmlns:a16="http://schemas.microsoft.com/office/drawing/2014/main" id="{00000000-0008-0000-0400-000039000000}"/>
            </a:ext>
          </a:extLst>
        </xdr:cNvPr>
        <xdr:cNvSpPr/>
      </xdr:nvSpPr>
      <xdr:spPr>
        <a:xfrm>
          <a:off x="9597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2</xdr:col>
      <xdr:colOff>1066800</xdr:colOff>
      <xdr:row>0</xdr:row>
      <xdr:rowOff>0</xdr:rowOff>
    </xdr:from>
    <xdr:ext cx="0" cy="38100"/>
    <xdr:sp macro="" textlink="">
      <xdr:nvSpPr>
        <xdr:cNvPr id="58" name="CuadroTexto 57">
          <a:extLst>
            <a:ext uri="{FF2B5EF4-FFF2-40B4-BE49-F238E27FC236}">
              <a16:creationId xmlns:a16="http://schemas.microsoft.com/office/drawing/2014/main" id="{00000000-0008-0000-0400-00003A000000}"/>
            </a:ext>
          </a:extLst>
        </xdr:cNvPr>
        <xdr:cNvSpPr txBox="1"/>
      </xdr:nvSpPr>
      <xdr:spPr>
        <a:xfrm flipH="1">
          <a:off x="3295650" y="0"/>
          <a:ext cx="0" cy="38100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lvl="0" algn="ctr"/>
          <a:r>
            <a:rPr lang="es-MX" sz="1200" b="1">
              <a:solidFill>
                <a:sysClr val="windowText" lastClr="000000"/>
              </a:solidFill>
            </a:rPr>
            <a:t>ISLA 9: CAMBIO DE MIX POSICIONES 4, 5, 6 Y 7</a:t>
          </a: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59" name="Rectángulo 8">
          <a:extLst>
            <a:ext uri="{FF2B5EF4-FFF2-40B4-BE49-F238E27FC236}">
              <a16:creationId xmlns:a16="http://schemas.microsoft.com/office/drawing/2014/main" id="{00000000-0008-0000-0400-00003B00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60" name="Rectángulo 8">
          <a:extLst>
            <a:ext uri="{FF2B5EF4-FFF2-40B4-BE49-F238E27FC236}">
              <a16:creationId xmlns:a16="http://schemas.microsoft.com/office/drawing/2014/main" id="{00000000-0008-0000-0400-00003C00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61" name="rect">
          <a:extLst>
            <a:ext uri="{FF2B5EF4-FFF2-40B4-BE49-F238E27FC236}">
              <a16:creationId xmlns:a16="http://schemas.microsoft.com/office/drawing/2014/main" id="{00000000-0008-0000-0400-00003D00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62" name="rect">
          <a:extLst>
            <a:ext uri="{FF2B5EF4-FFF2-40B4-BE49-F238E27FC236}">
              <a16:creationId xmlns:a16="http://schemas.microsoft.com/office/drawing/2014/main" id="{00000000-0008-0000-0400-00003E00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952500</xdr:colOff>
      <xdr:row>0</xdr:row>
      <xdr:rowOff>0</xdr:rowOff>
    </xdr:from>
    <xdr:ext cx="180975" cy="647700"/>
    <xdr:sp macro="" textlink="">
      <xdr:nvSpPr>
        <xdr:cNvPr id="63" name="Rectángulo 62">
          <a:extLst>
            <a:ext uri="{FF2B5EF4-FFF2-40B4-BE49-F238E27FC236}">
              <a16:creationId xmlns:a16="http://schemas.microsoft.com/office/drawing/2014/main" id="{00000000-0008-0000-0400-00003F000000}"/>
            </a:ext>
          </a:extLst>
        </xdr:cNvPr>
        <xdr:cNvSpPr/>
      </xdr:nvSpPr>
      <xdr:spPr>
        <a:xfrm>
          <a:off x="98679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64" name="Rectángulo 8">
          <a:extLst>
            <a:ext uri="{FF2B5EF4-FFF2-40B4-BE49-F238E27FC236}">
              <a16:creationId xmlns:a16="http://schemas.microsoft.com/office/drawing/2014/main" id="{00000000-0008-0000-0400-00004000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65" name="Rectángulo 8">
          <a:extLst>
            <a:ext uri="{FF2B5EF4-FFF2-40B4-BE49-F238E27FC236}">
              <a16:creationId xmlns:a16="http://schemas.microsoft.com/office/drawing/2014/main" id="{00000000-0008-0000-0400-00004100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66" name="rect">
          <a:extLst>
            <a:ext uri="{FF2B5EF4-FFF2-40B4-BE49-F238E27FC236}">
              <a16:creationId xmlns:a16="http://schemas.microsoft.com/office/drawing/2014/main" id="{00000000-0008-0000-0400-00004200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67" name="rect">
          <a:extLst>
            <a:ext uri="{FF2B5EF4-FFF2-40B4-BE49-F238E27FC236}">
              <a16:creationId xmlns:a16="http://schemas.microsoft.com/office/drawing/2014/main" id="{00000000-0008-0000-0400-00004300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952500</xdr:colOff>
      <xdr:row>0</xdr:row>
      <xdr:rowOff>0</xdr:rowOff>
    </xdr:from>
    <xdr:ext cx="180975" cy="647700"/>
    <xdr:sp macro="" textlink="">
      <xdr:nvSpPr>
        <xdr:cNvPr id="68" name="Rectángulo 8">
          <a:extLst>
            <a:ext uri="{FF2B5EF4-FFF2-40B4-BE49-F238E27FC236}">
              <a16:creationId xmlns:a16="http://schemas.microsoft.com/office/drawing/2014/main" id="{00000000-0008-0000-0400-000044000000}"/>
            </a:ext>
          </a:extLst>
        </xdr:cNvPr>
        <xdr:cNvSpPr/>
      </xdr:nvSpPr>
      <xdr:spPr>
        <a:xfrm>
          <a:off x="98679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69" name="Rectángulo 8">
          <a:extLst>
            <a:ext uri="{FF2B5EF4-FFF2-40B4-BE49-F238E27FC236}">
              <a16:creationId xmlns:a16="http://schemas.microsoft.com/office/drawing/2014/main" id="{00000000-0008-0000-0400-00004500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70" name="Rectángulo 8">
          <a:extLst>
            <a:ext uri="{FF2B5EF4-FFF2-40B4-BE49-F238E27FC236}">
              <a16:creationId xmlns:a16="http://schemas.microsoft.com/office/drawing/2014/main" id="{00000000-0008-0000-0400-00004600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71" name="rect">
          <a:extLst>
            <a:ext uri="{FF2B5EF4-FFF2-40B4-BE49-F238E27FC236}">
              <a16:creationId xmlns:a16="http://schemas.microsoft.com/office/drawing/2014/main" id="{00000000-0008-0000-0400-00004700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72" name="rect">
          <a:extLst>
            <a:ext uri="{FF2B5EF4-FFF2-40B4-BE49-F238E27FC236}">
              <a16:creationId xmlns:a16="http://schemas.microsoft.com/office/drawing/2014/main" id="{00000000-0008-0000-0400-00004800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952500</xdr:colOff>
      <xdr:row>0</xdr:row>
      <xdr:rowOff>0</xdr:rowOff>
    </xdr:from>
    <xdr:ext cx="180975" cy="647700"/>
    <xdr:sp macro="" textlink="">
      <xdr:nvSpPr>
        <xdr:cNvPr id="73" name="Rectángulo 72">
          <a:extLst>
            <a:ext uri="{FF2B5EF4-FFF2-40B4-BE49-F238E27FC236}">
              <a16:creationId xmlns:a16="http://schemas.microsoft.com/office/drawing/2014/main" id="{00000000-0008-0000-0400-000049000000}"/>
            </a:ext>
          </a:extLst>
        </xdr:cNvPr>
        <xdr:cNvSpPr/>
      </xdr:nvSpPr>
      <xdr:spPr>
        <a:xfrm>
          <a:off x="98679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74" name="Rectángulo 8">
          <a:extLst>
            <a:ext uri="{FF2B5EF4-FFF2-40B4-BE49-F238E27FC236}">
              <a16:creationId xmlns:a16="http://schemas.microsoft.com/office/drawing/2014/main" id="{00000000-0008-0000-0400-00004A00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75" name="Rectángulo 8">
          <a:extLst>
            <a:ext uri="{FF2B5EF4-FFF2-40B4-BE49-F238E27FC236}">
              <a16:creationId xmlns:a16="http://schemas.microsoft.com/office/drawing/2014/main" id="{00000000-0008-0000-0400-00004B00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76" name="rect">
          <a:extLst>
            <a:ext uri="{FF2B5EF4-FFF2-40B4-BE49-F238E27FC236}">
              <a16:creationId xmlns:a16="http://schemas.microsoft.com/office/drawing/2014/main" id="{00000000-0008-0000-0400-00004C00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77" name="rect">
          <a:extLst>
            <a:ext uri="{FF2B5EF4-FFF2-40B4-BE49-F238E27FC236}">
              <a16:creationId xmlns:a16="http://schemas.microsoft.com/office/drawing/2014/main" id="{00000000-0008-0000-0400-00004D00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952500</xdr:colOff>
      <xdr:row>0</xdr:row>
      <xdr:rowOff>0</xdr:rowOff>
    </xdr:from>
    <xdr:ext cx="180975" cy="647700"/>
    <xdr:sp macro="" textlink="">
      <xdr:nvSpPr>
        <xdr:cNvPr id="78" name="Rectángulo 8">
          <a:extLst>
            <a:ext uri="{FF2B5EF4-FFF2-40B4-BE49-F238E27FC236}">
              <a16:creationId xmlns:a16="http://schemas.microsoft.com/office/drawing/2014/main" id="{00000000-0008-0000-0400-00004E000000}"/>
            </a:ext>
          </a:extLst>
        </xdr:cNvPr>
        <xdr:cNvSpPr/>
      </xdr:nvSpPr>
      <xdr:spPr>
        <a:xfrm>
          <a:off x="98679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79" name="Rectángulo 8">
          <a:extLst>
            <a:ext uri="{FF2B5EF4-FFF2-40B4-BE49-F238E27FC236}">
              <a16:creationId xmlns:a16="http://schemas.microsoft.com/office/drawing/2014/main" id="{00000000-0008-0000-0400-00004F00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80" name="Rectángulo 79">
          <a:extLst>
            <a:ext uri="{FF2B5EF4-FFF2-40B4-BE49-F238E27FC236}">
              <a16:creationId xmlns:a16="http://schemas.microsoft.com/office/drawing/2014/main" id="{00000000-0008-0000-0400-00005000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81" name="rect">
          <a:extLst>
            <a:ext uri="{FF2B5EF4-FFF2-40B4-BE49-F238E27FC236}">
              <a16:creationId xmlns:a16="http://schemas.microsoft.com/office/drawing/2014/main" id="{00000000-0008-0000-0400-00005100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82" name="rect">
          <a:extLst>
            <a:ext uri="{FF2B5EF4-FFF2-40B4-BE49-F238E27FC236}">
              <a16:creationId xmlns:a16="http://schemas.microsoft.com/office/drawing/2014/main" id="{00000000-0008-0000-0400-00005200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952500</xdr:colOff>
      <xdr:row>0</xdr:row>
      <xdr:rowOff>0</xdr:rowOff>
    </xdr:from>
    <xdr:ext cx="180975" cy="647700"/>
    <xdr:sp macro="" textlink="">
      <xdr:nvSpPr>
        <xdr:cNvPr id="83" name="Rectángulo 82">
          <a:extLst>
            <a:ext uri="{FF2B5EF4-FFF2-40B4-BE49-F238E27FC236}">
              <a16:creationId xmlns:a16="http://schemas.microsoft.com/office/drawing/2014/main" id="{00000000-0008-0000-0400-000053000000}"/>
            </a:ext>
          </a:extLst>
        </xdr:cNvPr>
        <xdr:cNvSpPr/>
      </xdr:nvSpPr>
      <xdr:spPr>
        <a:xfrm>
          <a:off x="98679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2</xdr:col>
      <xdr:colOff>1066800</xdr:colOff>
      <xdr:row>0</xdr:row>
      <xdr:rowOff>0</xdr:rowOff>
    </xdr:from>
    <xdr:ext cx="0" cy="38100"/>
    <xdr:sp macro="" textlink="">
      <xdr:nvSpPr>
        <xdr:cNvPr id="84" name="CuadroTexto 83">
          <a:extLst>
            <a:ext uri="{FF2B5EF4-FFF2-40B4-BE49-F238E27FC236}">
              <a16:creationId xmlns:a16="http://schemas.microsoft.com/office/drawing/2014/main" id="{00000000-0008-0000-0400-000054000000}"/>
            </a:ext>
          </a:extLst>
        </xdr:cNvPr>
        <xdr:cNvSpPr txBox="1"/>
      </xdr:nvSpPr>
      <xdr:spPr>
        <a:xfrm flipH="1">
          <a:off x="3295650" y="0"/>
          <a:ext cx="0" cy="38100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lvl="0" algn="ctr"/>
          <a:r>
            <a:rPr lang="es-MX" sz="1200" b="1">
              <a:solidFill>
                <a:sysClr val="windowText" lastClr="000000"/>
              </a:solidFill>
            </a:rPr>
            <a:t>ISLA 9: CAMBIO DE MIX POSICIONES 4, 5, 6 Y 7</a:t>
          </a: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85" name="Rectángulo 8">
          <a:extLst>
            <a:ext uri="{FF2B5EF4-FFF2-40B4-BE49-F238E27FC236}">
              <a16:creationId xmlns:a16="http://schemas.microsoft.com/office/drawing/2014/main" id="{00000000-0008-0000-0400-00005500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86" name="Rectángulo 8">
          <a:extLst>
            <a:ext uri="{FF2B5EF4-FFF2-40B4-BE49-F238E27FC236}">
              <a16:creationId xmlns:a16="http://schemas.microsoft.com/office/drawing/2014/main" id="{00000000-0008-0000-0400-00005600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87" name="rect">
          <a:extLst>
            <a:ext uri="{FF2B5EF4-FFF2-40B4-BE49-F238E27FC236}">
              <a16:creationId xmlns:a16="http://schemas.microsoft.com/office/drawing/2014/main" id="{00000000-0008-0000-0400-00005700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88" name="rect">
          <a:extLst>
            <a:ext uri="{FF2B5EF4-FFF2-40B4-BE49-F238E27FC236}">
              <a16:creationId xmlns:a16="http://schemas.microsoft.com/office/drawing/2014/main" id="{00000000-0008-0000-0400-00005800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952500</xdr:colOff>
      <xdr:row>0</xdr:row>
      <xdr:rowOff>0</xdr:rowOff>
    </xdr:from>
    <xdr:ext cx="180975" cy="647700"/>
    <xdr:sp macro="" textlink="">
      <xdr:nvSpPr>
        <xdr:cNvPr id="89" name="Rectángulo 8">
          <a:extLst>
            <a:ext uri="{FF2B5EF4-FFF2-40B4-BE49-F238E27FC236}">
              <a16:creationId xmlns:a16="http://schemas.microsoft.com/office/drawing/2014/main" id="{00000000-0008-0000-0400-000059000000}"/>
            </a:ext>
          </a:extLst>
        </xdr:cNvPr>
        <xdr:cNvSpPr/>
      </xdr:nvSpPr>
      <xdr:spPr>
        <a:xfrm>
          <a:off x="98679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90" name="Rectángulo 8">
          <a:extLst>
            <a:ext uri="{FF2B5EF4-FFF2-40B4-BE49-F238E27FC236}">
              <a16:creationId xmlns:a16="http://schemas.microsoft.com/office/drawing/2014/main" id="{00000000-0008-0000-0400-00005A00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91" name="Rectángulo 8">
          <a:extLst>
            <a:ext uri="{FF2B5EF4-FFF2-40B4-BE49-F238E27FC236}">
              <a16:creationId xmlns:a16="http://schemas.microsoft.com/office/drawing/2014/main" id="{00000000-0008-0000-0400-00005B00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92" name="rect">
          <a:extLst>
            <a:ext uri="{FF2B5EF4-FFF2-40B4-BE49-F238E27FC236}">
              <a16:creationId xmlns:a16="http://schemas.microsoft.com/office/drawing/2014/main" id="{00000000-0008-0000-0400-00005C00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93" name="rect">
          <a:extLst>
            <a:ext uri="{FF2B5EF4-FFF2-40B4-BE49-F238E27FC236}">
              <a16:creationId xmlns:a16="http://schemas.microsoft.com/office/drawing/2014/main" id="{00000000-0008-0000-0400-00005D00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952500</xdr:colOff>
      <xdr:row>0</xdr:row>
      <xdr:rowOff>0</xdr:rowOff>
    </xdr:from>
    <xdr:ext cx="180975" cy="647700"/>
    <xdr:sp macro="" textlink="">
      <xdr:nvSpPr>
        <xdr:cNvPr id="94" name="Rectángulo 93">
          <a:extLst>
            <a:ext uri="{FF2B5EF4-FFF2-40B4-BE49-F238E27FC236}">
              <a16:creationId xmlns:a16="http://schemas.microsoft.com/office/drawing/2014/main" id="{00000000-0008-0000-0400-00005E000000}"/>
            </a:ext>
          </a:extLst>
        </xdr:cNvPr>
        <xdr:cNvSpPr/>
      </xdr:nvSpPr>
      <xdr:spPr>
        <a:xfrm>
          <a:off x="98679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95" name="Rectángulo 8">
          <a:extLst>
            <a:ext uri="{FF2B5EF4-FFF2-40B4-BE49-F238E27FC236}">
              <a16:creationId xmlns:a16="http://schemas.microsoft.com/office/drawing/2014/main" id="{00000000-0008-0000-0400-00005F00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96" name="Rectángulo 8">
          <a:extLst>
            <a:ext uri="{FF2B5EF4-FFF2-40B4-BE49-F238E27FC236}">
              <a16:creationId xmlns:a16="http://schemas.microsoft.com/office/drawing/2014/main" id="{00000000-0008-0000-0400-00006000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97" name="rect">
          <a:extLst>
            <a:ext uri="{FF2B5EF4-FFF2-40B4-BE49-F238E27FC236}">
              <a16:creationId xmlns:a16="http://schemas.microsoft.com/office/drawing/2014/main" id="{00000000-0008-0000-0400-00006100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98" name="rect">
          <a:extLst>
            <a:ext uri="{FF2B5EF4-FFF2-40B4-BE49-F238E27FC236}">
              <a16:creationId xmlns:a16="http://schemas.microsoft.com/office/drawing/2014/main" id="{00000000-0008-0000-0400-00006200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952500</xdr:colOff>
      <xdr:row>0</xdr:row>
      <xdr:rowOff>0</xdr:rowOff>
    </xdr:from>
    <xdr:ext cx="180975" cy="647700"/>
    <xdr:sp macro="" textlink="">
      <xdr:nvSpPr>
        <xdr:cNvPr id="99" name="Rectángulo 8">
          <a:extLst>
            <a:ext uri="{FF2B5EF4-FFF2-40B4-BE49-F238E27FC236}">
              <a16:creationId xmlns:a16="http://schemas.microsoft.com/office/drawing/2014/main" id="{00000000-0008-0000-0400-000063000000}"/>
            </a:ext>
          </a:extLst>
        </xdr:cNvPr>
        <xdr:cNvSpPr/>
      </xdr:nvSpPr>
      <xdr:spPr>
        <a:xfrm>
          <a:off x="98679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807383</xdr:colOff>
      <xdr:row>0</xdr:row>
      <xdr:rowOff>0</xdr:rowOff>
    </xdr:from>
    <xdr:ext cx="184731" cy="655885"/>
    <xdr:sp macro="" textlink="">
      <xdr:nvSpPr>
        <xdr:cNvPr id="100" name="Rectángulo 8">
          <a:extLst>
            <a:ext uri="{FF2B5EF4-FFF2-40B4-BE49-F238E27FC236}">
              <a16:creationId xmlns:a16="http://schemas.microsoft.com/office/drawing/2014/main" id="{00000000-0008-0000-0400-000064000000}"/>
            </a:ext>
          </a:extLst>
        </xdr:cNvPr>
        <xdr:cNvSpPr/>
      </xdr:nvSpPr>
      <xdr:spPr>
        <a:xfrm>
          <a:off x="97227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0</xdr:row>
      <xdr:rowOff>0</xdr:rowOff>
    </xdr:from>
    <xdr:ext cx="184731" cy="655885"/>
    <xdr:sp macro="" textlink="">
      <xdr:nvSpPr>
        <xdr:cNvPr id="101" name="Rectángulo 8">
          <a:extLst>
            <a:ext uri="{FF2B5EF4-FFF2-40B4-BE49-F238E27FC236}">
              <a16:creationId xmlns:a16="http://schemas.microsoft.com/office/drawing/2014/main" id="{00000000-0008-0000-0400-000065000000}"/>
            </a:ext>
          </a:extLst>
        </xdr:cNvPr>
        <xdr:cNvSpPr/>
      </xdr:nvSpPr>
      <xdr:spPr>
        <a:xfrm>
          <a:off x="97227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959783</xdr:colOff>
      <xdr:row>0</xdr:row>
      <xdr:rowOff>0</xdr:rowOff>
    </xdr:from>
    <xdr:ext cx="184731" cy="655885"/>
    <xdr:sp macro="" textlink="">
      <xdr:nvSpPr>
        <xdr:cNvPr id="102" name="Rectángulo 101">
          <a:extLst>
            <a:ext uri="{FF2B5EF4-FFF2-40B4-BE49-F238E27FC236}">
              <a16:creationId xmlns:a16="http://schemas.microsoft.com/office/drawing/2014/main" id="{00000000-0008-0000-0400-000066000000}"/>
            </a:ext>
          </a:extLst>
        </xdr:cNvPr>
        <xdr:cNvSpPr/>
      </xdr:nvSpPr>
      <xdr:spPr>
        <a:xfrm>
          <a:off x="98751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0</xdr:row>
      <xdr:rowOff>0</xdr:rowOff>
    </xdr:from>
    <xdr:ext cx="184731" cy="655885"/>
    <xdr:sp macro="" textlink="">
      <xdr:nvSpPr>
        <xdr:cNvPr id="103" name="Rectángulo 102">
          <a:extLst>
            <a:ext uri="{FF2B5EF4-FFF2-40B4-BE49-F238E27FC236}">
              <a16:creationId xmlns:a16="http://schemas.microsoft.com/office/drawing/2014/main" id="{00000000-0008-0000-0400-000067000000}"/>
            </a:ext>
          </a:extLst>
        </xdr:cNvPr>
        <xdr:cNvSpPr/>
      </xdr:nvSpPr>
      <xdr:spPr>
        <a:xfrm>
          <a:off x="97227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0</xdr:row>
      <xdr:rowOff>0</xdr:rowOff>
    </xdr:from>
    <xdr:ext cx="184731" cy="655885"/>
    <xdr:sp macro="" textlink="">
      <xdr:nvSpPr>
        <xdr:cNvPr id="104" name="Rectángulo 8">
          <a:extLst>
            <a:ext uri="{FF2B5EF4-FFF2-40B4-BE49-F238E27FC236}">
              <a16:creationId xmlns:a16="http://schemas.microsoft.com/office/drawing/2014/main" id="{00000000-0008-0000-0400-000068000000}"/>
            </a:ext>
          </a:extLst>
        </xdr:cNvPr>
        <xdr:cNvSpPr/>
      </xdr:nvSpPr>
      <xdr:spPr>
        <a:xfrm>
          <a:off x="97227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959783</xdr:colOff>
      <xdr:row>0</xdr:row>
      <xdr:rowOff>0</xdr:rowOff>
    </xdr:from>
    <xdr:ext cx="184731" cy="655885"/>
    <xdr:sp macro="" textlink="">
      <xdr:nvSpPr>
        <xdr:cNvPr id="105" name="Rectángulo 104">
          <a:extLst>
            <a:ext uri="{FF2B5EF4-FFF2-40B4-BE49-F238E27FC236}">
              <a16:creationId xmlns:a16="http://schemas.microsoft.com/office/drawing/2014/main" id="{00000000-0008-0000-0400-000069000000}"/>
            </a:ext>
          </a:extLst>
        </xdr:cNvPr>
        <xdr:cNvSpPr/>
      </xdr:nvSpPr>
      <xdr:spPr>
        <a:xfrm>
          <a:off x="98751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0</xdr:row>
      <xdr:rowOff>0</xdr:rowOff>
    </xdr:from>
    <xdr:ext cx="184731" cy="655885"/>
    <xdr:sp macro="" textlink="">
      <xdr:nvSpPr>
        <xdr:cNvPr id="106" name="Rectángulo 8">
          <a:extLst>
            <a:ext uri="{FF2B5EF4-FFF2-40B4-BE49-F238E27FC236}">
              <a16:creationId xmlns:a16="http://schemas.microsoft.com/office/drawing/2014/main" id="{00000000-0008-0000-0400-00006A000000}"/>
            </a:ext>
          </a:extLst>
        </xdr:cNvPr>
        <xdr:cNvSpPr/>
      </xdr:nvSpPr>
      <xdr:spPr>
        <a:xfrm>
          <a:off x="97227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0</xdr:row>
      <xdr:rowOff>0</xdr:rowOff>
    </xdr:from>
    <xdr:ext cx="184731" cy="655885"/>
    <xdr:sp macro="" textlink="">
      <xdr:nvSpPr>
        <xdr:cNvPr id="107" name="Rectángulo 8">
          <a:extLst>
            <a:ext uri="{FF2B5EF4-FFF2-40B4-BE49-F238E27FC236}">
              <a16:creationId xmlns:a16="http://schemas.microsoft.com/office/drawing/2014/main" id="{00000000-0008-0000-0400-00006B000000}"/>
            </a:ext>
          </a:extLst>
        </xdr:cNvPr>
        <xdr:cNvSpPr/>
      </xdr:nvSpPr>
      <xdr:spPr>
        <a:xfrm>
          <a:off x="97227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959783</xdr:colOff>
      <xdr:row>0</xdr:row>
      <xdr:rowOff>0</xdr:rowOff>
    </xdr:from>
    <xdr:ext cx="184731" cy="655885"/>
    <xdr:sp macro="" textlink="">
      <xdr:nvSpPr>
        <xdr:cNvPr id="108" name="Rectángulo 107">
          <a:extLst>
            <a:ext uri="{FF2B5EF4-FFF2-40B4-BE49-F238E27FC236}">
              <a16:creationId xmlns:a16="http://schemas.microsoft.com/office/drawing/2014/main" id="{00000000-0008-0000-0400-00006C000000}"/>
            </a:ext>
          </a:extLst>
        </xdr:cNvPr>
        <xdr:cNvSpPr/>
      </xdr:nvSpPr>
      <xdr:spPr>
        <a:xfrm>
          <a:off x="98751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0</xdr:row>
      <xdr:rowOff>0</xdr:rowOff>
    </xdr:from>
    <xdr:ext cx="184731" cy="655885"/>
    <xdr:sp macro="" textlink="">
      <xdr:nvSpPr>
        <xdr:cNvPr id="109" name="Rectángulo 108">
          <a:extLst>
            <a:ext uri="{FF2B5EF4-FFF2-40B4-BE49-F238E27FC236}">
              <a16:creationId xmlns:a16="http://schemas.microsoft.com/office/drawing/2014/main" id="{00000000-0008-0000-0400-00006D000000}"/>
            </a:ext>
          </a:extLst>
        </xdr:cNvPr>
        <xdr:cNvSpPr/>
      </xdr:nvSpPr>
      <xdr:spPr>
        <a:xfrm>
          <a:off x="97227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0</xdr:row>
      <xdr:rowOff>0</xdr:rowOff>
    </xdr:from>
    <xdr:ext cx="184731" cy="655885"/>
    <xdr:sp macro="" textlink="">
      <xdr:nvSpPr>
        <xdr:cNvPr id="110" name="Rectángulo 8">
          <a:extLst>
            <a:ext uri="{FF2B5EF4-FFF2-40B4-BE49-F238E27FC236}">
              <a16:creationId xmlns:a16="http://schemas.microsoft.com/office/drawing/2014/main" id="{00000000-0008-0000-0400-00006E000000}"/>
            </a:ext>
          </a:extLst>
        </xdr:cNvPr>
        <xdr:cNvSpPr/>
      </xdr:nvSpPr>
      <xdr:spPr>
        <a:xfrm>
          <a:off x="97227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959783</xdr:colOff>
      <xdr:row>0</xdr:row>
      <xdr:rowOff>0</xdr:rowOff>
    </xdr:from>
    <xdr:ext cx="184731" cy="655885"/>
    <xdr:sp macro="" textlink="">
      <xdr:nvSpPr>
        <xdr:cNvPr id="111" name="Rectángulo 110">
          <a:extLst>
            <a:ext uri="{FF2B5EF4-FFF2-40B4-BE49-F238E27FC236}">
              <a16:creationId xmlns:a16="http://schemas.microsoft.com/office/drawing/2014/main" id="{00000000-0008-0000-0400-00006F000000}"/>
            </a:ext>
          </a:extLst>
        </xdr:cNvPr>
        <xdr:cNvSpPr/>
      </xdr:nvSpPr>
      <xdr:spPr>
        <a:xfrm>
          <a:off x="98751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0</xdr:col>
      <xdr:colOff>959783</xdr:colOff>
      <xdr:row>0</xdr:row>
      <xdr:rowOff>0</xdr:rowOff>
    </xdr:from>
    <xdr:ext cx="184731" cy="655885"/>
    <xdr:sp macro="" textlink="">
      <xdr:nvSpPr>
        <xdr:cNvPr id="112" name="Rectángulo 111">
          <a:extLst>
            <a:ext uri="{FF2B5EF4-FFF2-40B4-BE49-F238E27FC236}">
              <a16:creationId xmlns:a16="http://schemas.microsoft.com/office/drawing/2014/main" id="{00000000-0008-0000-0400-000070000000}"/>
            </a:ext>
          </a:extLst>
        </xdr:cNvPr>
        <xdr:cNvSpPr/>
      </xdr:nvSpPr>
      <xdr:spPr>
        <a:xfrm>
          <a:off x="9597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0</xdr:col>
      <xdr:colOff>959783</xdr:colOff>
      <xdr:row>0</xdr:row>
      <xdr:rowOff>0</xdr:rowOff>
    </xdr:from>
    <xdr:ext cx="184731" cy="655885"/>
    <xdr:sp macro="" textlink="">
      <xdr:nvSpPr>
        <xdr:cNvPr id="113" name="Rectángulo 112">
          <a:extLst>
            <a:ext uri="{FF2B5EF4-FFF2-40B4-BE49-F238E27FC236}">
              <a16:creationId xmlns:a16="http://schemas.microsoft.com/office/drawing/2014/main" id="{00000000-0008-0000-0400-000071000000}"/>
            </a:ext>
          </a:extLst>
        </xdr:cNvPr>
        <xdr:cNvSpPr/>
      </xdr:nvSpPr>
      <xdr:spPr>
        <a:xfrm>
          <a:off x="9597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2</xdr:col>
      <xdr:colOff>1066800</xdr:colOff>
      <xdr:row>0</xdr:row>
      <xdr:rowOff>0</xdr:rowOff>
    </xdr:from>
    <xdr:ext cx="0" cy="38100"/>
    <xdr:sp macro="" textlink="">
      <xdr:nvSpPr>
        <xdr:cNvPr id="114" name="CuadroTexto 113">
          <a:extLst>
            <a:ext uri="{FF2B5EF4-FFF2-40B4-BE49-F238E27FC236}">
              <a16:creationId xmlns:a16="http://schemas.microsoft.com/office/drawing/2014/main" id="{00000000-0008-0000-0400-000072000000}"/>
            </a:ext>
          </a:extLst>
        </xdr:cNvPr>
        <xdr:cNvSpPr txBox="1"/>
      </xdr:nvSpPr>
      <xdr:spPr>
        <a:xfrm flipH="1">
          <a:off x="3295650" y="0"/>
          <a:ext cx="0" cy="38100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lvl="0" algn="ctr"/>
          <a:r>
            <a:rPr lang="es-MX" sz="1200" b="1">
              <a:solidFill>
                <a:sysClr val="windowText" lastClr="000000"/>
              </a:solidFill>
            </a:rPr>
            <a:t>ISLA 9: CAMBIO DE MIX POSICIONES 4, 5, 6 Y 7</a:t>
          </a: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115" name="Rectángulo 8">
          <a:extLst>
            <a:ext uri="{FF2B5EF4-FFF2-40B4-BE49-F238E27FC236}">
              <a16:creationId xmlns:a16="http://schemas.microsoft.com/office/drawing/2014/main" id="{00000000-0008-0000-0400-00007300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116" name="Rectángulo 8">
          <a:extLst>
            <a:ext uri="{FF2B5EF4-FFF2-40B4-BE49-F238E27FC236}">
              <a16:creationId xmlns:a16="http://schemas.microsoft.com/office/drawing/2014/main" id="{00000000-0008-0000-0400-00007400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117" name="rect">
          <a:extLst>
            <a:ext uri="{FF2B5EF4-FFF2-40B4-BE49-F238E27FC236}">
              <a16:creationId xmlns:a16="http://schemas.microsoft.com/office/drawing/2014/main" id="{00000000-0008-0000-0400-00007500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118" name="rect">
          <a:extLst>
            <a:ext uri="{FF2B5EF4-FFF2-40B4-BE49-F238E27FC236}">
              <a16:creationId xmlns:a16="http://schemas.microsoft.com/office/drawing/2014/main" id="{00000000-0008-0000-0400-00007600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952500</xdr:colOff>
      <xdr:row>0</xdr:row>
      <xdr:rowOff>0</xdr:rowOff>
    </xdr:from>
    <xdr:ext cx="180975" cy="647700"/>
    <xdr:sp macro="" textlink="">
      <xdr:nvSpPr>
        <xdr:cNvPr id="119" name="Rectángulo 118">
          <a:extLst>
            <a:ext uri="{FF2B5EF4-FFF2-40B4-BE49-F238E27FC236}">
              <a16:creationId xmlns:a16="http://schemas.microsoft.com/office/drawing/2014/main" id="{00000000-0008-0000-0400-000077000000}"/>
            </a:ext>
          </a:extLst>
        </xdr:cNvPr>
        <xdr:cNvSpPr/>
      </xdr:nvSpPr>
      <xdr:spPr>
        <a:xfrm>
          <a:off x="98679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120" name="Rectángulo 8">
          <a:extLst>
            <a:ext uri="{FF2B5EF4-FFF2-40B4-BE49-F238E27FC236}">
              <a16:creationId xmlns:a16="http://schemas.microsoft.com/office/drawing/2014/main" id="{00000000-0008-0000-0400-00007800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121" name="Rectángulo 8">
          <a:extLst>
            <a:ext uri="{FF2B5EF4-FFF2-40B4-BE49-F238E27FC236}">
              <a16:creationId xmlns:a16="http://schemas.microsoft.com/office/drawing/2014/main" id="{00000000-0008-0000-0400-00007900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122" name="rect">
          <a:extLst>
            <a:ext uri="{FF2B5EF4-FFF2-40B4-BE49-F238E27FC236}">
              <a16:creationId xmlns:a16="http://schemas.microsoft.com/office/drawing/2014/main" id="{00000000-0008-0000-0400-00007A00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123" name="rect">
          <a:extLst>
            <a:ext uri="{FF2B5EF4-FFF2-40B4-BE49-F238E27FC236}">
              <a16:creationId xmlns:a16="http://schemas.microsoft.com/office/drawing/2014/main" id="{00000000-0008-0000-0400-00007B00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952500</xdr:colOff>
      <xdr:row>0</xdr:row>
      <xdr:rowOff>0</xdr:rowOff>
    </xdr:from>
    <xdr:ext cx="180975" cy="647700"/>
    <xdr:sp macro="" textlink="">
      <xdr:nvSpPr>
        <xdr:cNvPr id="124" name="Rectángulo 8">
          <a:extLst>
            <a:ext uri="{FF2B5EF4-FFF2-40B4-BE49-F238E27FC236}">
              <a16:creationId xmlns:a16="http://schemas.microsoft.com/office/drawing/2014/main" id="{00000000-0008-0000-0400-00007C000000}"/>
            </a:ext>
          </a:extLst>
        </xdr:cNvPr>
        <xdr:cNvSpPr/>
      </xdr:nvSpPr>
      <xdr:spPr>
        <a:xfrm>
          <a:off x="98679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125" name="Rectángulo 8">
          <a:extLst>
            <a:ext uri="{FF2B5EF4-FFF2-40B4-BE49-F238E27FC236}">
              <a16:creationId xmlns:a16="http://schemas.microsoft.com/office/drawing/2014/main" id="{00000000-0008-0000-0400-00007D00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126" name="Rectángulo 8">
          <a:extLst>
            <a:ext uri="{FF2B5EF4-FFF2-40B4-BE49-F238E27FC236}">
              <a16:creationId xmlns:a16="http://schemas.microsoft.com/office/drawing/2014/main" id="{00000000-0008-0000-0400-00007E00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127" name="rect">
          <a:extLst>
            <a:ext uri="{FF2B5EF4-FFF2-40B4-BE49-F238E27FC236}">
              <a16:creationId xmlns:a16="http://schemas.microsoft.com/office/drawing/2014/main" id="{00000000-0008-0000-0400-00007F00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128" name="rect">
          <a:extLst>
            <a:ext uri="{FF2B5EF4-FFF2-40B4-BE49-F238E27FC236}">
              <a16:creationId xmlns:a16="http://schemas.microsoft.com/office/drawing/2014/main" id="{00000000-0008-0000-0400-00008000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952500</xdr:colOff>
      <xdr:row>0</xdr:row>
      <xdr:rowOff>0</xdr:rowOff>
    </xdr:from>
    <xdr:ext cx="180975" cy="647700"/>
    <xdr:sp macro="" textlink="">
      <xdr:nvSpPr>
        <xdr:cNvPr id="129" name="Rectángulo 128">
          <a:extLst>
            <a:ext uri="{FF2B5EF4-FFF2-40B4-BE49-F238E27FC236}">
              <a16:creationId xmlns:a16="http://schemas.microsoft.com/office/drawing/2014/main" id="{00000000-0008-0000-0400-000081000000}"/>
            </a:ext>
          </a:extLst>
        </xdr:cNvPr>
        <xdr:cNvSpPr/>
      </xdr:nvSpPr>
      <xdr:spPr>
        <a:xfrm>
          <a:off x="98679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130" name="Rectángulo 8">
          <a:extLst>
            <a:ext uri="{FF2B5EF4-FFF2-40B4-BE49-F238E27FC236}">
              <a16:creationId xmlns:a16="http://schemas.microsoft.com/office/drawing/2014/main" id="{00000000-0008-0000-0400-00008200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131" name="Rectángulo 8">
          <a:extLst>
            <a:ext uri="{FF2B5EF4-FFF2-40B4-BE49-F238E27FC236}">
              <a16:creationId xmlns:a16="http://schemas.microsoft.com/office/drawing/2014/main" id="{00000000-0008-0000-0400-00008300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132" name="rect">
          <a:extLst>
            <a:ext uri="{FF2B5EF4-FFF2-40B4-BE49-F238E27FC236}">
              <a16:creationId xmlns:a16="http://schemas.microsoft.com/office/drawing/2014/main" id="{00000000-0008-0000-0400-00008400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133" name="rect">
          <a:extLst>
            <a:ext uri="{FF2B5EF4-FFF2-40B4-BE49-F238E27FC236}">
              <a16:creationId xmlns:a16="http://schemas.microsoft.com/office/drawing/2014/main" id="{00000000-0008-0000-0400-00008500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952500</xdr:colOff>
      <xdr:row>0</xdr:row>
      <xdr:rowOff>0</xdr:rowOff>
    </xdr:from>
    <xdr:ext cx="180975" cy="647700"/>
    <xdr:sp macro="" textlink="">
      <xdr:nvSpPr>
        <xdr:cNvPr id="134" name="Rectángulo 8">
          <a:extLst>
            <a:ext uri="{FF2B5EF4-FFF2-40B4-BE49-F238E27FC236}">
              <a16:creationId xmlns:a16="http://schemas.microsoft.com/office/drawing/2014/main" id="{00000000-0008-0000-0400-000086000000}"/>
            </a:ext>
          </a:extLst>
        </xdr:cNvPr>
        <xdr:cNvSpPr/>
      </xdr:nvSpPr>
      <xdr:spPr>
        <a:xfrm>
          <a:off x="98679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135" name="Rectángulo 8">
          <a:extLst>
            <a:ext uri="{FF2B5EF4-FFF2-40B4-BE49-F238E27FC236}">
              <a16:creationId xmlns:a16="http://schemas.microsoft.com/office/drawing/2014/main" id="{00000000-0008-0000-0400-00008700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136" name="Rectángulo 135">
          <a:extLst>
            <a:ext uri="{FF2B5EF4-FFF2-40B4-BE49-F238E27FC236}">
              <a16:creationId xmlns:a16="http://schemas.microsoft.com/office/drawing/2014/main" id="{00000000-0008-0000-0400-00008800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137" name="rect">
          <a:extLst>
            <a:ext uri="{FF2B5EF4-FFF2-40B4-BE49-F238E27FC236}">
              <a16:creationId xmlns:a16="http://schemas.microsoft.com/office/drawing/2014/main" id="{00000000-0008-0000-0400-00008900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138" name="rect">
          <a:extLst>
            <a:ext uri="{FF2B5EF4-FFF2-40B4-BE49-F238E27FC236}">
              <a16:creationId xmlns:a16="http://schemas.microsoft.com/office/drawing/2014/main" id="{00000000-0008-0000-0400-00008A00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952500</xdr:colOff>
      <xdr:row>0</xdr:row>
      <xdr:rowOff>0</xdr:rowOff>
    </xdr:from>
    <xdr:ext cx="180975" cy="647700"/>
    <xdr:sp macro="" textlink="">
      <xdr:nvSpPr>
        <xdr:cNvPr id="139" name="Rectángulo 138">
          <a:extLst>
            <a:ext uri="{FF2B5EF4-FFF2-40B4-BE49-F238E27FC236}">
              <a16:creationId xmlns:a16="http://schemas.microsoft.com/office/drawing/2014/main" id="{00000000-0008-0000-0400-00008B000000}"/>
            </a:ext>
          </a:extLst>
        </xdr:cNvPr>
        <xdr:cNvSpPr/>
      </xdr:nvSpPr>
      <xdr:spPr>
        <a:xfrm>
          <a:off x="98679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2</xdr:col>
      <xdr:colOff>1066800</xdr:colOff>
      <xdr:row>0</xdr:row>
      <xdr:rowOff>0</xdr:rowOff>
    </xdr:from>
    <xdr:ext cx="0" cy="38100"/>
    <xdr:sp macro="" textlink="">
      <xdr:nvSpPr>
        <xdr:cNvPr id="140" name="CuadroTexto 139">
          <a:extLst>
            <a:ext uri="{FF2B5EF4-FFF2-40B4-BE49-F238E27FC236}">
              <a16:creationId xmlns:a16="http://schemas.microsoft.com/office/drawing/2014/main" id="{00000000-0008-0000-0400-00008C000000}"/>
            </a:ext>
          </a:extLst>
        </xdr:cNvPr>
        <xdr:cNvSpPr txBox="1"/>
      </xdr:nvSpPr>
      <xdr:spPr>
        <a:xfrm flipH="1">
          <a:off x="3295650" y="0"/>
          <a:ext cx="0" cy="38100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lvl="0" algn="ctr"/>
          <a:r>
            <a:rPr lang="es-MX" sz="1200" b="1">
              <a:solidFill>
                <a:sysClr val="windowText" lastClr="000000"/>
              </a:solidFill>
            </a:rPr>
            <a:t>ISLA 9: CAMBIO DE MIX POSICIONES 4, 5, 6 Y 7</a:t>
          </a: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141" name="Rectángulo 8">
          <a:extLst>
            <a:ext uri="{FF2B5EF4-FFF2-40B4-BE49-F238E27FC236}">
              <a16:creationId xmlns:a16="http://schemas.microsoft.com/office/drawing/2014/main" id="{00000000-0008-0000-0400-00008D00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142" name="Rectángulo 8">
          <a:extLst>
            <a:ext uri="{FF2B5EF4-FFF2-40B4-BE49-F238E27FC236}">
              <a16:creationId xmlns:a16="http://schemas.microsoft.com/office/drawing/2014/main" id="{00000000-0008-0000-0400-00008E00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143" name="rect">
          <a:extLst>
            <a:ext uri="{FF2B5EF4-FFF2-40B4-BE49-F238E27FC236}">
              <a16:creationId xmlns:a16="http://schemas.microsoft.com/office/drawing/2014/main" id="{00000000-0008-0000-0400-00008F00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144" name="rect">
          <a:extLst>
            <a:ext uri="{FF2B5EF4-FFF2-40B4-BE49-F238E27FC236}">
              <a16:creationId xmlns:a16="http://schemas.microsoft.com/office/drawing/2014/main" id="{00000000-0008-0000-0400-00009000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952500</xdr:colOff>
      <xdr:row>0</xdr:row>
      <xdr:rowOff>0</xdr:rowOff>
    </xdr:from>
    <xdr:ext cx="180975" cy="647700"/>
    <xdr:sp macro="" textlink="">
      <xdr:nvSpPr>
        <xdr:cNvPr id="145" name="Rectángulo 8">
          <a:extLst>
            <a:ext uri="{FF2B5EF4-FFF2-40B4-BE49-F238E27FC236}">
              <a16:creationId xmlns:a16="http://schemas.microsoft.com/office/drawing/2014/main" id="{00000000-0008-0000-0400-000091000000}"/>
            </a:ext>
          </a:extLst>
        </xdr:cNvPr>
        <xdr:cNvSpPr/>
      </xdr:nvSpPr>
      <xdr:spPr>
        <a:xfrm>
          <a:off x="98679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146" name="Rectángulo 8">
          <a:extLst>
            <a:ext uri="{FF2B5EF4-FFF2-40B4-BE49-F238E27FC236}">
              <a16:creationId xmlns:a16="http://schemas.microsoft.com/office/drawing/2014/main" id="{00000000-0008-0000-0400-00009200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147" name="Rectángulo 8">
          <a:extLst>
            <a:ext uri="{FF2B5EF4-FFF2-40B4-BE49-F238E27FC236}">
              <a16:creationId xmlns:a16="http://schemas.microsoft.com/office/drawing/2014/main" id="{00000000-0008-0000-0400-00009300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148" name="rect">
          <a:extLst>
            <a:ext uri="{FF2B5EF4-FFF2-40B4-BE49-F238E27FC236}">
              <a16:creationId xmlns:a16="http://schemas.microsoft.com/office/drawing/2014/main" id="{00000000-0008-0000-0400-00009400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149" name="rect">
          <a:extLst>
            <a:ext uri="{FF2B5EF4-FFF2-40B4-BE49-F238E27FC236}">
              <a16:creationId xmlns:a16="http://schemas.microsoft.com/office/drawing/2014/main" id="{00000000-0008-0000-0400-00009500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952500</xdr:colOff>
      <xdr:row>0</xdr:row>
      <xdr:rowOff>0</xdr:rowOff>
    </xdr:from>
    <xdr:ext cx="180975" cy="647700"/>
    <xdr:sp macro="" textlink="">
      <xdr:nvSpPr>
        <xdr:cNvPr id="150" name="Rectángulo 149">
          <a:extLst>
            <a:ext uri="{FF2B5EF4-FFF2-40B4-BE49-F238E27FC236}">
              <a16:creationId xmlns:a16="http://schemas.microsoft.com/office/drawing/2014/main" id="{00000000-0008-0000-0400-000096000000}"/>
            </a:ext>
          </a:extLst>
        </xdr:cNvPr>
        <xdr:cNvSpPr/>
      </xdr:nvSpPr>
      <xdr:spPr>
        <a:xfrm>
          <a:off x="98679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151" name="Rectángulo 8">
          <a:extLst>
            <a:ext uri="{FF2B5EF4-FFF2-40B4-BE49-F238E27FC236}">
              <a16:creationId xmlns:a16="http://schemas.microsoft.com/office/drawing/2014/main" id="{00000000-0008-0000-0400-00009700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152" name="Rectángulo 8">
          <a:extLst>
            <a:ext uri="{FF2B5EF4-FFF2-40B4-BE49-F238E27FC236}">
              <a16:creationId xmlns:a16="http://schemas.microsoft.com/office/drawing/2014/main" id="{00000000-0008-0000-0400-00009800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153" name="rect">
          <a:extLst>
            <a:ext uri="{FF2B5EF4-FFF2-40B4-BE49-F238E27FC236}">
              <a16:creationId xmlns:a16="http://schemas.microsoft.com/office/drawing/2014/main" id="{00000000-0008-0000-0400-00009900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154" name="rect">
          <a:extLst>
            <a:ext uri="{FF2B5EF4-FFF2-40B4-BE49-F238E27FC236}">
              <a16:creationId xmlns:a16="http://schemas.microsoft.com/office/drawing/2014/main" id="{00000000-0008-0000-0400-00009A00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952500</xdr:colOff>
      <xdr:row>0</xdr:row>
      <xdr:rowOff>0</xdr:rowOff>
    </xdr:from>
    <xdr:ext cx="180975" cy="647700"/>
    <xdr:sp macro="" textlink="">
      <xdr:nvSpPr>
        <xdr:cNvPr id="155" name="Rectángulo 8">
          <a:extLst>
            <a:ext uri="{FF2B5EF4-FFF2-40B4-BE49-F238E27FC236}">
              <a16:creationId xmlns:a16="http://schemas.microsoft.com/office/drawing/2014/main" id="{00000000-0008-0000-0400-00009B000000}"/>
            </a:ext>
          </a:extLst>
        </xdr:cNvPr>
        <xdr:cNvSpPr/>
      </xdr:nvSpPr>
      <xdr:spPr>
        <a:xfrm>
          <a:off x="98679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807383</xdr:colOff>
      <xdr:row>0</xdr:row>
      <xdr:rowOff>0</xdr:rowOff>
    </xdr:from>
    <xdr:ext cx="184731" cy="655885"/>
    <xdr:sp macro="" textlink="">
      <xdr:nvSpPr>
        <xdr:cNvPr id="156" name="Rectángulo 8">
          <a:extLst>
            <a:ext uri="{FF2B5EF4-FFF2-40B4-BE49-F238E27FC236}">
              <a16:creationId xmlns:a16="http://schemas.microsoft.com/office/drawing/2014/main" id="{00000000-0008-0000-0400-00009C000000}"/>
            </a:ext>
          </a:extLst>
        </xdr:cNvPr>
        <xdr:cNvSpPr/>
      </xdr:nvSpPr>
      <xdr:spPr>
        <a:xfrm>
          <a:off x="97227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0</xdr:row>
      <xdr:rowOff>0</xdr:rowOff>
    </xdr:from>
    <xdr:ext cx="184731" cy="655885"/>
    <xdr:sp macro="" textlink="">
      <xdr:nvSpPr>
        <xdr:cNvPr id="157" name="Rectángulo 8">
          <a:extLst>
            <a:ext uri="{FF2B5EF4-FFF2-40B4-BE49-F238E27FC236}">
              <a16:creationId xmlns:a16="http://schemas.microsoft.com/office/drawing/2014/main" id="{00000000-0008-0000-0400-00009D000000}"/>
            </a:ext>
          </a:extLst>
        </xdr:cNvPr>
        <xdr:cNvSpPr/>
      </xdr:nvSpPr>
      <xdr:spPr>
        <a:xfrm>
          <a:off x="97227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959783</xdr:colOff>
      <xdr:row>0</xdr:row>
      <xdr:rowOff>0</xdr:rowOff>
    </xdr:from>
    <xdr:ext cx="184731" cy="655885"/>
    <xdr:sp macro="" textlink="">
      <xdr:nvSpPr>
        <xdr:cNvPr id="158" name="Rectángulo 157">
          <a:extLst>
            <a:ext uri="{FF2B5EF4-FFF2-40B4-BE49-F238E27FC236}">
              <a16:creationId xmlns:a16="http://schemas.microsoft.com/office/drawing/2014/main" id="{00000000-0008-0000-0400-00009E000000}"/>
            </a:ext>
          </a:extLst>
        </xdr:cNvPr>
        <xdr:cNvSpPr/>
      </xdr:nvSpPr>
      <xdr:spPr>
        <a:xfrm>
          <a:off x="98751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0</xdr:row>
      <xdr:rowOff>0</xdr:rowOff>
    </xdr:from>
    <xdr:ext cx="184731" cy="655885"/>
    <xdr:sp macro="" textlink="">
      <xdr:nvSpPr>
        <xdr:cNvPr id="159" name="Rectángulo 158">
          <a:extLst>
            <a:ext uri="{FF2B5EF4-FFF2-40B4-BE49-F238E27FC236}">
              <a16:creationId xmlns:a16="http://schemas.microsoft.com/office/drawing/2014/main" id="{00000000-0008-0000-0400-00009F000000}"/>
            </a:ext>
          </a:extLst>
        </xdr:cNvPr>
        <xdr:cNvSpPr/>
      </xdr:nvSpPr>
      <xdr:spPr>
        <a:xfrm>
          <a:off x="97227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0</xdr:row>
      <xdr:rowOff>0</xdr:rowOff>
    </xdr:from>
    <xdr:ext cx="184731" cy="655885"/>
    <xdr:sp macro="" textlink="">
      <xdr:nvSpPr>
        <xdr:cNvPr id="160" name="Rectángulo 8">
          <a:extLst>
            <a:ext uri="{FF2B5EF4-FFF2-40B4-BE49-F238E27FC236}">
              <a16:creationId xmlns:a16="http://schemas.microsoft.com/office/drawing/2014/main" id="{00000000-0008-0000-0400-0000A0000000}"/>
            </a:ext>
          </a:extLst>
        </xdr:cNvPr>
        <xdr:cNvSpPr/>
      </xdr:nvSpPr>
      <xdr:spPr>
        <a:xfrm>
          <a:off x="97227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959783</xdr:colOff>
      <xdr:row>0</xdr:row>
      <xdr:rowOff>0</xdr:rowOff>
    </xdr:from>
    <xdr:ext cx="184731" cy="655885"/>
    <xdr:sp macro="" textlink="">
      <xdr:nvSpPr>
        <xdr:cNvPr id="161" name="Rectángulo 160">
          <a:extLst>
            <a:ext uri="{FF2B5EF4-FFF2-40B4-BE49-F238E27FC236}">
              <a16:creationId xmlns:a16="http://schemas.microsoft.com/office/drawing/2014/main" id="{00000000-0008-0000-0400-0000A1000000}"/>
            </a:ext>
          </a:extLst>
        </xdr:cNvPr>
        <xdr:cNvSpPr/>
      </xdr:nvSpPr>
      <xdr:spPr>
        <a:xfrm>
          <a:off x="98751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0</xdr:row>
      <xdr:rowOff>0</xdr:rowOff>
    </xdr:from>
    <xdr:ext cx="184731" cy="655885"/>
    <xdr:sp macro="" textlink="">
      <xdr:nvSpPr>
        <xdr:cNvPr id="162" name="Rectángulo 8">
          <a:extLst>
            <a:ext uri="{FF2B5EF4-FFF2-40B4-BE49-F238E27FC236}">
              <a16:creationId xmlns:a16="http://schemas.microsoft.com/office/drawing/2014/main" id="{00000000-0008-0000-0400-0000A2000000}"/>
            </a:ext>
          </a:extLst>
        </xdr:cNvPr>
        <xdr:cNvSpPr/>
      </xdr:nvSpPr>
      <xdr:spPr>
        <a:xfrm>
          <a:off x="97227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0</xdr:row>
      <xdr:rowOff>0</xdr:rowOff>
    </xdr:from>
    <xdr:ext cx="184731" cy="655885"/>
    <xdr:sp macro="" textlink="">
      <xdr:nvSpPr>
        <xdr:cNvPr id="163" name="Rectángulo 8">
          <a:extLst>
            <a:ext uri="{FF2B5EF4-FFF2-40B4-BE49-F238E27FC236}">
              <a16:creationId xmlns:a16="http://schemas.microsoft.com/office/drawing/2014/main" id="{00000000-0008-0000-0400-0000A3000000}"/>
            </a:ext>
          </a:extLst>
        </xdr:cNvPr>
        <xdr:cNvSpPr/>
      </xdr:nvSpPr>
      <xdr:spPr>
        <a:xfrm>
          <a:off x="97227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959783</xdr:colOff>
      <xdr:row>0</xdr:row>
      <xdr:rowOff>0</xdr:rowOff>
    </xdr:from>
    <xdr:ext cx="184731" cy="655885"/>
    <xdr:sp macro="" textlink="">
      <xdr:nvSpPr>
        <xdr:cNvPr id="164" name="Rectángulo 163">
          <a:extLst>
            <a:ext uri="{FF2B5EF4-FFF2-40B4-BE49-F238E27FC236}">
              <a16:creationId xmlns:a16="http://schemas.microsoft.com/office/drawing/2014/main" id="{00000000-0008-0000-0400-0000A4000000}"/>
            </a:ext>
          </a:extLst>
        </xdr:cNvPr>
        <xdr:cNvSpPr/>
      </xdr:nvSpPr>
      <xdr:spPr>
        <a:xfrm>
          <a:off x="98751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0</xdr:row>
      <xdr:rowOff>0</xdr:rowOff>
    </xdr:from>
    <xdr:ext cx="184731" cy="655885"/>
    <xdr:sp macro="" textlink="">
      <xdr:nvSpPr>
        <xdr:cNvPr id="165" name="Rectángulo 164">
          <a:extLst>
            <a:ext uri="{FF2B5EF4-FFF2-40B4-BE49-F238E27FC236}">
              <a16:creationId xmlns:a16="http://schemas.microsoft.com/office/drawing/2014/main" id="{00000000-0008-0000-0400-0000A5000000}"/>
            </a:ext>
          </a:extLst>
        </xdr:cNvPr>
        <xdr:cNvSpPr/>
      </xdr:nvSpPr>
      <xdr:spPr>
        <a:xfrm>
          <a:off x="97227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0</xdr:row>
      <xdr:rowOff>0</xdr:rowOff>
    </xdr:from>
    <xdr:ext cx="184731" cy="655885"/>
    <xdr:sp macro="" textlink="">
      <xdr:nvSpPr>
        <xdr:cNvPr id="166" name="Rectángulo 8">
          <a:extLst>
            <a:ext uri="{FF2B5EF4-FFF2-40B4-BE49-F238E27FC236}">
              <a16:creationId xmlns:a16="http://schemas.microsoft.com/office/drawing/2014/main" id="{00000000-0008-0000-0400-0000A6000000}"/>
            </a:ext>
          </a:extLst>
        </xdr:cNvPr>
        <xdr:cNvSpPr/>
      </xdr:nvSpPr>
      <xdr:spPr>
        <a:xfrm>
          <a:off x="97227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959783</xdr:colOff>
      <xdr:row>0</xdr:row>
      <xdr:rowOff>0</xdr:rowOff>
    </xdr:from>
    <xdr:ext cx="184731" cy="655885"/>
    <xdr:sp macro="" textlink="">
      <xdr:nvSpPr>
        <xdr:cNvPr id="167" name="Rectángulo 166">
          <a:extLst>
            <a:ext uri="{FF2B5EF4-FFF2-40B4-BE49-F238E27FC236}">
              <a16:creationId xmlns:a16="http://schemas.microsoft.com/office/drawing/2014/main" id="{00000000-0008-0000-0400-0000A7000000}"/>
            </a:ext>
          </a:extLst>
        </xdr:cNvPr>
        <xdr:cNvSpPr/>
      </xdr:nvSpPr>
      <xdr:spPr>
        <a:xfrm>
          <a:off x="98751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0</xdr:col>
      <xdr:colOff>959783</xdr:colOff>
      <xdr:row>0</xdr:row>
      <xdr:rowOff>0</xdr:rowOff>
    </xdr:from>
    <xdr:ext cx="184731" cy="655885"/>
    <xdr:sp macro="" textlink="">
      <xdr:nvSpPr>
        <xdr:cNvPr id="168" name="Rectángulo 167">
          <a:extLst>
            <a:ext uri="{FF2B5EF4-FFF2-40B4-BE49-F238E27FC236}">
              <a16:creationId xmlns:a16="http://schemas.microsoft.com/office/drawing/2014/main" id="{00000000-0008-0000-0400-0000A8000000}"/>
            </a:ext>
          </a:extLst>
        </xdr:cNvPr>
        <xdr:cNvSpPr/>
      </xdr:nvSpPr>
      <xdr:spPr>
        <a:xfrm>
          <a:off x="9597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0</xdr:col>
      <xdr:colOff>959783</xdr:colOff>
      <xdr:row>0</xdr:row>
      <xdr:rowOff>0</xdr:rowOff>
    </xdr:from>
    <xdr:ext cx="184731" cy="655885"/>
    <xdr:sp macro="" textlink="">
      <xdr:nvSpPr>
        <xdr:cNvPr id="169" name="Rectángulo 168">
          <a:extLst>
            <a:ext uri="{FF2B5EF4-FFF2-40B4-BE49-F238E27FC236}">
              <a16:creationId xmlns:a16="http://schemas.microsoft.com/office/drawing/2014/main" id="{00000000-0008-0000-0400-0000A9000000}"/>
            </a:ext>
          </a:extLst>
        </xdr:cNvPr>
        <xdr:cNvSpPr/>
      </xdr:nvSpPr>
      <xdr:spPr>
        <a:xfrm>
          <a:off x="9597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2</xdr:col>
      <xdr:colOff>1066800</xdr:colOff>
      <xdr:row>0</xdr:row>
      <xdr:rowOff>0</xdr:rowOff>
    </xdr:from>
    <xdr:ext cx="0" cy="38100"/>
    <xdr:sp macro="" textlink="">
      <xdr:nvSpPr>
        <xdr:cNvPr id="170" name="CuadroTexto 169">
          <a:extLst>
            <a:ext uri="{FF2B5EF4-FFF2-40B4-BE49-F238E27FC236}">
              <a16:creationId xmlns:a16="http://schemas.microsoft.com/office/drawing/2014/main" id="{00000000-0008-0000-0400-0000AA000000}"/>
            </a:ext>
          </a:extLst>
        </xdr:cNvPr>
        <xdr:cNvSpPr txBox="1"/>
      </xdr:nvSpPr>
      <xdr:spPr>
        <a:xfrm flipH="1">
          <a:off x="3295650" y="0"/>
          <a:ext cx="0" cy="38100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lvl="0" algn="ctr"/>
          <a:r>
            <a:rPr lang="es-MX" sz="1200" b="1">
              <a:solidFill>
                <a:sysClr val="windowText" lastClr="000000"/>
              </a:solidFill>
            </a:rPr>
            <a:t>ISLA 9: CAMBIO DE MIX POSICIONES 4, 5, 6 Y 7</a:t>
          </a: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171" name="Rectángulo 8">
          <a:extLst>
            <a:ext uri="{FF2B5EF4-FFF2-40B4-BE49-F238E27FC236}">
              <a16:creationId xmlns:a16="http://schemas.microsoft.com/office/drawing/2014/main" id="{00000000-0008-0000-0400-0000AB00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172" name="Rectángulo 8">
          <a:extLst>
            <a:ext uri="{FF2B5EF4-FFF2-40B4-BE49-F238E27FC236}">
              <a16:creationId xmlns:a16="http://schemas.microsoft.com/office/drawing/2014/main" id="{00000000-0008-0000-0400-0000AC00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173" name="rect">
          <a:extLst>
            <a:ext uri="{FF2B5EF4-FFF2-40B4-BE49-F238E27FC236}">
              <a16:creationId xmlns:a16="http://schemas.microsoft.com/office/drawing/2014/main" id="{00000000-0008-0000-0400-0000AD00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174" name="rect">
          <a:extLst>
            <a:ext uri="{FF2B5EF4-FFF2-40B4-BE49-F238E27FC236}">
              <a16:creationId xmlns:a16="http://schemas.microsoft.com/office/drawing/2014/main" id="{00000000-0008-0000-0400-0000AE00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952500</xdr:colOff>
      <xdr:row>0</xdr:row>
      <xdr:rowOff>0</xdr:rowOff>
    </xdr:from>
    <xdr:ext cx="180975" cy="647700"/>
    <xdr:sp macro="" textlink="">
      <xdr:nvSpPr>
        <xdr:cNvPr id="175" name="Rectángulo 174">
          <a:extLst>
            <a:ext uri="{FF2B5EF4-FFF2-40B4-BE49-F238E27FC236}">
              <a16:creationId xmlns:a16="http://schemas.microsoft.com/office/drawing/2014/main" id="{00000000-0008-0000-0400-0000AF000000}"/>
            </a:ext>
          </a:extLst>
        </xdr:cNvPr>
        <xdr:cNvSpPr/>
      </xdr:nvSpPr>
      <xdr:spPr>
        <a:xfrm>
          <a:off x="98679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176" name="Rectángulo 8">
          <a:extLst>
            <a:ext uri="{FF2B5EF4-FFF2-40B4-BE49-F238E27FC236}">
              <a16:creationId xmlns:a16="http://schemas.microsoft.com/office/drawing/2014/main" id="{00000000-0008-0000-0400-0000B000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177" name="Rectángulo 176">
          <a:extLst>
            <a:ext uri="{FF2B5EF4-FFF2-40B4-BE49-F238E27FC236}">
              <a16:creationId xmlns:a16="http://schemas.microsoft.com/office/drawing/2014/main" id="{00000000-0008-0000-0400-0000B100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178" name="rect">
          <a:extLst>
            <a:ext uri="{FF2B5EF4-FFF2-40B4-BE49-F238E27FC236}">
              <a16:creationId xmlns:a16="http://schemas.microsoft.com/office/drawing/2014/main" id="{00000000-0008-0000-0400-0000B200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179" name="rect">
          <a:extLst>
            <a:ext uri="{FF2B5EF4-FFF2-40B4-BE49-F238E27FC236}">
              <a16:creationId xmlns:a16="http://schemas.microsoft.com/office/drawing/2014/main" id="{00000000-0008-0000-0400-0000B300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952500</xdr:colOff>
      <xdr:row>0</xdr:row>
      <xdr:rowOff>0</xdr:rowOff>
    </xdr:from>
    <xdr:ext cx="180975" cy="647700"/>
    <xdr:sp macro="" textlink="">
      <xdr:nvSpPr>
        <xdr:cNvPr id="180" name="Rectángulo 8">
          <a:extLst>
            <a:ext uri="{FF2B5EF4-FFF2-40B4-BE49-F238E27FC236}">
              <a16:creationId xmlns:a16="http://schemas.microsoft.com/office/drawing/2014/main" id="{00000000-0008-0000-0400-0000B4000000}"/>
            </a:ext>
          </a:extLst>
        </xdr:cNvPr>
        <xdr:cNvSpPr/>
      </xdr:nvSpPr>
      <xdr:spPr>
        <a:xfrm>
          <a:off x="98679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181" name="Rectángulo 8">
          <a:extLst>
            <a:ext uri="{FF2B5EF4-FFF2-40B4-BE49-F238E27FC236}">
              <a16:creationId xmlns:a16="http://schemas.microsoft.com/office/drawing/2014/main" id="{00000000-0008-0000-0400-0000B500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182" name="Rectángulo 8">
          <a:extLst>
            <a:ext uri="{FF2B5EF4-FFF2-40B4-BE49-F238E27FC236}">
              <a16:creationId xmlns:a16="http://schemas.microsoft.com/office/drawing/2014/main" id="{00000000-0008-0000-0400-0000B600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183" name="rect">
          <a:extLst>
            <a:ext uri="{FF2B5EF4-FFF2-40B4-BE49-F238E27FC236}">
              <a16:creationId xmlns:a16="http://schemas.microsoft.com/office/drawing/2014/main" id="{00000000-0008-0000-0400-0000B700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184" name="rect">
          <a:extLst>
            <a:ext uri="{FF2B5EF4-FFF2-40B4-BE49-F238E27FC236}">
              <a16:creationId xmlns:a16="http://schemas.microsoft.com/office/drawing/2014/main" id="{00000000-0008-0000-0400-0000B800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952500</xdr:colOff>
      <xdr:row>0</xdr:row>
      <xdr:rowOff>0</xdr:rowOff>
    </xdr:from>
    <xdr:ext cx="180975" cy="647700"/>
    <xdr:sp macro="" textlink="">
      <xdr:nvSpPr>
        <xdr:cNvPr id="185" name="Rectángulo 184">
          <a:extLst>
            <a:ext uri="{FF2B5EF4-FFF2-40B4-BE49-F238E27FC236}">
              <a16:creationId xmlns:a16="http://schemas.microsoft.com/office/drawing/2014/main" id="{00000000-0008-0000-0400-0000B9000000}"/>
            </a:ext>
          </a:extLst>
        </xdr:cNvPr>
        <xdr:cNvSpPr/>
      </xdr:nvSpPr>
      <xdr:spPr>
        <a:xfrm>
          <a:off x="98679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186" name="Rectángulo 8">
          <a:extLst>
            <a:ext uri="{FF2B5EF4-FFF2-40B4-BE49-F238E27FC236}">
              <a16:creationId xmlns:a16="http://schemas.microsoft.com/office/drawing/2014/main" id="{00000000-0008-0000-0400-0000BA00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187" name="Rectángulo 8">
          <a:extLst>
            <a:ext uri="{FF2B5EF4-FFF2-40B4-BE49-F238E27FC236}">
              <a16:creationId xmlns:a16="http://schemas.microsoft.com/office/drawing/2014/main" id="{00000000-0008-0000-0400-0000BB00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188" name="rect">
          <a:extLst>
            <a:ext uri="{FF2B5EF4-FFF2-40B4-BE49-F238E27FC236}">
              <a16:creationId xmlns:a16="http://schemas.microsoft.com/office/drawing/2014/main" id="{00000000-0008-0000-0400-0000BC00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189" name="rect">
          <a:extLst>
            <a:ext uri="{FF2B5EF4-FFF2-40B4-BE49-F238E27FC236}">
              <a16:creationId xmlns:a16="http://schemas.microsoft.com/office/drawing/2014/main" id="{00000000-0008-0000-0400-0000BD00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952500</xdr:colOff>
      <xdr:row>0</xdr:row>
      <xdr:rowOff>0</xdr:rowOff>
    </xdr:from>
    <xdr:ext cx="180975" cy="647700"/>
    <xdr:sp macro="" textlink="">
      <xdr:nvSpPr>
        <xdr:cNvPr id="190" name="Rectángulo 8">
          <a:extLst>
            <a:ext uri="{FF2B5EF4-FFF2-40B4-BE49-F238E27FC236}">
              <a16:creationId xmlns:a16="http://schemas.microsoft.com/office/drawing/2014/main" id="{00000000-0008-0000-0400-0000BE000000}"/>
            </a:ext>
          </a:extLst>
        </xdr:cNvPr>
        <xdr:cNvSpPr/>
      </xdr:nvSpPr>
      <xdr:spPr>
        <a:xfrm>
          <a:off x="98679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191" name="Rectángulo 8">
          <a:extLst>
            <a:ext uri="{FF2B5EF4-FFF2-40B4-BE49-F238E27FC236}">
              <a16:creationId xmlns:a16="http://schemas.microsoft.com/office/drawing/2014/main" id="{00000000-0008-0000-0400-0000BF00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192" name="Rectángulo 191">
          <a:extLst>
            <a:ext uri="{FF2B5EF4-FFF2-40B4-BE49-F238E27FC236}">
              <a16:creationId xmlns:a16="http://schemas.microsoft.com/office/drawing/2014/main" id="{00000000-0008-0000-0400-0000C000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193" name="rect">
          <a:extLst>
            <a:ext uri="{FF2B5EF4-FFF2-40B4-BE49-F238E27FC236}">
              <a16:creationId xmlns:a16="http://schemas.microsoft.com/office/drawing/2014/main" id="{00000000-0008-0000-0400-0000C100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194" name="rect">
          <a:extLst>
            <a:ext uri="{FF2B5EF4-FFF2-40B4-BE49-F238E27FC236}">
              <a16:creationId xmlns:a16="http://schemas.microsoft.com/office/drawing/2014/main" id="{00000000-0008-0000-0400-0000C200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952500</xdr:colOff>
      <xdr:row>0</xdr:row>
      <xdr:rowOff>0</xdr:rowOff>
    </xdr:from>
    <xdr:ext cx="180975" cy="647700"/>
    <xdr:sp macro="" textlink="">
      <xdr:nvSpPr>
        <xdr:cNvPr id="195" name="Rectángulo 194">
          <a:extLst>
            <a:ext uri="{FF2B5EF4-FFF2-40B4-BE49-F238E27FC236}">
              <a16:creationId xmlns:a16="http://schemas.microsoft.com/office/drawing/2014/main" id="{00000000-0008-0000-0400-0000C3000000}"/>
            </a:ext>
          </a:extLst>
        </xdr:cNvPr>
        <xdr:cNvSpPr/>
      </xdr:nvSpPr>
      <xdr:spPr>
        <a:xfrm>
          <a:off x="98679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2</xdr:col>
      <xdr:colOff>1066800</xdr:colOff>
      <xdr:row>0</xdr:row>
      <xdr:rowOff>0</xdr:rowOff>
    </xdr:from>
    <xdr:ext cx="0" cy="38100"/>
    <xdr:sp macro="" textlink="">
      <xdr:nvSpPr>
        <xdr:cNvPr id="196" name="CuadroTexto 195">
          <a:extLst>
            <a:ext uri="{FF2B5EF4-FFF2-40B4-BE49-F238E27FC236}">
              <a16:creationId xmlns:a16="http://schemas.microsoft.com/office/drawing/2014/main" id="{00000000-0008-0000-0400-0000C4000000}"/>
            </a:ext>
          </a:extLst>
        </xdr:cNvPr>
        <xdr:cNvSpPr txBox="1"/>
      </xdr:nvSpPr>
      <xdr:spPr>
        <a:xfrm flipH="1">
          <a:off x="3295650" y="0"/>
          <a:ext cx="0" cy="38100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lvl="0" algn="ctr"/>
          <a:r>
            <a:rPr lang="es-MX" sz="1200" b="1">
              <a:solidFill>
                <a:sysClr val="windowText" lastClr="000000"/>
              </a:solidFill>
            </a:rPr>
            <a:t>ISLA 9: CAMBIO DE MIX POSICIONES 4, 5, 6 Y 7</a:t>
          </a: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197" name="Rectángulo 8">
          <a:extLst>
            <a:ext uri="{FF2B5EF4-FFF2-40B4-BE49-F238E27FC236}">
              <a16:creationId xmlns:a16="http://schemas.microsoft.com/office/drawing/2014/main" id="{00000000-0008-0000-0400-0000C500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198" name="Rectángulo 8">
          <a:extLst>
            <a:ext uri="{FF2B5EF4-FFF2-40B4-BE49-F238E27FC236}">
              <a16:creationId xmlns:a16="http://schemas.microsoft.com/office/drawing/2014/main" id="{00000000-0008-0000-0400-0000C600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199" name="rect">
          <a:extLst>
            <a:ext uri="{FF2B5EF4-FFF2-40B4-BE49-F238E27FC236}">
              <a16:creationId xmlns:a16="http://schemas.microsoft.com/office/drawing/2014/main" id="{00000000-0008-0000-0400-0000C700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200" name="rect">
          <a:extLst>
            <a:ext uri="{FF2B5EF4-FFF2-40B4-BE49-F238E27FC236}">
              <a16:creationId xmlns:a16="http://schemas.microsoft.com/office/drawing/2014/main" id="{00000000-0008-0000-0400-0000C800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952500</xdr:colOff>
      <xdr:row>0</xdr:row>
      <xdr:rowOff>0</xdr:rowOff>
    </xdr:from>
    <xdr:ext cx="180975" cy="647700"/>
    <xdr:sp macro="" textlink="">
      <xdr:nvSpPr>
        <xdr:cNvPr id="201" name="Rectángulo 8">
          <a:extLst>
            <a:ext uri="{FF2B5EF4-FFF2-40B4-BE49-F238E27FC236}">
              <a16:creationId xmlns:a16="http://schemas.microsoft.com/office/drawing/2014/main" id="{00000000-0008-0000-0400-0000C9000000}"/>
            </a:ext>
          </a:extLst>
        </xdr:cNvPr>
        <xdr:cNvSpPr/>
      </xdr:nvSpPr>
      <xdr:spPr>
        <a:xfrm>
          <a:off x="98679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202" name="Rectángulo 8">
          <a:extLst>
            <a:ext uri="{FF2B5EF4-FFF2-40B4-BE49-F238E27FC236}">
              <a16:creationId xmlns:a16="http://schemas.microsoft.com/office/drawing/2014/main" id="{00000000-0008-0000-0400-0000CA00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203" name="Rectángulo 8">
          <a:extLst>
            <a:ext uri="{FF2B5EF4-FFF2-40B4-BE49-F238E27FC236}">
              <a16:creationId xmlns:a16="http://schemas.microsoft.com/office/drawing/2014/main" id="{00000000-0008-0000-0400-0000CB00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204" name="rect">
          <a:extLst>
            <a:ext uri="{FF2B5EF4-FFF2-40B4-BE49-F238E27FC236}">
              <a16:creationId xmlns:a16="http://schemas.microsoft.com/office/drawing/2014/main" id="{00000000-0008-0000-0400-0000CC00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205" name="rect">
          <a:extLst>
            <a:ext uri="{FF2B5EF4-FFF2-40B4-BE49-F238E27FC236}">
              <a16:creationId xmlns:a16="http://schemas.microsoft.com/office/drawing/2014/main" id="{00000000-0008-0000-0400-0000CD00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952500</xdr:colOff>
      <xdr:row>0</xdr:row>
      <xdr:rowOff>0</xdr:rowOff>
    </xdr:from>
    <xdr:ext cx="180975" cy="647700"/>
    <xdr:sp macro="" textlink="">
      <xdr:nvSpPr>
        <xdr:cNvPr id="206" name="Rectángulo 205">
          <a:extLst>
            <a:ext uri="{FF2B5EF4-FFF2-40B4-BE49-F238E27FC236}">
              <a16:creationId xmlns:a16="http://schemas.microsoft.com/office/drawing/2014/main" id="{00000000-0008-0000-0400-0000CE000000}"/>
            </a:ext>
          </a:extLst>
        </xdr:cNvPr>
        <xdr:cNvSpPr/>
      </xdr:nvSpPr>
      <xdr:spPr>
        <a:xfrm>
          <a:off x="98679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207" name="Rectángulo 8">
          <a:extLst>
            <a:ext uri="{FF2B5EF4-FFF2-40B4-BE49-F238E27FC236}">
              <a16:creationId xmlns:a16="http://schemas.microsoft.com/office/drawing/2014/main" id="{00000000-0008-0000-0400-0000CF00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208" name="Rectángulo 8">
          <a:extLst>
            <a:ext uri="{FF2B5EF4-FFF2-40B4-BE49-F238E27FC236}">
              <a16:creationId xmlns:a16="http://schemas.microsoft.com/office/drawing/2014/main" id="{00000000-0008-0000-0400-0000D000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209" name="rect">
          <a:extLst>
            <a:ext uri="{FF2B5EF4-FFF2-40B4-BE49-F238E27FC236}">
              <a16:creationId xmlns:a16="http://schemas.microsoft.com/office/drawing/2014/main" id="{00000000-0008-0000-0400-0000D100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210" name="rect">
          <a:extLst>
            <a:ext uri="{FF2B5EF4-FFF2-40B4-BE49-F238E27FC236}">
              <a16:creationId xmlns:a16="http://schemas.microsoft.com/office/drawing/2014/main" id="{00000000-0008-0000-0400-0000D200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952500</xdr:colOff>
      <xdr:row>0</xdr:row>
      <xdr:rowOff>0</xdr:rowOff>
    </xdr:from>
    <xdr:ext cx="180975" cy="647700"/>
    <xdr:sp macro="" textlink="">
      <xdr:nvSpPr>
        <xdr:cNvPr id="211" name="Rectángulo 8">
          <a:extLst>
            <a:ext uri="{FF2B5EF4-FFF2-40B4-BE49-F238E27FC236}">
              <a16:creationId xmlns:a16="http://schemas.microsoft.com/office/drawing/2014/main" id="{00000000-0008-0000-0400-0000D3000000}"/>
            </a:ext>
          </a:extLst>
        </xdr:cNvPr>
        <xdr:cNvSpPr/>
      </xdr:nvSpPr>
      <xdr:spPr>
        <a:xfrm>
          <a:off x="98679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807383</xdr:colOff>
      <xdr:row>0</xdr:row>
      <xdr:rowOff>0</xdr:rowOff>
    </xdr:from>
    <xdr:ext cx="184731" cy="655885"/>
    <xdr:sp macro="" textlink="">
      <xdr:nvSpPr>
        <xdr:cNvPr id="212" name="Rectángulo 8">
          <a:extLst>
            <a:ext uri="{FF2B5EF4-FFF2-40B4-BE49-F238E27FC236}">
              <a16:creationId xmlns:a16="http://schemas.microsoft.com/office/drawing/2014/main" id="{00000000-0008-0000-0400-0000D4000000}"/>
            </a:ext>
          </a:extLst>
        </xdr:cNvPr>
        <xdr:cNvSpPr/>
      </xdr:nvSpPr>
      <xdr:spPr>
        <a:xfrm>
          <a:off x="97227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0</xdr:row>
      <xdr:rowOff>0</xdr:rowOff>
    </xdr:from>
    <xdr:ext cx="184731" cy="655885"/>
    <xdr:sp macro="" textlink="">
      <xdr:nvSpPr>
        <xdr:cNvPr id="213" name="Rectángulo 8">
          <a:extLst>
            <a:ext uri="{FF2B5EF4-FFF2-40B4-BE49-F238E27FC236}">
              <a16:creationId xmlns:a16="http://schemas.microsoft.com/office/drawing/2014/main" id="{00000000-0008-0000-0400-0000D5000000}"/>
            </a:ext>
          </a:extLst>
        </xdr:cNvPr>
        <xdr:cNvSpPr/>
      </xdr:nvSpPr>
      <xdr:spPr>
        <a:xfrm>
          <a:off x="97227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959783</xdr:colOff>
      <xdr:row>0</xdr:row>
      <xdr:rowOff>0</xdr:rowOff>
    </xdr:from>
    <xdr:ext cx="184731" cy="655885"/>
    <xdr:sp macro="" textlink="">
      <xdr:nvSpPr>
        <xdr:cNvPr id="214" name="Rectángulo 213">
          <a:extLst>
            <a:ext uri="{FF2B5EF4-FFF2-40B4-BE49-F238E27FC236}">
              <a16:creationId xmlns:a16="http://schemas.microsoft.com/office/drawing/2014/main" id="{00000000-0008-0000-0400-0000D6000000}"/>
            </a:ext>
          </a:extLst>
        </xdr:cNvPr>
        <xdr:cNvSpPr/>
      </xdr:nvSpPr>
      <xdr:spPr>
        <a:xfrm>
          <a:off x="98751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0</xdr:row>
      <xdr:rowOff>0</xdr:rowOff>
    </xdr:from>
    <xdr:ext cx="184731" cy="655885"/>
    <xdr:sp macro="" textlink="">
      <xdr:nvSpPr>
        <xdr:cNvPr id="215" name="Rectángulo 214">
          <a:extLst>
            <a:ext uri="{FF2B5EF4-FFF2-40B4-BE49-F238E27FC236}">
              <a16:creationId xmlns:a16="http://schemas.microsoft.com/office/drawing/2014/main" id="{00000000-0008-0000-0400-0000D7000000}"/>
            </a:ext>
          </a:extLst>
        </xdr:cNvPr>
        <xdr:cNvSpPr/>
      </xdr:nvSpPr>
      <xdr:spPr>
        <a:xfrm>
          <a:off x="97227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0</xdr:row>
      <xdr:rowOff>0</xdr:rowOff>
    </xdr:from>
    <xdr:ext cx="184731" cy="655885"/>
    <xdr:sp macro="" textlink="">
      <xdr:nvSpPr>
        <xdr:cNvPr id="216" name="Rectángulo 8">
          <a:extLst>
            <a:ext uri="{FF2B5EF4-FFF2-40B4-BE49-F238E27FC236}">
              <a16:creationId xmlns:a16="http://schemas.microsoft.com/office/drawing/2014/main" id="{00000000-0008-0000-0400-0000D8000000}"/>
            </a:ext>
          </a:extLst>
        </xdr:cNvPr>
        <xdr:cNvSpPr/>
      </xdr:nvSpPr>
      <xdr:spPr>
        <a:xfrm>
          <a:off x="97227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959783</xdr:colOff>
      <xdr:row>0</xdr:row>
      <xdr:rowOff>0</xdr:rowOff>
    </xdr:from>
    <xdr:ext cx="184731" cy="655885"/>
    <xdr:sp macro="" textlink="">
      <xdr:nvSpPr>
        <xdr:cNvPr id="217" name="Rectángulo 216">
          <a:extLst>
            <a:ext uri="{FF2B5EF4-FFF2-40B4-BE49-F238E27FC236}">
              <a16:creationId xmlns:a16="http://schemas.microsoft.com/office/drawing/2014/main" id="{00000000-0008-0000-0400-0000D9000000}"/>
            </a:ext>
          </a:extLst>
        </xdr:cNvPr>
        <xdr:cNvSpPr/>
      </xdr:nvSpPr>
      <xdr:spPr>
        <a:xfrm>
          <a:off x="98751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0</xdr:row>
      <xdr:rowOff>0</xdr:rowOff>
    </xdr:from>
    <xdr:ext cx="184731" cy="655885"/>
    <xdr:sp macro="" textlink="">
      <xdr:nvSpPr>
        <xdr:cNvPr id="218" name="Rectángulo 8">
          <a:extLst>
            <a:ext uri="{FF2B5EF4-FFF2-40B4-BE49-F238E27FC236}">
              <a16:creationId xmlns:a16="http://schemas.microsoft.com/office/drawing/2014/main" id="{00000000-0008-0000-0400-0000DA000000}"/>
            </a:ext>
          </a:extLst>
        </xdr:cNvPr>
        <xdr:cNvSpPr/>
      </xdr:nvSpPr>
      <xdr:spPr>
        <a:xfrm>
          <a:off x="97227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0</xdr:row>
      <xdr:rowOff>0</xdr:rowOff>
    </xdr:from>
    <xdr:ext cx="184731" cy="655885"/>
    <xdr:sp macro="" textlink="">
      <xdr:nvSpPr>
        <xdr:cNvPr id="219" name="Rectángulo 8">
          <a:extLst>
            <a:ext uri="{FF2B5EF4-FFF2-40B4-BE49-F238E27FC236}">
              <a16:creationId xmlns:a16="http://schemas.microsoft.com/office/drawing/2014/main" id="{00000000-0008-0000-0400-0000DB000000}"/>
            </a:ext>
          </a:extLst>
        </xdr:cNvPr>
        <xdr:cNvSpPr/>
      </xdr:nvSpPr>
      <xdr:spPr>
        <a:xfrm>
          <a:off x="97227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959783</xdr:colOff>
      <xdr:row>0</xdr:row>
      <xdr:rowOff>0</xdr:rowOff>
    </xdr:from>
    <xdr:ext cx="184731" cy="655885"/>
    <xdr:sp macro="" textlink="">
      <xdr:nvSpPr>
        <xdr:cNvPr id="220" name="Rectángulo 219">
          <a:extLst>
            <a:ext uri="{FF2B5EF4-FFF2-40B4-BE49-F238E27FC236}">
              <a16:creationId xmlns:a16="http://schemas.microsoft.com/office/drawing/2014/main" id="{00000000-0008-0000-0400-0000DC000000}"/>
            </a:ext>
          </a:extLst>
        </xdr:cNvPr>
        <xdr:cNvSpPr/>
      </xdr:nvSpPr>
      <xdr:spPr>
        <a:xfrm>
          <a:off x="98751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0</xdr:row>
      <xdr:rowOff>0</xdr:rowOff>
    </xdr:from>
    <xdr:ext cx="184731" cy="655885"/>
    <xdr:sp macro="" textlink="">
      <xdr:nvSpPr>
        <xdr:cNvPr id="221" name="Rectángulo 220">
          <a:extLst>
            <a:ext uri="{FF2B5EF4-FFF2-40B4-BE49-F238E27FC236}">
              <a16:creationId xmlns:a16="http://schemas.microsoft.com/office/drawing/2014/main" id="{00000000-0008-0000-0400-0000DD000000}"/>
            </a:ext>
          </a:extLst>
        </xdr:cNvPr>
        <xdr:cNvSpPr/>
      </xdr:nvSpPr>
      <xdr:spPr>
        <a:xfrm>
          <a:off x="97227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0</xdr:row>
      <xdr:rowOff>0</xdr:rowOff>
    </xdr:from>
    <xdr:ext cx="184731" cy="655885"/>
    <xdr:sp macro="" textlink="">
      <xdr:nvSpPr>
        <xdr:cNvPr id="222" name="Rectángulo 8">
          <a:extLst>
            <a:ext uri="{FF2B5EF4-FFF2-40B4-BE49-F238E27FC236}">
              <a16:creationId xmlns:a16="http://schemas.microsoft.com/office/drawing/2014/main" id="{00000000-0008-0000-0400-0000DE000000}"/>
            </a:ext>
          </a:extLst>
        </xdr:cNvPr>
        <xdr:cNvSpPr/>
      </xdr:nvSpPr>
      <xdr:spPr>
        <a:xfrm>
          <a:off x="97227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959783</xdr:colOff>
      <xdr:row>0</xdr:row>
      <xdr:rowOff>0</xdr:rowOff>
    </xdr:from>
    <xdr:ext cx="184731" cy="655885"/>
    <xdr:sp macro="" textlink="">
      <xdr:nvSpPr>
        <xdr:cNvPr id="223" name="Rectángulo 222">
          <a:extLst>
            <a:ext uri="{FF2B5EF4-FFF2-40B4-BE49-F238E27FC236}">
              <a16:creationId xmlns:a16="http://schemas.microsoft.com/office/drawing/2014/main" id="{00000000-0008-0000-0400-0000DF000000}"/>
            </a:ext>
          </a:extLst>
        </xdr:cNvPr>
        <xdr:cNvSpPr/>
      </xdr:nvSpPr>
      <xdr:spPr>
        <a:xfrm>
          <a:off x="98751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0</xdr:col>
      <xdr:colOff>959783</xdr:colOff>
      <xdr:row>0</xdr:row>
      <xdr:rowOff>0</xdr:rowOff>
    </xdr:from>
    <xdr:ext cx="184731" cy="655885"/>
    <xdr:sp macro="" textlink="">
      <xdr:nvSpPr>
        <xdr:cNvPr id="224" name="Rectángulo 223">
          <a:extLst>
            <a:ext uri="{FF2B5EF4-FFF2-40B4-BE49-F238E27FC236}">
              <a16:creationId xmlns:a16="http://schemas.microsoft.com/office/drawing/2014/main" id="{00000000-0008-0000-0400-0000E0000000}"/>
            </a:ext>
          </a:extLst>
        </xdr:cNvPr>
        <xdr:cNvSpPr/>
      </xdr:nvSpPr>
      <xdr:spPr>
        <a:xfrm>
          <a:off x="9597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0</xdr:col>
      <xdr:colOff>959783</xdr:colOff>
      <xdr:row>0</xdr:row>
      <xdr:rowOff>0</xdr:rowOff>
    </xdr:from>
    <xdr:ext cx="184731" cy="655885"/>
    <xdr:sp macro="" textlink="">
      <xdr:nvSpPr>
        <xdr:cNvPr id="225" name="Rectángulo 224">
          <a:extLst>
            <a:ext uri="{FF2B5EF4-FFF2-40B4-BE49-F238E27FC236}">
              <a16:creationId xmlns:a16="http://schemas.microsoft.com/office/drawing/2014/main" id="{00000000-0008-0000-0400-0000E1000000}"/>
            </a:ext>
          </a:extLst>
        </xdr:cNvPr>
        <xdr:cNvSpPr/>
      </xdr:nvSpPr>
      <xdr:spPr>
        <a:xfrm>
          <a:off x="9597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2</xdr:col>
      <xdr:colOff>1066800</xdr:colOff>
      <xdr:row>0</xdr:row>
      <xdr:rowOff>0</xdr:rowOff>
    </xdr:from>
    <xdr:ext cx="0" cy="38100"/>
    <xdr:sp macro="" textlink="">
      <xdr:nvSpPr>
        <xdr:cNvPr id="226" name="CuadroTexto 225">
          <a:extLst>
            <a:ext uri="{FF2B5EF4-FFF2-40B4-BE49-F238E27FC236}">
              <a16:creationId xmlns:a16="http://schemas.microsoft.com/office/drawing/2014/main" id="{00000000-0008-0000-0400-0000E2000000}"/>
            </a:ext>
          </a:extLst>
        </xdr:cNvPr>
        <xdr:cNvSpPr txBox="1"/>
      </xdr:nvSpPr>
      <xdr:spPr>
        <a:xfrm flipH="1">
          <a:off x="3295650" y="0"/>
          <a:ext cx="0" cy="38100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lvl="0" algn="ctr"/>
          <a:r>
            <a:rPr lang="es-MX" sz="1200" b="1">
              <a:solidFill>
                <a:sysClr val="windowText" lastClr="000000"/>
              </a:solidFill>
            </a:rPr>
            <a:t>ISLA 9: CAMBIO DE MIX POSICIONES 4, 5, 6 Y 7</a:t>
          </a: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227" name="Rectángulo 8">
          <a:extLst>
            <a:ext uri="{FF2B5EF4-FFF2-40B4-BE49-F238E27FC236}">
              <a16:creationId xmlns:a16="http://schemas.microsoft.com/office/drawing/2014/main" id="{00000000-0008-0000-0400-0000E300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228" name="Rectángulo 8">
          <a:extLst>
            <a:ext uri="{FF2B5EF4-FFF2-40B4-BE49-F238E27FC236}">
              <a16:creationId xmlns:a16="http://schemas.microsoft.com/office/drawing/2014/main" id="{00000000-0008-0000-0400-0000E400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229" name="rect">
          <a:extLst>
            <a:ext uri="{FF2B5EF4-FFF2-40B4-BE49-F238E27FC236}">
              <a16:creationId xmlns:a16="http://schemas.microsoft.com/office/drawing/2014/main" id="{00000000-0008-0000-0400-0000E500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230" name="rect">
          <a:extLst>
            <a:ext uri="{FF2B5EF4-FFF2-40B4-BE49-F238E27FC236}">
              <a16:creationId xmlns:a16="http://schemas.microsoft.com/office/drawing/2014/main" id="{00000000-0008-0000-0400-0000E600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952500</xdr:colOff>
      <xdr:row>0</xdr:row>
      <xdr:rowOff>0</xdr:rowOff>
    </xdr:from>
    <xdr:ext cx="180975" cy="647700"/>
    <xdr:sp macro="" textlink="">
      <xdr:nvSpPr>
        <xdr:cNvPr id="231" name="Rectángulo 230">
          <a:extLst>
            <a:ext uri="{FF2B5EF4-FFF2-40B4-BE49-F238E27FC236}">
              <a16:creationId xmlns:a16="http://schemas.microsoft.com/office/drawing/2014/main" id="{00000000-0008-0000-0400-0000E7000000}"/>
            </a:ext>
          </a:extLst>
        </xdr:cNvPr>
        <xdr:cNvSpPr/>
      </xdr:nvSpPr>
      <xdr:spPr>
        <a:xfrm>
          <a:off x="98679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232" name="Rectángulo 8">
          <a:extLst>
            <a:ext uri="{FF2B5EF4-FFF2-40B4-BE49-F238E27FC236}">
              <a16:creationId xmlns:a16="http://schemas.microsoft.com/office/drawing/2014/main" id="{00000000-0008-0000-0400-0000E800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233" name="Rectángulo 8">
          <a:extLst>
            <a:ext uri="{FF2B5EF4-FFF2-40B4-BE49-F238E27FC236}">
              <a16:creationId xmlns:a16="http://schemas.microsoft.com/office/drawing/2014/main" id="{00000000-0008-0000-0400-0000E900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234" name="rect">
          <a:extLst>
            <a:ext uri="{FF2B5EF4-FFF2-40B4-BE49-F238E27FC236}">
              <a16:creationId xmlns:a16="http://schemas.microsoft.com/office/drawing/2014/main" id="{00000000-0008-0000-0400-0000EA00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235" name="rect">
          <a:extLst>
            <a:ext uri="{FF2B5EF4-FFF2-40B4-BE49-F238E27FC236}">
              <a16:creationId xmlns:a16="http://schemas.microsoft.com/office/drawing/2014/main" id="{00000000-0008-0000-0400-0000EB00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952500</xdr:colOff>
      <xdr:row>0</xdr:row>
      <xdr:rowOff>0</xdr:rowOff>
    </xdr:from>
    <xdr:ext cx="180975" cy="647700"/>
    <xdr:sp macro="" textlink="">
      <xdr:nvSpPr>
        <xdr:cNvPr id="236" name="Rectángulo 8">
          <a:extLst>
            <a:ext uri="{FF2B5EF4-FFF2-40B4-BE49-F238E27FC236}">
              <a16:creationId xmlns:a16="http://schemas.microsoft.com/office/drawing/2014/main" id="{00000000-0008-0000-0400-0000EC000000}"/>
            </a:ext>
          </a:extLst>
        </xdr:cNvPr>
        <xdr:cNvSpPr/>
      </xdr:nvSpPr>
      <xdr:spPr>
        <a:xfrm>
          <a:off x="98679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237" name="Rectángulo 8">
          <a:extLst>
            <a:ext uri="{FF2B5EF4-FFF2-40B4-BE49-F238E27FC236}">
              <a16:creationId xmlns:a16="http://schemas.microsoft.com/office/drawing/2014/main" id="{00000000-0008-0000-0400-0000ED00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238" name="Rectángulo 8">
          <a:extLst>
            <a:ext uri="{FF2B5EF4-FFF2-40B4-BE49-F238E27FC236}">
              <a16:creationId xmlns:a16="http://schemas.microsoft.com/office/drawing/2014/main" id="{00000000-0008-0000-0400-0000EE00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239" name="rect">
          <a:extLst>
            <a:ext uri="{FF2B5EF4-FFF2-40B4-BE49-F238E27FC236}">
              <a16:creationId xmlns:a16="http://schemas.microsoft.com/office/drawing/2014/main" id="{00000000-0008-0000-0400-0000EF00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240" name="rect">
          <a:extLst>
            <a:ext uri="{FF2B5EF4-FFF2-40B4-BE49-F238E27FC236}">
              <a16:creationId xmlns:a16="http://schemas.microsoft.com/office/drawing/2014/main" id="{00000000-0008-0000-0400-0000F000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952500</xdr:colOff>
      <xdr:row>0</xdr:row>
      <xdr:rowOff>0</xdr:rowOff>
    </xdr:from>
    <xdr:ext cx="180975" cy="647700"/>
    <xdr:sp macro="" textlink="">
      <xdr:nvSpPr>
        <xdr:cNvPr id="241" name="Rectángulo 240">
          <a:extLst>
            <a:ext uri="{FF2B5EF4-FFF2-40B4-BE49-F238E27FC236}">
              <a16:creationId xmlns:a16="http://schemas.microsoft.com/office/drawing/2014/main" id="{00000000-0008-0000-0400-0000F1000000}"/>
            </a:ext>
          </a:extLst>
        </xdr:cNvPr>
        <xdr:cNvSpPr/>
      </xdr:nvSpPr>
      <xdr:spPr>
        <a:xfrm>
          <a:off x="98679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242" name="Rectángulo 8">
          <a:extLst>
            <a:ext uri="{FF2B5EF4-FFF2-40B4-BE49-F238E27FC236}">
              <a16:creationId xmlns:a16="http://schemas.microsoft.com/office/drawing/2014/main" id="{00000000-0008-0000-0400-0000F200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243" name="Rectángulo 8">
          <a:extLst>
            <a:ext uri="{FF2B5EF4-FFF2-40B4-BE49-F238E27FC236}">
              <a16:creationId xmlns:a16="http://schemas.microsoft.com/office/drawing/2014/main" id="{00000000-0008-0000-0400-0000F300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244" name="rect">
          <a:extLst>
            <a:ext uri="{FF2B5EF4-FFF2-40B4-BE49-F238E27FC236}">
              <a16:creationId xmlns:a16="http://schemas.microsoft.com/office/drawing/2014/main" id="{00000000-0008-0000-0400-0000F400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245" name="rect">
          <a:extLst>
            <a:ext uri="{FF2B5EF4-FFF2-40B4-BE49-F238E27FC236}">
              <a16:creationId xmlns:a16="http://schemas.microsoft.com/office/drawing/2014/main" id="{00000000-0008-0000-0400-0000F500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952500</xdr:colOff>
      <xdr:row>0</xdr:row>
      <xdr:rowOff>0</xdr:rowOff>
    </xdr:from>
    <xdr:ext cx="180975" cy="647700"/>
    <xdr:sp macro="" textlink="">
      <xdr:nvSpPr>
        <xdr:cNvPr id="246" name="Rectángulo 8">
          <a:extLst>
            <a:ext uri="{FF2B5EF4-FFF2-40B4-BE49-F238E27FC236}">
              <a16:creationId xmlns:a16="http://schemas.microsoft.com/office/drawing/2014/main" id="{00000000-0008-0000-0400-0000F6000000}"/>
            </a:ext>
          </a:extLst>
        </xdr:cNvPr>
        <xdr:cNvSpPr/>
      </xdr:nvSpPr>
      <xdr:spPr>
        <a:xfrm>
          <a:off x="98679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247" name="Rectángulo 8">
          <a:extLst>
            <a:ext uri="{FF2B5EF4-FFF2-40B4-BE49-F238E27FC236}">
              <a16:creationId xmlns:a16="http://schemas.microsoft.com/office/drawing/2014/main" id="{00000000-0008-0000-0400-0000F700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248" name="Rectángulo 247">
          <a:extLst>
            <a:ext uri="{FF2B5EF4-FFF2-40B4-BE49-F238E27FC236}">
              <a16:creationId xmlns:a16="http://schemas.microsoft.com/office/drawing/2014/main" id="{00000000-0008-0000-0400-0000F800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249" name="rect">
          <a:extLst>
            <a:ext uri="{FF2B5EF4-FFF2-40B4-BE49-F238E27FC236}">
              <a16:creationId xmlns:a16="http://schemas.microsoft.com/office/drawing/2014/main" id="{00000000-0008-0000-0400-0000F900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250" name="rect">
          <a:extLst>
            <a:ext uri="{FF2B5EF4-FFF2-40B4-BE49-F238E27FC236}">
              <a16:creationId xmlns:a16="http://schemas.microsoft.com/office/drawing/2014/main" id="{00000000-0008-0000-0400-0000FA00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952500</xdr:colOff>
      <xdr:row>0</xdr:row>
      <xdr:rowOff>0</xdr:rowOff>
    </xdr:from>
    <xdr:ext cx="180975" cy="647700"/>
    <xdr:sp macro="" textlink="">
      <xdr:nvSpPr>
        <xdr:cNvPr id="251" name="Rectángulo 250">
          <a:extLst>
            <a:ext uri="{FF2B5EF4-FFF2-40B4-BE49-F238E27FC236}">
              <a16:creationId xmlns:a16="http://schemas.microsoft.com/office/drawing/2014/main" id="{00000000-0008-0000-0400-0000FB000000}"/>
            </a:ext>
          </a:extLst>
        </xdr:cNvPr>
        <xdr:cNvSpPr/>
      </xdr:nvSpPr>
      <xdr:spPr>
        <a:xfrm>
          <a:off x="98679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2</xdr:col>
      <xdr:colOff>1066800</xdr:colOff>
      <xdr:row>0</xdr:row>
      <xdr:rowOff>0</xdr:rowOff>
    </xdr:from>
    <xdr:ext cx="0" cy="38100"/>
    <xdr:sp macro="" textlink="">
      <xdr:nvSpPr>
        <xdr:cNvPr id="252" name="CuadroTexto 251">
          <a:extLst>
            <a:ext uri="{FF2B5EF4-FFF2-40B4-BE49-F238E27FC236}">
              <a16:creationId xmlns:a16="http://schemas.microsoft.com/office/drawing/2014/main" id="{00000000-0008-0000-0400-0000FC000000}"/>
            </a:ext>
          </a:extLst>
        </xdr:cNvPr>
        <xdr:cNvSpPr txBox="1"/>
      </xdr:nvSpPr>
      <xdr:spPr>
        <a:xfrm flipH="1">
          <a:off x="3295650" y="0"/>
          <a:ext cx="0" cy="38100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lvl="0" algn="ctr"/>
          <a:r>
            <a:rPr lang="es-MX" sz="1200" b="1">
              <a:solidFill>
                <a:sysClr val="windowText" lastClr="000000"/>
              </a:solidFill>
            </a:rPr>
            <a:t>ISLA 9: CAMBIO DE MIX POSICIONES 4, 5, 6 Y 7</a:t>
          </a: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253" name="Rectángulo 8">
          <a:extLst>
            <a:ext uri="{FF2B5EF4-FFF2-40B4-BE49-F238E27FC236}">
              <a16:creationId xmlns:a16="http://schemas.microsoft.com/office/drawing/2014/main" id="{00000000-0008-0000-0400-0000FD00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254" name="Rectángulo 8">
          <a:extLst>
            <a:ext uri="{FF2B5EF4-FFF2-40B4-BE49-F238E27FC236}">
              <a16:creationId xmlns:a16="http://schemas.microsoft.com/office/drawing/2014/main" id="{00000000-0008-0000-0400-0000FE00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255" name="rect">
          <a:extLst>
            <a:ext uri="{FF2B5EF4-FFF2-40B4-BE49-F238E27FC236}">
              <a16:creationId xmlns:a16="http://schemas.microsoft.com/office/drawing/2014/main" id="{00000000-0008-0000-0400-0000FF00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256" name="rect">
          <a:extLst>
            <a:ext uri="{FF2B5EF4-FFF2-40B4-BE49-F238E27FC236}">
              <a16:creationId xmlns:a16="http://schemas.microsoft.com/office/drawing/2014/main" id="{00000000-0008-0000-0400-00000001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952500</xdr:colOff>
      <xdr:row>0</xdr:row>
      <xdr:rowOff>0</xdr:rowOff>
    </xdr:from>
    <xdr:ext cx="180975" cy="647700"/>
    <xdr:sp macro="" textlink="">
      <xdr:nvSpPr>
        <xdr:cNvPr id="257" name="Rectángulo 8">
          <a:extLst>
            <a:ext uri="{FF2B5EF4-FFF2-40B4-BE49-F238E27FC236}">
              <a16:creationId xmlns:a16="http://schemas.microsoft.com/office/drawing/2014/main" id="{00000000-0008-0000-0400-000001010000}"/>
            </a:ext>
          </a:extLst>
        </xdr:cNvPr>
        <xdr:cNvSpPr/>
      </xdr:nvSpPr>
      <xdr:spPr>
        <a:xfrm>
          <a:off x="98679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258" name="Rectángulo 8">
          <a:extLst>
            <a:ext uri="{FF2B5EF4-FFF2-40B4-BE49-F238E27FC236}">
              <a16:creationId xmlns:a16="http://schemas.microsoft.com/office/drawing/2014/main" id="{00000000-0008-0000-0400-00000201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259" name="Rectángulo 8">
          <a:extLst>
            <a:ext uri="{FF2B5EF4-FFF2-40B4-BE49-F238E27FC236}">
              <a16:creationId xmlns:a16="http://schemas.microsoft.com/office/drawing/2014/main" id="{00000000-0008-0000-0400-00000301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260" name="rect">
          <a:extLst>
            <a:ext uri="{FF2B5EF4-FFF2-40B4-BE49-F238E27FC236}">
              <a16:creationId xmlns:a16="http://schemas.microsoft.com/office/drawing/2014/main" id="{00000000-0008-0000-0400-00000401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261" name="rect">
          <a:extLst>
            <a:ext uri="{FF2B5EF4-FFF2-40B4-BE49-F238E27FC236}">
              <a16:creationId xmlns:a16="http://schemas.microsoft.com/office/drawing/2014/main" id="{00000000-0008-0000-0400-00000501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952500</xdr:colOff>
      <xdr:row>0</xdr:row>
      <xdr:rowOff>0</xdr:rowOff>
    </xdr:from>
    <xdr:ext cx="180975" cy="647700"/>
    <xdr:sp macro="" textlink="">
      <xdr:nvSpPr>
        <xdr:cNvPr id="262" name="Rectángulo 261">
          <a:extLst>
            <a:ext uri="{FF2B5EF4-FFF2-40B4-BE49-F238E27FC236}">
              <a16:creationId xmlns:a16="http://schemas.microsoft.com/office/drawing/2014/main" id="{00000000-0008-0000-0400-000006010000}"/>
            </a:ext>
          </a:extLst>
        </xdr:cNvPr>
        <xdr:cNvSpPr/>
      </xdr:nvSpPr>
      <xdr:spPr>
        <a:xfrm>
          <a:off x="98679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263" name="Rectángulo 8">
          <a:extLst>
            <a:ext uri="{FF2B5EF4-FFF2-40B4-BE49-F238E27FC236}">
              <a16:creationId xmlns:a16="http://schemas.microsoft.com/office/drawing/2014/main" id="{00000000-0008-0000-0400-00000701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264" name="Rectángulo 8">
          <a:extLst>
            <a:ext uri="{FF2B5EF4-FFF2-40B4-BE49-F238E27FC236}">
              <a16:creationId xmlns:a16="http://schemas.microsoft.com/office/drawing/2014/main" id="{00000000-0008-0000-0400-00000801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265" name="rect">
          <a:extLst>
            <a:ext uri="{FF2B5EF4-FFF2-40B4-BE49-F238E27FC236}">
              <a16:creationId xmlns:a16="http://schemas.microsoft.com/office/drawing/2014/main" id="{00000000-0008-0000-0400-00000901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266" name="rect">
          <a:extLst>
            <a:ext uri="{FF2B5EF4-FFF2-40B4-BE49-F238E27FC236}">
              <a16:creationId xmlns:a16="http://schemas.microsoft.com/office/drawing/2014/main" id="{00000000-0008-0000-0400-00000A01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952500</xdr:colOff>
      <xdr:row>0</xdr:row>
      <xdr:rowOff>0</xdr:rowOff>
    </xdr:from>
    <xdr:ext cx="180975" cy="647700"/>
    <xdr:sp macro="" textlink="">
      <xdr:nvSpPr>
        <xdr:cNvPr id="267" name="Rectángulo 8">
          <a:extLst>
            <a:ext uri="{FF2B5EF4-FFF2-40B4-BE49-F238E27FC236}">
              <a16:creationId xmlns:a16="http://schemas.microsoft.com/office/drawing/2014/main" id="{00000000-0008-0000-0400-00000B010000}"/>
            </a:ext>
          </a:extLst>
        </xdr:cNvPr>
        <xdr:cNvSpPr/>
      </xdr:nvSpPr>
      <xdr:spPr>
        <a:xfrm>
          <a:off x="98679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807383</xdr:colOff>
      <xdr:row>0</xdr:row>
      <xdr:rowOff>0</xdr:rowOff>
    </xdr:from>
    <xdr:ext cx="184731" cy="655885"/>
    <xdr:sp macro="" textlink="">
      <xdr:nvSpPr>
        <xdr:cNvPr id="268" name="Rectángulo 8">
          <a:extLst>
            <a:ext uri="{FF2B5EF4-FFF2-40B4-BE49-F238E27FC236}">
              <a16:creationId xmlns:a16="http://schemas.microsoft.com/office/drawing/2014/main" id="{00000000-0008-0000-0400-00000C010000}"/>
            </a:ext>
          </a:extLst>
        </xdr:cNvPr>
        <xdr:cNvSpPr/>
      </xdr:nvSpPr>
      <xdr:spPr>
        <a:xfrm>
          <a:off x="97227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0</xdr:row>
      <xdr:rowOff>0</xdr:rowOff>
    </xdr:from>
    <xdr:ext cx="184731" cy="655885"/>
    <xdr:sp macro="" textlink="">
      <xdr:nvSpPr>
        <xdr:cNvPr id="269" name="Rectángulo 8">
          <a:extLst>
            <a:ext uri="{FF2B5EF4-FFF2-40B4-BE49-F238E27FC236}">
              <a16:creationId xmlns:a16="http://schemas.microsoft.com/office/drawing/2014/main" id="{00000000-0008-0000-0400-00000D010000}"/>
            </a:ext>
          </a:extLst>
        </xdr:cNvPr>
        <xdr:cNvSpPr/>
      </xdr:nvSpPr>
      <xdr:spPr>
        <a:xfrm>
          <a:off x="97227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959783</xdr:colOff>
      <xdr:row>0</xdr:row>
      <xdr:rowOff>0</xdr:rowOff>
    </xdr:from>
    <xdr:ext cx="184731" cy="655885"/>
    <xdr:sp macro="" textlink="">
      <xdr:nvSpPr>
        <xdr:cNvPr id="270" name="Rectángulo 269">
          <a:extLst>
            <a:ext uri="{FF2B5EF4-FFF2-40B4-BE49-F238E27FC236}">
              <a16:creationId xmlns:a16="http://schemas.microsoft.com/office/drawing/2014/main" id="{00000000-0008-0000-0400-00000E010000}"/>
            </a:ext>
          </a:extLst>
        </xdr:cNvPr>
        <xdr:cNvSpPr/>
      </xdr:nvSpPr>
      <xdr:spPr>
        <a:xfrm>
          <a:off x="98751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0</xdr:row>
      <xdr:rowOff>0</xdr:rowOff>
    </xdr:from>
    <xdr:ext cx="184731" cy="655885"/>
    <xdr:sp macro="" textlink="">
      <xdr:nvSpPr>
        <xdr:cNvPr id="271" name="Rectángulo 270">
          <a:extLst>
            <a:ext uri="{FF2B5EF4-FFF2-40B4-BE49-F238E27FC236}">
              <a16:creationId xmlns:a16="http://schemas.microsoft.com/office/drawing/2014/main" id="{00000000-0008-0000-0400-00000F010000}"/>
            </a:ext>
          </a:extLst>
        </xdr:cNvPr>
        <xdr:cNvSpPr/>
      </xdr:nvSpPr>
      <xdr:spPr>
        <a:xfrm>
          <a:off x="97227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0</xdr:row>
      <xdr:rowOff>0</xdr:rowOff>
    </xdr:from>
    <xdr:ext cx="184731" cy="655885"/>
    <xdr:sp macro="" textlink="">
      <xdr:nvSpPr>
        <xdr:cNvPr id="272" name="Rectángulo 8">
          <a:extLst>
            <a:ext uri="{FF2B5EF4-FFF2-40B4-BE49-F238E27FC236}">
              <a16:creationId xmlns:a16="http://schemas.microsoft.com/office/drawing/2014/main" id="{00000000-0008-0000-0400-000010010000}"/>
            </a:ext>
          </a:extLst>
        </xdr:cNvPr>
        <xdr:cNvSpPr/>
      </xdr:nvSpPr>
      <xdr:spPr>
        <a:xfrm>
          <a:off x="97227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959783</xdr:colOff>
      <xdr:row>0</xdr:row>
      <xdr:rowOff>0</xdr:rowOff>
    </xdr:from>
    <xdr:ext cx="184731" cy="655885"/>
    <xdr:sp macro="" textlink="">
      <xdr:nvSpPr>
        <xdr:cNvPr id="273" name="Rectángulo 272">
          <a:extLst>
            <a:ext uri="{FF2B5EF4-FFF2-40B4-BE49-F238E27FC236}">
              <a16:creationId xmlns:a16="http://schemas.microsoft.com/office/drawing/2014/main" id="{00000000-0008-0000-0400-000011010000}"/>
            </a:ext>
          </a:extLst>
        </xdr:cNvPr>
        <xdr:cNvSpPr/>
      </xdr:nvSpPr>
      <xdr:spPr>
        <a:xfrm>
          <a:off x="98751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0</xdr:row>
      <xdr:rowOff>0</xdr:rowOff>
    </xdr:from>
    <xdr:ext cx="184731" cy="655885"/>
    <xdr:sp macro="" textlink="">
      <xdr:nvSpPr>
        <xdr:cNvPr id="274" name="Rectángulo 8">
          <a:extLst>
            <a:ext uri="{FF2B5EF4-FFF2-40B4-BE49-F238E27FC236}">
              <a16:creationId xmlns:a16="http://schemas.microsoft.com/office/drawing/2014/main" id="{00000000-0008-0000-0400-000012010000}"/>
            </a:ext>
          </a:extLst>
        </xdr:cNvPr>
        <xdr:cNvSpPr/>
      </xdr:nvSpPr>
      <xdr:spPr>
        <a:xfrm>
          <a:off x="97227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0</xdr:row>
      <xdr:rowOff>0</xdr:rowOff>
    </xdr:from>
    <xdr:ext cx="184731" cy="655885"/>
    <xdr:sp macro="" textlink="">
      <xdr:nvSpPr>
        <xdr:cNvPr id="275" name="Rectángulo 8">
          <a:extLst>
            <a:ext uri="{FF2B5EF4-FFF2-40B4-BE49-F238E27FC236}">
              <a16:creationId xmlns:a16="http://schemas.microsoft.com/office/drawing/2014/main" id="{00000000-0008-0000-0400-000013010000}"/>
            </a:ext>
          </a:extLst>
        </xdr:cNvPr>
        <xdr:cNvSpPr/>
      </xdr:nvSpPr>
      <xdr:spPr>
        <a:xfrm>
          <a:off x="97227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959783</xdr:colOff>
      <xdr:row>0</xdr:row>
      <xdr:rowOff>0</xdr:rowOff>
    </xdr:from>
    <xdr:ext cx="184731" cy="655885"/>
    <xdr:sp macro="" textlink="">
      <xdr:nvSpPr>
        <xdr:cNvPr id="276" name="Rectángulo 275">
          <a:extLst>
            <a:ext uri="{FF2B5EF4-FFF2-40B4-BE49-F238E27FC236}">
              <a16:creationId xmlns:a16="http://schemas.microsoft.com/office/drawing/2014/main" id="{00000000-0008-0000-0400-000014010000}"/>
            </a:ext>
          </a:extLst>
        </xdr:cNvPr>
        <xdr:cNvSpPr/>
      </xdr:nvSpPr>
      <xdr:spPr>
        <a:xfrm>
          <a:off x="98751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0</xdr:row>
      <xdr:rowOff>0</xdr:rowOff>
    </xdr:from>
    <xdr:ext cx="184731" cy="655885"/>
    <xdr:sp macro="" textlink="">
      <xdr:nvSpPr>
        <xdr:cNvPr id="277" name="Rectángulo 276">
          <a:extLst>
            <a:ext uri="{FF2B5EF4-FFF2-40B4-BE49-F238E27FC236}">
              <a16:creationId xmlns:a16="http://schemas.microsoft.com/office/drawing/2014/main" id="{00000000-0008-0000-0400-000015010000}"/>
            </a:ext>
          </a:extLst>
        </xdr:cNvPr>
        <xdr:cNvSpPr/>
      </xdr:nvSpPr>
      <xdr:spPr>
        <a:xfrm>
          <a:off x="97227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0</xdr:row>
      <xdr:rowOff>0</xdr:rowOff>
    </xdr:from>
    <xdr:ext cx="184731" cy="655885"/>
    <xdr:sp macro="" textlink="">
      <xdr:nvSpPr>
        <xdr:cNvPr id="278" name="Rectángulo 8">
          <a:extLst>
            <a:ext uri="{FF2B5EF4-FFF2-40B4-BE49-F238E27FC236}">
              <a16:creationId xmlns:a16="http://schemas.microsoft.com/office/drawing/2014/main" id="{00000000-0008-0000-0400-000016010000}"/>
            </a:ext>
          </a:extLst>
        </xdr:cNvPr>
        <xdr:cNvSpPr/>
      </xdr:nvSpPr>
      <xdr:spPr>
        <a:xfrm>
          <a:off x="97227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959783</xdr:colOff>
      <xdr:row>0</xdr:row>
      <xdr:rowOff>0</xdr:rowOff>
    </xdr:from>
    <xdr:ext cx="184731" cy="655885"/>
    <xdr:sp macro="" textlink="">
      <xdr:nvSpPr>
        <xdr:cNvPr id="279" name="Rectángulo 278">
          <a:extLst>
            <a:ext uri="{FF2B5EF4-FFF2-40B4-BE49-F238E27FC236}">
              <a16:creationId xmlns:a16="http://schemas.microsoft.com/office/drawing/2014/main" id="{00000000-0008-0000-0400-000017010000}"/>
            </a:ext>
          </a:extLst>
        </xdr:cNvPr>
        <xdr:cNvSpPr/>
      </xdr:nvSpPr>
      <xdr:spPr>
        <a:xfrm>
          <a:off x="98751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0</xdr:col>
      <xdr:colOff>959783</xdr:colOff>
      <xdr:row>0</xdr:row>
      <xdr:rowOff>0</xdr:rowOff>
    </xdr:from>
    <xdr:ext cx="184731" cy="655885"/>
    <xdr:sp macro="" textlink="">
      <xdr:nvSpPr>
        <xdr:cNvPr id="280" name="Rectángulo 279">
          <a:extLst>
            <a:ext uri="{FF2B5EF4-FFF2-40B4-BE49-F238E27FC236}">
              <a16:creationId xmlns:a16="http://schemas.microsoft.com/office/drawing/2014/main" id="{00000000-0008-0000-0400-000018010000}"/>
            </a:ext>
          </a:extLst>
        </xdr:cNvPr>
        <xdr:cNvSpPr/>
      </xdr:nvSpPr>
      <xdr:spPr>
        <a:xfrm>
          <a:off x="9597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0</xdr:col>
      <xdr:colOff>959783</xdr:colOff>
      <xdr:row>0</xdr:row>
      <xdr:rowOff>0</xdr:rowOff>
    </xdr:from>
    <xdr:ext cx="184731" cy="655885"/>
    <xdr:sp macro="" textlink="">
      <xdr:nvSpPr>
        <xdr:cNvPr id="281" name="Rectángulo 280">
          <a:extLst>
            <a:ext uri="{FF2B5EF4-FFF2-40B4-BE49-F238E27FC236}">
              <a16:creationId xmlns:a16="http://schemas.microsoft.com/office/drawing/2014/main" id="{00000000-0008-0000-0400-000019010000}"/>
            </a:ext>
          </a:extLst>
        </xdr:cNvPr>
        <xdr:cNvSpPr/>
      </xdr:nvSpPr>
      <xdr:spPr>
        <a:xfrm>
          <a:off x="9597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2</xdr:col>
      <xdr:colOff>1066800</xdr:colOff>
      <xdr:row>0</xdr:row>
      <xdr:rowOff>0</xdr:rowOff>
    </xdr:from>
    <xdr:ext cx="0" cy="38100"/>
    <xdr:sp macro="" textlink="">
      <xdr:nvSpPr>
        <xdr:cNvPr id="282" name="CuadroTexto 281">
          <a:extLst>
            <a:ext uri="{FF2B5EF4-FFF2-40B4-BE49-F238E27FC236}">
              <a16:creationId xmlns:a16="http://schemas.microsoft.com/office/drawing/2014/main" id="{00000000-0008-0000-0400-00001A010000}"/>
            </a:ext>
          </a:extLst>
        </xdr:cNvPr>
        <xdr:cNvSpPr txBox="1"/>
      </xdr:nvSpPr>
      <xdr:spPr>
        <a:xfrm flipH="1">
          <a:off x="3295650" y="0"/>
          <a:ext cx="0" cy="38100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lvl="0" algn="ctr"/>
          <a:r>
            <a:rPr lang="es-MX" sz="1200" b="1">
              <a:solidFill>
                <a:sysClr val="windowText" lastClr="000000"/>
              </a:solidFill>
            </a:rPr>
            <a:t>ISLA 9: CAMBIO DE MIX POSICIONES 4, 5, 6 Y 7</a:t>
          </a: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283" name="Rectángulo 8">
          <a:extLst>
            <a:ext uri="{FF2B5EF4-FFF2-40B4-BE49-F238E27FC236}">
              <a16:creationId xmlns:a16="http://schemas.microsoft.com/office/drawing/2014/main" id="{00000000-0008-0000-0400-00001B01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284" name="Rectángulo 8">
          <a:extLst>
            <a:ext uri="{FF2B5EF4-FFF2-40B4-BE49-F238E27FC236}">
              <a16:creationId xmlns:a16="http://schemas.microsoft.com/office/drawing/2014/main" id="{00000000-0008-0000-0400-00001C01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285" name="rect">
          <a:extLst>
            <a:ext uri="{FF2B5EF4-FFF2-40B4-BE49-F238E27FC236}">
              <a16:creationId xmlns:a16="http://schemas.microsoft.com/office/drawing/2014/main" id="{00000000-0008-0000-0400-00001D01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286" name="rect">
          <a:extLst>
            <a:ext uri="{FF2B5EF4-FFF2-40B4-BE49-F238E27FC236}">
              <a16:creationId xmlns:a16="http://schemas.microsoft.com/office/drawing/2014/main" id="{00000000-0008-0000-0400-00001E01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952500</xdr:colOff>
      <xdr:row>0</xdr:row>
      <xdr:rowOff>0</xdr:rowOff>
    </xdr:from>
    <xdr:ext cx="180975" cy="647700"/>
    <xdr:sp macro="" textlink="">
      <xdr:nvSpPr>
        <xdr:cNvPr id="287" name="Rectángulo 286">
          <a:extLst>
            <a:ext uri="{FF2B5EF4-FFF2-40B4-BE49-F238E27FC236}">
              <a16:creationId xmlns:a16="http://schemas.microsoft.com/office/drawing/2014/main" id="{00000000-0008-0000-0400-00001F010000}"/>
            </a:ext>
          </a:extLst>
        </xdr:cNvPr>
        <xdr:cNvSpPr/>
      </xdr:nvSpPr>
      <xdr:spPr>
        <a:xfrm>
          <a:off x="98679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288" name="Rectángulo 8">
          <a:extLst>
            <a:ext uri="{FF2B5EF4-FFF2-40B4-BE49-F238E27FC236}">
              <a16:creationId xmlns:a16="http://schemas.microsoft.com/office/drawing/2014/main" id="{00000000-0008-0000-0400-00002001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289" name="Rectángulo 8">
          <a:extLst>
            <a:ext uri="{FF2B5EF4-FFF2-40B4-BE49-F238E27FC236}">
              <a16:creationId xmlns:a16="http://schemas.microsoft.com/office/drawing/2014/main" id="{00000000-0008-0000-0400-00002101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290" name="rect">
          <a:extLst>
            <a:ext uri="{FF2B5EF4-FFF2-40B4-BE49-F238E27FC236}">
              <a16:creationId xmlns:a16="http://schemas.microsoft.com/office/drawing/2014/main" id="{00000000-0008-0000-0400-00002201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291" name="rect">
          <a:extLst>
            <a:ext uri="{FF2B5EF4-FFF2-40B4-BE49-F238E27FC236}">
              <a16:creationId xmlns:a16="http://schemas.microsoft.com/office/drawing/2014/main" id="{00000000-0008-0000-0400-00002301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952500</xdr:colOff>
      <xdr:row>0</xdr:row>
      <xdr:rowOff>0</xdr:rowOff>
    </xdr:from>
    <xdr:ext cx="180975" cy="647700"/>
    <xdr:sp macro="" textlink="">
      <xdr:nvSpPr>
        <xdr:cNvPr id="292" name="Rectángulo 8">
          <a:extLst>
            <a:ext uri="{FF2B5EF4-FFF2-40B4-BE49-F238E27FC236}">
              <a16:creationId xmlns:a16="http://schemas.microsoft.com/office/drawing/2014/main" id="{00000000-0008-0000-0400-000024010000}"/>
            </a:ext>
          </a:extLst>
        </xdr:cNvPr>
        <xdr:cNvSpPr/>
      </xdr:nvSpPr>
      <xdr:spPr>
        <a:xfrm>
          <a:off x="98679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293" name="Rectángulo 8">
          <a:extLst>
            <a:ext uri="{FF2B5EF4-FFF2-40B4-BE49-F238E27FC236}">
              <a16:creationId xmlns:a16="http://schemas.microsoft.com/office/drawing/2014/main" id="{00000000-0008-0000-0400-00002501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294" name="Rectángulo 8">
          <a:extLst>
            <a:ext uri="{FF2B5EF4-FFF2-40B4-BE49-F238E27FC236}">
              <a16:creationId xmlns:a16="http://schemas.microsoft.com/office/drawing/2014/main" id="{00000000-0008-0000-0400-00002601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295" name="rect">
          <a:extLst>
            <a:ext uri="{FF2B5EF4-FFF2-40B4-BE49-F238E27FC236}">
              <a16:creationId xmlns:a16="http://schemas.microsoft.com/office/drawing/2014/main" id="{00000000-0008-0000-0400-00002701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296" name="rect">
          <a:extLst>
            <a:ext uri="{FF2B5EF4-FFF2-40B4-BE49-F238E27FC236}">
              <a16:creationId xmlns:a16="http://schemas.microsoft.com/office/drawing/2014/main" id="{00000000-0008-0000-0400-00002801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952500</xdr:colOff>
      <xdr:row>0</xdr:row>
      <xdr:rowOff>0</xdr:rowOff>
    </xdr:from>
    <xdr:ext cx="180975" cy="647700"/>
    <xdr:sp macro="" textlink="">
      <xdr:nvSpPr>
        <xdr:cNvPr id="297" name="Rectángulo 296">
          <a:extLst>
            <a:ext uri="{FF2B5EF4-FFF2-40B4-BE49-F238E27FC236}">
              <a16:creationId xmlns:a16="http://schemas.microsoft.com/office/drawing/2014/main" id="{00000000-0008-0000-0400-000029010000}"/>
            </a:ext>
          </a:extLst>
        </xdr:cNvPr>
        <xdr:cNvSpPr/>
      </xdr:nvSpPr>
      <xdr:spPr>
        <a:xfrm>
          <a:off x="98679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298" name="Rectángulo 8">
          <a:extLst>
            <a:ext uri="{FF2B5EF4-FFF2-40B4-BE49-F238E27FC236}">
              <a16:creationId xmlns:a16="http://schemas.microsoft.com/office/drawing/2014/main" id="{00000000-0008-0000-0400-00002A01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299" name="Rectángulo 8">
          <a:extLst>
            <a:ext uri="{FF2B5EF4-FFF2-40B4-BE49-F238E27FC236}">
              <a16:creationId xmlns:a16="http://schemas.microsoft.com/office/drawing/2014/main" id="{00000000-0008-0000-0400-00002B01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300" name="rect">
          <a:extLst>
            <a:ext uri="{FF2B5EF4-FFF2-40B4-BE49-F238E27FC236}">
              <a16:creationId xmlns:a16="http://schemas.microsoft.com/office/drawing/2014/main" id="{00000000-0008-0000-0400-00002C01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301" name="rect">
          <a:extLst>
            <a:ext uri="{FF2B5EF4-FFF2-40B4-BE49-F238E27FC236}">
              <a16:creationId xmlns:a16="http://schemas.microsoft.com/office/drawing/2014/main" id="{00000000-0008-0000-0400-00002D01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952500</xdr:colOff>
      <xdr:row>0</xdr:row>
      <xdr:rowOff>0</xdr:rowOff>
    </xdr:from>
    <xdr:ext cx="180975" cy="647700"/>
    <xdr:sp macro="" textlink="">
      <xdr:nvSpPr>
        <xdr:cNvPr id="302" name="Rectángulo 8">
          <a:extLst>
            <a:ext uri="{FF2B5EF4-FFF2-40B4-BE49-F238E27FC236}">
              <a16:creationId xmlns:a16="http://schemas.microsoft.com/office/drawing/2014/main" id="{00000000-0008-0000-0400-00002E010000}"/>
            </a:ext>
          </a:extLst>
        </xdr:cNvPr>
        <xdr:cNvSpPr/>
      </xdr:nvSpPr>
      <xdr:spPr>
        <a:xfrm>
          <a:off x="98679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303" name="Rectángulo 8">
          <a:extLst>
            <a:ext uri="{FF2B5EF4-FFF2-40B4-BE49-F238E27FC236}">
              <a16:creationId xmlns:a16="http://schemas.microsoft.com/office/drawing/2014/main" id="{00000000-0008-0000-0400-00002F01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304" name="Rectángulo 303">
          <a:extLst>
            <a:ext uri="{FF2B5EF4-FFF2-40B4-BE49-F238E27FC236}">
              <a16:creationId xmlns:a16="http://schemas.microsoft.com/office/drawing/2014/main" id="{00000000-0008-0000-0400-00003001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305" name="rect">
          <a:extLst>
            <a:ext uri="{FF2B5EF4-FFF2-40B4-BE49-F238E27FC236}">
              <a16:creationId xmlns:a16="http://schemas.microsoft.com/office/drawing/2014/main" id="{00000000-0008-0000-0400-00003101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306" name="rect">
          <a:extLst>
            <a:ext uri="{FF2B5EF4-FFF2-40B4-BE49-F238E27FC236}">
              <a16:creationId xmlns:a16="http://schemas.microsoft.com/office/drawing/2014/main" id="{00000000-0008-0000-0400-00003201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952500</xdr:colOff>
      <xdr:row>0</xdr:row>
      <xdr:rowOff>0</xdr:rowOff>
    </xdr:from>
    <xdr:ext cx="180975" cy="647700"/>
    <xdr:sp macro="" textlink="">
      <xdr:nvSpPr>
        <xdr:cNvPr id="307" name="Rectángulo 306">
          <a:extLst>
            <a:ext uri="{FF2B5EF4-FFF2-40B4-BE49-F238E27FC236}">
              <a16:creationId xmlns:a16="http://schemas.microsoft.com/office/drawing/2014/main" id="{00000000-0008-0000-0400-000033010000}"/>
            </a:ext>
          </a:extLst>
        </xdr:cNvPr>
        <xdr:cNvSpPr/>
      </xdr:nvSpPr>
      <xdr:spPr>
        <a:xfrm>
          <a:off x="98679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2</xdr:col>
      <xdr:colOff>1066800</xdr:colOff>
      <xdr:row>0</xdr:row>
      <xdr:rowOff>0</xdr:rowOff>
    </xdr:from>
    <xdr:ext cx="0" cy="38100"/>
    <xdr:sp macro="" textlink="">
      <xdr:nvSpPr>
        <xdr:cNvPr id="308" name="CuadroTexto 307">
          <a:extLst>
            <a:ext uri="{FF2B5EF4-FFF2-40B4-BE49-F238E27FC236}">
              <a16:creationId xmlns:a16="http://schemas.microsoft.com/office/drawing/2014/main" id="{00000000-0008-0000-0400-000034010000}"/>
            </a:ext>
          </a:extLst>
        </xdr:cNvPr>
        <xdr:cNvSpPr txBox="1"/>
      </xdr:nvSpPr>
      <xdr:spPr>
        <a:xfrm flipH="1">
          <a:off x="3295650" y="0"/>
          <a:ext cx="0" cy="38100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lvl="0" algn="ctr"/>
          <a:r>
            <a:rPr lang="es-MX" sz="1200" b="1">
              <a:solidFill>
                <a:sysClr val="windowText" lastClr="000000"/>
              </a:solidFill>
            </a:rPr>
            <a:t>ISLA 9: CAMBIO DE MIX POSICIONES 4, 5, 6 Y 7</a:t>
          </a: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309" name="Rectángulo 8">
          <a:extLst>
            <a:ext uri="{FF2B5EF4-FFF2-40B4-BE49-F238E27FC236}">
              <a16:creationId xmlns:a16="http://schemas.microsoft.com/office/drawing/2014/main" id="{00000000-0008-0000-0400-00003501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310" name="Rectángulo 8">
          <a:extLst>
            <a:ext uri="{FF2B5EF4-FFF2-40B4-BE49-F238E27FC236}">
              <a16:creationId xmlns:a16="http://schemas.microsoft.com/office/drawing/2014/main" id="{00000000-0008-0000-0400-00003601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311" name="rect">
          <a:extLst>
            <a:ext uri="{FF2B5EF4-FFF2-40B4-BE49-F238E27FC236}">
              <a16:creationId xmlns:a16="http://schemas.microsoft.com/office/drawing/2014/main" id="{00000000-0008-0000-0400-00003701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312" name="rect">
          <a:extLst>
            <a:ext uri="{FF2B5EF4-FFF2-40B4-BE49-F238E27FC236}">
              <a16:creationId xmlns:a16="http://schemas.microsoft.com/office/drawing/2014/main" id="{00000000-0008-0000-0400-00003801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952500</xdr:colOff>
      <xdr:row>0</xdr:row>
      <xdr:rowOff>0</xdr:rowOff>
    </xdr:from>
    <xdr:ext cx="180975" cy="647700"/>
    <xdr:sp macro="" textlink="">
      <xdr:nvSpPr>
        <xdr:cNvPr id="313" name="Rectángulo 8">
          <a:extLst>
            <a:ext uri="{FF2B5EF4-FFF2-40B4-BE49-F238E27FC236}">
              <a16:creationId xmlns:a16="http://schemas.microsoft.com/office/drawing/2014/main" id="{00000000-0008-0000-0400-000039010000}"/>
            </a:ext>
          </a:extLst>
        </xdr:cNvPr>
        <xdr:cNvSpPr/>
      </xdr:nvSpPr>
      <xdr:spPr>
        <a:xfrm>
          <a:off x="98679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314" name="Rectángulo 8">
          <a:extLst>
            <a:ext uri="{FF2B5EF4-FFF2-40B4-BE49-F238E27FC236}">
              <a16:creationId xmlns:a16="http://schemas.microsoft.com/office/drawing/2014/main" id="{00000000-0008-0000-0400-00003A01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315" name="Rectángulo 8">
          <a:extLst>
            <a:ext uri="{FF2B5EF4-FFF2-40B4-BE49-F238E27FC236}">
              <a16:creationId xmlns:a16="http://schemas.microsoft.com/office/drawing/2014/main" id="{00000000-0008-0000-0400-00003B01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316" name="rect">
          <a:extLst>
            <a:ext uri="{FF2B5EF4-FFF2-40B4-BE49-F238E27FC236}">
              <a16:creationId xmlns:a16="http://schemas.microsoft.com/office/drawing/2014/main" id="{00000000-0008-0000-0400-00003C01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317" name="rect">
          <a:extLst>
            <a:ext uri="{FF2B5EF4-FFF2-40B4-BE49-F238E27FC236}">
              <a16:creationId xmlns:a16="http://schemas.microsoft.com/office/drawing/2014/main" id="{00000000-0008-0000-0400-00003D01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952500</xdr:colOff>
      <xdr:row>0</xdr:row>
      <xdr:rowOff>0</xdr:rowOff>
    </xdr:from>
    <xdr:ext cx="180975" cy="647700"/>
    <xdr:sp macro="" textlink="">
      <xdr:nvSpPr>
        <xdr:cNvPr id="318" name="Rectángulo 317">
          <a:extLst>
            <a:ext uri="{FF2B5EF4-FFF2-40B4-BE49-F238E27FC236}">
              <a16:creationId xmlns:a16="http://schemas.microsoft.com/office/drawing/2014/main" id="{00000000-0008-0000-0400-00003E010000}"/>
            </a:ext>
          </a:extLst>
        </xdr:cNvPr>
        <xdr:cNvSpPr/>
      </xdr:nvSpPr>
      <xdr:spPr>
        <a:xfrm>
          <a:off x="98679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319" name="Rectángulo 8">
          <a:extLst>
            <a:ext uri="{FF2B5EF4-FFF2-40B4-BE49-F238E27FC236}">
              <a16:creationId xmlns:a16="http://schemas.microsoft.com/office/drawing/2014/main" id="{00000000-0008-0000-0400-00003F01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320" name="Rectángulo 8">
          <a:extLst>
            <a:ext uri="{FF2B5EF4-FFF2-40B4-BE49-F238E27FC236}">
              <a16:creationId xmlns:a16="http://schemas.microsoft.com/office/drawing/2014/main" id="{00000000-0008-0000-0400-00004001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321" name="rect">
          <a:extLst>
            <a:ext uri="{FF2B5EF4-FFF2-40B4-BE49-F238E27FC236}">
              <a16:creationId xmlns:a16="http://schemas.microsoft.com/office/drawing/2014/main" id="{00000000-0008-0000-0400-00004101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322" name="rect">
          <a:extLst>
            <a:ext uri="{FF2B5EF4-FFF2-40B4-BE49-F238E27FC236}">
              <a16:creationId xmlns:a16="http://schemas.microsoft.com/office/drawing/2014/main" id="{00000000-0008-0000-0400-00004201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952500</xdr:colOff>
      <xdr:row>0</xdr:row>
      <xdr:rowOff>0</xdr:rowOff>
    </xdr:from>
    <xdr:ext cx="180975" cy="647700"/>
    <xdr:sp macro="" textlink="">
      <xdr:nvSpPr>
        <xdr:cNvPr id="323" name="Rectángulo 8">
          <a:extLst>
            <a:ext uri="{FF2B5EF4-FFF2-40B4-BE49-F238E27FC236}">
              <a16:creationId xmlns:a16="http://schemas.microsoft.com/office/drawing/2014/main" id="{00000000-0008-0000-0400-000043010000}"/>
            </a:ext>
          </a:extLst>
        </xdr:cNvPr>
        <xdr:cNvSpPr/>
      </xdr:nvSpPr>
      <xdr:spPr>
        <a:xfrm>
          <a:off x="98679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807383</xdr:colOff>
      <xdr:row>0</xdr:row>
      <xdr:rowOff>0</xdr:rowOff>
    </xdr:from>
    <xdr:ext cx="184731" cy="655885"/>
    <xdr:sp macro="" textlink="">
      <xdr:nvSpPr>
        <xdr:cNvPr id="324" name="Rectángulo 8">
          <a:extLst>
            <a:ext uri="{FF2B5EF4-FFF2-40B4-BE49-F238E27FC236}">
              <a16:creationId xmlns:a16="http://schemas.microsoft.com/office/drawing/2014/main" id="{00000000-0008-0000-0400-000044010000}"/>
            </a:ext>
          </a:extLst>
        </xdr:cNvPr>
        <xdr:cNvSpPr/>
      </xdr:nvSpPr>
      <xdr:spPr>
        <a:xfrm>
          <a:off x="97227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0</xdr:row>
      <xdr:rowOff>0</xdr:rowOff>
    </xdr:from>
    <xdr:ext cx="184731" cy="655885"/>
    <xdr:sp macro="" textlink="">
      <xdr:nvSpPr>
        <xdr:cNvPr id="325" name="Rectángulo 8">
          <a:extLst>
            <a:ext uri="{FF2B5EF4-FFF2-40B4-BE49-F238E27FC236}">
              <a16:creationId xmlns:a16="http://schemas.microsoft.com/office/drawing/2014/main" id="{00000000-0008-0000-0400-000045010000}"/>
            </a:ext>
          </a:extLst>
        </xdr:cNvPr>
        <xdr:cNvSpPr/>
      </xdr:nvSpPr>
      <xdr:spPr>
        <a:xfrm>
          <a:off x="97227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959783</xdr:colOff>
      <xdr:row>0</xdr:row>
      <xdr:rowOff>0</xdr:rowOff>
    </xdr:from>
    <xdr:ext cx="184731" cy="655885"/>
    <xdr:sp macro="" textlink="">
      <xdr:nvSpPr>
        <xdr:cNvPr id="326" name="Rectángulo 325">
          <a:extLst>
            <a:ext uri="{FF2B5EF4-FFF2-40B4-BE49-F238E27FC236}">
              <a16:creationId xmlns:a16="http://schemas.microsoft.com/office/drawing/2014/main" id="{00000000-0008-0000-0400-000046010000}"/>
            </a:ext>
          </a:extLst>
        </xdr:cNvPr>
        <xdr:cNvSpPr/>
      </xdr:nvSpPr>
      <xdr:spPr>
        <a:xfrm>
          <a:off x="98751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0</xdr:row>
      <xdr:rowOff>0</xdr:rowOff>
    </xdr:from>
    <xdr:ext cx="184731" cy="655885"/>
    <xdr:sp macro="" textlink="">
      <xdr:nvSpPr>
        <xdr:cNvPr id="327" name="Rectángulo 326">
          <a:extLst>
            <a:ext uri="{FF2B5EF4-FFF2-40B4-BE49-F238E27FC236}">
              <a16:creationId xmlns:a16="http://schemas.microsoft.com/office/drawing/2014/main" id="{00000000-0008-0000-0400-000047010000}"/>
            </a:ext>
          </a:extLst>
        </xdr:cNvPr>
        <xdr:cNvSpPr/>
      </xdr:nvSpPr>
      <xdr:spPr>
        <a:xfrm>
          <a:off x="97227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0</xdr:row>
      <xdr:rowOff>0</xdr:rowOff>
    </xdr:from>
    <xdr:ext cx="184731" cy="655885"/>
    <xdr:sp macro="" textlink="">
      <xdr:nvSpPr>
        <xdr:cNvPr id="328" name="Rectángulo 8">
          <a:extLst>
            <a:ext uri="{FF2B5EF4-FFF2-40B4-BE49-F238E27FC236}">
              <a16:creationId xmlns:a16="http://schemas.microsoft.com/office/drawing/2014/main" id="{00000000-0008-0000-0400-000048010000}"/>
            </a:ext>
          </a:extLst>
        </xdr:cNvPr>
        <xdr:cNvSpPr/>
      </xdr:nvSpPr>
      <xdr:spPr>
        <a:xfrm>
          <a:off x="97227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959783</xdr:colOff>
      <xdr:row>0</xdr:row>
      <xdr:rowOff>0</xdr:rowOff>
    </xdr:from>
    <xdr:ext cx="184731" cy="655885"/>
    <xdr:sp macro="" textlink="">
      <xdr:nvSpPr>
        <xdr:cNvPr id="329" name="Rectángulo 328">
          <a:extLst>
            <a:ext uri="{FF2B5EF4-FFF2-40B4-BE49-F238E27FC236}">
              <a16:creationId xmlns:a16="http://schemas.microsoft.com/office/drawing/2014/main" id="{00000000-0008-0000-0400-000049010000}"/>
            </a:ext>
          </a:extLst>
        </xdr:cNvPr>
        <xdr:cNvSpPr/>
      </xdr:nvSpPr>
      <xdr:spPr>
        <a:xfrm>
          <a:off x="98751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0</xdr:row>
      <xdr:rowOff>0</xdr:rowOff>
    </xdr:from>
    <xdr:ext cx="184731" cy="655885"/>
    <xdr:sp macro="" textlink="">
      <xdr:nvSpPr>
        <xdr:cNvPr id="330" name="Rectángulo 8">
          <a:extLst>
            <a:ext uri="{FF2B5EF4-FFF2-40B4-BE49-F238E27FC236}">
              <a16:creationId xmlns:a16="http://schemas.microsoft.com/office/drawing/2014/main" id="{00000000-0008-0000-0400-00004A010000}"/>
            </a:ext>
          </a:extLst>
        </xdr:cNvPr>
        <xdr:cNvSpPr/>
      </xdr:nvSpPr>
      <xdr:spPr>
        <a:xfrm>
          <a:off x="97227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0</xdr:row>
      <xdr:rowOff>0</xdr:rowOff>
    </xdr:from>
    <xdr:ext cx="184731" cy="655885"/>
    <xdr:sp macro="" textlink="">
      <xdr:nvSpPr>
        <xdr:cNvPr id="331" name="Rectángulo 8">
          <a:extLst>
            <a:ext uri="{FF2B5EF4-FFF2-40B4-BE49-F238E27FC236}">
              <a16:creationId xmlns:a16="http://schemas.microsoft.com/office/drawing/2014/main" id="{00000000-0008-0000-0400-00004B010000}"/>
            </a:ext>
          </a:extLst>
        </xdr:cNvPr>
        <xdr:cNvSpPr/>
      </xdr:nvSpPr>
      <xdr:spPr>
        <a:xfrm>
          <a:off x="97227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959783</xdr:colOff>
      <xdr:row>0</xdr:row>
      <xdr:rowOff>0</xdr:rowOff>
    </xdr:from>
    <xdr:ext cx="184731" cy="655885"/>
    <xdr:sp macro="" textlink="">
      <xdr:nvSpPr>
        <xdr:cNvPr id="332" name="Rectángulo 331">
          <a:extLst>
            <a:ext uri="{FF2B5EF4-FFF2-40B4-BE49-F238E27FC236}">
              <a16:creationId xmlns:a16="http://schemas.microsoft.com/office/drawing/2014/main" id="{00000000-0008-0000-0400-00004C010000}"/>
            </a:ext>
          </a:extLst>
        </xdr:cNvPr>
        <xdr:cNvSpPr/>
      </xdr:nvSpPr>
      <xdr:spPr>
        <a:xfrm>
          <a:off x="98751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0</xdr:row>
      <xdr:rowOff>0</xdr:rowOff>
    </xdr:from>
    <xdr:ext cx="184731" cy="655885"/>
    <xdr:sp macro="" textlink="">
      <xdr:nvSpPr>
        <xdr:cNvPr id="333" name="Rectángulo 332">
          <a:extLst>
            <a:ext uri="{FF2B5EF4-FFF2-40B4-BE49-F238E27FC236}">
              <a16:creationId xmlns:a16="http://schemas.microsoft.com/office/drawing/2014/main" id="{00000000-0008-0000-0400-00004D010000}"/>
            </a:ext>
          </a:extLst>
        </xdr:cNvPr>
        <xdr:cNvSpPr/>
      </xdr:nvSpPr>
      <xdr:spPr>
        <a:xfrm>
          <a:off x="97227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0</xdr:row>
      <xdr:rowOff>0</xdr:rowOff>
    </xdr:from>
    <xdr:ext cx="184731" cy="655885"/>
    <xdr:sp macro="" textlink="">
      <xdr:nvSpPr>
        <xdr:cNvPr id="334" name="Rectángulo 8">
          <a:extLst>
            <a:ext uri="{FF2B5EF4-FFF2-40B4-BE49-F238E27FC236}">
              <a16:creationId xmlns:a16="http://schemas.microsoft.com/office/drawing/2014/main" id="{00000000-0008-0000-0400-00004E010000}"/>
            </a:ext>
          </a:extLst>
        </xdr:cNvPr>
        <xdr:cNvSpPr/>
      </xdr:nvSpPr>
      <xdr:spPr>
        <a:xfrm>
          <a:off x="97227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959783</xdr:colOff>
      <xdr:row>0</xdr:row>
      <xdr:rowOff>0</xdr:rowOff>
    </xdr:from>
    <xdr:ext cx="184731" cy="655885"/>
    <xdr:sp macro="" textlink="">
      <xdr:nvSpPr>
        <xdr:cNvPr id="335" name="Rectángulo 334">
          <a:extLst>
            <a:ext uri="{FF2B5EF4-FFF2-40B4-BE49-F238E27FC236}">
              <a16:creationId xmlns:a16="http://schemas.microsoft.com/office/drawing/2014/main" id="{00000000-0008-0000-0400-00004F010000}"/>
            </a:ext>
          </a:extLst>
        </xdr:cNvPr>
        <xdr:cNvSpPr/>
      </xdr:nvSpPr>
      <xdr:spPr>
        <a:xfrm>
          <a:off x="98751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0</xdr:col>
      <xdr:colOff>959783</xdr:colOff>
      <xdr:row>0</xdr:row>
      <xdr:rowOff>0</xdr:rowOff>
    </xdr:from>
    <xdr:ext cx="184731" cy="655885"/>
    <xdr:sp macro="" textlink="">
      <xdr:nvSpPr>
        <xdr:cNvPr id="336" name="Rectángulo 335">
          <a:extLst>
            <a:ext uri="{FF2B5EF4-FFF2-40B4-BE49-F238E27FC236}">
              <a16:creationId xmlns:a16="http://schemas.microsoft.com/office/drawing/2014/main" id="{00000000-0008-0000-0400-000050010000}"/>
            </a:ext>
          </a:extLst>
        </xdr:cNvPr>
        <xdr:cNvSpPr/>
      </xdr:nvSpPr>
      <xdr:spPr>
        <a:xfrm>
          <a:off x="9597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0</xdr:col>
      <xdr:colOff>959783</xdr:colOff>
      <xdr:row>0</xdr:row>
      <xdr:rowOff>0</xdr:rowOff>
    </xdr:from>
    <xdr:ext cx="184731" cy="655885"/>
    <xdr:sp macro="" textlink="">
      <xdr:nvSpPr>
        <xdr:cNvPr id="337" name="Rectángulo 336">
          <a:extLst>
            <a:ext uri="{FF2B5EF4-FFF2-40B4-BE49-F238E27FC236}">
              <a16:creationId xmlns:a16="http://schemas.microsoft.com/office/drawing/2014/main" id="{00000000-0008-0000-0400-000051010000}"/>
            </a:ext>
          </a:extLst>
        </xdr:cNvPr>
        <xdr:cNvSpPr/>
      </xdr:nvSpPr>
      <xdr:spPr>
        <a:xfrm>
          <a:off x="9597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2</xdr:col>
      <xdr:colOff>1066800</xdr:colOff>
      <xdr:row>0</xdr:row>
      <xdr:rowOff>0</xdr:rowOff>
    </xdr:from>
    <xdr:ext cx="0" cy="38100"/>
    <xdr:sp macro="" textlink="">
      <xdr:nvSpPr>
        <xdr:cNvPr id="338" name="CuadroTexto 337">
          <a:extLst>
            <a:ext uri="{FF2B5EF4-FFF2-40B4-BE49-F238E27FC236}">
              <a16:creationId xmlns:a16="http://schemas.microsoft.com/office/drawing/2014/main" id="{00000000-0008-0000-0400-000052010000}"/>
            </a:ext>
          </a:extLst>
        </xdr:cNvPr>
        <xdr:cNvSpPr txBox="1"/>
      </xdr:nvSpPr>
      <xdr:spPr>
        <a:xfrm flipH="1">
          <a:off x="3295650" y="0"/>
          <a:ext cx="0" cy="38100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lvl="0" algn="ctr"/>
          <a:r>
            <a:rPr lang="es-MX" sz="1200" b="1">
              <a:solidFill>
                <a:sysClr val="windowText" lastClr="000000"/>
              </a:solidFill>
            </a:rPr>
            <a:t>ISLA 9: CAMBIO DE MIX POSICIONES 4, 5, 6 Y 7</a:t>
          </a: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339" name="Rectángulo 8">
          <a:extLst>
            <a:ext uri="{FF2B5EF4-FFF2-40B4-BE49-F238E27FC236}">
              <a16:creationId xmlns:a16="http://schemas.microsoft.com/office/drawing/2014/main" id="{00000000-0008-0000-0400-00005301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340" name="Rectángulo 8">
          <a:extLst>
            <a:ext uri="{FF2B5EF4-FFF2-40B4-BE49-F238E27FC236}">
              <a16:creationId xmlns:a16="http://schemas.microsoft.com/office/drawing/2014/main" id="{00000000-0008-0000-0400-00005401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341" name="rect">
          <a:extLst>
            <a:ext uri="{FF2B5EF4-FFF2-40B4-BE49-F238E27FC236}">
              <a16:creationId xmlns:a16="http://schemas.microsoft.com/office/drawing/2014/main" id="{00000000-0008-0000-0400-00005501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342" name="rect">
          <a:extLst>
            <a:ext uri="{FF2B5EF4-FFF2-40B4-BE49-F238E27FC236}">
              <a16:creationId xmlns:a16="http://schemas.microsoft.com/office/drawing/2014/main" id="{00000000-0008-0000-0400-00005601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952500</xdr:colOff>
      <xdr:row>0</xdr:row>
      <xdr:rowOff>0</xdr:rowOff>
    </xdr:from>
    <xdr:ext cx="180975" cy="647700"/>
    <xdr:sp macro="" textlink="">
      <xdr:nvSpPr>
        <xdr:cNvPr id="343" name="Rectángulo 342">
          <a:extLst>
            <a:ext uri="{FF2B5EF4-FFF2-40B4-BE49-F238E27FC236}">
              <a16:creationId xmlns:a16="http://schemas.microsoft.com/office/drawing/2014/main" id="{00000000-0008-0000-0400-000057010000}"/>
            </a:ext>
          </a:extLst>
        </xdr:cNvPr>
        <xdr:cNvSpPr/>
      </xdr:nvSpPr>
      <xdr:spPr>
        <a:xfrm>
          <a:off x="98679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344" name="Rectángulo 8">
          <a:extLst>
            <a:ext uri="{FF2B5EF4-FFF2-40B4-BE49-F238E27FC236}">
              <a16:creationId xmlns:a16="http://schemas.microsoft.com/office/drawing/2014/main" id="{00000000-0008-0000-0400-00005801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345" name="Rectángulo 344">
          <a:extLst>
            <a:ext uri="{FF2B5EF4-FFF2-40B4-BE49-F238E27FC236}">
              <a16:creationId xmlns:a16="http://schemas.microsoft.com/office/drawing/2014/main" id="{00000000-0008-0000-0400-00005901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346" name="rect">
          <a:extLst>
            <a:ext uri="{FF2B5EF4-FFF2-40B4-BE49-F238E27FC236}">
              <a16:creationId xmlns:a16="http://schemas.microsoft.com/office/drawing/2014/main" id="{00000000-0008-0000-0400-00005A01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347" name="rect">
          <a:extLst>
            <a:ext uri="{FF2B5EF4-FFF2-40B4-BE49-F238E27FC236}">
              <a16:creationId xmlns:a16="http://schemas.microsoft.com/office/drawing/2014/main" id="{00000000-0008-0000-0400-00005B01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952500</xdr:colOff>
      <xdr:row>0</xdr:row>
      <xdr:rowOff>0</xdr:rowOff>
    </xdr:from>
    <xdr:ext cx="180975" cy="647700"/>
    <xdr:sp macro="" textlink="">
      <xdr:nvSpPr>
        <xdr:cNvPr id="348" name="Rectángulo 8">
          <a:extLst>
            <a:ext uri="{FF2B5EF4-FFF2-40B4-BE49-F238E27FC236}">
              <a16:creationId xmlns:a16="http://schemas.microsoft.com/office/drawing/2014/main" id="{00000000-0008-0000-0400-00005C010000}"/>
            </a:ext>
          </a:extLst>
        </xdr:cNvPr>
        <xdr:cNvSpPr/>
      </xdr:nvSpPr>
      <xdr:spPr>
        <a:xfrm>
          <a:off x="98679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349" name="Rectángulo 8">
          <a:extLst>
            <a:ext uri="{FF2B5EF4-FFF2-40B4-BE49-F238E27FC236}">
              <a16:creationId xmlns:a16="http://schemas.microsoft.com/office/drawing/2014/main" id="{00000000-0008-0000-0400-00005D01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350" name="Rectángulo 8">
          <a:extLst>
            <a:ext uri="{FF2B5EF4-FFF2-40B4-BE49-F238E27FC236}">
              <a16:creationId xmlns:a16="http://schemas.microsoft.com/office/drawing/2014/main" id="{00000000-0008-0000-0400-00005E01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351" name="rect">
          <a:extLst>
            <a:ext uri="{FF2B5EF4-FFF2-40B4-BE49-F238E27FC236}">
              <a16:creationId xmlns:a16="http://schemas.microsoft.com/office/drawing/2014/main" id="{00000000-0008-0000-0400-00005F01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352" name="rect">
          <a:extLst>
            <a:ext uri="{FF2B5EF4-FFF2-40B4-BE49-F238E27FC236}">
              <a16:creationId xmlns:a16="http://schemas.microsoft.com/office/drawing/2014/main" id="{00000000-0008-0000-0400-00006001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952500</xdr:colOff>
      <xdr:row>0</xdr:row>
      <xdr:rowOff>0</xdr:rowOff>
    </xdr:from>
    <xdr:ext cx="180975" cy="647700"/>
    <xdr:sp macro="" textlink="">
      <xdr:nvSpPr>
        <xdr:cNvPr id="353" name="Rectángulo 352">
          <a:extLst>
            <a:ext uri="{FF2B5EF4-FFF2-40B4-BE49-F238E27FC236}">
              <a16:creationId xmlns:a16="http://schemas.microsoft.com/office/drawing/2014/main" id="{00000000-0008-0000-0400-000061010000}"/>
            </a:ext>
          </a:extLst>
        </xdr:cNvPr>
        <xdr:cNvSpPr/>
      </xdr:nvSpPr>
      <xdr:spPr>
        <a:xfrm>
          <a:off x="98679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354" name="Rectángulo 8">
          <a:extLst>
            <a:ext uri="{FF2B5EF4-FFF2-40B4-BE49-F238E27FC236}">
              <a16:creationId xmlns:a16="http://schemas.microsoft.com/office/drawing/2014/main" id="{00000000-0008-0000-0400-00006201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355" name="Rectángulo 8">
          <a:extLst>
            <a:ext uri="{FF2B5EF4-FFF2-40B4-BE49-F238E27FC236}">
              <a16:creationId xmlns:a16="http://schemas.microsoft.com/office/drawing/2014/main" id="{00000000-0008-0000-0400-00006301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356" name="rect">
          <a:extLst>
            <a:ext uri="{FF2B5EF4-FFF2-40B4-BE49-F238E27FC236}">
              <a16:creationId xmlns:a16="http://schemas.microsoft.com/office/drawing/2014/main" id="{00000000-0008-0000-0400-00006401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357" name="rect">
          <a:extLst>
            <a:ext uri="{FF2B5EF4-FFF2-40B4-BE49-F238E27FC236}">
              <a16:creationId xmlns:a16="http://schemas.microsoft.com/office/drawing/2014/main" id="{00000000-0008-0000-0400-00006501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952500</xdr:colOff>
      <xdr:row>0</xdr:row>
      <xdr:rowOff>0</xdr:rowOff>
    </xdr:from>
    <xdr:ext cx="180975" cy="647700"/>
    <xdr:sp macro="" textlink="">
      <xdr:nvSpPr>
        <xdr:cNvPr id="358" name="Rectángulo 8">
          <a:extLst>
            <a:ext uri="{FF2B5EF4-FFF2-40B4-BE49-F238E27FC236}">
              <a16:creationId xmlns:a16="http://schemas.microsoft.com/office/drawing/2014/main" id="{00000000-0008-0000-0400-000066010000}"/>
            </a:ext>
          </a:extLst>
        </xdr:cNvPr>
        <xdr:cNvSpPr/>
      </xdr:nvSpPr>
      <xdr:spPr>
        <a:xfrm>
          <a:off x="98679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359" name="Rectángulo 8">
          <a:extLst>
            <a:ext uri="{FF2B5EF4-FFF2-40B4-BE49-F238E27FC236}">
              <a16:creationId xmlns:a16="http://schemas.microsoft.com/office/drawing/2014/main" id="{00000000-0008-0000-0400-00006701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360" name="Rectángulo 359">
          <a:extLst>
            <a:ext uri="{FF2B5EF4-FFF2-40B4-BE49-F238E27FC236}">
              <a16:creationId xmlns:a16="http://schemas.microsoft.com/office/drawing/2014/main" id="{00000000-0008-0000-0400-00006801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361" name="rect">
          <a:extLst>
            <a:ext uri="{FF2B5EF4-FFF2-40B4-BE49-F238E27FC236}">
              <a16:creationId xmlns:a16="http://schemas.microsoft.com/office/drawing/2014/main" id="{00000000-0008-0000-0400-00006901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362" name="rect">
          <a:extLst>
            <a:ext uri="{FF2B5EF4-FFF2-40B4-BE49-F238E27FC236}">
              <a16:creationId xmlns:a16="http://schemas.microsoft.com/office/drawing/2014/main" id="{00000000-0008-0000-0400-00006A01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952500</xdr:colOff>
      <xdr:row>0</xdr:row>
      <xdr:rowOff>0</xdr:rowOff>
    </xdr:from>
    <xdr:ext cx="180975" cy="647700"/>
    <xdr:sp macro="" textlink="">
      <xdr:nvSpPr>
        <xdr:cNvPr id="363" name="Rectángulo 362">
          <a:extLst>
            <a:ext uri="{FF2B5EF4-FFF2-40B4-BE49-F238E27FC236}">
              <a16:creationId xmlns:a16="http://schemas.microsoft.com/office/drawing/2014/main" id="{00000000-0008-0000-0400-00006B010000}"/>
            </a:ext>
          </a:extLst>
        </xdr:cNvPr>
        <xdr:cNvSpPr/>
      </xdr:nvSpPr>
      <xdr:spPr>
        <a:xfrm>
          <a:off x="98679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2</xdr:col>
      <xdr:colOff>1066800</xdr:colOff>
      <xdr:row>0</xdr:row>
      <xdr:rowOff>0</xdr:rowOff>
    </xdr:from>
    <xdr:ext cx="0" cy="38100"/>
    <xdr:sp macro="" textlink="">
      <xdr:nvSpPr>
        <xdr:cNvPr id="364" name="CuadroTexto 363">
          <a:extLst>
            <a:ext uri="{FF2B5EF4-FFF2-40B4-BE49-F238E27FC236}">
              <a16:creationId xmlns:a16="http://schemas.microsoft.com/office/drawing/2014/main" id="{00000000-0008-0000-0400-00006C010000}"/>
            </a:ext>
          </a:extLst>
        </xdr:cNvPr>
        <xdr:cNvSpPr txBox="1"/>
      </xdr:nvSpPr>
      <xdr:spPr>
        <a:xfrm flipH="1">
          <a:off x="3295650" y="0"/>
          <a:ext cx="0" cy="38100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lvl="0" algn="ctr"/>
          <a:r>
            <a:rPr lang="es-MX" sz="1200" b="1">
              <a:solidFill>
                <a:sysClr val="windowText" lastClr="000000"/>
              </a:solidFill>
            </a:rPr>
            <a:t>ISLA 9: CAMBIO DE MIX POSICIONES 4, 5, 6 Y 7</a:t>
          </a: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365" name="Rectángulo 8">
          <a:extLst>
            <a:ext uri="{FF2B5EF4-FFF2-40B4-BE49-F238E27FC236}">
              <a16:creationId xmlns:a16="http://schemas.microsoft.com/office/drawing/2014/main" id="{00000000-0008-0000-0400-00006D01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366" name="Rectángulo 8">
          <a:extLst>
            <a:ext uri="{FF2B5EF4-FFF2-40B4-BE49-F238E27FC236}">
              <a16:creationId xmlns:a16="http://schemas.microsoft.com/office/drawing/2014/main" id="{00000000-0008-0000-0400-00006E01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367" name="rect">
          <a:extLst>
            <a:ext uri="{FF2B5EF4-FFF2-40B4-BE49-F238E27FC236}">
              <a16:creationId xmlns:a16="http://schemas.microsoft.com/office/drawing/2014/main" id="{00000000-0008-0000-0400-00006F01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368" name="rect">
          <a:extLst>
            <a:ext uri="{FF2B5EF4-FFF2-40B4-BE49-F238E27FC236}">
              <a16:creationId xmlns:a16="http://schemas.microsoft.com/office/drawing/2014/main" id="{00000000-0008-0000-0400-00007001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952500</xdr:colOff>
      <xdr:row>0</xdr:row>
      <xdr:rowOff>0</xdr:rowOff>
    </xdr:from>
    <xdr:ext cx="180975" cy="647700"/>
    <xdr:sp macro="" textlink="">
      <xdr:nvSpPr>
        <xdr:cNvPr id="369" name="Rectángulo 8">
          <a:extLst>
            <a:ext uri="{FF2B5EF4-FFF2-40B4-BE49-F238E27FC236}">
              <a16:creationId xmlns:a16="http://schemas.microsoft.com/office/drawing/2014/main" id="{00000000-0008-0000-0400-000071010000}"/>
            </a:ext>
          </a:extLst>
        </xdr:cNvPr>
        <xdr:cNvSpPr/>
      </xdr:nvSpPr>
      <xdr:spPr>
        <a:xfrm>
          <a:off x="98679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370" name="Rectángulo 8">
          <a:extLst>
            <a:ext uri="{FF2B5EF4-FFF2-40B4-BE49-F238E27FC236}">
              <a16:creationId xmlns:a16="http://schemas.microsoft.com/office/drawing/2014/main" id="{00000000-0008-0000-0400-00007201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371" name="Rectángulo 8">
          <a:extLst>
            <a:ext uri="{FF2B5EF4-FFF2-40B4-BE49-F238E27FC236}">
              <a16:creationId xmlns:a16="http://schemas.microsoft.com/office/drawing/2014/main" id="{00000000-0008-0000-0400-00007301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372" name="rect">
          <a:extLst>
            <a:ext uri="{FF2B5EF4-FFF2-40B4-BE49-F238E27FC236}">
              <a16:creationId xmlns:a16="http://schemas.microsoft.com/office/drawing/2014/main" id="{00000000-0008-0000-0400-00007401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373" name="rect">
          <a:extLst>
            <a:ext uri="{FF2B5EF4-FFF2-40B4-BE49-F238E27FC236}">
              <a16:creationId xmlns:a16="http://schemas.microsoft.com/office/drawing/2014/main" id="{00000000-0008-0000-0400-00007501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952500</xdr:colOff>
      <xdr:row>0</xdr:row>
      <xdr:rowOff>0</xdr:rowOff>
    </xdr:from>
    <xdr:ext cx="180975" cy="647700"/>
    <xdr:sp macro="" textlink="">
      <xdr:nvSpPr>
        <xdr:cNvPr id="374" name="Rectángulo 373">
          <a:extLst>
            <a:ext uri="{FF2B5EF4-FFF2-40B4-BE49-F238E27FC236}">
              <a16:creationId xmlns:a16="http://schemas.microsoft.com/office/drawing/2014/main" id="{00000000-0008-0000-0400-000076010000}"/>
            </a:ext>
          </a:extLst>
        </xdr:cNvPr>
        <xdr:cNvSpPr/>
      </xdr:nvSpPr>
      <xdr:spPr>
        <a:xfrm>
          <a:off x="98679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375" name="Rectángulo 8">
          <a:extLst>
            <a:ext uri="{FF2B5EF4-FFF2-40B4-BE49-F238E27FC236}">
              <a16:creationId xmlns:a16="http://schemas.microsoft.com/office/drawing/2014/main" id="{00000000-0008-0000-0400-00007701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376" name="Rectángulo 8">
          <a:extLst>
            <a:ext uri="{FF2B5EF4-FFF2-40B4-BE49-F238E27FC236}">
              <a16:creationId xmlns:a16="http://schemas.microsoft.com/office/drawing/2014/main" id="{00000000-0008-0000-0400-00007801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377" name="rect">
          <a:extLst>
            <a:ext uri="{FF2B5EF4-FFF2-40B4-BE49-F238E27FC236}">
              <a16:creationId xmlns:a16="http://schemas.microsoft.com/office/drawing/2014/main" id="{00000000-0008-0000-0400-00007901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378" name="rect">
          <a:extLst>
            <a:ext uri="{FF2B5EF4-FFF2-40B4-BE49-F238E27FC236}">
              <a16:creationId xmlns:a16="http://schemas.microsoft.com/office/drawing/2014/main" id="{00000000-0008-0000-0400-00007A01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952500</xdr:colOff>
      <xdr:row>0</xdr:row>
      <xdr:rowOff>0</xdr:rowOff>
    </xdr:from>
    <xdr:ext cx="180975" cy="647700"/>
    <xdr:sp macro="" textlink="">
      <xdr:nvSpPr>
        <xdr:cNvPr id="379" name="Rectángulo 8">
          <a:extLst>
            <a:ext uri="{FF2B5EF4-FFF2-40B4-BE49-F238E27FC236}">
              <a16:creationId xmlns:a16="http://schemas.microsoft.com/office/drawing/2014/main" id="{00000000-0008-0000-0400-00007B010000}"/>
            </a:ext>
          </a:extLst>
        </xdr:cNvPr>
        <xdr:cNvSpPr/>
      </xdr:nvSpPr>
      <xdr:spPr>
        <a:xfrm>
          <a:off x="98679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807383</xdr:colOff>
      <xdr:row>0</xdr:row>
      <xdr:rowOff>0</xdr:rowOff>
    </xdr:from>
    <xdr:ext cx="184731" cy="655885"/>
    <xdr:sp macro="" textlink="">
      <xdr:nvSpPr>
        <xdr:cNvPr id="380" name="Rectángulo 8">
          <a:extLst>
            <a:ext uri="{FF2B5EF4-FFF2-40B4-BE49-F238E27FC236}">
              <a16:creationId xmlns:a16="http://schemas.microsoft.com/office/drawing/2014/main" id="{00000000-0008-0000-0400-00007C010000}"/>
            </a:ext>
          </a:extLst>
        </xdr:cNvPr>
        <xdr:cNvSpPr/>
      </xdr:nvSpPr>
      <xdr:spPr>
        <a:xfrm>
          <a:off x="97227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0</xdr:row>
      <xdr:rowOff>0</xdr:rowOff>
    </xdr:from>
    <xdr:ext cx="184731" cy="655885"/>
    <xdr:sp macro="" textlink="">
      <xdr:nvSpPr>
        <xdr:cNvPr id="381" name="Rectángulo 8">
          <a:extLst>
            <a:ext uri="{FF2B5EF4-FFF2-40B4-BE49-F238E27FC236}">
              <a16:creationId xmlns:a16="http://schemas.microsoft.com/office/drawing/2014/main" id="{00000000-0008-0000-0400-00007D010000}"/>
            </a:ext>
          </a:extLst>
        </xdr:cNvPr>
        <xdr:cNvSpPr/>
      </xdr:nvSpPr>
      <xdr:spPr>
        <a:xfrm>
          <a:off x="97227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959783</xdr:colOff>
      <xdr:row>0</xdr:row>
      <xdr:rowOff>0</xdr:rowOff>
    </xdr:from>
    <xdr:ext cx="184731" cy="655885"/>
    <xdr:sp macro="" textlink="">
      <xdr:nvSpPr>
        <xdr:cNvPr id="382" name="Rectángulo 381">
          <a:extLst>
            <a:ext uri="{FF2B5EF4-FFF2-40B4-BE49-F238E27FC236}">
              <a16:creationId xmlns:a16="http://schemas.microsoft.com/office/drawing/2014/main" id="{00000000-0008-0000-0400-00007E010000}"/>
            </a:ext>
          </a:extLst>
        </xdr:cNvPr>
        <xdr:cNvSpPr/>
      </xdr:nvSpPr>
      <xdr:spPr>
        <a:xfrm>
          <a:off x="98751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0</xdr:row>
      <xdr:rowOff>0</xdr:rowOff>
    </xdr:from>
    <xdr:ext cx="184731" cy="655885"/>
    <xdr:sp macro="" textlink="">
      <xdr:nvSpPr>
        <xdr:cNvPr id="383" name="Rectángulo 382">
          <a:extLst>
            <a:ext uri="{FF2B5EF4-FFF2-40B4-BE49-F238E27FC236}">
              <a16:creationId xmlns:a16="http://schemas.microsoft.com/office/drawing/2014/main" id="{00000000-0008-0000-0400-00007F010000}"/>
            </a:ext>
          </a:extLst>
        </xdr:cNvPr>
        <xdr:cNvSpPr/>
      </xdr:nvSpPr>
      <xdr:spPr>
        <a:xfrm>
          <a:off x="97227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0</xdr:row>
      <xdr:rowOff>0</xdr:rowOff>
    </xdr:from>
    <xdr:ext cx="184731" cy="655885"/>
    <xdr:sp macro="" textlink="">
      <xdr:nvSpPr>
        <xdr:cNvPr id="384" name="Rectángulo 8">
          <a:extLst>
            <a:ext uri="{FF2B5EF4-FFF2-40B4-BE49-F238E27FC236}">
              <a16:creationId xmlns:a16="http://schemas.microsoft.com/office/drawing/2014/main" id="{00000000-0008-0000-0400-000080010000}"/>
            </a:ext>
          </a:extLst>
        </xdr:cNvPr>
        <xdr:cNvSpPr/>
      </xdr:nvSpPr>
      <xdr:spPr>
        <a:xfrm>
          <a:off x="97227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959783</xdr:colOff>
      <xdr:row>0</xdr:row>
      <xdr:rowOff>0</xdr:rowOff>
    </xdr:from>
    <xdr:ext cx="184731" cy="655885"/>
    <xdr:sp macro="" textlink="">
      <xdr:nvSpPr>
        <xdr:cNvPr id="385" name="Rectángulo 384">
          <a:extLst>
            <a:ext uri="{FF2B5EF4-FFF2-40B4-BE49-F238E27FC236}">
              <a16:creationId xmlns:a16="http://schemas.microsoft.com/office/drawing/2014/main" id="{00000000-0008-0000-0400-000081010000}"/>
            </a:ext>
          </a:extLst>
        </xdr:cNvPr>
        <xdr:cNvSpPr/>
      </xdr:nvSpPr>
      <xdr:spPr>
        <a:xfrm>
          <a:off x="98751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0</xdr:row>
      <xdr:rowOff>0</xdr:rowOff>
    </xdr:from>
    <xdr:ext cx="184731" cy="655885"/>
    <xdr:sp macro="" textlink="">
      <xdr:nvSpPr>
        <xdr:cNvPr id="386" name="Rectángulo 8">
          <a:extLst>
            <a:ext uri="{FF2B5EF4-FFF2-40B4-BE49-F238E27FC236}">
              <a16:creationId xmlns:a16="http://schemas.microsoft.com/office/drawing/2014/main" id="{00000000-0008-0000-0400-000082010000}"/>
            </a:ext>
          </a:extLst>
        </xdr:cNvPr>
        <xdr:cNvSpPr/>
      </xdr:nvSpPr>
      <xdr:spPr>
        <a:xfrm>
          <a:off x="97227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0</xdr:row>
      <xdr:rowOff>0</xdr:rowOff>
    </xdr:from>
    <xdr:ext cx="184731" cy="655885"/>
    <xdr:sp macro="" textlink="">
      <xdr:nvSpPr>
        <xdr:cNvPr id="387" name="Rectángulo 8">
          <a:extLst>
            <a:ext uri="{FF2B5EF4-FFF2-40B4-BE49-F238E27FC236}">
              <a16:creationId xmlns:a16="http://schemas.microsoft.com/office/drawing/2014/main" id="{00000000-0008-0000-0400-000083010000}"/>
            </a:ext>
          </a:extLst>
        </xdr:cNvPr>
        <xdr:cNvSpPr/>
      </xdr:nvSpPr>
      <xdr:spPr>
        <a:xfrm>
          <a:off x="97227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959783</xdr:colOff>
      <xdr:row>0</xdr:row>
      <xdr:rowOff>0</xdr:rowOff>
    </xdr:from>
    <xdr:ext cx="184731" cy="655885"/>
    <xdr:sp macro="" textlink="">
      <xdr:nvSpPr>
        <xdr:cNvPr id="388" name="Rectángulo 387">
          <a:extLst>
            <a:ext uri="{FF2B5EF4-FFF2-40B4-BE49-F238E27FC236}">
              <a16:creationId xmlns:a16="http://schemas.microsoft.com/office/drawing/2014/main" id="{00000000-0008-0000-0400-000084010000}"/>
            </a:ext>
          </a:extLst>
        </xdr:cNvPr>
        <xdr:cNvSpPr/>
      </xdr:nvSpPr>
      <xdr:spPr>
        <a:xfrm>
          <a:off x="98751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0</xdr:row>
      <xdr:rowOff>0</xdr:rowOff>
    </xdr:from>
    <xdr:ext cx="184731" cy="655885"/>
    <xdr:sp macro="" textlink="">
      <xdr:nvSpPr>
        <xdr:cNvPr id="389" name="Rectángulo 388">
          <a:extLst>
            <a:ext uri="{FF2B5EF4-FFF2-40B4-BE49-F238E27FC236}">
              <a16:creationId xmlns:a16="http://schemas.microsoft.com/office/drawing/2014/main" id="{00000000-0008-0000-0400-000085010000}"/>
            </a:ext>
          </a:extLst>
        </xdr:cNvPr>
        <xdr:cNvSpPr/>
      </xdr:nvSpPr>
      <xdr:spPr>
        <a:xfrm>
          <a:off x="97227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0</xdr:row>
      <xdr:rowOff>0</xdr:rowOff>
    </xdr:from>
    <xdr:ext cx="184731" cy="655885"/>
    <xdr:sp macro="" textlink="">
      <xdr:nvSpPr>
        <xdr:cNvPr id="390" name="Rectángulo 8">
          <a:extLst>
            <a:ext uri="{FF2B5EF4-FFF2-40B4-BE49-F238E27FC236}">
              <a16:creationId xmlns:a16="http://schemas.microsoft.com/office/drawing/2014/main" id="{00000000-0008-0000-0400-000086010000}"/>
            </a:ext>
          </a:extLst>
        </xdr:cNvPr>
        <xdr:cNvSpPr/>
      </xdr:nvSpPr>
      <xdr:spPr>
        <a:xfrm>
          <a:off x="97227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959783</xdr:colOff>
      <xdr:row>0</xdr:row>
      <xdr:rowOff>0</xdr:rowOff>
    </xdr:from>
    <xdr:ext cx="184731" cy="655885"/>
    <xdr:sp macro="" textlink="">
      <xdr:nvSpPr>
        <xdr:cNvPr id="391" name="Rectángulo 390">
          <a:extLst>
            <a:ext uri="{FF2B5EF4-FFF2-40B4-BE49-F238E27FC236}">
              <a16:creationId xmlns:a16="http://schemas.microsoft.com/office/drawing/2014/main" id="{00000000-0008-0000-0400-000087010000}"/>
            </a:ext>
          </a:extLst>
        </xdr:cNvPr>
        <xdr:cNvSpPr/>
      </xdr:nvSpPr>
      <xdr:spPr>
        <a:xfrm>
          <a:off x="98751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0</xdr:col>
      <xdr:colOff>959783</xdr:colOff>
      <xdr:row>0</xdr:row>
      <xdr:rowOff>0</xdr:rowOff>
    </xdr:from>
    <xdr:ext cx="184731" cy="655885"/>
    <xdr:sp macro="" textlink="">
      <xdr:nvSpPr>
        <xdr:cNvPr id="392" name="Rectángulo 391">
          <a:extLst>
            <a:ext uri="{FF2B5EF4-FFF2-40B4-BE49-F238E27FC236}">
              <a16:creationId xmlns:a16="http://schemas.microsoft.com/office/drawing/2014/main" id="{00000000-0008-0000-0400-000088010000}"/>
            </a:ext>
          </a:extLst>
        </xdr:cNvPr>
        <xdr:cNvSpPr/>
      </xdr:nvSpPr>
      <xdr:spPr>
        <a:xfrm>
          <a:off x="9597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0</xdr:col>
      <xdr:colOff>959783</xdr:colOff>
      <xdr:row>0</xdr:row>
      <xdr:rowOff>0</xdr:rowOff>
    </xdr:from>
    <xdr:ext cx="184731" cy="655885"/>
    <xdr:sp macro="" textlink="">
      <xdr:nvSpPr>
        <xdr:cNvPr id="393" name="Rectángulo 392">
          <a:extLst>
            <a:ext uri="{FF2B5EF4-FFF2-40B4-BE49-F238E27FC236}">
              <a16:creationId xmlns:a16="http://schemas.microsoft.com/office/drawing/2014/main" id="{00000000-0008-0000-0400-000089010000}"/>
            </a:ext>
          </a:extLst>
        </xdr:cNvPr>
        <xdr:cNvSpPr/>
      </xdr:nvSpPr>
      <xdr:spPr>
        <a:xfrm>
          <a:off x="9597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2</xdr:col>
      <xdr:colOff>1066800</xdr:colOff>
      <xdr:row>0</xdr:row>
      <xdr:rowOff>0</xdr:rowOff>
    </xdr:from>
    <xdr:ext cx="0" cy="38100"/>
    <xdr:sp macro="" textlink="">
      <xdr:nvSpPr>
        <xdr:cNvPr id="394" name="CuadroTexto 393">
          <a:extLst>
            <a:ext uri="{FF2B5EF4-FFF2-40B4-BE49-F238E27FC236}">
              <a16:creationId xmlns:a16="http://schemas.microsoft.com/office/drawing/2014/main" id="{00000000-0008-0000-0400-00008A010000}"/>
            </a:ext>
          </a:extLst>
        </xdr:cNvPr>
        <xdr:cNvSpPr txBox="1"/>
      </xdr:nvSpPr>
      <xdr:spPr>
        <a:xfrm flipH="1">
          <a:off x="3295650" y="0"/>
          <a:ext cx="0" cy="38100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lvl="0" algn="ctr"/>
          <a:r>
            <a:rPr lang="es-MX" sz="1200" b="1">
              <a:solidFill>
                <a:sysClr val="windowText" lastClr="000000"/>
              </a:solidFill>
            </a:rPr>
            <a:t>ISLA 9: CAMBIO DE MIX POSICIONES 4, 5, 6 Y 7</a:t>
          </a: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395" name="Rectángulo 8">
          <a:extLst>
            <a:ext uri="{FF2B5EF4-FFF2-40B4-BE49-F238E27FC236}">
              <a16:creationId xmlns:a16="http://schemas.microsoft.com/office/drawing/2014/main" id="{00000000-0008-0000-0400-00008B01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396" name="Rectángulo 8">
          <a:extLst>
            <a:ext uri="{FF2B5EF4-FFF2-40B4-BE49-F238E27FC236}">
              <a16:creationId xmlns:a16="http://schemas.microsoft.com/office/drawing/2014/main" id="{00000000-0008-0000-0400-00008C01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397" name="rect">
          <a:extLst>
            <a:ext uri="{FF2B5EF4-FFF2-40B4-BE49-F238E27FC236}">
              <a16:creationId xmlns:a16="http://schemas.microsoft.com/office/drawing/2014/main" id="{00000000-0008-0000-0400-00008D01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398" name="rect">
          <a:extLst>
            <a:ext uri="{FF2B5EF4-FFF2-40B4-BE49-F238E27FC236}">
              <a16:creationId xmlns:a16="http://schemas.microsoft.com/office/drawing/2014/main" id="{00000000-0008-0000-0400-00008E01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952500</xdr:colOff>
      <xdr:row>0</xdr:row>
      <xdr:rowOff>0</xdr:rowOff>
    </xdr:from>
    <xdr:ext cx="180975" cy="647700"/>
    <xdr:sp macro="" textlink="">
      <xdr:nvSpPr>
        <xdr:cNvPr id="399" name="Rectángulo 398">
          <a:extLst>
            <a:ext uri="{FF2B5EF4-FFF2-40B4-BE49-F238E27FC236}">
              <a16:creationId xmlns:a16="http://schemas.microsoft.com/office/drawing/2014/main" id="{00000000-0008-0000-0400-00008F010000}"/>
            </a:ext>
          </a:extLst>
        </xdr:cNvPr>
        <xdr:cNvSpPr/>
      </xdr:nvSpPr>
      <xdr:spPr>
        <a:xfrm>
          <a:off x="98679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400" name="Rectángulo 8">
          <a:extLst>
            <a:ext uri="{FF2B5EF4-FFF2-40B4-BE49-F238E27FC236}">
              <a16:creationId xmlns:a16="http://schemas.microsoft.com/office/drawing/2014/main" id="{00000000-0008-0000-0400-00009001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401" name="Rectángulo 8">
          <a:extLst>
            <a:ext uri="{FF2B5EF4-FFF2-40B4-BE49-F238E27FC236}">
              <a16:creationId xmlns:a16="http://schemas.microsoft.com/office/drawing/2014/main" id="{00000000-0008-0000-0400-00009101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402" name="rect">
          <a:extLst>
            <a:ext uri="{FF2B5EF4-FFF2-40B4-BE49-F238E27FC236}">
              <a16:creationId xmlns:a16="http://schemas.microsoft.com/office/drawing/2014/main" id="{00000000-0008-0000-0400-00009201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403" name="rect">
          <a:extLst>
            <a:ext uri="{FF2B5EF4-FFF2-40B4-BE49-F238E27FC236}">
              <a16:creationId xmlns:a16="http://schemas.microsoft.com/office/drawing/2014/main" id="{00000000-0008-0000-0400-00009301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952500</xdr:colOff>
      <xdr:row>0</xdr:row>
      <xdr:rowOff>0</xdr:rowOff>
    </xdr:from>
    <xdr:ext cx="180975" cy="647700"/>
    <xdr:sp macro="" textlink="">
      <xdr:nvSpPr>
        <xdr:cNvPr id="404" name="Rectángulo 8">
          <a:extLst>
            <a:ext uri="{FF2B5EF4-FFF2-40B4-BE49-F238E27FC236}">
              <a16:creationId xmlns:a16="http://schemas.microsoft.com/office/drawing/2014/main" id="{00000000-0008-0000-0400-000094010000}"/>
            </a:ext>
          </a:extLst>
        </xdr:cNvPr>
        <xdr:cNvSpPr/>
      </xdr:nvSpPr>
      <xdr:spPr>
        <a:xfrm>
          <a:off x="98679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405" name="Rectángulo 8">
          <a:extLst>
            <a:ext uri="{FF2B5EF4-FFF2-40B4-BE49-F238E27FC236}">
              <a16:creationId xmlns:a16="http://schemas.microsoft.com/office/drawing/2014/main" id="{00000000-0008-0000-0400-00009501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406" name="Rectángulo 8">
          <a:extLst>
            <a:ext uri="{FF2B5EF4-FFF2-40B4-BE49-F238E27FC236}">
              <a16:creationId xmlns:a16="http://schemas.microsoft.com/office/drawing/2014/main" id="{00000000-0008-0000-0400-00009601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407" name="rect">
          <a:extLst>
            <a:ext uri="{FF2B5EF4-FFF2-40B4-BE49-F238E27FC236}">
              <a16:creationId xmlns:a16="http://schemas.microsoft.com/office/drawing/2014/main" id="{00000000-0008-0000-0400-00009701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408" name="rect">
          <a:extLst>
            <a:ext uri="{FF2B5EF4-FFF2-40B4-BE49-F238E27FC236}">
              <a16:creationId xmlns:a16="http://schemas.microsoft.com/office/drawing/2014/main" id="{00000000-0008-0000-0400-00009801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952500</xdr:colOff>
      <xdr:row>0</xdr:row>
      <xdr:rowOff>0</xdr:rowOff>
    </xdr:from>
    <xdr:ext cx="180975" cy="647700"/>
    <xdr:sp macro="" textlink="">
      <xdr:nvSpPr>
        <xdr:cNvPr id="409" name="Rectángulo 408">
          <a:extLst>
            <a:ext uri="{FF2B5EF4-FFF2-40B4-BE49-F238E27FC236}">
              <a16:creationId xmlns:a16="http://schemas.microsoft.com/office/drawing/2014/main" id="{00000000-0008-0000-0400-000099010000}"/>
            </a:ext>
          </a:extLst>
        </xdr:cNvPr>
        <xdr:cNvSpPr/>
      </xdr:nvSpPr>
      <xdr:spPr>
        <a:xfrm>
          <a:off x="98679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410" name="Rectángulo 8">
          <a:extLst>
            <a:ext uri="{FF2B5EF4-FFF2-40B4-BE49-F238E27FC236}">
              <a16:creationId xmlns:a16="http://schemas.microsoft.com/office/drawing/2014/main" id="{00000000-0008-0000-0400-00009A01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411" name="Rectángulo 8">
          <a:extLst>
            <a:ext uri="{FF2B5EF4-FFF2-40B4-BE49-F238E27FC236}">
              <a16:creationId xmlns:a16="http://schemas.microsoft.com/office/drawing/2014/main" id="{00000000-0008-0000-0400-00009B01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412" name="rect">
          <a:extLst>
            <a:ext uri="{FF2B5EF4-FFF2-40B4-BE49-F238E27FC236}">
              <a16:creationId xmlns:a16="http://schemas.microsoft.com/office/drawing/2014/main" id="{00000000-0008-0000-0400-00009C01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413" name="rect">
          <a:extLst>
            <a:ext uri="{FF2B5EF4-FFF2-40B4-BE49-F238E27FC236}">
              <a16:creationId xmlns:a16="http://schemas.microsoft.com/office/drawing/2014/main" id="{00000000-0008-0000-0400-00009D01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952500</xdr:colOff>
      <xdr:row>0</xdr:row>
      <xdr:rowOff>0</xdr:rowOff>
    </xdr:from>
    <xdr:ext cx="180975" cy="647700"/>
    <xdr:sp macro="" textlink="">
      <xdr:nvSpPr>
        <xdr:cNvPr id="414" name="Rectángulo 8">
          <a:extLst>
            <a:ext uri="{FF2B5EF4-FFF2-40B4-BE49-F238E27FC236}">
              <a16:creationId xmlns:a16="http://schemas.microsoft.com/office/drawing/2014/main" id="{00000000-0008-0000-0400-00009E010000}"/>
            </a:ext>
          </a:extLst>
        </xdr:cNvPr>
        <xdr:cNvSpPr/>
      </xdr:nvSpPr>
      <xdr:spPr>
        <a:xfrm>
          <a:off x="98679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415" name="Rectángulo 8">
          <a:extLst>
            <a:ext uri="{FF2B5EF4-FFF2-40B4-BE49-F238E27FC236}">
              <a16:creationId xmlns:a16="http://schemas.microsoft.com/office/drawing/2014/main" id="{00000000-0008-0000-0400-00009F01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416" name="Rectángulo 415">
          <a:extLst>
            <a:ext uri="{FF2B5EF4-FFF2-40B4-BE49-F238E27FC236}">
              <a16:creationId xmlns:a16="http://schemas.microsoft.com/office/drawing/2014/main" id="{00000000-0008-0000-0400-0000A001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417" name="rect">
          <a:extLst>
            <a:ext uri="{FF2B5EF4-FFF2-40B4-BE49-F238E27FC236}">
              <a16:creationId xmlns:a16="http://schemas.microsoft.com/office/drawing/2014/main" id="{00000000-0008-0000-0400-0000A101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418" name="rect">
          <a:extLst>
            <a:ext uri="{FF2B5EF4-FFF2-40B4-BE49-F238E27FC236}">
              <a16:creationId xmlns:a16="http://schemas.microsoft.com/office/drawing/2014/main" id="{00000000-0008-0000-0400-0000A201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952500</xdr:colOff>
      <xdr:row>0</xdr:row>
      <xdr:rowOff>0</xdr:rowOff>
    </xdr:from>
    <xdr:ext cx="180975" cy="647700"/>
    <xdr:sp macro="" textlink="">
      <xdr:nvSpPr>
        <xdr:cNvPr id="419" name="Rectángulo 418">
          <a:extLst>
            <a:ext uri="{FF2B5EF4-FFF2-40B4-BE49-F238E27FC236}">
              <a16:creationId xmlns:a16="http://schemas.microsoft.com/office/drawing/2014/main" id="{00000000-0008-0000-0400-0000A3010000}"/>
            </a:ext>
          </a:extLst>
        </xdr:cNvPr>
        <xdr:cNvSpPr/>
      </xdr:nvSpPr>
      <xdr:spPr>
        <a:xfrm>
          <a:off x="98679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2</xdr:col>
      <xdr:colOff>1066800</xdr:colOff>
      <xdr:row>0</xdr:row>
      <xdr:rowOff>0</xdr:rowOff>
    </xdr:from>
    <xdr:ext cx="0" cy="38100"/>
    <xdr:sp macro="" textlink="">
      <xdr:nvSpPr>
        <xdr:cNvPr id="420" name="CuadroTexto 419">
          <a:extLst>
            <a:ext uri="{FF2B5EF4-FFF2-40B4-BE49-F238E27FC236}">
              <a16:creationId xmlns:a16="http://schemas.microsoft.com/office/drawing/2014/main" id="{00000000-0008-0000-0400-0000A4010000}"/>
            </a:ext>
          </a:extLst>
        </xdr:cNvPr>
        <xdr:cNvSpPr txBox="1"/>
      </xdr:nvSpPr>
      <xdr:spPr>
        <a:xfrm flipH="1">
          <a:off x="3295650" y="0"/>
          <a:ext cx="0" cy="38100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lvl="0" algn="ctr"/>
          <a:r>
            <a:rPr lang="es-MX" sz="1200" b="1">
              <a:solidFill>
                <a:sysClr val="windowText" lastClr="000000"/>
              </a:solidFill>
            </a:rPr>
            <a:t>ISLA 9: CAMBIO DE MIX POSICIONES 4, 5, 6 Y 7</a:t>
          </a: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421" name="Rectángulo 8">
          <a:extLst>
            <a:ext uri="{FF2B5EF4-FFF2-40B4-BE49-F238E27FC236}">
              <a16:creationId xmlns:a16="http://schemas.microsoft.com/office/drawing/2014/main" id="{00000000-0008-0000-0400-0000A501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422" name="Rectángulo 8">
          <a:extLst>
            <a:ext uri="{FF2B5EF4-FFF2-40B4-BE49-F238E27FC236}">
              <a16:creationId xmlns:a16="http://schemas.microsoft.com/office/drawing/2014/main" id="{00000000-0008-0000-0400-0000A601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423" name="rect">
          <a:extLst>
            <a:ext uri="{FF2B5EF4-FFF2-40B4-BE49-F238E27FC236}">
              <a16:creationId xmlns:a16="http://schemas.microsoft.com/office/drawing/2014/main" id="{00000000-0008-0000-0400-0000A701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424" name="rect">
          <a:extLst>
            <a:ext uri="{FF2B5EF4-FFF2-40B4-BE49-F238E27FC236}">
              <a16:creationId xmlns:a16="http://schemas.microsoft.com/office/drawing/2014/main" id="{00000000-0008-0000-0400-0000A801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952500</xdr:colOff>
      <xdr:row>0</xdr:row>
      <xdr:rowOff>0</xdr:rowOff>
    </xdr:from>
    <xdr:ext cx="180975" cy="647700"/>
    <xdr:sp macro="" textlink="">
      <xdr:nvSpPr>
        <xdr:cNvPr id="425" name="Rectángulo 8">
          <a:extLst>
            <a:ext uri="{FF2B5EF4-FFF2-40B4-BE49-F238E27FC236}">
              <a16:creationId xmlns:a16="http://schemas.microsoft.com/office/drawing/2014/main" id="{00000000-0008-0000-0400-0000A9010000}"/>
            </a:ext>
          </a:extLst>
        </xdr:cNvPr>
        <xdr:cNvSpPr/>
      </xdr:nvSpPr>
      <xdr:spPr>
        <a:xfrm>
          <a:off x="98679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426" name="Rectángulo 8">
          <a:extLst>
            <a:ext uri="{FF2B5EF4-FFF2-40B4-BE49-F238E27FC236}">
              <a16:creationId xmlns:a16="http://schemas.microsoft.com/office/drawing/2014/main" id="{00000000-0008-0000-0400-0000AA01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427" name="Rectángulo 8">
          <a:extLst>
            <a:ext uri="{FF2B5EF4-FFF2-40B4-BE49-F238E27FC236}">
              <a16:creationId xmlns:a16="http://schemas.microsoft.com/office/drawing/2014/main" id="{00000000-0008-0000-0400-0000AB01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428" name="rect">
          <a:extLst>
            <a:ext uri="{FF2B5EF4-FFF2-40B4-BE49-F238E27FC236}">
              <a16:creationId xmlns:a16="http://schemas.microsoft.com/office/drawing/2014/main" id="{00000000-0008-0000-0400-0000AC01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429" name="rect">
          <a:extLst>
            <a:ext uri="{FF2B5EF4-FFF2-40B4-BE49-F238E27FC236}">
              <a16:creationId xmlns:a16="http://schemas.microsoft.com/office/drawing/2014/main" id="{00000000-0008-0000-0400-0000AD01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952500</xdr:colOff>
      <xdr:row>0</xdr:row>
      <xdr:rowOff>0</xdr:rowOff>
    </xdr:from>
    <xdr:ext cx="180975" cy="647700"/>
    <xdr:sp macro="" textlink="">
      <xdr:nvSpPr>
        <xdr:cNvPr id="430" name="Rectángulo 429">
          <a:extLst>
            <a:ext uri="{FF2B5EF4-FFF2-40B4-BE49-F238E27FC236}">
              <a16:creationId xmlns:a16="http://schemas.microsoft.com/office/drawing/2014/main" id="{00000000-0008-0000-0400-0000AE010000}"/>
            </a:ext>
          </a:extLst>
        </xdr:cNvPr>
        <xdr:cNvSpPr/>
      </xdr:nvSpPr>
      <xdr:spPr>
        <a:xfrm>
          <a:off x="98679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431" name="Rectángulo 8">
          <a:extLst>
            <a:ext uri="{FF2B5EF4-FFF2-40B4-BE49-F238E27FC236}">
              <a16:creationId xmlns:a16="http://schemas.microsoft.com/office/drawing/2014/main" id="{00000000-0008-0000-0400-0000AF01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432" name="Rectángulo 8">
          <a:extLst>
            <a:ext uri="{FF2B5EF4-FFF2-40B4-BE49-F238E27FC236}">
              <a16:creationId xmlns:a16="http://schemas.microsoft.com/office/drawing/2014/main" id="{00000000-0008-0000-0400-0000B001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433" name="rect">
          <a:extLst>
            <a:ext uri="{FF2B5EF4-FFF2-40B4-BE49-F238E27FC236}">
              <a16:creationId xmlns:a16="http://schemas.microsoft.com/office/drawing/2014/main" id="{00000000-0008-0000-0400-0000B101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434" name="rect">
          <a:extLst>
            <a:ext uri="{FF2B5EF4-FFF2-40B4-BE49-F238E27FC236}">
              <a16:creationId xmlns:a16="http://schemas.microsoft.com/office/drawing/2014/main" id="{00000000-0008-0000-0400-0000B201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952500</xdr:colOff>
      <xdr:row>0</xdr:row>
      <xdr:rowOff>0</xdr:rowOff>
    </xdr:from>
    <xdr:ext cx="180975" cy="647700"/>
    <xdr:sp macro="" textlink="">
      <xdr:nvSpPr>
        <xdr:cNvPr id="435" name="Rectángulo 8">
          <a:extLst>
            <a:ext uri="{FF2B5EF4-FFF2-40B4-BE49-F238E27FC236}">
              <a16:creationId xmlns:a16="http://schemas.microsoft.com/office/drawing/2014/main" id="{00000000-0008-0000-0400-0000B3010000}"/>
            </a:ext>
          </a:extLst>
        </xdr:cNvPr>
        <xdr:cNvSpPr/>
      </xdr:nvSpPr>
      <xdr:spPr>
        <a:xfrm>
          <a:off x="98679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807383</xdr:colOff>
      <xdr:row>0</xdr:row>
      <xdr:rowOff>0</xdr:rowOff>
    </xdr:from>
    <xdr:ext cx="184731" cy="655885"/>
    <xdr:sp macro="" textlink="">
      <xdr:nvSpPr>
        <xdr:cNvPr id="436" name="Rectángulo 8">
          <a:extLst>
            <a:ext uri="{FF2B5EF4-FFF2-40B4-BE49-F238E27FC236}">
              <a16:creationId xmlns:a16="http://schemas.microsoft.com/office/drawing/2014/main" id="{00000000-0008-0000-0400-0000B4010000}"/>
            </a:ext>
          </a:extLst>
        </xdr:cNvPr>
        <xdr:cNvSpPr/>
      </xdr:nvSpPr>
      <xdr:spPr>
        <a:xfrm>
          <a:off x="97227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0</xdr:row>
      <xdr:rowOff>0</xdr:rowOff>
    </xdr:from>
    <xdr:ext cx="184731" cy="655885"/>
    <xdr:sp macro="" textlink="">
      <xdr:nvSpPr>
        <xdr:cNvPr id="437" name="Rectángulo 8">
          <a:extLst>
            <a:ext uri="{FF2B5EF4-FFF2-40B4-BE49-F238E27FC236}">
              <a16:creationId xmlns:a16="http://schemas.microsoft.com/office/drawing/2014/main" id="{00000000-0008-0000-0400-0000B5010000}"/>
            </a:ext>
          </a:extLst>
        </xdr:cNvPr>
        <xdr:cNvSpPr/>
      </xdr:nvSpPr>
      <xdr:spPr>
        <a:xfrm>
          <a:off x="97227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959783</xdr:colOff>
      <xdr:row>0</xdr:row>
      <xdr:rowOff>0</xdr:rowOff>
    </xdr:from>
    <xdr:ext cx="184731" cy="655885"/>
    <xdr:sp macro="" textlink="">
      <xdr:nvSpPr>
        <xdr:cNvPr id="438" name="Rectángulo 437">
          <a:extLst>
            <a:ext uri="{FF2B5EF4-FFF2-40B4-BE49-F238E27FC236}">
              <a16:creationId xmlns:a16="http://schemas.microsoft.com/office/drawing/2014/main" id="{00000000-0008-0000-0400-0000B6010000}"/>
            </a:ext>
          </a:extLst>
        </xdr:cNvPr>
        <xdr:cNvSpPr/>
      </xdr:nvSpPr>
      <xdr:spPr>
        <a:xfrm>
          <a:off x="98751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0</xdr:row>
      <xdr:rowOff>0</xdr:rowOff>
    </xdr:from>
    <xdr:ext cx="184731" cy="655885"/>
    <xdr:sp macro="" textlink="">
      <xdr:nvSpPr>
        <xdr:cNvPr id="439" name="Rectángulo 438">
          <a:extLst>
            <a:ext uri="{FF2B5EF4-FFF2-40B4-BE49-F238E27FC236}">
              <a16:creationId xmlns:a16="http://schemas.microsoft.com/office/drawing/2014/main" id="{00000000-0008-0000-0400-0000B7010000}"/>
            </a:ext>
          </a:extLst>
        </xdr:cNvPr>
        <xdr:cNvSpPr/>
      </xdr:nvSpPr>
      <xdr:spPr>
        <a:xfrm>
          <a:off x="97227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0</xdr:row>
      <xdr:rowOff>0</xdr:rowOff>
    </xdr:from>
    <xdr:ext cx="184731" cy="655885"/>
    <xdr:sp macro="" textlink="">
      <xdr:nvSpPr>
        <xdr:cNvPr id="440" name="Rectángulo 8">
          <a:extLst>
            <a:ext uri="{FF2B5EF4-FFF2-40B4-BE49-F238E27FC236}">
              <a16:creationId xmlns:a16="http://schemas.microsoft.com/office/drawing/2014/main" id="{00000000-0008-0000-0400-0000B8010000}"/>
            </a:ext>
          </a:extLst>
        </xdr:cNvPr>
        <xdr:cNvSpPr/>
      </xdr:nvSpPr>
      <xdr:spPr>
        <a:xfrm>
          <a:off x="97227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959783</xdr:colOff>
      <xdr:row>0</xdr:row>
      <xdr:rowOff>0</xdr:rowOff>
    </xdr:from>
    <xdr:ext cx="184731" cy="655885"/>
    <xdr:sp macro="" textlink="">
      <xdr:nvSpPr>
        <xdr:cNvPr id="441" name="Rectángulo 440">
          <a:extLst>
            <a:ext uri="{FF2B5EF4-FFF2-40B4-BE49-F238E27FC236}">
              <a16:creationId xmlns:a16="http://schemas.microsoft.com/office/drawing/2014/main" id="{00000000-0008-0000-0400-0000B9010000}"/>
            </a:ext>
          </a:extLst>
        </xdr:cNvPr>
        <xdr:cNvSpPr/>
      </xdr:nvSpPr>
      <xdr:spPr>
        <a:xfrm>
          <a:off x="98751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0</xdr:row>
      <xdr:rowOff>0</xdr:rowOff>
    </xdr:from>
    <xdr:ext cx="184731" cy="655885"/>
    <xdr:sp macro="" textlink="">
      <xdr:nvSpPr>
        <xdr:cNvPr id="442" name="Rectángulo 8">
          <a:extLst>
            <a:ext uri="{FF2B5EF4-FFF2-40B4-BE49-F238E27FC236}">
              <a16:creationId xmlns:a16="http://schemas.microsoft.com/office/drawing/2014/main" id="{00000000-0008-0000-0400-0000BA010000}"/>
            </a:ext>
          </a:extLst>
        </xdr:cNvPr>
        <xdr:cNvSpPr/>
      </xdr:nvSpPr>
      <xdr:spPr>
        <a:xfrm>
          <a:off x="97227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0</xdr:row>
      <xdr:rowOff>0</xdr:rowOff>
    </xdr:from>
    <xdr:ext cx="184731" cy="655885"/>
    <xdr:sp macro="" textlink="">
      <xdr:nvSpPr>
        <xdr:cNvPr id="443" name="Rectángulo 8">
          <a:extLst>
            <a:ext uri="{FF2B5EF4-FFF2-40B4-BE49-F238E27FC236}">
              <a16:creationId xmlns:a16="http://schemas.microsoft.com/office/drawing/2014/main" id="{00000000-0008-0000-0400-0000BB010000}"/>
            </a:ext>
          </a:extLst>
        </xdr:cNvPr>
        <xdr:cNvSpPr/>
      </xdr:nvSpPr>
      <xdr:spPr>
        <a:xfrm>
          <a:off x="97227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959783</xdr:colOff>
      <xdr:row>0</xdr:row>
      <xdr:rowOff>0</xdr:rowOff>
    </xdr:from>
    <xdr:ext cx="184731" cy="655885"/>
    <xdr:sp macro="" textlink="">
      <xdr:nvSpPr>
        <xdr:cNvPr id="444" name="Rectángulo 443">
          <a:extLst>
            <a:ext uri="{FF2B5EF4-FFF2-40B4-BE49-F238E27FC236}">
              <a16:creationId xmlns:a16="http://schemas.microsoft.com/office/drawing/2014/main" id="{00000000-0008-0000-0400-0000BC010000}"/>
            </a:ext>
          </a:extLst>
        </xdr:cNvPr>
        <xdr:cNvSpPr/>
      </xdr:nvSpPr>
      <xdr:spPr>
        <a:xfrm>
          <a:off x="98751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0</xdr:row>
      <xdr:rowOff>0</xdr:rowOff>
    </xdr:from>
    <xdr:ext cx="184731" cy="655885"/>
    <xdr:sp macro="" textlink="">
      <xdr:nvSpPr>
        <xdr:cNvPr id="445" name="Rectángulo 444">
          <a:extLst>
            <a:ext uri="{FF2B5EF4-FFF2-40B4-BE49-F238E27FC236}">
              <a16:creationId xmlns:a16="http://schemas.microsoft.com/office/drawing/2014/main" id="{00000000-0008-0000-0400-0000BD010000}"/>
            </a:ext>
          </a:extLst>
        </xdr:cNvPr>
        <xdr:cNvSpPr/>
      </xdr:nvSpPr>
      <xdr:spPr>
        <a:xfrm>
          <a:off x="97227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0</xdr:row>
      <xdr:rowOff>0</xdr:rowOff>
    </xdr:from>
    <xdr:ext cx="184731" cy="655885"/>
    <xdr:sp macro="" textlink="">
      <xdr:nvSpPr>
        <xdr:cNvPr id="446" name="Rectángulo 8">
          <a:extLst>
            <a:ext uri="{FF2B5EF4-FFF2-40B4-BE49-F238E27FC236}">
              <a16:creationId xmlns:a16="http://schemas.microsoft.com/office/drawing/2014/main" id="{00000000-0008-0000-0400-0000BE010000}"/>
            </a:ext>
          </a:extLst>
        </xdr:cNvPr>
        <xdr:cNvSpPr/>
      </xdr:nvSpPr>
      <xdr:spPr>
        <a:xfrm>
          <a:off x="97227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959783</xdr:colOff>
      <xdr:row>0</xdr:row>
      <xdr:rowOff>0</xdr:rowOff>
    </xdr:from>
    <xdr:ext cx="184731" cy="655885"/>
    <xdr:sp macro="" textlink="">
      <xdr:nvSpPr>
        <xdr:cNvPr id="447" name="Rectángulo 446">
          <a:extLst>
            <a:ext uri="{FF2B5EF4-FFF2-40B4-BE49-F238E27FC236}">
              <a16:creationId xmlns:a16="http://schemas.microsoft.com/office/drawing/2014/main" id="{00000000-0008-0000-0400-0000BF010000}"/>
            </a:ext>
          </a:extLst>
        </xdr:cNvPr>
        <xdr:cNvSpPr/>
      </xdr:nvSpPr>
      <xdr:spPr>
        <a:xfrm>
          <a:off x="98751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0</xdr:col>
      <xdr:colOff>959783</xdr:colOff>
      <xdr:row>0</xdr:row>
      <xdr:rowOff>0</xdr:rowOff>
    </xdr:from>
    <xdr:ext cx="184731" cy="655885"/>
    <xdr:sp macro="" textlink="">
      <xdr:nvSpPr>
        <xdr:cNvPr id="448" name="Rectángulo 447">
          <a:extLst>
            <a:ext uri="{FF2B5EF4-FFF2-40B4-BE49-F238E27FC236}">
              <a16:creationId xmlns:a16="http://schemas.microsoft.com/office/drawing/2014/main" id="{00000000-0008-0000-0400-0000C0010000}"/>
            </a:ext>
          </a:extLst>
        </xdr:cNvPr>
        <xdr:cNvSpPr/>
      </xdr:nvSpPr>
      <xdr:spPr>
        <a:xfrm>
          <a:off x="9597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0</xdr:col>
      <xdr:colOff>959783</xdr:colOff>
      <xdr:row>0</xdr:row>
      <xdr:rowOff>0</xdr:rowOff>
    </xdr:from>
    <xdr:ext cx="184731" cy="655885"/>
    <xdr:sp macro="" textlink="">
      <xdr:nvSpPr>
        <xdr:cNvPr id="449" name="Rectángulo 448">
          <a:extLst>
            <a:ext uri="{FF2B5EF4-FFF2-40B4-BE49-F238E27FC236}">
              <a16:creationId xmlns:a16="http://schemas.microsoft.com/office/drawing/2014/main" id="{00000000-0008-0000-0400-0000C1010000}"/>
            </a:ext>
          </a:extLst>
        </xdr:cNvPr>
        <xdr:cNvSpPr/>
      </xdr:nvSpPr>
      <xdr:spPr>
        <a:xfrm>
          <a:off x="9597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2</xdr:col>
      <xdr:colOff>1066800</xdr:colOff>
      <xdr:row>6</xdr:row>
      <xdr:rowOff>19050</xdr:rowOff>
    </xdr:from>
    <xdr:ext cx="0" cy="38100"/>
    <xdr:sp macro="" textlink="">
      <xdr:nvSpPr>
        <xdr:cNvPr id="450" name="CuadroTexto 449">
          <a:extLst>
            <a:ext uri="{FF2B5EF4-FFF2-40B4-BE49-F238E27FC236}">
              <a16:creationId xmlns:a16="http://schemas.microsoft.com/office/drawing/2014/main" id="{00000000-0008-0000-0400-0000C2010000}"/>
            </a:ext>
          </a:extLst>
        </xdr:cNvPr>
        <xdr:cNvSpPr txBox="1"/>
      </xdr:nvSpPr>
      <xdr:spPr>
        <a:xfrm flipH="1">
          <a:off x="3295650" y="1333500"/>
          <a:ext cx="0" cy="38100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lvl="0" algn="ctr"/>
          <a:r>
            <a:rPr lang="es-MX" sz="1200" b="1">
              <a:solidFill>
                <a:sysClr val="windowText" lastClr="000000"/>
              </a:solidFill>
            </a:rPr>
            <a:t>ISLA 9: CAMBIO DE MIX POSICIONES 4, 5, 6 Y 7</a:t>
          </a:r>
        </a:p>
      </xdr:txBody>
    </xdr:sp>
    <xdr:clientData fLocksWithSheet="0"/>
  </xdr:oneCellAnchor>
  <xdr:oneCellAnchor>
    <xdr:from>
      <xdr:col>8</xdr:col>
      <xdr:colOff>800100</xdr:colOff>
      <xdr:row>11</xdr:row>
      <xdr:rowOff>104775</xdr:rowOff>
    </xdr:from>
    <xdr:ext cx="180975" cy="647700"/>
    <xdr:sp macro="" textlink="">
      <xdr:nvSpPr>
        <xdr:cNvPr id="451" name="Rectángulo 8">
          <a:extLst>
            <a:ext uri="{FF2B5EF4-FFF2-40B4-BE49-F238E27FC236}">
              <a16:creationId xmlns:a16="http://schemas.microsoft.com/office/drawing/2014/main" id="{00000000-0008-0000-0400-0000C3010000}"/>
            </a:ext>
          </a:extLst>
        </xdr:cNvPr>
        <xdr:cNvSpPr/>
      </xdr:nvSpPr>
      <xdr:spPr>
        <a:xfrm>
          <a:off x="9715500" y="251460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11</xdr:row>
      <xdr:rowOff>104775</xdr:rowOff>
    </xdr:from>
    <xdr:ext cx="180975" cy="647700"/>
    <xdr:sp macro="" textlink="">
      <xdr:nvSpPr>
        <xdr:cNvPr id="452" name="Rectángulo 8">
          <a:extLst>
            <a:ext uri="{FF2B5EF4-FFF2-40B4-BE49-F238E27FC236}">
              <a16:creationId xmlns:a16="http://schemas.microsoft.com/office/drawing/2014/main" id="{00000000-0008-0000-0400-0000C4010000}"/>
            </a:ext>
          </a:extLst>
        </xdr:cNvPr>
        <xdr:cNvSpPr/>
      </xdr:nvSpPr>
      <xdr:spPr>
        <a:xfrm>
          <a:off x="9715500" y="251460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11</xdr:row>
      <xdr:rowOff>57150</xdr:rowOff>
    </xdr:from>
    <xdr:ext cx="0" cy="561975"/>
    <xdr:sp macro="" textlink="">
      <xdr:nvSpPr>
        <xdr:cNvPr id="453" name="rect">
          <a:extLst>
            <a:ext uri="{FF2B5EF4-FFF2-40B4-BE49-F238E27FC236}">
              <a16:creationId xmlns:a16="http://schemas.microsoft.com/office/drawing/2014/main" id="{00000000-0008-0000-0400-0000C5010000}"/>
            </a:ext>
          </a:extLst>
        </xdr:cNvPr>
        <xdr:cNvSpPr/>
      </xdr:nvSpPr>
      <xdr:spPr>
        <a:xfrm>
          <a:off x="9715500" y="2466975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800100</xdr:colOff>
      <xdr:row>11</xdr:row>
      <xdr:rowOff>57150</xdr:rowOff>
    </xdr:from>
    <xdr:ext cx="0" cy="561975"/>
    <xdr:sp macro="" textlink="">
      <xdr:nvSpPr>
        <xdr:cNvPr id="454" name="rect">
          <a:extLst>
            <a:ext uri="{FF2B5EF4-FFF2-40B4-BE49-F238E27FC236}">
              <a16:creationId xmlns:a16="http://schemas.microsoft.com/office/drawing/2014/main" id="{00000000-0008-0000-0400-0000C6010000}"/>
            </a:ext>
          </a:extLst>
        </xdr:cNvPr>
        <xdr:cNvSpPr/>
      </xdr:nvSpPr>
      <xdr:spPr>
        <a:xfrm>
          <a:off x="9715500" y="2466975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952500</xdr:colOff>
      <xdr:row>13</xdr:row>
      <xdr:rowOff>219075</xdr:rowOff>
    </xdr:from>
    <xdr:ext cx="180975" cy="647700"/>
    <xdr:sp macro="" textlink="">
      <xdr:nvSpPr>
        <xdr:cNvPr id="455" name="Rectángulo 454">
          <a:extLst>
            <a:ext uri="{FF2B5EF4-FFF2-40B4-BE49-F238E27FC236}">
              <a16:creationId xmlns:a16="http://schemas.microsoft.com/office/drawing/2014/main" id="{00000000-0008-0000-0400-0000C7010000}"/>
            </a:ext>
          </a:extLst>
        </xdr:cNvPr>
        <xdr:cNvSpPr/>
      </xdr:nvSpPr>
      <xdr:spPr>
        <a:xfrm>
          <a:off x="9867900" y="306705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11</xdr:row>
      <xdr:rowOff>104775</xdr:rowOff>
    </xdr:from>
    <xdr:ext cx="180975" cy="647700"/>
    <xdr:sp macro="" textlink="">
      <xdr:nvSpPr>
        <xdr:cNvPr id="456" name="Rectángulo 8">
          <a:extLst>
            <a:ext uri="{FF2B5EF4-FFF2-40B4-BE49-F238E27FC236}">
              <a16:creationId xmlns:a16="http://schemas.microsoft.com/office/drawing/2014/main" id="{00000000-0008-0000-0400-0000C8010000}"/>
            </a:ext>
          </a:extLst>
        </xdr:cNvPr>
        <xdr:cNvSpPr/>
      </xdr:nvSpPr>
      <xdr:spPr>
        <a:xfrm>
          <a:off x="9715500" y="251460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11</xdr:row>
      <xdr:rowOff>104775</xdr:rowOff>
    </xdr:from>
    <xdr:ext cx="180975" cy="647700"/>
    <xdr:sp macro="" textlink="">
      <xdr:nvSpPr>
        <xdr:cNvPr id="457" name="Rectángulo 8">
          <a:extLst>
            <a:ext uri="{FF2B5EF4-FFF2-40B4-BE49-F238E27FC236}">
              <a16:creationId xmlns:a16="http://schemas.microsoft.com/office/drawing/2014/main" id="{00000000-0008-0000-0400-0000C9010000}"/>
            </a:ext>
          </a:extLst>
        </xdr:cNvPr>
        <xdr:cNvSpPr/>
      </xdr:nvSpPr>
      <xdr:spPr>
        <a:xfrm>
          <a:off x="9715500" y="251460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11</xdr:row>
      <xdr:rowOff>57150</xdr:rowOff>
    </xdr:from>
    <xdr:ext cx="0" cy="561975"/>
    <xdr:sp macro="" textlink="">
      <xdr:nvSpPr>
        <xdr:cNvPr id="458" name="rect">
          <a:extLst>
            <a:ext uri="{FF2B5EF4-FFF2-40B4-BE49-F238E27FC236}">
              <a16:creationId xmlns:a16="http://schemas.microsoft.com/office/drawing/2014/main" id="{00000000-0008-0000-0400-0000CA010000}"/>
            </a:ext>
          </a:extLst>
        </xdr:cNvPr>
        <xdr:cNvSpPr/>
      </xdr:nvSpPr>
      <xdr:spPr>
        <a:xfrm>
          <a:off x="9715500" y="2466975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800100</xdr:colOff>
      <xdr:row>11</xdr:row>
      <xdr:rowOff>57150</xdr:rowOff>
    </xdr:from>
    <xdr:ext cx="0" cy="561975"/>
    <xdr:sp macro="" textlink="">
      <xdr:nvSpPr>
        <xdr:cNvPr id="459" name="rect">
          <a:extLst>
            <a:ext uri="{FF2B5EF4-FFF2-40B4-BE49-F238E27FC236}">
              <a16:creationId xmlns:a16="http://schemas.microsoft.com/office/drawing/2014/main" id="{00000000-0008-0000-0400-0000CB010000}"/>
            </a:ext>
          </a:extLst>
        </xdr:cNvPr>
        <xdr:cNvSpPr/>
      </xdr:nvSpPr>
      <xdr:spPr>
        <a:xfrm>
          <a:off x="9715500" y="2466975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952500</xdr:colOff>
      <xdr:row>13</xdr:row>
      <xdr:rowOff>219075</xdr:rowOff>
    </xdr:from>
    <xdr:ext cx="180975" cy="647700"/>
    <xdr:sp macro="" textlink="">
      <xdr:nvSpPr>
        <xdr:cNvPr id="460" name="Rectángulo 8">
          <a:extLst>
            <a:ext uri="{FF2B5EF4-FFF2-40B4-BE49-F238E27FC236}">
              <a16:creationId xmlns:a16="http://schemas.microsoft.com/office/drawing/2014/main" id="{00000000-0008-0000-0400-0000CC010000}"/>
            </a:ext>
          </a:extLst>
        </xdr:cNvPr>
        <xdr:cNvSpPr/>
      </xdr:nvSpPr>
      <xdr:spPr>
        <a:xfrm>
          <a:off x="9867900" y="306705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11</xdr:row>
      <xdr:rowOff>104775</xdr:rowOff>
    </xdr:from>
    <xdr:ext cx="180975" cy="647700"/>
    <xdr:sp macro="" textlink="">
      <xdr:nvSpPr>
        <xdr:cNvPr id="461" name="Rectángulo 8">
          <a:extLst>
            <a:ext uri="{FF2B5EF4-FFF2-40B4-BE49-F238E27FC236}">
              <a16:creationId xmlns:a16="http://schemas.microsoft.com/office/drawing/2014/main" id="{00000000-0008-0000-0400-0000CD010000}"/>
            </a:ext>
          </a:extLst>
        </xdr:cNvPr>
        <xdr:cNvSpPr/>
      </xdr:nvSpPr>
      <xdr:spPr>
        <a:xfrm>
          <a:off x="9715500" y="251460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11</xdr:row>
      <xdr:rowOff>104775</xdr:rowOff>
    </xdr:from>
    <xdr:ext cx="180975" cy="647700"/>
    <xdr:sp macro="" textlink="">
      <xdr:nvSpPr>
        <xdr:cNvPr id="462" name="Rectángulo 8">
          <a:extLst>
            <a:ext uri="{FF2B5EF4-FFF2-40B4-BE49-F238E27FC236}">
              <a16:creationId xmlns:a16="http://schemas.microsoft.com/office/drawing/2014/main" id="{00000000-0008-0000-0400-0000CE010000}"/>
            </a:ext>
          </a:extLst>
        </xdr:cNvPr>
        <xdr:cNvSpPr/>
      </xdr:nvSpPr>
      <xdr:spPr>
        <a:xfrm>
          <a:off x="9715500" y="251460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11</xdr:row>
      <xdr:rowOff>57150</xdr:rowOff>
    </xdr:from>
    <xdr:ext cx="0" cy="561975"/>
    <xdr:sp macro="" textlink="">
      <xdr:nvSpPr>
        <xdr:cNvPr id="463" name="rect">
          <a:extLst>
            <a:ext uri="{FF2B5EF4-FFF2-40B4-BE49-F238E27FC236}">
              <a16:creationId xmlns:a16="http://schemas.microsoft.com/office/drawing/2014/main" id="{00000000-0008-0000-0400-0000CF010000}"/>
            </a:ext>
          </a:extLst>
        </xdr:cNvPr>
        <xdr:cNvSpPr/>
      </xdr:nvSpPr>
      <xdr:spPr>
        <a:xfrm>
          <a:off x="9715500" y="2466975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800100</xdr:colOff>
      <xdr:row>11</xdr:row>
      <xdr:rowOff>57150</xdr:rowOff>
    </xdr:from>
    <xdr:ext cx="0" cy="561975"/>
    <xdr:sp macro="" textlink="">
      <xdr:nvSpPr>
        <xdr:cNvPr id="464" name="rect">
          <a:extLst>
            <a:ext uri="{FF2B5EF4-FFF2-40B4-BE49-F238E27FC236}">
              <a16:creationId xmlns:a16="http://schemas.microsoft.com/office/drawing/2014/main" id="{00000000-0008-0000-0400-0000D0010000}"/>
            </a:ext>
          </a:extLst>
        </xdr:cNvPr>
        <xdr:cNvSpPr/>
      </xdr:nvSpPr>
      <xdr:spPr>
        <a:xfrm>
          <a:off x="9715500" y="2466975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952500</xdr:colOff>
      <xdr:row>13</xdr:row>
      <xdr:rowOff>219075</xdr:rowOff>
    </xdr:from>
    <xdr:ext cx="180975" cy="647700"/>
    <xdr:sp macro="" textlink="">
      <xdr:nvSpPr>
        <xdr:cNvPr id="465" name="Rectángulo 464">
          <a:extLst>
            <a:ext uri="{FF2B5EF4-FFF2-40B4-BE49-F238E27FC236}">
              <a16:creationId xmlns:a16="http://schemas.microsoft.com/office/drawing/2014/main" id="{00000000-0008-0000-0400-0000D1010000}"/>
            </a:ext>
          </a:extLst>
        </xdr:cNvPr>
        <xdr:cNvSpPr/>
      </xdr:nvSpPr>
      <xdr:spPr>
        <a:xfrm>
          <a:off x="9867900" y="306705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11</xdr:row>
      <xdr:rowOff>104775</xdr:rowOff>
    </xdr:from>
    <xdr:ext cx="180975" cy="647700"/>
    <xdr:sp macro="" textlink="">
      <xdr:nvSpPr>
        <xdr:cNvPr id="466" name="Rectángulo 8">
          <a:extLst>
            <a:ext uri="{FF2B5EF4-FFF2-40B4-BE49-F238E27FC236}">
              <a16:creationId xmlns:a16="http://schemas.microsoft.com/office/drawing/2014/main" id="{00000000-0008-0000-0400-0000D2010000}"/>
            </a:ext>
          </a:extLst>
        </xdr:cNvPr>
        <xdr:cNvSpPr/>
      </xdr:nvSpPr>
      <xdr:spPr>
        <a:xfrm>
          <a:off x="9715500" y="251460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11</xdr:row>
      <xdr:rowOff>104775</xdr:rowOff>
    </xdr:from>
    <xdr:ext cx="180975" cy="647700"/>
    <xdr:sp macro="" textlink="">
      <xdr:nvSpPr>
        <xdr:cNvPr id="467" name="Rectángulo 8">
          <a:extLst>
            <a:ext uri="{FF2B5EF4-FFF2-40B4-BE49-F238E27FC236}">
              <a16:creationId xmlns:a16="http://schemas.microsoft.com/office/drawing/2014/main" id="{00000000-0008-0000-0400-0000D3010000}"/>
            </a:ext>
          </a:extLst>
        </xdr:cNvPr>
        <xdr:cNvSpPr/>
      </xdr:nvSpPr>
      <xdr:spPr>
        <a:xfrm>
          <a:off x="9715500" y="251460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11</xdr:row>
      <xdr:rowOff>57150</xdr:rowOff>
    </xdr:from>
    <xdr:ext cx="0" cy="561975"/>
    <xdr:sp macro="" textlink="">
      <xdr:nvSpPr>
        <xdr:cNvPr id="468" name="rect">
          <a:extLst>
            <a:ext uri="{FF2B5EF4-FFF2-40B4-BE49-F238E27FC236}">
              <a16:creationId xmlns:a16="http://schemas.microsoft.com/office/drawing/2014/main" id="{00000000-0008-0000-0400-0000D4010000}"/>
            </a:ext>
          </a:extLst>
        </xdr:cNvPr>
        <xdr:cNvSpPr/>
      </xdr:nvSpPr>
      <xdr:spPr>
        <a:xfrm>
          <a:off x="9715500" y="2466975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800100</xdr:colOff>
      <xdr:row>11</xdr:row>
      <xdr:rowOff>57150</xdr:rowOff>
    </xdr:from>
    <xdr:ext cx="0" cy="561975"/>
    <xdr:sp macro="" textlink="">
      <xdr:nvSpPr>
        <xdr:cNvPr id="469" name="rect">
          <a:extLst>
            <a:ext uri="{FF2B5EF4-FFF2-40B4-BE49-F238E27FC236}">
              <a16:creationId xmlns:a16="http://schemas.microsoft.com/office/drawing/2014/main" id="{00000000-0008-0000-0400-0000D5010000}"/>
            </a:ext>
          </a:extLst>
        </xdr:cNvPr>
        <xdr:cNvSpPr/>
      </xdr:nvSpPr>
      <xdr:spPr>
        <a:xfrm>
          <a:off x="9715500" y="2466975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952500</xdr:colOff>
      <xdr:row>13</xdr:row>
      <xdr:rowOff>219075</xdr:rowOff>
    </xdr:from>
    <xdr:ext cx="180975" cy="647700"/>
    <xdr:sp macro="" textlink="">
      <xdr:nvSpPr>
        <xdr:cNvPr id="470" name="Rectángulo 8">
          <a:extLst>
            <a:ext uri="{FF2B5EF4-FFF2-40B4-BE49-F238E27FC236}">
              <a16:creationId xmlns:a16="http://schemas.microsoft.com/office/drawing/2014/main" id="{00000000-0008-0000-0400-0000D6010000}"/>
            </a:ext>
          </a:extLst>
        </xdr:cNvPr>
        <xdr:cNvSpPr/>
      </xdr:nvSpPr>
      <xdr:spPr>
        <a:xfrm>
          <a:off x="9867900" y="306705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11</xdr:row>
      <xdr:rowOff>104775</xdr:rowOff>
    </xdr:from>
    <xdr:ext cx="180975" cy="647700"/>
    <xdr:sp macro="" textlink="">
      <xdr:nvSpPr>
        <xdr:cNvPr id="471" name="Rectángulo 8">
          <a:extLst>
            <a:ext uri="{FF2B5EF4-FFF2-40B4-BE49-F238E27FC236}">
              <a16:creationId xmlns:a16="http://schemas.microsoft.com/office/drawing/2014/main" id="{00000000-0008-0000-0400-0000D7010000}"/>
            </a:ext>
          </a:extLst>
        </xdr:cNvPr>
        <xdr:cNvSpPr/>
      </xdr:nvSpPr>
      <xdr:spPr>
        <a:xfrm>
          <a:off x="9715500" y="251460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11</xdr:row>
      <xdr:rowOff>104775</xdr:rowOff>
    </xdr:from>
    <xdr:ext cx="180975" cy="647700"/>
    <xdr:sp macro="" textlink="">
      <xdr:nvSpPr>
        <xdr:cNvPr id="472" name="Rectángulo 471">
          <a:extLst>
            <a:ext uri="{FF2B5EF4-FFF2-40B4-BE49-F238E27FC236}">
              <a16:creationId xmlns:a16="http://schemas.microsoft.com/office/drawing/2014/main" id="{00000000-0008-0000-0400-0000D8010000}"/>
            </a:ext>
          </a:extLst>
        </xdr:cNvPr>
        <xdr:cNvSpPr/>
      </xdr:nvSpPr>
      <xdr:spPr>
        <a:xfrm>
          <a:off x="9715500" y="251460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11</xdr:row>
      <xdr:rowOff>57150</xdr:rowOff>
    </xdr:from>
    <xdr:ext cx="0" cy="561975"/>
    <xdr:sp macro="" textlink="">
      <xdr:nvSpPr>
        <xdr:cNvPr id="473" name="rect">
          <a:extLst>
            <a:ext uri="{FF2B5EF4-FFF2-40B4-BE49-F238E27FC236}">
              <a16:creationId xmlns:a16="http://schemas.microsoft.com/office/drawing/2014/main" id="{00000000-0008-0000-0400-0000D9010000}"/>
            </a:ext>
          </a:extLst>
        </xdr:cNvPr>
        <xdr:cNvSpPr/>
      </xdr:nvSpPr>
      <xdr:spPr>
        <a:xfrm>
          <a:off x="9715500" y="2466975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800100</xdr:colOff>
      <xdr:row>11</xdr:row>
      <xdr:rowOff>57150</xdr:rowOff>
    </xdr:from>
    <xdr:ext cx="0" cy="561975"/>
    <xdr:sp macro="" textlink="">
      <xdr:nvSpPr>
        <xdr:cNvPr id="474" name="rect">
          <a:extLst>
            <a:ext uri="{FF2B5EF4-FFF2-40B4-BE49-F238E27FC236}">
              <a16:creationId xmlns:a16="http://schemas.microsoft.com/office/drawing/2014/main" id="{00000000-0008-0000-0400-0000DA010000}"/>
            </a:ext>
          </a:extLst>
        </xdr:cNvPr>
        <xdr:cNvSpPr/>
      </xdr:nvSpPr>
      <xdr:spPr>
        <a:xfrm>
          <a:off x="9715500" y="2466975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952500</xdr:colOff>
      <xdr:row>13</xdr:row>
      <xdr:rowOff>219075</xdr:rowOff>
    </xdr:from>
    <xdr:ext cx="180975" cy="647700"/>
    <xdr:sp macro="" textlink="">
      <xdr:nvSpPr>
        <xdr:cNvPr id="475" name="Rectángulo 474">
          <a:extLst>
            <a:ext uri="{FF2B5EF4-FFF2-40B4-BE49-F238E27FC236}">
              <a16:creationId xmlns:a16="http://schemas.microsoft.com/office/drawing/2014/main" id="{00000000-0008-0000-0400-0000DB010000}"/>
            </a:ext>
          </a:extLst>
        </xdr:cNvPr>
        <xdr:cNvSpPr/>
      </xdr:nvSpPr>
      <xdr:spPr>
        <a:xfrm>
          <a:off x="9867900" y="306705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2</xdr:col>
      <xdr:colOff>1066800</xdr:colOff>
      <xdr:row>6</xdr:row>
      <xdr:rowOff>19050</xdr:rowOff>
    </xdr:from>
    <xdr:ext cx="0" cy="38100"/>
    <xdr:sp macro="" textlink="">
      <xdr:nvSpPr>
        <xdr:cNvPr id="476" name="CuadroTexto 475">
          <a:extLst>
            <a:ext uri="{FF2B5EF4-FFF2-40B4-BE49-F238E27FC236}">
              <a16:creationId xmlns:a16="http://schemas.microsoft.com/office/drawing/2014/main" id="{00000000-0008-0000-0400-0000DC010000}"/>
            </a:ext>
          </a:extLst>
        </xdr:cNvPr>
        <xdr:cNvSpPr txBox="1"/>
      </xdr:nvSpPr>
      <xdr:spPr>
        <a:xfrm flipH="1">
          <a:off x="3295650" y="1333500"/>
          <a:ext cx="0" cy="38100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lvl="0" algn="ctr"/>
          <a:r>
            <a:rPr lang="es-MX" sz="1200" b="1">
              <a:solidFill>
                <a:sysClr val="windowText" lastClr="000000"/>
              </a:solidFill>
            </a:rPr>
            <a:t>ISLA 9: CAMBIO DE MIX POSICIONES 4, 5, 6 Y 7</a:t>
          </a:r>
        </a:p>
      </xdr:txBody>
    </xdr:sp>
    <xdr:clientData fLocksWithSheet="0"/>
  </xdr:oneCellAnchor>
  <xdr:oneCellAnchor>
    <xdr:from>
      <xdr:col>8</xdr:col>
      <xdr:colOff>800100</xdr:colOff>
      <xdr:row>11</xdr:row>
      <xdr:rowOff>104775</xdr:rowOff>
    </xdr:from>
    <xdr:ext cx="180975" cy="647700"/>
    <xdr:sp macro="" textlink="">
      <xdr:nvSpPr>
        <xdr:cNvPr id="477" name="Rectángulo 8">
          <a:extLst>
            <a:ext uri="{FF2B5EF4-FFF2-40B4-BE49-F238E27FC236}">
              <a16:creationId xmlns:a16="http://schemas.microsoft.com/office/drawing/2014/main" id="{00000000-0008-0000-0400-0000DD010000}"/>
            </a:ext>
          </a:extLst>
        </xdr:cNvPr>
        <xdr:cNvSpPr/>
      </xdr:nvSpPr>
      <xdr:spPr>
        <a:xfrm>
          <a:off x="9715500" y="251460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11</xdr:row>
      <xdr:rowOff>104775</xdr:rowOff>
    </xdr:from>
    <xdr:ext cx="180975" cy="647700"/>
    <xdr:sp macro="" textlink="">
      <xdr:nvSpPr>
        <xdr:cNvPr id="478" name="Rectángulo 8">
          <a:extLst>
            <a:ext uri="{FF2B5EF4-FFF2-40B4-BE49-F238E27FC236}">
              <a16:creationId xmlns:a16="http://schemas.microsoft.com/office/drawing/2014/main" id="{00000000-0008-0000-0400-0000DE010000}"/>
            </a:ext>
          </a:extLst>
        </xdr:cNvPr>
        <xdr:cNvSpPr/>
      </xdr:nvSpPr>
      <xdr:spPr>
        <a:xfrm>
          <a:off x="9715500" y="251460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11</xdr:row>
      <xdr:rowOff>57150</xdr:rowOff>
    </xdr:from>
    <xdr:ext cx="0" cy="561975"/>
    <xdr:sp macro="" textlink="">
      <xdr:nvSpPr>
        <xdr:cNvPr id="479" name="rect">
          <a:extLst>
            <a:ext uri="{FF2B5EF4-FFF2-40B4-BE49-F238E27FC236}">
              <a16:creationId xmlns:a16="http://schemas.microsoft.com/office/drawing/2014/main" id="{00000000-0008-0000-0400-0000DF010000}"/>
            </a:ext>
          </a:extLst>
        </xdr:cNvPr>
        <xdr:cNvSpPr/>
      </xdr:nvSpPr>
      <xdr:spPr>
        <a:xfrm>
          <a:off x="9715500" y="2466975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800100</xdr:colOff>
      <xdr:row>11</xdr:row>
      <xdr:rowOff>57150</xdr:rowOff>
    </xdr:from>
    <xdr:ext cx="0" cy="561975"/>
    <xdr:sp macro="" textlink="">
      <xdr:nvSpPr>
        <xdr:cNvPr id="480" name="rect">
          <a:extLst>
            <a:ext uri="{FF2B5EF4-FFF2-40B4-BE49-F238E27FC236}">
              <a16:creationId xmlns:a16="http://schemas.microsoft.com/office/drawing/2014/main" id="{00000000-0008-0000-0400-0000E0010000}"/>
            </a:ext>
          </a:extLst>
        </xdr:cNvPr>
        <xdr:cNvSpPr/>
      </xdr:nvSpPr>
      <xdr:spPr>
        <a:xfrm>
          <a:off x="9715500" y="2466975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952500</xdr:colOff>
      <xdr:row>13</xdr:row>
      <xdr:rowOff>219075</xdr:rowOff>
    </xdr:from>
    <xdr:ext cx="180975" cy="647700"/>
    <xdr:sp macro="" textlink="">
      <xdr:nvSpPr>
        <xdr:cNvPr id="481" name="Rectángulo 8">
          <a:extLst>
            <a:ext uri="{FF2B5EF4-FFF2-40B4-BE49-F238E27FC236}">
              <a16:creationId xmlns:a16="http://schemas.microsoft.com/office/drawing/2014/main" id="{00000000-0008-0000-0400-0000E1010000}"/>
            </a:ext>
          </a:extLst>
        </xdr:cNvPr>
        <xdr:cNvSpPr/>
      </xdr:nvSpPr>
      <xdr:spPr>
        <a:xfrm>
          <a:off x="9867900" y="306705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11</xdr:row>
      <xdr:rowOff>104775</xdr:rowOff>
    </xdr:from>
    <xdr:ext cx="180975" cy="647700"/>
    <xdr:sp macro="" textlink="">
      <xdr:nvSpPr>
        <xdr:cNvPr id="482" name="Rectángulo 8">
          <a:extLst>
            <a:ext uri="{FF2B5EF4-FFF2-40B4-BE49-F238E27FC236}">
              <a16:creationId xmlns:a16="http://schemas.microsoft.com/office/drawing/2014/main" id="{00000000-0008-0000-0400-0000E2010000}"/>
            </a:ext>
          </a:extLst>
        </xdr:cNvPr>
        <xdr:cNvSpPr/>
      </xdr:nvSpPr>
      <xdr:spPr>
        <a:xfrm>
          <a:off x="9715500" y="251460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11</xdr:row>
      <xdr:rowOff>104775</xdr:rowOff>
    </xdr:from>
    <xdr:ext cx="180975" cy="647700"/>
    <xdr:sp macro="" textlink="">
      <xdr:nvSpPr>
        <xdr:cNvPr id="483" name="Rectángulo 8">
          <a:extLst>
            <a:ext uri="{FF2B5EF4-FFF2-40B4-BE49-F238E27FC236}">
              <a16:creationId xmlns:a16="http://schemas.microsoft.com/office/drawing/2014/main" id="{00000000-0008-0000-0400-0000E3010000}"/>
            </a:ext>
          </a:extLst>
        </xdr:cNvPr>
        <xdr:cNvSpPr/>
      </xdr:nvSpPr>
      <xdr:spPr>
        <a:xfrm>
          <a:off x="9715500" y="251460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11</xdr:row>
      <xdr:rowOff>57150</xdr:rowOff>
    </xdr:from>
    <xdr:ext cx="0" cy="561975"/>
    <xdr:sp macro="" textlink="">
      <xdr:nvSpPr>
        <xdr:cNvPr id="484" name="rect">
          <a:extLst>
            <a:ext uri="{FF2B5EF4-FFF2-40B4-BE49-F238E27FC236}">
              <a16:creationId xmlns:a16="http://schemas.microsoft.com/office/drawing/2014/main" id="{00000000-0008-0000-0400-0000E4010000}"/>
            </a:ext>
          </a:extLst>
        </xdr:cNvPr>
        <xdr:cNvSpPr/>
      </xdr:nvSpPr>
      <xdr:spPr>
        <a:xfrm>
          <a:off x="9715500" y="2466975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800100</xdr:colOff>
      <xdr:row>11</xdr:row>
      <xdr:rowOff>57150</xdr:rowOff>
    </xdr:from>
    <xdr:ext cx="0" cy="561975"/>
    <xdr:sp macro="" textlink="">
      <xdr:nvSpPr>
        <xdr:cNvPr id="485" name="rect">
          <a:extLst>
            <a:ext uri="{FF2B5EF4-FFF2-40B4-BE49-F238E27FC236}">
              <a16:creationId xmlns:a16="http://schemas.microsoft.com/office/drawing/2014/main" id="{00000000-0008-0000-0400-0000E5010000}"/>
            </a:ext>
          </a:extLst>
        </xdr:cNvPr>
        <xdr:cNvSpPr/>
      </xdr:nvSpPr>
      <xdr:spPr>
        <a:xfrm>
          <a:off x="9715500" y="2466975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952500</xdr:colOff>
      <xdr:row>13</xdr:row>
      <xdr:rowOff>219075</xdr:rowOff>
    </xdr:from>
    <xdr:ext cx="180975" cy="647700"/>
    <xdr:sp macro="" textlink="">
      <xdr:nvSpPr>
        <xdr:cNvPr id="486" name="Rectángulo 485">
          <a:extLst>
            <a:ext uri="{FF2B5EF4-FFF2-40B4-BE49-F238E27FC236}">
              <a16:creationId xmlns:a16="http://schemas.microsoft.com/office/drawing/2014/main" id="{00000000-0008-0000-0400-0000E6010000}"/>
            </a:ext>
          </a:extLst>
        </xdr:cNvPr>
        <xdr:cNvSpPr/>
      </xdr:nvSpPr>
      <xdr:spPr>
        <a:xfrm>
          <a:off x="9867900" y="306705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11</xdr:row>
      <xdr:rowOff>104775</xdr:rowOff>
    </xdr:from>
    <xdr:ext cx="180975" cy="647700"/>
    <xdr:sp macro="" textlink="">
      <xdr:nvSpPr>
        <xdr:cNvPr id="487" name="Rectángulo 8">
          <a:extLst>
            <a:ext uri="{FF2B5EF4-FFF2-40B4-BE49-F238E27FC236}">
              <a16:creationId xmlns:a16="http://schemas.microsoft.com/office/drawing/2014/main" id="{00000000-0008-0000-0400-0000E7010000}"/>
            </a:ext>
          </a:extLst>
        </xdr:cNvPr>
        <xdr:cNvSpPr/>
      </xdr:nvSpPr>
      <xdr:spPr>
        <a:xfrm>
          <a:off x="9715500" y="251460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11</xdr:row>
      <xdr:rowOff>104775</xdr:rowOff>
    </xdr:from>
    <xdr:ext cx="180975" cy="647700"/>
    <xdr:sp macro="" textlink="">
      <xdr:nvSpPr>
        <xdr:cNvPr id="488" name="Rectángulo 8">
          <a:extLst>
            <a:ext uri="{FF2B5EF4-FFF2-40B4-BE49-F238E27FC236}">
              <a16:creationId xmlns:a16="http://schemas.microsoft.com/office/drawing/2014/main" id="{00000000-0008-0000-0400-0000E8010000}"/>
            </a:ext>
          </a:extLst>
        </xdr:cNvPr>
        <xdr:cNvSpPr/>
      </xdr:nvSpPr>
      <xdr:spPr>
        <a:xfrm>
          <a:off x="9715500" y="251460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11</xdr:row>
      <xdr:rowOff>57150</xdr:rowOff>
    </xdr:from>
    <xdr:ext cx="0" cy="561975"/>
    <xdr:sp macro="" textlink="">
      <xdr:nvSpPr>
        <xdr:cNvPr id="489" name="rect">
          <a:extLst>
            <a:ext uri="{FF2B5EF4-FFF2-40B4-BE49-F238E27FC236}">
              <a16:creationId xmlns:a16="http://schemas.microsoft.com/office/drawing/2014/main" id="{00000000-0008-0000-0400-0000E9010000}"/>
            </a:ext>
          </a:extLst>
        </xdr:cNvPr>
        <xdr:cNvSpPr/>
      </xdr:nvSpPr>
      <xdr:spPr>
        <a:xfrm>
          <a:off x="9715500" y="2466975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800100</xdr:colOff>
      <xdr:row>11</xdr:row>
      <xdr:rowOff>57150</xdr:rowOff>
    </xdr:from>
    <xdr:ext cx="0" cy="561975"/>
    <xdr:sp macro="" textlink="">
      <xdr:nvSpPr>
        <xdr:cNvPr id="490" name="rect">
          <a:extLst>
            <a:ext uri="{FF2B5EF4-FFF2-40B4-BE49-F238E27FC236}">
              <a16:creationId xmlns:a16="http://schemas.microsoft.com/office/drawing/2014/main" id="{00000000-0008-0000-0400-0000EA010000}"/>
            </a:ext>
          </a:extLst>
        </xdr:cNvPr>
        <xdr:cNvSpPr/>
      </xdr:nvSpPr>
      <xdr:spPr>
        <a:xfrm>
          <a:off x="9715500" y="2466975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952500</xdr:colOff>
      <xdr:row>13</xdr:row>
      <xdr:rowOff>219075</xdr:rowOff>
    </xdr:from>
    <xdr:ext cx="180975" cy="647700"/>
    <xdr:sp macro="" textlink="">
      <xdr:nvSpPr>
        <xdr:cNvPr id="491" name="Rectángulo 8">
          <a:extLst>
            <a:ext uri="{FF2B5EF4-FFF2-40B4-BE49-F238E27FC236}">
              <a16:creationId xmlns:a16="http://schemas.microsoft.com/office/drawing/2014/main" id="{00000000-0008-0000-0400-0000EB010000}"/>
            </a:ext>
          </a:extLst>
        </xdr:cNvPr>
        <xdr:cNvSpPr/>
      </xdr:nvSpPr>
      <xdr:spPr>
        <a:xfrm>
          <a:off x="9867900" y="306705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807383</xdr:colOff>
      <xdr:row>11</xdr:row>
      <xdr:rowOff>111125</xdr:rowOff>
    </xdr:from>
    <xdr:ext cx="184731" cy="655885"/>
    <xdr:sp macro="" textlink="">
      <xdr:nvSpPr>
        <xdr:cNvPr id="492" name="Rectángulo 8">
          <a:extLst>
            <a:ext uri="{FF2B5EF4-FFF2-40B4-BE49-F238E27FC236}">
              <a16:creationId xmlns:a16="http://schemas.microsoft.com/office/drawing/2014/main" id="{00000000-0008-0000-0400-0000EC010000}"/>
            </a:ext>
          </a:extLst>
        </xdr:cNvPr>
        <xdr:cNvSpPr/>
      </xdr:nvSpPr>
      <xdr:spPr>
        <a:xfrm>
          <a:off x="9722783" y="252095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11</xdr:row>
      <xdr:rowOff>111125</xdr:rowOff>
    </xdr:from>
    <xdr:ext cx="184731" cy="655885"/>
    <xdr:sp macro="" textlink="">
      <xdr:nvSpPr>
        <xdr:cNvPr id="493" name="Rectángulo 8">
          <a:extLst>
            <a:ext uri="{FF2B5EF4-FFF2-40B4-BE49-F238E27FC236}">
              <a16:creationId xmlns:a16="http://schemas.microsoft.com/office/drawing/2014/main" id="{00000000-0008-0000-0400-0000ED010000}"/>
            </a:ext>
          </a:extLst>
        </xdr:cNvPr>
        <xdr:cNvSpPr/>
      </xdr:nvSpPr>
      <xdr:spPr>
        <a:xfrm>
          <a:off x="9722783" y="252095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twoCellAnchor>
    <xdr:from>
      <xdr:col>8</xdr:col>
      <xdr:colOff>803348</xdr:colOff>
      <xdr:row>11</xdr:row>
      <xdr:rowOff>62210</xdr:rowOff>
    </xdr:from>
    <xdr:to>
      <xdr:col>8</xdr:col>
      <xdr:colOff>535172</xdr:colOff>
      <xdr:row>13</xdr:row>
      <xdr:rowOff>228376</xdr:rowOff>
    </xdr:to>
    <xdr:sp macro="" textlink="">
      <xdr:nvSpPr>
        <xdr:cNvPr id="494" name="rect">
          <a:extLst>
            <a:ext uri="{FF2B5EF4-FFF2-40B4-BE49-F238E27FC236}">
              <a16:creationId xmlns:a16="http://schemas.microsoft.com/office/drawing/2014/main" id="{00000000-0008-0000-0400-0000EE010000}"/>
            </a:ext>
          </a:extLst>
        </xdr:cNvPr>
        <xdr:cNvSpPr/>
      </xdr:nvSpPr>
      <xdr:spPr>
        <a:xfrm>
          <a:off x="9718748" y="2472035"/>
          <a:ext cx="0" cy="594791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11</xdr:col>
      <xdr:colOff>453735</xdr:colOff>
      <xdr:row>53</xdr:row>
      <xdr:rowOff>179675</xdr:rowOff>
    </xdr:from>
    <xdr:to>
      <xdr:col>11</xdr:col>
      <xdr:colOff>1071562</xdr:colOff>
      <xdr:row>56</xdr:row>
      <xdr:rowOff>23811</xdr:rowOff>
    </xdr:to>
    <xdr:pic>
      <xdr:nvPicPr>
        <xdr:cNvPr id="495" name="9 Imagen" descr=" ">
          <a:extLst>
            <a:ext uri="{FF2B5EF4-FFF2-40B4-BE49-F238E27FC236}">
              <a16:creationId xmlns:a16="http://schemas.microsoft.com/office/drawing/2014/main" id="{00000000-0008-0000-0400-0000EF01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2712410" y="11790650"/>
          <a:ext cx="617827" cy="501361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>
    <xdr:from>
      <xdr:col>8</xdr:col>
      <xdr:colOff>803348</xdr:colOff>
      <xdr:row>11</xdr:row>
      <xdr:rowOff>62210</xdr:rowOff>
    </xdr:from>
    <xdr:to>
      <xdr:col>8</xdr:col>
      <xdr:colOff>535172</xdr:colOff>
      <xdr:row>13</xdr:row>
      <xdr:rowOff>228376</xdr:rowOff>
    </xdr:to>
    <xdr:sp macro="" textlink="">
      <xdr:nvSpPr>
        <xdr:cNvPr id="496" name="rect">
          <a:extLst>
            <a:ext uri="{FF2B5EF4-FFF2-40B4-BE49-F238E27FC236}">
              <a16:creationId xmlns:a16="http://schemas.microsoft.com/office/drawing/2014/main" id="{00000000-0008-0000-0400-0000F0010000}"/>
            </a:ext>
          </a:extLst>
        </xdr:cNvPr>
        <xdr:cNvSpPr/>
      </xdr:nvSpPr>
      <xdr:spPr>
        <a:xfrm>
          <a:off x="9718748" y="2472035"/>
          <a:ext cx="0" cy="594791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oneCellAnchor>
    <xdr:from>
      <xdr:col>8</xdr:col>
      <xdr:colOff>959783</xdr:colOff>
      <xdr:row>13</xdr:row>
      <xdr:rowOff>225425</xdr:rowOff>
    </xdr:from>
    <xdr:ext cx="184731" cy="655885"/>
    <xdr:sp macro="" textlink="">
      <xdr:nvSpPr>
        <xdr:cNvPr id="497" name="Rectángulo 496">
          <a:extLst>
            <a:ext uri="{FF2B5EF4-FFF2-40B4-BE49-F238E27FC236}">
              <a16:creationId xmlns:a16="http://schemas.microsoft.com/office/drawing/2014/main" id="{00000000-0008-0000-0400-0000F1010000}"/>
            </a:ext>
          </a:extLst>
        </xdr:cNvPr>
        <xdr:cNvSpPr/>
      </xdr:nvSpPr>
      <xdr:spPr>
        <a:xfrm>
          <a:off x="9875183" y="3063875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11</xdr:row>
      <xdr:rowOff>111125</xdr:rowOff>
    </xdr:from>
    <xdr:ext cx="184731" cy="655885"/>
    <xdr:sp macro="" textlink="">
      <xdr:nvSpPr>
        <xdr:cNvPr id="498" name="Rectángulo 497">
          <a:extLst>
            <a:ext uri="{FF2B5EF4-FFF2-40B4-BE49-F238E27FC236}">
              <a16:creationId xmlns:a16="http://schemas.microsoft.com/office/drawing/2014/main" id="{00000000-0008-0000-0400-0000F2010000}"/>
            </a:ext>
          </a:extLst>
        </xdr:cNvPr>
        <xdr:cNvSpPr/>
      </xdr:nvSpPr>
      <xdr:spPr>
        <a:xfrm>
          <a:off x="9722783" y="252095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11</xdr:row>
      <xdr:rowOff>111125</xdr:rowOff>
    </xdr:from>
    <xdr:ext cx="184731" cy="655885"/>
    <xdr:sp macro="" textlink="">
      <xdr:nvSpPr>
        <xdr:cNvPr id="499" name="Rectángulo 8">
          <a:extLst>
            <a:ext uri="{FF2B5EF4-FFF2-40B4-BE49-F238E27FC236}">
              <a16:creationId xmlns:a16="http://schemas.microsoft.com/office/drawing/2014/main" id="{00000000-0008-0000-0400-0000F3010000}"/>
            </a:ext>
          </a:extLst>
        </xdr:cNvPr>
        <xdr:cNvSpPr/>
      </xdr:nvSpPr>
      <xdr:spPr>
        <a:xfrm>
          <a:off x="9722783" y="252095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twoCellAnchor>
    <xdr:from>
      <xdr:col>8</xdr:col>
      <xdr:colOff>803348</xdr:colOff>
      <xdr:row>11</xdr:row>
      <xdr:rowOff>62210</xdr:rowOff>
    </xdr:from>
    <xdr:to>
      <xdr:col>8</xdr:col>
      <xdr:colOff>535172</xdr:colOff>
      <xdr:row>13</xdr:row>
      <xdr:rowOff>228376</xdr:rowOff>
    </xdr:to>
    <xdr:sp macro="" textlink="">
      <xdr:nvSpPr>
        <xdr:cNvPr id="500" name="rect">
          <a:extLst>
            <a:ext uri="{FF2B5EF4-FFF2-40B4-BE49-F238E27FC236}">
              <a16:creationId xmlns:a16="http://schemas.microsoft.com/office/drawing/2014/main" id="{00000000-0008-0000-0400-0000F4010000}"/>
            </a:ext>
          </a:extLst>
        </xdr:cNvPr>
        <xdr:cNvSpPr/>
      </xdr:nvSpPr>
      <xdr:spPr>
        <a:xfrm>
          <a:off x="9718748" y="2472035"/>
          <a:ext cx="0" cy="594791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8</xdr:col>
      <xdr:colOff>803348</xdr:colOff>
      <xdr:row>11</xdr:row>
      <xdr:rowOff>62210</xdr:rowOff>
    </xdr:from>
    <xdr:to>
      <xdr:col>8</xdr:col>
      <xdr:colOff>535172</xdr:colOff>
      <xdr:row>13</xdr:row>
      <xdr:rowOff>228376</xdr:rowOff>
    </xdr:to>
    <xdr:sp macro="" textlink="">
      <xdr:nvSpPr>
        <xdr:cNvPr id="501" name="rect">
          <a:extLst>
            <a:ext uri="{FF2B5EF4-FFF2-40B4-BE49-F238E27FC236}">
              <a16:creationId xmlns:a16="http://schemas.microsoft.com/office/drawing/2014/main" id="{00000000-0008-0000-0400-0000F5010000}"/>
            </a:ext>
          </a:extLst>
        </xdr:cNvPr>
        <xdr:cNvSpPr/>
      </xdr:nvSpPr>
      <xdr:spPr>
        <a:xfrm>
          <a:off x="9718748" y="2472035"/>
          <a:ext cx="0" cy="594791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oneCellAnchor>
    <xdr:from>
      <xdr:col>8</xdr:col>
      <xdr:colOff>959783</xdr:colOff>
      <xdr:row>13</xdr:row>
      <xdr:rowOff>225425</xdr:rowOff>
    </xdr:from>
    <xdr:ext cx="184731" cy="655885"/>
    <xdr:sp macro="" textlink="">
      <xdr:nvSpPr>
        <xdr:cNvPr id="502" name="Rectángulo 501">
          <a:extLst>
            <a:ext uri="{FF2B5EF4-FFF2-40B4-BE49-F238E27FC236}">
              <a16:creationId xmlns:a16="http://schemas.microsoft.com/office/drawing/2014/main" id="{00000000-0008-0000-0400-0000F6010000}"/>
            </a:ext>
          </a:extLst>
        </xdr:cNvPr>
        <xdr:cNvSpPr/>
      </xdr:nvSpPr>
      <xdr:spPr>
        <a:xfrm>
          <a:off x="9875183" y="3063875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11</xdr:row>
      <xdr:rowOff>111125</xdr:rowOff>
    </xdr:from>
    <xdr:ext cx="184731" cy="655885"/>
    <xdr:sp macro="" textlink="">
      <xdr:nvSpPr>
        <xdr:cNvPr id="503" name="Rectángulo 8">
          <a:extLst>
            <a:ext uri="{FF2B5EF4-FFF2-40B4-BE49-F238E27FC236}">
              <a16:creationId xmlns:a16="http://schemas.microsoft.com/office/drawing/2014/main" id="{00000000-0008-0000-0400-0000F7010000}"/>
            </a:ext>
          </a:extLst>
        </xdr:cNvPr>
        <xdr:cNvSpPr/>
      </xdr:nvSpPr>
      <xdr:spPr>
        <a:xfrm>
          <a:off x="9722783" y="252095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11</xdr:row>
      <xdr:rowOff>111125</xdr:rowOff>
    </xdr:from>
    <xdr:ext cx="184731" cy="655885"/>
    <xdr:sp macro="" textlink="">
      <xdr:nvSpPr>
        <xdr:cNvPr id="504" name="Rectángulo 8">
          <a:extLst>
            <a:ext uri="{FF2B5EF4-FFF2-40B4-BE49-F238E27FC236}">
              <a16:creationId xmlns:a16="http://schemas.microsoft.com/office/drawing/2014/main" id="{00000000-0008-0000-0400-0000F8010000}"/>
            </a:ext>
          </a:extLst>
        </xdr:cNvPr>
        <xdr:cNvSpPr/>
      </xdr:nvSpPr>
      <xdr:spPr>
        <a:xfrm>
          <a:off x="9722783" y="252095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twoCellAnchor>
    <xdr:from>
      <xdr:col>8</xdr:col>
      <xdr:colOff>803348</xdr:colOff>
      <xdr:row>11</xdr:row>
      <xdr:rowOff>62210</xdr:rowOff>
    </xdr:from>
    <xdr:to>
      <xdr:col>8</xdr:col>
      <xdr:colOff>535172</xdr:colOff>
      <xdr:row>13</xdr:row>
      <xdr:rowOff>228376</xdr:rowOff>
    </xdr:to>
    <xdr:sp macro="" textlink="">
      <xdr:nvSpPr>
        <xdr:cNvPr id="505" name="rect">
          <a:extLst>
            <a:ext uri="{FF2B5EF4-FFF2-40B4-BE49-F238E27FC236}">
              <a16:creationId xmlns:a16="http://schemas.microsoft.com/office/drawing/2014/main" id="{00000000-0008-0000-0400-0000F9010000}"/>
            </a:ext>
          </a:extLst>
        </xdr:cNvPr>
        <xdr:cNvSpPr/>
      </xdr:nvSpPr>
      <xdr:spPr>
        <a:xfrm>
          <a:off x="9718748" y="2472035"/>
          <a:ext cx="0" cy="594791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8</xdr:col>
      <xdr:colOff>803348</xdr:colOff>
      <xdr:row>11</xdr:row>
      <xdr:rowOff>62210</xdr:rowOff>
    </xdr:from>
    <xdr:to>
      <xdr:col>8</xdr:col>
      <xdr:colOff>535172</xdr:colOff>
      <xdr:row>13</xdr:row>
      <xdr:rowOff>228376</xdr:rowOff>
    </xdr:to>
    <xdr:sp macro="" textlink="">
      <xdr:nvSpPr>
        <xdr:cNvPr id="506" name="rect">
          <a:extLst>
            <a:ext uri="{FF2B5EF4-FFF2-40B4-BE49-F238E27FC236}">
              <a16:creationId xmlns:a16="http://schemas.microsoft.com/office/drawing/2014/main" id="{00000000-0008-0000-0400-0000FA010000}"/>
            </a:ext>
          </a:extLst>
        </xdr:cNvPr>
        <xdr:cNvSpPr/>
      </xdr:nvSpPr>
      <xdr:spPr>
        <a:xfrm>
          <a:off x="9718748" y="2472035"/>
          <a:ext cx="0" cy="594791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oneCellAnchor>
    <xdr:from>
      <xdr:col>8</xdr:col>
      <xdr:colOff>959783</xdr:colOff>
      <xdr:row>13</xdr:row>
      <xdr:rowOff>225425</xdr:rowOff>
    </xdr:from>
    <xdr:ext cx="184731" cy="655885"/>
    <xdr:sp macro="" textlink="">
      <xdr:nvSpPr>
        <xdr:cNvPr id="507" name="Rectángulo 506">
          <a:extLst>
            <a:ext uri="{FF2B5EF4-FFF2-40B4-BE49-F238E27FC236}">
              <a16:creationId xmlns:a16="http://schemas.microsoft.com/office/drawing/2014/main" id="{00000000-0008-0000-0400-0000FB010000}"/>
            </a:ext>
          </a:extLst>
        </xdr:cNvPr>
        <xdr:cNvSpPr/>
      </xdr:nvSpPr>
      <xdr:spPr>
        <a:xfrm>
          <a:off x="9875183" y="3063875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11</xdr:row>
      <xdr:rowOff>111125</xdr:rowOff>
    </xdr:from>
    <xdr:ext cx="184731" cy="655885"/>
    <xdr:sp macro="" textlink="">
      <xdr:nvSpPr>
        <xdr:cNvPr id="508" name="Rectángulo 507">
          <a:extLst>
            <a:ext uri="{FF2B5EF4-FFF2-40B4-BE49-F238E27FC236}">
              <a16:creationId xmlns:a16="http://schemas.microsoft.com/office/drawing/2014/main" id="{00000000-0008-0000-0400-0000FC010000}"/>
            </a:ext>
          </a:extLst>
        </xdr:cNvPr>
        <xdr:cNvSpPr/>
      </xdr:nvSpPr>
      <xdr:spPr>
        <a:xfrm>
          <a:off x="9722783" y="252095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11</xdr:row>
      <xdr:rowOff>111125</xdr:rowOff>
    </xdr:from>
    <xdr:ext cx="184731" cy="655885"/>
    <xdr:sp macro="" textlink="">
      <xdr:nvSpPr>
        <xdr:cNvPr id="509" name="Rectángulo 8">
          <a:extLst>
            <a:ext uri="{FF2B5EF4-FFF2-40B4-BE49-F238E27FC236}">
              <a16:creationId xmlns:a16="http://schemas.microsoft.com/office/drawing/2014/main" id="{00000000-0008-0000-0400-0000FD010000}"/>
            </a:ext>
          </a:extLst>
        </xdr:cNvPr>
        <xdr:cNvSpPr/>
      </xdr:nvSpPr>
      <xdr:spPr>
        <a:xfrm>
          <a:off x="9722783" y="252095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twoCellAnchor>
    <xdr:from>
      <xdr:col>8</xdr:col>
      <xdr:colOff>803348</xdr:colOff>
      <xdr:row>11</xdr:row>
      <xdr:rowOff>62210</xdr:rowOff>
    </xdr:from>
    <xdr:to>
      <xdr:col>8</xdr:col>
      <xdr:colOff>535172</xdr:colOff>
      <xdr:row>13</xdr:row>
      <xdr:rowOff>228376</xdr:rowOff>
    </xdr:to>
    <xdr:sp macro="" textlink="">
      <xdr:nvSpPr>
        <xdr:cNvPr id="510" name="rect">
          <a:extLst>
            <a:ext uri="{FF2B5EF4-FFF2-40B4-BE49-F238E27FC236}">
              <a16:creationId xmlns:a16="http://schemas.microsoft.com/office/drawing/2014/main" id="{00000000-0008-0000-0400-0000FE010000}"/>
            </a:ext>
          </a:extLst>
        </xdr:cNvPr>
        <xdr:cNvSpPr/>
      </xdr:nvSpPr>
      <xdr:spPr>
        <a:xfrm>
          <a:off x="9718748" y="2472035"/>
          <a:ext cx="0" cy="594791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8</xdr:col>
      <xdr:colOff>803348</xdr:colOff>
      <xdr:row>11</xdr:row>
      <xdr:rowOff>62210</xdr:rowOff>
    </xdr:from>
    <xdr:to>
      <xdr:col>8</xdr:col>
      <xdr:colOff>535172</xdr:colOff>
      <xdr:row>13</xdr:row>
      <xdr:rowOff>228376</xdr:rowOff>
    </xdr:to>
    <xdr:sp macro="" textlink="">
      <xdr:nvSpPr>
        <xdr:cNvPr id="511" name="rect">
          <a:extLst>
            <a:ext uri="{FF2B5EF4-FFF2-40B4-BE49-F238E27FC236}">
              <a16:creationId xmlns:a16="http://schemas.microsoft.com/office/drawing/2014/main" id="{00000000-0008-0000-0400-0000FF010000}"/>
            </a:ext>
          </a:extLst>
        </xdr:cNvPr>
        <xdr:cNvSpPr/>
      </xdr:nvSpPr>
      <xdr:spPr>
        <a:xfrm>
          <a:off x="9718748" y="2472035"/>
          <a:ext cx="0" cy="594791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oneCellAnchor>
    <xdr:from>
      <xdr:col>8</xdr:col>
      <xdr:colOff>959783</xdr:colOff>
      <xdr:row>13</xdr:row>
      <xdr:rowOff>225425</xdr:rowOff>
    </xdr:from>
    <xdr:ext cx="184731" cy="655885"/>
    <xdr:sp macro="" textlink="">
      <xdr:nvSpPr>
        <xdr:cNvPr id="512" name="Rectángulo 511">
          <a:extLst>
            <a:ext uri="{FF2B5EF4-FFF2-40B4-BE49-F238E27FC236}">
              <a16:creationId xmlns:a16="http://schemas.microsoft.com/office/drawing/2014/main" id="{00000000-0008-0000-0400-000000020000}"/>
            </a:ext>
          </a:extLst>
        </xdr:cNvPr>
        <xdr:cNvSpPr/>
      </xdr:nvSpPr>
      <xdr:spPr>
        <a:xfrm>
          <a:off x="9875183" y="3063875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0</xdr:col>
      <xdr:colOff>959783</xdr:colOff>
      <xdr:row>59</xdr:row>
      <xdr:rowOff>225425</xdr:rowOff>
    </xdr:from>
    <xdr:ext cx="184731" cy="655885"/>
    <xdr:sp macro="" textlink="">
      <xdr:nvSpPr>
        <xdr:cNvPr id="513" name="Rectángulo 512">
          <a:extLst>
            <a:ext uri="{FF2B5EF4-FFF2-40B4-BE49-F238E27FC236}">
              <a16:creationId xmlns:a16="http://schemas.microsoft.com/office/drawing/2014/main" id="{00000000-0008-0000-0400-000001020000}"/>
            </a:ext>
          </a:extLst>
        </xdr:cNvPr>
        <xdr:cNvSpPr/>
      </xdr:nvSpPr>
      <xdr:spPr>
        <a:xfrm>
          <a:off x="959783" y="13141325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0</xdr:col>
      <xdr:colOff>959783</xdr:colOff>
      <xdr:row>59</xdr:row>
      <xdr:rowOff>225425</xdr:rowOff>
    </xdr:from>
    <xdr:ext cx="184731" cy="655885"/>
    <xdr:sp macro="" textlink="">
      <xdr:nvSpPr>
        <xdr:cNvPr id="514" name="Rectángulo 513">
          <a:extLst>
            <a:ext uri="{FF2B5EF4-FFF2-40B4-BE49-F238E27FC236}">
              <a16:creationId xmlns:a16="http://schemas.microsoft.com/office/drawing/2014/main" id="{00000000-0008-0000-0400-000002020000}"/>
            </a:ext>
          </a:extLst>
        </xdr:cNvPr>
        <xdr:cNvSpPr/>
      </xdr:nvSpPr>
      <xdr:spPr>
        <a:xfrm>
          <a:off x="959783" y="13141325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twoCellAnchor>
    <xdr:from>
      <xdr:col>31</xdr:col>
      <xdr:colOff>566739</xdr:colOff>
      <xdr:row>32</xdr:row>
      <xdr:rowOff>85726</xdr:rowOff>
    </xdr:from>
    <xdr:to>
      <xdr:col>35</xdr:col>
      <xdr:colOff>376239</xdr:colOff>
      <xdr:row>34</xdr:row>
      <xdr:rowOff>190501</xdr:rowOff>
    </xdr:to>
    <xdr:sp macro="" textlink="">
      <xdr:nvSpPr>
        <xdr:cNvPr id="515" name="rect">
          <a:extLst>
            <a:ext uri="{FF2B5EF4-FFF2-40B4-BE49-F238E27FC236}">
              <a16:creationId xmlns:a16="http://schemas.microsoft.com/office/drawing/2014/main" id="{00000000-0008-0000-0400-000003020000}"/>
            </a:ext>
            <a:ext uri="{147F2762-F138-4A5C-976F-8EAC2B608ADB}">
              <a16:predDERef xmlns:a16="http://schemas.microsoft.com/office/drawing/2014/main" pred="{00000000-0008-0000-0500-000002000000}"/>
            </a:ext>
          </a:extLst>
        </xdr:cNvPr>
        <xdr:cNvSpPr/>
      </xdr:nvSpPr>
      <xdr:spPr>
        <a:xfrm rot="10800000" flipV="1">
          <a:off x="35113914" y="7096126"/>
          <a:ext cx="4267200" cy="5429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4000" b="1">
              <a:solidFill>
                <a:srgbClr val="333333"/>
              </a:solidFill>
              <a:latin typeface="Calibri" panose="00000000000000000000" charset="0"/>
              <a:ea typeface="Calibri" panose="00000000000000000000" charset="0"/>
            </a:rPr>
            <a:t>NO  FUMAR</a:t>
          </a:r>
        </a:p>
      </xdr:txBody>
    </xdr:sp>
    <xdr:clientData/>
  </xdr:twoCellAnchor>
  <xdr:twoCellAnchor>
    <xdr:from>
      <xdr:col>10</xdr:col>
      <xdr:colOff>207818</xdr:colOff>
      <xdr:row>50</xdr:row>
      <xdr:rowOff>232065</xdr:rowOff>
    </xdr:from>
    <xdr:to>
      <xdr:col>13</xdr:col>
      <xdr:colOff>195118</xdr:colOff>
      <xdr:row>53</xdr:row>
      <xdr:rowOff>247651</xdr:rowOff>
    </xdr:to>
    <xdr:sp macro="" textlink="">
      <xdr:nvSpPr>
        <xdr:cNvPr id="516" name="rect">
          <a:extLst>
            <a:ext uri="{FF2B5EF4-FFF2-40B4-BE49-F238E27FC236}">
              <a16:creationId xmlns:a16="http://schemas.microsoft.com/office/drawing/2014/main" id="{00000000-0008-0000-0400-000004020000}"/>
            </a:ext>
            <a:ext uri="{147F2762-F138-4A5C-976F-8EAC2B608ADB}">
              <a16:predDERef xmlns:a16="http://schemas.microsoft.com/office/drawing/2014/main" pred="{00000000-0008-0000-0500-000002000000}"/>
            </a:ext>
          </a:extLst>
        </xdr:cNvPr>
        <xdr:cNvSpPr/>
      </xdr:nvSpPr>
      <xdr:spPr>
        <a:xfrm>
          <a:off x="11352068" y="11176290"/>
          <a:ext cx="3330575" cy="653761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4000" b="1">
              <a:solidFill>
                <a:srgbClr val="333333"/>
              </a:solidFill>
              <a:latin typeface="Calibri" panose="00000000000000000000" charset="0"/>
              <a:ea typeface="Calibri" panose="00000000000000000000" charset="0"/>
            </a:rPr>
            <a:t>  FUMAR</a:t>
          </a:r>
        </a:p>
      </xdr:txBody>
    </xdr:sp>
    <xdr:clientData/>
  </xdr:twoCellAnchor>
  <xdr:oneCellAnchor>
    <xdr:from>
      <xdr:col>2</xdr:col>
      <xdr:colOff>0</xdr:colOff>
      <xdr:row>3</xdr:row>
      <xdr:rowOff>0</xdr:rowOff>
    </xdr:from>
    <xdr:ext cx="184731" cy="655885"/>
    <xdr:sp macro="" textlink="">
      <xdr:nvSpPr>
        <xdr:cNvPr id="517" name="Rectángulo 516">
          <a:extLst>
            <a:ext uri="{FF2B5EF4-FFF2-40B4-BE49-F238E27FC236}">
              <a16:creationId xmlns:a16="http://schemas.microsoft.com/office/drawing/2014/main" id="{00000000-0008-0000-0400-000005020000}"/>
            </a:ext>
          </a:extLst>
        </xdr:cNvPr>
        <xdr:cNvSpPr/>
      </xdr:nvSpPr>
      <xdr:spPr>
        <a:xfrm>
          <a:off x="2228850" y="657225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twoCellAnchor>
    <xdr:from>
      <xdr:col>32</xdr:col>
      <xdr:colOff>957259</xdr:colOff>
      <xdr:row>34</xdr:row>
      <xdr:rowOff>223838</xdr:rowOff>
    </xdr:from>
    <xdr:to>
      <xdr:col>33</xdr:col>
      <xdr:colOff>666749</xdr:colOff>
      <xdr:row>38</xdr:row>
      <xdr:rowOff>0</xdr:rowOff>
    </xdr:to>
    <xdr:pic>
      <xdr:nvPicPr>
        <xdr:cNvPr id="518" name="Imagen 517" descr=" ">
          <a:extLst>
            <a:ext uri="{FF2B5EF4-FFF2-40B4-BE49-F238E27FC236}">
              <a16:creationId xmlns:a16="http://schemas.microsoft.com/office/drawing/2014/main" id="{00000000-0008-0000-0400-000006020000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 flipH="1">
          <a:off x="36618859" y="7662863"/>
          <a:ext cx="823915" cy="661987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>
    <xdr:from>
      <xdr:col>11</xdr:col>
      <xdr:colOff>498763</xdr:colOff>
      <xdr:row>2</xdr:row>
      <xdr:rowOff>44162</xdr:rowOff>
    </xdr:from>
    <xdr:to>
      <xdr:col>12</xdr:col>
      <xdr:colOff>1051214</xdr:colOff>
      <xdr:row>5</xdr:row>
      <xdr:rowOff>126423</xdr:rowOff>
    </xdr:to>
    <xdr:sp macro="" textlink="">
      <xdr:nvSpPr>
        <xdr:cNvPr id="519" name="CuadroTexto 518">
          <a:extLst>
            <a:ext uri="{FF2B5EF4-FFF2-40B4-BE49-F238E27FC236}">
              <a16:creationId xmlns:a16="http://schemas.microsoft.com/office/drawing/2014/main" id="{00000000-0008-0000-0400-000007020000}"/>
            </a:ext>
          </a:extLst>
        </xdr:cNvPr>
        <xdr:cNvSpPr txBox="1"/>
      </xdr:nvSpPr>
      <xdr:spPr>
        <a:xfrm>
          <a:off x="12757438" y="482312"/>
          <a:ext cx="1666876" cy="739486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200" b="1">
              <a:solidFill>
                <a:sysClr val="windowText" lastClr="000000"/>
              </a:solidFill>
            </a:rPr>
            <a:t>RETIRO DE TODAS LAS TERMINALES</a:t>
          </a:r>
        </a:p>
      </xdr:txBody>
    </xdr:sp>
    <xdr:clientData/>
  </xdr:twoCellAnchor>
  <xdr:twoCellAnchor>
    <xdr:from>
      <xdr:col>8</xdr:col>
      <xdr:colOff>1013113</xdr:colOff>
      <xdr:row>25</xdr:row>
      <xdr:rowOff>185304</xdr:rowOff>
    </xdr:from>
    <xdr:to>
      <xdr:col>10</xdr:col>
      <xdr:colOff>426028</xdr:colOff>
      <xdr:row>34</xdr:row>
      <xdr:rowOff>167986</xdr:rowOff>
    </xdr:to>
    <xdr:sp macro="" textlink="">
      <xdr:nvSpPr>
        <xdr:cNvPr id="520" name="CuadroTexto 519">
          <a:extLst>
            <a:ext uri="{FF2B5EF4-FFF2-40B4-BE49-F238E27FC236}">
              <a16:creationId xmlns:a16="http://schemas.microsoft.com/office/drawing/2014/main" id="{00000000-0008-0000-0400-000008020000}"/>
            </a:ext>
          </a:extLst>
        </xdr:cNvPr>
        <xdr:cNvSpPr txBox="1"/>
      </xdr:nvSpPr>
      <xdr:spPr>
        <a:xfrm>
          <a:off x="9928513" y="5662179"/>
          <a:ext cx="1641765" cy="1954357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200" b="1">
              <a:solidFill>
                <a:sysClr val="windowText" lastClr="000000"/>
              </a:solidFill>
            </a:rPr>
            <a:t>ISLA 2: CAMBIO</a:t>
          </a:r>
          <a:r>
            <a:rPr lang="es-MX" sz="1200" b="1" baseline="0">
              <a:solidFill>
                <a:sysClr val="windowText" lastClr="000000"/>
              </a:solidFill>
            </a:rPr>
            <a:t> DE MIX POSICIONES 1, 2, 3, 4 Y 5</a:t>
          </a:r>
        </a:p>
        <a:p>
          <a:pPr algn="ctr"/>
          <a:r>
            <a:rPr lang="es-MX" sz="1200" b="1" baseline="0">
              <a:solidFill>
                <a:sysClr val="windowText" lastClr="000000"/>
              </a:solidFill>
            </a:rPr>
            <a:t>MOVIMIENTO A NO FUMAR (FLECHA ROJA) POSICIONES 6, 7, 8, 9, 10 Y 11</a:t>
          </a:r>
          <a:endParaRPr lang="es-MX" sz="12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13</xdr:col>
      <xdr:colOff>51955</xdr:colOff>
      <xdr:row>27</xdr:row>
      <xdr:rowOff>190500</xdr:rowOff>
    </xdr:from>
    <xdr:to>
      <xdr:col>33</xdr:col>
      <xdr:colOff>1104900</xdr:colOff>
      <xdr:row>52</xdr:row>
      <xdr:rowOff>0</xdr:rowOff>
    </xdr:to>
    <xdr:cxnSp macro="">
      <xdr:nvCxnSpPr>
        <xdr:cNvPr id="521" name="Conector recto de flecha 520">
          <a:extLst>
            <a:ext uri="{FF2B5EF4-FFF2-40B4-BE49-F238E27FC236}">
              <a16:creationId xmlns:a16="http://schemas.microsoft.com/office/drawing/2014/main" id="{00000000-0008-0000-0400-000009020000}"/>
            </a:ext>
          </a:extLst>
        </xdr:cNvPr>
        <xdr:cNvCxnSpPr/>
      </xdr:nvCxnSpPr>
      <xdr:spPr>
        <a:xfrm>
          <a:off x="14539480" y="6105525"/>
          <a:ext cx="23341445" cy="5286375"/>
        </a:xfrm>
        <a:prstGeom prst="straightConnector1">
          <a:avLst/>
        </a:prstGeom>
        <a:ln w="381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207818</xdr:colOff>
      <xdr:row>10</xdr:row>
      <xdr:rowOff>103909</xdr:rowOff>
    </xdr:from>
    <xdr:to>
      <xdr:col>21</xdr:col>
      <xdr:colOff>744683</xdr:colOff>
      <xdr:row>17</xdr:row>
      <xdr:rowOff>86591</xdr:rowOff>
    </xdr:to>
    <xdr:sp macro="" textlink="">
      <xdr:nvSpPr>
        <xdr:cNvPr id="522" name="CuadroTexto 521">
          <a:extLst>
            <a:ext uri="{FF2B5EF4-FFF2-40B4-BE49-F238E27FC236}">
              <a16:creationId xmlns:a16="http://schemas.microsoft.com/office/drawing/2014/main" id="{00000000-0008-0000-0400-00000A020000}"/>
            </a:ext>
          </a:extLst>
        </xdr:cNvPr>
        <xdr:cNvSpPr txBox="1"/>
      </xdr:nvSpPr>
      <xdr:spPr>
        <a:xfrm>
          <a:off x="22496318" y="2294659"/>
          <a:ext cx="1651290" cy="1516207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200" b="1">
              <a:solidFill>
                <a:sysClr val="windowText" lastClr="000000"/>
              </a:solidFill>
            </a:rPr>
            <a:t>ISLA 1: CAMBIO</a:t>
          </a:r>
          <a:r>
            <a:rPr lang="es-MX" sz="1200" b="1" baseline="0">
              <a:solidFill>
                <a:sysClr val="windowText" lastClr="000000"/>
              </a:solidFill>
            </a:rPr>
            <a:t> DE MIX POSICIONES 6 Y 7 CON AJUSTE DE DENOMINACIÓN EN POSICIÓN 6</a:t>
          </a:r>
          <a:endParaRPr lang="es-MX" sz="1200" b="1">
            <a:solidFill>
              <a:sysClr val="windowText" lastClr="000000"/>
            </a:solidFill>
          </a:endParaRPr>
        </a:p>
      </xdr:txBody>
    </xdr:sp>
    <xdr:clientData/>
  </xdr:twoCellAnchor>
  <xdr:oneCellAnchor>
    <xdr:from>
      <xdr:col>38</xdr:col>
      <xdr:colOff>626918</xdr:colOff>
      <xdr:row>50</xdr:row>
      <xdr:rowOff>157597</xdr:rowOff>
    </xdr:from>
    <xdr:ext cx="1524000" cy="905739"/>
    <xdr:sp macro="" textlink="">
      <xdr:nvSpPr>
        <xdr:cNvPr id="523" name="CuadroTexto 522">
          <a:extLst>
            <a:ext uri="{FF2B5EF4-FFF2-40B4-BE49-F238E27FC236}">
              <a16:creationId xmlns:a16="http://schemas.microsoft.com/office/drawing/2014/main" id="{00000000-0008-0000-0400-00000B020000}"/>
            </a:ext>
          </a:extLst>
        </xdr:cNvPr>
        <xdr:cNvSpPr txBox="1"/>
      </xdr:nvSpPr>
      <xdr:spPr>
        <a:xfrm>
          <a:off x="42975068" y="11111347"/>
          <a:ext cx="1524000" cy="905739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s-MX" sz="1200" b="1">
              <a:solidFill>
                <a:sysClr val="windowText" lastClr="000000"/>
              </a:solidFill>
            </a:rPr>
            <a:t>ISLA 4: CAMBIO DE MIX</a:t>
          </a:r>
          <a:r>
            <a:rPr lang="es-MX" sz="1200" b="1" baseline="0">
              <a:solidFill>
                <a:sysClr val="windowText" lastClr="000000"/>
              </a:solidFill>
            </a:rPr>
            <a:t> POSICIONES 4, 5, Y 6</a:t>
          </a:r>
          <a:endParaRPr lang="es-MX" sz="1200" b="1">
            <a:solidFill>
              <a:sysClr val="windowText" lastClr="000000"/>
            </a:solidFill>
          </a:endParaRPr>
        </a:p>
      </xdr:txBody>
    </xdr:sp>
    <xdr:clientData/>
  </xdr:oneCellAnchor>
  <xdr:oneCellAnchor>
    <xdr:from>
      <xdr:col>38</xdr:col>
      <xdr:colOff>665018</xdr:colOff>
      <xdr:row>59</xdr:row>
      <xdr:rowOff>169719</xdr:rowOff>
    </xdr:from>
    <xdr:ext cx="1524000" cy="905739"/>
    <xdr:sp macro="" textlink="">
      <xdr:nvSpPr>
        <xdr:cNvPr id="524" name="CuadroTexto 523">
          <a:extLst>
            <a:ext uri="{FF2B5EF4-FFF2-40B4-BE49-F238E27FC236}">
              <a16:creationId xmlns:a16="http://schemas.microsoft.com/office/drawing/2014/main" id="{00000000-0008-0000-0400-00000C020000}"/>
            </a:ext>
          </a:extLst>
        </xdr:cNvPr>
        <xdr:cNvSpPr txBox="1"/>
      </xdr:nvSpPr>
      <xdr:spPr>
        <a:xfrm>
          <a:off x="43013168" y="13095144"/>
          <a:ext cx="1524000" cy="905739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s-MX" sz="1200" b="1">
              <a:solidFill>
                <a:sysClr val="windowText" lastClr="000000"/>
              </a:solidFill>
            </a:rPr>
            <a:t>ISLA 5: CAMBIO DE MIX</a:t>
          </a:r>
          <a:r>
            <a:rPr lang="es-MX" sz="1200" b="1" baseline="0">
              <a:solidFill>
                <a:sysClr val="windowText" lastClr="000000"/>
              </a:solidFill>
            </a:rPr>
            <a:t> POSICIONES 1, 2, Y 3</a:t>
          </a:r>
          <a:endParaRPr lang="es-MX" sz="1200" b="1">
            <a:solidFill>
              <a:sysClr val="windowText" lastClr="000000"/>
            </a:solidFill>
          </a:endParaRPr>
        </a:p>
      </xdr:txBody>
    </xdr:sp>
    <xdr:clientData/>
  </xdr:oneCellAnchor>
  <xdr:oneCellAnchor>
    <xdr:from>
      <xdr:col>30</xdr:col>
      <xdr:colOff>38100</xdr:colOff>
      <xdr:row>51</xdr:row>
      <xdr:rowOff>43297</xdr:rowOff>
    </xdr:from>
    <xdr:ext cx="3141518" cy="905739"/>
    <xdr:sp macro="" textlink="">
      <xdr:nvSpPr>
        <xdr:cNvPr id="525" name="CuadroTexto 524">
          <a:extLst>
            <a:ext uri="{FF2B5EF4-FFF2-40B4-BE49-F238E27FC236}">
              <a16:creationId xmlns:a16="http://schemas.microsoft.com/office/drawing/2014/main" id="{00000000-0008-0000-0400-00000D020000}"/>
            </a:ext>
          </a:extLst>
        </xdr:cNvPr>
        <xdr:cNvSpPr txBox="1"/>
      </xdr:nvSpPr>
      <xdr:spPr>
        <a:xfrm>
          <a:off x="33470850" y="11216122"/>
          <a:ext cx="3141518" cy="905739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s-MX" sz="1200" b="1">
              <a:solidFill>
                <a:sysClr val="windowText" lastClr="000000"/>
              </a:solidFill>
            </a:rPr>
            <a:t>ISLA 3: RETIRO TODAS LAS TERMINALES </a:t>
          </a:r>
        </a:p>
        <a:p>
          <a:pPr algn="ctr"/>
          <a:r>
            <a:rPr lang="es-MX" sz="1200" b="1">
              <a:solidFill>
                <a:sysClr val="windowText" lastClr="000000"/>
              </a:solidFill>
            </a:rPr>
            <a:t>MOVIMIENTO DE TERMINALES CON CAMBIO DE MIX EN TODAS (FLEHCA ROJA)</a:t>
          </a: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1066800</xdr:colOff>
      <xdr:row>0</xdr:row>
      <xdr:rowOff>0</xdr:rowOff>
    </xdr:from>
    <xdr:ext cx="0" cy="38100"/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 txBox="1"/>
      </xdr:nvSpPr>
      <xdr:spPr>
        <a:xfrm flipH="1">
          <a:off x="3295650" y="0"/>
          <a:ext cx="0" cy="38100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lvl="0" algn="ctr"/>
          <a:r>
            <a:rPr lang="es-MX" sz="1200" b="1">
              <a:solidFill>
                <a:sysClr val="windowText" lastClr="000000"/>
              </a:solidFill>
            </a:rPr>
            <a:t>ISLA 9: CAMBIO DE MIX POSICIONES 4, 5, 6 Y 7</a:t>
          </a: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3" name="Rectángulo 8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4" name="Rectángulo 8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5" name="rect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6" name="rect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952500</xdr:colOff>
      <xdr:row>0</xdr:row>
      <xdr:rowOff>0</xdr:rowOff>
    </xdr:from>
    <xdr:ext cx="180975" cy="647700"/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SpPr/>
      </xdr:nvSpPr>
      <xdr:spPr>
        <a:xfrm>
          <a:off x="98679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8" name="Rectángulo 8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10" name="rect">
          <a:extLst>
            <a:ext uri="{FF2B5EF4-FFF2-40B4-BE49-F238E27FC236}">
              <a16:creationId xmlns:a16="http://schemas.microsoft.com/office/drawing/2014/main" id="{00000000-0008-0000-0600-00000A00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11" name="rect">
          <a:extLst>
            <a:ext uri="{FF2B5EF4-FFF2-40B4-BE49-F238E27FC236}">
              <a16:creationId xmlns:a16="http://schemas.microsoft.com/office/drawing/2014/main" id="{00000000-0008-0000-0600-00000B00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952500</xdr:colOff>
      <xdr:row>0</xdr:row>
      <xdr:rowOff>0</xdr:rowOff>
    </xdr:from>
    <xdr:ext cx="180975" cy="647700"/>
    <xdr:sp macro="" textlink="">
      <xdr:nvSpPr>
        <xdr:cNvPr id="12" name="Rectángulo 8">
          <a:extLst>
            <a:ext uri="{FF2B5EF4-FFF2-40B4-BE49-F238E27FC236}">
              <a16:creationId xmlns:a16="http://schemas.microsoft.com/office/drawing/2014/main" id="{00000000-0008-0000-0600-00000C000000}"/>
            </a:ext>
          </a:extLst>
        </xdr:cNvPr>
        <xdr:cNvSpPr/>
      </xdr:nvSpPr>
      <xdr:spPr>
        <a:xfrm>
          <a:off x="98679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13" name="Rectángulo 8">
          <a:extLst>
            <a:ext uri="{FF2B5EF4-FFF2-40B4-BE49-F238E27FC236}">
              <a16:creationId xmlns:a16="http://schemas.microsoft.com/office/drawing/2014/main" id="{00000000-0008-0000-0600-00000D00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14" name="Rectángulo 8">
          <a:extLst>
            <a:ext uri="{FF2B5EF4-FFF2-40B4-BE49-F238E27FC236}">
              <a16:creationId xmlns:a16="http://schemas.microsoft.com/office/drawing/2014/main" id="{00000000-0008-0000-0600-00000E00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15" name="rect">
          <a:extLst>
            <a:ext uri="{FF2B5EF4-FFF2-40B4-BE49-F238E27FC236}">
              <a16:creationId xmlns:a16="http://schemas.microsoft.com/office/drawing/2014/main" id="{00000000-0008-0000-0600-00000F00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16" name="rect">
          <a:extLst>
            <a:ext uri="{FF2B5EF4-FFF2-40B4-BE49-F238E27FC236}">
              <a16:creationId xmlns:a16="http://schemas.microsoft.com/office/drawing/2014/main" id="{00000000-0008-0000-0600-00001000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952500</xdr:colOff>
      <xdr:row>0</xdr:row>
      <xdr:rowOff>0</xdr:rowOff>
    </xdr:from>
    <xdr:ext cx="180975" cy="647700"/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600-000011000000}"/>
            </a:ext>
          </a:extLst>
        </xdr:cNvPr>
        <xdr:cNvSpPr/>
      </xdr:nvSpPr>
      <xdr:spPr>
        <a:xfrm>
          <a:off x="98679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18" name="Rectángulo 8">
          <a:extLst>
            <a:ext uri="{FF2B5EF4-FFF2-40B4-BE49-F238E27FC236}">
              <a16:creationId xmlns:a16="http://schemas.microsoft.com/office/drawing/2014/main" id="{00000000-0008-0000-0600-00001200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19" name="Rectángulo 8">
          <a:extLst>
            <a:ext uri="{FF2B5EF4-FFF2-40B4-BE49-F238E27FC236}">
              <a16:creationId xmlns:a16="http://schemas.microsoft.com/office/drawing/2014/main" id="{00000000-0008-0000-0600-00001300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20" name="rect">
          <a:extLst>
            <a:ext uri="{FF2B5EF4-FFF2-40B4-BE49-F238E27FC236}">
              <a16:creationId xmlns:a16="http://schemas.microsoft.com/office/drawing/2014/main" id="{00000000-0008-0000-0600-00001400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21" name="rect">
          <a:extLst>
            <a:ext uri="{FF2B5EF4-FFF2-40B4-BE49-F238E27FC236}">
              <a16:creationId xmlns:a16="http://schemas.microsoft.com/office/drawing/2014/main" id="{00000000-0008-0000-0600-00001500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952500</xdr:colOff>
      <xdr:row>0</xdr:row>
      <xdr:rowOff>0</xdr:rowOff>
    </xdr:from>
    <xdr:ext cx="180975" cy="647700"/>
    <xdr:sp macro="" textlink="">
      <xdr:nvSpPr>
        <xdr:cNvPr id="22" name="Rectángulo 8">
          <a:extLst>
            <a:ext uri="{FF2B5EF4-FFF2-40B4-BE49-F238E27FC236}">
              <a16:creationId xmlns:a16="http://schemas.microsoft.com/office/drawing/2014/main" id="{00000000-0008-0000-0600-000016000000}"/>
            </a:ext>
          </a:extLst>
        </xdr:cNvPr>
        <xdr:cNvSpPr/>
      </xdr:nvSpPr>
      <xdr:spPr>
        <a:xfrm>
          <a:off x="98679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23" name="Rectángulo 8">
          <a:extLst>
            <a:ext uri="{FF2B5EF4-FFF2-40B4-BE49-F238E27FC236}">
              <a16:creationId xmlns:a16="http://schemas.microsoft.com/office/drawing/2014/main" id="{00000000-0008-0000-0600-00001700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600-00001800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25" name="rect">
          <a:extLst>
            <a:ext uri="{FF2B5EF4-FFF2-40B4-BE49-F238E27FC236}">
              <a16:creationId xmlns:a16="http://schemas.microsoft.com/office/drawing/2014/main" id="{00000000-0008-0000-0600-00001900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26" name="rect">
          <a:extLst>
            <a:ext uri="{FF2B5EF4-FFF2-40B4-BE49-F238E27FC236}">
              <a16:creationId xmlns:a16="http://schemas.microsoft.com/office/drawing/2014/main" id="{00000000-0008-0000-0600-00001A00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952500</xdr:colOff>
      <xdr:row>0</xdr:row>
      <xdr:rowOff>0</xdr:rowOff>
    </xdr:from>
    <xdr:ext cx="180975" cy="647700"/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600-00001B000000}"/>
            </a:ext>
          </a:extLst>
        </xdr:cNvPr>
        <xdr:cNvSpPr/>
      </xdr:nvSpPr>
      <xdr:spPr>
        <a:xfrm>
          <a:off x="98679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2</xdr:col>
      <xdr:colOff>1066800</xdr:colOff>
      <xdr:row>0</xdr:row>
      <xdr:rowOff>0</xdr:rowOff>
    </xdr:from>
    <xdr:ext cx="0" cy="38100"/>
    <xdr:sp macro="" textlink="">
      <xdr:nvSpPr>
        <xdr:cNvPr id="28" name="CuadroTexto 27">
          <a:extLst>
            <a:ext uri="{FF2B5EF4-FFF2-40B4-BE49-F238E27FC236}">
              <a16:creationId xmlns:a16="http://schemas.microsoft.com/office/drawing/2014/main" id="{00000000-0008-0000-0600-00001C000000}"/>
            </a:ext>
          </a:extLst>
        </xdr:cNvPr>
        <xdr:cNvSpPr txBox="1"/>
      </xdr:nvSpPr>
      <xdr:spPr>
        <a:xfrm flipH="1">
          <a:off x="3295650" y="0"/>
          <a:ext cx="0" cy="38100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lvl="0" algn="ctr"/>
          <a:r>
            <a:rPr lang="es-MX" sz="1200" b="1">
              <a:solidFill>
                <a:sysClr val="windowText" lastClr="000000"/>
              </a:solidFill>
            </a:rPr>
            <a:t>ISLA 9: CAMBIO DE MIX POSICIONES 4, 5, 6 Y 7</a:t>
          </a: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29" name="Rectángulo 8">
          <a:extLst>
            <a:ext uri="{FF2B5EF4-FFF2-40B4-BE49-F238E27FC236}">
              <a16:creationId xmlns:a16="http://schemas.microsoft.com/office/drawing/2014/main" id="{00000000-0008-0000-0600-00001D00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30" name="Rectángulo 8">
          <a:extLst>
            <a:ext uri="{FF2B5EF4-FFF2-40B4-BE49-F238E27FC236}">
              <a16:creationId xmlns:a16="http://schemas.microsoft.com/office/drawing/2014/main" id="{00000000-0008-0000-0600-00001E00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31" name="rect">
          <a:extLst>
            <a:ext uri="{FF2B5EF4-FFF2-40B4-BE49-F238E27FC236}">
              <a16:creationId xmlns:a16="http://schemas.microsoft.com/office/drawing/2014/main" id="{00000000-0008-0000-0600-00001F00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32" name="rect">
          <a:extLst>
            <a:ext uri="{FF2B5EF4-FFF2-40B4-BE49-F238E27FC236}">
              <a16:creationId xmlns:a16="http://schemas.microsoft.com/office/drawing/2014/main" id="{00000000-0008-0000-0600-00002000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952500</xdr:colOff>
      <xdr:row>0</xdr:row>
      <xdr:rowOff>0</xdr:rowOff>
    </xdr:from>
    <xdr:ext cx="180975" cy="647700"/>
    <xdr:sp macro="" textlink="">
      <xdr:nvSpPr>
        <xdr:cNvPr id="33" name="Rectángulo 8">
          <a:extLst>
            <a:ext uri="{FF2B5EF4-FFF2-40B4-BE49-F238E27FC236}">
              <a16:creationId xmlns:a16="http://schemas.microsoft.com/office/drawing/2014/main" id="{00000000-0008-0000-0600-000021000000}"/>
            </a:ext>
          </a:extLst>
        </xdr:cNvPr>
        <xdr:cNvSpPr/>
      </xdr:nvSpPr>
      <xdr:spPr>
        <a:xfrm>
          <a:off x="98679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34" name="Rectángulo 8">
          <a:extLst>
            <a:ext uri="{FF2B5EF4-FFF2-40B4-BE49-F238E27FC236}">
              <a16:creationId xmlns:a16="http://schemas.microsoft.com/office/drawing/2014/main" id="{00000000-0008-0000-0600-00002200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35" name="Rectángulo 8">
          <a:extLst>
            <a:ext uri="{FF2B5EF4-FFF2-40B4-BE49-F238E27FC236}">
              <a16:creationId xmlns:a16="http://schemas.microsoft.com/office/drawing/2014/main" id="{00000000-0008-0000-0600-00002300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36" name="rect">
          <a:extLst>
            <a:ext uri="{FF2B5EF4-FFF2-40B4-BE49-F238E27FC236}">
              <a16:creationId xmlns:a16="http://schemas.microsoft.com/office/drawing/2014/main" id="{00000000-0008-0000-0600-00002400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37" name="rect">
          <a:extLst>
            <a:ext uri="{FF2B5EF4-FFF2-40B4-BE49-F238E27FC236}">
              <a16:creationId xmlns:a16="http://schemas.microsoft.com/office/drawing/2014/main" id="{00000000-0008-0000-0600-00002500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952500</xdr:colOff>
      <xdr:row>0</xdr:row>
      <xdr:rowOff>0</xdr:rowOff>
    </xdr:from>
    <xdr:ext cx="180975" cy="647700"/>
    <xdr:sp macro="" textlink="">
      <xdr:nvSpPr>
        <xdr:cNvPr id="38" name="Rectángulo 37">
          <a:extLst>
            <a:ext uri="{FF2B5EF4-FFF2-40B4-BE49-F238E27FC236}">
              <a16:creationId xmlns:a16="http://schemas.microsoft.com/office/drawing/2014/main" id="{00000000-0008-0000-0600-000026000000}"/>
            </a:ext>
          </a:extLst>
        </xdr:cNvPr>
        <xdr:cNvSpPr/>
      </xdr:nvSpPr>
      <xdr:spPr>
        <a:xfrm>
          <a:off x="98679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39" name="Rectángulo 8">
          <a:extLst>
            <a:ext uri="{FF2B5EF4-FFF2-40B4-BE49-F238E27FC236}">
              <a16:creationId xmlns:a16="http://schemas.microsoft.com/office/drawing/2014/main" id="{00000000-0008-0000-0600-00002700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40" name="Rectángulo 8">
          <a:extLst>
            <a:ext uri="{FF2B5EF4-FFF2-40B4-BE49-F238E27FC236}">
              <a16:creationId xmlns:a16="http://schemas.microsoft.com/office/drawing/2014/main" id="{00000000-0008-0000-0600-00002800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41" name="rect">
          <a:extLst>
            <a:ext uri="{FF2B5EF4-FFF2-40B4-BE49-F238E27FC236}">
              <a16:creationId xmlns:a16="http://schemas.microsoft.com/office/drawing/2014/main" id="{00000000-0008-0000-0600-00002900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42" name="rect">
          <a:extLst>
            <a:ext uri="{FF2B5EF4-FFF2-40B4-BE49-F238E27FC236}">
              <a16:creationId xmlns:a16="http://schemas.microsoft.com/office/drawing/2014/main" id="{00000000-0008-0000-0600-00002A00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952500</xdr:colOff>
      <xdr:row>0</xdr:row>
      <xdr:rowOff>0</xdr:rowOff>
    </xdr:from>
    <xdr:ext cx="180975" cy="647700"/>
    <xdr:sp macro="" textlink="">
      <xdr:nvSpPr>
        <xdr:cNvPr id="43" name="Rectángulo 8">
          <a:extLst>
            <a:ext uri="{FF2B5EF4-FFF2-40B4-BE49-F238E27FC236}">
              <a16:creationId xmlns:a16="http://schemas.microsoft.com/office/drawing/2014/main" id="{00000000-0008-0000-0600-00002B000000}"/>
            </a:ext>
          </a:extLst>
        </xdr:cNvPr>
        <xdr:cNvSpPr/>
      </xdr:nvSpPr>
      <xdr:spPr>
        <a:xfrm>
          <a:off x="98679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807383</xdr:colOff>
      <xdr:row>0</xdr:row>
      <xdr:rowOff>0</xdr:rowOff>
    </xdr:from>
    <xdr:ext cx="184731" cy="655885"/>
    <xdr:sp macro="" textlink="">
      <xdr:nvSpPr>
        <xdr:cNvPr id="44" name="Rectángulo 8">
          <a:extLst>
            <a:ext uri="{FF2B5EF4-FFF2-40B4-BE49-F238E27FC236}">
              <a16:creationId xmlns:a16="http://schemas.microsoft.com/office/drawing/2014/main" id="{00000000-0008-0000-0600-00002C000000}"/>
            </a:ext>
          </a:extLst>
        </xdr:cNvPr>
        <xdr:cNvSpPr/>
      </xdr:nvSpPr>
      <xdr:spPr>
        <a:xfrm>
          <a:off x="97227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0</xdr:row>
      <xdr:rowOff>0</xdr:rowOff>
    </xdr:from>
    <xdr:ext cx="184731" cy="655885"/>
    <xdr:sp macro="" textlink="">
      <xdr:nvSpPr>
        <xdr:cNvPr id="45" name="Rectángulo 8">
          <a:extLst>
            <a:ext uri="{FF2B5EF4-FFF2-40B4-BE49-F238E27FC236}">
              <a16:creationId xmlns:a16="http://schemas.microsoft.com/office/drawing/2014/main" id="{00000000-0008-0000-0600-00002D000000}"/>
            </a:ext>
          </a:extLst>
        </xdr:cNvPr>
        <xdr:cNvSpPr/>
      </xdr:nvSpPr>
      <xdr:spPr>
        <a:xfrm>
          <a:off x="97227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959783</xdr:colOff>
      <xdr:row>0</xdr:row>
      <xdr:rowOff>0</xdr:rowOff>
    </xdr:from>
    <xdr:ext cx="184731" cy="655885"/>
    <xdr:sp macro="" textlink="">
      <xdr:nvSpPr>
        <xdr:cNvPr id="46" name="Rectángulo 45">
          <a:extLst>
            <a:ext uri="{FF2B5EF4-FFF2-40B4-BE49-F238E27FC236}">
              <a16:creationId xmlns:a16="http://schemas.microsoft.com/office/drawing/2014/main" id="{00000000-0008-0000-0600-00002E000000}"/>
            </a:ext>
          </a:extLst>
        </xdr:cNvPr>
        <xdr:cNvSpPr/>
      </xdr:nvSpPr>
      <xdr:spPr>
        <a:xfrm>
          <a:off x="98751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0</xdr:row>
      <xdr:rowOff>0</xdr:rowOff>
    </xdr:from>
    <xdr:ext cx="184731" cy="655885"/>
    <xdr:sp macro="" textlink="">
      <xdr:nvSpPr>
        <xdr:cNvPr id="47" name="Rectángulo 46">
          <a:extLst>
            <a:ext uri="{FF2B5EF4-FFF2-40B4-BE49-F238E27FC236}">
              <a16:creationId xmlns:a16="http://schemas.microsoft.com/office/drawing/2014/main" id="{00000000-0008-0000-0600-00002F000000}"/>
            </a:ext>
          </a:extLst>
        </xdr:cNvPr>
        <xdr:cNvSpPr/>
      </xdr:nvSpPr>
      <xdr:spPr>
        <a:xfrm>
          <a:off x="97227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0</xdr:row>
      <xdr:rowOff>0</xdr:rowOff>
    </xdr:from>
    <xdr:ext cx="184731" cy="655885"/>
    <xdr:sp macro="" textlink="">
      <xdr:nvSpPr>
        <xdr:cNvPr id="48" name="Rectángulo 8">
          <a:extLst>
            <a:ext uri="{FF2B5EF4-FFF2-40B4-BE49-F238E27FC236}">
              <a16:creationId xmlns:a16="http://schemas.microsoft.com/office/drawing/2014/main" id="{00000000-0008-0000-0600-000030000000}"/>
            </a:ext>
          </a:extLst>
        </xdr:cNvPr>
        <xdr:cNvSpPr/>
      </xdr:nvSpPr>
      <xdr:spPr>
        <a:xfrm>
          <a:off x="97227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959783</xdr:colOff>
      <xdr:row>0</xdr:row>
      <xdr:rowOff>0</xdr:rowOff>
    </xdr:from>
    <xdr:ext cx="184731" cy="655885"/>
    <xdr:sp macro="" textlink="">
      <xdr:nvSpPr>
        <xdr:cNvPr id="49" name="Rectángulo 48">
          <a:extLst>
            <a:ext uri="{FF2B5EF4-FFF2-40B4-BE49-F238E27FC236}">
              <a16:creationId xmlns:a16="http://schemas.microsoft.com/office/drawing/2014/main" id="{00000000-0008-0000-0600-000031000000}"/>
            </a:ext>
          </a:extLst>
        </xdr:cNvPr>
        <xdr:cNvSpPr/>
      </xdr:nvSpPr>
      <xdr:spPr>
        <a:xfrm>
          <a:off x="98751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0</xdr:row>
      <xdr:rowOff>0</xdr:rowOff>
    </xdr:from>
    <xdr:ext cx="184731" cy="655885"/>
    <xdr:sp macro="" textlink="">
      <xdr:nvSpPr>
        <xdr:cNvPr id="50" name="Rectángulo 8">
          <a:extLst>
            <a:ext uri="{FF2B5EF4-FFF2-40B4-BE49-F238E27FC236}">
              <a16:creationId xmlns:a16="http://schemas.microsoft.com/office/drawing/2014/main" id="{00000000-0008-0000-0600-000032000000}"/>
            </a:ext>
          </a:extLst>
        </xdr:cNvPr>
        <xdr:cNvSpPr/>
      </xdr:nvSpPr>
      <xdr:spPr>
        <a:xfrm>
          <a:off x="97227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0</xdr:row>
      <xdr:rowOff>0</xdr:rowOff>
    </xdr:from>
    <xdr:ext cx="184731" cy="655885"/>
    <xdr:sp macro="" textlink="">
      <xdr:nvSpPr>
        <xdr:cNvPr id="51" name="Rectángulo 8">
          <a:extLst>
            <a:ext uri="{FF2B5EF4-FFF2-40B4-BE49-F238E27FC236}">
              <a16:creationId xmlns:a16="http://schemas.microsoft.com/office/drawing/2014/main" id="{00000000-0008-0000-0600-000033000000}"/>
            </a:ext>
          </a:extLst>
        </xdr:cNvPr>
        <xdr:cNvSpPr/>
      </xdr:nvSpPr>
      <xdr:spPr>
        <a:xfrm>
          <a:off x="97227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959783</xdr:colOff>
      <xdr:row>0</xdr:row>
      <xdr:rowOff>0</xdr:rowOff>
    </xdr:from>
    <xdr:ext cx="184731" cy="655885"/>
    <xdr:sp macro="" textlink="">
      <xdr:nvSpPr>
        <xdr:cNvPr id="52" name="Rectángulo 51">
          <a:extLst>
            <a:ext uri="{FF2B5EF4-FFF2-40B4-BE49-F238E27FC236}">
              <a16:creationId xmlns:a16="http://schemas.microsoft.com/office/drawing/2014/main" id="{00000000-0008-0000-0600-000034000000}"/>
            </a:ext>
          </a:extLst>
        </xdr:cNvPr>
        <xdr:cNvSpPr/>
      </xdr:nvSpPr>
      <xdr:spPr>
        <a:xfrm>
          <a:off x="98751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0</xdr:row>
      <xdr:rowOff>0</xdr:rowOff>
    </xdr:from>
    <xdr:ext cx="184731" cy="655885"/>
    <xdr:sp macro="" textlink="">
      <xdr:nvSpPr>
        <xdr:cNvPr id="53" name="Rectángulo 52">
          <a:extLst>
            <a:ext uri="{FF2B5EF4-FFF2-40B4-BE49-F238E27FC236}">
              <a16:creationId xmlns:a16="http://schemas.microsoft.com/office/drawing/2014/main" id="{00000000-0008-0000-0600-000035000000}"/>
            </a:ext>
          </a:extLst>
        </xdr:cNvPr>
        <xdr:cNvSpPr/>
      </xdr:nvSpPr>
      <xdr:spPr>
        <a:xfrm>
          <a:off x="97227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0</xdr:row>
      <xdr:rowOff>0</xdr:rowOff>
    </xdr:from>
    <xdr:ext cx="184731" cy="655885"/>
    <xdr:sp macro="" textlink="">
      <xdr:nvSpPr>
        <xdr:cNvPr id="54" name="Rectángulo 8">
          <a:extLst>
            <a:ext uri="{FF2B5EF4-FFF2-40B4-BE49-F238E27FC236}">
              <a16:creationId xmlns:a16="http://schemas.microsoft.com/office/drawing/2014/main" id="{00000000-0008-0000-0600-000036000000}"/>
            </a:ext>
          </a:extLst>
        </xdr:cNvPr>
        <xdr:cNvSpPr/>
      </xdr:nvSpPr>
      <xdr:spPr>
        <a:xfrm>
          <a:off x="97227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959783</xdr:colOff>
      <xdr:row>0</xdr:row>
      <xdr:rowOff>0</xdr:rowOff>
    </xdr:from>
    <xdr:ext cx="184731" cy="655885"/>
    <xdr:sp macro="" textlink="">
      <xdr:nvSpPr>
        <xdr:cNvPr id="55" name="Rectángulo 54">
          <a:extLst>
            <a:ext uri="{FF2B5EF4-FFF2-40B4-BE49-F238E27FC236}">
              <a16:creationId xmlns:a16="http://schemas.microsoft.com/office/drawing/2014/main" id="{00000000-0008-0000-0600-000037000000}"/>
            </a:ext>
          </a:extLst>
        </xdr:cNvPr>
        <xdr:cNvSpPr/>
      </xdr:nvSpPr>
      <xdr:spPr>
        <a:xfrm>
          <a:off x="98751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0</xdr:col>
      <xdr:colOff>959783</xdr:colOff>
      <xdr:row>0</xdr:row>
      <xdr:rowOff>0</xdr:rowOff>
    </xdr:from>
    <xdr:ext cx="184731" cy="655885"/>
    <xdr:sp macro="" textlink="">
      <xdr:nvSpPr>
        <xdr:cNvPr id="56" name="Rectángulo 55">
          <a:extLst>
            <a:ext uri="{FF2B5EF4-FFF2-40B4-BE49-F238E27FC236}">
              <a16:creationId xmlns:a16="http://schemas.microsoft.com/office/drawing/2014/main" id="{00000000-0008-0000-0600-000038000000}"/>
            </a:ext>
          </a:extLst>
        </xdr:cNvPr>
        <xdr:cNvSpPr/>
      </xdr:nvSpPr>
      <xdr:spPr>
        <a:xfrm>
          <a:off x="9597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0</xdr:col>
      <xdr:colOff>959783</xdr:colOff>
      <xdr:row>0</xdr:row>
      <xdr:rowOff>0</xdr:rowOff>
    </xdr:from>
    <xdr:ext cx="184731" cy="655885"/>
    <xdr:sp macro="" textlink="">
      <xdr:nvSpPr>
        <xdr:cNvPr id="57" name="Rectángulo 56">
          <a:extLst>
            <a:ext uri="{FF2B5EF4-FFF2-40B4-BE49-F238E27FC236}">
              <a16:creationId xmlns:a16="http://schemas.microsoft.com/office/drawing/2014/main" id="{00000000-0008-0000-0600-000039000000}"/>
            </a:ext>
          </a:extLst>
        </xdr:cNvPr>
        <xdr:cNvSpPr/>
      </xdr:nvSpPr>
      <xdr:spPr>
        <a:xfrm>
          <a:off x="9597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2</xdr:col>
      <xdr:colOff>1066800</xdr:colOff>
      <xdr:row>0</xdr:row>
      <xdr:rowOff>0</xdr:rowOff>
    </xdr:from>
    <xdr:ext cx="0" cy="38100"/>
    <xdr:sp macro="" textlink="">
      <xdr:nvSpPr>
        <xdr:cNvPr id="58" name="CuadroTexto 57">
          <a:extLst>
            <a:ext uri="{FF2B5EF4-FFF2-40B4-BE49-F238E27FC236}">
              <a16:creationId xmlns:a16="http://schemas.microsoft.com/office/drawing/2014/main" id="{00000000-0008-0000-0600-00003A000000}"/>
            </a:ext>
          </a:extLst>
        </xdr:cNvPr>
        <xdr:cNvSpPr txBox="1"/>
      </xdr:nvSpPr>
      <xdr:spPr>
        <a:xfrm flipH="1">
          <a:off x="3295650" y="0"/>
          <a:ext cx="0" cy="38100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lvl="0" algn="ctr"/>
          <a:r>
            <a:rPr lang="es-MX" sz="1200" b="1">
              <a:solidFill>
                <a:sysClr val="windowText" lastClr="000000"/>
              </a:solidFill>
            </a:rPr>
            <a:t>ISLA 9: CAMBIO DE MIX POSICIONES 4, 5, 6 Y 7</a:t>
          </a: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59" name="Rectángulo 8">
          <a:extLst>
            <a:ext uri="{FF2B5EF4-FFF2-40B4-BE49-F238E27FC236}">
              <a16:creationId xmlns:a16="http://schemas.microsoft.com/office/drawing/2014/main" id="{00000000-0008-0000-0600-00003B00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60" name="Rectángulo 8">
          <a:extLst>
            <a:ext uri="{FF2B5EF4-FFF2-40B4-BE49-F238E27FC236}">
              <a16:creationId xmlns:a16="http://schemas.microsoft.com/office/drawing/2014/main" id="{00000000-0008-0000-0600-00003C00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61" name="rect">
          <a:extLst>
            <a:ext uri="{FF2B5EF4-FFF2-40B4-BE49-F238E27FC236}">
              <a16:creationId xmlns:a16="http://schemas.microsoft.com/office/drawing/2014/main" id="{00000000-0008-0000-0600-00003D00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62" name="rect">
          <a:extLst>
            <a:ext uri="{FF2B5EF4-FFF2-40B4-BE49-F238E27FC236}">
              <a16:creationId xmlns:a16="http://schemas.microsoft.com/office/drawing/2014/main" id="{00000000-0008-0000-0600-00003E00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952500</xdr:colOff>
      <xdr:row>0</xdr:row>
      <xdr:rowOff>0</xdr:rowOff>
    </xdr:from>
    <xdr:ext cx="180975" cy="647700"/>
    <xdr:sp macro="" textlink="">
      <xdr:nvSpPr>
        <xdr:cNvPr id="63" name="Rectángulo 62">
          <a:extLst>
            <a:ext uri="{FF2B5EF4-FFF2-40B4-BE49-F238E27FC236}">
              <a16:creationId xmlns:a16="http://schemas.microsoft.com/office/drawing/2014/main" id="{00000000-0008-0000-0600-00003F000000}"/>
            </a:ext>
          </a:extLst>
        </xdr:cNvPr>
        <xdr:cNvSpPr/>
      </xdr:nvSpPr>
      <xdr:spPr>
        <a:xfrm>
          <a:off x="98679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64" name="Rectángulo 8">
          <a:extLst>
            <a:ext uri="{FF2B5EF4-FFF2-40B4-BE49-F238E27FC236}">
              <a16:creationId xmlns:a16="http://schemas.microsoft.com/office/drawing/2014/main" id="{00000000-0008-0000-0600-00004000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65" name="Rectángulo 8">
          <a:extLst>
            <a:ext uri="{FF2B5EF4-FFF2-40B4-BE49-F238E27FC236}">
              <a16:creationId xmlns:a16="http://schemas.microsoft.com/office/drawing/2014/main" id="{00000000-0008-0000-0600-00004100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66" name="rect">
          <a:extLst>
            <a:ext uri="{FF2B5EF4-FFF2-40B4-BE49-F238E27FC236}">
              <a16:creationId xmlns:a16="http://schemas.microsoft.com/office/drawing/2014/main" id="{00000000-0008-0000-0600-00004200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67" name="rect">
          <a:extLst>
            <a:ext uri="{FF2B5EF4-FFF2-40B4-BE49-F238E27FC236}">
              <a16:creationId xmlns:a16="http://schemas.microsoft.com/office/drawing/2014/main" id="{00000000-0008-0000-0600-00004300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952500</xdr:colOff>
      <xdr:row>0</xdr:row>
      <xdr:rowOff>0</xdr:rowOff>
    </xdr:from>
    <xdr:ext cx="180975" cy="647700"/>
    <xdr:sp macro="" textlink="">
      <xdr:nvSpPr>
        <xdr:cNvPr id="68" name="Rectángulo 8">
          <a:extLst>
            <a:ext uri="{FF2B5EF4-FFF2-40B4-BE49-F238E27FC236}">
              <a16:creationId xmlns:a16="http://schemas.microsoft.com/office/drawing/2014/main" id="{00000000-0008-0000-0600-000044000000}"/>
            </a:ext>
          </a:extLst>
        </xdr:cNvPr>
        <xdr:cNvSpPr/>
      </xdr:nvSpPr>
      <xdr:spPr>
        <a:xfrm>
          <a:off x="98679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69" name="Rectángulo 8">
          <a:extLst>
            <a:ext uri="{FF2B5EF4-FFF2-40B4-BE49-F238E27FC236}">
              <a16:creationId xmlns:a16="http://schemas.microsoft.com/office/drawing/2014/main" id="{00000000-0008-0000-0600-00004500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70" name="Rectángulo 8">
          <a:extLst>
            <a:ext uri="{FF2B5EF4-FFF2-40B4-BE49-F238E27FC236}">
              <a16:creationId xmlns:a16="http://schemas.microsoft.com/office/drawing/2014/main" id="{00000000-0008-0000-0600-00004600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71" name="rect">
          <a:extLst>
            <a:ext uri="{FF2B5EF4-FFF2-40B4-BE49-F238E27FC236}">
              <a16:creationId xmlns:a16="http://schemas.microsoft.com/office/drawing/2014/main" id="{00000000-0008-0000-0600-00004700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72" name="rect">
          <a:extLst>
            <a:ext uri="{FF2B5EF4-FFF2-40B4-BE49-F238E27FC236}">
              <a16:creationId xmlns:a16="http://schemas.microsoft.com/office/drawing/2014/main" id="{00000000-0008-0000-0600-00004800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952500</xdr:colOff>
      <xdr:row>0</xdr:row>
      <xdr:rowOff>0</xdr:rowOff>
    </xdr:from>
    <xdr:ext cx="180975" cy="647700"/>
    <xdr:sp macro="" textlink="">
      <xdr:nvSpPr>
        <xdr:cNvPr id="73" name="Rectángulo 72">
          <a:extLst>
            <a:ext uri="{FF2B5EF4-FFF2-40B4-BE49-F238E27FC236}">
              <a16:creationId xmlns:a16="http://schemas.microsoft.com/office/drawing/2014/main" id="{00000000-0008-0000-0600-000049000000}"/>
            </a:ext>
          </a:extLst>
        </xdr:cNvPr>
        <xdr:cNvSpPr/>
      </xdr:nvSpPr>
      <xdr:spPr>
        <a:xfrm>
          <a:off x="98679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74" name="Rectángulo 8">
          <a:extLst>
            <a:ext uri="{FF2B5EF4-FFF2-40B4-BE49-F238E27FC236}">
              <a16:creationId xmlns:a16="http://schemas.microsoft.com/office/drawing/2014/main" id="{00000000-0008-0000-0600-00004A00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75" name="Rectángulo 8">
          <a:extLst>
            <a:ext uri="{FF2B5EF4-FFF2-40B4-BE49-F238E27FC236}">
              <a16:creationId xmlns:a16="http://schemas.microsoft.com/office/drawing/2014/main" id="{00000000-0008-0000-0600-00004B00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76" name="rect">
          <a:extLst>
            <a:ext uri="{FF2B5EF4-FFF2-40B4-BE49-F238E27FC236}">
              <a16:creationId xmlns:a16="http://schemas.microsoft.com/office/drawing/2014/main" id="{00000000-0008-0000-0600-00004C00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77" name="rect">
          <a:extLst>
            <a:ext uri="{FF2B5EF4-FFF2-40B4-BE49-F238E27FC236}">
              <a16:creationId xmlns:a16="http://schemas.microsoft.com/office/drawing/2014/main" id="{00000000-0008-0000-0600-00004D00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952500</xdr:colOff>
      <xdr:row>0</xdr:row>
      <xdr:rowOff>0</xdr:rowOff>
    </xdr:from>
    <xdr:ext cx="180975" cy="647700"/>
    <xdr:sp macro="" textlink="">
      <xdr:nvSpPr>
        <xdr:cNvPr id="78" name="Rectángulo 8">
          <a:extLst>
            <a:ext uri="{FF2B5EF4-FFF2-40B4-BE49-F238E27FC236}">
              <a16:creationId xmlns:a16="http://schemas.microsoft.com/office/drawing/2014/main" id="{00000000-0008-0000-0600-00004E000000}"/>
            </a:ext>
          </a:extLst>
        </xdr:cNvPr>
        <xdr:cNvSpPr/>
      </xdr:nvSpPr>
      <xdr:spPr>
        <a:xfrm>
          <a:off x="98679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79" name="Rectángulo 8">
          <a:extLst>
            <a:ext uri="{FF2B5EF4-FFF2-40B4-BE49-F238E27FC236}">
              <a16:creationId xmlns:a16="http://schemas.microsoft.com/office/drawing/2014/main" id="{00000000-0008-0000-0600-00004F00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80" name="Rectángulo 79">
          <a:extLst>
            <a:ext uri="{FF2B5EF4-FFF2-40B4-BE49-F238E27FC236}">
              <a16:creationId xmlns:a16="http://schemas.microsoft.com/office/drawing/2014/main" id="{00000000-0008-0000-0600-00005000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81" name="rect">
          <a:extLst>
            <a:ext uri="{FF2B5EF4-FFF2-40B4-BE49-F238E27FC236}">
              <a16:creationId xmlns:a16="http://schemas.microsoft.com/office/drawing/2014/main" id="{00000000-0008-0000-0600-00005100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82" name="rect">
          <a:extLst>
            <a:ext uri="{FF2B5EF4-FFF2-40B4-BE49-F238E27FC236}">
              <a16:creationId xmlns:a16="http://schemas.microsoft.com/office/drawing/2014/main" id="{00000000-0008-0000-0600-00005200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952500</xdr:colOff>
      <xdr:row>0</xdr:row>
      <xdr:rowOff>0</xdr:rowOff>
    </xdr:from>
    <xdr:ext cx="180975" cy="647700"/>
    <xdr:sp macro="" textlink="">
      <xdr:nvSpPr>
        <xdr:cNvPr id="83" name="Rectángulo 82">
          <a:extLst>
            <a:ext uri="{FF2B5EF4-FFF2-40B4-BE49-F238E27FC236}">
              <a16:creationId xmlns:a16="http://schemas.microsoft.com/office/drawing/2014/main" id="{00000000-0008-0000-0600-000053000000}"/>
            </a:ext>
          </a:extLst>
        </xdr:cNvPr>
        <xdr:cNvSpPr/>
      </xdr:nvSpPr>
      <xdr:spPr>
        <a:xfrm>
          <a:off x="98679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2</xdr:col>
      <xdr:colOff>1066800</xdr:colOff>
      <xdr:row>0</xdr:row>
      <xdr:rowOff>0</xdr:rowOff>
    </xdr:from>
    <xdr:ext cx="0" cy="38100"/>
    <xdr:sp macro="" textlink="">
      <xdr:nvSpPr>
        <xdr:cNvPr id="84" name="CuadroTexto 83">
          <a:extLst>
            <a:ext uri="{FF2B5EF4-FFF2-40B4-BE49-F238E27FC236}">
              <a16:creationId xmlns:a16="http://schemas.microsoft.com/office/drawing/2014/main" id="{00000000-0008-0000-0600-000054000000}"/>
            </a:ext>
          </a:extLst>
        </xdr:cNvPr>
        <xdr:cNvSpPr txBox="1"/>
      </xdr:nvSpPr>
      <xdr:spPr>
        <a:xfrm flipH="1">
          <a:off x="3295650" y="0"/>
          <a:ext cx="0" cy="38100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lvl="0" algn="ctr"/>
          <a:r>
            <a:rPr lang="es-MX" sz="1200" b="1">
              <a:solidFill>
                <a:sysClr val="windowText" lastClr="000000"/>
              </a:solidFill>
            </a:rPr>
            <a:t>ISLA 9: CAMBIO DE MIX POSICIONES 4, 5, 6 Y 7</a:t>
          </a: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85" name="Rectángulo 8">
          <a:extLst>
            <a:ext uri="{FF2B5EF4-FFF2-40B4-BE49-F238E27FC236}">
              <a16:creationId xmlns:a16="http://schemas.microsoft.com/office/drawing/2014/main" id="{00000000-0008-0000-0600-00005500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86" name="Rectángulo 8">
          <a:extLst>
            <a:ext uri="{FF2B5EF4-FFF2-40B4-BE49-F238E27FC236}">
              <a16:creationId xmlns:a16="http://schemas.microsoft.com/office/drawing/2014/main" id="{00000000-0008-0000-0600-00005600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87" name="rect">
          <a:extLst>
            <a:ext uri="{FF2B5EF4-FFF2-40B4-BE49-F238E27FC236}">
              <a16:creationId xmlns:a16="http://schemas.microsoft.com/office/drawing/2014/main" id="{00000000-0008-0000-0600-00005700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88" name="rect">
          <a:extLst>
            <a:ext uri="{FF2B5EF4-FFF2-40B4-BE49-F238E27FC236}">
              <a16:creationId xmlns:a16="http://schemas.microsoft.com/office/drawing/2014/main" id="{00000000-0008-0000-0600-00005800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952500</xdr:colOff>
      <xdr:row>0</xdr:row>
      <xdr:rowOff>0</xdr:rowOff>
    </xdr:from>
    <xdr:ext cx="180975" cy="647700"/>
    <xdr:sp macro="" textlink="">
      <xdr:nvSpPr>
        <xdr:cNvPr id="89" name="Rectángulo 8">
          <a:extLst>
            <a:ext uri="{FF2B5EF4-FFF2-40B4-BE49-F238E27FC236}">
              <a16:creationId xmlns:a16="http://schemas.microsoft.com/office/drawing/2014/main" id="{00000000-0008-0000-0600-000059000000}"/>
            </a:ext>
          </a:extLst>
        </xdr:cNvPr>
        <xdr:cNvSpPr/>
      </xdr:nvSpPr>
      <xdr:spPr>
        <a:xfrm>
          <a:off x="98679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90" name="Rectángulo 8">
          <a:extLst>
            <a:ext uri="{FF2B5EF4-FFF2-40B4-BE49-F238E27FC236}">
              <a16:creationId xmlns:a16="http://schemas.microsoft.com/office/drawing/2014/main" id="{00000000-0008-0000-0600-00005A00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91" name="Rectángulo 8">
          <a:extLst>
            <a:ext uri="{FF2B5EF4-FFF2-40B4-BE49-F238E27FC236}">
              <a16:creationId xmlns:a16="http://schemas.microsoft.com/office/drawing/2014/main" id="{00000000-0008-0000-0600-00005B00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92" name="rect">
          <a:extLst>
            <a:ext uri="{FF2B5EF4-FFF2-40B4-BE49-F238E27FC236}">
              <a16:creationId xmlns:a16="http://schemas.microsoft.com/office/drawing/2014/main" id="{00000000-0008-0000-0600-00005C00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93" name="rect">
          <a:extLst>
            <a:ext uri="{FF2B5EF4-FFF2-40B4-BE49-F238E27FC236}">
              <a16:creationId xmlns:a16="http://schemas.microsoft.com/office/drawing/2014/main" id="{00000000-0008-0000-0600-00005D00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952500</xdr:colOff>
      <xdr:row>0</xdr:row>
      <xdr:rowOff>0</xdr:rowOff>
    </xdr:from>
    <xdr:ext cx="180975" cy="647700"/>
    <xdr:sp macro="" textlink="">
      <xdr:nvSpPr>
        <xdr:cNvPr id="94" name="Rectángulo 93">
          <a:extLst>
            <a:ext uri="{FF2B5EF4-FFF2-40B4-BE49-F238E27FC236}">
              <a16:creationId xmlns:a16="http://schemas.microsoft.com/office/drawing/2014/main" id="{00000000-0008-0000-0600-00005E000000}"/>
            </a:ext>
          </a:extLst>
        </xdr:cNvPr>
        <xdr:cNvSpPr/>
      </xdr:nvSpPr>
      <xdr:spPr>
        <a:xfrm>
          <a:off x="98679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95" name="Rectángulo 8">
          <a:extLst>
            <a:ext uri="{FF2B5EF4-FFF2-40B4-BE49-F238E27FC236}">
              <a16:creationId xmlns:a16="http://schemas.microsoft.com/office/drawing/2014/main" id="{00000000-0008-0000-0600-00005F00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96" name="Rectángulo 8">
          <a:extLst>
            <a:ext uri="{FF2B5EF4-FFF2-40B4-BE49-F238E27FC236}">
              <a16:creationId xmlns:a16="http://schemas.microsoft.com/office/drawing/2014/main" id="{00000000-0008-0000-0600-00006000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97" name="rect">
          <a:extLst>
            <a:ext uri="{FF2B5EF4-FFF2-40B4-BE49-F238E27FC236}">
              <a16:creationId xmlns:a16="http://schemas.microsoft.com/office/drawing/2014/main" id="{00000000-0008-0000-0600-00006100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98" name="rect">
          <a:extLst>
            <a:ext uri="{FF2B5EF4-FFF2-40B4-BE49-F238E27FC236}">
              <a16:creationId xmlns:a16="http://schemas.microsoft.com/office/drawing/2014/main" id="{00000000-0008-0000-0600-00006200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952500</xdr:colOff>
      <xdr:row>0</xdr:row>
      <xdr:rowOff>0</xdr:rowOff>
    </xdr:from>
    <xdr:ext cx="180975" cy="647700"/>
    <xdr:sp macro="" textlink="">
      <xdr:nvSpPr>
        <xdr:cNvPr id="99" name="Rectángulo 8">
          <a:extLst>
            <a:ext uri="{FF2B5EF4-FFF2-40B4-BE49-F238E27FC236}">
              <a16:creationId xmlns:a16="http://schemas.microsoft.com/office/drawing/2014/main" id="{00000000-0008-0000-0600-000063000000}"/>
            </a:ext>
          </a:extLst>
        </xdr:cNvPr>
        <xdr:cNvSpPr/>
      </xdr:nvSpPr>
      <xdr:spPr>
        <a:xfrm>
          <a:off x="98679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807383</xdr:colOff>
      <xdr:row>0</xdr:row>
      <xdr:rowOff>0</xdr:rowOff>
    </xdr:from>
    <xdr:ext cx="184731" cy="655885"/>
    <xdr:sp macro="" textlink="">
      <xdr:nvSpPr>
        <xdr:cNvPr id="100" name="Rectángulo 8">
          <a:extLst>
            <a:ext uri="{FF2B5EF4-FFF2-40B4-BE49-F238E27FC236}">
              <a16:creationId xmlns:a16="http://schemas.microsoft.com/office/drawing/2014/main" id="{00000000-0008-0000-0600-000064000000}"/>
            </a:ext>
          </a:extLst>
        </xdr:cNvPr>
        <xdr:cNvSpPr/>
      </xdr:nvSpPr>
      <xdr:spPr>
        <a:xfrm>
          <a:off x="97227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0</xdr:row>
      <xdr:rowOff>0</xdr:rowOff>
    </xdr:from>
    <xdr:ext cx="184731" cy="655885"/>
    <xdr:sp macro="" textlink="">
      <xdr:nvSpPr>
        <xdr:cNvPr id="101" name="Rectángulo 8">
          <a:extLst>
            <a:ext uri="{FF2B5EF4-FFF2-40B4-BE49-F238E27FC236}">
              <a16:creationId xmlns:a16="http://schemas.microsoft.com/office/drawing/2014/main" id="{00000000-0008-0000-0600-000065000000}"/>
            </a:ext>
          </a:extLst>
        </xdr:cNvPr>
        <xdr:cNvSpPr/>
      </xdr:nvSpPr>
      <xdr:spPr>
        <a:xfrm>
          <a:off x="97227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959783</xdr:colOff>
      <xdr:row>0</xdr:row>
      <xdr:rowOff>0</xdr:rowOff>
    </xdr:from>
    <xdr:ext cx="184731" cy="655885"/>
    <xdr:sp macro="" textlink="">
      <xdr:nvSpPr>
        <xdr:cNvPr id="102" name="Rectángulo 101">
          <a:extLst>
            <a:ext uri="{FF2B5EF4-FFF2-40B4-BE49-F238E27FC236}">
              <a16:creationId xmlns:a16="http://schemas.microsoft.com/office/drawing/2014/main" id="{00000000-0008-0000-0600-000066000000}"/>
            </a:ext>
          </a:extLst>
        </xdr:cNvPr>
        <xdr:cNvSpPr/>
      </xdr:nvSpPr>
      <xdr:spPr>
        <a:xfrm>
          <a:off x="98751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0</xdr:row>
      <xdr:rowOff>0</xdr:rowOff>
    </xdr:from>
    <xdr:ext cx="184731" cy="655885"/>
    <xdr:sp macro="" textlink="">
      <xdr:nvSpPr>
        <xdr:cNvPr id="103" name="Rectángulo 102">
          <a:extLst>
            <a:ext uri="{FF2B5EF4-FFF2-40B4-BE49-F238E27FC236}">
              <a16:creationId xmlns:a16="http://schemas.microsoft.com/office/drawing/2014/main" id="{00000000-0008-0000-0600-000067000000}"/>
            </a:ext>
          </a:extLst>
        </xdr:cNvPr>
        <xdr:cNvSpPr/>
      </xdr:nvSpPr>
      <xdr:spPr>
        <a:xfrm>
          <a:off x="97227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0</xdr:row>
      <xdr:rowOff>0</xdr:rowOff>
    </xdr:from>
    <xdr:ext cx="184731" cy="655885"/>
    <xdr:sp macro="" textlink="">
      <xdr:nvSpPr>
        <xdr:cNvPr id="104" name="Rectángulo 8">
          <a:extLst>
            <a:ext uri="{FF2B5EF4-FFF2-40B4-BE49-F238E27FC236}">
              <a16:creationId xmlns:a16="http://schemas.microsoft.com/office/drawing/2014/main" id="{00000000-0008-0000-0600-000068000000}"/>
            </a:ext>
          </a:extLst>
        </xdr:cNvPr>
        <xdr:cNvSpPr/>
      </xdr:nvSpPr>
      <xdr:spPr>
        <a:xfrm>
          <a:off x="97227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959783</xdr:colOff>
      <xdr:row>0</xdr:row>
      <xdr:rowOff>0</xdr:rowOff>
    </xdr:from>
    <xdr:ext cx="184731" cy="655885"/>
    <xdr:sp macro="" textlink="">
      <xdr:nvSpPr>
        <xdr:cNvPr id="105" name="Rectángulo 104">
          <a:extLst>
            <a:ext uri="{FF2B5EF4-FFF2-40B4-BE49-F238E27FC236}">
              <a16:creationId xmlns:a16="http://schemas.microsoft.com/office/drawing/2014/main" id="{00000000-0008-0000-0600-000069000000}"/>
            </a:ext>
          </a:extLst>
        </xdr:cNvPr>
        <xdr:cNvSpPr/>
      </xdr:nvSpPr>
      <xdr:spPr>
        <a:xfrm>
          <a:off x="98751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0</xdr:row>
      <xdr:rowOff>0</xdr:rowOff>
    </xdr:from>
    <xdr:ext cx="184731" cy="655885"/>
    <xdr:sp macro="" textlink="">
      <xdr:nvSpPr>
        <xdr:cNvPr id="106" name="Rectángulo 8">
          <a:extLst>
            <a:ext uri="{FF2B5EF4-FFF2-40B4-BE49-F238E27FC236}">
              <a16:creationId xmlns:a16="http://schemas.microsoft.com/office/drawing/2014/main" id="{00000000-0008-0000-0600-00006A000000}"/>
            </a:ext>
          </a:extLst>
        </xdr:cNvPr>
        <xdr:cNvSpPr/>
      </xdr:nvSpPr>
      <xdr:spPr>
        <a:xfrm>
          <a:off x="97227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0</xdr:row>
      <xdr:rowOff>0</xdr:rowOff>
    </xdr:from>
    <xdr:ext cx="184731" cy="655885"/>
    <xdr:sp macro="" textlink="">
      <xdr:nvSpPr>
        <xdr:cNvPr id="107" name="Rectángulo 8">
          <a:extLst>
            <a:ext uri="{FF2B5EF4-FFF2-40B4-BE49-F238E27FC236}">
              <a16:creationId xmlns:a16="http://schemas.microsoft.com/office/drawing/2014/main" id="{00000000-0008-0000-0600-00006B000000}"/>
            </a:ext>
          </a:extLst>
        </xdr:cNvPr>
        <xdr:cNvSpPr/>
      </xdr:nvSpPr>
      <xdr:spPr>
        <a:xfrm>
          <a:off x="97227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959783</xdr:colOff>
      <xdr:row>0</xdr:row>
      <xdr:rowOff>0</xdr:rowOff>
    </xdr:from>
    <xdr:ext cx="184731" cy="655885"/>
    <xdr:sp macro="" textlink="">
      <xdr:nvSpPr>
        <xdr:cNvPr id="108" name="Rectángulo 107">
          <a:extLst>
            <a:ext uri="{FF2B5EF4-FFF2-40B4-BE49-F238E27FC236}">
              <a16:creationId xmlns:a16="http://schemas.microsoft.com/office/drawing/2014/main" id="{00000000-0008-0000-0600-00006C000000}"/>
            </a:ext>
          </a:extLst>
        </xdr:cNvPr>
        <xdr:cNvSpPr/>
      </xdr:nvSpPr>
      <xdr:spPr>
        <a:xfrm>
          <a:off x="98751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0</xdr:row>
      <xdr:rowOff>0</xdr:rowOff>
    </xdr:from>
    <xdr:ext cx="184731" cy="655885"/>
    <xdr:sp macro="" textlink="">
      <xdr:nvSpPr>
        <xdr:cNvPr id="109" name="Rectángulo 108">
          <a:extLst>
            <a:ext uri="{FF2B5EF4-FFF2-40B4-BE49-F238E27FC236}">
              <a16:creationId xmlns:a16="http://schemas.microsoft.com/office/drawing/2014/main" id="{00000000-0008-0000-0600-00006D000000}"/>
            </a:ext>
          </a:extLst>
        </xdr:cNvPr>
        <xdr:cNvSpPr/>
      </xdr:nvSpPr>
      <xdr:spPr>
        <a:xfrm>
          <a:off x="97227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0</xdr:row>
      <xdr:rowOff>0</xdr:rowOff>
    </xdr:from>
    <xdr:ext cx="184731" cy="655885"/>
    <xdr:sp macro="" textlink="">
      <xdr:nvSpPr>
        <xdr:cNvPr id="110" name="Rectángulo 8">
          <a:extLst>
            <a:ext uri="{FF2B5EF4-FFF2-40B4-BE49-F238E27FC236}">
              <a16:creationId xmlns:a16="http://schemas.microsoft.com/office/drawing/2014/main" id="{00000000-0008-0000-0600-00006E000000}"/>
            </a:ext>
          </a:extLst>
        </xdr:cNvPr>
        <xdr:cNvSpPr/>
      </xdr:nvSpPr>
      <xdr:spPr>
        <a:xfrm>
          <a:off x="97227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959783</xdr:colOff>
      <xdr:row>0</xdr:row>
      <xdr:rowOff>0</xdr:rowOff>
    </xdr:from>
    <xdr:ext cx="184731" cy="655885"/>
    <xdr:sp macro="" textlink="">
      <xdr:nvSpPr>
        <xdr:cNvPr id="111" name="Rectángulo 110">
          <a:extLst>
            <a:ext uri="{FF2B5EF4-FFF2-40B4-BE49-F238E27FC236}">
              <a16:creationId xmlns:a16="http://schemas.microsoft.com/office/drawing/2014/main" id="{00000000-0008-0000-0600-00006F000000}"/>
            </a:ext>
          </a:extLst>
        </xdr:cNvPr>
        <xdr:cNvSpPr/>
      </xdr:nvSpPr>
      <xdr:spPr>
        <a:xfrm>
          <a:off x="98751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0</xdr:col>
      <xdr:colOff>959783</xdr:colOff>
      <xdr:row>0</xdr:row>
      <xdr:rowOff>0</xdr:rowOff>
    </xdr:from>
    <xdr:ext cx="184731" cy="655885"/>
    <xdr:sp macro="" textlink="">
      <xdr:nvSpPr>
        <xdr:cNvPr id="112" name="Rectángulo 111">
          <a:extLst>
            <a:ext uri="{FF2B5EF4-FFF2-40B4-BE49-F238E27FC236}">
              <a16:creationId xmlns:a16="http://schemas.microsoft.com/office/drawing/2014/main" id="{00000000-0008-0000-0600-000070000000}"/>
            </a:ext>
          </a:extLst>
        </xdr:cNvPr>
        <xdr:cNvSpPr/>
      </xdr:nvSpPr>
      <xdr:spPr>
        <a:xfrm>
          <a:off x="9597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0</xdr:col>
      <xdr:colOff>959783</xdr:colOff>
      <xdr:row>0</xdr:row>
      <xdr:rowOff>0</xdr:rowOff>
    </xdr:from>
    <xdr:ext cx="184731" cy="655885"/>
    <xdr:sp macro="" textlink="">
      <xdr:nvSpPr>
        <xdr:cNvPr id="113" name="Rectángulo 112">
          <a:extLst>
            <a:ext uri="{FF2B5EF4-FFF2-40B4-BE49-F238E27FC236}">
              <a16:creationId xmlns:a16="http://schemas.microsoft.com/office/drawing/2014/main" id="{00000000-0008-0000-0600-000071000000}"/>
            </a:ext>
          </a:extLst>
        </xdr:cNvPr>
        <xdr:cNvSpPr/>
      </xdr:nvSpPr>
      <xdr:spPr>
        <a:xfrm>
          <a:off x="9597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2</xdr:col>
      <xdr:colOff>1066800</xdr:colOff>
      <xdr:row>0</xdr:row>
      <xdr:rowOff>0</xdr:rowOff>
    </xdr:from>
    <xdr:ext cx="0" cy="38100"/>
    <xdr:sp macro="" textlink="">
      <xdr:nvSpPr>
        <xdr:cNvPr id="114" name="CuadroTexto 113">
          <a:extLst>
            <a:ext uri="{FF2B5EF4-FFF2-40B4-BE49-F238E27FC236}">
              <a16:creationId xmlns:a16="http://schemas.microsoft.com/office/drawing/2014/main" id="{00000000-0008-0000-0600-000072000000}"/>
            </a:ext>
          </a:extLst>
        </xdr:cNvPr>
        <xdr:cNvSpPr txBox="1"/>
      </xdr:nvSpPr>
      <xdr:spPr>
        <a:xfrm flipH="1">
          <a:off x="3295650" y="0"/>
          <a:ext cx="0" cy="38100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lvl="0" algn="ctr"/>
          <a:r>
            <a:rPr lang="es-MX" sz="1200" b="1">
              <a:solidFill>
                <a:sysClr val="windowText" lastClr="000000"/>
              </a:solidFill>
            </a:rPr>
            <a:t>ISLA 9: CAMBIO DE MIX POSICIONES 4, 5, 6 Y 7</a:t>
          </a: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115" name="Rectángulo 8">
          <a:extLst>
            <a:ext uri="{FF2B5EF4-FFF2-40B4-BE49-F238E27FC236}">
              <a16:creationId xmlns:a16="http://schemas.microsoft.com/office/drawing/2014/main" id="{00000000-0008-0000-0600-00007300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116" name="Rectángulo 8">
          <a:extLst>
            <a:ext uri="{FF2B5EF4-FFF2-40B4-BE49-F238E27FC236}">
              <a16:creationId xmlns:a16="http://schemas.microsoft.com/office/drawing/2014/main" id="{00000000-0008-0000-0600-00007400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117" name="rect">
          <a:extLst>
            <a:ext uri="{FF2B5EF4-FFF2-40B4-BE49-F238E27FC236}">
              <a16:creationId xmlns:a16="http://schemas.microsoft.com/office/drawing/2014/main" id="{00000000-0008-0000-0600-00007500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118" name="rect">
          <a:extLst>
            <a:ext uri="{FF2B5EF4-FFF2-40B4-BE49-F238E27FC236}">
              <a16:creationId xmlns:a16="http://schemas.microsoft.com/office/drawing/2014/main" id="{00000000-0008-0000-0600-00007600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952500</xdr:colOff>
      <xdr:row>0</xdr:row>
      <xdr:rowOff>0</xdr:rowOff>
    </xdr:from>
    <xdr:ext cx="180975" cy="647700"/>
    <xdr:sp macro="" textlink="">
      <xdr:nvSpPr>
        <xdr:cNvPr id="119" name="Rectángulo 118">
          <a:extLst>
            <a:ext uri="{FF2B5EF4-FFF2-40B4-BE49-F238E27FC236}">
              <a16:creationId xmlns:a16="http://schemas.microsoft.com/office/drawing/2014/main" id="{00000000-0008-0000-0600-000077000000}"/>
            </a:ext>
          </a:extLst>
        </xdr:cNvPr>
        <xdr:cNvSpPr/>
      </xdr:nvSpPr>
      <xdr:spPr>
        <a:xfrm>
          <a:off x="98679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120" name="Rectángulo 8">
          <a:extLst>
            <a:ext uri="{FF2B5EF4-FFF2-40B4-BE49-F238E27FC236}">
              <a16:creationId xmlns:a16="http://schemas.microsoft.com/office/drawing/2014/main" id="{00000000-0008-0000-0600-00007800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121" name="Rectángulo 8">
          <a:extLst>
            <a:ext uri="{FF2B5EF4-FFF2-40B4-BE49-F238E27FC236}">
              <a16:creationId xmlns:a16="http://schemas.microsoft.com/office/drawing/2014/main" id="{00000000-0008-0000-0600-00007900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122" name="rect">
          <a:extLst>
            <a:ext uri="{FF2B5EF4-FFF2-40B4-BE49-F238E27FC236}">
              <a16:creationId xmlns:a16="http://schemas.microsoft.com/office/drawing/2014/main" id="{00000000-0008-0000-0600-00007A00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123" name="rect">
          <a:extLst>
            <a:ext uri="{FF2B5EF4-FFF2-40B4-BE49-F238E27FC236}">
              <a16:creationId xmlns:a16="http://schemas.microsoft.com/office/drawing/2014/main" id="{00000000-0008-0000-0600-00007B00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952500</xdr:colOff>
      <xdr:row>0</xdr:row>
      <xdr:rowOff>0</xdr:rowOff>
    </xdr:from>
    <xdr:ext cx="180975" cy="647700"/>
    <xdr:sp macro="" textlink="">
      <xdr:nvSpPr>
        <xdr:cNvPr id="124" name="Rectángulo 8">
          <a:extLst>
            <a:ext uri="{FF2B5EF4-FFF2-40B4-BE49-F238E27FC236}">
              <a16:creationId xmlns:a16="http://schemas.microsoft.com/office/drawing/2014/main" id="{00000000-0008-0000-0600-00007C000000}"/>
            </a:ext>
          </a:extLst>
        </xdr:cNvPr>
        <xdr:cNvSpPr/>
      </xdr:nvSpPr>
      <xdr:spPr>
        <a:xfrm>
          <a:off x="98679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125" name="Rectángulo 8">
          <a:extLst>
            <a:ext uri="{FF2B5EF4-FFF2-40B4-BE49-F238E27FC236}">
              <a16:creationId xmlns:a16="http://schemas.microsoft.com/office/drawing/2014/main" id="{00000000-0008-0000-0600-00007D00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126" name="Rectángulo 8">
          <a:extLst>
            <a:ext uri="{FF2B5EF4-FFF2-40B4-BE49-F238E27FC236}">
              <a16:creationId xmlns:a16="http://schemas.microsoft.com/office/drawing/2014/main" id="{00000000-0008-0000-0600-00007E00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127" name="rect">
          <a:extLst>
            <a:ext uri="{FF2B5EF4-FFF2-40B4-BE49-F238E27FC236}">
              <a16:creationId xmlns:a16="http://schemas.microsoft.com/office/drawing/2014/main" id="{00000000-0008-0000-0600-00007F00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128" name="rect">
          <a:extLst>
            <a:ext uri="{FF2B5EF4-FFF2-40B4-BE49-F238E27FC236}">
              <a16:creationId xmlns:a16="http://schemas.microsoft.com/office/drawing/2014/main" id="{00000000-0008-0000-0600-00008000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952500</xdr:colOff>
      <xdr:row>0</xdr:row>
      <xdr:rowOff>0</xdr:rowOff>
    </xdr:from>
    <xdr:ext cx="180975" cy="647700"/>
    <xdr:sp macro="" textlink="">
      <xdr:nvSpPr>
        <xdr:cNvPr id="129" name="Rectángulo 128">
          <a:extLst>
            <a:ext uri="{FF2B5EF4-FFF2-40B4-BE49-F238E27FC236}">
              <a16:creationId xmlns:a16="http://schemas.microsoft.com/office/drawing/2014/main" id="{00000000-0008-0000-0600-000081000000}"/>
            </a:ext>
          </a:extLst>
        </xdr:cNvPr>
        <xdr:cNvSpPr/>
      </xdr:nvSpPr>
      <xdr:spPr>
        <a:xfrm>
          <a:off x="98679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130" name="Rectángulo 8">
          <a:extLst>
            <a:ext uri="{FF2B5EF4-FFF2-40B4-BE49-F238E27FC236}">
              <a16:creationId xmlns:a16="http://schemas.microsoft.com/office/drawing/2014/main" id="{00000000-0008-0000-0600-00008200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131" name="Rectángulo 8">
          <a:extLst>
            <a:ext uri="{FF2B5EF4-FFF2-40B4-BE49-F238E27FC236}">
              <a16:creationId xmlns:a16="http://schemas.microsoft.com/office/drawing/2014/main" id="{00000000-0008-0000-0600-00008300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132" name="rect">
          <a:extLst>
            <a:ext uri="{FF2B5EF4-FFF2-40B4-BE49-F238E27FC236}">
              <a16:creationId xmlns:a16="http://schemas.microsoft.com/office/drawing/2014/main" id="{00000000-0008-0000-0600-00008400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133" name="rect">
          <a:extLst>
            <a:ext uri="{FF2B5EF4-FFF2-40B4-BE49-F238E27FC236}">
              <a16:creationId xmlns:a16="http://schemas.microsoft.com/office/drawing/2014/main" id="{00000000-0008-0000-0600-00008500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952500</xdr:colOff>
      <xdr:row>0</xdr:row>
      <xdr:rowOff>0</xdr:rowOff>
    </xdr:from>
    <xdr:ext cx="180975" cy="647700"/>
    <xdr:sp macro="" textlink="">
      <xdr:nvSpPr>
        <xdr:cNvPr id="134" name="Rectángulo 8">
          <a:extLst>
            <a:ext uri="{FF2B5EF4-FFF2-40B4-BE49-F238E27FC236}">
              <a16:creationId xmlns:a16="http://schemas.microsoft.com/office/drawing/2014/main" id="{00000000-0008-0000-0600-000086000000}"/>
            </a:ext>
          </a:extLst>
        </xdr:cNvPr>
        <xdr:cNvSpPr/>
      </xdr:nvSpPr>
      <xdr:spPr>
        <a:xfrm>
          <a:off x="98679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135" name="Rectángulo 8">
          <a:extLst>
            <a:ext uri="{FF2B5EF4-FFF2-40B4-BE49-F238E27FC236}">
              <a16:creationId xmlns:a16="http://schemas.microsoft.com/office/drawing/2014/main" id="{00000000-0008-0000-0600-00008700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136" name="Rectángulo 135">
          <a:extLst>
            <a:ext uri="{FF2B5EF4-FFF2-40B4-BE49-F238E27FC236}">
              <a16:creationId xmlns:a16="http://schemas.microsoft.com/office/drawing/2014/main" id="{00000000-0008-0000-0600-00008800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137" name="rect">
          <a:extLst>
            <a:ext uri="{FF2B5EF4-FFF2-40B4-BE49-F238E27FC236}">
              <a16:creationId xmlns:a16="http://schemas.microsoft.com/office/drawing/2014/main" id="{00000000-0008-0000-0600-00008900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138" name="rect">
          <a:extLst>
            <a:ext uri="{FF2B5EF4-FFF2-40B4-BE49-F238E27FC236}">
              <a16:creationId xmlns:a16="http://schemas.microsoft.com/office/drawing/2014/main" id="{00000000-0008-0000-0600-00008A00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952500</xdr:colOff>
      <xdr:row>0</xdr:row>
      <xdr:rowOff>0</xdr:rowOff>
    </xdr:from>
    <xdr:ext cx="180975" cy="647700"/>
    <xdr:sp macro="" textlink="">
      <xdr:nvSpPr>
        <xdr:cNvPr id="139" name="Rectángulo 138">
          <a:extLst>
            <a:ext uri="{FF2B5EF4-FFF2-40B4-BE49-F238E27FC236}">
              <a16:creationId xmlns:a16="http://schemas.microsoft.com/office/drawing/2014/main" id="{00000000-0008-0000-0600-00008B000000}"/>
            </a:ext>
          </a:extLst>
        </xdr:cNvPr>
        <xdr:cNvSpPr/>
      </xdr:nvSpPr>
      <xdr:spPr>
        <a:xfrm>
          <a:off x="98679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2</xdr:col>
      <xdr:colOff>1066800</xdr:colOff>
      <xdr:row>0</xdr:row>
      <xdr:rowOff>0</xdr:rowOff>
    </xdr:from>
    <xdr:ext cx="0" cy="38100"/>
    <xdr:sp macro="" textlink="">
      <xdr:nvSpPr>
        <xdr:cNvPr id="140" name="CuadroTexto 139">
          <a:extLst>
            <a:ext uri="{FF2B5EF4-FFF2-40B4-BE49-F238E27FC236}">
              <a16:creationId xmlns:a16="http://schemas.microsoft.com/office/drawing/2014/main" id="{00000000-0008-0000-0600-00008C000000}"/>
            </a:ext>
          </a:extLst>
        </xdr:cNvPr>
        <xdr:cNvSpPr txBox="1"/>
      </xdr:nvSpPr>
      <xdr:spPr>
        <a:xfrm flipH="1">
          <a:off x="3295650" y="0"/>
          <a:ext cx="0" cy="38100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lvl="0" algn="ctr"/>
          <a:r>
            <a:rPr lang="es-MX" sz="1200" b="1">
              <a:solidFill>
                <a:sysClr val="windowText" lastClr="000000"/>
              </a:solidFill>
            </a:rPr>
            <a:t>ISLA 9: CAMBIO DE MIX POSICIONES 4, 5, 6 Y 7</a:t>
          </a: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141" name="Rectángulo 8">
          <a:extLst>
            <a:ext uri="{FF2B5EF4-FFF2-40B4-BE49-F238E27FC236}">
              <a16:creationId xmlns:a16="http://schemas.microsoft.com/office/drawing/2014/main" id="{00000000-0008-0000-0600-00008D00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142" name="Rectángulo 8">
          <a:extLst>
            <a:ext uri="{FF2B5EF4-FFF2-40B4-BE49-F238E27FC236}">
              <a16:creationId xmlns:a16="http://schemas.microsoft.com/office/drawing/2014/main" id="{00000000-0008-0000-0600-00008E00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143" name="rect">
          <a:extLst>
            <a:ext uri="{FF2B5EF4-FFF2-40B4-BE49-F238E27FC236}">
              <a16:creationId xmlns:a16="http://schemas.microsoft.com/office/drawing/2014/main" id="{00000000-0008-0000-0600-00008F00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144" name="rect">
          <a:extLst>
            <a:ext uri="{FF2B5EF4-FFF2-40B4-BE49-F238E27FC236}">
              <a16:creationId xmlns:a16="http://schemas.microsoft.com/office/drawing/2014/main" id="{00000000-0008-0000-0600-00009000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952500</xdr:colOff>
      <xdr:row>0</xdr:row>
      <xdr:rowOff>0</xdr:rowOff>
    </xdr:from>
    <xdr:ext cx="180975" cy="647700"/>
    <xdr:sp macro="" textlink="">
      <xdr:nvSpPr>
        <xdr:cNvPr id="145" name="Rectángulo 8">
          <a:extLst>
            <a:ext uri="{FF2B5EF4-FFF2-40B4-BE49-F238E27FC236}">
              <a16:creationId xmlns:a16="http://schemas.microsoft.com/office/drawing/2014/main" id="{00000000-0008-0000-0600-000091000000}"/>
            </a:ext>
          </a:extLst>
        </xdr:cNvPr>
        <xdr:cNvSpPr/>
      </xdr:nvSpPr>
      <xdr:spPr>
        <a:xfrm>
          <a:off x="98679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146" name="Rectángulo 8">
          <a:extLst>
            <a:ext uri="{FF2B5EF4-FFF2-40B4-BE49-F238E27FC236}">
              <a16:creationId xmlns:a16="http://schemas.microsoft.com/office/drawing/2014/main" id="{00000000-0008-0000-0600-00009200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147" name="Rectángulo 8">
          <a:extLst>
            <a:ext uri="{FF2B5EF4-FFF2-40B4-BE49-F238E27FC236}">
              <a16:creationId xmlns:a16="http://schemas.microsoft.com/office/drawing/2014/main" id="{00000000-0008-0000-0600-00009300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148" name="rect">
          <a:extLst>
            <a:ext uri="{FF2B5EF4-FFF2-40B4-BE49-F238E27FC236}">
              <a16:creationId xmlns:a16="http://schemas.microsoft.com/office/drawing/2014/main" id="{00000000-0008-0000-0600-00009400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149" name="rect">
          <a:extLst>
            <a:ext uri="{FF2B5EF4-FFF2-40B4-BE49-F238E27FC236}">
              <a16:creationId xmlns:a16="http://schemas.microsoft.com/office/drawing/2014/main" id="{00000000-0008-0000-0600-00009500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952500</xdr:colOff>
      <xdr:row>0</xdr:row>
      <xdr:rowOff>0</xdr:rowOff>
    </xdr:from>
    <xdr:ext cx="180975" cy="647700"/>
    <xdr:sp macro="" textlink="">
      <xdr:nvSpPr>
        <xdr:cNvPr id="150" name="Rectángulo 149">
          <a:extLst>
            <a:ext uri="{FF2B5EF4-FFF2-40B4-BE49-F238E27FC236}">
              <a16:creationId xmlns:a16="http://schemas.microsoft.com/office/drawing/2014/main" id="{00000000-0008-0000-0600-000096000000}"/>
            </a:ext>
          </a:extLst>
        </xdr:cNvPr>
        <xdr:cNvSpPr/>
      </xdr:nvSpPr>
      <xdr:spPr>
        <a:xfrm>
          <a:off x="98679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151" name="Rectángulo 8">
          <a:extLst>
            <a:ext uri="{FF2B5EF4-FFF2-40B4-BE49-F238E27FC236}">
              <a16:creationId xmlns:a16="http://schemas.microsoft.com/office/drawing/2014/main" id="{00000000-0008-0000-0600-00009700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152" name="Rectángulo 8">
          <a:extLst>
            <a:ext uri="{FF2B5EF4-FFF2-40B4-BE49-F238E27FC236}">
              <a16:creationId xmlns:a16="http://schemas.microsoft.com/office/drawing/2014/main" id="{00000000-0008-0000-0600-00009800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153" name="rect">
          <a:extLst>
            <a:ext uri="{FF2B5EF4-FFF2-40B4-BE49-F238E27FC236}">
              <a16:creationId xmlns:a16="http://schemas.microsoft.com/office/drawing/2014/main" id="{00000000-0008-0000-0600-00009900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154" name="rect">
          <a:extLst>
            <a:ext uri="{FF2B5EF4-FFF2-40B4-BE49-F238E27FC236}">
              <a16:creationId xmlns:a16="http://schemas.microsoft.com/office/drawing/2014/main" id="{00000000-0008-0000-0600-00009A00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952500</xdr:colOff>
      <xdr:row>0</xdr:row>
      <xdr:rowOff>0</xdr:rowOff>
    </xdr:from>
    <xdr:ext cx="180975" cy="647700"/>
    <xdr:sp macro="" textlink="">
      <xdr:nvSpPr>
        <xdr:cNvPr id="155" name="Rectángulo 8">
          <a:extLst>
            <a:ext uri="{FF2B5EF4-FFF2-40B4-BE49-F238E27FC236}">
              <a16:creationId xmlns:a16="http://schemas.microsoft.com/office/drawing/2014/main" id="{00000000-0008-0000-0600-00009B000000}"/>
            </a:ext>
          </a:extLst>
        </xdr:cNvPr>
        <xdr:cNvSpPr/>
      </xdr:nvSpPr>
      <xdr:spPr>
        <a:xfrm>
          <a:off x="98679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807383</xdr:colOff>
      <xdr:row>0</xdr:row>
      <xdr:rowOff>0</xdr:rowOff>
    </xdr:from>
    <xdr:ext cx="184731" cy="655885"/>
    <xdr:sp macro="" textlink="">
      <xdr:nvSpPr>
        <xdr:cNvPr id="156" name="Rectángulo 8">
          <a:extLst>
            <a:ext uri="{FF2B5EF4-FFF2-40B4-BE49-F238E27FC236}">
              <a16:creationId xmlns:a16="http://schemas.microsoft.com/office/drawing/2014/main" id="{00000000-0008-0000-0600-00009C000000}"/>
            </a:ext>
          </a:extLst>
        </xdr:cNvPr>
        <xdr:cNvSpPr/>
      </xdr:nvSpPr>
      <xdr:spPr>
        <a:xfrm>
          <a:off x="97227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0</xdr:row>
      <xdr:rowOff>0</xdr:rowOff>
    </xdr:from>
    <xdr:ext cx="184731" cy="655885"/>
    <xdr:sp macro="" textlink="">
      <xdr:nvSpPr>
        <xdr:cNvPr id="157" name="Rectángulo 8">
          <a:extLst>
            <a:ext uri="{FF2B5EF4-FFF2-40B4-BE49-F238E27FC236}">
              <a16:creationId xmlns:a16="http://schemas.microsoft.com/office/drawing/2014/main" id="{00000000-0008-0000-0600-00009D000000}"/>
            </a:ext>
          </a:extLst>
        </xdr:cNvPr>
        <xdr:cNvSpPr/>
      </xdr:nvSpPr>
      <xdr:spPr>
        <a:xfrm>
          <a:off x="97227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959783</xdr:colOff>
      <xdr:row>0</xdr:row>
      <xdr:rowOff>0</xdr:rowOff>
    </xdr:from>
    <xdr:ext cx="184731" cy="655885"/>
    <xdr:sp macro="" textlink="">
      <xdr:nvSpPr>
        <xdr:cNvPr id="158" name="Rectángulo 157">
          <a:extLst>
            <a:ext uri="{FF2B5EF4-FFF2-40B4-BE49-F238E27FC236}">
              <a16:creationId xmlns:a16="http://schemas.microsoft.com/office/drawing/2014/main" id="{00000000-0008-0000-0600-00009E000000}"/>
            </a:ext>
          </a:extLst>
        </xdr:cNvPr>
        <xdr:cNvSpPr/>
      </xdr:nvSpPr>
      <xdr:spPr>
        <a:xfrm>
          <a:off x="98751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0</xdr:row>
      <xdr:rowOff>0</xdr:rowOff>
    </xdr:from>
    <xdr:ext cx="184731" cy="655885"/>
    <xdr:sp macro="" textlink="">
      <xdr:nvSpPr>
        <xdr:cNvPr id="159" name="Rectángulo 158">
          <a:extLst>
            <a:ext uri="{FF2B5EF4-FFF2-40B4-BE49-F238E27FC236}">
              <a16:creationId xmlns:a16="http://schemas.microsoft.com/office/drawing/2014/main" id="{00000000-0008-0000-0600-00009F000000}"/>
            </a:ext>
          </a:extLst>
        </xdr:cNvPr>
        <xdr:cNvSpPr/>
      </xdr:nvSpPr>
      <xdr:spPr>
        <a:xfrm>
          <a:off x="97227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0</xdr:row>
      <xdr:rowOff>0</xdr:rowOff>
    </xdr:from>
    <xdr:ext cx="184731" cy="655885"/>
    <xdr:sp macro="" textlink="">
      <xdr:nvSpPr>
        <xdr:cNvPr id="160" name="Rectángulo 8">
          <a:extLst>
            <a:ext uri="{FF2B5EF4-FFF2-40B4-BE49-F238E27FC236}">
              <a16:creationId xmlns:a16="http://schemas.microsoft.com/office/drawing/2014/main" id="{00000000-0008-0000-0600-0000A0000000}"/>
            </a:ext>
          </a:extLst>
        </xdr:cNvPr>
        <xdr:cNvSpPr/>
      </xdr:nvSpPr>
      <xdr:spPr>
        <a:xfrm>
          <a:off x="97227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959783</xdr:colOff>
      <xdr:row>0</xdr:row>
      <xdr:rowOff>0</xdr:rowOff>
    </xdr:from>
    <xdr:ext cx="184731" cy="655885"/>
    <xdr:sp macro="" textlink="">
      <xdr:nvSpPr>
        <xdr:cNvPr id="161" name="Rectángulo 160">
          <a:extLst>
            <a:ext uri="{FF2B5EF4-FFF2-40B4-BE49-F238E27FC236}">
              <a16:creationId xmlns:a16="http://schemas.microsoft.com/office/drawing/2014/main" id="{00000000-0008-0000-0600-0000A1000000}"/>
            </a:ext>
          </a:extLst>
        </xdr:cNvPr>
        <xdr:cNvSpPr/>
      </xdr:nvSpPr>
      <xdr:spPr>
        <a:xfrm>
          <a:off x="98751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0</xdr:row>
      <xdr:rowOff>0</xdr:rowOff>
    </xdr:from>
    <xdr:ext cx="184731" cy="655885"/>
    <xdr:sp macro="" textlink="">
      <xdr:nvSpPr>
        <xdr:cNvPr id="162" name="Rectángulo 8">
          <a:extLst>
            <a:ext uri="{FF2B5EF4-FFF2-40B4-BE49-F238E27FC236}">
              <a16:creationId xmlns:a16="http://schemas.microsoft.com/office/drawing/2014/main" id="{00000000-0008-0000-0600-0000A2000000}"/>
            </a:ext>
          </a:extLst>
        </xdr:cNvPr>
        <xdr:cNvSpPr/>
      </xdr:nvSpPr>
      <xdr:spPr>
        <a:xfrm>
          <a:off x="97227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0</xdr:row>
      <xdr:rowOff>0</xdr:rowOff>
    </xdr:from>
    <xdr:ext cx="184731" cy="655885"/>
    <xdr:sp macro="" textlink="">
      <xdr:nvSpPr>
        <xdr:cNvPr id="163" name="Rectángulo 8">
          <a:extLst>
            <a:ext uri="{FF2B5EF4-FFF2-40B4-BE49-F238E27FC236}">
              <a16:creationId xmlns:a16="http://schemas.microsoft.com/office/drawing/2014/main" id="{00000000-0008-0000-0600-0000A3000000}"/>
            </a:ext>
          </a:extLst>
        </xdr:cNvPr>
        <xdr:cNvSpPr/>
      </xdr:nvSpPr>
      <xdr:spPr>
        <a:xfrm>
          <a:off x="97227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959783</xdr:colOff>
      <xdr:row>0</xdr:row>
      <xdr:rowOff>0</xdr:rowOff>
    </xdr:from>
    <xdr:ext cx="184731" cy="655885"/>
    <xdr:sp macro="" textlink="">
      <xdr:nvSpPr>
        <xdr:cNvPr id="164" name="Rectángulo 163">
          <a:extLst>
            <a:ext uri="{FF2B5EF4-FFF2-40B4-BE49-F238E27FC236}">
              <a16:creationId xmlns:a16="http://schemas.microsoft.com/office/drawing/2014/main" id="{00000000-0008-0000-0600-0000A4000000}"/>
            </a:ext>
          </a:extLst>
        </xdr:cNvPr>
        <xdr:cNvSpPr/>
      </xdr:nvSpPr>
      <xdr:spPr>
        <a:xfrm>
          <a:off x="98751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0</xdr:row>
      <xdr:rowOff>0</xdr:rowOff>
    </xdr:from>
    <xdr:ext cx="184731" cy="655885"/>
    <xdr:sp macro="" textlink="">
      <xdr:nvSpPr>
        <xdr:cNvPr id="165" name="Rectángulo 164">
          <a:extLst>
            <a:ext uri="{FF2B5EF4-FFF2-40B4-BE49-F238E27FC236}">
              <a16:creationId xmlns:a16="http://schemas.microsoft.com/office/drawing/2014/main" id="{00000000-0008-0000-0600-0000A5000000}"/>
            </a:ext>
          </a:extLst>
        </xdr:cNvPr>
        <xdr:cNvSpPr/>
      </xdr:nvSpPr>
      <xdr:spPr>
        <a:xfrm>
          <a:off x="97227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0</xdr:row>
      <xdr:rowOff>0</xdr:rowOff>
    </xdr:from>
    <xdr:ext cx="184731" cy="655885"/>
    <xdr:sp macro="" textlink="">
      <xdr:nvSpPr>
        <xdr:cNvPr id="166" name="Rectángulo 8">
          <a:extLst>
            <a:ext uri="{FF2B5EF4-FFF2-40B4-BE49-F238E27FC236}">
              <a16:creationId xmlns:a16="http://schemas.microsoft.com/office/drawing/2014/main" id="{00000000-0008-0000-0600-0000A6000000}"/>
            </a:ext>
          </a:extLst>
        </xdr:cNvPr>
        <xdr:cNvSpPr/>
      </xdr:nvSpPr>
      <xdr:spPr>
        <a:xfrm>
          <a:off x="97227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959783</xdr:colOff>
      <xdr:row>0</xdr:row>
      <xdr:rowOff>0</xdr:rowOff>
    </xdr:from>
    <xdr:ext cx="184731" cy="655885"/>
    <xdr:sp macro="" textlink="">
      <xdr:nvSpPr>
        <xdr:cNvPr id="167" name="Rectángulo 166">
          <a:extLst>
            <a:ext uri="{FF2B5EF4-FFF2-40B4-BE49-F238E27FC236}">
              <a16:creationId xmlns:a16="http://schemas.microsoft.com/office/drawing/2014/main" id="{00000000-0008-0000-0600-0000A7000000}"/>
            </a:ext>
          </a:extLst>
        </xdr:cNvPr>
        <xdr:cNvSpPr/>
      </xdr:nvSpPr>
      <xdr:spPr>
        <a:xfrm>
          <a:off x="98751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0</xdr:col>
      <xdr:colOff>959783</xdr:colOff>
      <xdr:row>0</xdr:row>
      <xdr:rowOff>0</xdr:rowOff>
    </xdr:from>
    <xdr:ext cx="184731" cy="655885"/>
    <xdr:sp macro="" textlink="">
      <xdr:nvSpPr>
        <xdr:cNvPr id="168" name="Rectángulo 167">
          <a:extLst>
            <a:ext uri="{FF2B5EF4-FFF2-40B4-BE49-F238E27FC236}">
              <a16:creationId xmlns:a16="http://schemas.microsoft.com/office/drawing/2014/main" id="{00000000-0008-0000-0600-0000A8000000}"/>
            </a:ext>
          </a:extLst>
        </xdr:cNvPr>
        <xdr:cNvSpPr/>
      </xdr:nvSpPr>
      <xdr:spPr>
        <a:xfrm>
          <a:off x="9597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0</xdr:col>
      <xdr:colOff>959783</xdr:colOff>
      <xdr:row>0</xdr:row>
      <xdr:rowOff>0</xdr:rowOff>
    </xdr:from>
    <xdr:ext cx="184731" cy="655885"/>
    <xdr:sp macro="" textlink="">
      <xdr:nvSpPr>
        <xdr:cNvPr id="169" name="Rectángulo 168">
          <a:extLst>
            <a:ext uri="{FF2B5EF4-FFF2-40B4-BE49-F238E27FC236}">
              <a16:creationId xmlns:a16="http://schemas.microsoft.com/office/drawing/2014/main" id="{00000000-0008-0000-0600-0000A9000000}"/>
            </a:ext>
          </a:extLst>
        </xdr:cNvPr>
        <xdr:cNvSpPr/>
      </xdr:nvSpPr>
      <xdr:spPr>
        <a:xfrm>
          <a:off x="9597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2</xdr:col>
      <xdr:colOff>1066800</xdr:colOff>
      <xdr:row>0</xdr:row>
      <xdr:rowOff>0</xdr:rowOff>
    </xdr:from>
    <xdr:ext cx="0" cy="38100"/>
    <xdr:sp macro="" textlink="">
      <xdr:nvSpPr>
        <xdr:cNvPr id="170" name="CuadroTexto 169">
          <a:extLst>
            <a:ext uri="{FF2B5EF4-FFF2-40B4-BE49-F238E27FC236}">
              <a16:creationId xmlns:a16="http://schemas.microsoft.com/office/drawing/2014/main" id="{00000000-0008-0000-0600-0000AA000000}"/>
            </a:ext>
          </a:extLst>
        </xdr:cNvPr>
        <xdr:cNvSpPr txBox="1"/>
      </xdr:nvSpPr>
      <xdr:spPr>
        <a:xfrm flipH="1">
          <a:off x="3295650" y="0"/>
          <a:ext cx="0" cy="38100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lvl="0" algn="ctr"/>
          <a:r>
            <a:rPr lang="es-MX" sz="1200" b="1">
              <a:solidFill>
                <a:sysClr val="windowText" lastClr="000000"/>
              </a:solidFill>
            </a:rPr>
            <a:t>ISLA 9: CAMBIO DE MIX POSICIONES 4, 5, 6 Y 7</a:t>
          </a: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171" name="Rectángulo 8">
          <a:extLst>
            <a:ext uri="{FF2B5EF4-FFF2-40B4-BE49-F238E27FC236}">
              <a16:creationId xmlns:a16="http://schemas.microsoft.com/office/drawing/2014/main" id="{00000000-0008-0000-0600-0000AB00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172" name="Rectángulo 8">
          <a:extLst>
            <a:ext uri="{FF2B5EF4-FFF2-40B4-BE49-F238E27FC236}">
              <a16:creationId xmlns:a16="http://schemas.microsoft.com/office/drawing/2014/main" id="{00000000-0008-0000-0600-0000AC00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173" name="rect">
          <a:extLst>
            <a:ext uri="{FF2B5EF4-FFF2-40B4-BE49-F238E27FC236}">
              <a16:creationId xmlns:a16="http://schemas.microsoft.com/office/drawing/2014/main" id="{00000000-0008-0000-0600-0000AD00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174" name="rect">
          <a:extLst>
            <a:ext uri="{FF2B5EF4-FFF2-40B4-BE49-F238E27FC236}">
              <a16:creationId xmlns:a16="http://schemas.microsoft.com/office/drawing/2014/main" id="{00000000-0008-0000-0600-0000AE00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952500</xdr:colOff>
      <xdr:row>0</xdr:row>
      <xdr:rowOff>0</xdr:rowOff>
    </xdr:from>
    <xdr:ext cx="180975" cy="647700"/>
    <xdr:sp macro="" textlink="">
      <xdr:nvSpPr>
        <xdr:cNvPr id="175" name="Rectángulo 174">
          <a:extLst>
            <a:ext uri="{FF2B5EF4-FFF2-40B4-BE49-F238E27FC236}">
              <a16:creationId xmlns:a16="http://schemas.microsoft.com/office/drawing/2014/main" id="{00000000-0008-0000-0600-0000AF000000}"/>
            </a:ext>
          </a:extLst>
        </xdr:cNvPr>
        <xdr:cNvSpPr/>
      </xdr:nvSpPr>
      <xdr:spPr>
        <a:xfrm>
          <a:off x="98679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176" name="Rectángulo 8">
          <a:extLst>
            <a:ext uri="{FF2B5EF4-FFF2-40B4-BE49-F238E27FC236}">
              <a16:creationId xmlns:a16="http://schemas.microsoft.com/office/drawing/2014/main" id="{00000000-0008-0000-0600-0000B000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177" name="Rectángulo 176">
          <a:extLst>
            <a:ext uri="{FF2B5EF4-FFF2-40B4-BE49-F238E27FC236}">
              <a16:creationId xmlns:a16="http://schemas.microsoft.com/office/drawing/2014/main" id="{00000000-0008-0000-0600-0000B100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178" name="rect">
          <a:extLst>
            <a:ext uri="{FF2B5EF4-FFF2-40B4-BE49-F238E27FC236}">
              <a16:creationId xmlns:a16="http://schemas.microsoft.com/office/drawing/2014/main" id="{00000000-0008-0000-0600-0000B200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179" name="rect">
          <a:extLst>
            <a:ext uri="{FF2B5EF4-FFF2-40B4-BE49-F238E27FC236}">
              <a16:creationId xmlns:a16="http://schemas.microsoft.com/office/drawing/2014/main" id="{00000000-0008-0000-0600-0000B300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952500</xdr:colOff>
      <xdr:row>0</xdr:row>
      <xdr:rowOff>0</xdr:rowOff>
    </xdr:from>
    <xdr:ext cx="180975" cy="647700"/>
    <xdr:sp macro="" textlink="">
      <xdr:nvSpPr>
        <xdr:cNvPr id="180" name="Rectángulo 8">
          <a:extLst>
            <a:ext uri="{FF2B5EF4-FFF2-40B4-BE49-F238E27FC236}">
              <a16:creationId xmlns:a16="http://schemas.microsoft.com/office/drawing/2014/main" id="{00000000-0008-0000-0600-0000B4000000}"/>
            </a:ext>
          </a:extLst>
        </xdr:cNvPr>
        <xdr:cNvSpPr/>
      </xdr:nvSpPr>
      <xdr:spPr>
        <a:xfrm>
          <a:off x="98679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181" name="Rectángulo 8">
          <a:extLst>
            <a:ext uri="{FF2B5EF4-FFF2-40B4-BE49-F238E27FC236}">
              <a16:creationId xmlns:a16="http://schemas.microsoft.com/office/drawing/2014/main" id="{00000000-0008-0000-0600-0000B500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182" name="Rectángulo 8">
          <a:extLst>
            <a:ext uri="{FF2B5EF4-FFF2-40B4-BE49-F238E27FC236}">
              <a16:creationId xmlns:a16="http://schemas.microsoft.com/office/drawing/2014/main" id="{00000000-0008-0000-0600-0000B600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183" name="rect">
          <a:extLst>
            <a:ext uri="{FF2B5EF4-FFF2-40B4-BE49-F238E27FC236}">
              <a16:creationId xmlns:a16="http://schemas.microsoft.com/office/drawing/2014/main" id="{00000000-0008-0000-0600-0000B700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184" name="rect">
          <a:extLst>
            <a:ext uri="{FF2B5EF4-FFF2-40B4-BE49-F238E27FC236}">
              <a16:creationId xmlns:a16="http://schemas.microsoft.com/office/drawing/2014/main" id="{00000000-0008-0000-0600-0000B800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952500</xdr:colOff>
      <xdr:row>0</xdr:row>
      <xdr:rowOff>0</xdr:rowOff>
    </xdr:from>
    <xdr:ext cx="180975" cy="647700"/>
    <xdr:sp macro="" textlink="">
      <xdr:nvSpPr>
        <xdr:cNvPr id="185" name="Rectángulo 184">
          <a:extLst>
            <a:ext uri="{FF2B5EF4-FFF2-40B4-BE49-F238E27FC236}">
              <a16:creationId xmlns:a16="http://schemas.microsoft.com/office/drawing/2014/main" id="{00000000-0008-0000-0600-0000B9000000}"/>
            </a:ext>
          </a:extLst>
        </xdr:cNvPr>
        <xdr:cNvSpPr/>
      </xdr:nvSpPr>
      <xdr:spPr>
        <a:xfrm>
          <a:off x="98679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186" name="Rectángulo 8">
          <a:extLst>
            <a:ext uri="{FF2B5EF4-FFF2-40B4-BE49-F238E27FC236}">
              <a16:creationId xmlns:a16="http://schemas.microsoft.com/office/drawing/2014/main" id="{00000000-0008-0000-0600-0000BA00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187" name="Rectángulo 8">
          <a:extLst>
            <a:ext uri="{FF2B5EF4-FFF2-40B4-BE49-F238E27FC236}">
              <a16:creationId xmlns:a16="http://schemas.microsoft.com/office/drawing/2014/main" id="{00000000-0008-0000-0600-0000BB00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188" name="rect">
          <a:extLst>
            <a:ext uri="{FF2B5EF4-FFF2-40B4-BE49-F238E27FC236}">
              <a16:creationId xmlns:a16="http://schemas.microsoft.com/office/drawing/2014/main" id="{00000000-0008-0000-0600-0000BC00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189" name="rect">
          <a:extLst>
            <a:ext uri="{FF2B5EF4-FFF2-40B4-BE49-F238E27FC236}">
              <a16:creationId xmlns:a16="http://schemas.microsoft.com/office/drawing/2014/main" id="{00000000-0008-0000-0600-0000BD00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952500</xdr:colOff>
      <xdr:row>0</xdr:row>
      <xdr:rowOff>0</xdr:rowOff>
    </xdr:from>
    <xdr:ext cx="180975" cy="647700"/>
    <xdr:sp macro="" textlink="">
      <xdr:nvSpPr>
        <xdr:cNvPr id="190" name="Rectángulo 8">
          <a:extLst>
            <a:ext uri="{FF2B5EF4-FFF2-40B4-BE49-F238E27FC236}">
              <a16:creationId xmlns:a16="http://schemas.microsoft.com/office/drawing/2014/main" id="{00000000-0008-0000-0600-0000BE000000}"/>
            </a:ext>
          </a:extLst>
        </xdr:cNvPr>
        <xdr:cNvSpPr/>
      </xdr:nvSpPr>
      <xdr:spPr>
        <a:xfrm>
          <a:off x="98679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191" name="Rectángulo 8">
          <a:extLst>
            <a:ext uri="{FF2B5EF4-FFF2-40B4-BE49-F238E27FC236}">
              <a16:creationId xmlns:a16="http://schemas.microsoft.com/office/drawing/2014/main" id="{00000000-0008-0000-0600-0000BF00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192" name="Rectángulo 191">
          <a:extLst>
            <a:ext uri="{FF2B5EF4-FFF2-40B4-BE49-F238E27FC236}">
              <a16:creationId xmlns:a16="http://schemas.microsoft.com/office/drawing/2014/main" id="{00000000-0008-0000-0600-0000C000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193" name="rect">
          <a:extLst>
            <a:ext uri="{FF2B5EF4-FFF2-40B4-BE49-F238E27FC236}">
              <a16:creationId xmlns:a16="http://schemas.microsoft.com/office/drawing/2014/main" id="{00000000-0008-0000-0600-0000C100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194" name="rect">
          <a:extLst>
            <a:ext uri="{FF2B5EF4-FFF2-40B4-BE49-F238E27FC236}">
              <a16:creationId xmlns:a16="http://schemas.microsoft.com/office/drawing/2014/main" id="{00000000-0008-0000-0600-0000C200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952500</xdr:colOff>
      <xdr:row>0</xdr:row>
      <xdr:rowOff>0</xdr:rowOff>
    </xdr:from>
    <xdr:ext cx="180975" cy="647700"/>
    <xdr:sp macro="" textlink="">
      <xdr:nvSpPr>
        <xdr:cNvPr id="195" name="Rectángulo 194">
          <a:extLst>
            <a:ext uri="{FF2B5EF4-FFF2-40B4-BE49-F238E27FC236}">
              <a16:creationId xmlns:a16="http://schemas.microsoft.com/office/drawing/2014/main" id="{00000000-0008-0000-0600-0000C3000000}"/>
            </a:ext>
          </a:extLst>
        </xdr:cNvPr>
        <xdr:cNvSpPr/>
      </xdr:nvSpPr>
      <xdr:spPr>
        <a:xfrm>
          <a:off x="98679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2</xdr:col>
      <xdr:colOff>1066800</xdr:colOff>
      <xdr:row>0</xdr:row>
      <xdr:rowOff>0</xdr:rowOff>
    </xdr:from>
    <xdr:ext cx="0" cy="38100"/>
    <xdr:sp macro="" textlink="">
      <xdr:nvSpPr>
        <xdr:cNvPr id="196" name="CuadroTexto 195">
          <a:extLst>
            <a:ext uri="{FF2B5EF4-FFF2-40B4-BE49-F238E27FC236}">
              <a16:creationId xmlns:a16="http://schemas.microsoft.com/office/drawing/2014/main" id="{00000000-0008-0000-0600-0000C4000000}"/>
            </a:ext>
          </a:extLst>
        </xdr:cNvPr>
        <xdr:cNvSpPr txBox="1"/>
      </xdr:nvSpPr>
      <xdr:spPr>
        <a:xfrm flipH="1">
          <a:off x="3295650" y="0"/>
          <a:ext cx="0" cy="38100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lvl="0" algn="ctr"/>
          <a:r>
            <a:rPr lang="es-MX" sz="1200" b="1">
              <a:solidFill>
                <a:sysClr val="windowText" lastClr="000000"/>
              </a:solidFill>
            </a:rPr>
            <a:t>ISLA 9: CAMBIO DE MIX POSICIONES 4, 5, 6 Y 7</a:t>
          </a: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197" name="Rectángulo 8">
          <a:extLst>
            <a:ext uri="{FF2B5EF4-FFF2-40B4-BE49-F238E27FC236}">
              <a16:creationId xmlns:a16="http://schemas.microsoft.com/office/drawing/2014/main" id="{00000000-0008-0000-0600-0000C500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198" name="Rectángulo 8">
          <a:extLst>
            <a:ext uri="{FF2B5EF4-FFF2-40B4-BE49-F238E27FC236}">
              <a16:creationId xmlns:a16="http://schemas.microsoft.com/office/drawing/2014/main" id="{00000000-0008-0000-0600-0000C600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199" name="rect">
          <a:extLst>
            <a:ext uri="{FF2B5EF4-FFF2-40B4-BE49-F238E27FC236}">
              <a16:creationId xmlns:a16="http://schemas.microsoft.com/office/drawing/2014/main" id="{00000000-0008-0000-0600-0000C700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200" name="rect">
          <a:extLst>
            <a:ext uri="{FF2B5EF4-FFF2-40B4-BE49-F238E27FC236}">
              <a16:creationId xmlns:a16="http://schemas.microsoft.com/office/drawing/2014/main" id="{00000000-0008-0000-0600-0000C800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952500</xdr:colOff>
      <xdr:row>0</xdr:row>
      <xdr:rowOff>0</xdr:rowOff>
    </xdr:from>
    <xdr:ext cx="180975" cy="647700"/>
    <xdr:sp macro="" textlink="">
      <xdr:nvSpPr>
        <xdr:cNvPr id="201" name="Rectángulo 8">
          <a:extLst>
            <a:ext uri="{FF2B5EF4-FFF2-40B4-BE49-F238E27FC236}">
              <a16:creationId xmlns:a16="http://schemas.microsoft.com/office/drawing/2014/main" id="{00000000-0008-0000-0600-0000C9000000}"/>
            </a:ext>
          </a:extLst>
        </xdr:cNvPr>
        <xdr:cNvSpPr/>
      </xdr:nvSpPr>
      <xdr:spPr>
        <a:xfrm>
          <a:off x="98679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202" name="Rectángulo 8">
          <a:extLst>
            <a:ext uri="{FF2B5EF4-FFF2-40B4-BE49-F238E27FC236}">
              <a16:creationId xmlns:a16="http://schemas.microsoft.com/office/drawing/2014/main" id="{00000000-0008-0000-0600-0000CA00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203" name="Rectángulo 8">
          <a:extLst>
            <a:ext uri="{FF2B5EF4-FFF2-40B4-BE49-F238E27FC236}">
              <a16:creationId xmlns:a16="http://schemas.microsoft.com/office/drawing/2014/main" id="{00000000-0008-0000-0600-0000CB00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204" name="rect">
          <a:extLst>
            <a:ext uri="{FF2B5EF4-FFF2-40B4-BE49-F238E27FC236}">
              <a16:creationId xmlns:a16="http://schemas.microsoft.com/office/drawing/2014/main" id="{00000000-0008-0000-0600-0000CC00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205" name="rect">
          <a:extLst>
            <a:ext uri="{FF2B5EF4-FFF2-40B4-BE49-F238E27FC236}">
              <a16:creationId xmlns:a16="http://schemas.microsoft.com/office/drawing/2014/main" id="{00000000-0008-0000-0600-0000CD00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952500</xdr:colOff>
      <xdr:row>0</xdr:row>
      <xdr:rowOff>0</xdr:rowOff>
    </xdr:from>
    <xdr:ext cx="180975" cy="647700"/>
    <xdr:sp macro="" textlink="">
      <xdr:nvSpPr>
        <xdr:cNvPr id="206" name="Rectángulo 205">
          <a:extLst>
            <a:ext uri="{FF2B5EF4-FFF2-40B4-BE49-F238E27FC236}">
              <a16:creationId xmlns:a16="http://schemas.microsoft.com/office/drawing/2014/main" id="{00000000-0008-0000-0600-0000CE000000}"/>
            </a:ext>
          </a:extLst>
        </xdr:cNvPr>
        <xdr:cNvSpPr/>
      </xdr:nvSpPr>
      <xdr:spPr>
        <a:xfrm>
          <a:off x="98679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207" name="Rectángulo 8">
          <a:extLst>
            <a:ext uri="{FF2B5EF4-FFF2-40B4-BE49-F238E27FC236}">
              <a16:creationId xmlns:a16="http://schemas.microsoft.com/office/drawing/2014/main" id="{00000000-0008-0000-0600-0000CF00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208" name="Rectángulo 8">
          <a:extLst>
            <a:ext uri="{FF2B5EF4-FFF2-40B4-BE49-F238E27FC236}">
              <a16:creationId xmlns:a16="http://schemas.microsoft.com/office/drawing/2014/main" id="{00000000-0008-0000-0600-0000D000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209" name="rect">
          <a:extLst>
            <a:ext uri="{FF2B5EF4-FFF2-40B4-BE49-F238E27FC236}">
              <a16:creationId xmlns:a16="http://schemas.microsoft.com/office/drawing/2014/main" id="{00000000-0008-0000-0600-0000D100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210" name="rect">
          <a:extLst>
            <a:ext uri="{FF2B5EF4-FFF2-40B4-BE49-F238E27FC236}">
              <a16:creationId xmlns:a16="http://schemas.microsoft.com/office/drawing/2014/main" id="{00000000-0008-0000-0600-0000D200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952500</xdr:colOff>
      <xdr:row>0</xdr:row>
      <xdr:rowOff>0</xdr:rowOff>
    </xdr:from>
    <xdr:ext cx="180975" cy="647700"/>
    <xdr:sp macro="" textlink="">
      <xdr:nvSpPr>
        <xdr:cNvPr id="211" name="Rectángulo 8">
          <a:extLst>
            <a:ext uri="{FF2B5EF4-FFF2-40B4-BE49-F238E27FC236}">
              <a16:creationId xmlns:a16="http://schemas.microsoft.com/office/drawing/2014/main" id="{00000000-0008-0000-0600-0000D3000000}"/>
            </a:ext>
          </a:extLst>
        </xdr:cNvPr>
        <xdr:cNvSpPr/>
      </xdr:nvSpPr>
      <xdr:spPr>
        <a:xfrm>
          <a:off x="98679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807383</xdr:colOff>
      <xdr:row>0</xdr:row>
      <xdr:rowOff>0</xdr:rowOff>
    </xdr:from>
    <xdr:ext cx="184731" cy="655885"/>
    <xdr:sp macro="" textlink="">
      <xdr:nvSpPr>
        <xdr:cNvPr id="212" name="Rectángulo 8">
          <a:extLst>
            <a:ext uri="{FF2B5EF4-FFF2-40B4-BE49-F238E27FC236}">
              <a16:creationId xmlns:a16="http://schemas.microsoft.com/office/drawing/2014/main" id="{00000000-0008-0000-0600-0000D4000000}"/>
            </a:ext>
          </a:extLst>
        </xdr:cNvPr>
        <xdr:cNvSpPr/>
      </xdr:nvSpPr>
      <xdr:spPr>
        <a:xfrm>
          <a:off x="97227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0</xdr:row>
      <xdr:rowOff>0</xdr:rowOff>
    </xdr:from>
    <xdr:ext cx="184731" cy="655885"/>
    <xdr:sp macro="" textlink="">
      <xdr:nvSpPr>
        <xdr:cNvPr id="213" name="Rectángulo 8">
          <a:extLst>
            <a:ext uri="{FF2B5EF4-FFF2-40B4-BE49-F238E27FC236}">
              <a16:creationId xmlns:a16="http://schemas.microsoft.com/office/drawing/2014/main" id="{00000000-0008-0000-0600-0000D5000000}"/>
            </a:ext>
          </a:extLst>
        </xdr:cNvPr>
        <xdr:cNvSpPr/>
      </xdr:nvSpPr>
      <xdr:spPr>
        <a:xfrm>
          <a:off x="97227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959783</xdr:colOff>
      <xdr:row>0</xdr:row>
      <xdr:rowOff>0</xdr:rowOff>
    </xdr:from>
    <xdr:ext cx="184731" cy="655885"/>
    <xdr:sp macro="" textlink="">
      <xdr:nvSpPr>
        <xdr:cNvPr id="214" name="Rectángulo 213">
          <a:extLst>
            <a:ext uri="{FF2B5EF4-FFF2-40B4-BE49-F238E27FC236}">
              <a16:creationId xmlns:a16="http://schemas.microsoft.com/office/drawing/2014/main" id="{00000000-0008-0000-0600-0000D6000000}"/>
            </a:ext>
          </a:extLst>
        </xdr:cNvPr>
        <xdr:cNvSpPr/>
      </xdr:nvSpPr>
      <xdr:spPr>
        <a:xfrm>
          <a:off x="98751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0</xdr:row>
      <xdr:rowOff>0</xdr:rowOff>
    </xdr:from>
    <xdr:ext cx="184731" cy="655885"/>
    <xdr:sp macro="" textlink="">
      <xdr:nvSpPr>
        <xdr:cNvPr id="215" name="Rectángulo 214">
          <a:extLst>
            <a:ext uri="{FF2B5EF4-FFF2-40B4-BE49-F238E27FC236}">
              <a16:creationId xmlns:a16="http://schemas.microsoft.com/office/drawing/2014/main" id="{00000000-0008-0000-0600-0000D7000000}"/>
            </a:ext>
          </a:extLst>
        </xdr:cNvPr>
        <xdr:cNvSpPr/>
      </xdr:nvSpPr>
      <xdr:spPr>
        <a:xfrm>
          <a:off x="97227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0</xdr:row>
      <xdr:rowOff>0</xdr:rowOff>
    </xdr:from>
    <xdr:ext cx="184731" cy="655885"/>
    <xdr:sp macro="" textlink="">
      <xdr:nvSpPr>
        <xdr:cNvPr id="216" name="Rectángulo 8">
          <a:extLst>
            <a:ext uri="{FF2B5EF4-FFF2-40B4-BE49-F238E27FC236}">
              <a16:creationId xmlns:a16="http://schemas.microsoft.com/office/drawing/2014/main" id="{00000000-0008-0000-0600-0000D8000000}"/>
            </a:ext>
          </a:extLst>
        </xdr:cNvPr>
        <xdr:cNvSpPr/>
      </xdr:nvSpPr>
      <xdr:spPr>
        <a:xfrm>
          <a:off x="97227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959783</xdr:colOff>
      <xdr:row>0</xdr:row>
      <xdr:rowOff>0</xdr:rowOff>
    </xdr:from>
    <xdr:ext cx="184731" cy="655885"/>
    <xdr:sp macro="" textlink="">
      <xdr:nvSpPr>
        <xdr:cNvPr id="217" name="Rectángulo 216">
          <a:extLst>
            <a:ext uri="{FF2B5EF4-FFF2-40B4-BE49-F238E27FC236}">
              <a16:creationId xmlns:a16="http://schemas.microsoft.com/office/drawing/2014/main" id="{00000000-0008-0000-0600-0000D9000000}"/>
            </a:ext>
          </a:extLst>
        </xdr:cNvPr>
        <xdr:cNvSpPr/>
      </xdr:nvSpPr>
      <xdr:spPr>
        <a:xfrm>
          <a:off x="98751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0</xdr:row>
      <xdr:rowOff>0</xdr:rowOff>
    </xdr:from>
    <xdr:ext cx="184731" cy="655885"/>
    <xdr:sp macro="" textlink="">
      <xdr:nvSpPr>
        <xdr:cNvPr id="218" name="Rectángulo 8">
          <a:extLst>
            <a:ext uri="{FF2B5EF4-FFF2-40B4-BE49-F238E27FC236}">
              <a16:creationId xmlns:a16="http://schemas.microsoft.com/office/drawing/2014/main" id="{00000000-0008-0000-0600-0000DA000000}"/>
            </a:ext>
          </a:extLst>
        </xdr:cNvPr>
        <xdr:cNvSpPr/>
      </xdr:nvSpPr>
      <xdr:spPr>
        <a:xfrm>
          <a:off x="97227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0</xdr:row>
      <xdr:rowOff>0</xdr:rowOff>
    </xdr:from>
    <xdr:ext cx="184731" cy="655885"/>
    <xdr:sp macro="" textlink="">
      <xdr:nvSpPr>
        <xdr:cNvPr id="219" name="Rectángulo 8">
          <a:extLst>
            <a:ext uri="{FF2B5EF4-FFF2-40B4-BE49-F238E27FC236}">
              <a16:creationId xmlns:a16="http://schemas.microsoft.com/office/drawing/2014/main" id="{00000000-0008-0000-0600-0000DB000000}"/>
            </a:ext>
          </a:extLst>
        </xdr:cNvPr>
        <xdr:cNvSpPr/>
      </xdr:nvSpPr>
      <xdr:spPr>
        <a:xfrm>
          <a:off x="97227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959783</xdr:colOff>
      <xdr:row>0</xdr:row>
      <xdr:rowOff>0</xdr:rowOff>
    </xdr:from>
    <xdr:ext cx="184731" cy="655885"/>
    <xdr:sp macro="" textlink="">
      <xdr:nvSpPr>
        <xdr:cNvPr id="220" name="Rectángulo 219">
          <a:extLst>
            <a:ext uri="{FF2B5EF4-FFF2-40B4-BE49-F238E27FC236}">
              <a16:creationId xmlns:a16="http://schemas.microsoft.com/office/drawing/2014/main" id="{00000000-0008-0000-0600-0000DC000000}"/>
            </a:ext>
          </a:extLst>
        </xdr:cNvPr>
        <xdr:cNvSpPr/>
      </xdr:nvSpPr>
      <xdr:spPr>
        <a:xfrm>
          <a:off x="98751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0</xdr:row>
      <xdr:rowOff>0</xdr:rowOff>
    </xdr:from>
    <xdr:ext cx="184731" cy="655885"/>
    <xdr:sp macro="" textlink="">
      <xdr:nvSpPr>
        <xdr:cNvPr id="221" name="Rectángulo 220">
          <a:extLst>
            <a:ext uri="{FF2B5EF4-FFF2-40B4-BE49-F238E27FC236}">
              <a16:creationId xmlns:a16="http://schemas.microsoft.com/office/drawing/2014/main" id="{00000000-0008-0000-0600-0000DD000000}"/>
            </a:ext>
          </a:extLst>
        </xdr:cNvPr>
        <xdr:cNvSpPr/>
      </xdr:nvSpPr>
      <xdr:spPr>
        <a:xfrm>
          <a:off x="97227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0</xdr:row>
      <xdr:rowOff>0</xdr:rowOff>
    </xdr:from>
    <xdr:ext cx="184731" cy="655885"/>
    <xdr:sp macro="" textlink="">
      <xdr:nvSpPr>
        <xdr:cNvPr id="222" name="Rectángulo 8">
          <a:extLst>
            <a:ext uri="{FF2B5EF4-FFF2-40B4-BE49-F238E27FC236}">
              <a16:creationId xmlns:a16="http://schemas.microsoft.com/office/drawing/2014/main" id="{00000000-0008-0000-0600-0000DE000000}"/>
            </a:ext>
          </a:extLst>
        </xdr:cNvPr>
        <xdr:cNvSpPr/>
      </xdr:nvSpPr>
      <xdr:spPr>
        <a:xfrm>
          <a:off x="97227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959783</xdr:colOff>
      <xdr:row>0</xdr:row>
      <xdr:rowOff>0</xdr:rowOff>
    </xdr:from>
    <xdr:ext cx="184731" cy="655885"/>
    <xdr:sp macro="" textlink="">
      <xdr:nvSpPr>
        <xdr:cNvPr id="223" name="Rectángulo 222">
          <a:extLst>
            <a:ext uri="{FF2B5EF4-FFF2-40B4-BE49-F238E27FC236}">
              <a16:creationId xmlns:a16="http://schemas.microsoft.com/office/drawing/2014/main" id="{00000000-0008-0000-0600-0000DF000000}"/>
            </a:ext>
          </a:extLst>
        </xdr:cNvPr>
        <xdr:cNvSpPr/>
      </xdr:nvSpPr>
      <xdr:spPr>
        <a:xfrm>
          <a:off x="98751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0</xdr:col>
      <xdr:colOff>959783</xdr:colOff>
      <xdr:row>0</xdr:row>
      <xdr:rowOff>0</xdr:rowOff>
    </xdr:from>
    <xdr:ext cx="184731" cy="655885"/>
    <xdr:sp macro="" textlink="">
      <xdr:nvSpPr>
        <xdr:cNvPr id="224" name="Rectángulo 223">
          <a:extLst>
            <a:ext uri="{FF2B5EF4-FFF2-40B4-BE49-F238E27FC236}">
              <a16:creationId xmlns:a16="http://schemas.microsoft.com/office/drawing/2014/main" id="{00000000-0008-0000-0600-0000E0000000}"/>
            </a:ext>
          </a:extLst>
        </xdr:cNvPr>
        <xdr:cNvSpPr/>
      </xdr:nvSpPr>
      <xdr:spPr>
        <a:xfrm>
          <a:off x="9597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0</xdr:col>
      <xdr:colOff>959783</xdr:colOff>
      <xdr:row>0</xdr:row>
      <xdr:rowOff>0</xdr:rowOff>
    </xdr:from>
    <xdr:ext cx="184731" cy="655885"/>
    <xdr:sp macro="" textlink="">
      <xdr:nvSpPr>
        <xdr:cNvPr id="225" name="Rectángulo 224">
          <a:extLst>
            <a:ext uri="{FF2B5EF4-FFF2-40B4-BE49-F238E27FC236}">
              <a16:creationId xmlns:a16="http://schemas.microsoft.com/office/drawing/2014/main" id="{00000000-0008-0000-0600-0000E1000000}"/>
            </a:ext>
          </a:extLst>
        </xdr:cNvPr>
        <xdr:cNvSpPr/>
      </xdr:nvSpPr>
      <xdr:spPr>
        <a:xfrm>
          <a:off x="9597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2</xdr:col>
      <xdr:colOff>1066800</xdr:colOff>
      <xdr:row>0</xdr:row>
      <xdr:rowOff>0</xdr:rowOff>
    </xdr:from>
    <xdr:ext cx="0" cy="38100"/>
    <xdr:sp macro="" textlink="">
      <xdr:nvSpPr>
        <xdr:cNvPr id="226" name="CuadroTexto 225">
          <a:extLst>
            <a:ext uri="{FF2B5EF4-FFF2-40B4-BE49-F238E27FC236}">
              <a16:creationId xmlns:a16="http://schemas.microsoft.com/office/drawing/2014/main" id="{00000000-0008-0000-0600-0000E2000000}"/>
            </a:ext>
          </a:extLst>
        </xdr:cNvPr>
        <xdr:cNvSpPr txBox="1"/>
      </xdr:nvSpPr>
      <xdr:spPr>
        <a:xfrm flipH="1">
          <a:off x="3295650" y="0"/>
          <a:ext cx="0" cy="38100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lvl="0" algn="ctr"/>
          <a:r>
            <a:rPr lang="es-MX" sz="1200" b="1">
              <a:solidFill>
                <a:sysClr val="windowText" lastClr="000000"/>
              </a:solidFill>
            </a:rPr>
            <a:t>ISLA 9: CAMBIO DE MIX POSICIONES 4, 5, 6 Y 7</a:t>
          </a: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227" name="Rectángulo 8">
          <a:extLst>
            <a:ext uri="{FF2B5EF4-FFF2-40B4-BE49-F238E27FC236}">
              <a16:creationId xmlns:a16="http://schemas.microsoft.com/office/drawing/2014/main" id="{00000000-0008-0000-0600-0000E300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228" name="Rectángulo 8">
          <a:extLst>
            <a:ext uri="{FF2B5EF4-FFF2-40B4-BE49-F238E27FC236}">
              <a16:creationId xmlns:a16="http://schemas.microsoft.com/office/drawing/2014/main" id="{00000000-0008-0000-0600-0000E400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229" name="rect">
          <a:extLst>
            <a:ext uri="{FF2B5EF4-FFF2-40B4-BE49-F238E27FC236}">
              <a16:creationId xmlns:a16="http://schemas.microsoft.com/office/drawing/2014/main" id="{00000000-0008-0000-0600-0000E500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230" name="rect">
          <a:extLst>
            <a:ext uri="{FF2B5EF4-FFF2-40B4-BE49-F238E27FC236}">
              <a16:creationId xmlns:a16="http://schemas.microsoft.com/office/drawing/2014/main" id="{00000000-0008-0000-0600-0000E600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952500</xdr:colOff>
      <xdr:row>0</xdr:row>
      <xdr:rowOff>0</xdr:rowOff>
    </xdr:from>
    <xdr:ext cx="180975" cy="647700"/>
    <xdr:sp macro="" textlink="">
      <xdr:nvSpPr>
        <xdr:cNvPr id="231" name="Rectángulo 230">
          <a:extLst>
            <a:ext uri="{FF2B5EF4-FFF2-40B4-BE49-F238E27FC236}">
              <a16:creationId xmlns:a16="http://schemas.microsoft.com/office/drawing/2014/main" id="{00000000-0008-0000-0600-0000E7000000}"/>
            </a:ext>
          </a:extLst>
        </xdr:cNvPr>
        <xdr:cNvSpPr/>
      </xdr:nvSpPr>
      <xdr:spPr>
        <a:xfrm>
          <a:off x="98679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232" name="Rectángulo 8">
          <a:extLst>
            <a:ext uri="{FF2B5EF4-FFF2-40B4-BE49-F238E27FC236}">
              <a16:creationId xmlns:a16="http://schemas.microsoft.com/office/drawing/2014/main" id="{00000000-0008-0000-0600-0000E800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233" name="Rectángulo 8">
          <a:extLst>
            <a:ext uri="{FF2B5EF4-FFF2-40B4-BE49-F238E27FC236}">
              <a16:creationId xmlns:a16="http://schemas.microsoft.com/office/drawing/2014/main" id="{00000000-0008-0000-0600-0000E900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234" name="rect">
          <a:extLst>
            <a:ext uri="{FF2B5EF4-FFF2-40B4-BE49-F238E27FC236}">
              <a16:creationId xmlns:a16="http://schemas.microsoft.com/office/drawing/2014/main" id="{00000000-0008-0000-0600-0000EA00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235" name="rect">
          <a:extLst>
            <a:ext uri="{FF2B5EF4-FFF2-40B4-BE49-F238E27FC236}">
              <a16:creationId xmlns:a16="http://schemas.microsoft.com/office/drawing/2014/main" id="{00000000-0008-0000-0600-0000EB00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952500</xdr:colOff>
      <xdr:row>0</xdr:row>
      <xdr:rowOff>0</xdr:rowOff>
    </xdr:from>
    <xdr:ext cx="180975" cy="647700"/>
    <xdr:sp macro="" textlink="">
      <xdr:nvSpPr>
        <xdr:cNvPr id="236" name="Rectángulo 8">
          <a:extLst>
            <a:ext uri="{FF2B5EF4-FFF2-40B4-BE49-F238E27FC236}">
              <a16:creationId xmlns:a16="http://schemas.microsoft.com/office/drawing/2014/main" id="{00000000-0008-0000-0600-0000EC000000}"/>
            </a:ext>
          </a:extLst>
        </xdr:cNvPr>
        <xdr:cNvSpPr/>
      </xdr:nvSpPr>
      <xdr:spPr>
        <a:xfrm>
          <a:off x="98679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237" name="Rectángulo 8">
          <a:extLst>
            <a:ext uri="{FF2B5EF4-FFF2-40B4-BE49-F238E27FC236}">
              <a16:creationId xmlns:a16="http://schemas.microsoft.com/office/drawing/2014/main" id="{00000000-0008-0000-0600-0000ED00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238" name="Rectángulo 8">
          <a:extLst>
            <a:ext uri="{FF2B5EF4-FFF2-40B4-BE49-F238E27FC236}">
              <a16:creationId xmlns:a16="http://schemas.microsoft.com/office/drawing/2014/main" id="{00000000-0008-0000-0600-0000EE00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239" name="rect">
          <a:extLst>
            <a:ext uri="{FF2B5EF4-FFF2-40B4-BE49-F238E27FC236}">
              <a16:creationId xmlns:a16="http://schemas.microsoft.com/office/drawing/2014/main" id="{00000000-0008-0000-0600-0000EF00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240" name="rect">
          <a:extLst>
            <a:ext uri="{FF2B5EF4-FFF2-40B4-BE49-F238E27FC236}">
              <a16:creationId xmlns:a16="http://schemas.microsoft.com/office/drawing/2014/main" id="{00000000-0008-0000-0600-0000F000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952500</xdr:colOff>
      <xdr:row>0</xdr:row>
      <xdr:rowOff>0</xdr:rowOff>
    </xdr:from>
    <xdr:ext cx="180975" cy="647700"/>
    <xdr:sp macro="" textlink="">
      <xdr:nvSpPr>
        <xdr:cNvPr id="241" name="Rectángulo 240">
          <a:extLst>
            <a:ext uri="{FF2B5EF4-FFF2-40B4-BE49-F238E27FC236}">
              <a16:creationId xmlns:a16="http://schemas.microsoft.com/office/drawing/2014/main" id="{00000000-0008-0000-0600-0000F1000000}"/>
            </a:ext>
          </a:extLst>
        </xdr:cNvPr>
        <xdr:cNvSpPr/>
      </xdr:nvSpPr>
      <xdr:spPr>
        <a:xfrm>
          <a:off x="98679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242" name="Rectángulo 8">
          <a:extLst>
            <a:ext uri="{FF2B5EF4-FFF2-40B4-BE49-F238E27FC236}">
              <a16:creationId xmlns:a16="http://schemas.microsoft.com/office/drawing/2014/main" id="{00000000-0008-0000-0600-0000F200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243" name="Rectángulo 8">
          <a:extLst>
            <a:ext uri="{FF2B5EF4-FFF2-40B4-BE49-F238E27FC236}">
              <a16:creationId xmlns:a16="http://schemas.microsoft.com/office/drawing/2014/main" id="{00000000-0008-0000-0600-0000F300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244" name="rect">
          <a:extLst>
            <a:ext uri="{FF2B5EF4-FFF2-40B4-BE49-F238E27FC236}">
              <a16:creationId xmlns:a16="http://schemas.microsoft.com/office/drawing/2014/main" id="{00000000-0008-0000-0600-0000F400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245" name="rect">
          <a:extLst>
            <a:ext uri="{FF2B5EF4-FFF2-40B4-BE49-F238E27FC236}">
              <a16:creationId xmlns:a16="http://schemas.microsoft.com/office/drawing/2014/main" id="{00000000-0008-0000-0600-0000F500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952500</xdr:colOff>
      <xdr:row>0</xdr:row>
      <xdr:rowOff>0</xdr:rowOff>
    </xdr:from>
    <xdr:ext cx="180975" cy="647700"/>
    <xdr:sp macro="" textlink="">
      <xdr:nvSpPr>
        <xdr:cNvPr id="246" name="Rectángulo 8">
          <a:extLst>
            <a:ext uri="{FF2B5EF4-FFF2-40B4-BE49-F238E27FC236}">
              <a16:creationId xmlns:a16="http://schemas.microsoft.com/office/drawing/2014/main" id="{00000000-0008-0000-0600-0000F6000000}"/>
            </a:ext>
          </a:extLst>
        </xdr:cNvPr>
        <xdr:cNvSpPr/>
      </xdr:nvSpPr>
      <xdr:spPr>
        <a:xfrm>
          <a:off x="98679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247" name="Rectángulo 8">
          <a:extLst>
            <a:ext uri="{FF2B5EF4-FFF2-40B4-BE49-F238E27FC236}">
              <a16:creationId xmlns:a16="http://schemas.microsoft.com/office/drawing/2014/main" id="{00000000-0008-0000-0600-0000F700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248" name="Rectángulo 247">
          <a:extLst>
            <a:ext uri="{FF2B5EF4-FFF2-40B4-BE49-F238E27FC236}">
              <a16:creationId xmlns:a16="http://schemas.microsoft.com/office/drawing/2014/main" id="{00000000-0008-0000-0600-0000F800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249" name="rect">
          <a:extLst>
            <a:ext uri="{FF2B5EF4-FFF2-40B4-BE49-F238E27FC236}">
              <a16:creationId xmlns:a16="http://schemas.microsoft.com/office/drawing/2014/main" id="{00000000-0008-0000-0600-0000F900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250" name="rect">
          <a:extLst>
            <a:ext uri="{FF2B5EF4-FFF2-40B4-BE49-F238E27FC236}">
              <a16:creationId xmlns:a16="http://schemas.microsoft.com/office/drawing/2014/main" id="{00000000-0008-0000-0600-0000FA00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952500</xdr:colOff>
      <xdr:row>0</xdr:row>
      <xdr:rowOff>0</xdr:rowOff>
    </xdr:from>
    <xdr:ext cx="180975" cy="647700"/>
    <xdr:sp macro="" textlink="">
      <xdr:nvSpPr>
        <xdr:cNvPr id="251" name="Rectángulo 250">
          <a:extLst>
            <a:ext uri="{FF2B5EF4-FFF2-40B4-BE49-F238E27FC236}">
              <a16:creationId xmlns:a16="http://schemas.microsoft.com/office/drawing/2014/main" id="{00000000-0008-0000-0600-0000FB000000}"/>
            </a:ext>
          </a:extLst>
        </xdr:cNvPr>
        <xdr:cNvSpPr/>
      </xdr:nvSpPr>
      <xdr:spPr>
        <a:xfrm>
          <a:off x="98679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2</xdr:col>
      <xdr:colOff>1066800</xdr:colOff>
      <xdr:row>0</xdr:row>
      <xdr:rowOff>0</xdr:rowOff>
    </xdr:from>
    <xdr:ext cx="0" cy="38100"/>
    <xdr:sp macro="" textlink="">
      <xdr:nvSpPr>
        <xdr:cNvPr id="252" name="CuadroTexto 251">
          <a:extLst>
            <a:ext uri="{FF2B5EF4-FFF2-40B4-BE49-F238E27FC236}">
              <a16:creationId xmlns:a16="http://schemas.microsoft.com/office/drawing/2014/main" id="{00000000-0008-0000-0600-0000FC000000}"/>
            </a:ext>
          </a:extLst>
        </xdr:cNvPr>
        <xdr:cNvSpPr txBox="1"/>
      </xdr:nvSpPr>
      <xdr:spPr>
        <a:xfrm flipH="1">
          <a:off x="3295650" y="0"/>
          <a:ext cx="0" cy="38100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lvl="0" algn="ctr"/>
          <a:r>
            <a:rPr lang="es-MX" sz="1200" b="1">
              <a:solidFill>
                <a:sysClr val="windowText" lastClr="000000"/>
              </a:solidFill>
            </a:rPr>
            <a:t>ISLA 9: CAMBIO DE MIX POSICIONES 4, 5, 6 Y 7</a:t>
          </a: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253" name="Rectángulo 8">
          <a:extLst>
            <a:ext uri="{FF2B5EF4-FFF2-40B4-BE49-F238E27FC236}">
              <a16:creationId xmlns:a16="http://schemas.microsoft.com/office/drawing/2014/main" id="{00000000-0008-0000-0600-0000FD00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254" name="Rectángulo 8">
          <a:extLst>
            <a:ext uri="{FF2B5EF4-FFF2-40B4-BE49-F238E27FC236}">
              <a16:creationId xmlns:a16="http://schemas.microsoft.com/office/drawing/2014/main" id="{00000000-0008-0000-0600-0000FE00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255" name="rect">
          <a:extLst>
            <a:ext uri="{FF2B5EF4-FFF2-40B4-BE49-F238E27FC236}">
              <a16:creationId xmlns:a16="http://schemas.microsoft.com/office/drawing/2014/main" id="{00000000-0008-0000-0600-0000FF00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256" name="rect">
          <a:extLst>
            <a:ext uri="{FF2B5EF4-FFF2-40B4-BE49-F238E27FC236}">
              <a16:creationId xmlns:a16="http://schemas.microsoft.com/office/drawing/2014/main" id="{00000000-0008-0000-0600-00000001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952500</xdr:colOff>
      <xdr:row>0</xdr:row>
      <xdr:rowOff>0</xdr:rowOff>
    </xdr:from>
    <xdr:ext cx="180975" cy="647700"/>
    <xdr:sp macro="" textlink="">
      <xdr:nvSpPr>
        <xdr:cNvPr id="257" name="Rectángulo 8">
          <a:extLst>
            <a:ext uri="{FF2B5EF4-FFF2-40B4-BE49-F238E27FC236}">
              <a16:creationId xmlns:a16="http://schemas.microsoft.com/office/drawing/2014/main" id="{00000000-0008-0000-0600-000001010000}"/>
            </a:ext>
          </a:extLst>
        </xdr:cNvPr>
        <xdr:cNvSpPr/>
      </xdr:nvSpPr>
      <xdr:spPr>
        <a:xfrm>
          <a:off x="98679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258" name="Rectángulo 8">
          <a:extLst>
            <a:ext uri="{FF2B5EF4-FFF2-40B4-BE49-F238E27FC236}">
              <a16:creationId xmlns:a16="http://schemas.microsoft.com/office/drawing/2014/main" id="{00000000-0008-0000-0600-00000201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259" name="Rectángulo 8">
          <a:extLst>
            <a:ext uri="{FF2B5EF4-FFF2-40B4-BE49-F238E27FC236}">
              <a16:creationId xmlns:a16="http://schemas.microsoft.com/office/drawing/2014/main" id="{00000000-0008-0000-0600-00000301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260" name="rect">
          <a:extLst>
            <a:ext uri="{FF2B5EF4-FFF2-40B4-BE49-F238E27FC236}">
              <a16:creationId xmlns:a16="http://schemas.microsoft.com/office/drawing/2014/main" id="{00000000-0008-0000-0600-00000401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261" name="rect">
          <a:extLst>
            <a:ext uri="{FF2B5EF4-FFF2-40B4-BE49-F238E27FC236}">
              <a16:creationId xmlns:a16="http://schemas.microsoft.com/office/drawing/2014/main" id="{00000000-0008-0000-0600-00000501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952500</xdr:colOff>
      <xdr:row>0</xdr:row>
      <xdr:rowOff>0</xdr:rowOff>
    </xdr:from>
    <xdr:ext cx="180975" cy="647700"/>
    <xdr:sp macro="" textlink="">
      <xdr:nvSpPr>
        <xdr:cNvPr id="262" name="Rectángulo 261">
          <a:extLst>
            <a:ext uri="{FF2B5EF4-FFF2-40B4-BE49-F238E27FC236}">
              <a16:creationId xmlns:a16="http://schemas.microsoft.com/office/drawing/2014/main" id="{00000000-0008-0000-0600-000006010000}"/>
            </a:ext>
          </a:extLst>
        </xdr:cNvPr>
        <xdr:cNvSpPr/>
      </xdr:nvSpPr>
      <xdr:spPr>
        <a:xfrm>
          <a:off x="98679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263" name="Rectángulo 8">
          <a:extLst>
            <a:ext uri="{FF2B5EF4-FFF2-40B4-BE49-F238E27FC236}">
              <a16:creationId xmlns:a16="http://schemas.microsoft.com/office/drawing/2014/main" id="{00000000-0008-0000-0600-00000701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264" name="Rectángulo 8">
          <a:extLst>
            <a:ext uri="{FF2B5EF4-FFF2-40B4-BE49-F238E27FC236}">
              <a16:creationId xmlns:a16="http://schemas.microsoft.com/office/drawing/2014/main" id="{00000000-0008-0000-0600-00000801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265" name="rect">
          <a:extLst>
            <a:ext uri="{FF2B5EF4-FFF2-40B4-BE49-F238E27FC236}">
              <a16:creationId xmlns:a16="http://schemas.microsoft.com/office/drawing/2014/main" id="{00000000-0008-0000-0600-00000901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266" name="rect">
          <a:extLst>
            <a:ext uri="{FF2B5EF4-FFF2-40B4-BE49-F238E27FC236}">
              <a16:creationId xmlns:a16="http://schemas.microsoft.com/office/drawing/2014/main" id="{00000000-0008-0000-0600-00000A01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952500</xdr:colOff>
      <xdr:row>0</xdr:row>
      <xdr:rowOff>0</xdr:rowOff>
    </xdr:from>
    <xdr:ext cx="180975" cy="647700"/>
    <xdr:sp macro="" textlink="">
      <xdr:nvSpPr>
        <xdr:cNvPr id="267" name="Rectángulo 8">
          <a:extLst>
            <a:ext uri="{FF2B5EF4-FFF2-40B4-BE49-F238E27FC236}">
              <a16:creationId xmlns:a16="http://schemas.microsoft.com/office/drawing/2014/main" id="{00000000-0008-0000-0600-00000B010000}"/>
            </a:ext>
          </a:extLst>
        </xdr:cNvPr>
        <xdr:cNvSpPr/>
      </xdr:nvSpPr>
      <xdr:spPr>
        <a:xfrm>
          <a:off x="98679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807383</xdr:colOff>
      <xdr:row>0</xdr:row>
      <xdr:rowOff>0</xdr:rowOff>
    </xdr:from>
    <xdr:ext cx="184731" cy="655885"/>
    <xdr:sp macro="" textlink="">
      <xdr:nvSpPr>
        <xdr:cNvPr id="268" name="Rectángulo 8">
          <a:extLst>
            <a:ext uri="{FF2B5EF4-FFF2-40B4-BE49-F238E27FC236}">
              <a16:creationId xmlns:a16="http://schemas.microsoft.com/office/drawing/2014/main" id="{00000000-0008-0000-0600-00000C010000}"/>
            </a:ext>
          </a:extLst>
        </xdr:cNvPr>
        <xdr:cNvSpPr/>
      </xdr:nvSpPr>
      <xdr:spPr>
        <a:xfrm>
          <a:off x="97227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0</xdr:row>
      <xdr:rowOff>0</xdr:rowOff>
    </xdr:from>
    <xdr:ext cx="184731" cy="655885"/>
    <xdr:sp macro="" textlink="">
      <xdr:nvSpPr>
        <xdr:cNvPr id="269" name="Rectángulo 8">
          <a:extLst>
            <a:ext uri="{FF2B5EF4-FFF2-40B4-BE49-F238E27FC236}">
              <a16:creationId xmlns:a16="http://schemas.microsoft.com/office/drawing/2014/main" id="{00000000-0008-0000-0600-00000D010000}"/>
            </a:ext>
          </a:extLst>
        </xdr:cNvPr>
        <xdr:cNvSpPr/>
      </xdr:nvSpPr>
      <xdr:spPr>
        <a:xfrm>
          <a:off x="97227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959783</xdr:colOff>
      <xdr:row>0</xdr:row>
      <xdr:rowOff>0</xdr:rowOff>
    </xdr:from>
    <xdr:ext cx="184731" cy="655885"/>
    <xdr:sp macro="" textlink="">
      <xdr:nvSpPr>
        <xdr:cNvPr id="270" name="Rectángulo 269">
          <a:extLst>
            <a:ext uri="{FF2B5EF4-FFF2-40B4-BE49-F238E27FC236}">
              <a16:creationId xmlns:a16="http://schemas.microsoft.com/office/drawing/2014/main" id="{00000000-0008-0000-0600-00000E010000}"/>
            </a:ext>
          </a:extLst>
        </xdr:cNvPr>
        <xdr:cNvSpPr/>
      </xdr:nvSpPr>
      <xdr:spPr>
        <a:xfrm>
          <a:off x="98751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0</xdr:row>
      <xdr:rowOff>0</xdr:rowOff>
    </xdr:from>
    <xdr:ext cx="184731" cy="655885"/>
    <xdr:sp macro="" textlink="">
      <xdr:nvSpPr>
        <xdr:cNvPr id="271" name="Rectángulo 270">
          <a:extLst>
            <a:ext uri="{FF2B5EF4-FFF2-40B4-BE49-F238E27FC236}">
              <a16:creationId xmlns:a16="http://schemas.microsoft.com/office/drawing/2014/main" id="{00000000-0008-0000-0600-00000F010000}"/>
            </a:ext>
          </a:extLst>
        </xdr:cNvPr>
        <xdr:cNvSpPr/>
      </xdr:nvSpPr>
      <xdr:spPr>
        <a:xfrm>
          <a:off x="97227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0</xdr:row>
      <xdr:rowOff>0</xdr:rowOff>
    </xdr:from>
    <xdr:ext cx="184731" cy="655885"/>
    <xdr:sp macro="" textlink="">
      <xdr:nvSpPr>
        <xdr:cNvPr id="272" name="Rectángulo 8">
          <a:extLst>
            <a:ext uri="{FF2B5EF4-FFF2-40B4-BE49-F238E27FC236}">
              <a16:creationId xmlns:a16="http://schemas.microsoft.com/office/drawing/2014/main" id="{00000000-0008-0000-0600-000010010000}"/>
            </a:ext>
          </a:extLst>
        </xdr:cNvPr>
        <xdr:cNvSpPr/>
      </xdr:nvSpPr>
      <xdr:spPr>
        <a:xfrm>
          <a:off x="97227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959783</xdr:colOff>
      <xdr:row>0</xdr:row>
      <xdr:rowOff>0</xdr:rowOff>
    </xdr:from>
    <xdr:ext cx="184731" cy="655885"/>
    <xdr:sp macro="" textlink="">
      <xdr:nvSpPr>
        <xdr:cNvPr id="273" name="Rectángulo 272">
          <a:extLst>
            <a:ext uri="{FF2B5EF4-FFF2-40B4-BE49-F238E27FC236}">
              <a16:creationId xmlns:a16="http://schemas.microsoft.com/office/drawing/2014/main" id="{00000000-0008-0000-0600-000011010000}"/>
            </a:ext>
          </a:extLst>
        </xdr:cNvPr>
        <xdr:cNvSpPr/>
      </xdr:nvSpPr>
      <xdr:spPr>
        <a:xfrm>
          <a:off x="98751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0</xdr:row>
      <xdr:rowOff>0</xdr:rowOff>
    </xdr:from>
    <xdr:ext cx="184731" cy="655885"/>
    <xdr:sp macro="" textlink="">
      <xdr:nvSpPr>
        <xdr:cNvPr id="274" name="Rectángulo 8">
          <a:extLst>
            <a:ext uri="{FF2B5EF4-FFF2-40B4-BE49-F238E27FC236}">
              <a16:creationId xmlns:a16="http://schemas.microsoft.com/office/drawing/2014/main" id="{00000000-0008-0000-0600-000012010000}"/>
            </a:ext>
          </a:extLst>
        </xdr:cNvPr>
        <xdr:cNvSpPr/>
      </xdr:nvSpPr>
      <xdr:spPr>
        <a:xfrm>
          <a:off x="97227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0</xdr:row>
      <xdr:rowOff>0</xdr:rowOff>
    </xdr:from>
    <xdr:ext cx="184731" cy="655885"/>
    <xdr:sp macro="" textlink="">
      <xdr:nvSpPr>
        <xdr:cNvPr id="275" name="Rectángulo 8">
          <a:extLst>
            <a:ext uri="{FF2B5EF4-FFF2-40B4-BE49-F238E27FC236}">
              <a16:creationId xmlns:a16="http://schemas.microsoft.com/office/drawing/2014/main" id="{00000000-0008-0000-0600-000013010000}"/>
            </a:ext>
          </a:extLst>
        </xdr:cNvPr>
        <xdr:cNvSpPr/>
      </xdr:nvSpPr>
      <xdr:spPr>
        <a:xfrm>
          <a:off x="97227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959783</xdr:colOff>
      <xdr:row>0</xdr:row>
      <xdr:rowOff>0</xdr:rowOff>
    </xdr:from>
    <xdr:ext cx="184731" cy="655885"/>
    <xdr:sp macro="" textlink="">
      <xdr:nvSpPr>
        <xdr:cNvPr id="276" name="Rectángulo 275">
          <a:extLst>
            <a:ext uri="{FF2B5EF4-FFF2-40B4-BE49-F238E27FC236}">
              <a16:creationId xmlns:a16="http://schemas.microsoft.com/office/drawing/2014/main" id="{00000000-0008-0000-0600-000014010000}"/>
            </a:ext>
          </a:extLst>
        </xdr:cNvPr>
        <xdr:cNvSpPr/>
      </xdr:nvSpPr>
      <xdr:spPr>
        <a:xfrm>
          <a:off x="98751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0</xdr:row>
      <xdr:rowOff>0</xdr:rowOff>
    </xdr:from>
    <xdr:ext cx="184731" cy="655885"/>
    <xdr:sp macro="" textlink="">
      <xdr:nvSpPr>
        <xdr:cNvPr id="277" name="Rectángulo 276">
          <a:extLst>
            <a:ext uri="{FF2B5EF4-FFF2-40B4-BE49-F238E27FC236}">
              <a16:creationId xmlns:a16="http://schemas.microsoft.com/office/drawing/2014/main" id="{00000000-0008-0000-0600-000015010000}"/>
            </a:ext>
          </a:extLst>
        </xdr:cNvPr>
        <xdr:cNvSpPr/>
      </xdr:nvSpPr>
      <xdr:spPr>
        <a:xfrm>
          <a:off x="97227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0</xdr:row>
      <xdr:rowOff>0</xdr:rowOff>
    </xdr:from>
    <xdr:ext cx="184731" cy="655885"/>
    <xdr:sp macro="" textlink="">
      <xdr:nvSpPr>
        <xdr:cNvPr id="278" name="Rectángulo 8">
          <a:extLst>
            <a:ext uri="{FF2B5EF4-FFF2-40B4-BE49-F238E27FC236}">
              <a16:creationId xmlns:a16="http://schemas.microsoft.com/office/drawing/2014/main" id="{00000000-0008-0000-0600-000016010000}"/>
            </a:ext>
          </a:extLst>
        </xdr:cNvPr>
        <xdr:cNvSpPr/>
      </xdr:nvSpPr>
      <xdr:spPr>
        <a:xfrm>
          <a:off x="97227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959783</xdr:colOff>
      <xdr:row>0</xdr:row>
      <xdr:rowOff>0</xdr:rowOff>
    </xdr:from>
    <xdr:ext cx="184731" cy="655885"/>
    <xdr:sp macro="" textlink="">
      <xdr:nvSpPr>
        <xdr:cNvPr id="279" name="Rectángulo 278">
          <a:extLst>
            <a:ext uri="{FF2B5EF4-FFF2-40B4-BE49-F238E27FC236}">
              <a16:creationId xmlns:a16="http://schemas.microsoft.com/office/drawing/2014/main" id="{00000000-0008-0000-0600-000017010000}"/>
            </a:ext>
          </a:extLst>
        </xdr:cNvPr>
        <xdr:cNvSpPr/>
      </xdr:nvSpPr>
      <xdr:spPr>
        <a:xfrm>
          <a:off x="98751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0</xdr:col>
      <xdr:colOff>959783</xdr:colOff>
      <xdr:row>0</xdr:row>
      <xdr:rowOff>0</xdr:rowOff>
    </xdr:from>
    <xdr:ext cx="184731" cy="655885"/>
    <xdr:sp macro="" textlink="">
      <xdr:nvSpPr>
        <xdr:cNvPr id="280" name="Rectángulo 279">
          <a:extLst>
            <a:ext uri="{FF2B5EF4-FFF2-40B4-BE49-F238E27FC236}">
              <a16:creationId xmlns:a16="http://schemas.microsoft.com/office/drawing/2014/main" id="{00000000-0008-0000-0600-000018010000}"/>
            </a:ext>
          </a:extLst>
        </xdr:cNvPr>
        <xdr:cNvSpPr/>
      </xdr:nvSpPr>
      <xdr:spPr>
        <a:xfrm>
          <a:off x="9597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0</xdr:col>
      <xdr:colOff>959783</xdr:colOff>
      <xdr:row>0</xdr:row>
      <xdr:rowOff>0</xdr:rowOff>
    </xdr:from>
    <xdr:ext cx="184731" cy="655885"/>
    <xdr:sp macro="" textlink="">
      <xdr:nvSpPr>
        <xdr:cNvPr id="281" name="Rectángulo 280">
          <a:extLst>
            <a:ext uri="{FF2B5EF4-FFF2-40B4-BE49-F238E27FC236}">
              <a16:creationId xmlns:a16="http://schemas.microsoft.com/office/drawing/2014/main" id="{00000000-0008-0000-0600-000019010000}"/>
            </a:ext>
          </a:extLst>
        </xdr:cNvPr>
        <xdr:cNvSpPr/>
      </xdr:nvSpPr>
      <xdr:spPr>
        <a:xfrm>
          <a:off x="9597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2</xdr:col>
      <xdr:colOff>1066800</xdr:colOff>
      <xdr:row>0</xdr:row>
      <xdr:rowOff>0</xdr:rowOff>
    </xdr:from>
    <xdr:ext cx="0" cy="38100"/>
    <xdr:sp macro="" textlink="">
      <xdr:nvSpPr>
        <xdr:cNvPr id="282" name="CuadroTexto 281">
          <a:extLst>
            <a:ext uri="{FF2B5EF4-FFF2-40B4-BE49-F238E27FC236}">
              <a16:creationId xmlns:a16="http://schemas.microsoft.com/office/drawing/2014/main" id="{00000000-0008-0000-0600-00001A010000}"/>
            </a:ext>
          </a:extLst>
        </xdr:cNvPr>
        <xdr:cNvSpPr txBox="1"/>
      </xdr:nvSpPr>
      <xdr:spPr>
        <a:xfrm flipH="1">
          <a:off x="3295650" y="0"/>
          <a:ext cx="0" cy="38100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lvl="0" algn="ctr"/>
          <a:r>
            <a:rPr lang="es-MX" sz="1200" b="1">
              <a:solidFill>
                <a:sysClr val="windowText" lastClr="000000"/>
              </a:solidFill>
            </a:rPr>
            <a:t>ISLA 9: CAMBIO DE MIX POSICIONES 4, 5, 6 Y 7</a:t>
          </a: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283" name="Rectángulo 8">
          <a:extLst>
            <a:ext uri="{FF2B5EF4-FFF2-40B4-BE49-F238E27FC236}">
              <a16:creationId xmlns:a16="http://schemas.microsoft.com/office/drawing/2014/main" id="{00000000-0008-0000-0600-00001B01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284" name="Rectángulo 8">
          <a:extLst>
            <a:ext uri="{FF2B5EF4-FFF2-40B4-BE49-F238E27FC236}">
              <a16:creationId xmlns:a16="http://schemas.microsoft.com/office/drawing/2014/main" id="{00000000-0008-0000-0600-00001C01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285" name="rect">
          <a:extLst>
            <a:ext uri="{FF2B5EF4-FFF2-40B4-BE49-F238E27FC236}">
              <a16:creationId xmlns:a16="http://schemas.microsoft.com/office/drawing/2014/main" id="{00000000-0008-0000-0600-00001D01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286" name="rect">
          <a:extLst>
            <a:ext uri="{FF2B5EF4-FFF2-40B4-BE49-F238E27FC236}">
              <a16:creationId xmlns:a16="http://schemas.microsoft.com/office/drawing/2014/main" id="{00000000-0008-0000-0600-00001E01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952500</xdr:colOff>
      <xdr:row>0</xdr:row>
      <xdr:rowOff>0</xdr:rowOff>
    </xdr:from>
    <xdr:ext cx="180975" cy="647700"/>
    <xdr:sp macro="" textlink="">
      <xdr:nvSpPr>
        <xdr:cNvPr id="287" name="Rectángulo 286">
          <a:extLst>
            <a:ext uri="{FF2B5EF4-FFF2-40B4-BE49-F238E27FC236}">
              <a16:creationId xmlns:a16="http://schemas.microsoft.com/office/drawing/2014/main" id="{00000000-0008-0000-0600-00001F010000}"/>
            </a:ext>
          </a:extLst>
        </xdr:cNvPr>
        <xdr:cNvSpPr/>
      </xdr:nvSpPr>
      <xdr:spPr>
        <a:xfrm>
          <a:off x="98679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288" name="Rectángulo 8">
          <a:extLst>
            <a:ext uri="{FF2B5EF4-FFF2-40B4-BE49-F238E27FC236}">
              <a16:creationId xmlns:a16="http://schemas.microsoft.com/office/drawing/2014/main" id="{00000000-0008-0000-0600-00002001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289" name="Rectángulo 8">
          <a:extLst>
            <a:ext uri="{FF2B5EF4-FFF2-40B4-BE49-F238E27FC236}">
              <a16:creationId xmlns:a16="http://schemas.microsoft.com/office/drawing/2014/main" id="{00000000-0008-0000-0600-00002101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290" name="rect">
          <a:extLst>
            <a:ext uri="{FF2B5EF4-FFF2-40B4-BE49-F238E27FC236}">
              <a16:creationId xmlns:a16="http://schemas.microsoft.com/office/drawing/2014/main" id="{00000000-0008-0000-0600-00002201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291" name="rect">
          <a:extLst>
            <a:ext uri="{FF2B5EF4-FFF2-40B4-BE49-F238E27FC236}">
              <a16:creationId xmlns:a16="http://schemas.microsoft.com/office/drawing/2014/main" id="{00000000-0008-0000-0600-00002301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952500</xdr:colOff>
      <xdr:row>0</xdr:row>
      <xdr:rowOff>0</xdr:rowOff>
    </xdr:from>
    <xdr:ext cx="180975" cy="647700"/>
    <xdr:sp macro="" textlink="">
      <xdr:nvSpPr>
        <xdr:cNvPr id="292" name="Rectángulo 8">
          <a:extLst>
            <a:ext uri="{FF2B5EF4-FFF2-40B4-BE49-F238E27FC236}">
              <a16:creationId xmlns:a16="http://schemas.microsoft.com/office/drawing/2014/main" id="{00000000-0008-0000-0600-000024010000}"/>
            </a:ext>
          </a:extLst>
        </xdr:cNvPr>
        <xdr:cNvSpPr/>
      </xdr:nvSpPr>
      <xdr:spPr>
        <a:xfrm>
          <a:off x="98679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293" name="Rectángulo 8">
          <a:extLst>
            <a:ext uri="{FF2B5EF4-FFF2-40B4-BE49-F238E27FC236}">
              <a16:creationId xmlns:a16="http://schemas.microsoft.com/office/drawing/2014/main" id="{00000000-0008-0000-0600-00002501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294" name="Rectángulo 8">
          <a:extLst>
            <a:ext uri="{FF2B5EF4-FFF2-40B4-BE49-F238E27FC236}">
              <a16:creationId xmlns:a16="http://schemas.microsoft.com/office/drawing/2014/main" id="{00000000-0008-0000-0600-00002601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295" name="rect">
          <a:extLst>
            <a:ext uri="{FF2B5EF4-FFF2-40B4-BE49-F238E27FC236}">
              <a16:creationId xmlns:a16="http://schemas.microsoft.com/office/drawing/2014/main" id="{00000000-0008-0000-0600-00002701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296" name="rect">
          <a:extLst>
            <a:ext uri="{FF2B5EF4-FFF2-40B4-BE49-F238E27FC236}">
              <a16:creationId xmlns:a16="http://schemas.microsoft.com/office/drawing/2014/main" id="{00000000-0008-0000-0600-00002801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952500</xdr:colOff>
      <xdr:row>0</xdr:row>
      <xdr:rowOff>0</xdr:rowOff>
    </xdr:from>
    <xdr:ext cx="180975" cy="647700"/>
    <xdr:sp macro="" textlink="">
      <xdr:nvSpPr>
        <xdr:cNvPr id="297" name="Rectángulo 296">
          <a:extLst>
            <a:ext uri="{FF2B5EF4-FFF2-40B4-BE49-F238E27FC236}">
              <a16:creationId xmlns:a16="http://schemas.microsoft.com/office/drawing/2014/main" id="{00000000-0008-0000-0600-000029010000}"/>
            </a:ext>
          </a:extLst>
        </xdr:cNvPr>
        <xdr:cNvSpPr/>
      </xdr:nvSpPr>
      <xdr:spPr>
        <a:xfrm>
          <a:off x="98679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298" name="Rectángulo 8">
          <a:extLst>
            <a:ext uri="{FF2B5EF4-FFF2-40B4-BE49-F238E27FC236}">
              <a16:creationId xmlns:a16="http://schemas.microsoft.com/office/drawing/2014/main" id="{00000000-0008-0000-0600-00002A01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299" name="Rectángulo 8">
          <a:extLst>
            <a:ext uri="{FF2B5EF4-FFF2-40B4-BE49-F238E27FC236}">
              <a16:creationId xmlns:a16="http://schemas.microsoft.com/office/drawing/2014/main" id="{00000000-0008-0000-0600-00002B01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300" name="rect">
          <a:extLst>
            <a:ext uri="{FF2B5EF4-FFF2-40B4-BE49-F238E27FC236}">
              <a16:creationId xmlns:a16="http://schemas.microsoft.com/office/drawing/2014/main" id="{00000000-0008-0000-0600-00002C01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301" name="rect">
          <a:extLst>
            <a:ext uri="{FF2B5EF4-FFF2-40B4-BE49-F238E27FC236}">
              <a16:creationId xmlns:a16="http://schemas.microsoft.com/office/drawing/2014/main" id="{00000000-0008-0000-0600-00002D01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952500</xdr:colOff>
      <xdr:row>0</xdr:row>
      <xdr:rowOff>0</xdr:rowOff>
    </xdr:from>
    <xdr:ext cx="180975" cy="647700"/>
    <xdr:sp macro="" textlink="">
      <xdr:nvSpPr>
        <xdr:cNvPr id="302" name="Rectángulo 8">
          <a:extLst>
            <a:ext uri="{FF2B5EF4-FFF2-40B4-BE49-F238E27FC236}">
              <a16:creationId xmlns:a16="http://schemas.microsoft.com/office/drawing/2014/main" id="{00000000-0008-0000-0600-00002E010000}"/>
            </a:ext>
          </a:extLst>
        </xdr:cNvPr>
        <xdr:cNvSpPr/>
      </xdr:nvSpPr>
      <xdr:spPr>
        <a:xfrm>
          <a:off x="98679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303" name="Rectángulo 8">
          <a:extLst>
            <a:ext uri="{FF2B5EF4-FFF2-40B4-BE49-F238E27FC236}">
              <a16:creationId xmlns:a16="http://schemas.microsoft.com/office/drawing/2014/main" id="{00000000-0008-0000-0600-00002F01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304" name="Rectángulo 303">
          <a:extLst>
            <a:ext uri="{FF2B5EF4-FFF2-40B4-BE49-F238E27FC236}">
              <a16:creationId xmlns:a16="http://schemas.microsoft.com/office/drawing/2014/main" id="{00000000-0008-0000-0600-00003001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305" name="rect">
          <a:extLst>
            <a:ext uri="{FF2B5EF4-FFF2-40B4-BE49-F238E27FC236}">
              <a16:creationId xmlns:a16="http://schemas.microsoft.com/office/drawing/2014/main" id="{00000000-0008-0000-0600-00003101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306" name="rect">
          <a:extLst>
            <a:ext uri="{FF2B5EF4-FFF2-40B4-BE49-F238E27FC236}">
              <a16:creationId xmlns:a16="http://schemas.microsoft.com/office/drawing/2014/main" id="{00000000-0008-0000-0600-00003201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952500</xdr:colOff>
      <xdr:row>0</xdr:row>
      <xdr:rowOff>0</xdr:rowOff>
    </xdr:from>
    <xdr:ext cx="180975" cy="647700"/>
    <xdr:sp macro="" textlink="">
      <xdr:nvSpPr>
        <xdr:cNvPr id="307" name="Rectángulo 306">
          <a:extLst>
            <a:ext uri="{FF2B5EF4-FFF2-40B4-BE49-F238E27FC236}">
              <a16:creationId xmlns:a16="http://schemas.microsoft.com/office/drawing/2014/main" id="{00000000-0008-0000-0600-000033010000}"/>
            </a:ext>
          </a:extLst>
        </xdr:cNvPr>
        <xdr:cNvSpPr/>
      </xdr:nvSpPr>
      <xdr:spPr>
        <a:xfrm>
          <a:off x="98679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2</xdr:col>
      <xdr:colOff>1066800</xdr:colOff>
      <xdr:row>0</xdr:row>
      <xdr:rowOff>0</xdr:rowOff>
    </xdr:from>
    <xdr:ext cx="0" cy="38100"/>
    <xdr:sp macro="" textlink="">
      <xdr:nvSpPr>
        <xdr:cNvPr id="308" name="CuadroTexto 307">
          <a:extLst>
            <a:ext uri="{FF2B5EF4-FFF2-40B4-BE49-F238E27FC236}">
              <a16:creationId xmlns:a16="http://schemas.microsoft.com/office/drawing/2014/main" id="{00000000-0008-0000-0600-000034010000}"/>
            </a:ext>
          </a:extLst>
        </xdr:cNvPr>
        <xdr:cNvSpPr txBox="1"/>
      </xdr:nvSpPr>
      <xdr:spPr>
        <a:xfrm flipH="1">
          <a:off x="3295650" y="0"/>
          <a:ext cx="0" cy="38100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lvl="0" algn="ctr"/>
          <a:r>
            <a:rPr lang="es-MX" sz="1200" b="1">
              <a:solidFill>
                <a:sysClr val="windowText" lastClr="000000"/>
              </a:solidFill>
            </a:rPr>
            <a:t>ISLA 9: CAMBIO DE MIX POSICIONES 4, 5, 6 Y 7</a:t>
          </a: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309" name="Rectángulo 8">
          <a:extLst>
            <a:ext uri="{FF2B5EF4-FFF2-40B4-BE49-F238E27FC236}">
              <a16:creationId xmlns:a16="http://schemas.microsoft.com/office/drawing/2014/main" id="{00000000-0008-0000-0600-00003501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310" name="Rectángulo 8">
          <a:extLst>
            <a:ext uri="{FF2B5EF4-FFF2-40B4-BE49-F238E27FC236}">
              <a16:creationId xmlns:a16="http://schemas.microsoft.com/office/drawing/2014/main" id="{00000000-0008-0000-0600-00003601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311" name="rect">
          <a:extLst>
            <a:ext uri="{FF2B5EF4-FFF2-40B4-BE49-F238E27FC236}">
              <a16:creationId xmlns:a16="http://schemas.microsoft.com/office/drawing/2014/main" id="{00000000-0008-0000-0600-00003701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312" name="rect">
          <a:extLst>
            <a:ext uri="{FF2B5EF4-FFF2-40B4-BE49-F238E27FC236}">
              <a16:creationId xmlns:a16="http://schemas.microsoft.com/office/drawing/2014/main" id="{00000000-0008-0000-0600-00003801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952500</xdr:colOff>
      <xdr:row>0</xdr:row>
      <xdr:rowOff>0</xdr:rowOff>
    </xdr:from>
    <xdr:ext cx="180975" cy="647700"/>
    <xdr:sp macro="" textlink="">
      <xdr:nvSpPr>
        <xdr:cNvPr id="313" name="Rectángulo 8">
          <a:extLst>
            <a:ext uri="{FF2B5EF4-FFF2-40B4-BE49-F238E27FC236}">
              <a16:creationId xmlns:a16="http://schemas.microsoft.com/office/drawing/2014/main" id="{00000000-0008-0000-0600-000039010000}"/>
            </a:ext>
          </a:extLst>
        </xdr:cNvPr>
        <xdr:cNvSpPr/>
      </xdr:nvSpPr>
      <xdr:spPr>
        <a:xfrm>
          <a:off x="98679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314" name="Rectángulo 8">
          <a:extLst>
            <a:ext uri="{FF2B5EF4-FFF2-40B4-BE49-F238E27FC236}">
              <a16:creationId xmlns:a16="http://schemas.microsoft.com/office/drawing/2014/main" id="{00000000-0008-0000-0600-00003A01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315" name="Rectángulo 8">
          <a:extLst>
            <a:ext uri="{FF2B5EF4-FFF2-40B4-BE49-F238E27FC236}">
              <a16:creationId xmlns:a16="http://schemas.microsoft.com/office/drawing/2014/main" id="{00000000-0008-0000-0600-00003B01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316" name="rect">
          <a:extLst>
            <a:ext uri="{FF2B5EF4-FFF2-40B4-BE49-F238E27FC236}">
              <a16:creationId xmlns:a16="http://schemas.microsoft.com/office/drawing/2014/main" id="{00000000-0008-0000-0600-00003C01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317" name="rect">
          <a:extLst>
            <a:ext uri="{FF2B5EF4-FFF2-40B4-BE49-F238E27FC236}">
              <a16:creationId xmlns:a16="http://schemas.microsoft.com/office/drawing/2014/main" id="{00000000-0008-0000-0600-00003D01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952500</xdr:colOff>
      <xdr:row>0</xdr:row>
      <xdr:rowOff>0</xdr:rowOff>
    </xdr:from>
    <xdr:ext cx="180975" cy="647700"/>
    <xdr:sp macro="" textlink="">
      <xdr:nvSpPr>
        <xdr:cNvPr id="318" name="Rectángulo 317">
          <a:extLst>
            <a:ext uri="{FF2B5EF4-FFF2-40B4-BE49-F238E27FC236}">
              <a16:creationId xmlns:a16="http://schemas.microsoft.com/office/drawing/2014/main" id="{00000000-0008-0000-0600-00003E010000}"/>
            </a:ext>
          </a:extLst>
        </xdr:cNvPr>
        <xdr:cNvSpPr/>
      </xdr:nvSpPr>
      <xdr:spPr>
        <a:xfrm>
          <a:off x="98679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319" name="Rectángulo 8">
          <a:extLst>
            <a:ext uri="{FF2B5EF4-FFF2-40B4-BE49-F238E27FC236}">
              <a16:creationId xmlns:a16="http://schemas.microsoft.com/office/drawing/2014/main" id="{00000000-0008-0000-0600-00003F01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320" name="Rectángulo 8">
          <a:extLst>
            <a:ext uri="{FF2B5EF4-FFF2-40B4-BE49-F238E27FC236}">
              <a16:creationId xmlns:a16="http://schemas.microsoft.com/office/drawing/2014/main" id="{00000000-0008-0000-0600-00004001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321" name="rect">
          <a:extLst>
            <a:ext uri="{FF2B5EF4-FFF2-40B4-BE49-F238E27FC236}">
              <a16:creationId xmlns:a16="http://schemas.microsoft.com/office/drawing/2014/main" id="{00000000-0008-0000-0600-00004101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322" name="rect">
          <a:extLst>
            <a:ext uri="{FF2B5EF4-FFF2-40B4-BE49-F238E27FC236}">
              <a16:creationId xmlns:a16="http://schemas.microsoft.com/office/drawing/2014/main" id="{00000000-0008-0000-0600-00004201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952500</xdr:colOff>
      <xdr:row>0</xdr:row>
      <xdr:rowOff>0</xdr:rowOff>
    </xdr:from>
    <xdr:ext cx="180975" cy="647700"/>
    <xdr:sp macro="" textlink="">
      <xdr:nvSpPr>
        <xdr:cNvPr id="323" name="Rectángulo 8">
          <a:extLst>
            <a:ext uri="{FF2B5EF4-FFF2-40B4-BE49-F238E27FC236}">
              <a16:creationId xmlns:a16="http://schemas.microsoft.com/office/drawing/2014/main" id="{00000000-0008-0000-0600-000043010000}"/>
            </a:ext>
          </a:extLst>
        </xdr:cNvPr>
        <xdr:cNvSpPr/>
      </xdr:nvSpPr>
      <xdr:spPr>
        <a:xfrm>
          <a:off x="98679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807383</xdr:colOff>
      <xdr:row>0</xdr:row>
      <xdr:rowOff>0</xdr:rowOff>
    </xdr:from>
    <xdr:ext cx="184731" cy="655885"/>
    <xdr:sp macro="" textlink="">
      <xdr:nvSpPr>
        <xdr:cNvPr id="324" name="Rectángulo 8">
          <a:extLst>
            <a:ext uri="{FF2B5EF4-FFF2-40B4-BE49-F238E27FC236}">
              <a16:creationId xmlns:a16="http://schemas.microsoft.com/office/drawing/2014/main" id="{00000000-0008-0000-0600-000044010000}"/>
            </a:ext>
          </a:extLst>
        </xdr:cNvPr>
        <xdr:cNvSpPr/>
      </xdr:nvSpPr>
      <xdr:spPr>
        <a:xfrm>
          <a:off x="97227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0</xdr:row>
      <xdr:rowOff>0</xdr:rowOff>
    </xdr:from>
    <xdr:ext cx="184731" cy="655885"/>
    <xdr:sp macro="" textlink="">
      <xdr:nvSpPr>
        <xdr:cNvPr id="325" name="Rectángulo 8">
          <a:extLst>
            <a:ext uri="{FF2B5EF4-FFF2-40B4-BE49-F238E27FC236}">
              <a16:creationId xmlns:a16="http://schemas.microsoft.com/office/drawing/2014/main" id="{00000000-0008-0000-0600-000045010000}"/>
            </a:ext>
          </a:extLst>
        </xdr:cNvPr>
        <xdr:cNvSpPr/>
      </xdr:nvSpPr>
      <xdr:spPr>
        <a:xfrm>
          <a:off x="97227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959783</xdr:colOff>
      <xdr:row>0</xdr:row>
      <xdr:rowOff>0</xdr:rowOff>
    </xdr:from>
    <xdr:ext cx="184731" cy="655885"/>
    <xdr:sp macro="" textlink="">
      <xdr:nvSpPr>
        <xdr:cNvPr id="326" name="Rectángulo 325">
          <a:extLst>
            <a:ext uri="{FF2B5EF4-FFF2-40B4-BE49-F238E27FC236}">
              <a16:creationId xmlns:a16="http://schemas.microsoft.com/office/drawing/2014/main" id="{00000000-0008-0000-0600-000046010000}"/>
            </a:ext>
          </a:extLst>
        </xdr:cNvPr>
        <xdr:cNvSpPr/>
      </xdr:nvSpPr>
      <xdr:spPr>
        <a:xfrm>
          <a:off x="98751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0</xdr:row>
      <xdr:rowOff>0</xdr:rowOff>
    </xdr:from>
    <xdr:ext cx="184731" cy="655885"/>
    <xdr:sp macro="" textlink="">
      <xdr:nvSpPr>
        <xdr:cNvPr id="327" name="Rectángulo 326">
          <a:extLst>
            <a:ext uri="{FF2B5EF4-FFF2-40B4-BE49-F238E27FC236}">
              <a16:creationId xmlns:a16="http://schemas.microsoft.com/office/drawing/2014/main" id="{00000000-0008-0000-0600-000047010000}"/>
            </a:ext>
          </a:extLst>
        </xdr:cNvPr>
        <xdr:cNvSpPr/>
      </xdr:nvSpPr>
      <xdr:spPr>
        <a:xfrm>
          <a:off x="97227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0</xdr:row>
      <xdr:rowOff>0</xdr:rowOff>
    </xdr:from>
    <xdr:ext cx="184731" cy="655885"/>
    <xdr:sp macro="" textlink="">
      <xdr:nvSpPr>
        <xdr:cNvPr id="328" name="Rectángulo 8">
          <a:extLst>
            <a:ext uri="{FF2B5EF4-FFF2-40B4-BE49-F238E27FC236}">
              <a16:creationId xmlns:a16="http://schemas.microsoft.com/office/drawing/2014/main" id="{00000000-0008-0000-0600-000048010000}"/>
            </a:ext>
          </a:extLst>
        </xdr:cNvPr>
        <xdr:cNvSpPr/>
      </xdr:nvSpPr>
      <xdr:spPr>
        <a:xfrm>
          <a:off x="97227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959783</xdr:colOff>
      <xdr:row>0</xdr:row>
      <xdr:rowOff>0</xdr:rowOff>
    </xdr:from>
    <xdr:ext cx="184731" cy="655885"/>
    <xdr:sp macro="" textlink="">
      <xdr:nvSpPr>
        <xdr:cNvPr id="329" name="Rectángulo 328">
          <a:extLst>
            <a:ext uri="{FF2B5EF4-FFF2-40B4-BE49-F238E27FC236}">
              <a16:creationId xmlns:a16="http://schemas.microsoft.com/office/drawing/2014/main" id="{00000000-0008-0000-0600-000049010000}"/>
            </a:ext>
          </a:extLst>
        </xdr:cNvPr>
        <xdr:cNvSpPr/>
      </xdr:nvSpPr>
      <xdr:spPr>
        <a:xfrm>
          <a:off x="98751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0</xdr:row>
      <xdr:rowOff>0</xdr:rowOff>
    </xdr:from>
    <xdr:ext cx="184731" cy="655885"/>
    <xdr:sp macro="" textlink="">
      <xdr:nvSpPr>
        <xdr:cNvPr id="330" name="Rectángulo 8">
          <a:extLst>
            <a:ext uri="{FF2B5EF4-FFF2-40B4-BE49-F238E27FC236}">
              <a16:creationId xmlns:a16="http://schemas.microsoft.com/office/drawing/2014/main" id="{00000000-0008-0000-0600-00004A010000}"/>
            </a:ext>
          </a:extLst>
        </xdr:cNvPr>
        <xdr:cNvSpPr/>
      </xdr:nvSpPr>
      <xdr:spPr>
        <a:xfrm>
          <a:off x="97227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0</xdr:row>
      <xdr:rowOff>0</xdr:rowOff>
    </xdr:from>
    <xdr:ext cx="184731" cy="655885"/>
    <xdr:sp macro="" textlink="">
      <xdr:nvSpPr>
        <xdr:cNvPr id="331" name="Rectángulo 8">
          <a:extLst>
            <a:ext uri="{FF2B5EF4-FFF2-40B4-BE49-F238E27FC236}">
              <a16:creationId xmlns:a16="http://schemas.microsoft.com/office/drawing/2014/main" id="{00000000-0008-0000-0600-00004B010000}"/>
            </a:ext>
          </a:extLst>
        </xdr:cNvPr>
        <xdr:cNvSpPr/>
      </xdr:nvSpPr>
      <xdr:spPr>
        <a:xfrm>
          <a:off x="97227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959783</xdr:colOff>
      <xdr:row>0</xdr:row>
      <xdr:rowOff>0</xdr:rowOff>
    </xdr:from>
    <xdr:ext cx="184731" cy="655885"/>
    <xdr:sp macro="" textlink="">
      <xdr:nvSpPr>
        <xdr:cNvPr id="332" name="Rectángulo 331">
          <a:extLst>
            <a:ext uri="{FF2B5EF4-FFF2-40B4-BE49-F238E27FC236}">
              <a16:creationId xmlns:a16="http://schemas.microsoft.com/office/drawing/2014/main" id="{00000000-0008-0000-0600-00004C010000}"/>
            </a:ext>
          </a:extLst>
        </xdr:cNvPr>
        <xdr:cNvSpPr/>
      </xdr:nvSpPr>
      <xdr:spPr>
        <a:xfrm>
          <a:off x="98751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0</xdr:row>
      <xdr:rowOff>0</xdr:rowOff>
    </xdr:from>
    <xdr:ext cx="184731" cy="655885"/>
    <xdr:sp macro="" textlink="">
      <xdr:nvSpPr>
        <xdr:cNvPr id="333" name="Rectángulo 332">
          <a:extLst>
            <a:ext uri="{FF2B5EF4-FFF2-40B4-BE49-F238E27FC236}">
              <a16:creationId xmlns:a16="http://schemas.microsoft.com/office/drawing/2014/main" id="{00000000-0008-0000-0600-00004D010000}"/>
            </a:ext>
          </a:extLst>
        </xdr:cNvPr>
        <xdr:cNvSpPr/>
      </xdr:nvSpPr>
      <xdr:spPr>
        <a:xfrm>
          <a:off x="97227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0</xdr:row>
      <xdr:rowOff>0</xdr:rowOff>
    </xdr:from>
    <xdr:ext cx="184731" cy="655885"/>
    <xdr:sp macro="" textlink="">
      <xdr:nvSpPr>
        <xdr:cNvPr id="334" name="Rectángulo 8">
          <a:extLst>
            <a:ext uri="{FF2B5EF4-FFF2-40B4-BE49-F238E27FC236}">
              <a16:creationId xmlns:a16="http://schemas.microsoft.com/office/drawing/2014/main" id="{00000000-0008-0000-0600-00004E010000}"/>
            </a:ext>
          </a:extLst>
        </xdr:cNvPr>
        <xdr:cNvSpPr/>
      </xdr:nvSpPr>
      <xdr:spPr>
        <a:xfrm>
          <a:off x="97227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959783</xdr:colOff>
      <xdr:row>0</xdr:row>
      <xdr:rowOff>0</xdr:rowOff>
    </xdr:from>
    <xdr:ext cx="184731" cy="655885"/>
    <xdr:sp macro="" textlink="">
      <xdr:nvSpPr>
        <xdr:cNvPr id="335" name="Rectángulo 334">
          <a:extLst>
            <a:ext uri="{FF2B5EF4-FFF2-40B4-BE49-F238E27FC236}">
              <a16:creationId xmlns:a16="http://schemas.microsoft.com/office/drawing/2014/main" id="{00000000-0008-0000-0600-00004F010000}"/>
            </a:ext>
          </a:extLst>
        </xdr:cNvPr>
        <xdr:cNvSpPr/>
      </xdr:nvSpPr>
      <xdr:spPr>
        <a:xfrm>
          <a:off x="98751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0</xdr:col>
      <xdr:colOff>959783</xdr:colOff>
      <xdr:row>0</xdr:row>
      <xdr:rowOff>0</xdr:rowOff>
    </xdr:from>
    <xdr:ext cx="184731" cy="655885"/>
    <xdr:sp macro="" textlink="">
      <xdr:nvSpPr>
        <xdr:cNvPr id="336" name="Rectángulo 335">
          <a:extLst>
            <a:ext uri="{FF2B5EF4-FFF2-40B4-BE49-F238E27FC236}">
              <a16:creationId xmlns:a16="http://schemas.microsoft.com/office/drawing/2014/main" id="{00000000-0008-0000-0600-000050010000}"/>
            </a:ext>
          </a:extLst>
        </xdr:cNvPr>
        <xdr:cNvSpPr/>
      </xdr:nvSpPr>
      <xdr:spPr>
        <a:xfrm>
          <a:off x="9597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0</xdr:col>
      <xdr:colOff>959783</xdr:colOff>
      <xdr:row>0</xdr:row>
      <xdr:rowOff>0</xdr:rowOff>
    </xdr:from>
    <xdr:ext cx="184731" cy="655885"/>
    <xdr:sp macro="" textlink="">
      <xdr:nvSpPr>
        <xdr:cNvPr id="337" name="Rectángulo 336">
          <a:extLst>
            <a:ext uri="{FF2B5EF4-FFF2-40B4-BE49-F238E27FC236}">
              <a16:creationId xmlns:a16="http://schemas.microsoft.com/office/drawing/2014/main" id="{00000000-0008-0000-0600-000051010000}"/>
            </a:ext>
          </a:extLst>
        </xdr:cNvPr>
        <xdr:cNvSpPr/>
      </xdr:nvSpPr>
      <xdr:spPr>
        <a:xfrm>
          <a:off x="9597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2</xdr:col>
      <xdr:colOff>1066800</xdr:colOff>
      <xdr:row>0</xdr:row>
      <xdr:rowOff>0</xdr:rowOff>
    </xdr:from>
    <xdr:ext cx="0" cy="38100"/>
    <xdr:sp macro="" textlink="">
      <xdr:nvSpPr>
        <xdr:cNvPr id="338" name="CuadroTexto 337">
          <a:extLst>
            <a:ext uri="{FF2B5EF4-FFF2-40B4-BE49-F238E27FC236}">
              <a16:creationId xmlns:a16="http://schemas.microsoft.com/office/drawing/2014/main" id="{00000000-0008-0000-0600-000052010000}"/>
            </a:ext>
          </a:extLst>
        </xdr:cNvPr>
        <xdr:cNvSpPr txBox="1"/>
      </xdr:nvSpPr>
      <xdr:spPr>
        <a:xfrm flipH="1">
          <a:off x="3295650" y="0"/>
          <a:ext cx="0" cy="38100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lvl="0" algn="ctr"/>
          <a:r>
            <a:rPr lang="es-MX" sz="1200" b="1">
              <a:solidFill>
                <a:sysClr val="windowText" lastClr="000000"/>
              </a:solidFill>
            </a:rPr>
            <a:t>ISLA 9: CAMBIO DE MIX POSICIONES 4, 5, 6 Y 7</a:t>
          </a: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339" name="Rectángulo 8">
          <a:extLst>
            <a:ext uri="{FF2B5EF4-FFF2-40B4-BE49-F238E27FC236}">
              <a16:creationId xmlns:a16="http://schemas.microsoft.com/office/drawing/2014/main" id="{00000000-0008-0000-0600-00005301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340" name="Rectángulo 8">
          <a:extLst>
            <a:ext uri="{FF2B5EF4-FFF2-40B4-BE49-F238E27FC236}">
              <a16:creationId xmlns:a16="http://schemas.microsoft.com/office/drawing/2014/main" id="{00000000-0008-0000-0600-00005401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341" name="rect">
          <a:extLst>
            <a:ext uri="{FF2B5EF4-FFF2-40B4-BE49-F238E27FC236}">
              <a16:creationId xmlns:a16="http://schemas.microsoft.com/office/drawing/2014/main" id="{00000000-0008-0000-0600-00005501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342" name="rect">
          <a:extLst>
            <a:ext uri="{FF2B5EF4-FFF2-40B4-BE49-F238E27FC236}">
              <a16:creationId xmlns:a16="http://schemas.microsoft.com/office/drawing/2014/main" id="{00000000-0008-0000-0600-00005601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952500</xdr:colOff>
      <xdr:row>0</xdr:row>
      <xdr:rowOff>0</xdr:rowOff>
    </xdr:from>
    <xdr:ext cx="180975" cy="647700"/>
    <xdr:sp macro="" textlink="">
      <xdr:nvSpPr>
        <xdr:cNvPr id="343" name="Rectángulo 342">
          <a:extLst>
            <a:ext uri="{FF2B5EF4-FFF2-40B4-BE49-F238E27FC236}">
              <a16:creationId xmlns:a16="http://schemas.microsoft.com/office/drawing/2014/main" id="{00000000-0008-0000-0600-000057010000}"/>
            </a:ext>
          </a:extLst>
        </xdr:cNvPr>
        <xdr:cNvSpPr/>
      </xdr:nvSpPr>
      <xdr:spPr>
        <a:xfrm>
          <a:off x="98679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344" name="Rectángulo 8">
          <a:extLst>
            <a:ext uri="{FF2B5EF4-FFF2-40B4-BE49-F238E27FC236}">
              <a16:creationId xmlns:a16="http://schemas.microsoft.com/office/drawing/2014/main" id="{00000000-0008-0000-0600-00005801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345" name="Rectángulo 344">
          <a:extLst>
            <a:ext uri="{FF2B5EF4-FFF2-40B4-BE49-F238E27FC236}">
              <a16:creationId xmlns:a16="http://schemas.microsoft.com/office/drawing/2014/main" id="{00000000-0008-0000-0600-00005901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346" name="rect">
          <a:extLst>
            <a:ext uri="{FF2B5EF4-FFF2-40B4-BE49-F238E27FC236}">
              <a16:creationId xmlns:a16="http://schemas.microsoft.com/office/drawing/2014/main" id="{00000000-0008-0000-0600-00005A01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347" name="rect">
          <a:extLst>
            <a:ext uri="{FF2B5EF4-FFF2-40B4-BE49-F238E27FC236}">
              <a16:creationId xmlns:a16="http://schemas.microsoft.com/office/drawing/2014/main" id="{00000000-0008-0000-0600-00005B01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952500</xdr:colOff>
      <xdr:row>0</xdr:row>
      <xdr:rowOff>0</xdr:rowOff>
    </xdr:from>
    <xdr:ext cx="180975" cy="647700"/>
    <xdr:sp macro="" textlink="">
      <xdr:nvSpPr>
        <xdr:cNvPr id="348" name="Rectángulo 8">
          <a:extLst>
            <a:ext uri="{FF2B5EF4-FFF2-40B4-BE49-F238E27FC236}">
              <a16:creationId xmlns:a16="http://schemas.microsoft.com/office/drawing/2014/main" id="{00000000-0008-0000-0600-00005C010000}"/>
            </a:ext>
          </a:extLst>
        </xdr:cNvPr>
        <xdr:cNvSpPr/>
      </xdr:nvSpPr>
      <xdr:spPr>
        <a:xfrm>
          <a:off x="98679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349" name="Rectángulo 8">
          <a:extLst>
            <a:ext uri="{FF2B5EF4-FFF2-40B4-BE49-F238E27FC236}">
              <a16:creationId xmlns:a16="http://schemas.microsoft.com/office/drawing/2014/main" id="{00000000-0008-0000-0600-00005D01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350" name="Rectángulo 8">
          <a:extLst>
            <a:ext uri="{FF2B5EF4-FFF2-40B4-BE49-F238E27FC236}">
              <a16:creationId xmlns:a16="http://schemas.microsoft.com/office/drawing/2014/main" id="{00000000-0008-0000-0600-00005E01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351" name="rect">
          <a:extLst>
            <a:ext uri="{FF2B5EF4-FFF2-40B4-BE49-F238E27FC236}">
              <a16:creationId xmlns:a16="http://schemas.microsoft.com/office/drawing/2014/main" id="{00000000-0008-0000-0600-00005F01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352" name="rect">
          <a:extLst>
            <a:ext uri="{FF2B5EF4-FFF2-40B4-BE49-F238E27FC236}">
              <a16:creationId xmlns:a16="http://schemas.microsoft.com/office/drawing/2014/main" id="{00000000-0008-0000-0600-00006001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952500</xdr:colOff>
      <xdr:row>0</xdr:row>
      <xdr:rowOff>0</xdr:rowOff>
    </xdr:from>
    <xdr:ext cx="180975" cy="647700"/>
    <xdr:sp macro="" textlink="">
      <xdr:nvSpPr>
        <xdr:cNvPr id="353" name="Rectángulo 352">
          <a:extLst>
            <a:ext uri="{FF2B5EF4-FFF2-40B4-BE49-F238E27FC236}">
              <a16:creationId xmlns:a16="http://schemas.microsoft.com/office/drawing/2014/main" id="{00000000-0008-0000-0600-000061010000}"/>
            </a:ext>
          </a:extLst>
        </xdr:cNvPr>
        <xdr:cNvSpPr/>
      </xdr:nvSpPr>
      <xdr:spPr>
        <a:xfrm>
          <a:off x="98679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354" name="Rectángulo 8">
          <a:extLst>
            <a:ext uri="{FF2B5EF4-FFF2-40B4-BE49-F238E27FC236}">
              <a16:creationId xmlns:a16="http://schemas.microsoft.com/office/drawing/2014/main" id="{00000000-0008-0000-0600-00006201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355" name="Rectángulo 8">
          <a:extLst>
            <a:ext uri="{FF2B5EF4-FFF2-40B4-BE49-F238E27FC236}">
              <a16:creationId xmlns:a16="http://schemas.microsoft.com/office/drawing/2014/main" id="{00000000-0008-0000-0600-00006301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356" name="rect">
          <a:extLst>
            <a:ext uri="{FF2B5EF4-FFF2-40B4-BE49-F238E27FC236}">
              <a16:creationId xmlns:a16="http://schemas.microsoft.com/office/drawing/2014/main" id="{00000000-0008-0000-0600-00006401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357" name="rect">
          <a:extLst>
            <a:ext uri="{FF2B5EF4-FFF2-40B4-BE49-F238E27FC236}">
              <a16:creationId xmlns:a16="http://schemas.microsoft.com/office/drawing/2014/main" id="{00000000-0008-0000-0600-00006501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952500</xdr:colOff>
      <xdr:row>0</xdr:row>
      <xdr:rowOff>0</xdr:rowOff>
    </xdr:from>
    <xdr:ext cx="180975" cy="647700"/>
    <xdr:sp macro="" textlink="">
      <xdr:nvSpPr>
        <xdr:cNvPr id="358" name="Rectángulo 8">
          <a:extLst>
            <a:ext uri="{FF2B5EF4-FFF2-40B4-BE49-F238E27FC236}">
              <a16:creationId xmlns:a16="http://schemas.microsoft.com/office/drawing/2014/main" id="{00000000-0008-0000-0600-000066010000}"/>
            </a:ext>
          </a:extLst>
        </xdr:cNvPr>
        <xdr:cNvSpPr/>
      </xdr:nvSpPr>
      <xdr:spPr>
        <a:xfrm>
          <a:off x="98679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359" name="Rectángulo 8">
          <a:extLst>
            <a:ext uri="{FF2B5EF4-FFF2-40B4-BE49-F238E27FC236}">
              <a16:creationId xmlns:a16="http://schemas.microsoft.com/office/drawing/2014/main" id="{00000000-0008-0000-0600-00006701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360" name="Rectángulo 359">
          <a:extLst>
            <a:ext uri="{FF2B5EF4-FFF2-40B4-BE49-F238E27FC236}">
              <a16:creationId xmlns:a16="http://schemas.microsoft.com/office/drawing/2014/main" id="{00000000-0008-0000-0600-00006801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361" name="rect">
          <a:extLst>
            <a:ext uri="{FF2B5EF4-FFF2-40B4-BE49-F238E27FC236}">
              <a16:creationId xmlns:a16="http://schemas.microsoft.com/office/drawing/2014/main" id="{00000000-0008-0000-0600-00006901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362" name="rect">
          <a:extLst>
            <a:ext uri="{FF2B5EF4-FFF2-40B4-BE49-F238E27FC236}">
              <a16:creationId xmlns:a16="http://schemas.microsoft.com/office/drawing/2014/main" id="{00000000-0008-0000-0600-00006A01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952500</xdr:colOff>
      <xdr:row>0</xdr:row>
      <xdr:rowOff>0</xdr:rowOff>
    </xdr:from>
    <xdr:ext cx="180975" cy="647700"/>
    <xdr:sp macro="" textlink="">
      <xdr:nvSpPr>
        <xdr:cNvPr id="363" name="Rectángulo 362">
          <a:extLst>
            <a:ext uri="{FF2B5EF4-FFF2-40B4-BE49-F238E27FC236}">
              <a16:creationId xmlns:a16="http://schemas.microsoft.com/office/drawing/2014/main" id="{00000000-0008-0000-0600-00006B010000}"/>
            </a:ext>
          </a:extLst>
        </xdr:cNvPr>
        <xdr:cNvSpPr/>
      </xdr:nvSpPr>
      <xdr:spPr>
        <a:xfrm>
          <a:off x="98679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2</xdr:col>
      <xdr:colOff>1066800</xdr:colOff>
      <xdr:row>0</xdr:row>
      <xdr:rowOff>0</xdr:rowOff>
    </xdr:from>
    <xdr:ext cx="0" cy="38100"/>
    <xdr:sp macro="" textlink="">
      <xdr:nvSpPr>
        <xdr:cNvPr id="364" name="CuadroTexto 363">
          <a:extLst>
            <a:ext uri="{FF2B5EF4-FFF2-40B4-BE49-F238E27FC236}">
              <a16:creationId xmlns:a16="http://schemas.microsoft.com/office/drawing/2014/main" id="{00000000-0008-0000-0600-00006C010000}"/>
            </a:ext>
          </a:extLst>
        </xdr:cNvPr>
        <xdr:cNvSpPr txBox="1"/>
      </xdr:nvSpPr>
      <xdr:spPr>
        <a:xfrm flipH="1">
          <a:off x="3295650" y="0"/>
          <a:ext cx="0" cy="38100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lvl="0" algn="ctr"/>
          <a:r>
            <a:rPr lang="es-MX" sz="1200" b="1">
              <a:solidFill>
                <a:sysClr val="windowText" lastClr="000000"/>
              </a:solidFill>
            </a:rPr>
            <a:t>ISLA 9: CAMBIO DE MIX POSICIONES 4, 5, 6 Y 7</a:t>
          </a: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365" name="Rectángulo 8">
          <a:extLst>
            <a:ext uri="{FF2B5EF4-FFF2-40B4-BE49-F238E27FC236}">
              <a16:creationId xmlns:a16="http://schemas.microsoft.com/office/drawing/2014/main" id="{00000000-0008-0000-0600-00006D01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366" name="Rectángulo 8">
          <a:extLst>
            <a:ext uri="{FF2B5EF4-FFF2-40B4-BE49-F238E27FC236}">
              <a16:creationId xmlns:a16="http://schemas.microsoft.com/office/drawing/2014/main" id="{00000000-0008-0000-0600-00006E01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367" name="rect">
          <a:extLst>
            <a:ext uri="{FF2B5EF4-FFF2-40B4-BE49-F238E27FC236}">
              <a16:creationId xmlns:a16="http://schemas.microsoft.com/office/drawing/2014/main" id="{00000000-0008-0000-0600-00006F01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368" name="rect">
          <a:extLst>
            <a:ext uri="{FF2B5EF4-FFF2-40B4-BE49-F238E27FC236}">
              <a16:creationId xmlns:a16="http://schemas.microsoft.com/office/drawing/2014/main" id="{00000000-0008-0000-0600-00007001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952500</xdr:colOff>
      <xdr:row>0</xdr:row>
      <xdr:rowOff>0</xdr:rowOff>
    </xdr:from>
    <xdr:ext cx="180975" cy="647700"/>
    <xdr:sp macro="" textlink="">
      <xdr:nvSpPr>
        <xdr:cNvPr id="369" name="Rectángulo 8">
          <a:extLst>
            <a:ext uri="{FF2B5EF4-FFF2-40B4-BE49-F238E27FC236}">
              <a16:creationId xmlns:a16="http://schemas.microsoft.com/office/drawing/2014/main" id="{00000000-0008-0000-0600-000071010000}"/>
            </a:ext>
          </a:extLst>
        </xdr:cNvPr>
        <xdr:cNvSpPr/>
      </xdr:nvSpPr>
      <xdr:spPr>
        <a:xfrm>
          <a:off x="98679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370" name="Rectángulo 8">
          <a:extLst>
            <a:ext uri="{FF2B5EF4-FFF2-40B4-BE49-F238E27FC236}">
              <a16:creationId xmlns:a16="http://schemas.microsoft.com/office/drawing/2014/main" id="{00000000-0008-0000-0600-00007201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371" name="Rectángulo 8">
          <a:extLst>
            <a:ext uri="{FF2B5EF4-FFF2-40B4-BE49-F238E27FC236}">
              <a16:creationId xmlns:a16="http://schemas.microsoft.com/office/drawing/2014/main" id="{00000000-0008-0000-0600-00007301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372" name="rect">
          <a:extLst>
            <a:ext uri="{FF2B5EF4-FFF2-40B4-BE49-F238E27FC236}">
              <a16:creationId xmlns:a16="http://schemas.microsoft.com/office/drawing/2014/main" id="{00000000-0008-0000-0600-00007401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373" name="rect">
          <a:extLst>
            <a:ext uri="{FF2B5EF4-FFF2-40B4-BE49-F238E27FC236}">
              <a16:creationId xmlns:a16="http://schemas.microsoft.com/office/drawing/2014/main" id="{00000000-0008-0000-0600-00007501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952500</xdr:colOff>
      <xdr:row>0</xdr:row>
      <xdr:rowOff>0</xdr:rowOff>
    </xdr:from>
    <xdr:ext cx="180975" cy="647700"/>
    <xdr:sp macro="" textlink="">
      <xdr:nvSpPr>
        <xdr:cNvPr id="374" name="Rectángulo 373">
          <a:extLst>
            <a:ext uri="{FF2B5EF4-FFF2-40B4-BE49-F238E27FC236}">
              <a16:creationId xmlns:a16="http://schemas.microsoft.com/office/drawing/2014/main" id="{00000000-0008-0000-0600-000076010000}"/>
            </a:ext>
          </a:extLst>
        </xdr:cNvPr>
        <xdr:cNvSpPr/>
      </xdr:nvSpPr>
      <xdr:spPr>
        <a:xfrm>
          <a:off x="98679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375" name="Rectángulo 8">
          <a:extLst>
            <a:ext uri="{FF2B5EF4-FFF2-40B4-BE49-F238E27FC236}">
              <a16:creationId xmlns:a16="http://schemas.microsoft.com/office/drawing/2014/main" id="{00000000-0008-0000-0600-00007701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376" name="Rectángulo 8">
          <a:extLst>
            <a:ext uri="{FF2B5EF4-FFF2-40B4-BE49-F238E27FC236}">
              <a16:creationId xmlns:a16="http://schemas.microsoft.com/office/drawing/2014/main" id="{00000000-0008-0000-0600-00007801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377" name="rect">
          <a:extLst>
            <a:ext uri="{FF2B5EF4-FFF2-40B4-BE49-F238E27FC236}">
              <a16:creationId xmlns:a16="http://schemas.microsoft.com/office/drawing/2014/main" id="{00000000-0008-0000-0600-00007901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378" name="rect">
          <a:extLst>
            <a:ext uri="{FF2B5EF4-FFF2-40B4-BE49-F238E27FC236}">
              <a16:creationId xmlns:a16="http://schemas.microsoft.com/office/drawing/2014/main" id="{00000000-0008-0000-0600-00007A01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952500</xdr:colOff>
      <xdr:row>0</xdr:row>
      <xdr:rowOff>0</xdr:rowOff>
    </xdr:from>
    <xdr:ext cx="180975" cy="647700"/>
    <xdr:sp macro="" textlink="">
      <xdr:nvSpPr>
        <xdr:cNvPr id="379" name="Rectángulo 8">
          <a:extLst>
            <a:ext uri="{FF2B5EF4-FFF2-40B4-BE49-F238E27FC236}">
              <a16:creationId xmlns:a16="http://schemas.microsoft.com/office/drawing/2014/main" id="{00000000-0008-0000-0600-00007B010000}"/>
            </a:ext>
          </a:extLst>
        </xdr:cNvPr>
        <xdr:cNvSpPr/>
      </xdr:nvSpPr>
      <xdr:spPr>
        <a:xfrm>
          <a:off x="98679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807383</xdr:colOff>
      <xdr:row>0</xdr:row>
      <xdr:rowOff>0</xdr:rowOff>
    </xdr:from>
    <xdr:ext cx="184731" cy="655885"/>
    <xdr:sp macro="" textlink="">
      <xdr:nvSpPr>
        <xdr:cNvPr id="380" name="Rectángulo 8">
          <a:extLst>
            <a:ext uri="{FF2B5EF4-FFF2-40B4-BE49-F238E27FC236}">
              <a16:creationId xmlns:a16="http://schemas.microsoft.com/office/drawing/2014/main" id="{00000000-0008-0000-0600-00007C010000}"/>
            </a:ext>
          </a:extLst>
        </xdr:cNvPr>
        <xdr:cNvSpPr/>
      </xdr:nvSpPr>
      <xdr:spPr>
        <a:xfrm>
          <a:off x="97227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0</xdr:row>
      <xdr:rowOff>0</xdr:rowOff>
    </xdr:from>
    <xdr:ext cx="184731" cy="655885"/>
    <xdr:sp macro="" textlink="">
      <xdr:nvSpPr>
        <xdr:cNvPr id="381" name="Rectángulo 8">
          <a:extLst>
            <a:ext uri="{FF2B5EF4-FFF2-40B4-BE49-F238E27FC236}">
              <a16:creationId xmlns:a16="http://schemas.microsoft.com/office/drawing/2014/main" id="{00000000-0008-0000-0600-00007D010000}"/>
            </a:ext>
          </a:extLst>
        </xdr:cNvPr>
        <xdr:cNvSpPr/>
      </xdr:nvSpPr>
      <xdr:spPr>
        <a:xfrm>
          <a:off x="97227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959783</xdr:colOff>
      <xdr:row>0</xdr:row>
      <xdr:rowOff>0</xdr:rowOff>
    </xdr:from>
    <xdr:ext cx="184731" cy="655885"/>
    <xdr:sp macro="" textlink="">
      <xdr:nvSpPr>
        <xdr:cNvPr id="382" name="Rectángulo 381">
          <a:extLst>
            <a:ext uri="{FF2B5EF4-FFF2-40B4-BE49-F238E27FC236}">
              <a16:creationId xmlns:a16="http://schemas.microsoft.com/office/drawing/2014/main" id="{00000000-0008-0000-0600-00007E010000}"/>
            </a:ext>
          </a:extLst>
        </xdr:cNvPr>
        <xdr:cNvSpPr/>
      </xdr:nvSpPr>
      <xdr:spPr>
        <a:xfrm>
          <a:off x="98751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0</xdr:row>
      <xdr:rowOff>0</xdr:rowOff>
    </xdr:from>
    <xdr:ext cx="184731" cy="655885"/>
    <xdr:sp macro="" textlink="">
      <xdr:nvSpPr>
        <xdr:cNvPr id="383" name="Rectángulo 382">
          <a:extLst>
            <a:ext uri="{FF2B5EF4-FFF2-40B4-BE49-F238E27FC236}">
              <a16:creationId xmlns:a16="http://schemas.microsoft.com/office/drawing/2014/main" id="{00000000-0008-0000-0600-00007F010000}"/>
            </a:ext>
          </a:extLst>
        </xdr:cNvPr>
        <xdr:cNvSpPr/>
      </xdr:nvSpPr>
      <xdr:spPr>
        <a:xfrm>
          <a:off x="97227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0</xdr:row>
      <xdr:rowOff>0</xdr:rowOff>
    </xdr:from>
    <xdr:ext cx="184731" cy="655885"/>
    <xdr:sp macro="" textlink="">
      <xdr:nvSpPr>
        <xdr:cNvPr id="384" name="Rectángulo 8">
          <a:extLst>
            <a:ext uri="{FF2B5EF4-FFF2-40B4-BE49-F238E27FC236}">
              <a16:creationId xmlns:a16="http://schemas.microsoft.com/office/drawing/2014/main" id="{00000000-0008-0000-0600-000080010000}"/>
            </a:ext>
          </a:extLst>
        </xdr:cNvPr>
        <xdr:cNvSpPr/>
      </xdr:nvSpPr>
      <xdr:spPr>
        <a:xfrm>
          <a:off x="97227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959783</xdr:colOff>
      <xdr:row>0</xdr:row>
      <xdr:rowOff>0</xdr:rowOff>
    </xdr:from>
    <xdr:ext cx="184731" cy="655885"/>
    <xdr:sp macro="" textlink="">
      <xdr:nvSpPr>
        <xdr:cNvPr id="385" name="Rectángulo 384">
          <a:extLst>
            <a:ext uri="{FF2B5EF4-FFF2-40B4-BE49-F238E27FC236}">
              <a16:creationId xmlns:a16="http://schemas.microsoft.com/office/drawing/2014/main" id="{00000000-0008-0000-0600-000081010000}"/>
            </a:ext>
          </a:extLst>
        </xdr:cNvPr>
        <xdr:cNvSpPr/>
      </xdr:nvSpPr>
      <xdr:spPr>
        <a:xfrm>
          <a:off x="98751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0</xdr:row>
      <xdr:rowOff>0</xdr:rowOff>
    </xdr:from>
    <xdr:ext cx="184731" cy="655885"/>
    <xdr:sp macro="" textlink="">
      <xdr:nvSpPr>
        <xdr:cNvPr id="386" name="Rectángulo 8">
          <a:extLst>
            <a:ext uri="{FF2B5EF4-FFF2-40B4-BE49-F238E27FC236}">
              <a16:creationId xmlns:a16="http://schemas.microsoft.com/office/drawing/2014/main" id="{00000000-0008-0000-0600-000082010000}"/>
            </a:ext>
          </a:extLst>
        </xdr:cNvPr>
        <xdr:cNvSpPr/>
      </xdr:nvSpPr>
      <xdr:spPr>
        <a:xfrm>
          <a:off x="97227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0</xdr:row>
      <xdr:rowOff>0</xdr:rowOff>
    </xdr:from>
    <xdr:ext cx="184731" cy="655885"/>
    <xdr:sp macro="" textlink="">
      <xdr:nvSpPr>
        <xdr:cNvPr id="387" name="Rectángulo 8">
          <a:extLst>
            <a:ext uri="{FF2B5EF4-FFF2-40B4-BE49-F238E27FC236}">
              <a16:creationId xmlns:a16="http://schemas.microsoft.com/office/drawing/2014/main" id="{00000000-0008-0000-0600-000083010000}"/>
            </a:ext>
          </a:extLst>
        </xdr:cNvPr>
        <xdr:cNvSpPr/>
      </xdr:nvSpPr>
      <xdr:spPr>
        <a:xfrm>
          <a:off x="97227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959783</xdr:colOff>
      <xdr:row>0</xdr:row>
      <xdr:rowOff>0</xdr:rowOff>
    </xdr:from>
    <xdr:ext cx="184731" cy="655885"/>
    <xdr:sp macro="" textlink="">
      <xdr:nvSpPr>
        <xdr:cNvPr id="388" name="Rectángulo 387">
          <a:extLst>
            <a:ext uri="{FF2B5EF4-FFF2-40B4-BE49-F238E27FC236}">
              <a16:creationId xmlns:a16="http://schemas.microsoft.com/office/drawing/2014/main" id="{00000000-0008-0000-0600-000084010000}"/>
            </a:ext>
          </a:extLst>
        </xdr:cNvPr>
        <xdr:cNvSpPr/>
      </xdr:nvSpPr>
      <xdr:spPr>
        <a:xfrm>
          <a:off x="98751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0</xdr:row>
      <xdr:rowOff>0</xdr:rowOff>
    </xdr:from>
    <xdr:ext cx="184731" cy="655885"/>
    <xdr:sp macro="" textlink="">
      <xdr:nvSpPr>
        <xdr:cNvPr id="389" name="Rectángulo 388">
          <a:extLst>
            <a:ext uri="{FF2B5EF4-FFF2-40B4-BE49-F238E27FC236}">
              <a16:creationId xmlns:a16="http://schemas.microsoft.com/office/drawing/2014/main" id="{00000000-0008-0000-0600-000085010000}"/>
            </a:ext>
          </a:extLst>
        </xdr:cNvPr>
        <xdr:cNvSpPr/>
      </xdr:nvSpPr>
      <xdr:spPr>
        <a:xfrm>
          <a:off x="97227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0</xdr:row>
      <xdr:rowOff>0</xdr:rowOff>
    </xdr:from>
    <xdr:ext cx="184731" cy="655885"/>
    <xdr:sp macro="" textlink="">
      <xdr:nvSpPr>
        <xdr:cNvPr id="390" name="Rectángulo 8">
          <a:extLst>
            <a:ext uri="{FF2B5EF4-FFF2-40B4-BE49-F238E27FC236}">
              <a16:creationId xmlns:a16="http://schemas.microsoft.com/office/drawing/2014/main" id="{00000000-0008-0000-0600-000086010000}"/>
            </a:ext>
          </a:extLst>
        </xdr:cNvPr>
        <xdr:cNvSpPr/>
      </xdr:nvSpPr>
      <xdr:spPr>
        <a:xfrm>
          <a:off x="97227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959783</xdr:colOff>
      <xdr:row>0</xdr:row>
      <xdr:rowOff>0</xdr:rowOff>
    </xdr:from>
    <xdr:ext cx="184731" cy="655885"/>
    <xdr:sp macro="" textlink="">
      <xdr:nvSpPr>
        <xdr:cNvPr id="391" name="Rectángulo 390">
          <a:extLst>
            <a:ext uri="{FF2B5EF4-FFF2-40B4-BE49-F238E27FC236}">
              <a16:creationId xmlns:a16="http://schemas.microsoft.com/office/drawing/2014/main" id="{00000000-0008-0000-0600-000087010000}"/>
            </a:ext>
          </a:extLst>
        </xdr:cNvPr>
        <xdr:cNvSpPr/>
      </xdr:nvSpPr>
      <xdr:spPr>
        <a:xfrm>
          <a:off x="98751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0</xdr:col>
      <xdr:colOff>959783</xdr:colOff>
      <xdr:row>0</xdr:row>
      <xdr:rowOff>0</xdr:rowOff>
    </xdr:from>
    <xdr:ext cx="184731" cy="655885"/>
    <xdr:sp macro="" textlink="">
      <xdr:nvSpPr>
        <xdr:cNvPr id="392" name="Rectángulo 391">
          <a:extLst>
            <a:ext uri="{FF2B5EF4-FFF2-40B4-BE49-F238E27FC236}">
              <a16:creationId xmlns:a16="http://schemas.microsoft.com/office/drawing/2014/main" id="{00000000-0008-0000-0600-000088010000}"/>
            </a:ext>
          </a:extLst>
        </xdr:cNvPr>
        <xdr:cNvSpPr/>
      </xdr:nvSpPr>
      <xdr:spPr>
        <a:xfrm>
          <a:off x="9597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0</xdr:col>
      <xdr:colOff>959783</xdr:colOff>
      <xdr:row>0</xdr:row>
      <xdr:rowOff>0</xdr:rowOff>
    </xdr:from>
    <xdr:ext cx="184731" cy="655885"/>
    <xdr:sp macro="" textlink="">
      <xdr:nvSpPr>
        <xdr:cNvPr id="393" name="Rectángulo 392">
          <a:extLst>
            <a:ext uri="{FF2B5EF4-FFF2-40B4-BE49-F238E27FC236}">
              <a16:creationId xmlns:a16="http://schemas.microsoft.com/office/drawing/2014/main" id="{00000000-0008-0000-0600-000089010000}"/>
            </a:ext>
          </a:extLst>
        </xdr:cNvPr>
        <xdr:cNvSpPr/>
      </xdr:nvSpPr>
      <xdr:spPr>
        <a:xfrm>
          <a:off x="9597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2</xdr:col>
      <xdr:colOff>1066800</xdr:colOff>
      <xdr:row>0</xdr:row>
      <xdr:rowOff>0</xdr:rowOff>
    </xdr:from>
    <xdr:ext cx="0" cy="38100"/>
    <xdr:sp macro="" textlink="">
      <xdr:nvSpPr>
        <xdr:cNvPr id="394" name="CuadroTexto 393">
          <a:extLst>
            <a:ext uri="{FF2B5EF4-FFF2-40B4-BE49-F238E27FC236}">
              <a16:creationId xmlns:a16="http://schemas.microsoft.com/office/drawing/2014/main" id="{00000000-0008-0000-0600-00008A010000}"/>
            </a:ext>
          </a:extLst>
        </xdr:cNvPr>
        <xdr:cNvSpPr txBox="1"/>
      </xdr:nvSpPr>
      <xdr:spPr>
        <a:xfrm flipH="1">
          <a:off x="3295650" y="0"/>
          <a:ext cx="0" cy="38100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lvl="0" algn="ctr"/>
          <a:r>
            <a:rPr lang="es-MX" sz="1200" b="1">
              <a:solidFill>
                <a:sysClr val="windowText" lastClr="000000"/>
              </a:solidFill>
            </a:rPr>
            <a:t>ISLA 9: CAMBIO DE MIX POSICIONES 4, 5, 6 Y 7</a:t>
          </a: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395" name="Rectángulo 8">
          <a:extLst>
            <a:ext uri="{FF2B5EF4-FFF2-40B4-BE49-F238E27FC236}">
              <a16:creationId xmlns:a16="http://schemas.microsoft.com/office/drawing/2014/main" id="{00000000-0008-0000-0600-00008B01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396" name="Rectángulo 8">
          <a:extLst>
            <a:ext uri="{FF2B5EF4-FFF2-40B4-BE49-F238E27FC236}">
              <a16:creationId xmlns:a16="http://schemas.microsoft.com/office/drawing/2014/main" id="{00000000-0008-0000-0600-00008C01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397" name="rect">
          <a:extLst>
            <a:ext uri="{FF2B5EF4-FFF2-40B4-BE49-F238E27FC236}">
              <a16:creationId xmlns:a16="http://schemas.microsoft.com/office/drawing/2014/main" id="{00000000-0008-0000-0600-00008D01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398" name="rect">
          <a:extLst>
            <a:ext uri="{FF2B5EF4-FFF2-40B4-BE49-F238E27FC236}">
              <a16:creationId xmlns:a16="http://schemas.microsoft.com/office/drawing/2014/main" id="{00000000-0008-0000-0600-00008E01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952500</xdr:colOff>
      <xdr:row>0</xdr:row>
      <xdr:rowOff>0</xdr:rowOff>
    </xdr:from>
    <xdr:ext cx="180975" cy="647700"/>
    <xdr:sp macro="" textlink="">
      <xdr:nvSpPr>
        <xdr:cNvPr id="399" name="Rectángulo 398">
          <a:extLst>
            <a:ext uri="{FF2B5EF4-FFF2-40B4-BE49-F238E27FC236}">
              <a16:creationId xmlns:a16="http://schemas.microsoft.com/office/drawing/2014/main" id="{00000000-0008-0000-0600-00008F010000}"/>
            </a:ext>
          </a:extLst>
        </xdr:cNvPr>
        <xdr:cNvSpPr/>
      </xdr:nvSpPr>
      <xdr:spPr>
        <a:xfrm>
          <a:off x="98679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400" name="Rectángulo 8">
          <a:extLst>
            <a:ext uri="{FF2B5EF4-FFF2-40B4-BE49-F238E27FC236}">
              <a16:creationId xmlns:a16="http://schemas.microsoft.com/office/drawing/2014/main" id="{00000000-0008-0000-0600-00009001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401" name="Rectángulo 8">
          <a:extLst>
            <a:ext uri="{FF2B5EF4-FFF2-40B4-BE49-F238E27FC236}">
              <a16:creationId xmlns:a16="http://schemas.microsoft.com/office/drawing/2014/main" id="{00000000-0008-0000-0600-00009101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402" name="rect">
          <a:extLst>
            <a:ext uri="{FF2B5EF4-FFF2-40B4-BE49-F238E27FC236}">
              <a16:creationId xmlns:a16="http://schemas.microsoft.com/office/drawing/2014/main" id="{00000000-0008-0000-0600-00009201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403" name="rect">
          <a:extLst>
            <a:ext uri="{FF2B5EF4-FFF2-40B4-BE49-F238E27FC236}">
              <a16:creationId xmlns:a16="http://schemas.microsoft.com/office/drawing/2014/main" id="{00000000-0008-0000-0600-00009301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952500</xdr:colOff>
      <xdr:row>0</xdr:row>
      <xdr:rowOff>0</xdr:rowOff>
    </xdr:from>
    <xdr:ext cx="180975" cy="647700"/>
    <xdr:sp macro="" textlink="">
      <xdr:nvSpPr>
        <xdr:cNvPr id="404" name="Rectángulo 8">
          <a:extLst>
            <a:ext uri="{FF2B5EF4-FFF2-40B4-BE49-F238E27FC236}">
              <a16:creationId xmlns:a16="http://schemas.microsoft.com/office/drawing/2014/main" id="{00000000-0008-0000-0600-000094010000}"/>
            </a:ext>
          </a:extLst>
        </xdr:cNvPr>
        <xdr:cNvSpPr/>
      </xdr:nvSpPr>
      <xdr:spPr>
        <a:xfrm>
          <a:off x="98679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405" name="Rectángulo 8">
          <a:extLst>
            <a:ext uri="{FF2B5EF4-FFF2-40B4-BE49-F238E27FC236}">
              <a16:creationId xmlns:a16="http://schemas.microsoft.com/office/drawing/2014/main" id="{00000000-0008-0000-0600-00009501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406" name="Rectángulo 8">
          <a:extLst>
            <a:ext uri="{FF2B5EF4-FFF2-40B4-BE49-F238E27FC236}">
              <a16:creationId xmlns:a16="http://schemas.microsoft.com/office/drawing/2014/main" id="{00000000-0008-0000-0600-00009601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407" name="rect">
          <a:extLst>
            <a:ext uri="{FF2B5EF4-FFF2-40B4-BE49-F238E27FC236}">
              <a16:creationId xmlns:a16="http://schemas.microsoft.com/office/drawing/2014/main" id="{00000000-0008-0000-0600-00009701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408" name="rect">
          <a:extLst>
            <a:ext uri="{FF2B5EF4-FFF2-40B4-BE49-F238E27FC236}">
              <a16:creationId xmlns:a16="http://schemas.microsoft.com/office/drawing/2014/main" id="{00000000-0008-0000-0600-00009801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952500</xdr:colOff>
      <xdr:row>0</xdr:row>
      <xdr:rowOff>0</xdr:rowOff>
    </xdr:from>
    <xdr:ext cx="180975" cy="647700"/>
    <xdr:sp macro="" textlink="">
      <xdr:nvSpPr>
        <xdr:cNvPr id="409" name="Rectángulo 408">
          <a:extLst>
            <a:ext uri="{FF2B5EF4-FFF2-40B4-BE49-F238E27FC236}">
              <a16:creationId xmlns:a16="http://schemas.microsoft.com/office/drawing/2014/main" id="{00000000-0008-0000-0600-000099010000}"/>
            </a:ext>
          </a:extLst>
        </xdr:cNvPr>
        <xdr:cNvSpPr/>
      </xdr:nvSpPr>
      <xdr:spPr>
        <a:xfrm>
          <a:off x="98679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410" name="Rectángulo 8">
          <a:extLst>
            <a:ext uri="{FF2B5EF4-FFF2-40B4-BE49-F238E27FC236}">
              <a16:creationId xmlns:a16="http://schemas.microsoft.com/office/drawing/2014/main" id="{00000000-0008-0000-0600-00009A01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411" name="Rectángulo 8">
          <a:extLst>
            <a:ext uri="{FF2B5EF4-FFF2-40B4-BE49-F238E27FC236}">
              <a16:creationId xmlns:a16="http://schemas.microsoft.com/office/drawing/2014/main" id="{00000000-0008-0000-0600-00009B01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412" name="rect">
          <a:extLst>
            <a:ext uri="{FF2B5EF4-FFF2-40B4-BE49-F238E27FC236}">
              <a16:creationId xmlns:a16="http://schemas.microsoft.com/office/drawing/2014/main" id="{00000000-0008-0000-0600-00009C01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413" name="rect">
          <a:extLst>
            <a:ext uri="{FF2B5EF4-FFF2-40B4-BE49-F238E27FC236}">
              <a16:creationId xmlns:a16="http://schemas.microsoft.com/office/drawing/2014/main" id="{00000000-0008-0000-0600-00009D01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952500</xdr:colOff>
      <xdr:row>0</xdr:row>
      <xdr:rowOff>0</xdr:rowOff>
    </xdr:from>
    <xdr:ext cx="180975" cy="647700"/>
    <xdr:sp macro="" textlink="">
      <xdr:nvSpPr>
        <xdr:cNvPr id="414" name="Rectángulo 8">
          <a:extLst>
            <a:ext uri="{FF2B5EF4-FFF2-40B4-BE49-F238E27FC236}">
              <a16:creationId xmlns:a16="http://schemas.microsoft.com/office/drawing/2014/main" id="{00000000-0008-0000-0600-00009E010000}"/>
            </a:ext>
          </a:extLst>
        </xdr:cNvPr>
        <xdr:cNvSpPr/>
      </xdr:nvSpPr>
      <xdr:spPr>
        <a:xfrm>
          <a:off x="98679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415" name="Rectángulo 8">
          <a:extLst>
            <a:ext uri="{FF2B5EF4-FFF2-40B4-BE49-F238E27FC236}">
              <a16:creationId xmlns:a16="http://schemas.microsoft.com/office/drawing/2014/main" id="{00000000-0008-0000-0600-00009F01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416" name="Rectángulo 415">
          <a:extLst>
            <a:ext uri="{FF2B5EF4-FFF2-40B4-BE49-F238E27FC236}">
              <a16:creationId xmlns:a16="http://schemas.microsoft.com/office/drawing/2014/main" id="{00000000-0008-0000-0600-0000A001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417" name="rect">
          <a:extLst>
            <a:ext uri="{FF2B5EF4-FFF2-40B4-BE49-F238E27FC236}">
              <a16:creationId xmlns:a16="http://schemas.microsoft.com/office/drawing/2014/main" id="{00000000-0008-0000-0600-0000A101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418" name="rect">
          <a:extLst>
            <a:ext uri="{FF2B5EF4-FFF2-40B4-BE49-F238E27FC236}">
              <a16:creationId xmlns:a16="http://schemas.microsoft.com/office/drawing/2014/main" id="{00000000-0008-0000-0600-0000A201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952500</xdr:colOff>
      <xdr:row>0</xdr:row>
      <xdr:rowOff>0</xdr:rowOff>
    </xdr:from>
    <xdr:ext cx="180975" cy="647700"/>
    <xdr:sp macro="" textlink="">
      <xdr:nvSpPr>
        <xdr:cNvPr id="419" name="Rectángulo 418">
          <a:extLst>
            <a:ext uri="{FF2B5EF4-FFF2-40B4-BE49-F238E27FC236}">
              <a16:creationId xmlns:a16="http://schemas.microsoft.com/office/drawing/2014/main" id="{00000000-0008-0000-0600-0000A3010000}"/>
            </a:ext>
          </a:extLst>
        </xdr:cNvPr>
        <xdr:cNvSpPr/>
      </xdr:nvSpPr>
      <xdr:spPr>
        <a:xfrm>
          <a:off x="98679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2</xdr:col>
      <xdr:colOff>1066800</xdr:colOff>
      <xdr:row>0</xdr:row>
      <xdr:rowOff>0</xdr:rowOff>
    </xdr:from>
    <xdr:ext cx="0" cy="38100"/>
    <xdr:sp macro="" textlink="">
      <xdr:nvSpPr>
        <xdr:cNvPr id="420" name="CuadroTexto 419">
          <a:extLst>
            <a:ext uri="{FF2B5EF4-FFF2-40B4-BE49-F238E27FC236}">
              <a16:creationId xmlns:a16="http://schemas.microsoft.com/office/drawing/2014/main" id="{00000000-0008-0000-0600-0000A4010000}"/>
            </a:ext>
          </a:extLst>
        </xdr:cNvPr>
        <xdr:cNvSpPr txBox="1"/>
      </xdr:nvSpPr>
      <xdr:spPr>
        <a:xfrm flipH="1">
          <a:off x="3295650" y="0"/>
          <a:ext cx="0" cy="38100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lvl="0" algn="ctr"/>
          <a:r>
            <a:rPr lang="es-MX" sz="1200" b="1">
              <a:solidFill>
                <a:sysClr val="windowText" lastClr="000000"/>
              </a:solidFill>
            </a:rPr>
            <a:t>ISLA 9: CAMBIO DE MIX POSICIONES 4, 5, 6 Y 7</a:t>
          </a: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421" name="Rectángulo 8">
          <a:extLst>
            <a:ext uri="{FF2B5EF4-FFF2-40B4-BE49-F238E27FC236}">
              <a16:creationId xmlns:a16="http://schemas.microsoft.com/office/drawing/2014/main" id="{00000000-0008-0000-0600-0000A501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422" name="Rectángulo 8">
          <a:extLst>
            <a:ext uri="{FF2B5EF4-FFF2-40B4-BE49-F238E27FC236}">
              <a16:creationId xmlns:a16="http://schemas.microsoft.com/office/drawing/2014/main" id="{00000000-0008-0000-0600-0000A601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423" name="rect">
          <a:extLst>
            <a:ext uri="{FF2B5EF4-FFF2-40B4-BE49-F238E27FC236}">
              <a16:creationId xmlns:a16="http://schemas.microsoft.com/office/drawing/2014/main" id="{00000000-0008-0000-0600-0000A701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424" name="rect">
          <a:extLst>
            <a:ext uri="{FF2B5EF4-FFF2-40B4-BE49-F238E27FC236}">
              <a16:creationId xmlns:a16="http://schemas.microsoft.com/office/drawing/2014/main" id="{00000000-0008-0000-0600-0000A801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952500</xdr:colOff>
      <xdr:row>0</xdr:row>
      <xdr:rowOff>0</xdr:rowOff>
    </xdr:from>
    <xdr:ext cx="180975" cy="647700"/>
    <xdr:sp macro="" textlink="">
      <xdr:nvSpPr>
        <xdr:cNvPr id="425" name="Rectángulo 8">
          <a:extLst>
            <a:ext uri="{FF2B5EF4-FFF2-40B4-BE49-F238E27FC236}">
              <a16:creationId xmlns:a16="http://schemas.microsoft.com/office/drawing/2014/main" id="{00000000-0008-0000-0600-0000A9010000}"/>
            </a:ext>
          </a:extLst>
        </xdr:cNvPr>
        <xdr:cNvSpPr/>
      </xdr:nvSpPr>
      <xdr:spPr>
        <a:xfrm>
          <a:off x="98679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426" name="Rectángulo 8">
          <a:extLst>
            <a:ext uri="{FF2B5EF4-FFF2-40B4-BE49-F238E27FC236}">
              <a16:creationId xmlns:a16="http://schemas.microsoft.com/office/drawing/2014/main" id="{00000000-0008-0000-0600-0000AA01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427" name="Rectángulo 8">
          <a:extLst>
            <a:ext uri="{FF2B5EF4-FFF2-40B4-BE49-F238E27FC236}">
              <a16:creationId xmlns:a16="http://schemas.microsoft.com/office/drawing/2014/main" id="{00000000-0008-0000-0600-0000AB01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428" name="rect">
          <a:extLst>
            <a:ext uri="{FF2B5EF4-FFF2-40B4-BE49-F238E27FC236}">
              <a16:creationId xmlns:a16="http://schemas.microsoft.com/office/drawing/2014/main" id="{00000000-0008-0000-0600-0000AC01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429" name="rect">
          <a:extLst>
            <a:ext uri="{FF2B5EF4-FFF2-40B4-BE49-F238E27FC236}">
              <a16:creationId xmlns:a16="http://schemas.microsoft.com/office/drawing/2014/main" id="{00000000-0008-0000-0600-0000AD01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952500</xdr:colOff>
      <xdr:row>0</xdr:row>
      <xdr:rowOff>0</xdr:rowOff>
    </xdr:from>
    <xdr:ext cx="180975" cy="647700"/>
    <xdr:sp macro="" textlink="">
      <xdr:nvSpPr>
        <xdr:cNvPr id="430" name="Rectángulo 429">
          <a:extLst>
            <a:ext uri="{FF2B5EF4-FFF2-40B4-BE49-F238E27FC236}">
              <a16:creationId xmlns:a16="http://schemas.microsoft.com/office/drawing/2014/main" id="{00000000-0008-0000-0600-0000AE010000}"/>
            </a:ext>
          </a:extLst>
        </xdr:cNvPr>
        <xdr:cNvSpPr/>
      </xdr:nvSpPr>
      <xdr:spPr>
        <a:xfrm>
          <a:off x="98679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431" name="Rectángulo 8">
          <a:extLst>
            <a:ext uri="{FF2B5EF4-FFF2-40B4-BE49-F238E27FC236}">
              <a16:creationId xmlns:a16="http://schemas.microsoft.com/office/drawing/2014/main" id="{00000000-0008-0000-0600-0000AF01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432" name="Rectángulo 8">
          <a:extLst>
            <a:ext uri="{FF2B5EF4-FFF2-40B4-BE49-F238E27FC236}">
              <a16:creationId xmlns:a16="http://schemas.microsoft.com/office/drawing/2014/main" id="{00000000-0008-0000-0600-0000B001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433" name="rect">
          <a:extLst>
            <a:ext uri="{FF2B5EF4-FFF2-40B4-BE49-F238E27FC236}">
              <a16:creationId xmlns:a16="http://schemas.microsoft.com/office/drawing/2014/main" id="{00000000-0008-0000-0600-0000B101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434" name="rect">
          <a:extLst>
            <a:ext uri="{FF2B5EF4-FFF2-40B4-BE49-F238E27FC236}">
              <a16:creationId xmlns:a16="http://schemas.microsoft.com/office/drawing/2014/main" id="{00000000-0008-0000-0600-0000B201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952500</xdr:colOff>
      <xdr:row>0</xdr:row>
      <xdr:rowOff>0</xdr:rowOff>
    </xdr:from>
    <xdr:ext cx="180975" cy="647700"/>
    <xdr:sp macro="" textlink="">
      <xdr:nvSpPr>
        <xdr:cNvPr id="435" name="Rectángulo 8">
          <a:extLst>
            <a:ext uri="{FF2B5EF4-FFF2-40B4-BE49-F238E27FC236}">
              <a16:creationId xmlns:a16="http://schemas.microsoft.com/office/drawing/2014/main" id="{00000000-0008-0000-0600-0000B3010000}"/>
            </a:ext>
          </a:extLst>
        </xdr:cNvPr>
        <xdr:cNvSpPr/>
      </xdr:nvSpPr>
      <xdr:spPr>
        <a:xfrm>
          <a:off x="98679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807383</xdr:colOff>
      <xdr:row>0</xdr:row>
      <xdr:rowOff>0</xdr:rowOff>
    </xdr:from>
    <xdr:ext cx="184731" cy="655885"/>
    <xdr:sp macro="" textlink="">
      <xdr:nvSpPr>
        <xdr:cNvPr id="436" name="Rectángulo 8">
          <a:extLst>
            <a:ext uri="{FF2B5EF4-FFF2-40B4-BE49-F238E27FC236}">
              <a16:creationId xmlns:a16="http://schemas.microsoft.com/office/drawing/2014/main" id="{00000000-0008-0000-0600-0000B4010000}"/>
            </a:ext>
          </a:extLst>
        </xdr:cNvPr>
        <xdr:cNvSpPr/>
      </xdr:nvSpPr>
      <xdr:spPr>
        <a:xfrm>
          <a:off x="97227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0</xdr:row>
      <xdr:rowOff>0</xdr:rowOff>
    </xdr:from>
    <xdr:ext cx="184731" cy="655885"/>
    <xdr:sp macro="" textlink="">
      <xdr:nvSpPr>
        <xdr:cNvPr id="437" name="Rectángulo 8">
          <a:extLst>
            <a:ext uri="{FF2B5EF4-FFF2-40B4-BE49-F238E27FC236}">
              <a16:creationId xmlns:a16="http://schemas.microsoft.com/office/drawing/2014/main" id="{00000000-0008-0000-0600-0000B5010000}"/>
            </a:ext>
          </a:extLst>
        </xdr:cNvPr>
        <xdr:cNvSpPr/>
      </xdr:nvSpPr>
      <xdr:spPr>
        <a:xfrm>
          <a:off x="97227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959783</xdr:colOff>
      <xdr:row>0</xdr:row>
      <xdr:rowOff>0</xdr:rowOff>
    </xdr:from>
    <xdr:ext cx="184731" cy="655885"/>
    <xdr:sp macro="" textlink="">
      <xdr:nvSpPr>
        <xdr:cNvPr id="438" name="Rectángulo 437">
          <a:extLst>
            <a:ext uri="{FF2B5EF4-FFF2-40B4-BE49-F238E27FC236}">
              <a16:creationId xmlns:a16="http://schemas.microsoft.com/office/drawing/2014/main" id="{00000000-0008-0000-0600-0000B6010000}"/>
            </a:ext>
          </a:extLst>
        </xdr:cNvPr>
        <xdr:cNvSpPr/>
      </xdr:nvSpPr>
      <xdr:spPr>
        <a:xfrm>
          <a:off x="98751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0</xdr:row>
      <xdr:rowOff>0</xdr:rowOff>
    </xdr:from>
    <xdr:ext cx="184731" cy="655885"/>
    <xdr:sp macro="" textlink="">
      <xdr:nvSpPr>
        <xdr:cNvPr id="439" name="Rectángulo 438">
          <a:extLst>
            <a:ext uri="{FF2B5EF4-FFF2-40B4-BE49-F238E27FC236}">
              <a16:creationId xmlns:a16="http://schemas.microsoft.com/office/drawing/2014/main" id="{00000000-0008-0000-0600-0000B7010000}"/>
            </a:ext>
          </a:extLst>
        </xdr:cNvPr>
        <xdr:cNvSpPr/>
      </xdr:nvSpPr>
      <xdr:spPr>
        <a:xfrm>
          <a:off x="97227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0</xdr:row>
      <xdr:rowOff>0</xdr:rowOff>
    </xdr:from>
    <xdr:ext cx="184731" cy="655885"/>
    <xdr:sp macro="" textlink="">
      <xdr:nvSpPr>
        <xdr:cNvPr id="440" name="Rectángulo 8">
          <a:extLst>
            <a:ext uri="{FF2B5EF4-FFF2-40B4-BE49-F238E27FC236}">
              <a16:creationId xmlns:a16="http://schemas.microsoft.com/office/drawing/2014/main" id="{00000000-0008-0000-0600-0000B8010000}"/>
            </a:ext>
          </a:extLst>
        </xdr:cNvPr>
        <xdr:cNvSpPr/>
      </xdr:nvSpPr>
      <xdr:spPr>
        <a:xfrm>
          <a:off x="97227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959783</xdr:colOff>
      <xdr:row>0</xdr:row>
      <xdr:rowOff>0</xdr:rowOff>
    </xdr:from>
    <xdr:ext cx="184731" cy="655885"/>
    <xdr:sp macro="" textlink="">
      <xdr:nvSpPr>
        <xdr:cNvPr id="441" name="Rectángulo 440">
          <a:extLst>
            <a:ext uri="{FF2B5EF4-FFF2-40B4-BE49-F238E27FC236}">
              <a16:creationId xmlns:a16="http://schemas.microsoft.com/office/drawing/2014/main" id="{00000000-0008-0000-0600-0000B9010000}"/>
            </a:ext>
          </a:extLst>
        </xdr:cNvPr>
        <xdr:cNvSpPr/>
      </xdr:nvSpPr>
      <xdr:spPr>
        <a:xfrm>
          <a:off x="98751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0</xdr:row>
      <xdr:rowOff>0</xdr:rowOff>
    </xdr:from>
    <xdr:ext cx="184731" cy="655885"/>
    <xdr:sp macro="" textlink="">
      <xdr:nvSpPr>
        <xdr:cNvPr id="442" name="Rectángulo 8">
          <a:extLst>
            <a:ext uri="{FF2B5EF4-FFF2-40B4-BE49-F238E27FC236}">
              <a16:creationId xmlns:a16="http://schemas.microsoft.com/office/drawing/2014/main" id="{00000000-0008-0000-0600-0000BA010000}"/>
            </a:ext>
          </a:extLst>
        </xdr:cNvPr>
        <xdr:cNvSpPr/>
      </xdr:nvSpPr>
      <xdr:spPr>
        <a:xfrm>
          <a:off x="97227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0</xdr:row>
      <xdr:rowOff>0</xdr:rowOff>
    </xdr:from>
    <xdr:ext cx="184731" cy="655885"/>
    <xdr:sp macro="" textlink="">
      <xdr:nvSpPr>
        <xdr:cNvPr id="443" name="Rectángulo 8">
          <a:extLst>
            <a:ext uri="{FF2B5EF4-FFF2-40B4-BE49-F238E27FC236}">
              <a16:creationId xmlns:a16="http://schemas.microsoft.com/office/drawing/2014/main" id="{00000000-0008-0000-0600-0000BB010000}"/>
            </a:ext>
          </a:extLst>
        </xdr:cNvPr>
        <xdr:cNvSpPr/>
      </xdr:nvSpPr>
      <xdr:spPr>
        <a:xfrm>
          <a:off x="97227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959783</xdr:colOff>
      <xdr:row>0</xdr:row>
      <xdr:rowOff>0</xdr:rowOff>
    </xdr:from>
    <xdr:ext cx="184731" cy="655885"/>
    <xdr:sp macro="" textlink="">
      <xdr:nvSpPr>
        <xdr:cNvPr id="444" name="Rectángulo 443">
          <a:extLst>
            <a:ext uri="{FF2B5EF4-FFF2-40B4-BE49-F238E27FC236}">
              <a16:creationId xmlns:a16="http://schemas.microsoft.com/office/drawing/2014/main" id="{00000000-0008-0000-0600-0000BC010000}"/>
            </a:ext>
          </a:extLst>
        </xdr:cNvPr>
        <xdr:cNvSpPr/>
      </xdr:nvSpPr>
      <xdr:spPr>
        <a:xfrm>
          <a:off x="98751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0</xdr:row>
      <xdr:rowOff>0</xdr:rowOff>
    </xdr:from>
    <xdr:ext cx="184731" cy="655885"/>
    <xdr:sp macro="" textlink="">
      <xdr:nvSpPr>
        <xdr:cNvPr id="445" name="Rectángulo 444">
          <a:extLst>
            <a:ext uri="{FF2B5EF4-FFF2-40B4-BE49-F238E27FC236}">
              <a16:creationId xmlns:a16="http://schemas.microsoft.com/office/drawing/2014/main" id="{00000000-0008-0000-0600-0000BD010000}"/>
            </a:ext>
          </a:extLst>
        </xdr:cNvPr>
        <xdr:cNvSpPr/>
      </xdr:nvSpPr>
      <xdr:spPr>
        <a:xfrm>
          <a:off x="97227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0</xdr:row>
      <xdr:rowOff>0</xdr:rowOff>
    </xdr:from>
    <xdr:ext cx="184731" cy="655885"/>
    <xdr:sp macro="" textlink="">
      <xdr:nvSpPr>
        <xdr:cNvPr id="446" name="Rectángulo 8">
          <a:extLst>
            <a:ext uri="{FF2B5EF4-FFF2-40B4-BE49-F238E27FC236}">
              <a16:creationId xmlns:a16="http://schemas.microsoft.com/office/drawing/2014/main" id="{00000000-0008-0000-0600-0000BE010000}"/>
            </a:ext>
          </a:extLst>
        </xdr:cNvPr>
        <xdr:cNvSpPr/>
      </xdr:nvSpPr>
      <xdr:spPr>
        <a:xfrm>
          <a:off x="97227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959783</xdr:colOff>
      <xdr:row>0</xdr:row>
      <xdr:rowOff>0</xdr:rowOff>
    </xdr:from>
    <xdr:ext cx="184731" cy="655885"/>
    <xdr:sp macro="" textlink="">
      <xdr:nvSpPr>
        <xdr:cNvPr id="447" name="Rectángulo 446">
          <a:extLst>
            <a:ext uri="{FF2B5EF4-FFF2-40B4-BE49-F238E27FC236}">
              <a16:creationId xmlns:a16="http://schemas.microsoft.com/office/drawing/2014/main" id="{00000000-0008-0000-0600-0000BF010000}"/>
            </a:ext>
          </a:extLst>
        </xdr:cNvPr>
        <xdr:cNvSpPr/>
      </xdr:nvSpPr>
      <xdr:spPr>
        <a:xfrm>
          <a:off x="98751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0</xdr:col>
      <xdr:colOff>959783</xdr:colOff>
      <xdr:row>0</xdr:row>
      <xdr:rowOff>0</xdr:rowOff>
    </xdr:from>
    <xdr:ext cx="184731" cy="655885"/>
    <xdr:sp macro="" textlink="">
      <xdr:nvSpPr>
        <xdr:cNvPr id="448" name="Rectángulo 447">
          <a:extLst>
            <a:ext uri="{FF2B5EF4-FFF2-40B4-BE49-F238E27FC236}">
              <a16:creationId xmlns:a16="http://schemas.microsoft.com/office/drawing/2014/main" id="{00000000-0008-0000-0600-0000C0010000}"/>
            </a:ext>
          </a:extLst>
        </xdr:cNvPr>
        <xdr:cNvSpPr/>
      </xdr:nvSpPr>
      <xdr:spPr>
        <a:xfrm>
          <a:off x="9597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0</xdr:col>
      <xdr:colOff>959783</xdr:colOff>
      <xdr:row>0</xdr:row>
      <xdr:rowOff>0</xdr:rowOff>
    </xdr:from>
    <xdr:ext cx="184731" cy="655885"/>
    <xdr:sp macro="" textlink="">
      <xdr:nvSpPr>
        <xdr:cNvPr id="449" name="Rectángulo 448">
          <a:extLst>
            <a:ext uri="{FF2B5EF4-FFF2-40B4-BE49-F238E27FC236}">
              <a16:creationId xmlns:a16="http://schemas.microsoft.com/office/drawing/2014/main" id="{00000000-0008-0000-0600-0000C1010000}"/>
            </a:ext>
          </a:extLst>
        </xdr:cNvPr>
        <xdr:cNvSpPr/>
      </xdr:nvSpPr>
      <xdr:spPr>
        <a:xfrm>
          <a:off x="9597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2</xdr:col>
      <xdr:colOff>1066800</xdr:colOff>
      <xdr:row>6</xdr:row>
      <xdr:rowOff>19050</xdr:rowOff>
    </xdr:from>
    <xdr:ext cx="0" cy="38100"/>
    <xdr:sp macro="" textlink="">
      <xdr:nvSpPr>
        <xdr:cNvPr id="450" name="CuadroTexto 449">
          <a:extLst>
            <a:ext uri="{FF2B5EF4-FFF2-40B4-BE49-F238E27FC236}">
              <a16:creationId xmlns:a16="http://schemas.microsoft.com/office/drawing/2014/main" id="{00000000-0008-0000-0600-0000C2010000}"/>
            </a:ext>
          </a:extLst>
        </xdr:cNvPr>
        <xdr:cNvSpPr txBox="1"/>
      </xdr:nvSpPr>
      <xdr:spPr>
        <a:xfrm flipH="1">
          <a:off x="3295650" y="1333500"/>
          <a:ext cx="0" cy="38100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lvl="0" algn="ctr"/>
          <a:r>
            <a:rPr lang="es-MX" sz="1200" b="1">
              <a:solidFill>
                <a:sysClr val="windowText" lastClr="000000"/>
              </a:solidFill>
            </a:rPr>
            <a:t>ISLA 9: CAMBIO DE MIX POSICIONES 4, 5, 6 Y 7</a:t>
          </a:r>
        </a:p>
      </xdr:txBody>
    </xdr:sp>
    <xdr:clientData fLocksWithSheet="0"/>
  </xdr:oneCellAnchor>
  <xdr:oneCellAnchor>
    <xdr:from>
      <xdr:col>8</xdr:col>
      <xdr:colOff>800100</xdr:colOff>
      <xdr:row>11</xdr:row>
      <xdr:rowOff>104775</xdr:rowOff>
    </xdr:from>
    <xdr:ext cx="180975" cy="647700"/>
    <xdr:sp macro="" textlink="">
      <xdr:nvSpPr>
        <xdr:cNvPr id="451" name="Rectángulo 8">
          <a:extLst>
            <a:ext uri="{FF2B5EF4-FFF2-40B4-BE49-F238E27FC236}">
              <a16:creationId xmlns:a16="http://schemas.microsoft.com/office/drawing/2014/main" id="{00000000-0008-0000-0600-0000C3010000}"/>
            </a:ext>
          </a:extLst>
        </xdr:cNvPr>
        <xdr:cNvSpPr/>
      </xdr:nvSpPr>
      <xdr:spPr>
        <a:xfrm>
          <a:off x="9715500" y="251460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11</xdr:row>
      <xdr:rowOff>104775</xdr:rowOff>
    </xdr:from>
    <xdr:ext cx="180975" cy="647700"/>
    <xdr:sp macro="" textlink="">
      <xdr:nvSpPr>
        <xdr:cNvPr id="452" name="Rectángulo 8">
          <a:extLst>
            <a:ext uri="{FF2B5EF4-FFF2-40B4-BE49-F238E27FC236}">
              <a16:creationId xmlns:a16="http://schemas.microsoft.com/office/drawing/2014/main" id="{00000000-0008-0000-0600-0000C4010000}"/>
            </a:ext>
          </a:extLst>
        </xdr:cNvPr>
        <xdr:cNvSpPr/>
      </xdr:nvSpPr>
      <xdr:spPr>
        <a:xfrm>
          <a:off x="9715500" y="251460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11</xdr:row>
      <xdr:rowOff>57150</xdr:rowOff>
    </xdr:from>
    <xdr:ext cx="0" cy="561975"/>
    <xdr:sp macro="" textlink="">
      <xdr:nvSpPr>
        <xdr:cNvPr id="453" name="rect">
          <a:extLst>
            <a:ext uri="{FF2B5EF4-FFF2-40B4-BE49-F238E27FC236}">
              <a16:creationId xmlns:a16="http://schemas.microsoft.com/office/drawing/2014/main" id="{00000000-0008-0000-0600-0000C5010000}"/>
            </a:ext>
          </a:extLst>
        </xdr:cNvPr>
        <xdr:cNvSpPr/>
      </xdr:nvSpPr>
      <xdr:spPr>
        <a:xfrm>
          <a:off x="9715500" y="2466975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800100</xdr:colOff>
      <xdr:row>11</xdr:row>
      <xdr:rowOff>57150</xdr:rowOff>
    </xdr:from>
    <xdr:ext cx="0" cy="561975"/>
    <xdr:sp macro="" textlink="">
      <xdr:nvSpPr>
        <xdr:cNvPr id="454" name="rect">
          <a:extLst>
            <a:ext uri="{FF2B5EF4-FFF2-40B4-BE49-F238E27FC236}">
              <a16:creationId xmlns:a16="http://schemas.microsoft.com/office/drawing/2014/main" id="{00000000-0008-0000-0600-0000C6010000}"/>
            </a:ext>
          </a:extLst>
        </xdr:cNvPr>
        <xdr:cNvSpPr/>
      </xdr:nvSpPr>
      <xdr:spPr>
        <a:xfrm>
          <a:off x="9715500" y="2466975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952500</xdr:colOff>
      <xdr:row>13</xdr:row>
      <xdr:rowOff>219075</xdr:rowOff>
    </xdr:from>
    <xdr:ext cx="180975" cy="647700"/>
    <xdr:sp macro="" textlink="">
      <xdr:nvSpPr>
        <xdr:cNvPr id="455" name="Rectángulo 454">
          <a:extLst>
            <a:ext uri="{FF2B5EF4-FFF2-40B4-BE49-F238E27FC236}">
              <a16:creationId xmlns:a16="http://schemas.microsoft.com/office/drawing/2014/main" id="{00000000-0008-0000-0600-0000C7010000}"/>
            </a:ext>
          </a:extLst>
        </xdr:cNvPr>
        <xdr:cNvSpPr/>
      </xdr:nvSpPr>
      <xdr:spPr>
        <a:xfrm>
          <a:off x="9867900" y="306705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11</xdr:row>
      <xdr:rowOff>104775</xdr:rowOff>
    </xdr:from>
    <xdr:ext cx="180975" cy="647700"/>
    <xdr:sp macro="" textlink="">
      <xdr:nvSpPr>
        <xdr:cNvPr id="456" name="Rectángulo 8">
          <a:extLst>
            <a:ext uri="{FF2B5EF4-FFF2-40B4-BE49-F238E27FC236}">
              <a16:creationId xmlns:a16="http://schemas.microsoft.com/office/drawing/2014/main" id="{00000000-0008-0000-0600-0000C8010000}"/>
            </a:ext>
          </a:extLst>
        </xdr:cNvPr>
        <xdr:cNvSpPr/>
      </xdr:nvSpPr>
      <xdr:spPr>
        <a:xfrm>
          <a:off x="9715500" y="251460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11</xdr:row>
      <xdr:rowOff>104775</xdr:rowOff>
    </xdr:from>
    <xdr:ext cx="180975" cy="647700"/>
    <xdr:sp macro="" textlink="">
      <xdr:nvSpPr>
        <xdr:cNvPr id="457" name="Rectángulo 8">
          <a:extLst>
            <a:ext uri="{FF2B5EF4-FFF2-40B4-BE49-F238E27FC236}">
              <a16:creationId xmlns:a16="http://schemas.microsoft.com/office/drawing/2014/main" id="{00000000-0008-0000-0600-0000C9010000}"/>
            </a:ext>
          </a:extLst>
        </xdr:cNvPr>
        <xdr:cNvSpPr/>
      </xdr:nvSpPr>
      <xdr:spPr>
        <a:xfrm>
          <a:off x="9715500" y="251460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11</xdr:row>
      <xdr:rowOff>57150</xdr:rowOff>
    </xdr:from>
    <xdr:ext cx="0" cy="561975"/>
    <xdr:sp macro="" textlink="">
      <xdr:nvSpPr>
        <xdr:cNvPr id="458" name="rect">
          <a:extLst>
            <a:ext uri="{FF2B5EF4-FFF2-40B4-BE49-F238E27FC236}">
              <a16:creationId xmlns:a16="http://schemas.microsoft.com/office/drawing/2014/main" id="{00000000-0008-0000-0600-0000CA010000}"/>
            </a:ext>
          </a:extLst>
        </xdr:cNvPr>
        <xdr:cNvSpPr/>
      </xdr:nvSpPr>
      <xdr:spPr>
        <a:xfrm>
          <a:off x="9715500" y="2466975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800100</xdr:colOff>
      <xdr:row>11</xdr:row>
      <xdr:rowOff>57150</xdr:rowOff>
    </xdr:from>
    <xdr:ext cx="0" cy="561975"/>
    <xdr:sp macro="" textlink="">
      <xdr:nvSpPr>
        <xdr:cNvPr id="459" name="rect">
          <a:extLst>
            <a:ext uri="{FF2B5EF4-FFF2-40B4-BE49-F238E27FC236}">
              <a16:creationId xmlns:a16="http://schemas.microsoft.com/office/drawing/2014/main" id="{00000000-0008-0000-0600-0000CB010000}"/>
            </a:ext>
          </a:extLst>
        </xdr:cNvPr>
        <xdr:cNvSpPr/>
      </xdr:nvSpPr>
      <xdr:spPr>
        <a:xfrm>
          <a:off x="9715500" y="2466975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952500</xdr:colOff>
      <xdr:row>13</xdr:row>
      <xdr:rowOff>219075</xdr:rowOff>
    </xdr:from>
    <xdr:ext cx="180975" cy="647700"/>
    <xdr:sp macro="" textlink="">
      <xdr:nvSpPr>
        <xdr:cNvPr id="460" name="Rectángulo 8">
          <a:extLst>
            <a:ext uri="{FF2B5EF4-FFF2-40B4-BE49-F238E27FC236}">
              <a16:creationId xmlns:a16="http://schemas.microsoft.com/office/drawing/2014/main" id="{00000000-0008-0000-0600-0000CC010000}"/>
            </a:ext>
          </a:extLst>
        </xdr:cNvPr>
        <xdr:cNvSpPr/>
      </xdr:nvSpPr>
      <xdr:spPr>
        <a:xfrm>
          <a:off x="9867900" y="306705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11</xdr:row>
      <xdr:rowOff>104775</xdr:rowOff>
    </xdr:from>
    <xdr:ext cx="180975" cy="647700"/>
    <xdr:sp macro="" textlink="">
      <xdr:nvSpPr>
        <xdr:cNvPr id="461" name="Rectángulo 8">
          <a:extLst>
            <a:ext uri="{FF2B5EF4-FFF2-40B4-BE49-F238E27FC236}">
              <a16:creationId xmlns:a16="http://schemas.microsoft.com/office/drawing/2014/main" id="{00000000-0008-0000-0600-0000CD010000}"/>
            </a:ext>
          </a:extLst>
        </xdr:cNvPr>
        <xdr:cNvSpPr/>
      </xdr:nvSpPr>
      <xdr:spPr>
        <a:xfrm>
          <a:off x="9715500" y="251460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11</xdr:row>
      <xdr:rowOff>104775</xdr:rowOff>
    </xdr:from>
    <xdr:ext cx="180975" cy="647700"/>
    <xdr:sp macro="" textlink="">
      <xdr:nvSpPr>
        <xdr:cNvPr id="462" name="Rectángulo 8">
          <a:extLst>
            <a:ext uri="{FF2B5EF4-FFF2-40B4-BE49-F238E27FC236}">
              <a16:creationId xmlns:a16="http://schemas.microsoft.com/office/drawing/2014/main" id="{00000000-0008-0000-0600-0000CE010000}"/>
            </a:ext>
          </a:extLst>
        </xdr:cNvPr>
        <xdr:cNvSpPr/>
      </xdr:nvSpPr>
      <xdr:spPr>
        <a:xfrm>
          <a:off x="9715500" y="251460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11</xdr:row>
      <xdr:rowOff>57150</xdr:rowOff>
    </xdr:from>
    <xdr:ext cx="0" cy="561975"/>
    <xdr:sp macro="" textlink="">
      <xdr:nvSpPr>
        <xdr:cNvPr id="463" name="rect">
          <a:extLst>
            <a:ext uri="{FF2B5EF4-FFF2-40B4-BE49-F238E27FC236}">
              <a16:creationId xmlns:a16="http://schemas.microsoft.com/office/drawing/2014/main" id="{00000000-0008-0000-0600-0000CF010000}"/>
            </a:ext>
          </a:extLst>
        </xdr:cNvPr>
        <xdr:cNvSpPr/>
      </xdr:nvSpPr>
      <xdr:spPr>
        <a:xfrm>
          <a:off x="9715500" y="2466975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800100</xdr:colOff>
      <xdr:row>11</xdr:row>
      <xdr:rowOff>57150</xdr:rowOff>
    </xdr:from>
    <xdr:ext cx="0" cy="561975"/>
    <xdr:sp macro="" textlink="">
      <xdr:nvSpPr>
        <xdr:cNvPr id="464" name="rect">
          <a:extLst>
            <a:ext uri="{FF2B5EF4-FFF2-40B4-BE49-F238E27FC236}">
              <a16:creationId xmlns:a16="http://schemas.microsoft.com/office/drawing/2014/main" id="{00000000-0008-0000-0600-0000D0010000}"/>
            </a:ext>
          </a:extLst>
        </xdr:cNvPr>
        <xdr:cNvSpPr/>
      </xdr:nvSpPr>
      <xdr:spPr>
        <a:xfrm>
          <a:off x="9715500" y="2466975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952500</xdr:colOff>
      <xdr:row>13</xdr:row>
      <xdr:rowOff>219075</xdr:rowOff>
    </xdr:from>
    <xdr:ext cx="180975" cy="647700"/>
    <xdr:sp macro="" textlink="">
      <xdr:nvSpPr>
        <xdr:cNvPr id="465" name="Rectángulo 464">
          <a:extLst>
            <a:ext uri="{FF2B5EF4-FFF2-40B4-BE49-F238E27FC236}">
              <a16:creationId xmlns:a16="http://schemas.microsoft.com/office/drawing/2014/main" id="{00000000-0008-0000-0600-0000D1010000}"/>
            </a:ext>
          </a:extLst>
        </xdr:cNvPr>
        <xdr:cNvSpPr/>
      </xdr:nvSpPr>
      <xdr:spPr>
        <a:xfrm>
          <a:off x="9867900" y="306705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11</xdr:row>
      <xdr:rowOff>104775</xdr:rowOff>
    </xdr:from>
    <xdr:ext cx="180975" cy="647700"/>
    <xdr:sp macro="" textlink="">
      <xdr:nvSpPr>
        <xdr:cNvPr id="466" name="Rectángulo 8">
          <a:extLst>
            <a:ext uri="{FF2B5EF4-FFF2-40B4-BE49-F238E27FC236}">
              <a16:creationId xmlns:a16="http://schemas.microsoft.com/office/drawing/2014/main" id="{00000000-0008-0000-0600-0000D2010000}"/>
            </a:ext>
          </a:extLst>
        </xdr:cNvPr>
        <xdr:cNvSpPr/>
      </xdr:nvSpPr>
      <xdr:spPr>
        <a:xfrm>
          <a:off x="9715500" y="251460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11</xdr:row>
      <xdr:rowOff>104775</xdr:rowOff>
    </xdr:from>
    <xdr:ext cx="180975" cy="647700"/>
    <xdr:sp macro="" textlink="">
      <xdr:nvSpPr>
        <xdr:cNvPr id="467" name="Rectángulo 8">
          <a:extLst>
            <a:ext uri="{FF2B5EF4-FFF2-40B4-BE49-F238E27FC236}">
              <a16:creationId xmlns:a16="http://schemas.microsoft.com/office/drawing/2014/main" id="{00000000-0008-0000-0600-0000D3010000}"/>
            </a:ext>
          </a:extLst>
        </xdr:cNvPr>
        <xdr:cNvSpPr/>
      </xdr:nvSpPr>
      <xdr:spPr>
        <a:xfrm>
          <a:off x="9715500" y="251460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11</xdr:row>
      <xdr:rowOff>57150</xdr:rowOff>
    </xdr:from>
    <xdr:ext cx="0" cy="561975"/>
    <xdr:sp macro="" textlink="">
      <xdr:nvSpPr>
        <xdr:cNvPr id="468" name="rect">
          <a:extLst>
            <a:ext uri="{FF2B5EF4-FFF2-40B4-BE49-F238E27FC236}">
              <a16:creationId xmlns:a16="http://schemas.microsoft.com/office/drawing/2014/main" id="{00000000-0008-0000-0600-0000D4010000}"/>
            </a:ext>
          </a:extLst>
        </xdr:cNvPr>
        <xdr:cNvSpPr/>
      </xdr:nvSpPr>
      <xdr:spPr>
        <a:xfrm>
          <a:off x="9715500" y="2466975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800100</xdr:colOff>
      <xdr:row>11</xdr:row>
      <xdr:rowOff>57150</xdr:rowOff>
    </xdr:from>
    <xdr:ext cx="0" cy="561975"/>
    <xdr:sp macro="" textlink="">
      <xdr:nvSpPr>
        <xdr:cNvPr id="469" name="rect">
          <a:extLst>
            <a:ext uri="{FF2B5EF4-FFF2-40B4-BE49-F238E27FC236}">
              <a16:creationId xmlns:a16="http://schemas.microsoft.com/office/drawing/2014/main" id="{00000000-0008-0000-0600-0000D5010000}"/>
            </a:ext>
          </a:extLst>
        </xdr:cNvPr>
        <xdr:cNvSpPr/>
      </xdr:nvSpPr>
      <xdr:spPr>
        <a:xfrm>
          <a:off x="9715500" y="2466975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952500</xdr:colOff>
      <xdr:row>13</xdr:row>
      <xdr:rowOff>219075</xdr:rowOff>
    </xdr:from>
    <xdr:ext cx="180975" cy="647700"/>
    <xdr:sp macro="" textlink="">
      <xdr:nvSpPr>
        <xdr:cNvPr id="470" name="Rectángulo 8">
          <a:extLst>
            <a:ext uri="{FF2B5EF4-FFF2-40B4-BE49-F238E27FC236}">
              <a16:creationId xmlns:a16="http://schemas.microsoft.com/office/drawing/2014/main" id="{00000000-0008-0000-0600-0000D6010000}"/>
            </a:ext>
          </a:extLst>
        </xdr:cNvPr>
        <xdr:cNvSpPr/>
      </xdr:nvSpPr>
      <xdr:spPr>
        <a:xfrm>
          <a:off x="9867900" y="306705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11</xdr:row>
      <xdr:rowOff>104775</xdr:rowOff>
    </xdr:from>
    <xdr:ext cx="180975" cy="647700"/>
    <xdr:sp macro="" textlink="">
      <xdr:nvSpPr>
        <xdr:cNvPr id="471" name="Rectángulo 8">
          <a:extLst>
            <a:ext uri="{FF2B5EF4-FFF2-40B4-BE49-F238E27FC236}">
              <a16:creationId xmlns:a16="http://schemas.microsoft.com/office/drawing/2014/main" id="{00000000-0008-0000-0600-0000D7010000}"/>
            </a:ext>
          </a:extLst>
        </xdr:cNvPr>
        <xdr:cNvSpPr/>
      </xdr:nvSpPr>
      <xdr:spPr>
        <a:xfrm>
          <a:off x="9715500" y="251460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11</xdr:row>
      <xdr:rowOff>104775</xdr:rowOff>
    </xdr:from>
    <xdr:ext cx="180975" cy="647700"/>
    <xdr:sp macro="" textlink="">
      <xdr:nvSpPr>
        <xdr:cNvPr id="472" name="Rectángulo 471">
          <a:extLst>
            <a:ext uri="{FF2B5EF4-FFF2-40B4-BE49-F238E27FC236}">
              <a16:creationId xmlns:a16="http://schemas.microsoft.com/office/drawing/2014/main" id="{00000000-0008-0000-0600-0000D8010000}"/>
            </a:ext>
          </a:extLst>
        </xdr:cNvPr>
        <xdr:cNvSpPr/>
      </xdr:nvSpPr>
      <xdr:spPr>
        <a:xfrm>
          <a:off x="9715500" y="251460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11</xdr:row>
      <xdr:rowOff>57150</xdr:rowOff>
    </xdr:from>
    <xdr:ext cx="0" cy="561975"/>
    <xdr:sp macro="" textlink="">
      <xdr:nvSpPr>
        <xdr:cNvPr id="473" name="rect">
          <a:extLst>
            <a:ext uri="{FF2B5EF4-FFF2-40B4-BE49-F238E27FC236}">
              <a16:creationId xmlns:a16="http://schemas.microsoft.com/office/drawing/2014/main" id="{00000000-0008-0000-0600-0000D9010000}"/>
            </a:ext>
          </a:extLst>
        </xdr:cNvPr>
        <xdr:cNvSpPr/>
      </xdr:nvSpPr>
      <xdr:spPr>
        <a:xfrm>
          <a:off x="9715500" y="2466975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800100</xdr:colOff>
      <xdr:row>11</xdr:row>
      <xdr:rowOff>57150</xdr:rowOff>
    </xdr:from>
    <xdr:ext cx="0" cy="561975"/>
    <xdr:sp macro="" textlink="">
      <xdr:nvSpPr>
        <xdr:cNvPr id="474" name="rect">
          <a:extLst>
            <a:ext uri="{FF2B5EF4-FFF2-40B4-BE49-F238E27FC236}">
              <a16:creationId xmlns:a16="http://schemas.microsoft.com/office/drawing/2014/main" id="{00000000-0008-0000-0600-0000DA010000}"/>
            </a:ext>
          </a:extLst>
        </xdr:cNvPr>
        <xdr:cNvSpPr/>
      </xdr:nvSpPr>
      <xdr:spPr>
        <a:xfrm>
          <a:off x="9715500" y="2466975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952500</xdr:colOff>
      <xdr:row>13</xdr:row>
      <xdr:rowOff>219075</xdr:rowOff>
    </xdr:from>
    <xdr:ext cx="180975" cy="647700"/>
    <xdr:sp macro="" textlink="">
      <xdr:nvSpPr>
        <xdr:cNvPr id="475" name="Rectángulo 474">
          <a:extLst>
            <a:ext uri="{FF2B5EF4-FFF2-40B4-BE49-F238E27FC236}">
              <a16:creationId xmlns:a16="http://schemas.microsoft.com/office/drawing/2014/main" id="{00000000-0008-0000-0600-0000DB010000}"/>
            </a:ext>
          </a:extLst>
        </xdr:cNvPr>
        <xdr:cNvSpPr/>
      </xdr:nvSpPr>
      <xdr:spPr>
        <a:xfrm>
          <a:off x="9867900" y="306705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2</xdr:col>
      <xdr:colOff>1066800</xdr:colOff>
      <xdr:row>6</xdr:row>
      <xdr:rowOff>19050</xdr:rowOff>
    </xdr:from>
    <xdr:ext cx="0" cy="38100"/>
    <xdr:sp macro="" textlink="">
      <xdr:nvSpPr>
        <xdr:cNvPr id="476" name="CuadroTexto 475">
          <a:extLst>
            <a:ext uri="{FF2B5EF4-FFF2-40B4-BE49-F238E27FC236}">
              <a16:creationId xmlns:a16="http://schemas.microsoft.com/office/drawing/2014/main" id="{00000000-0008-0000-0600-0000DC010000}"/>
            </a:ext>
          </a:extLst>
        </xdr:cNvPr>
        <xdr:cNvSpPr txBox="1"/>
      </xdr:nvSpPr>
      <xdr:spPr>
        <a:xfrm flipH="1">
          <a:off x="3295650" y="1333500"/>
          <a:ext cx="0" cy="38100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lvl="0" algn="ctr"/>
          <a:r>
            <a:rPr lang="es-MX" sz="1200" b="1">
              <a:solidFill>
                <a:sysClr val="windowText" lastClr="000000"/>
              </a:solidFill>
            </a:rPr>
            <a:t>ISLA 9: CAMBIO DE MIX POSICIONES 4, 5, 6 Y 7</a:t>
          </a:r>
        </a:p>
      </xdr:txBody>
    </xdr:sp>
    <xdr:clientData fLocksWithSheet="0"/>
  </xdr:oneCellAnchor>
  <xdr:oneCellAnchor>
    <xdr:from>
      <xdr:col>8</xdr:col>
      <xdr:colOff>800100</xdr:colOff>
      <xdr:row>11</xdr:row>
      <xdr:rowOff>104775</xdr:rowOff>
    </xdr:from>
    <xdr:ext cx="180975" cy="647700"/>
    <xdr:sp macro="" textlink="">
      <xdr:nvSpPr>
        <xdr:cNvPr id="477" name="Rectángulo 8">
          <a:extLst>
            <a:ext uri="{FF2B5EF4-FFF2-40B4-BE49-F238E27FC236}">
              <a16:creationId xmlns:a16="http://schemas.microsoft.com/office/drawing/2014/main" id="{00000000-0008-0000-0600-0000DD010000}"/>
            </a:ext>
          </a:extLst>
        </xdr:cNvPr>
        <xdr:cNvSpPr/>
      </xdr:nvSpPr>
      <xdr:spPr>
        <a:xfrm>
          <a:off x="9715500" y="251460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11</xdr:row>
      <xdr:rowOff>104775</xdr:rowOff>
    </xdr:from>
    <xdr:ext cx="180975" cy="647700"/>
    <xdr:sp macro="" textlink="">
      <xdr:nvSpPr>
        <xdr:cNvPr id="478" name="Rectángulo 8">
          <a:extLst>
            <a:ext uri="{FF2B5EF4-FFF2-40B4-BE49-F238E27FC236}">
              <a16:creationId xmlns:a16="http://schemas.microsoft.com/office/drawing/2014/main" id="{00000000-0008-0000-0600-0000DE010000}"/>
            </a:ext>
          </a:extLst>
        </xdr:cNvPr>
        <xdr:cNvSpPr/>
      </xdr:nvSpPr>
      <xdr:spPr>
        <a:xfrm>
          <a:off x="9715500" y="251460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11</xdr:row>
      <xdr:rowOff>57150</xdr:rowOff>
    </xdr:from>
    <xdr:ext cx="0" cy="561975"/>
    <xdr:sp macro="" textlink="">
      <xdr:nvSpPr>
        <xdr:cNvPr id="479" name="rect">
          <a:extLst>
            <a:ext uri="{FF2B5EF4-FFF2-40B4-BE49-F238E27FC236}">
              <a16:creationId xmlns:a16="http://schemas.microsoft.com/office/drawing/2014/main" id="{00000000-0008-0000-0600-0000DF010000}"/>
            </a:ext>
          </a:extLst>
        </xdr:cNvPr>
        <xdr:cNvSpPr/>
      </xdr:nvSpPr>
      <xdr:spPr>
        <a:xfrm>
          <a:off x="9715500" y="2466975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800100</xdr:colOff>
      <xdr:row>11</xdr:row>
      <xdr:rowOff>57150</xdr:rowOff>
    </xdr:from>
    <xdr:ext cx="0" cy="561975"/>
    <xdr:sp macro="" textlink="">
      <xdr:nvSpPr>
        <xdr:cNvPr id="480" name="rect">
          <a:extLst>
            <a:ext uri="{FF2B5EF4-FFF2-40B4-BE49-F238E27FC236}">
              <a16:creationId xmlns:a16="http://schemas.microsoft.com/office/drawing/2014/main" id="{00000000-0008-0000-0600-0000E0010000}"/>
            </a:ext>
          </a:extLst>
        </xdr:cNvPr>
        <xdr:cNvSpPr/>
      </xdr:nvSpPr>
      <xdr:spPr>
        <a:xfrm>
          <a:off x="9715500" y="2466975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952500</xdr:colOff>
      <xdr:row>13</xdr:row>
      <xdr:rowOff>219075</xdr:rowOff>
    </xdr:from>
    <xdr:ext cx="180975" cy="647700"/>
    <xdr:sp macro="" textlink="">
      <xdr:nvSpPr>
        <xdr:cNvPr id="481" name="Rectángulo 8">
          <a:extLst>
            <a:ext uri="{FF2B5EF4-FFF2-40B4-BE49-F238E27FC236}">
              <a16:creationId xmlns:a16="http://schemas.microsoft.com/office/drawing/2014/main" id="{00000000-0008-0000-0600-0000E1010000}"/>
            </a:ext>
          </a:extLst>
        </xdr:cNvPr>
        <xdr:cNvSpPr/>
      </xdr:nvSpPr>
      <xdr:spPr>
        <a:xfrm>
          <a:off x="9867900" y="306705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11</xdr:row>
      <xdr:rowOff>104775</xdr:rowOff>
    </xdr:from>
    <xdr:ext cx="180975" cy="647700"/>
    <xdr:sp macro="" textlink="">
      <xdr:nvSpPr>
        <xdr:cNvPr id="482" name="Rectángulo 8">
          <a:extLst>
            <a:ext uri="{FF2B5EF4-FFF2-40B4-BE49-F238E27FC236}">
              <a16:creationId xmlns:a16="http://schemas.microsoft.com/office/drawing/2014/main" id="{00000000-0008-0000-0600-0000E2010000}"/>
            </a:ext>
          </a:extLst>
        </xdr:cNvPr>
        <xdr:cNvSpPr/>
      </xdr:nvSpPr>
      <xdr:spPr>
        <a:xfrm>
          <a:off x="9715500" y="251460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11</xdr:row>
      <xdr:rowOff>104775</xdr:rowOff>
    </xdr:from>
    <xdr:ext cx="180975" cy="647700"/>
    <xdr:sp macro="" textlink="">
      <xdr:nvSpPr>
        <xdr:cNvPr id="483" name="Rectángulo 8">
          <a:extLst>
            <a:ext uri="{FF2B5EF4-FFF2-40B4-BE49-F238E27FC236}">
              <a16:creationId xmlns:a16="http://schemas.microsoft.com/office/drawing/2014/main" id="{00000000-0008-0000-0600-0000E3010000}"/>
            </a:ext>
          </a:extLst>
        </xdr:cNvPr>
        <xdr:cNvSpPr/>
      </xdr:nvSpPr>
      <xdr:spPr>
        <a:xfrm>
          <a:off x="9715500" y="251460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11</xdr:row>
      <xdr:rowOff>57150</xdr:rowOff>
    </xdr:from>
    <xdr:ext cx="0" cy="561975"/>
    <xdr:sp macro="" textlink="">
      <xdr:nvSpPr>
        <xdr:cNvPr id="484" name="rect">
          <a:extLst>
            <a:ext uri="{FF2B5EF4-FFF2-40B4-BE49-F238E27FC236}">
              <a16:creationId xmlns:a16="http://schemas.microsoft.com/office/drawing/2014/main" id="{00000000-0008-0000-0600-0000E4010000}"/>
            </a:ext>
          </a:extLst>
        </xdr:cNvPr>
        <xdr:cNvSpPr/>
      </xdr:nvSpPr>
      <xdr:spPr>
        <a:xfrm>
          <a:off x="9715500" y="2466975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800100</xdr:colOff>
      <xdr:row>11</xdr:row>
      <xdr:rowOff>57150</xdr:rowOff>
    </xdr:from>
    <xdr:ext cx="0" cy="561975"/>
    <xdr:sp macro="" textlink="">
      <xdr:nvSpPr>
        <xdr:cNvPr id="485" name="rect">
          <a:extLst>
            <a:ext uri="{FF2B5EF4-FFF2-40B4-BE49-F238E27FC236}">
              <a16:creationId xmlns:a16="http://schemas.microsoft.com/office/drawing/2014/main" id="{00000000-0008-0000-0600-0000E5010000}"/>
            </a:ext>
          </a:extLst>
        </xdr:cNvPr>
        <xdr:cNvSpPr/>
      </xdr:nvSpPr>
      <xdr:spPr>
        <a:xfrm>
          <a:off x="9715500" y="2466975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952500</xdr:colOff>
      <xdr:row>13</xdr:row>
      <xdr:rowOff>219075</xdr:rowOff>
    </xdr:from>
    <xdr:ext cx="180975" cy="647700"/>
    <xdr:sp macro="" textlink="">
      <xdr:nvSpPr>
        <xdr:cNvPr id="486" name="Rectángulo 485">
          <a:extLst>
            <a:ext uri="{FF2B5EF4-FFF2-40B4-BE49-F238E27FC236}">
              <a16:creationId xmlns:a16="http://schemas.microsoft.com/office/drawing/2014/main" id="{00000000-0008-0000-0600-0000E6010000}"/>
            </a:ext>
          </a:extLst>
        </xdr:cNvPr>
        <xdr:cNvSpPr/>
      </xdr:nvSpPr>
      <xdr:spPr>
        <a:xfrm>
          <a:off x="9867900" y="306705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11</xdr:row>
      <xdr:rowOff>104775</xdr:rowOff>
    </xdr:from>
    <xdr:ext cx="180975" cy="647700"/>
    <xdr:sp macro="" textlink="">
      <xdr:nvSpPr>
        <xdr:cNvPr id="487" name="Rectángulo 8">
          <a:extLst>
            <a:ext uri="{FF2B5EF4-FFF2-40B4-BE49-F238E27FC236}">
              <a16:creationId xmlns:a16="http://schemas.microsoft.com/office/drawing/2014/main" id="{00000000-0008-0000-0600-0000E7010000}"/>
            </a:ext>
          </a:extLst>
        </xdr:cNvPr>
        <xdr:cNvSpPr/>
      </xdr:nvSpPr>
      <xdr:spPr>
        <a:xfrm>
          <a:off x="9715500" y="251460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11</xdr:row>
      <xdr:rowOff>104775</xdr:rowOff>
    </xdr:from>
    <xdr:ext cx="180975" cy="647700"/>
    <xdr:sp macro="" textlink="">
      <xdr:nvSpPr>
        <xdr:cNvPr id="488" name="Rectángulo 8">
          <a:extLst>
            <a:ext uri="{FF2B5EF4-FFF2-40B4-BE49-F238E27FC236}">
              <a16:creationId xmlns:a16="http://schemas.microsoft.com/office/drawing/2014/main" id="{00000000-0008-0000-0600-0000E8010000}"/>
            </a:ext>
          </a:extLst>
        </xdr:cNvPr>
        <xdr:cNvSpPr/>
      </xdr:nvSpPr>
      <xdr:spPr>
        <a:xfrm>
          <a:off x="9715500" y="251460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11</xdr:row>
      <xdr:rowOff>57150</xdr:rowOff>
    </xdr:from>
    <xdr:ext cx="0" cy="561975"/>
    <xdr:sp macro="" textlink="">
      <xdr:nvSpPr>
        <xdr:cNvPr id="489" name="rect">
          <a:extLst>
            <a:ext uri="{FF2B5EF4-FFF2-40B4-BE49-F238E27FC236}">
              <a16:creationId xmlns:a16="http://schemas.microsoft.com/office/drawing/2014/main" id="{00000000-0008-0000-0600-0000E9010000}"/>
            </a:ext>
          </a:extLst>
        </xdr:cNvPr>
        <xdr:cNvSpPr/>
      </xdr:nvSpPr>
      <xdr:spPr>
        <a:xfrm>
          <a:off x="9715500" y="2466975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800100</xdr:colOff>
      <xdr:row>11</xdr:row>
      <xdr:rowOff>57150</xdr:rowOff>
    </xdr:from>
    <xdr:ext cx="0" cy="561975"/>
    <xdr:sp macro="" textlink="">
      <xdr:nvSpPr>
        <xdr:cNvPr id="490" name="rect">
          <a:extLst>
            <a:ext uri="{FF2B5EF4-FFF2-40B4-BE49-F238E27FC236}">
              <a16:creationId xmlns:a16="http://schemas.microsoft.com/office/drawing/2014/main" id="{00000000-0008-0000-0600-0000EA010000}"/>
            </a:ext>
          </a:extLst>
        </xdr:cNvPr>
        <xdr:cNvSpPr/>
      </xdr:nvSpPr>
      <xdr:spPr>
        <a:xfrm>
          <a:off x="9715500" y="2466975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952500</xdr:colOff>
      <xdr:row>13</xdr:row>
      <xdr:rowOff>219075</xdr:rowOff>
    </xdr:from>
    <xdr:ext cx="180975" cy="647700"/>
    <xdr:sp macro="" textlink="">
      <xdr:nvSpPr>
        <xdr:cNvPr id="491" name="Rectángulo 8">
          <a:extLst>
            <a:ext uri="{FF2B5EF4-FFF2-40B4-BE49-F238E27FC236}">
              <a16:creationId xmlns:a16="http://schemas.microsoft.com/office/drawing/2014/main" id="{00000000-0008-0000-0600-0000EB010000}"/>
            </a:ext>
          </a:extLst>
        </xdr:cNvPr>
        <xdr:cNvSpPr/>
      </xdr:nvSpPr>
      <xdr:spPr>
        <a:xfrm>
          <a:off x="9867900" y="306705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807383</xdr:colOff>
      <xdr:row>11</xdr:row>
      <xdr:rowOff>111125</xdr:rowOff>
    </xdr:from>
    <xdr:ext cx="184731" cy="655885"/>
    <xdr:sp macro="" textlink="">
      <xdr:nvSpPr>
        <xdr:cNvPr id="492" name="Rectángulo 8">
          <a:extLst>
            <a:ext uri="{FF2B5EF4-FFF2-40B4-BE49-F238E27FC236}">
              <a16:creationId xmlns:a16="http://schemas.microsoft.com/office/drawing/2014/main" id="{00000000-0008-0000-0600-0000EC010000}"/>
            </a:ext>
          </a:extLst>
        </xdr:cNvPr>
        <xdr:cNvSpPr/>
      </xdr:nvSpPr>
      <xdr:spPr>
        <a:xfrm>
          <a:off x="9722783" y="252095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11</xdr:row>
      <xdr:rowOff>111125</xdr:rowOff>
    </xdr:from>
    <xdr:ext cx="184731" cy="655885"/>
    <xdr:sp macro="" textlink="">
      <xdr:nvSpPr>
        <xdr:cNvPr id="493" name="Rectángulo 8">
          <a:extLst>
            <a:ext uri="{FF2B5EF4-FFF2-40B4-BE49-F238E27FC236}">
              <a16:creationId xmlns:a16="http://schemas.microsoft.com/office/drawing/2014/main" id="{00000000-0008-0000-0600-0000ED010000}"/>
            </a:ext>
          </a:extLst>
        </xdr:cNvPr>
        <xdr:cNvSpPr/>
      </xdr:nvSpPr>
      <xdr:spPr>
        <a:xfrm>
          <a:off x="9722783" y="252095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twoCellAnchor>
    <xdr:from>
      <xdr:col>8</xdr:col>
      <xdr:colOff>803348</xdr:colOff>
      <xdr:row>11</xdr:row>
      <xdr:rowOff>62210</xdr:rowOff>
    </xdr:from>
    <xdr:to>
      <xdr:col>8</xdr:col>
      <xdr:colOff>535172</xdr:colOff>
      <xdr:row>13</xdr:row>
      <xdr:rowOff>228376</xdr:rowOff>
    </xdr:to>
    <xdr:sp macro="" textlink="">
      <xdr:nvSpPr>
        <xdr:cNvPr id="494" name="rect">
          <a:extLst>
            <a:ext uri="{FF2B5EF4-FFF2-40B4-BE49-F238E27FC236}">
              <a16:creationId xmlns:a16="http://schemas.microsoft.com/office/drawing/2014/main" id="{00000000-0008-0000-0600-0000EE010000}"/>
            </a:ext>
          </a:extLst>
        </xdr:cNvPr>
        <xdr:cNvSpPr/>
      </xdr:nvSpPr>
      <xdr:spPr>
        <a:xfrm>
          <a:off x="9718748" y="2472035"/>
          <a:ext cx="0" cy="594791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8</xdr:col>
      <xdr:colOff>803348</xdr:colOff>
      <xdr:row>11</xdr:row>
      <xdr:rowOff>62210</xdr:rowOff>
    </xdr:from>
    <xdr:to>
      <xdr:col>8</xdr:col>
      <xdr:colOff>535172</xdr:colOff>
      <xdr:row>13</xdr:row>
      <xdr:rowOff>228376</xdr:rowOff>
    </xdr:to>
    <xdr:sp macro="" textlink="">
      <xdr:nvSpPr>
        <xdr:cNvPr id="495" name="rect">
          <a:extLst>
            <a:ext uri="{FF2B5EF4-FFF2-40B4-BE49-F238E27FC236}">
              <a16:creationId xmlns:a16="http://schemas.microsoft.com/office/drawing/2014/main" id="{00000000-0008-0000-0600-0000EF010000}"/>
            </a:ext>
          </a:extLst>
        </xdr:cNvPr>
        <xdr:cNvSpPr/>
      </xdr:nvSpPr>
      <xdr:spPr>
        <a:xfrm>
          <a:off x="9718748" y="2472035"/>
          <a:ext cx="0" cy="594791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oneCellAnchor>
    <xdr:from>
      <xdr:col>8</xdr:col>
      <xdr:colOff>959783</xdr:colOff>
      <xdr:row>13</xdr:row>
      <xdr:rowOff>225425</xdr:rowOff>
    </xdr:from>
    <xdr:ext cx="184731" cy="655885"/>
    <xdr:sp macro="" textlink="">
      <xdr:nvSpPr>
        <xdr:cNvPr id="496" name="Rectángulo 495">
          <a:extLst>
            <a:ext uri="{FF2B5EF4-FFF2-40B4-BE49-F238E27FC236}">
              <a16:creationId xmlns:a16="http://schemas.microsoft.com/office/drawing/2014/main" id="{00000000-0008-0000-0600-0000F0010000}"/>
            </a:ext>
          </a:extLst>
        </xdr:cNvPr>
        <xdr:cNvSpPr/>
      </xdr:nvSpPr>
      <xdr:spPr>
        <a:xfrm>
          <a:off x="9875183" y="3063875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11</xdr:row>
      <xdr:rowOff>111125</xdr:rowOff>
    </xdr:from>
    <xdr:ext cx="184731" cy="655885"/>
    <xdr:sp macro="" textlink="">
      <xdr:nvSpPr>
        <xdr:cNvPr id="497" name="Rectángulo 496">
          <a:extLst>
            <a:ext uri="{FF2B5EF4-FFF2-40B4-BE49-F238E27FC236}">
              <a16:creationId xmlns:a16="http://schemas.microsoft.com/office/drawing/2014/main" id="{00000000-0008-0000-0600-0000F1010000}"/>
            </a:ext>
          </a:extLst>
        </xdr:cNvPr>
        <xdr:cNvSpPr/>
      </xdr:nvSpPr>
      <xdr:spPr>
        <a:xfrm>
          <a:off x="9722783" y="252095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11</xdr:row>
      <xdr:rowOff>111125</xdr:rowOff>
    </xdr:from>
    <xdr:ext cx="184731" cy="655885"/>
    <xdr:sp macro="" textlink="">
      <xdr:nvSpPr>
        <xdr:cNvPr id="498" name="Rectángulo 8">
          <a:extLst>
            <a:ext uri="{FF2B5EF4-FFF2-40B4-BE49-F238E27FC236}">
              <a16:creationId xmlns:a16="http://schemas.microsoft.com/office/drawing/2014/main" id="{00000000-0008-0000-0600-0000F2010000}"/>
            </a:ext>
          </a:extLst>
        </xdr:cNvPr>
        <xdr:cNvSpPr/>
      </xdr:nvSpPr>
      <xdr:spPr>
        <a:xfrm>
          <a:off x="9722783" y="252095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twoCellAnchor>
    <xdr:from>
      <xdr:col>8</xdr:col>
      <xdr:colOff>803348</xdr:colOff>
      <xdr:row>11</xdr:row>
      <xdr:rowOff>62210</xdr:rowOff>
    </xdr:from>
    <xdr:to>
      <xdr:col>8</xdr:col>
      <xdr:colOff>535172</xdr:colOff>
      <xdr:row>13</xdr:row>
      <xdr:rowOff>228376</xdr:rowOff>
    </xdr:to>
    <xdr:sp macro="" textlink="">
      <xdr:nvSpPr>
        <xdr:cNvPr id="499" name="rect">
          <a:extLst>
            <a:ext uri="{FF2B5EF4-FFF2-40B4-BE49-F238E27FC236}">
              <a16:creationId xmlns:a16="http://schemas.microsoft.com/office/drawing/2014/main" id="{00000000-0008-0000-0600-0000F3010000}"/>
            </a:ext>
          </a:extLst>
        </xdr:cNvPr>
        <xdr:cNvSpPr/>
      </xdr:nvSpPr>
      <xdr:spPr>
        <a:xfrm>
          <a:off x="9718748" y="2472035"/>
          <a:ext cx="0" cy="594791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8</xdr:col>
      <xdr:colOff>803348</xdr:colOff>
      <xdr:row>11</xdr:row>
      <xdr:rowOff>62210</xdr:rowOff>
    </xdr:from>
    <xdr:to>
      <xdr:col>8</xdr:col>
      <xdr:colOff>535172</xdr:colOff>
      <xdr:row>13</xdr:row>
      <xdr:rowOff>228376</xdr:rowOff>
    </xdr:to>
    <xdr:sp macro="" textlink="">
      <xdr:nvSpPr>
        <xdr:cNvPr id="500" name="rect">
          <a:extLst>
            <a:ext uri="{FF2B5EF4-FFF2-40B4-BE49-F238E27FC236}">
              <a16:creationId xmlns:a16="http://schemas.microsoft.com/office/drawing/2014/main" id="{00000000-0008-0000-0600-0000F4010000}"/>
            </a:ext>
          </a:extLst>
        </xdr:cNvPr>
        <xdr:cNvSpPr/>
      </xdr:nvSpPr>
      <xdr:spPr>
        <a:xfrm>
          <a:off x="9718748" y="2472035"/>
          <a:ext cx="0" cy="594791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oneCellAnchor>
    <xdr:from>
      <xdr:col>8</xdr:col>
      <xdr:colOff>959783</xdr:colOff>
      <xdr:row>13</xdr:row>
      <xdr:rowOff>225425</xdr:rowOff>
    </xdr:from>
    <xdr:ext cx="184731" cy="655885"/>
    <xdr:sp macro="" textlink="">
      <xdr:nvSpPr>
        <xdr:cNvPr id="501" name="Rectángulo 500">
          <a:extLst>
            <a:ext uri="{FF2B5EF4-FFF2-40B4-BE49-F238E27FC236}">
              <a16:creationId xmlns:a16="http://schemas.microsoft.com/office/drawing/2014/main" id="{00000000-0008-0000-0600-0000F5010000}"/>
            </a:ext>
          </a:extLst>
        </xdr:cNvPr>
        <xdr:cNvSpPr/>
      </xdr:nvSpPr>
      <xdr:spPr>
        <a:xfrm>
          <a:off x="9875183" y="3063875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11</xdr:row>
      <xdr:rowOff>111125</xdr:rowOff>
    </xdr:from>
    <xdr:ext cx="184731" cy="655885"/>
    <xdr:sp macro="" textlink="">
      <xdr:nvSpPr>
        <xdr:cNvPr id="502" name="Rectángulo 8">
          <a:extLst>
            <a:ext uri="{FF2B5EF4-FFF2-40B4-BE49-F238E27FC236}">
              <a16:creationId xmlns:a16="http://schemas.microsoft.com/office/drawing/2014/main" id="{00000000-0008-0000-0600-0000F6010000}"/>
            </a:ext>
          </a:extLst>
        </xdr:cNvPr>
        <xdr:cNvSpPr/>
      </xdr:nvSpPr>
      <xdr:spPr>
        <a:xfrm>
          <a:off x="9722783" y="252095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11</xdr:row>
      <xdr:rowOff>111125</xdr:rowOff>
    </xdr:from>
    <xdr:ext cx="184731" cy="655885"/>
    <xdr:sp macro="" textlink="">
      <xdr:nvSpPr>
        <xdr:cNvPr id="503" name="Rectángulo 8">
          <a:extLst>
            <a:ext uri="{FF2B5EF4-FFF2-40B4-BE49-F238E27FC236}">
              <a16:creationId xmlns:a16="http://schemas.microsoft.com/office/drawing/2014/main" id="{00000000-0008-0000-0600-0000F7010000}"/>
            </a:ext>
          </a:extLst>
        </xdr:cNvPr>
        <xdr:cNvSpPr/>
      </xdr:nvSpPr>
      <xdr:spPr>
        <a:xfrm>
          <a:off x="9722783" y="252095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twoCellAnchor>
    <xdr:from>
      <xdr:col>8</xdr:col>
      <xdr:colOff>803348</xdr:colOff>
      <xdr:row>11</xdr:row>
      <xdr:rowOff>62210</xdr:rowOff>
    </xdr:from>
    <xdr:to>
      <xdr:col>8</xdr:col>
      <xdr:colOff>535172</xdr:colOff>
      <xdr:row>13</xdr:row>
      <xdr:rowOff>228376</xdr:rowOff>
    </xdr:to>
    <xdr:sp macro="" textlink="">
      <xdr:nvSpPr>
        <xdr:cNvPr id="504" name="rect">
          <a:extLst>
            <a:ext uri="{FF2B5EF4-FFF2-40B4-BE49-F238E27FC236}">
              <a16:creationId xmlns:a16="http://schemas.microsoft.com/office/drawing/2014/main" id="{00000000-0008-0000-0600-0000F8010000}"/>
            </a:ext>
          </a:extLst>
        </xdr:cNvPr>
        <xdr:cNvSpPr/>
      </xdr:nvSpPr>
      <xdr:spPr>
        <a:xfrm>
          <a:off x="9718748" y="2472035"/>
          <a:ext cx="0" cy="594791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8</xdr:col>
      <xdr:colOff>803348</xdr:colOff>
      <xdr:row>11</xdr:row>
      <xdr:rowOff>62210</xdr:rowOff>
    </xdr:from>
    <xdr:to>
      <xdr:col>8</xdr:col>
      <xdr:colOff>535172</xdr:colOff>
      <xdr:row>13</xdr:row>
      <xdr:rowOff>228376</xdr:rowOff>
    </xdr:to>
    <xdr:sp macro="" textlink="">
      <xdr:nvSpPr>
        <xdr:cNvPr id="505" name="rect">
          <a:extLst>
            <a:ext uri="{FF2B5EF4-FFF2-40B4-BE49-F238E27FC236}">
              <a16:creationId xmlns:a16="http://schemas.microsoft.com/office/drawing/2014/main" id="{00000000-0008-0000-0600-0000F9010000}"/>
            </a:ext>
          </a:extLst>
        </xdr:cNvPr>
        <xdr:cNvSpPr/>
      </xdr:nvSpPr>
      <xdr:spPr>
        <a:xfrm>
          <a:off x="9718748" y="2472035"/>
          <a:ext cx="0" cy="594791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oneCellAnchor>
    <xdr:from>
      <xdr:col>8</xdr:col>
      <xdr:colOff>959783</xdr:colOff>
      <xdr:row>13</xdr:row>
      <xdr:rowOff>225425</xdr:rowOff>
    </xdr:from>
    <xdr:ext cx="184731" cy="655885"/>
    <xdr:sp macro="" textlink="">
      <xdr:nvSpPr>
        <xdr:cNvPr id="506" name="Rectángulo 505">
          <a:extLst>
            <a:ext uri="{FF2B5EF4-FFF2-40B4-BE49-F238E27FC236}">
              <a16:creationId xmlns:a16="http://schemas.microsoft.com/office/drawing/2014/main" id="{00000000-0008-0000-0600-0000FA010000}"/>
            </a:ext>
          </a:extLst>
        </xdr:cNvPr>
        <xdr:cNvSpPr/>
      </xdr:nvSpPr>
      <xdr:spPr>
        <a:xfrm>
          <a:off x="9875183" y="3063875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11</xdr:row>
      <xdr:rowOff>111125</xdr:rowOff>
    </xdr:from>
    <xdr:ext cx="184731" cy="655885"/>
    <xdr:sp macro="" textlink="">
      <xdr:nvSpPr>
        <xdr:cNvPr id="507" name="Rectángulo 506">
          <a:extLst>
            <a:ext uri="{FF2B5EF4-FFF2-40B4-BE49-F238E27FC236}">
              <a16:creationId xmlns:a16="http://schemas.microsoft.com/office/drawing/2014/main" id="{00000000-0008-0000-0600-0000FB010000}"/>
            </a:ext>
          </a:extLst>
        </xdr:cNvPr>
        <xdr:cNvSpPr/>
      </xdr:nvSpPr>
      <xdr:spPr>
        <a:xfrm>
          <a:off x="9722783" y="252095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11</xdr:row>
      <xdr:rowOff>111125</xdr:rowOff>
    </xdr:from>
    <xdr:ext cx="184731" cy="655885"/>
    <xdr:sp macro="" textlink="">
      <xdr:nvSpPr>
        <xdr:cNvPr id="508" name="Rectángulo 8">
          <a:extLst>
            <a:ext uri="{FF2B5EF4-FFF2-40B4-BE49-F238E27FC236}">
              <a16:creationId xmlns:a16="http://schemas.microsoft.com/office/drawing/2014/main" id="{00000000-0008-0000-0600-0000FC010000}"/>
            </a:ext>
          </a:extLst>
        </xdr:cNvPr>
        <xdr:cNvSpPr/>
      </xdr:nvSpPr>
      <xdr:spPr>
        <a:xfrm>
          <a:off x="9722783" y="252095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twoCellAnchor>
    <xdr:from>
      <xdr:col>8</xdr:col>
      <xdr:colOff>803348</xdr:colOff>
      <xdr:row>11</xdr:row>
      <xdr:rowOff>62210</xdr:rowOff>
    </xdr:from>
    <xdr:to>
      <xdr:col>8</xdr:col>
      <xdr:colOff>535172</xdr:colOff>
      <xdr:row>13</xdr:row>
      <xdr:rowOff>228376</xdr:rowOff>
    </xdr:to>
    <xdr:sp macro="" textlink="">
      <xdr:nvSpPr>
        <xdr:cNvPr id="509" name="rect">
          <a:extLst>
            <a:ext uri="{FF2B5EF4-FFF2-40B4-BE49-F238E27FC236}">
              <a16:creationId xmlns:a16="http://schemas.microsoft.com/office/drawing/2014/main" id="{00000000-0008-0000-0600-0000FD010000}"/>
            </a:ext>
          </a:extLst>
        </xdr:cNvPr>
        <xdr:cNvSpPr/>
      </xdr:nvSpPr>
      <xdr:spPr>
        <a:xfrm>
          <a:off x="9718748" y="2472035"/>
          <a:ext cx="0" cy="594791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8</xdr:col>
      <xdr:colOff>803348</xdr:colOff>
      <xdr:row>11</xdr:row>
      <xdr:rowOff>62210</xdr:rowOff>
    </xdr:from>
    <xdr:to>
      <xdr:col>8</xdr:col>
      <xdr:colOff>535172</xdr:colOff>
      <xdr:row>13</xdr:row>
      <xdr:rowOff>228376</xdr:rowOff>
    </xdr:to>
    <xdr:sp macro="" textlink="">
      <xdr:nvSpPr>
        <xdr:cNvPr id="510" name="rect">
          <a:extLst>
            <a:ext uri="{FF2B5EF4-FFF2-40B4-BE49-F238E27FC236}">
              <a16:creationId xmlns:a16="http://schemas.microsoft.com/office/drawing/2014/main" id="{00000000-0008-0000-0600-0000FE010000}"/>
            </a:ext>
          </a:extLst>
        </xdr:cNvPr>
        <xdr:cNvSpPr/>
      </xdr:nvSpPr>
      <xdr:spPr>
        <a:xfrm>
          <a:off x="9718748" y="2472035"/>
          <a:ext cx="0" cy="594791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oneCellAnchor>
    <xdr:from>
      <xdr:col>8</xdr:col>
      <xdr:colOff>959783</xdr:colOff>
      <xdr:row>13</xdr:row>
      <xdr:rowOff>225425</xdr:rowOff>
    </xdr:from>
    <xdr:ext cx="184731" cy="655885"/>
    <xdr:sp macro="" textlink="">
      <xdr:nvSpPr>
        <xdr:cNvPr id="511" name="Rectángulo 510">
          <a:extLst>
            <a:ext uri="{FF2B5EF4-FFF2-40B4-BE49-F238E27FC236}">
              <a16:creationId xmlns:a16="http://schemas.microsoft.com/office/drawing/2014/main" id="{00000000-0008-0000-0600-0000FF010000}"/>
            </a:ext>
          </a:extLst>
        </xdr:cNvPr>
        <xdr:cNvSpPr/>
      </xdr:nvSpPr>
      <xdr:spPr>
        <a:xfrm>
          <a:off x="9875183" y="3063875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0</xdr:col>
      <xdr:colOff>959783</xdr:colOff>
      <xdr:row>59</xdr:row>
      <xdr:rowOff>225425</xdr:rowOff>
    </xdr:from>
    <xdr:ext cx="184731" cy="655885"/>
    <xdr:sp macro="" textlink="">
      <xdr:nvSpPr>
        <xdr:cNvPr id="512" name="Rectángulo 511">
          <a:extLst>
            <a:ext uri="{FF2B5EF4-FFF2-40B4-BE49-F238E27FC236}">
              <a16:creationId xmlns:a16="http://schemas.microsoft.com/office/drawing/2014/main" id="{00000000-0008-0000-0600-000000020000}"/>
            </a:ext>
          </a:extLst>
        </xdr:cNvPr>
        <xdr:cNvSpPr/>
      </xdr:nvSpPr>
      <xdr:spPr>
        <a:xfrm>
          <a:off x="959783" y="13141325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0</xdr:col>
      <xdr:colOff>959783</xdr:colOff>
      <xdr:row>59</xdr:row>
      <xdr:rowOff>225425</xdr:rowOff>
    </xdr:from>
    <xdr:ext cx="184731" cy="655885"/>
    <xdr:sp macro="" textlink="">
      <xdr:nvSpPr>
        <xdr:cNvPr id="513" name="Rectángulo 512">
          <a:extLst>
            <a:ext uri="{FF2B5EF4-FFF2-40B4-BE49-F238E27FC236}">
              <a16:creationId xmlns:a16="http://schemas.microsoft.com/office/drawing/2014/main" id="{00000000-0008-0000-0600-000001020000}"/>
            </a:ext>
          </a:extLst>
        </xdr:cNvPr>
        <xdr:cNvSpPr/>
      </xdr:nvSpPr>
      <xdr:spPr>
        <a:xfrm>
          <a:off x="959783" y="13141325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2</xdr:col>
      <xdr:colOff>0</xdr:colOff>
      <xdr:row>3</xdr:row>
      <xdr:rowOff>0</xdr:rowOff>
    </xdr:from>
    <xdr:ext cx="184731" cy="655885"/>
    <xdr:sp macro="" textlink="">
      <xdr:nvSpPr>
        <xdr:cNvPr id="514" name="Rectángulo 513">
          <a:extLst>
            <a:ext uri="{FF2B5EF4-FFF2-40B4-BE49-F238E27FC236}">
              <a16:creationId xmlns:a16="http://schemas.microsoft.com/office/drawing/2014/main" id="{00000000-0008-0000-0600-000002020000}"/>
            </a:ext>
          </a:extLst>
        </xdr:cNvPr>
        <xdr:cNvSpPr/>
      </xdr:nvSpPr>
      <xdr:spPr>
        <a:xfrm>
          <a:off x="2228850" y="657225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twoCellAnchor>
    <xdr:from>
      <xdr:col>11</xdr:col>
      <xdr:colOff>498763</xdr:colOff>
      <xdr:row>2</xdr:row>
      <xdr:rowOff>44162</xdr:rowOff>
    </xdr:from>
    <xdr:to>
      <xdr:col>12</xdr:col>
      <xdr:colOff>1051214</xdr:colOff>
      <xdr:row>5</xdr:row>
      <xdr:rowOff>126423</xdr:rowOff>
    </xdr:to>
    <xdr:sp macro="" textlink="">
      <xdr:nvSpPr>
        <xdr:cNvPr id="515" name="CuadroTexto 514">
          <a:extLst>
            <a:ext uri="{FF2B5EF4-FFF2-40B4-BE49-F238E27FC236}">
              <a16:creationId xmlns:a16="http://schemas.microsoft.com/office/drawing/2014/main" id="{00000000-0008-0000-0600-000003020000}"/>
            </a:ext>
          </a:extLst>
        </xdr:cNvPr>
        <xdr:cNvSpPr txBox="1"/>
      </xdr:nvSpPr>
      <xdr:spPr>
        <a:xfrm>
          <a:off x="12757438" y="482312"/>
          <a:ext cx="1666876" cy="739486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200" b="1">
              <a:solidFill>
                <a:sysClr val="windowText" lastClr="000000"/>
              </a:solidFill>
            </a:rPr>
            <a:t>RETIRO DE TODAS LAS TERMINALES</a:t>
          </a:r>
        </a:p>
      </xdr:txBody>
    </xdr:sp>
    <xdr:clientData/>
  </xdr:twoCellAnchor>
  <xdr:twoCellAnchor>
    <xdr:from>
      <xdr:col>8</xdr:col>
      <xdr:colOff>1013113</xdr:colOff>
      <xdr:row>25</xdr:row>
      <xdr:rowOff>185304</xdr:rowOff>
    </xdr:from>
    <xdr:to>
      <xdr:col>10</xdr:col>
      <xdr:colOff>426028</xdr:colOff>
      <xdr:row>34</xdr:row>
      <xdr:rowOff>167986</xdr:rowOff>
    </xdr:to>
    <xdr:sp macro="" textlink="">
      <xdr:nvSpPr>
        <xdr:cNvPr id="516" name="CuadroTexto 515">
          <a:extLst>
            <a:ext uri="{FF2B5EF4-FFF2-40B4-BE49-F238E27FC236}">
              <a16:creationId xmlns:a16="http://schemas.microsoft.com/office/drawing/2014/main" id="{00000000-0008-0000-0600-000004020000}"/>
            </a:ext>
          </a:extLst>
        </xdr:cNvPr>
        <xdr:cNvSpPr txBox="1"/>
      </xdr:nvSpPr>
      <xdr:spPr>
        <a:xfrm>
          <a:off x="9928513" y="5662179"/>
          <a:ext cx="1641765" cy="1954357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200" b="1">
              <a:solidFill>
                <a:sysClr val="windowText" lastClr="000000"/>
              </a:solidFill>
            </a:rPr>
            <a:t>ISLA 2: CAMBIO</a:t>
          </a:r>
          <a:r>
            <a:rPr lang="es-MX" sz="1200" b="1" baseline="0">
              <a:solidFill>
                <a:sysClr val="windowText" lastClr="000000"/>
              </a:solidFill>
            </a:rPr>
            <a:t> DE MIX POSICIONES 1, 2, 3, 4 Y 5</a:t>
          </a:r>
        </a:p>
        <a:p>
          <a:pPr algn="ctr"/>
          <a:r>
            <a:rPr lang="es-MX" sz="1200" b="1" baseline="0">
              <a:solidFill>
                <a:sysClr val="windowText" lastClr="000000"/>
              </a:solidFill>
            </a:rPr>
            <a:t>MOVIMIENTO A NO FUMAR (FLECHA ROJA) POSICIONES 6, 7, 8, 9, 10 Y 11</a:t>
          </a:r>
          <a:endParaRPr lang="es-MX" sz="12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13</xdr:col>
      <xdr:colOff>51955</xdr:colOff>
      <xdr:row>27</xdr:row>
      <xdr:rowOff>190500</xdr:rowOff>
    </xdr:from>
    <xdr:to>
      <xdr:col>33</xdr:col>
      <xdr:colOff>1104900</xdr:colOff>
      <xdr:row>52</xdr:row>
      <xdr:rowOff>0</xdr:rowOff>
    </xdr:to>
    <xdr:cxnSp macro="">
      <xdr:nvCxnSpPr>
        <xdr:cNvPr id="517" name="Conector recto de flecha 516">
          <a:extLst>
            <a:ext uri="{FF2B5EF4-FFF2-40B4-BE49-F238E27FC236}">
              <a16:creationId xmlns:a16="http://schemas.microsoft.com/office/drawing/2014/main" id="{00000000-0008-0000-0600-000005020000}"/>
            </a:ext>
          </a:extLst>
        </xdr:cNvPr>
        <xdr:cNvCxnSpPr/>
      </xdr:nvCxnSpPr>
      <xdr:spPr>
        <a:xfrm>
          <a:off x="14539480" y="6105525"/>
          <a:ext cx="10911320" cy="5286375"/>
        </a:xfrm>
        <a:prstGeom prst="straightConnector1">
          <a:avLst/>
        </a:prstGeom>
        <a:ln w="381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207818</xdr:colOff>
      <xdr:row>10</xdr:row>
      <xdr:rowOff>103909</xdr:rowOff>
    </xdr:from>
    <xdr:to>
      <xdr:col>21</xdr:col>
      <xdr:colOff>744683</xdr:colOff>
      <xdr:row>17</xdr:row>
      <xdr:rowOff>86591</xdr:rowOff>
    </xdr:to>
    <xdr:sp macro="" textlink="">
      <xdr:nvSpPr>
        <xdr:cNvPr id="518" name="CuadroTexto 517">
          <a:extLst>
            <a:ext uri="{FF2B5EF4-FFF2-40B4-BE49-F238E27FC236}">
              <a16:creationId xmlns:a16="http://schemas.microsoft.com/office/drawing/2014/main" id="{00000000-0008-0000-0600-000006020000}"/>
            </a:ext>
          </a:extLst>
        </xdr:cNvPr>
        <xdr:cNvSpPr txBox="1"/>
      </xdr:nvSpPr>
      <xdr:spPr>
        <a:xfrm>
          <a:off x="22353443" y="2294659"/>
          <a:ext cx="70140" cy="1516207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200" b="1">
              <a:solidFill>
                <a:sysClr val="windowText" lastClr="000000"/>
              </a:solidFill>
            </a:rPr>
            <a:t>ISLA 1: CAMBIO</a:t>
          </a:r>
          <a:r>
            <a:rPr lang="es-MX" sz="1200" b="1" baseline="0">
              <a:solidFill>
                <a:sysClr val="windowText" lastClr="000000"/>
              </a:solidFill>
            </a:rPr>
            <a:t> DE MIX POSICIONES 6 Y 7 CON AJUSTE DE DENOMINACIÓN EN POSICIÓN 6</a:t>
          </a:r>
          <a:endParaRPr lang="es-MX" sz="1200" b="1">
            <a:solidFill>
              <a:sysClr val="windowText" lastClr="000000"/>
            </a:solidFill>
          </a:endParaRPr>
        </a:p>
      </xdr:txBody>
    </xdr:sp>
    <xdr:clientData/>
  </xdr:twoCellAnchor>
  <xdr:oneCellAnchor>
    <xdr:from>
      <xdr:col>38</xdr:col>
      <xdr:colOff>626918</xdr:colOff>
      <xdr:row>50</xdr:row>
      <xdr:rowOff>157597</xdr:rowOff>
    </xdr:from>
    <xdr:ext cx="1524000" cy="905739"/>
    <xdr:sp macro="" textlink="">
      <xdr:nvSpPr>
        <xdr:cNvPr id="519" name="CuadroTexto 518">
          <a:extLst>
            <a:ext uri="{FF2B5EF4-FFF2-40B4-BE49-F238E27FC236}">
              <a16:creationId xmlns:a16="http://schemas.microsoft.com/office/drawing/2014/main" id="{00000000-0008-0000-0600-000007020000}"/>
            </a:ext>
          </a:extLst>
        </xdr:cNvPr>
        <xdr:cNvSpPr txBox="1"/>
      </xdr:nvSpPr>
      <xdr:spPr>
        <a:xfrm>
          <a:off x="30544943" y="11111347"/>
          <a:ext cx="1524000" cy="905739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s-MX" sz="1200" b="1">
              <a:solidFill>
                <a:sysClr val="windowText" lastClr="000000"/>
              </a:solidFill>
            </a:rPr>
            <a:t>ISLA 4: CAMBIO DE MIX</a:t>
          </a:r>
          <a:r>
            <a:rPr lang="es-MX" sz="1200" b="1" baseline="0">
              <a:solidFill>
                <a:sysClr val="windowText" lastClr="000000"/>
              </a:solidFill>
            </a:rPr>
            <a:t> POSICIONES 4, 5, Y 6</a:t>
          </a:r>
          <a:endParaRPr lang="es-MX" sz="1200" b="1">
            <a:solidFill>
              <a:sysClr val="windowText" lastClr="000000"/>
            </a:solidFill>
          </a:endParaRPr>
        </a:p>
      </xdr:txBody>
    </xdr:sp>
    <xdr:clientData/>
  </xdr:oneCellAnchor>
  <xdr:oneCellAnchor>
    <xdr:from>
      <xdr:col>38</xdr:col>
      <xdr:colOff>665018</xdr:colOff>
      <xdr:row>59</xdr:row>
      <xdr:rowOff>169719</xdr:rowOff>
    </xdr:from>
    <xdr:ext cx="1524000" cy="905739"/>
    <xdr:sp macro="" textlink="">
      <xdr:nvSpPr>
        <xdr:cNvPr id="520" name="CuadroTexto 519">
          <a:extLst>
            <a:ext uri="{FF2B5EF4-FFF2-40B4-BE49-F238E27FC236}">
              <a16:creationId xmlns:a16="http://schemas.microsoft.com/office/drawing/2014/main" id="{00000000-0008-0000-0600-000008020000}"/>
            </a:ext>
          </a:extLst>
        </xdr:cNvPr>
        <xdr:cNvSpPr txBox="1"/>
      </xdr:nvSpPr>
      <xdr:spPr>
        <a:xfrm>
          <a:off x="30583043" y="13095144"/>
          <a:ext cx="1524000" cy="905739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s-MX" sz="1200" b="1">
              <a:solidFill>
                <a:sysClr val="windowText" lastClr="000000"/>
              </a:solidFill>
            </a:rPr>
            <a:t>ISLA 5: CAMBIO DE MIX</a:t>
          </a:r>
          <a:r>
            <a:rPr lang="es-MX" sz="1200" b="1" baseline="0">
              <a:solidFill>
                <a:sysClr val="windowText" lastClr="000000"/>
              </a:solidFill>
            </a:rPr>
            <a:t> POSICIONES 1, 2, Y 3</a:t>
          </a:r>
          <a:endParaRPr lang="es-MX" sz="1200" b="1">
            <a:solidFill>
              <a:sysClr val="windowText" lastClr="000000"/>
            </a:solidFill>
          </a:endParaRPr>
        </a:p>
      </xdr:txBody>
    </xdr:sp>
    <xdr:clientData/>
  </xdr:oneCellAnchor>
  <xdr:oneCellAnchor>
    <xdr:from>
      <xdr:col>30</xdr:col>
      <xdr:colOff>38100</xdr:colOff>
      <xdr:row>51</xdr:row>
      <xdr:rowOff>43297</xdr:rowOff>
    </xdr:from>
    <xdr:ext cx="3141518" cy="905739"/>
    <xdr:sp macro="" textlink="">
      <xdr:nvSpPr>
        <xdr:cNvPr id="521" name="CuadroTexto 520">
          <a:extLst>
            <a:ext uri="{FF2B5EF4-FFF2-40B4-BE49-F238E27FC236}">
              <a16:creationId xmlns:a16="http://schemas.microsoft.com/office/drawing/2014/main" id="{00000000-0008-0000-0600-000009020000}"/>
            </a:ext>
          </a:extLst>
        </xdr:cNvPr>
        <xdr:cNvSpPr txBox="1"/>
      </xdr:nvSpPr>
      <xdr:spPr>
        <a:xfrm>
          <a:off x="22993350" y="11216122"/>
          <a:ext cx="3141518" cy="905739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s-MX" sz="1200" b="1">
              <a:solidFill>
                <a:sysClr val="windowText" lastClr="000000"/>
              </a:solidFill>
            </a:rPr>
            <a:t>ISLA 3: RETIRO TODAS LAS TERMINALES </a:t>
          </a:r>
        </a:p>
        <a:p>
          <a:pPr algn="ctr"/>
          <a:r>
            <a:rPr lang="es-MX" sz="1200" b="1">
              <a:solidFill>
                <a:sysClr val="windowText" lastClr="000000"/>
              </a:solidFill>
            </a:rPr>
            <a:t>MOVIMIENTO DE TERMINALES CON CAMBIO DE MIX EN TODAS (FLEHCA ROJA)</a:t>
          </a:r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1066800</xdr:colOff>
      <xdr:row>0</xdr:row>
      <xdr:rowOff>0</xdr:rowOff>
    </xdr:from>
    <xdr:ext cx="0" cy="38100"/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 txBox="1"/>
      </xdr:nvSpPr>
      <xdr:spPr>
        <a:xfrm flipH="1">
          <a:off x="3295650" y="0"/>
          <a:ext cx="0" cy="38100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lvl="0" algn="ctr"/>
          <a:r>
            <a:rPr lang="es-MX" sz="1200" b="1">
              <a:solidFill>
                <a:sysClr val="windowText" lastClr="000000"/>
              </a:solidFill>
            </a:rPr>
            <a:t>ISLA 9: CAMBIO DE MIX POSICIONES 4, 5, 6 Y 7</a:t>
          </a: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3" name="Rectángulo 8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4" name="Rectángulo 8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5" name="rect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6" name="rect">
          <a:extLst>
            <a:ext uri="{FF2B5EF4-FFF2-40B4-BE49-F238E27FC236}">
              <a16:creationId xmlns:a16="http://schemas.microsoft.com/office/drawing/2014/main" id="{00000000-0008-0000-0800-00000600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952500</xdr:colOff>
      <xdr:row>0</xdr:row>
      <xdr:rowOff>0</xdr:rowOff>
    </xdr:from>
    <xdr:ext cx="180975" cy="647700"/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800-000007000000}"/>
            </a:ext>
          </a:extLst>
        </xdr:cNvPr>
        <xdr:cNvSpPr/>
      </xdr:nvSpPr>
      <xdr:spPr>
        <a:xfrm>
          <a:off x="98679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8" name="Rectángulo 8">
          <a:extLst>
            <a:ext uri="{FF2B5EF4-FFF2-40B4-BE49-F238E27FC236}">
              <a16:creationId xmlns:a16="http://schemas.microsoft.com/office/drawing/2014/main" id="{00000000-0008-0000-0800-00000800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800-00000900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10" name="rect">
          <a:extLst>
            <a:ext uri="{FF2B5EF4-FFF2-40B4-BE49-F238E27FC236}">
              <a16:creationId xmlns:a16="http://schemas.microsoft.com/office/drawing/2014/main" id="{00000000-0008-0000-0800-00000A00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11" name="rect">
          <a:extLst>
            <a:ext uri="{FF2B5EF4-FFF2-40B4-BE49-F238E27FC236}">
              <a16:creationId xmlns:a16="http://schemas.microsoft.com/office/drawing/2014/main" id="{00000000-0008-0000-0800-00000B00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952500</xdr:colOff>
      <xdr:row>0</xdr:row>
      <xdr:rowOff>0</xdr:rowOff>
    </xdr:from>
    <xdr:ext cx="180975" cy="647700"/>
    <xdr:sp macro="" textlink="">
      <xdr:nvSpPr>
        <xdr:cNvPr id="12" name="Rectángulo 8">
          <a:extLst>
            <a:ext uri="{FF2B5EF4-FFF2-40B4-BE49-F238E27FC236}">
              <a16:creationId xmlns:a16="http://schemas.microsoft.com/office/drawing/2014/main" id="{00000000-0008-0000-0800-00000C000000}"/>
            </a:ext>
          </a:extLst>
        </xdr:cNvPr>
        <xdr:cNvSpPr/>
      </xdr:nvSpPr>
      <xdr:spPr>
        <a:xfrm>
          <a:off x="98679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13" name="Rectángulo 8">
          <a:extLst>
            <a:ext uri="{FF2B5EF4-FFF2-40B4-BE49-F238E27FC236}">
              <a16:creationId xmlns:a16="http://schemas.microsoft.com/office/drawing/2014/main" id="{00000000-0008-0000-0800-00000D00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14" name="Rectángulo 8">
          <a:extLst>
            <a:ext uri="{FF2B5EF4-FFF2-40B4-BE49-F238E27FC236}">
              <a16:creationId xmlns:a16="http://schemas.microsoft.com/office/drawing/2014/main" id="{00000000-0008-0000-0800-00000E00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15" name="rect">
          <a:extLst>
            <a:ext uri="{FF2B5EF4-FFF2-40B4-BE49-F238E27FC236}">
              <a16:creationId xmlns:a16="http://schemas.microsoft.com/office/drawing/2014/main" id="{00000000-0008-0000-0800-00000F00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16" name="rect">
          <a:extLst>
            <a:ext uri="{FF2B5EF4-FFF2-40B4-BE49-F238E27FC236}">
              <a16:creationId xmlns:a16="http://schemas.microsoft.com/office/drawing/2014/main" id="{00000000-0008-0000-0800-00001000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952500</xdr:colOff>
      <xdr:row>0</xdr:row>
      <xdr:rowOff>0</xdr:rowOff>
    </xdr:from>
    <xdr:ext cx="180975" cy="647700"/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800-000011000000}"/>
            </a:ext>
          </a:extLst>
        </xdr:cNvPr>
        <xdr:cNvSpPr/>
      </xdr:nvSpPr>
      <xdr:spPr>
        <a:xfrm>
          <a:off x="98679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18" name="Rectángulo 8">
          <a:extLst>
            <a:ext uri="{FF2B5EF4-FFF2-40B4-BE49-F238E27FC236}">
              <a16:creationId xmlns:a16="http://schemas.microsoft.com/office/drawing/2014/main" id="{00000000-0008-0000-0800-00001200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19" name="Rectángulo 8">
          <a:extLst>
            <a:ext uri="{FF2B5EF4-FFF2-40B4-BE49-F238E27FC236}">
              <a16:creationId xmlns:a16="http://schemas.microsoft.com/office/drawing/2014/main" id="{00000000-0008-0000-0800-00001300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20" name="rect">
          <a:extLst>
            <a:ext uri="{FF2B5EF4-FFF2-40B4-BE49-F238E27FC236}">
              <a16:creationId xmlns:a16="http://schemas.microsoft.com/office/drawing/2014/main" id="{00000000-0008-0000-0800-00001400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21" name="rect">
          <a:extLst>
            <a:ext uri="{FF2B5EF4-FFF2-40B4-BE49-F238E27FC236}">
              <a16:creationId xmlns:a16="http://schemas.microsoft.com/office/drawing/2014/main" id="{00000000-0008-0000-0800-00001500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952500</xdr:colOff>
      <xdr:row>0</xdr:row>
      <xdr:rowOff>0</xdr:rowOff>
    </xdr:from>
    <xdr:ext cx="180975" cy="647700"/>
    <xdr:sp macro="" textlink="">
      <xdr:nvSpPr>
        <xdr:cNvPr id="22" name="Rectángulo 8">
          <a:extLst>
            <a:ext uri="{FF2B5EF4-FFF2-40B4-BE49-F238E27FC236}">
              <a16:creationId xmlns:a16="http://schemas.microsoft.com/office/drawing/2014/main" id="{00000000-0008-0000-0800-000016000000}"/>
            </a:ext>
          </a:extLst>
        </xdr:cNvPr>
        <xdr:cNvSpPr/>
      </xdr:nvSpPr>
      <xdr:spPr>
        <a:xfrm>
          <a:off x="98679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23" name="Rectángulo 8">
          <a:extLst>
            <a:ext uri="{FF2B5EF4-FFF2-40B4-BE49-F238E27FC236}">
              <a16:creationId xmlns:a16="http://schemas.microsoft.com/office/drawing/2014/main" id="{00000000-0008-0000-0800-00001700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800-00001800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25" name="rect">
          <a:extLst>
            <a:ext uri="{FF2B5EF4-FFF2-40B4-BE49-F238E27FC236}">
              <a16:creationId xmlns:a16="http://schemas.microsoft.com/office/drawing/2014/main" id="{00000000-0008-0000-0800-00001900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26" name="rect">
          <a:extLst>
            <a:ext uri="{FF2B5EF4-FFF2-40B4-BE49-F238E27FC236}">
              <a16:creationId xmlns:a16="http://schemas.microsoft.com/office/drawing/2014/main" id="{00000000-0008-0000-0800-00001A00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952500</xdr:colOff>
      <xdr:row>0</xdr:row>
      <xdr:rowOff>0</xdr:rowOff>
    </xdr:from>
    <xdr:ext cx="180975" cy="647700"/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800-00001B000000}"/>
            </a:ext>
          </a:extLst>
        </xdr:cNvPr>
        <xdr:cNvSpPr/>
      </xdr:nvSpPr>
      <xdr:spPr>
        <a:xfrm>
          <a:off x="98679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2</xdr:col>
      <xdr:colOff>1066800</xdr:colOff>
      <xdr:row>0</xdr:row>
      <xdr:rowOff>0</xdr:rowOff>
    </xdr:from>
    <xdr:ext cx="0" cy="38100"/>
    <xdr:sp macro="" textlink="">
      <xdr:nvSpPr>
        <xdr:cNvPr id="28" name="CuadroTexto 27">
          <a:extLst>
            <a:ext uri="{FF2B5EF4-FFF2-40B4-BE49-F238E27FC236}">
              <a16:creationId xmlns:a16="http://schemas.microsoft.com/office/drawing/2014/main" id="{00000000-0008-0000-0800-00001C000000}"/>
            </a:ext>
          </a:extLst>
        </xdr:cNvPr>
        <xdr:cNvSpPr txBox="1"/>
      </xdr:nvSpPr>
      <xdr:spPr>
        <a:xfrm flipH="1">
          <a:off x="3295650" y="0"/>
          <a:ext cx="0" cy="38100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lvl="0" algn="ctr"/>
          <a:r>
            <a:rPr lang="es-MX" sz="1200" b="1">
              <a:solidFill>
                <a:sysClr val="windowText" lastClr="000000"/>
              </a:solidFill>
            </a:rPr>
            <a:t>ISLA 9: CAMBIO DE MIX POSICIONES 4, 5, 6 Y 7</a:t>
          </a: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29" name="Rectángulo 8">
          <a:extLst>
            <a:ext uri="{FF2B5EF4-FFF2-40B4-BE49-F238E27FC236}">
              <a16:creationId xmlns:a16="http://schemas.microsoft.com/office/drawing/2014/main" id="{00000000-0008-0000-0800-00001D00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30" name="Rectángulo 8">
          <a:extLst>
            <a:ext uri="{FF2B5EF4-FFF2-40B4-BE49-F238E27FC236}">
              <a16:creationId xmlns:a16="http://schemas.microsoft.com/office/drawing/2014/main" id="{00000000-0008-0000-0800-00001E00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31" name="rect">
          <a:extLst>
            <a:ext uri="{FF2B5EF4-FFF2-40B4-BE49-F238E27FC236}">
              <a16:creationId xmlns:a16="http://schemas.microsoft.com/office/drawing/2014/main" id="{00000000-0008-0000-0800-00001F00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32" name="rect">
          <a:extLst>
            <a:ext uri="{FF2B5EF4-FFF2-40B4-BE49-F238E27FC236}">
              <a16:creationId xmlns:a16="http://schemas.microsoft.com/office/drawing/2014/main" id="{00000000-0008-0000-0800-00002000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952500</xdr:colOff>
      <xdr:row>0</xdr:row>
      <xdr:rowOff>0</xdr:rowOff>
    </xdr:from>
    <xdr:ext cx="180975" cy="647700"/>
    <xdr:sp macro="" textlink="">
      <xdr:nvSpPr>
        <xdr:cNvPr id="33" name="Rectángulo 8">
          <a:extLst>
            <a:ext uri="{FF2B5EF4-FFF2-40B4-BE49-F238E27FC236}">
              <a16:creationId xmlns:a16="http://schemas.microsoft.com/office/drawing/2014/main" id="{00000000-0008-0000-0800-000021000000}"/>
            </a:ext>
          </a:extLst>
        </xdr:cNvPr>
        <xdr:cNvSpPr/>
      </xdr:nvSpPr>
      <xdr:spPr>
        <a:xfrm>
          <a:off x="98679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34" name="Rectángulo 8">
          <a:extLst>
            <a:ext uri="{FF2B5EF4-FFF2-40B4-BE49-F238E27FC236}">
              <a16:creationId xmlns:a16="http://schemas.microsoft.com/office/drawing/2014/main" id="{00000000-0008-0000-0800-00002200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35" name="Rectángulo 8">
          <a:extLst>
            <a:ext uri="{FF2B5EF4-FFF2-40B4-BE49-F238E27FC236}">
              <a16:creationId xmlns:a16="http://schemas.microsoft.com/office/drawing/2014/main" id="{00000000-0008-0000-0800-00002300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36" name="rect">
          <a:extLst>
            <a:ext uri="{FF2B5EF4-FFF2-40B4-BE49-F238E27FC236}">
              <a16:creationId xmlns:a16="http://schemas.microsoft.com/office/drawing/2014/main" id="{00000000-0008-0000-0800-00002400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37" name="rect">
          <a:extLst>
            <a:ext uri="{FF2B5EF4-FFF2-40B4-BE49-F238E27FC236}">
              <a16:creationId xmlns:a16="http://schemas.microsoft.com/office/drawing/2014/main" id="{00000000-0008-0000-0800-00002500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952500</xdr:colOff>
      <xdr:row>0</xdr:row>
      <xdr:rowOff>0</xdr:rowOff>
    </xdr:from>
    <xdr:ext cx="180975" cy="647700"/>
    <xdr:sp macro="" textlink="">
      <xdr:nvSpPr>
        <xdr:cNvPr id="38" name="Rectángulo 37">
          <a:extLst>
            <a:ext uri="{FF2B5EF4-FFF2-40B4-BE49-F238E27FC236}">
              <a16:creationId xmlns:a16="http://schemas.microsoft.com/office/drawing/2014/main" id="{00000000-0008-0000-0800-000026000000}"/>
            </a:ext>
          </a:extLst>
        </xdr:cNvPr>
        <xdr:cNvSpPr/>
      </xdr:nvSpPr>
      <xdr:spPr>
        <a:xfrm>
          <a:off x="98679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39" name="Rectángulo 8">
          <a:extLst>
            <a:ext uri="{FF2B5EF4-FFF2-40B4-BE49-F238E27FC236}">
              <a16:creationId xmlns:a16="http://schemas.microsoft.com/office/drawing/2014/main" id="{00000000-0008-0000-0800-00002700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40" name="Rectángulo 8">
          <a:extLst>
            <a:ext uri="{FF2B5EF4-FFF2-40B4-BE49-F238E27FC236}">
              <a16:creationId xmlns:a16="http://schemas.microsoft.com/office/drawing/2014/main" id="{00000000-0008-0000-0800-00002800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41" name="rect">
          <a:extLst>
            <a:ext uri="{FF2B5EF4-FFF2-40B4-BE49-F238E27FC236}">
              <a16:creationId xmlns:a16="http://schemas.microsoft.com/office/drawing/2014/main" id="{00000000-0008-0000-0800-00002900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42" name="rect">
          <a:extLst>
            <a:ext uri="{FF2B5EF4-FFF2-40B4-BE49-F238E27FC236}">
              <a16:creationId xmlns:a16="http://schemas.microsoft.com/office/drawing/2014/main" id="{00000000-0008-0000-0800-00002A00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952500</xdr:colOff>
      <xdr:row>0</xdr:row>
      <xdr:rowOff>0</xdr:rowOff>
    </xdr:from>
    <xdr:ext cx="180975" cy="647700"/>
    <xdr:sp macro="" textlink="">
      <xdr:nvSpPr>
        <xdr:cNvPr id="43" name="Rectángulo 8">
          <a:extLst>
            <a:ext uri="{FF2B5EF4-FFF2-40B4-BE49-F238E27FC236}">
              <a16:creationId xmlns:a16="http://schemas.microsoft.com/office/drawing/2014/main" id="{00000000-0008-0000-0800-00002B000000}"/>
            </a:ext>
          </a:extLst>
        </xdr:cNvPr>
        <xdr:cNvSpPr/>
      </xdr:nvSpPr>
      <xdr:spPr>
        <a:xfrm>
          <a:off x="98679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807383</xdr:colOff>
      <xdr:row>0</xdr:row>
      <xdr:rowOff>0</xdr:rowOff>
    </xdr:from>
    <xdr:ext cx="184731" cy="655885"/>
    <xdr:sp macro="" textlink="">
      <xdr:nvSpPr>
        <xdr:cNvPr id="44" name="Rectángulo 8">
          <a:extLst>
            <a:ext uri="{FF2B5EF4-FFF2-40B4-BE49-F238E27FC236}">
              <a16:creationId xmlns:a16="http://schemas.microsoft.com/office/drawing/2014/main" id="{00000000-0008-0000-0800-00002C000000}"/>
            </a:ext>
          </a:extLst>
        </xdr:cNvPr>
        <xdr:cNvSpPr/>
      </xdr:nvSpPr>
      <xdr:spPr>
        <a:xfrm>
          <a:off x="97227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0</xdr:row>
      <xdr:rowOff>0</xdr:rowOff>
    </xdr:from>
    <xdr:ext cx="184731" cy="655885"/>
    <xdr:sp macro="" textlink="">
      <xdr:nvSpPr>
        <xdr:cNvPr id="45" name="Rectángulo 8">
          <a:extLst>
            <a:ext uri="{FF2B5EF4-FFF2-40B4-BE49-F238E27FC236}">
              <a16:creationId xmlns:a16="http://schemas.microsoft.com/office/drawing/2014/main" id="{00000000-0008-0000-0800-00002D000000}"/>
            </a:ext>
          </a:extLst>
        </xdr:cNvPr>
        <xdr:cNvSpPr/>
      </xdr:nvSpPr>
      <xdr:spPr>
        <a:xfrm>
          <a:off x="97227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959783</xdr:colOff>
      <xdr:row>0</xdr:row>
      <xdr:rowOff>0</xdr:rowOff>
    </xdr:from>
    <xdr:ext cx="184731" cy="655885"/>
    <xdr:sp macro="" textlink="">
      <xdr:nvSpPr>
        <xdr:cNvPr id="46" name="Rectángulo 45">
          <a:extLst>
            <a:ext uri="{FF2B5EF4-FFF2-40B4-BE49-F238E27FC236}">
              <a16:creationId xmlns:a16="http://schemas.microsoft.com/office/drawing/2014/main" id="{00000000-0008-0000-0800-00002E000000}"/>
            </a:ext>
          </a:extLst>
        </xdr:cNvPr>
        <xdr:cNvSpPr/>
      </xdr:nvSpPr>
      <xdr:spPr>
        <a:xfrm>
          <a:off x="98751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0</xdr:row>
      <xdr:rowOff>0</xdr:rowOff>
    </xdr:from>
    <xdr:ext cx="184731" cy="655885"/>
    <xdr:sp macro="" textlink="">
      <xdr:nvSpPr>
        <xdr:cNvPr id="47" name="Rectángulo 46">
          <a:extLst>
            <a:ext uri="{FF2B5EF4-FFF2-40B4-BE49-F238E27FC236}">
              <a16:creationId xmlns:a16="http://schemas.microsoft.com/office/drawing/2014/main" id="{00000000-0008-0000-0800-00002F000000}"/>
            </a:ext>
          </a:extLst>
        </xdr:cNvPr>
        <xdr:cNvSpPr/>
      </xdr:nvSpPr>
      <xdr:spPr>
        <a:xfrm>
          <a:off x="97227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0</xdr:row>
      <xdr:rowOff>0</xdr:rowOff>
    </xdr:from>
    <xdr:ext cx="184731" cy="655885"/>
    <xdr:sp macro="" textlink="">
      <xdr:nvSpPr>
        <xdr:cNvPr id="48" name="Rectángulo 8">
          <a:extLst>
            <a:ext uri="{FF2B5EF4-FFF2-40B4-BE49-F238E27FC236}">
              <a16:creationId xmlns:a16="http://schemas.microsoft.com/office/drawing/2014/main" id="{00000000-0008-0000-0800-000030000000}"/>
            </a:ext>
          </a:extLst>
        </xdr:cNvPr>
        <xdr:cNvSpPr/>
      </xdr:nvSpPr>
      <xdr:spPr>
        <a:xfrm>
          <a:off x="97227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959783</xdr:colOff>
      <xdr:row>0</xdr:row>
      <xdr:rowOff>0</xdr:rowOff>
    </xdr:from>
    <xdr:ext cx="184731" cy="655885"/>
    <xdr:sp macro="" textlink="">
      <xdr:nvSpPr>
        <xdr:cNvPr id="49" name="Rectángulo 48">
          <a:extLst>
            <a:ext uri="{FF2B5EF4-FFF2-40B4-BE49-F238E27FC236}">
              <a16:creationId xmlns:a16="http://schemas.microsoft.com/office/drawing/2014/main" id="{00000000-0008-0000-0800-000031000000}"/>
            </a:ext>
          </a:extLst>
        </xdr:cNvPr>
        <xdr:cNvSpPr/>
      </xdr:nvSpPr>
      <xdr:spPr>
        <a:xfrm>
          <a:off x="98751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0</xdr:row>
      <xdr:rowOff>0</xdr:rowOff>
    </xdr:from>
    <xdr:ext cx="184731" cy="655885"/>
    <xdr:sp macro="" textlink="">
      <xdr:nvSpPr>
        <xdr:cNvPr id="50" name="Rectángulo 8">
          <a:extLst>
            <a:ext uri="{FF2B5EF4-FFF2-40B4-BE49-F238E27FC236}">
              <a16:creationId xmlns:a16="http://schemas.microsoft.com/office/drawing/2014/main" id="{00000000-0008-0000-0800-000032000000}"/>
            </a:ext>
          </a:extLst>
        </xdr:cNvPr>
        <xdr:cNvSpPr/>
      </xdr:nvSpPr>
      <xdr:spPr>
        <a:xfrm>
          <a:off x="97227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0</xdr:row>
      <xdr:rowOff>0</xdr:rowOff>
    </xdr:from>
    <xdr:ext cx="184731" cy="655885"/>
    <xdr:sp macro="" textlink="">
      <xdr:nvSpPr>
        <xdr:cNvPr id="51" name="Rectángulo 8">
          <a:extLst>
            <a:ext uri="{FF2B5EF4-FFF2-40B4-BE49-F238E27FC236}">
              <a16:creationId xmlns:a16="http://schemas.microsoft.com/office/drawing/2014/main" id="{00000000-0008-0000-0800-000033000000}"/>
            </a:ext>
          </a:extLst>
        </xdr:cNvPr>
        <xdr:cNvSpPr/>
      </xdr:nvSpPr>
      <xdr:spPr>
        <a:xfrm>
          <a:off x="97227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959783</xdr:colOff>
      <xdr:row>0</xdr:row>
      <xdr:rowOff>0</xdr:rowOff>
    </xdr:from>
    <xdr:ext cx="184731" cy="655885"/>
    <xdr:sp macro="" textlink="">
      <xdr:nvSpPr>
        <xdr:cNvPr id="52" name="Rectángulo 51">
          <a:extLst>
            <a:ext uri="{FF2B5EF4-FFF2-40B4-BE49-F238E27FC236}">
              <a16:creationId xmlns:a16="http://schemas.microsoft.com/office/drawing/2014/main" id="{00000000-0008-0000-0800-000034000000}"/>
            </a:ext>
          </a:extLst>
        </xdr:cNvPr>
        <xdr:cNvSpPr/>
      </xdr:nvSpPr>
      <xdr:spPr>
        <a:xfrm>
          <a:off x="98751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0</xdr:row>
      <xdr:rowOff>0</xdr:rowOff>
    </xdr:from>
    <xdr:ext cx="184731" cy="655885"/>
    <xdr:sp macro="" textlink="">
      <xdr:nvSpPr>
        <xdr:cNvPr id="53" name="Rectángulo 52">
          <a:extLst>
            <a:ext uri="{FF2B5EF4-FFF2-40B4-BE49-F238E27FC236}">
              <a16:creationId xmlns:a16="http://schemas.microsoft.com/office/drawing/2014/main" id="{00000000-0008-0000-0800-000035000000}"/>
            </a:ext>
          </a:extLst>
        </xdr:cNvPr>
        <xdr:cNvSpPr/>
      </xdr:nvSpPr>
      <xdr:spPr>
        <a:xfrm>
          <a:off x="97227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0</xdr:row>
      <xdr:rowOff>0</xdr:rowOff>
    </xdr:from>
    <xdr:ext cx="184731" cy="655885"/>
    <xdr:sp macro="" textlink="">
      <xdr:nvSpPr>
        <xdr:cNvPr id="54" name="Rectángulo 8">
          <a:extLst>
            <a:ext uri="{FF2B5EF4-FFF2-40B4-BE49-F238E27FC236}">
              <a16:creationId xmlns:a16="http://schemas.microsoft.com/office/drawing/2014/main" id="{00000000-0008-0000-0800-000036000000}"/>
            </a:ext>
          </a:extLst>
        </xdr:cNvPr>
        <xdr:cNvSpPr/>
      </xdr:nvSpPr>
      <xdr:spPr>
        <a:xfrm>
          <a:off x="97227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959783</xdr:colOff>
      <xdr:row>0</xdr:row>
      <xdr:rowOff>0</xdr:rowOff>
    </xdr:from>
    <xdr:ext cx="184731" cy="655885"/>
    <xdr:sp macro="" textlink="">
      <xdr:nvSpPr>
        <xdr:cNvPr id="55" name="Rectángulo 54">
          <a:extLst>
            <a:ext uri="{FF2B5EF4-FFF2-40B4-BE49-F238E27FC236}">
              <a16:creationId xmlns:a16="http://schemas.microsoft.com/office/drawing/2014/main" id="{00000000-0008-0000-0800-000037000000}"/>
            </a:ext>
          </a:extLst>
        </xdr:cNvPr>
        <xdr:cNvSpPr/>
      </xdr:nvSpPr>
      <xdr:spPr>
        <a:xfrm>
          <a:off x="98751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0</xdr:col>
      <xdr:colOff>959783</xdr:colOff>
      <xdr:row>0</xdr:row>
      <xdr:rowOff>0</xdr:rowOff>
    </xdr:from>
    <xdr:ext cx="184731" cy="655885"/>
    <xdr:sp macro="" textlink="">
      <xdr:nvSpPr>
        <xdr:cNvPr id="56" name="Rectángulo 55">
          <a:extLst>
            <a:ext uri="{FF2B5EF4-FFF2-40B4-BE49-F238E27FC236}">
              <a16:creationId xmlns:a16="http://schemas.microsoft.com/office/drawing/2014/main" id="{00000000-0008-0000-0800-000038000000}"/>
            </a:ext>
          </a:extLst>
        </xdr:cNvPr>
        <xdr:cNvSpPr/>
      </xdr:nvSpPr>
      <xdr:spPr>
        <a:xfrm>
          <a:off x="9597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0</xdr:col>
      <xdr:colOff>959783</xdr:colOff>
      <xdr:row>0</xdr:row>
      <xdr:rowOff>0</xdr:rowOff>
    </xdr:from>
    <xdr:ext cx="184731" cy="655885"/>
    <xdr:sp macro="" textlink="">
      <xdr:nvSpPr>
        <xdr:cNvPr id="57" name="Rectángulo 56">
          <a:extLst>
            <a:ext uri="{FF2B5EF4-FFF2-40B4-BE49-F238E27FC236}">
              <a16:creationId xmlns:a16="http://schemas.microsoft.com/office/drawing/2014/main" id="{00000000-0008-0000-0800-000039000000}"/>
            </a:ext>
          </a:extLst>
        </xdr:cNvPr>
        <xdr:cNvSpPr/>
      </xdr:nvSpPr>
      <xdr:spPr>
        <a:xfrm>
          <a:off x="9597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2</xdr:col>
      <xdr:colOff>1066800</xdr:colOff>
      <xdr:row>0</xdr:row>
      <xdr:rowOff>0</xdr:rowOff>
    </xdr:from>
    <xdr:ext cx="0" cy="38100"/>
    <xdr:sp macro="" textlink="">
      <xdr:nvSpPr>
        <xdr:cNvPr id="58" name="CuadroTexto 57">
          <a:extLst>
            <a:ext uri="{FF2B5EF4-FFF2-40B4-BE49-F238E27FC236}">
              <a16:creationId xmlns:a16="http://schemas.microsoft.com/office/drawing/2014/main" id="{00000000-0008-0000-0800-00003A000000}"/>
            </a:ext>
          </a:extLst>
        </xdr:cNvPr>
        <xdr:cNvSpPr txBox="1"/>
      </xdr:nvSpPr>
      <xdr:spPr>
        <a:xfrm flipH="1">
          <a:off x="3295650" y="0"/>
          <a:ext cx="0" cy="38100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lvl="0" algn="ctr"/>
          <a:r>
            <a:rPr lang="es-MX" sz="1200" b="1">
              <a:solidFill>
                <a:sysClr val="windowText" lastClr="000000"/>
              </a:solidFill>
            </a:rPr>
            <a:t>ISLA 9: CAMBIO DE MIX POSICIONES 4, 5, 6 Y 7</a:t>
          </a: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59" name="Rectángulo 8">
          <a:extLst>
            <a:ext uri="{FF2B5EF4-FFF2-40B4-BE49-F238E27FC236}">
              <a16:creationId xmlns:a16="http://schemas.microsoft.com/office/drawing/2014/main" id="{00000000-0008-0000-0800-00003B00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60" name="Rectángulo 8">
          <a:extLst>
            <a:ext uri="{FF2B5EF4-FFF2-40B4-BE49-F238E27FC236}">
              <a16:creationId xmlns:a16="http://schemas.microsoft.com/office/drawing/2014/main" id="{00000000-0008-0000-0800-00003C00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61" name="rect">
          <a:extLst>
            <a:ext uri="{FF2B5EF4-FFF2-40B4-BE49-F238E27FC236}">
              <a16:creationId xmlns:a16="http://schemas.microsoft.com/office/drawing/2014/main" id="{00000000-0008-0000-0800-00003D00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62" name="rect">
          <a:extLst>
            <a:ext uri="{FF2B5EF4-FFF2-40B4-BE49-F238E27FC236}">
              <a16:creationId xmlns:a16="http://schemas.microsoft.com/office/drawing/2014/main" id="{00000000-0008-0000-0800-00003E00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952500</xdr:colOff>
      <xdr:row>0</xdr:row>
      <xdr:rowOff>0</xdr:rowOff>
    </xdr:from>
    <xdr:ext cx="180975" cy="647700"/>
    <xdr:sp macro="" textlink="">
      <xdr:nvSpPr>
        <xdr:cNvPr id="63" name="Rectángulo 62">
          <a:extLst>
            <a:ext uri="{FF2B5EF4-FFF2-40B4-BE49-F238E27FC236}">
              <a16:creationId xmlns:a16="http://schemas.microsoft.com/office/drawing/2014/main" id="{00000000-0008-0000-0800-00003F000000}"/>
            </a:ext>
          </a:extLst>
        </xdr:cNvPr>
        <xdr:cNvSpPr/>
      </xdr:nvSpPr>
      <xdr:spPr>
        <a:xfrm>
          <a:off x="98679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64" name="Rectángulo 8">
          <a:extLst>
            <a:ext uri="{FF2B5EF4-FFF2-40B4-BE49-F238E27FC236}">
              <a16:creationId xmlns:a16="http://schemas.microsoft.com/office/drawing/2014/main" id="{00000000-0008-0000-0800-00004000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65" name="Rectángulo 8">
          <a:extLst>
            <a:ext uri="{FF2B5EF4-FFF2-40B4-BE49-F238E27FC236}">
              <a16:creationId xmlns:a16="http://schemas.microsoft.com/office/drawing/2014/main" id="{00000000-0008-0000-0800-00004100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66" name="rect">
          <a:extLst>
            <a:ext uri="{FF2B5EF4-FFF2-40B4-BE49-F238E27FC236}">
              <a16:creationId xmlns:a16="http://schemas.microsoft.com/office/drawing/2014/main" id="{00000000-0008-0000-0800-00004200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67" name="rect">
          <a:extLst>
            <a:ext uri="{FF2B5EF4-FFF2-40B4-BE49-F238E27FC236}">
              <a16:creationId xmlns:a16="http://schemas.microsoft.com/office/drawing/2014/main" id="{00000000-0008-0000-0800-00004300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952500</xdr:colOff>
      <xdr:row>0</xdr:row>
      <xdr:rowOff>0</xdr:rowOff>
    </xdr:from>
    <xdr:ext cx="180975" cy="647700"/>
    <xdr:sp macro="" textlink="">
      <xdr:nvSpPr>
        <xdr:cNvPr id="68" name="Rectángulo 8">
          <a:extLst>
            <a:ext uri="{FF2B5EF4-FFF2-40B4-BE49-F238E27FC236}">
              <a16:creationId xmlns:a16="http://schemas.microsoft.com/office/drawing/2014/main" id="{00000000-0008-0000-0800-000044000000}"/>
            </a:ext>
          </a:extLst>
        </xdr:cNvPr>
        <xdr:cNvSpPr/>
      </xdr:nvSpPr>
      <xdr:spPr>
        <a:xfrm>
          <a:off x="98679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69" name="Rectángulo 8">
          <a:extLst>
            <a:ext uri="{FF2B5EF4-FFF2-40B4-BE49-F238E27FC236}">
              <a16:creationId xmlns:a16="http://schemas.microsoft.com/office/drawing/2014/main" id="{00000000-0008-0000-0800-00004500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70" name="Rectángulo 8">
          <a:extLst>
            <a:ext uri="{FF2B5EF4-FFF2-40B4-BE49-F238E27FC236}">
              <a16:creationId xmlns:a16="http://schemas.microsoft.com/office/drawing/2014/main" id="{00000000-0008-0000-0800-00004600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71" name="rect">
          <a:extLst>
            <a:ext uri="{FF2B5EF4-FFF2-40B4-BE49-F238E27FC236}">
              <a16:creationId xmlns:a16="http://schemas.microsoft.com/office/drawing/2014/main" id="{00000000-0008-0000-0800-00004700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72" name="rect">
          <a:extLst>
            <a:ext uri="{FF2B5EF4-FFF2-40B4-BE49-F238E27FC236}">
              <a16:creationId xmlns:a16="http://schemas.microsoft.com/office/drawing/2014/main" id="{00000000-0008-0000-0800-00004800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952500</xdr:colOff>
      <xdr:row>0</xdr:row>
      <xdr:rowOff>0</xdr:rowOff>
    </xdr:from>
    <xdr:ext cx="180975" cy="647700"/>
    <xdr:sp macro="" textlink="">
      <xdr:nvSpPr>
        <xdr:cNvPr id="73" name="Rectángulo 72">
          <a:extLst>
            <a:ext uri="{FF2B5EF4-FFF2-40B4-BE49-F238E27FC236}">
              <a16:creationId xmlns:a16="http://schemas.microsoft.com/office/drawing/2014/main" id="{00000000-0008-0000-0800-000049000000}"/>
            </a:ext>
          </a:extLst>
        </xdr:cNvPr>
        <xdr:cNvSpPr/>
      </xdr:nvSpPr>
      <xdr:spPr>
        <a:xfrm>
          <a:off x="98679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74" name="Rectángulo 8">
          <a:extLst>
            <a:ext uri="{FF2B5EF4-FFF2-40B4-BE49-F238E27FC236}">
              <a16:creationId xmlns:a16="http://schemas.microsoft.com/office/drawing/2014/main" id="{00000000-0008-0000-0800-00004A00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75" name="Rectángulo 8">
          <a:extLst>
            <a:ext uri="{FF2B5EF4-FFF2-40B4-BE49-F238E27FC236}">
              <a16:creationId xmlns:a16="http://schemas.microsoft.com/office/drawing/2014/main" id="{00000000-0008-0000-0800-00004B00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76" name="rect">
          <a:extLst>
            <a:ext uri="{FF2B5EF4-FFF2-40B4-BE49-F238E27FC236}">
              <a16:creationId xmlns:a16="http://schemas.microsoft.com/office/drawing/2014/main" id="{00000000-0008-0000-0800-00004C00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77" name="rect">
          <a:extLst>
            <a:ext uri="{FF2B5EF4-FFF2-40B4-BE49-F238E27FC236}">
              <a16:creationId xmlns:a16="http://schemas.microsoft.com/office/drawing/2014/main" id="{00000000-0008-0000-0800-00004D00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952500</xdr:colOff>
      <xdr:row>0</xdr:row>
      <xdr:rowOff>0</xdr:rowOff>
    </xdr:from>
    <xdr:ext cx="180975" cy="647700"/>
    <xdr:sp macro="" textlink="">
      <xdr:nvSpPr>
        <xdr:cNvPr id="78" name="Rectángulo 8">
          <a:extLst>
            <a:ext uri="{FF2B5EF4-FFF2-40B4-BE49-F238E27FC236}">
              <a16:creationId xmlns:a16="http://schemas.microsoft.com/office/drawing/2014/main" id="{00000000-0008-0000-0800-00004E000000}"/>
            </a:ext>
          </a:extLst>
        </xdr:cNvPr>
        <xdr:cNvSpPr/>
      </xdr:nvSpPr>
      <xdr:spPr>
        <a:xfrm>
          <a:off x="98679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79" name="Rectángulo 8">
          <a:extLst>
            <a:ext uri="{FF2B5EF4-FFF2-40B4-BE49-F238E27FC236}">
              <a16:creationId xmlns:a16="http://schemas.microsoft.com/office/drawing/2014/main" id="{00000000-0008-0000-0800-00004F00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80" name="Rectángulo 79">
          <a:extLst>
            <a:ext uri="{FF2B5EF4-FFF2-40B4-BE49-F238E27FC236}">
              <a16:creationId xmlns:a16="http://schemas.microsoft.com/office/drawing/2014/main" id="{00000000-0008-0000-0800-00005000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81" name="rect">
          <a:extLst>
            <a:ext uri="{FF2B5EF4-FFF2-40B4-BE49-F238E27FC236}">
              <a16:creationId xmlns:a16="http://schemas.microsoft.com/office/drawing/2014/main" id="{00000000-0008-0000-0800-00005100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82" name="rect">
          <a:extLst>
            <a:ext uri="{FF2B5EF4-FFF2-40B4-BE49-F238E27FC236}">
              <a16:creationId xmlns:a16="http://schemas.microsoft.com/office/drawing/2014/main" id="{00000000-0008-0000-0800-00005200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952500</xdr:colOff>
      <xdr:row>0</xdr:row>
      <xdr:rowOff>0</xdr:rowOff>
    </xdr:from>
    <xdr:ext cx="180975" cy="647700"/>
    <xdr:sp macro="" textlink="">
      <xdr:nvSpPr>
        <xdr:cNvPr id="83" name="Rectángulo 82">
          <a:extLst>
            <a:ext uri="{FF2B5EF4-FFF2-40B4-BE49-F238E27FC236}">
              <a16:creationId xmlns:a16="http://schemas.microsoft.com/office/drawing/2014/main" id="{00000000-0008-0000-0800-000053000000}"/>
            </a:ext>
          </a:extLst>
        </xdr:cNvPr>
        <xdr:cNvSpPr/>
      </xdr:nvSpPr>
      <xdr:spPr>
        <a:xfrm>
          <a:off x="98679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2</xdr:col>
      <xdr:colOff>1066800</xdr:colOff>
      <xdr:row>0</xdr:row>
      <xdr:rowOff>0</xdr:rowOff>
    </xdr:from>
    <xdr:ext cx="0" cy="38100"/>
    <xdr:sp macro="" textlink="">
      <xdr:nvSpPr>
        <xdr:cNvPr id="84" name="CuadroTexto 83">
          <a:extLst>
            <a:ext uri="{FF2B5EF4-FFF2-40B4-BE49-F238E27FC236}">
              <a16:creationId xmlns:a16="http://schemas.microsoft.com/office/drawing/2014/main" id="{00000000-0008-0000-0800-000054000000}"/>
            </a:ext>
          </a:extLst>
        </xdr:cNvPr>
        <xdr:cNvSpPr txBox="1"/>
      </xdr:nvSpPr>
      <xdr:spPr>
        <a:xfrm flipH="1">
          <a:off x="3295650" y="0"/>
          <a:ext cx="0" cy="38100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lvl="0" algn="ctr"/>
          <a:r>
            <a:rPr lang="es-MX" sz="1200" b="1">
              <a:solidFill>
                <a:sysClr val="windowText" lastClr="000000"/>
              </a:solidFill>
            </a:rPr>
            <a:t>ISLA 9: CAMBIO DE MIX POSICIONES 4, 5, 6 Y 7</a:t>
          </a: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85" name="Rectángulo 8">
          <a:extLst>
            <a:ext uri="{FF2B5EF4-FFF2-40B4-BE49-F238E27FC236}">
              <a16:creationId xmlns:a16="http://schemas.microsoft.com/office/drawing/2014/main" id="{00000000-0008-0000-0800-00005500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86" name="Rectángulo 8">
          <a:extLst>
            <a:ext uri="{FF2B5EF4-FFF2-40B4-BE49-F238E27FC236}">
              <a16:creationId xmlns:a16="http://schemas.microsoft.com/office/drawing/2014/main" id="{00000000-0008-0000-0800-00005600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87" name="rect">
          <a:extLst>
            <a:ext uri="{FF2B5EF4-FFF2-40B4-BE49-F238E27FC236}">
              <a16:creationId xmlns:a16="http://schemas.microsoft.com/office/drawing/2014/main" id="{00000000-0008-0000-0800-00005700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88" name="rect">
          <a:extLst>
            <a:ext uri="{FF2B5EF4-FFF2-40B4-BE49-F238E27FC236}">
              <a16:creationId xmlns:a16="http://schemas.microsoft.com/office/drawing/2014/main" id="{00000000-0008-0000-0800-00005800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952500</xdr:colOff>
      <xdr:row>0</xdr:row>
      <xdr:rowOff>0</xdr:rowOff>
    </xdr:from>
    <xdr:ext cx="180975" cy="647700"/>
    <xdr:sp macro="" textlink="">
      <xdr:nvSpPr>
        <xdr:cNvPr id="89" name="Rectángulo 8">
          <a:extLst>
            <a:ext uri="{FF2B5EF4-FFF2-40B4-BE49-F238E27FC236}">
              <a16:creationId xmlns:a16="http://schemas.microsoft.com/office/drawing/2014/main" id="{00000000-0008-0000-0800-000059000000}"/>
            </a:ext>
          </a:extLst>
        </xdr:cNvPr>
        <xdr:cNvSpPr/>
      </xdr:nvSpPr>
      <xdr:spPr>
        <a:xfrm>
          <a:off x="98679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90" name="Rectángulo 8">
          <a:extLst>
            <a:ext uri="{FF2B5EF4-FFF2-40B4-BE49-F238E27FC236}">
              <a16:creationId xmlns:a16="http://schemas.microsoft.com/office/drawing/2014/main" id="{00000000-0008-0000-0800-00005A00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91" name="Rectángulo 8">
          <a:extLst>
            <a:ext uri="{FF2B5EF4-FFF2-40B4-BE49-F238E27FC236}">
              <a16:creationId xmlns:a16="http://schemas.microsoft.com/office/drawing/2014/main" id="{00000000-0008-0000-0800-00005B00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92" name="rect">
          <a:extLst>
            <a:ext uri="{FF2B5EF4-FFF2-40B4-BE49-F238E27FC236}">
              <a16:creationId xmlns:a16="http://schemas.microsoft.com/office/drawing/2014/main" id="{00000000-0008-0000-0800-00005C00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93" name="rect">
          <a:extLst>
            <a:ext uri="{FF2B5EF4-FFF2-40B4-BE49-F238E27FC236}">
              <a16:creationId xmlns:a16="http://schemas.microsoft.com/office/drawing/2014/main" id="{00000000-0008-0000-0800-00005D00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952500</xdr:colOff>
      <xdr:row>0</xdr:row>
      <xdr:rowOff>0</xdr:rowOff>
    </xdr:from>
    <xdr:ext cx="180975" cy="647700"/>
    <xdr:sp macro="" textlink="">
      <xdr:nvSpPr>
        <xdr:cNvPr id="94" name="Rectángulo 93">
          <a:extLst>
            <a:ext uri="{FF2B5EF4-FFF2-40B4-BE49-F238E27FC236}">
              <a16:creationId xmlns:a16="http://schemas.microsoft.com/office/drawing/2014/main" id="{00000000-0008-0000-0800-00005E000000}"/>
            </a:ext>
          </a:extLst>
        </xdr:cNvPr>
        <xdr:cNvSpPr/>
      </xdr:nvSpPr>
      <xdr:spPr>
        <a:xfrm>
          <a:off x="98679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95" name="Rectángulo 8">
          <a:extLst>
            <a:ext uri="{FF2B5EF4-FFF2-40B4-BE49-F238E27FC236}">
              <a16:creationId xmlns:a16="http://schemas.microsoft.com/office/drawing/2014/main" id="{00000000-0008-0000-0800-00005F00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96" name="Rectángulo 8">
          <a:extLst>
            <a:ext uri="{FF2B5EF4-FFF2-40B4-BE49-F238E27FC236}">
              <a16:creationId xmlns:a16="http://schemas.microsoft.com/office/drawing/2014/main" id="{00000000-0008-0000-0800-00006000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97" name="rect">
          <a:extLst>
            <a:ext uri="{FF2B5EF4-FFF2-40B4-BE49-F238E27FC236}">
              <a16:creationId xmlns:a16="http://schemas.microsoft.com/office/drawing/2014/main" id="{00000000-0008-0000-0800-00006100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98" name="rect">
          <a:extLst>
            <a:ext uri="{FF2B5EF4-FFF2-40B4-BE49-F238E27FC236}">
              <a16:creationId xmlns:a16="http://schemas.microsoft.com/office/drawing/2014/main" id="{00000000-0008-0000-0800-00006200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952500</xdr:colOff>
      <xdr:row>0</xdr:row>
      <xdr:rowOff>0</xdr:rowOff>
    </xdr:from>
    <xdr:ext cx="180975" cy="647700"/>
    <xdr:sp macro="" textlink="">
      <xdr:nvSpPr>
        <xdr:cNvPr id="99" name="Rectángulo 8">
          <a:extLst>
            <a:ext uri="{FF2B5EF4-FFF2-40B4-BE49-F238E27FC236}">
              <a16:creationId xmlns:a16="http://schemas.microsoft.com/office/drawing/2014/main" id="{00000000-0008-0000-0800-000063000000}"/>
            </a:ext>
          </a:extLst>
        </xdr:cNvPr>
        <xdr:cNvSpPr/>
      </xdr:nvSpPr>
      <xdr:spPr>
        <a:xfrm>
          <a:off x="98679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807383</xdr:colOff>
      <xdr:row>0</xdr:row>
      <xdr:rowOff>0</xdr:rowOff>
    </xdr:from>
    <xdr:ext cx="184731" cy="655885"/>
    <xdr:sp macro="" textlink="">
      <xdr:nvSpPr>
        <xdr:cNvPr id="100" name="Rectángulo 8">
          <a:extLst>
            <a:ext uri="{FF2B5EF4-FFF2-40B4-BE49-F238E27FC236}">
              <a16:creationId xmlns:a16="http://schemas.microsoft.com/office/drawing/2014/main" id="{00000000-0008-0000-0800-000064000000}"/>
            </a:ext>
          </a:extLst>
        </xdr:cNvPr>
        <xdr:cNvSpPr/>
      </xdr:nvSpPr>
      <xdr:spPr>
        <a:xfrm>
          <a:off x="97227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0</xdr:row>
      <xdr:rowOff>0</xdr:rowOff>
    </xdr:from>
    <xdr:ext cx="184731" cy="655885"/>
    <xdr:sp macro="" textlink="">
      <xdr:nvSpPr>
        <xdr:cNvPr id="101" name="Rectángulo 8">
          <a:extLst>
            <a:ext uri="{FF2B5EF4-FFF2-40B4-BE49-F238E27FC236}">
              <a16:creationId xmlns:a16="http://schemas.microsoft.com/office/drawing/2014/main" id="{00000000-0008-0000-0800-000065000000}"/>
            </a:ext>
          </a:extLst>
        </xdr:cNvPr>
        <xdr:cNvSpPr/>
      </xdr:nvSpPr>
      <xdr:spPr>
        <a:xfrm>
          <a:off x="97227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959783</xdr:colOff>
      <xdr:row>0</xdr:row>
      <xdr:rowOff>0</xdr:rowOff>
    </xdr:from>
    <xdr:ext cx="184731" cy="655885"/>
    <xdr:sp macro="" textlink="">
      <xdr:nvSpPr>
        <xdr:cNvPr id="102" name="Rectángulo 101">
          <a:extLst>
            <a:ext uri="{FF2B5EF4-FFF2-40B4-BE49-F238E27FC236}">
              <a16:creationId xmlns:a16="http://schemas.microsoft.com/office/drawing/2014/main" id="{00000000-0008-0000-0800-000066000000}"/>
            </a:ext>
          </a:extLst>
        </xdr:cNvPr>
        <xdr:cNvSpPr/>
      </xdr:nvSpPr>
      <xdr:spPr>
        <a:xfrm>
          <a:off x="98751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0</xdr:row>
      <xdr:rowOff>0</xdr:rowOff>
    </xdr:from>
    <xdr:ext cx="184731" cy="655885"/>
    <xdr:sp macro="" textlink="">
      <xdr:nvSpPr>
        <xdr:cNvPr id="103" name="Rectángulo 102">
          <a:extLst>
            <a:ext uri="{FF2B5EF4-FFF2-40B4-BE49-F238E27FC236}">
              <a16:creationId xmlns:a16="http://schemas.microsoft.com/office/drawing/2014/main" id="{00000000-0008-0000-0800-000067000000}"/>
            </a:ext>
          </a:extLst>
        </xdr:cNvPr>
        <xdr:cNvSpPr/>
      </xdr:nvSpPr>
      <xdr:spPr>
        <a:xfrm>
          <a:off x="97227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0</xdr:row>
      <xdr:rowOff>0</xdr:rowOff>
    </xdr:from>
    <xdr:ext cx="184731" cy="655885"/>
    <xdr:sp macro="" textlink="">
      <xdr:nvSpPr>
        <xdr:cNvPr id="104" name="Rectángulo 8">
          <a:extLst>
            <a:ext uri="{FF2B5EF4-FFF2-40B4-BE49-F238E27FC236}">
              <a16:creationId xmlns:a16="http://schemas.microsoft.com/office/drawing/2014/main" id="{00000000-0008-0000-0800-000068000000}"/>
            </a:ext>
          </a:extLst>
        </xdr:cNvPr>
        <xdr:cNvSpPr/>
      </xdr:nvSpPr>
      <xdr:spPr>
        <a:xfrm>
          <a:off x="97227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959783</xdr:colOff>
      <xdr:row>0</xdr:row>
      <xdr:rowOff>0</xdr:rowOff>
    </xdr:from>
    <xdr:ext cx="184731" cy="655885"/>
    <xdr:sp macro="" textlink="">
      <xdr:nvSpPr>
        <xdr:cNvPr id="105" name="Rectángulo 104">
          <a:extLst>
            <a:ext uri="{FF2B5EF4-FFF2-40B4-BE49-F238E27FC236}">
              <a16:creationId xmlns:a16="http://schemas.microsoft.com/office/drawing/2014/main" id="{00000000-0008-0000-0800-000069000000}"/>
            </a:ext>
          </a:extLst>
        </xdr:cNvPr>
        <xdr:cNvSpPr/>
      </xdr:nvSpPr>
      <xdr:spPr>
        <a:xfrm>
          <a:off x="98751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0</xdr:row>
      <xdr:rowOff>0</xdr:rowOff>
    </xdr:from>
    <xdr:ext cx="184731" cy="655885"/>
    <xdr:sp macro="" textlink="">
      <xdr:nvSpPr>
        <xdr:cNvPr id="106" name="Rectángulo 8">
          <a:extLst>
            <a:ext uri="{FF2B5EF4-FFF2-40B4-BE49-F238E27FC236}">
              <a16:creationId xmlns:a16="http://schemas.microsoft.com/office/drawing/2014/main" id="{00000000-0008-0000-0800-00006A000000}"/>
            </a:ext>
          </a:extLst>
        </xdr:cNvPr>
        <xdr:cNvSpPr/>
      </xdr:nvSpPr>
      <xdr:spPr>
        <a:xfrm>
          <a:off x="97227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0</xdr:row>
      <xdr:rowOff>0</xdr:rowOff>
    </xdr:from>
    <xdr:ext cx="184731" cy="655885"/>
    <xdr:sp macro="" textlink="">
      <xdr:nvSpPr>
        <xdr:cNvPr id="107" name="Rectángulo 8">
          <a:extLst>
            <a:ext uri="{FF2B5EF4-FFF2-40B4-BE49-F238E27FC236}">
              <a16:creationId xmlns:a16="http://schemas.microsoft.com/office/drawing/2014/main" id="{00000000-0008-0000-0800-00006B000000}"/>
            </a:ext>
          </a:extLst>
        </xdr:cNvPr>
        <xdr:cNvSpPr/>
      </xdr:nvSpPr>
      <xdr:spPr>
        <a:xfrm>
          <a:off x="97227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959783</xdr:colOff>
      <xdr:row>0</xdr:row>
      <xdr:rowOff>0</xdr:rowOff>
    </xdr:from>
    <xdr:ext cx="184731" cy="655885"/>
    <xdr:sp macro="" textlink="">
      <xdr:nvSpPr>
        <xdr:cNvPr id="108" name="Rectángulo 107">
          <a:extLst>
            <a:ext uri="{FF2B5EF4-FFF2-40B4-BE49-F238E27FC236}">
              <a16:creationId xmlns:a16="http://schemas.microsoft.com/office/drawing/2014/main" id="{00000000-0008-0000-0800-00006C000000}"/>
            </a:ext>
          </a:extLst>
        </xdr:cNvPr>
        <xdr:cNvSpPr/>
      </xdr:nvSpPr>
      <xdr:spPr>
        <a:xfrm>
          <a:off x="98751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0</xdr:row>
      <xdr:rowOff>0</xdr:rowOff>
    </xdr:from>
    <xdr:ext cx="184731" cy="655885"/>
    <xdr:sp macro="" textlink="">
      <xdr:nvSpPr>
        <xdr:cNvPr id="109" name="Rectángulo 108">
          <a:extLst>
            <a:ext uri="{FF2B5EF4-FFF2-40B4-BE49-F238E27FC236}">
              <a16:creationId xmlns:a16="http://schemas.microsoft.com/office/drawing/2014/main" id="{00000000-0008-0000-0800-00006D000000}"/>
            </a:ext>
          </a:extLst>
        </xdr:cNvPr>
        <xdr:cNvSpPr/>
      </xdr:nvSpPr>
      <xdr:spPr>
        <a:xfrm>
          <a:off x="97227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0</xdr:row>
      <xdr:rowOff>0</xdr:rowOff>
    </xdr:from>
    <xdr:ext cx="184731" cy="655885"/>
    <xdr:sp macro="" textlink="">
      <xdr:nvSpPr>
        <xdr:cNvPr id="110" name="Rectángulo 8">
          <a:extLst>
            <a:ext uri="{FF2B5EF4-FFF2-40B4-BE49-F238E27FC236}">
              <a16:creationId xmlns:a16="http://schemas.microsoft.com/office/drawing/2014/main" id="{00000000-0008-0000-0800-00006E000000}"/>
            </a:ext>
          </a:extLst>
        </xdr:cNvPr>
        <xdr:cNvSpPr/>
      </xdr:nvSpPr>
      <xdr:spPr>
        <a:xfrm>
          <a:off x="97227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959783</xdr:colOff>
      <xdr:row>0</xdr:row>
      <xdr:rowOff>0</xdr:rowOff>
    </xdr:from>
    <xdr:ext cx="184731" cy="655885"/>
    <xdr:sp macro="" textlink="">
      <xdr:nvSpPr>
        <xdr:cNvPr id="111" name="Rectángulo 110">
          <a:extLst>
            <a:ext uri="{FF2B5EF4-FFF2-40B4-BE49-F238E27FC236}">
              <a16:creationId xmlns:a16="http://schemas.microsoft.com/office/drawing/2014/main" id="{00000000-0008-0000-0800-00006F000000}"/>
            </a:ext>
          </a:extLst>
        </xdr:cNvPr>
        <xdr:cNvSpPr/>
      </xdr:nvSpPr>
      <xdr:spPr>
        <a:xfrm>
          <a:off x="98751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0</xdr:col>
      <xdr:colOff>959783</xdr:colOff>
      <xdr:row>0</xdr:row>
      <xdr:rowOff>0</xdr:rowOff>
    </xdr:from>
    <xdr:ext cx="184731" cy="655885"/>
    <xdr:sp macro="" textlink="">
      <xdr:nvSpPr>
        <xdr:cNvPr id="112" name="Rectángulo 111">
          <a:extLst>
            <a:ext uri="{FF2B5EF4-FFF2-40B4-BE49-F238E27FC236}">
              <a16:creationId xmlns:a16="http://schemas.microsoft.com/office/drawing/2014/main" id="{00000000-0008-0000-0800-000070000000}"/>
            </a:ext>
          </a:extLst>
        </xdr:cNvPr>
        <xdr:cNvSpPr/>
      </xdr:nvSpPr>
      <xdr:spPr>
        <a:xfrm>
          <a:off x="9597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0</xdr:col>
      <xdr:colOff>959783</xdr:colOff>
      <xdr:row>0</xdr:row>
      <xdr:rowOff>0</xdr:rowOff>
    </xdr:from>
    <xdr:ext cx="184731" cy="655885"/>
    <xdr:sp macro="" textlink="">
      <xdr:nvSpPr>
        <xdr:cNvPr id="113" name="Rectángulo 112">
          <a:extLst>
            <a:ext uri="{FF2B5EF4-FFF2-40B4-BE49-F238E27FC236}">
              <a16:creationId xmlns:a16="http://schemas.microsoft.com/office/drawing/2014/main" id="{00000000-0008-0000-0800-000071000000}"/>
            </a:ext>
          </a:extLst>
        </xdr:cNvPr>
        <xdr:cNvSpPr/>
      </xdr:nvSpPr>
      <xdr:spPr>
        <a:xfrm>
          <a:off x="9597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2</xdr:col>
      <xdr:colOff>1066800</xdr:colOff>
      <xdr:row>0</xdr:row>
      <xdr:rowOff>0</xdr:rowOff>
    </xdr:from>
    <xdr:ext cx="0" cy="38100"/>
    <xdr:sp macro="" textlink="">
      <xdr:nvSpPr>
        <xdr:cNvPr id="114" name="CuadroTexto 113">
          <a:extLst>
            <a:ext uri="{FF2B5EF4-FFF2-40B4-BE49-F238E27FC236}">
              <a16:creationId xmlns:a16="http://schemas.microsoft.com/office/drawing/2014/main" id="{00000000-0008-0000-0800-000072000000}"/>
            </a:ext>
          </a:extLst>
        </xdr:cNvPr>
        <xdr:cNvSpPr txBox="1"/>
      </xdr:nvSpPr>
      <xdr:spPr>
        <a:xfrm flipH="1">
          <a:off x="3295650" y="0"/>
          <a:ext cx="0" cy="38100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lvl="0" algn="ctr"/>
          <a:r>
            <a:rPr lang="es-MX" sz="1200" b="1">
              <a:solidFill>
                <a:sysClr val="windowText" lastClr="000000"/>
              </a:solidFill>
            </a:rPr>
            <a:t>ISLA 9: CAMBIO DE MIX POSICIONES 4, 5, 6 Y 7</a:t>
          </a: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115" name="Rectángulo 8">
          <a:extLst>
            <a:ext uri="{FF2B5EF4-FFF2-40B4-BE49-F238E27FC236}">
              <a16:creationId xmlns:a16="http://schemas.microsoft.com/office/drawing/2014/main" id="{00000000-0008-0000-0800-00007300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116" name="Rectángulo 8">
          <a:extLst>
            <a:ext uri="{FF2B5EF4-FFF2-40B4-BE49-F238E27FC236}">
              <a16:creationId xmlns:a16="http://schemas.microsoft.com/office/drawing/2014/main" id="{00000000-0008-0000-0800-00007400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117" name="rect">
          <a:extLst>
            <a:ext uri="{FF2B5EF4-FFF2-40B4-BE49-F238E27FC236}">
              <a16:creationId xmlns:a16="http://schemas.microsoft.com/office/drawing/2014/main" id="{00000000-0008-0000-0800-00007500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118" name="rect">
          <a:extLst>
            <a:ext uri="{FF2B5EF4-FFF2-40B4-BE49-F238E27FC236}">
              <a16:creationId xmlns:a16="http://schemas.microsoft.com/office/drawing/2014/main" id="{00000000-0008-0000-0800-00007600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952500</xdr:colOff>
      <xdr:row>0</xdr:row>
      <xdr:rowOff>0</xdr:rowOff>
    </xdr:from>
    <xdr:ext cx="180975" cy="647700"/>
    <xdr:sp macro="" textlink="">
      <xdr:nvSpPr>
        <xdr:cNvPr id="119" name="Rectángulo 118">
          <a:extLst>
            <a:ext uri="{FF2B5EF4-FFF2-40B4-BE49-F238E27FC236}">
              <a16:creationId xmlns:a16="http://schemas.microsoft.com/office/drawing/2014/main" id="{00000000-0008-0000-0800-000077000000}"/>
            </a:ext>
          </a:extLst>
        </xdr:cNvPr>
        <xdr:cNvSpPr/>
      </xdr:nvSpPr>
      <xdr:spPr>
        <a:xfrm>
          <a:off x="98679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120" name="Rectángulo 8">
          <a:extLst>
            <a:ext uri="{FF2B5EF4-FFF2-40B4-BE49-F238E27FC236}">
              <a16:creationId xmlns:a16="http://schemas.microsoft.com/office/drawing/2014/main" id="{00000000-0008-0000-0800-00007800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121" name="Rectángulo 8">
          <a:extLst>
            <a:ext uri="{FF2B5EF4-FFF2-40B4-BE49-F238E27FC236}">
              <a16:creationId xmlns:a16="http://schemas.microsoft.com/office/drawing/2014/main" id="{00000000-0008-0000-0800-00007900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122" name="rect">
          <a:extLst>
            <a:ext uri="{FF2B5EF4-FFF2-40B4-BE49-F238E27FC236}">
              <a16:creationId xmlns:a16="http://schemas.microsoft.com/office/drawing/2014/main" id="{00000000-0008-0000-0800-00007A00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123" name="rect">
          <a:extLst>
            <a:ext uri="{FF2B5EF4-FFF2-40B4-BE49-F238E27FC236}">
              <a16:creationId xmlns:a16="http://schemas.microsoft.com/office/drawing/2014/main" id="{00000000-0008-0000-0800-00007B00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952500</xdr:colOff>
      <xdr:row>0</xdr:row>
      <xdr:rowOff>0</xdr:rowOff>
    </xdr:from>
    <xdr:ext cx="180975" cy="647700"/>
    <xdr:sp macro="" textlink="">
      <xdr:nvSpPr>
        <xdr:cNvPr id="124" name="Rectángulo 8">
          <a:extLst>
            <a:ext uri="{FF2B5EF4-FFF2-40B4-BE49-F238E27FC236}">
              <a16:creationId xmlns:a16="http://schemas.microsoft.com/office/drawing/2014/main" id="{00000000-0008-0000-0800-00007C000000}"/>
            </a:ext>
          </a:extLst>
        </xdr:cNvPr>
        <xdr:cNvSpPr/>
      </xdr:nvSpPr>
      <xdr:spPr>
        <a:xfrm>
          <a:off x="98679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125" name="Rectángulo 8">
          <a:extLst>
            <a:ext uri="{FF2B5EF4-FFF2-40B4-BE49-F238E27FC236}">
              <a16:creationId xmlns:a16="http://schemas.microsoft.com/office/drawing/2014/main" id="{00000000-0008-0000-0800-00007D00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126" name="Rectángulo 8">
          <a:extLst>
            <a:ext uri="{FF2B5EF4-FFF2-40B4-BE49-F238E27FC236}">
              <a16:creationId xmlns:a16="http://schemas.microsoft.com/office/drawing/2014/main" id="{00000000-0008-0000-0800-00007E00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127" name="rect">
          <a:extLst>
            <a:ext uri="{FF2B5EF4-FFF2-40B4-BE49-F238E27FC236}">
              <a16:creationId xmlns:a16="http://schemas.microsoft.com/office/drawing/2014/main" id="{00000000-0008-0000-0800-00007F00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128" name="rect">
          <a:extLst>
            <a:ext uri="{FF2B5EF4-FFF2-40B4-BE49-F238E27FC236}">
              <a16:creationId xmlns:a16="http://schemas.microsoft.com/office/drawing/2014/main" id="{00000000-0008-0000-0800-00008000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952500</xdr:colOff>
      <xdr:row>0</xdr:row>
      <xdr:rowOff>0</xdr:rowOff>
    </xdr:from>
    <xdr:ext cx="180975" cy="647700"/>
    <xdr:sp macro="" textlink="">
      <xdr:nvSpPr>
        <xdr:cNvPr id="129" name="Rectángulo 128">
          <a:extLst>
            <a:ext uri="{FF2B5EF4-FFF2-40B4-BE49-F238E27FC236}">
              <a16:creationId xmlns:a16="http://schemas.microsoft.com/office/drawing/2014/main" id="{00000000-0008-0000-0800-000081000000}"/>
            </a:ext>
          </a:extLst>
        </xdr:cNvPr>
        <xdr:cNvSpPr/>
      </xdr:nvSpPr>
      <xdr:spPr>
        <a:xfrm>
          <a:off x="98679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130" name="Rectángulo 8">
          <a:extLst>
            <a:ext uri="{FF2B5EF4-FFF2-40B4-BE49-F238E27FC236}">
              <a16:creationId xmlns:a16="http://schemas.microsoft.com/office/drawing/2014/main" id="{00000000-0008-0000-0800-00008200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131" name="Rectángulo 8">
          <a:extLst>
            <a:ext uri="{FF2B5EF4-FFF2-40B4-BE49-F238E27FC236}">
              <a16:creationId xmlns:a16="http://schemas.microsoft.com/office/drawing/2014/main" id="{00000000-0008-0000-0800-00008300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132" name="rect">
          <a:extLst>
            <a:ext uri="{FF2B5EF4-FFF2-40B4-BE49-F238E27FC236}">
              <a16:creationId xmlns:a16="http://schemas.microsoft.com/office/drawing/2014/main" id="{00000000-0008-0000-0800-00008400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133" name="rect">
          <a:extLst>
            <a:ext uri="{FF2B5EF4-FFF2-40B4-BE49-F238E27FC236}">
              <a16:creationId xmlns:a16="http://schemas.microsoft.com/office/drawing/2014/main" id="{00000000-0008-0000-0800-00008500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952500</xdr:colOff>
      <xdr:row>0</xdr:row>
      <xdr:rowOff>0</xdr:rowOff>
    </xdr:from>
    <xdr:ext cx="180975" cy="647700"/>
    <xdr:sp macro="" textlink="">
      <xdr:nvSpPr>
        <xdr:cNvPr id="134" name="Rectángulo 8">
          <a:extLst>
            <a:ext uri="{FF2B5EF4-FFF2-40B4-BE49-F238E27FC236}">
              <a16:creationId xmlns:a16="http://schemas.microsoft.com/office/drawing/2014/main" id="{00000000-0008-0000-0800-000086000000}"/>
            </a:ext>
          </a:extLst>
        </xdr:cNvPr>
        <xdr:cNvSpPr/>
      </xdr:nvSpPr>
      <xdr:spPr>
        <a:xfrm>
          <a:off x="98679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135" name="Rectángulo 8">
          <a:extLst>
            <a:ext uri="{FF2B5EF4-FFF2-40B4-BE49-F238E27FC236}">
              <a16:creationId xmlns:a16="http://schemas.microsoft.com/office/drawing/2014/main" id="{00000000-0008-0000-0800-00008700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136" name="Rectángulo 135">
          <a:extLst>
            <a:ext uri="{FF2B5EF4-FFF2-40B4-BE49-F238E27FC236}">
              <a16:creationId xmlns:a16="http://schemas.microsoft.com/office/drawing/2014/main" id="{00000000-0008-0000-0800-00008800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137" name="rect">
          <a:extLst>
            <a:ext uri="{FF2B5EF4-FFF2-40B4-BE49-F238E27FC236}">
              <a16:creationId xmlns:a16="http://schemas.microsoft.com/office/drawing/2014/main" id="{00000000-0008-0000-0800-00008900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138" name="rect">
          <a:extLst>
            <a:ext uri="{FF2B5EF4-FFF2-40B4-BE49-F238E27FC236}">
              <a16:creationId xmlns:a16="http://schemas.microsoft.com/office/drawing/2014/main" id="{00000000-0008-0000-0800-00008A00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952500</xdr:colOff>
      <xdr:row>0</xdr:row>
      <xdr:rowOff>0</xdr:rowOff>
    </xdr:from>
    <xdr:ext cx="180975" cy="647700"/>
    <xdr:sp macro="" textlink="">
      <xdr:nvSpPr>
        <xdr:cNvPr id="139" name="Rectángulo 138">
          <a:extLst>
            <a:ext uri="{FF2B5EF4-FFF2-40B4-BE49-F238E27FC236}">
              <a16:creationId xmlns:a16="http://schemas.microsoft.com/office/drawing/2014/main" id="{00000000-0008-0000-0800-00008B000000}"/>
            </a:ext>
          </a:extLst>
        </xdr:cNvPr>
        <xdr:cNvSpPr/>
      </xdr:nvSpPr>
      <xdr:spPr>
        <a:xfrm>
          <a:off x="98679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2</xdr:col>
      <xdr:colOff>1066800</xdr:colOff>
      <xdr:row>0</xdr:row>
      <xdr:rowOff>0</xdr:rowOff>
    </xdr:from>
    <xdr:ext cx="0" cy="38100"/>
    <xdr:sp macro="" textlink="">
      <xdr:nvSpPr>
        <xdr:cNvPr id="140" name="CuadroTexto 139">
          <a:extLst>
            <a:ext uri="{FF2B5EF4-FFF2-40B4-BE49-F238E27FC236}">
              <a16:creationId xmlns:a16="http://schemas.microsoft.com/office/drawing/2014/main" id="{00000000-0008-0000-0800-00008C000000}"/>
            </a:ext>
          </a:extLst>
        </xdr:cNvPr>
        <xdr:cNvSpPr txBox="1"/>
      </xdr:nvSpPr>
      <xdr:spPr>
        <a:xfrm flipH="1">
          <a:off x="3295650" y="0"/>
          <a:ext cx="0" cy="38100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lvl="0" algn="ctr"/>
          <a:r>
            <a:rPr lang="es-MX" sz="1200" b="1">
              <a:solidFill>
                <a:sysClr val="windowText" lastClr="000000"/>
              </a:solidFill>
            </a:rPr>
            <a:t>ISLA 9: CAMBIO DE MIX POSICIONES 4, 5, 6 Y 7</a:t>
          </a: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141" name="Rectángulo 8">
          <a:extLst>
            <a:ext uri="{FF2B5EF4-FFF2-40B4-BE49-F238E27FC236}">
              <a16:creationId xmlns:a16="http://schemas.microsoft.com/office/drawing/2014/main" id="{00000000-0008-0000-0800-00008D00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142" name="Rectángulo 8">
          <a:extLst>
            <a:ext uri="{FF2B5EF4-FFF2-40B4-BE49-F238E27FC236}">
              <a16:creationId xmlns:a16="http://schemas.microsoft.com/office/drawing/2014/main" id="{00000000-0008-0000-0800-00008E00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143" name="rect">
          <a:extLst>
            <a:ext uri="{FF2B5EF4-FFF2-40B4-BE49-F238E27FC236}">
              <a16:creationId xmlns:a16="http://schemas.microsoft.com/office/drawing/2014/main" id="{00000000-0008-0000-0800-00008F00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144" name="rect">
          <a:extLst>
            <a:ext uri="{FF2B5EF4-FFF2-40B4-BE49-F238E27FC236}">
              <a16:creationId xmlns:a16="http://schemas.microsoft.com/office/drawing/2014/main" id="{00000000-0008-0000-0800-00009000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952500</xdr:colOff>
      <xdr:row>0</xdr:row>
      <xdr:rowOff>0</xdr:rowOff>
    </xdr:from>
    <xdr:ext cx="180975" cy="647700"/>
    <xdr:sp macro="" textlink="">
      <xdr:nvSpPr>
        <xdr:cNvPr id="145" name="Rectángulo 8">
          <a:extLst>
            <a:ext uri="{FF2B5EF4-FFF2-40B4-BE49-F238E27FC236}">
              <a16:creationId xmlns:a16="http://schemas.microsoft.com/office/drawing/2014/main" id="{00000000-0008-0000-0800-000091000000}"/>
            </a:ext>
          </a:extLst>
        </xdr:cNvPr>
        <xdr:cNvSpPr/>
      </xdr:nvSpPr>
      <xdr:spPr>
        <a:xfrm>
          <a:off x="98679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146" name="Rectángulo 8">
          <a:extLst>
            <a:ext uri="{FF2B5EF4-FFF2-40B4-BE49-F238E27FC236}">
              <a16:creationId xmlns:a16="http://schemas.microsoft.com/office/drawing/2014/main" id="{00000000-0008-0000-0800-00009200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147" name="Rectángulo 8">
          <a:extLst>
            <a:ext uri="{FF2B5EF4-FFF2-40B4-BE49-F238E27FC236}">
              <a16:creationId xmlns:a16="http://schemas.microsoft.com/office/drawing/2014/main" id="{00000000-0008-0000-0800-00009300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148" name="rect">
          <a:extLst>
            <a:ext uri="{FF2B5EF4-FFF2-40B4-BE49-F238E27FC236}">
              <a16:creationId xmlns:a16="http://schemas.microsoft.com/office/drawing/2014/main" id="{00000000-0008-0000-0800-00009400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149" name="rect">
          <a:extLst>
            <a:ext uri="{FF2B5EF4-FFF2-40B4-BE49-F238E27FC236}">
              <a16:creationId xmlns:a16="http://schemas.microsoft.com/office/drawing/2014/main" id="{00000000-0008-0000-0800-00009500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952500</xdr:colOff>
      <xdr:row>0</xdr:row>
      <xdr:rowOff>0</xdr:rowOff>
    </xdr:from>
    <xdr:ext cx="180975" cy="647700"/>
    <xdr:sp macro="" textlink="">
      <xdr:nvSpPr>
        <xdr:cNvPr id="150" name="Rectángulo 149">
          <a:extLst>
            <a:ext uri="{FF2B5EF4-FFF2-40B4-BE49-F238E27FC236}">
              <a16:creationId xmlns:a16="http://schemas.microsoft.com/office/drawing/2014/main" id="{00000000-0008-0000-0800-000096000000}"/>
            </a:ext>
          </a:extLst>
        </xdr:cNvPr>
        <xdr:cNvSpPr/>
      </xdr:nvSpPr>
      <xdr:spPr>
        <a:xfrm>
          <a:off x="98679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151" name="Rectángulo 8">
          <a:extLst>
            <a:ext uri="{FF2B5EF4-FFF2-40B4-BE49-F238E27FC236}">
              <a16:creationId xmlns:a16="http://schemas.microsoft.com/office/drawing/2014/main" id="{00000000-0008-0000-0800-00009700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152" name="Rectángulo 8">
          <a:extLst>
            <a:ext uri="{FF2B5EF4-FFF2-40B4-BE49-F238E27FC236}">
              <a16:creationId xmlns:a16="http://schemas.microsoft.com/office/drawing/2014/main" id="{00000000-0008-0000-0800-00009800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153" name="rect">
          <a:extLst>
            <a:ext uri="{FF2B5EF4-FFF2-40B4-BE49-F238E27FC236}">
              <a16:creationId xmlns:a16="http://schemas.microsoft.com/office/drawing/2014/main" id="{00000000-0008-0000-0800-00009900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154" name="rect">
          <a:extLst>
            <a:ext uri="{FF2B5EF4-FFF2-40B4-BE49-F238E27FC236}">
              <a16:creationId xmlns:a16="http://schemas.microsoft.com/office/drawing/2014/main" id="{00000000-0008-0000-0800-00009A00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952500</xdr:colOff>
      <xdr:row>0</xdr:row>
      <xdr:rowOff>0</xdr:rowOff>
    </xdr:from>
    <xdr:ext cx="180975" cy="647700"/>
    <xdr:sp macro="" textlink="">
      <xdr:nvSpPr>
        <xdr:cNvPr id="155" name="Rectángulo 8">
          <a:extLst>
            <a:ext uri="{FF2B5EF4-FFF2-40B4-BE49-F238E27FC236}">
              <a16:creationId xmlns:a16="http://schemas.microsoft.com/office/drawing/2014/main" id="{00000000-0008-0000-0800-00009B000000}"/>
            </a:ext>
          </a:extLst>
        </xdr:cNvPr>
        <xdr:cNvSpPr/>
      </xdr:nvSpPr>
      <xdr:spPr>
        <a:xfrm>
          <a:off x="98679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807383</xdr:colOff>
      <xdr:row>0</xdr:row>
      <xdr:rowOff>0</xdr:rowOff>
    </xdr:from>
    <xdr:ext cx="184731" cy="655885"/>
    <xdr:sp macro="" textlink="">
      <xdr:nvSpPr>
        <xdr:cNvPr id="156" name="Rectángulo 8">
          <a:extLst>
            <a:ext uri="{FF2B5EF4-FFF2-40B4-BE49-F238E27FC236}">
              <a16:creationId xmlns:a16="http://schemas.microsoft.com/office/drawing/2014/main" id="{00000000-0008-0000-0800-00009C000000}"/>
            </a:ext>
          </a:extLst>
        </xdr:cNvPr>
        <xdr:cNvSpPr/>
      </xdr:nvSpPr>
      <xdr:spPr>
        <a:xfrm>
          <a:off x="97227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0</xdr:row>
      <xdr:rowOff>0</xdr:rowOff>
    </xdr:from>
    <xdr:ext cx="184731" cy="655885"/>
    <xdr:sp macro="" textlink="">
      <xdr:nvSpPr>
        <xdr:cNvPr id="157" name="Rectángulo 8">
          <a:extLst>
            <a:ext uri="{FF2B5EF4-FFF2-40B4-BE49-F238E27FC236}">
              <a16:creationId xmlns:a16="http://schemas.microsoft.com/office/drawing/2014/main" id="{00000000-0008-0000-0800-00009D000000}"/>
            </a:ext>
          </a:extLst>
        </xdr:cNvPr>
        <xdr:cNvSpPr/>
      </xdr:nvSpPr>
      <xdr:spPr>
        <a:xfrm>
          <a:off x="97227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959783</xdr:colOff>
      <xdr:row>0</xdr:row>
      <xdr:rowOff>0</xdr:rowOff>
    </xdr:from>
    <xdr:ext cx="184731" cy="655885"/>
    <xdr:sp macro="" textlink="">
      <xdr:nvSpPr>
        <xdr:cNvPr id="158" name="Rectángulo 157">
          <a:extLst>
            <a:ext uri="{FF2B5EF4-FFF2-40B4-BE49-F238E27FC236}">
              <a16:creationId xmlns:a16="http://schemas.microsoft.com/office/drawing/2014/main" id="{00000000-0008-0000-0800-00009E000000}"/>
            </a:ext>
          </a:extLst>
        </xdr:cNvPr>
        <xdr:cNvSpPr/>
      </xdr:nvSpPr>
      <xdr:spPr>
        <a:xfrm>
          <a:off x="98751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0</xdr:row>
      <xdr:rowOff>0</xdr:rowOff>
    </xdr:from>
    <xdr:ext cx="184731" cy="655885"/>
    <xdr:sp macro="" textlink="">
      <xdr:nvSpPr>
        <xdr:cNvPr id="159" name="Rectángulo 158">
          <a:extLst>
            <a:ext uri="{FF2B5EF4-FFF2-40B4-BE49-F238E27FC236}">
              <a16:creationId xmlns:a16="http://schemas.microsoft.com/office/drawing/2014/main" id="{00000000-0008-0000-0800-00009F000000}"/>
            </a:ext>
          </a:extLst>
        </xdr:cNvPr>
        <xdr:cNvSpPr/>
      </xdr:nvSpPr>
      <xdr:spPr>
        <a:xfrm>
          <a:off x="97227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0</xdr:row>
      <xdr:rowOff>0</xdr:rowOff>
    </xdr:from>
    <xdr:ext cx="184731" cy="655885"/>
    <xdr:sp macro="" textlink="">
      <xdr:nvSpPr>
        <xdr:cNvPr id="160" name="Rectángulo 8">
          <a:extLst>
            <a:ext uri="{FF2B5EF4-FFF2-40B4-BE49-F238E27FC236}">
              <a16:creationId xmlns:a16="http://schemas.microsoft.com/office/drawing/2014/main" id="{00000000-0008-0000-0800-0000A0000000}"/>
            </a:ext>
          </a:extLst>
        </xdr:cNvPr>
        <xdr:cNvSpPr/>
      </xdr:nvSpPr>
      <xdr:spPr>
        <a:xfrm>
          <a:off x="97227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959783</xdr:colOff>
      <xdr:row>0</xdr:row>
      <xdr:rowOff>0</xdr:rowOff>
    </xdr:from>
    <xdr:ext cx="184731" cy="655885"/>
    <xdr:sp macro="" textlink="">
      <xdr:nvSpPr>
        <xdr:cNvPr id="161" name="Rectángulo 160">
          <a:extLst>
            <a:ext uri="{FF2B5EF4-FFF2-40B4-BE49-F238E27FC236}">
              <a16:creationId xmlns:a16="http://schemas.microsoft.com/office/drawing/2014/main" id="{00000000-0008-0000-0800-0000A1000000}"/>
            </a:ext>
          </a:extLst>
        </xdr:cNvPr>
        <xdr:cNvSpPr/>
      </xdr:nvSpPr>
      <xdr:spPr>
        <a:xfrm>
          <a:off x="98751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0</xdr:row>
      <xdr:rowOff>0</xdr:rowOff>
    </xdr:from>
    <xdr:ext cx="184731" cy="655885"/>
    <xdr:sp macro="" textlink="">
      <xdr:nvSpPr>
        <xdr:cNvPr id="162" name="Rectángulo 8">
          <a:extLst>
            <a:ext uri="{FF2B5EF4-FFF2-40B4-BE49-F238E27FC236}">
              <a16:creationId xmlns:a16="http://schemas.microsoft.com/office/drawing/2014/main" id="{00000000-0008-0000-0800-0000A2000000}"/>
            </a:ext>
          </a:extLst>
        </xdr:cNvPr>
        <xdr:cNvSpPr/>
      </xdr:nvSpPr>
      <xdr:spPr>
        <a:xfrm>
          <a:off x="97227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0</xdr:row>
      <xdr:rowOff>0</xdr:rowOff>
    </xdr:from>
    <xdr:ext cx="184731" cy="655885"/>
    <xdr:sp macro="" textlink="">
      <xdr:nvSpPr>
        <xdr:cNvPr id="163" name="Rectángulo 8">
          <a:extLst>
            <a:ext uri="{FF2B5EF4-FFF2-40B4-BE49-F238E27FC236}">
              <a16:creationId xmlns:a16="http://schemas.microsoft.com/office/drawing/2014/main" id="{00000000-0008-0000-0800-0000A3000000}"/>
            </a:ext>
          </a:extLst>
        </xdr:cNvPr>
        <xdr:cNvSpPr/>
      </xdr:nvSpPr>
      <xdr:spPr>
        <a:xfrm>
          <a:off x="97227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959783</xdr:colOff>
      <xdr:row>0</xdr:row>
      <xdr:rowOff>0</xdr:rowOff>
    </xdr:from>
    <xdr:ext cx="184731" cy="655885"/>
    <xdr:sp macro="" textlink="">
      <xdr:nvSpPr>
        <xdr:cNvPr id="164" name="Rectángulo 163">
          <a:extLst>
            <a:ext uri="{FF2B5EF4-FFF2-40B4-BE49-F238E27FC236}">
              <a16:creationId xmlns:a16="http://schemas.microsoft.com/office/drawing/2014/main" id="{00000000-0008-0000-0800-0000A4000000}"/>
            </a:ext>
          </a:extLst>
        </xdr:cNvPr>
        <xdr:cNvSpPr/>
      </xdr:nvSpPr>
      <xdr:spPr>
        <a:xfrm>
          <a:off x="98751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0</xdr:row>
      <xdr:rowOff>0</xdr:rowOff>
    </xdr:from>
    <xdr:ext cx="184731" cy="655885"/>
    <xdr:sp macro="" textlink="">
      <xdr:nvSpPr>
        <xdr:cNvPr id="165" name="Rectángulo 164">
          <a:extLst>
            <a:ext uri="{FF2B5EF4-FFF2-40B4-BE49-F238E27FC236}">
              <a16:creationId xmlns:a16="http://schemas.microsoft.com/office/drawing/2014/main" id="{00000000-0008-0000-0800-0000A5000000}"/>
            </a:ext>
          </a:extLst>
        </xdr:cNvPr>
        <xdr:cNvSpPr/>
      </xdr:nvSpPr>
      <xdr:spPr>
        <a:xfrm>
          <a:off x="97227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0</xdr:row>
      <xdr:rowOff>0</xdr:rowOff>
    </xdr:from>
    <xdr:ext cx="184731" cy="655885"/>
    <xdr:sp macro="" textlink="">
      <xdr:nvSpPr>
        <xdr:cNvPr id="166" name="Rectángulo 8">
          <a:extLst>
            <a:ext uri="{FF2B5EF4-FFF2-40B4-BE49-F238E27FC236}">
              <a16:creationId xmlns:a16="http://schemas.microsoft.com/office/drawing/2014/main" id="{00000000-0008-0000-0800-0000A6000000}"/>
            </a:ext>
          </a:extLst>
        </xdr:cNvPr>
        <xdr:cNvSpPr/>
      </xdr:nvSpPr>
      <xdr:spPr>
        <a:xfrm>
          <a:off x="97227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959783</xdr:colOff>
      <xdr:row>0</xdr:row>
      <xdr:rowOff>0</xdr:rowOff>
    </xdr:from>
    <xdr:ext cx="184731" cy="655885"/>
    <xdr:sp macro="" textlink="">
      <xdr:nvSpPr>
        <xdr:cNvPr id="167" name="Rectángulo 166">
          <a:extLst>
            <a:ext uri="{FF2B5EF4-FFF2-40B4-BE49-F238E27FC236}">
              <a16:creationId xmlns:a16="http://schemas.microsoft.com/office/drawing/2014/main" id="{00000000-0008-0000-0800-0000A7000000}"/>
            </a:ext>
          </a:extLst>
        </xdr:cNvPr>
        <xdr:cNvSpPr/>
      </xdr:nvSpPr>
      <xdr:spPr>
        <a:xfrm>
          <a:off x="98751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0</xdr:col>
      <xdr:colOff>959783</xdr:colOff>
      <xdr:row>0</xdr:row>
      <xdr:rowOff>0</xdr:rowOff>
    </xdr:from>
    <xdr:ext cx="184731" cy="655885"/>
    <xdr:sp macro="" textlink="">
      <xdr:nvSpPr>
        <xdr:cNvPr id="168" name="Rectángulo 167">
          <a:extLst>
            <a:ext uri="{FF2B5EF4-FFF2-40B4-BE49-F238E27FC236}">
              <a16:creationId xmlns:a16="http://schemas.microsoft.com/office/drawing/2014/main" id="{00000000-0008-0000-0800-0000A8000000}"/>
            </a:ext>
          </a:extLst>
        </xdr:cNvPr>
        <xdr:cNvSpPr/>
      </xdr:nvSpPr>
      <xdr:spPr>
        <a:xfrm>
          <a:off x="9597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0</xdr:col>
      <xdr:colOff>959783</xdr:colOff>
      <xdr:row>0</xdr:row>
      <xdr:rowOff>0</xdr:rowOff>
    </xdr:from>
    <xdr:ext cx="184731" cy="655885"/>
    <xdr:sp macro="" textlink="">
      <xdr:nvSpPr>
        <xdr:cNvPr id="169" name="Rectángulo 168">
          <a:extLst>
            <a:ext uri="{FF2B5EF4-FFF2-40B4-BE49-F238E27FC236}">
              <a16:creationId xmlns:a16="http://schemas.microsoft.com/office/drawing/2014/main" id="{00000000-0008-0000-0800-0000A9000000}"/>
            </a:ext>
          </a:extLst>
        </xdr:cNvPr>
        <xdr:cNvSpPr/>
      </xdr:nvSpPr>
      <xdr:spPr>
        <a:xfrm>
          <a:off x="9597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2</xdr:col>
      <xdr:colOff>1066800</xdr:colOff>
      <xdr:row>0</xdr:row>
      <xdr:rowOff>0</xdr:rowOff>
    </xdr:from>
    <xdr:ext cx="0" cy="38100"/>
    <xdr:sp macro="" textlink="">
      <xdr:nvSpPr>
        <xdr:cNvPr id="170" name="CuadroTexto 169">
          <a:extLst>
            <a:ext uri="{FF2B5EF4-FFF2-40B4-BE49-F238E27FC236}">
              <a16:creationId xmlns:a16="http://schemas.microsoft.com/office/drawing/2014/main" id="{00000000-0008-0000-0800-0000AA000000}"/>
            </a:ext>
          </a:extLst>
        </xdr:cNvPr>
        <xdr:cNvSpPr txBox="1"/>
      </xdr:nvSpPr>
      <xdr:spPr>
        <a:xfrm flipH="1">
          <a:off x="3295650" y="0"/>
          <a:ext cx="0" cy="38100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lvl="0" algn="ctr"/>
          <a:r>
            <a:rPr lang="es-MX" sz="1200" b="1">
              <a:solidFill>
                <a:sysClr val="windowText" lastClr="000000"/>
              </a:solidFill>
            </a:rPr>
            <a:t>ISLA 9: CAMBIO DE MIX POSICIONES 4, 5, 6 Y 7</a:t>
          </a: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171" name="Rectángulo 8">
          <a:extLst>
            <a:ext uri="{FF2B5EF4-FFF2-40B4-BE49-F238E27FC236}">
              <a16:creationId xmlns:a16="http://schemas.microsoft.com/office/drawing/2014/main" id="{00000000-0008-0000-0800-0000AB00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172" name="Rectángulo 8">
          <a:extLst>
            <a:ext uri="{FF2B5EF4-FFF2-40B4-BE49-F238E27FC236}">
              <a16:creationId xmlns:a16="http://schemas.microsoft.com/office/drawing/2014/main" id="{00000000-0008-0000-0800-0000AC00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173" name="rect">
          <a:extLst>
            <a:ext uri="{FF2B5EF4-FFF2-40B4-BE49-F238E27FC236}">
              <a16:creationId xmlns:a16="http://schemas.microsoft.com/office/drawing/2014/main" id="{00000000-0008-0000-0800-0000AD00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174" name="rect">
          <a:extLst>
            <a:ext uri="{FF2B5EF4-FFF2-40B4-BE49-F238E27FC236}">
              <a16:creationId xmlns:a16="http://schemas.microsoft.com/office/drawing/2014/main" id="{00000000-0008-0000-0800-0000AE00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952500</xdr:colOff>
      <xdr:row>0</xdr:row>
      <xdr:rowOff>0</xdr:rowOff>
    </xdr:from>
    <xdr:ext cx="180975" cy="647700"/>
    <xdr:sp macro="" textlink="">
      <xdr:nvSpPr>
        <xdr:cNvPr id="175" name="Rectángulo 174">
          <a:extLst>
            <a:ext uri="{FF2B5EF4-FFF2-40B4-BE49-F238E27FC236}">
              <a16:creationId xmlns:a16="http://schemas.microsoft.com/office/drawing/2014/main" id="{00000000-0008-0000-0800-0000AF000000}"/>
            </a:ext>
          </a:extLst>
        </xdr:cNvPr>
        <xdr:cNvSpPr/>
      </xdr:nvSpPr>
      <xdr:spPr>
        <a:xfrm>
          <a:off x="98679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176" name="Rectángulo 8">
          <a:extLst>
            <a:ext uri="{FF2B5EF4-FFF2-40B4-BE49-F238E27FC236}">
              <a16:creationId xmlns:a16="http://schemas.microsoft.com/office/drawing/2014/main" id="{00000000-0008-0000-0800-0000B000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177" name="Rectángulo 176">
          <a:extLst>
            <a:ext uri="{FF2B5EF4-FFF2-40B4-BE49-F238E27FC236}">
              <a16:creationId xmlns:a16="http://schemas.microsoft.com/office/drawing/2014/main" id="{00000000-0008-0000-0800-0000B100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178" name="rect">
          <a:extLst>
            <a:ext uri="{FF2B5EF4-FFF2-40B4-BE49-F238E27FC236}">
              <a16:creationId xmlns:a16="http://schemas.microsoft.com/office/drawing/2014/main" id="{00000000-0008-0000-0800-0000B200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179" name="rect">
          <a:extLst>
            <a:ext uri="{FF2B5EF4-FFF2-40B4-BE49-F238E27FC236}">
              <a16:creationId xmlns:a16="http://schemas.microsoft.com/office/drawing/2014/main" id="{00000000-0008-0000-0800-0000B300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952500</xdr:colOff>
      <xdr:row>0</xdr:row>
      <xdr:rowOff>0</xdr:rowOff>
    </xdr:from>
    <xdr:ext cx="180975" cy="647700"/>
    <xdr:sp macro="" textlink="">
      <xdr:nvSpPr>
        <xdr:cNvPr id="180" name="Rectángulo 8">
          <a:extLst>
            <a:ext uri="{FF2B5EF4-FFF2-40B4-BE49-F238E27FC236}">
              <a16:creationId xmlns:a16="http://schemas.microsoft.com/office/drawing/2014/main" id="{00000000-0008-0000-0800-0000B4000000}"/>
            </a:ext>
          </a:extLst>
        </xdr:cNvPr>
        <xdr:cNvSpPr/>
      </xdr:nvSpPr>
      <xdr:spPr>
        <a:xfrm>
          <a:off x="98679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181" name="Rectángulo 8">
          <a:extLst>
            <a:ext uri="{FF2B5EF4-FFF2-40B4-BE49-F238E27FC236}">
              <a16:creationId xmlns:a16="http://schemas.microsoft.com/office/drawing/2014/main" id="{00000000-0008-0000-0800-0000B500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182" name="Rectángulo 8">
          <a:extLst>
            <a:ext uri="{FF2B5EF4-FFF2-40B4-BE49-F238E27FC236}">
              <a16:creationId xmlns:a16="http://schemas.microsoft.com/office/drawing/2014/main" id="{00000000-0008-0000-0800-0000B600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183" name="rect">
          <a:extLst>
            <a:ext uri="{FF2B5EF4-FFF2-40B4-BE49-F238E27FC236}">
              <a16:creationId xmlns:a16="http://schemas.microsoft.com/office/drawing/2014/main" id="{00000000-0008-0000-0800-0000B700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184" name="rect">
          <a:extLst>
            <a:ext uri="{FF2B5EF4-FFF2-40B4-BE49-F238E27FC236}">
              <a16:creationId xmlns:a16="http://schemas.microsoft.com/office/drawing/2014/main" id="{00000000-0008-0000-0800-0000B800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952500</xdr:colOff>
      <xdr:row>0</xdr:row>
      <xdr:rowOff>0</xdr:rowOff>
    </xdr:from>
    <xdr:ext cx="180975" cy="647700"/>
    <xdr:sp macro="" textlink="">
      <xdr:nvSpPr>
        <xdr:cNvPr id="185" name="Rectángulo 184">
          <a:extLst>
            <a:ext uri="{FF2B5EF4-FFF2-40B4-BE49-F238E27FC236}">
              <a16:creationId xmlns:a16="http://schemas.microsoft.com/office/drawing/2014/main" id="{00000000-0008-0000-0800-0000B9000000}"/>
            </a:ext>
          </a:extLst>
        </xdr:cNvPr>
        <xdr:cNvSpPr/>
      </xdr:nvSpPr>
      <xdr:spPr>
        <a:xfrm>
          <a:off x="98679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186" name="Rectángulo 8">
          <a:extLst>
            <a:ext uri="{FF2B5EF4-FFF2-40B4-BE49-F238E27FC236}">
              <a16:creationId xmlns:a16="http://schemas.microsoft.com/office/drawing/2014/main" id="{00000000-0008-0000-0800-0000BA00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187" name="Rectángulo 8">
          <a:extLst>
            <a:ext uri="{FF2B5EF4-FFF2-40B4-BE49-F238E27FC236}">
              <a16:creationId xmlns:a16="http://schemas.microsoft.com/office/drawing/2014/main" id="{00000000-0008-0000-0800-0000BB00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188" name="rect">
          <a:extLst>
            <a:ext uri="{FF2B5EF4-FFF2-40B4-BE49-F238E27FC236}">
              <a16:creationId xmlns:a16="http://schemas.microsoft.com/office/drawing/2014/main" id="{00000000-0008-0000-0800-0000BC00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189" name="rect">
          <a:extLst>
            <a:ext uri="{FF2B5EF4-FFF2-40B4-BE49-F238E27FC236}">
              <a16:creationId xmlns:a16="http://schemas.microsoft.com/office/drawing/2014/main" id="{00000000-0008-0000-0800-0000BD00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952500</xdr:colOff>
      <xdr:row>0</xdr:row>
      <xdr:rowOff>0</xdr:rowOff>
    </xdr:from>
    <xdr:ext cx="180975" cy="647700"/>
    <xdr:sp macro="" textlink="">
      <xdr:nvSpPr>
        <xdr:cNvPr id="190" name="Rectángulo 8">
          <a:extLst>
            <a:ext uri="{FF2B5EF4-FFF2-40B4-BE49-F238E27FC236}">
              <a16:creationId xmlns:a16="http://schemas.microsoft.com/office/drawing/2014/main" id="{00000000-0008-0000-0800-0000BE000000}"/>
            </a:ext>
          </a:extLst>
        </xdr:cNvPr>
        <xdr:cNvSpPr/>
      </xdr:nvSpPr>
      <xdr:spPr>
        <a:xfrm>
          <a:off x="98679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191" name="Rectángulo 8">
          <a:extLst>
            <a:ext uri="{FF2B5EF4-FFF2-40B4-BE49-F238E27FC236}">
              <a16:creationId xmlns:a16="http://schemas.microsoft.com/office/drawing/2014/main" id="{00000000-0008-0000-0800-0000BF00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192" name="Rectángulo 191">
          <a:extLst>
            <a:ext uri="{FF2B5EF4-FFF2-40B4-BE49-F238E27FC236}">
              <a16:creationId xmlns:a16="http://schemas.microsoft.com/office/drawing/2014/main" id="{00000000-0008-0000-0800-0000C000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193" name="rect">
          <a:extLst>
            <a:ext uri="{FF2B5EF4-FFF2-40B4-BE49-F238E27FC236}">
              <a16:creationId xmlns:a16="http://schemas.microsoft.com/office/drawing/2014/main" id="{00000000-0008-0000-0800-0000C100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194" name="rect">
          <a:extLst>
            <a:ext uri="{FF2B5EF4-FFF2-40B4-BE49-F238E27FC236}">
              <a16:creationId xmlns:a16="http://schemas.microsoft.com/office/drawing/2014/main" id="{00000000-0008-0000-0800-0000C200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952500</xdr:colOff>
      <xdr:row>0</xdr:row>
      <xdr:rowOff>0</xdr:rowOff>
    </xdr:from>
    <xdr:ext cx="180975" cy="647700"/>
    <xdr:sp macro="" textlink="">
      <xdr:nvSpPr>
        <xdr:cNvPr id="195" name="Rectángulo 194">
          <a:extLst>
            <a:ext uri="{FF2B5EF4-FFF2-40B4-BE49-F238E27FC236}">
              <a16:creationId xmlns:a16="http://schemas.microsoft.com/office/drawing/2014/main" id="{00000000-0008-0000-0800-0000C3000000}"/>
            </a:ext>
          </a:extLst>
        </xdr:cNvPr>
        <xdr:cNvSpPr/>
      </xdr:nvSpPr>
      <xdr:spPr>
        <a:xfrm>
          <a:off x="98679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2</xdr:col>
      <xdr:colOff>1066800</xdr:colOff>
      <xdr:row>0</xdr:row>
      <xdr:rowOff>0</xdr:rowOff>
    </xdr:from>
    <xdr:ext cx="0" cy="38100"/>
    <xdr:sp macro="" textlink="">
      <xdr:nvSpPr>
        <xdr:cNvPr id="196" name="CuadroTexto 195">
          <a:extLst>
            <a:ext uri="{FF2B5EF4-FFF2-40B4-BE49-F238E27FC236}">
              <a16:creationId xmlns:a16="http://schemas.microsoft.com/office/drawing/2014/main" id="{00000000-0008-0000-0800-0000C4000000}"/>
            </a:ext>
          </a:extLst>
        </xdr:cNvPr>
        <xdr:cNvSpPr txBox="1"/>
      </xdr:nvSpPr>
      <xdr:spPr>
        <a:xfrm flipH="1">
          <a:off x="3295650" y="0"/>
          <a:ext cx="0" cy="38100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lvl="0" algn="ctr"/>
          <a:r>
            <a:rPr lang="es-MX" sz="1200" b="1">
              <a:solidFill>
                <a:sysClr val="windowText" lastClr="000000"/>
              </a:solidFill>
            </a:rPr>
            <a:t>ISLA 9: CAMBIO DE MIX POSICIONES 4, 5, 6 Y 7</a:t>
          </a: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197" name="Rectángulo 8">
          <a:extLst>
            <a:ext uri="{FF2B5EF4-FFF2-40B4-BE49-F238E27FC236}">
              <a16:creationId xmlns:a16="http://schemas.microsoft.com/office/drawing/2014/main" id="{00000000-0008-0000-0800-0000C500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198" name="Rectángulo 8">
          <a:extLst>
            <a:ext uri="{FF2B5EF4-FFF2-40B4-BE49-F238E27FC236}">
              <a16:creationId xmlns:a16="http://schemas.microsoft.com/office/drawing/2014/main" id="{00000000-0008-0000-0800-0000C600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199" name="rect">
          <a:extLst>
            <a:ext uri="{FF2B5EF4-FFF2-40B4-BE49-F238E27FC236}">
              <a16:creationId xmlns:a16="http://schemas.microsoft.com/office/drawing/2014/main" id="{00000000-0008-0000-0800-0000C700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200" name="rect">
          <a:extLst>
            <a:ext uri="{FF2B5EF4-FFF2-40B4-BE49-F238E27FC236}">
              <a16:creationId xmlns:a16="http://schemas.microsoft.com/office/drawing/2014/main" id="{00000000-0008-0000-0800-0000C800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952500</xdr:colOff>
      <xdr:row>0</xdr:row>
      <xdr:rowOff>0</xdr:rowOff>
    </xdr:from>
    <xdr:ext cx="180975" cy="647700"/>
    <xdr:sp macro="" textlink="">
      <xdr:nvSpPr>
        <xdr:cNvPr id="201" name="Rectángulo 8">
          <a:extLst>
            <a:ext uri="{FF2B5EF4-FFF2-40B4-BE49-F238E27FC236}">
              <a16:creationId xmlns:a16="http://schemas.microsoft.com/office/drawing/2014/main" id="{00000000-0008-0000-0800-0000C9000000}"/>
            </a:ext>
          </a:extLst>
        </xdr:cNvPr>
        <xdr:cNvSpPr/>
      </xdr:nvSpPr>
      <xdr:spPr>
        <a:xfrm>
          <a:off x="98679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202" name="Rectángulo 8">
          <a:extLst>
            <a:ext uri="{FF2B5EF4-FFF2-40B4-BE49-F238E27FC236}">
              <a16:creationId xmlns:a16="http://schemas.microsoft.com/office/drawing/2014/main" id="{00000000-0008-0000-0800-0000CA00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203" name="Rectángulo 8">
          <a:extLst>
            <a:ext uri="{FF2B5EF4-FFF2-40B4-BE49-F238E27FC236}">
              <a16:creationId xmlns:a16="http://schemas.microsoft.com/office/drawing/2014/main" id="{00000000-0008-0000-0800-0000CB00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204" name="rect">
          <a:extLst>
            <a:ext uri="{FF2B5EF4-FFF2-40B4-BE49-F238E27FC236}">
              <a16:creationId xmlns:a16="http://schemas.microsoft.com/office/drawing/2014/main" id="{00000000-0008-0000-0800-0000CC00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205" name="rect">
          <a:extLst>
            <a:ext uri="{FF2B5EF4-FFF2-40B4-BE49-F238E27FC236}">
              <a16:creationId xmlns:a16="http://schemas.microsoft.com/office/drawing/2014/main" id="{00000000-0008-0000-0800-0000CD00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952500</xdr:colOff>
      <xdr:row>0</xdr:row>
      <xdr:rowOff>0</xdr:rowOff>
    </xdr:from>
    <xdr:ext cx="180975" cy="647700"/>
    <xdr:sp macro="" textlink="">
      <xdr:nvSpPr>
        <xdr:cNvPr id="206" name="Rectángulo 205">
          <a:extLst>
            <a:ext uri="{FF2B5EF4-FFF2-40B4-BE49-F238E27FC236}">
              <a16:creationId xmlns:a16="http://schemas.microsoft.com/office/drawing/2014/main" id="{00000000-0008-0000-0800-0000CE000000}"/>
            </a:ext>
          </a:extLst>
        </xdr:cNvPr>
        <xdr:cNvSpPr/>
      </xdr:nvSpPr>
      <xdr:spPr>
        <a:xfrm>
          <a:off x="98679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207" name="Rectángulo 8">
          <a:extLst>
            <a:ext uri="{FF2B5EF4-FFF2-40B4-BE49-F238E27FC236}">
              <a16:creationId xmlns:a16="http://schemas.microsoft.com/office/drawing/2014/main" id="{00000000-0008-0000-0800-0000CF00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208" name="Rectángulo 8">
          <a:extLst>
            <a:ext uri="{FF2B5EF4-FFF2-40B4-BE49-F238E27FC236}">
              <a16:creationId xmlns:a16="http://schemas.microsoft.com/office/drawing/2014/main" id="{00000000-0008-0000-0800-0000D000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209" name="rect">
          <a:extLst>
            <a:ext uri="{FF2B5EF4-FFF2-40B4-BE49-F238E27FC236}">
              <a16:creationId xmlns:a16="http://schemas.microsoft.com/office/drawing/2014/main" id="{00000000-0008-0000-0800-0000D100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210" name="rect">
          <a:extLst>
            <a:ext uri="{FF2B5EF4-FFF2-40B4-BE49-F238E27FC236}">
              <a16:creationId xmlns:a16="http://schemas.microsoft.com/office/drawing/2014/main" id="{00000000-0008-0000-0800-0000D200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952500</xdr:colOff>
      <xdr:row>0</xdr:row>
      <xdr:rowOff>0</xdr:rowOff>
    </xdr:from>
    <xdr:ext cx="180975" cy="647700"/>
    <xdr:sp macro="" textlink="">
      <xdr:nvSpPr>
        <xdr:cNvPr id="211" name="Rectángulo 8">
          <a:extLst>
            <a:ext uri="{FF2B5EF4-FFF2-40B4-BE49-F238E27FC236}">
              <a16:creationId xmlns:a16="http://schemas.microsoft.com/office/drawing/2014/main" id="{00000000-0008-0000-0800-0000D3000000}"/>
            </a:ext>
          </a:extLst>
        </xdr:cNvPr>
        <xdr:cNvSpPr/>
      </xdr:nvSpPr>
      <xdr:spPr>
        <a:xfrm>
          <a:off x="98679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807383</xdr:colOff>
      <xdr:row>0</xdr:row>
      <xdr:rowOff>0</xdr:rowOff>
    </xdr:from>
    <xdr:ext cx="184731" cy="655885"/>
    <xdr:sp macro="" textlink="">
      <xdr:nvSpPr>
        <xdr:cNvPr id="212" name="Rectángulo 8">
          <a:extLst>
            <a:ext uri="{FF2B5EF4-FFF2-40B4-BE49-F238E27FC236}">
              <a16:creationId xmlns:a16="http://schemas.microsoft.com/office/drawing/2014/main" id="{00000000-0008-0000-0800-0000D4000000}"/>
            </a:ext>
          </a:extLst>
        </xdr:cNvPr>
        <xdr:cNvSpPr/>
      </xdr:nvSpPr>
      <xdr:spPr>
        <a:xfrm>
          <a:off x="97227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0</xdr:row>
      <xdr:rowOff>0</xdr:rowOff>
    </xdr:from>
    <xdr:ext cx="184731" cy="655885"/>
    <xdr:sp macro="" textlink="">
      <xdr:nvSpPr>
        <xdr:cNvPr id="213" name="Rectángulo 8">
          <a:extLst>
            <a:ext uri="{FF2B5EF4-FFF2-40B4-BE49-F238E27FC236}">
              <a16:creationId xmlns:a16="http://schemas.microsoft.com/office/drawing/2014/main" id="{00000000-0008-0000-0800-0000D5000000}"/>
            </a:ext>
          </a:extLst>
        </xdr:cNvPr>
        <xdr:cNvSpPr/>
      </xdr:nvSpPr>
      <xdr:spPr>
        <a:xfrm>
          <a:off x="97227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959783</xdr:colOff>
      <xdr:row>0</xdr:row>
      <xdr:rowOff>0</xdr:rowOff>
    </xdr:from>
    <xdr:ext cx="184731" cy="655885"/>
    <xdr:sp macro="" textlink="">
      <xdr:nvSpPr>
        <xdr:cNvPr id="214" name="Rectángulo 213">
          <a:extLst>
            <a:ext uri="{FF2B5EF4-FFF2-40B4-BE49-F238E27FC236}">
              <a16:creationId xmlns:a16="http://schemas.microsoft.com/office/drawing/2014/main" id="{00000000-0008-0000-0800-0000D6000000}"/>
            </a:ext>
          </a:extLst>
        </xdr:cNvPr>
        <xdr:cNvSpPr/>
      </xdr:nvSpPr>
      <xdr:spPr>
        <a:xfrm>
          <a:off x="98751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0</xdr:row>
      <xdr:rowOff>0</xdr:rowOff>
    </xdr:from>
    <xdr:ext cx="184731" cy="655885"/>
    <xdr:sp macro="" textlink="">
      <xdr:nvSpPr>
        <xdr:cNvPr id="215" name="Rectángulo 214">
          <a:extLst>
            <a:ext uri="{FF2B5EF4-FFF2-40B4-BE49-F238E27FC236}">
              <a16:creationId xmlns:a16="http://schemas.microsoft.com/office/drawing/2014/main" id="{00000000-0008-0000-0800-0000D7000000}"/>
            </a:ext>
          </a:extLst>
        </xdr:cNvPr>
        <xdr:cNvSpPr/>
      </xdr:nvSpPr>
      <xdr:spPr>
        <a:xfrm>
          <a:off x="97227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0</xdr:row>
      <xdr:rowOff>0</xdr:rowOff>
    </xdr:from>
    <xdr:ext cx="184731" cy="655885"/>
    <xdr:sp macro="" textlink="">
      <xdr:nvSpPr>
        <xdr:cNvPr id="216" name="Rectángulo 8">
          <a:extLst>
            <a:ext uri="{FF2B5EF4-FFF2-40B4-BE49-F238E27FC236}">
              <a16:creationId xmlns:a16="http://schemas.microsoft.com/office/drawing/2014/main" id="{00000000-0008-0000-0800-0000D8000000}"/>
            </a:ext>
          </a:extLst>
        </xdr:cNvPr>
        <xdr:cNvSpPr/>
      </xdr:nvSpPr>
      <xdr:spPr>
        <a:xfrm>
          <a:off x="97227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959783</xdr:colOff>
      <xdr:row>0</xdr:row>
      <xdr:rowOff>0</xdr:rowOff>
    </xdr:from>
    <xdr:ext cx="184731" cy="655885"/>
    <xdr:sp macro="" textlink="">
      <xdr:nvSpPr>
        <xdr:cNvPr id="217" name="Rectángulo 216">
          <a:extLst>
            <a:ext uri="{FF2B5EF4-FFF2-40B4-BE49-F238E27FC236}">
              <a16:creationId xmlns:a16="http://schemas.microsoft.com/office/drawing/2014/main" id="{00000000-0008-0000-0800-0000D9000000}"/>
            </a:ext>
          </a:extLst>
        </xdr:cNvPr>
        <xdr:cNvSpPr/>
      </xdr:nvSpPr>
      <xdr:spPr>
        <a:xfrm>
          <a:off x="98751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0</xdr:row>
      <xdr:rowOff>0</xdr:rowOff>
    </xdr:from>
    <xdr:ext cx="184731" cy="655885"/>
    <xdr:sp macro="" textlink="">
      <xdr:nvSpPr>
        <xdr:cNvPr id="218" name="Rectángulo 8">
          <a:extLst>
            <a:ext uri="{FF2B5EF4-FFF2-40B4-BE49-F238E27FC236}">
              <a16:creationId xmlns:a16="http://schemas.microsoft.com/office/drawing/2014/main" id="{00000000-0008-0000-0800-0000DA000000}"/>
            </a:ext>
          </a:extLst>
        </xdr:cNvPr>
        <xdr:cNvSpPr/>
      </xdr:nvSpPr>
      <xdr:spPr>
        <a:xfrm>
          <a:off x="97227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0</xdr:row>
      <xdr:rowOff>0</xdr:rowOff>
    </xdr:from>
    <xdr:ext cx="184731" cy="655885"/>
    <xdr:sp macro="" textlink="">
      <xdr:nvSpPr>
        <xdr:cNvPr id="219" name="Rectángulo 8">
          <a:extLst>
            <a:ext uri="{FF2B5EF4-FFF2-40B4-BE49-F238E27FC236}">
              <a16:creationId xmlns:a16="http://schemas.microsoft.com/office/drawing/2014/main" id="{00000000-0008-0000-0800-0000DB000000}"/>
            </a:ext>
          </a:extLst>
        </xdr:cNvPr>
        <xdr:cNvSpPr/>
      </xdr:nvSpPr>
      <xdr:spPr>
        <a:xfrm>
          <a:off x="97227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959783</xdr:colOff>
      <xdr:row>0</xdr:row>
      <xdr:rowOff>0</xdr:rowOff>
    </xdr:from>
    <xdr:ext cx="184731" cy="655885"/>
    <xdr:sp macro="" textlink="">
      <xdr:nvSpPr>
        <xdr:cNvPr id="220" name="Rectángulo 219">
          <a:extLst>
            <a:ext uri="{FF2B5EF4-FFF2-40B4-BE49-F238E27FC236}">
              <a16:creationId xmlns:a16="http://schemas.microsoft.com/office/drawing/2014/main" id="{00000000-0008-0000-0800-0000DC000000}"/>
            </a:ext>
          </a:extLst>
        </xdr:cNvPr>
        <xdr:cNvSpPr/>
      </xdr:nvSpPr>
      <xdr:spPr>
        <a:xfrm>
          <a:off x="98751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0</xdr:row>
      <xdr:rowOff>0</xdr:rowOff>
    </xdr:from>
    <xdr:ext cx="184731" cy="655885"/>
    <xdr:sp macro="" textlink="">
      <xdr:nvSpPr>
        <xdr:cNvPr id="221" name="Rectángulo 220">
          <a:extLst>
            <a:ext uri="{FF2B5EF4-FFF2-40B4-BE49-F238E27FC236}">
              <a16:creationId xmlns:a16="http://schemas.microsoft.com/office/drawing/2014/main" id="{00000000-0008-0000-0800-0000DD000000}"/>
            </a:ext>
          </a:extLst>
        </xdr:cNvPr>
        <xdr:cNvSpPr/>
      </xdr:nvSpPr>
      <xdr:spPr>
        <a:xfrm>
          <a:off x="97227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0</xdr:row>
      <xdr:rowOff>0</xdr:rowOff>
    </xdr:from>
    <xdr:ext cx="184731" cy="655885"/>
    <xdr:sp macro="" textlink="">
      <xdr:nvSpPr>
        <xdr:cNvPr id="222" name="Rectángulo 8">
          <a:extLst>
            <a:ext uri="{FF2B5EF4-FFF2-40B4-BE49-F238E27FC236}">
              <a16:creationId xmlns:a16="http://schemas.microsoft.com/office/drawing/2014/main" id="{00000000-0008-0000-0800-0000DE000000}"/>
            </a:ext>
          </a:extLst>
        </xdr:cNvPr>
        <xdr:cNvSpPr/>
      </xdr:nvSpPr>
      <xdr:spPr>
        <a:xfrm>
          <a:off x="97227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959783</xdr:colOff>
      <xdr:row>0</xdr:row>
      <xdr:rowOff>0</xdr:rowOff>
    </xdr:from>
    <xdr:ext cx="184731" cy="655885"/>
    <xdr:sp macro="" textlink="">
      <xdr:nvSpPr>
        <xdr:cNvPr id="223" name="Rectángulo 222">
          <a:extLst>
            <a:ext uri="{FF2B5EF4-FFF2-40B4-BE49-F238E27FC236}">
              <a16:creationId xmlns:a16="http://schemas.microsoft.com/office/drawing/2014/main" id="{00000000-0008-0000-0800-0000DF000000}"/>
            </a:ext>
          </a:extLst>
        </xdr:cNvPr>
        <xdr:cNvSpPr/>
      </xdr:nvSpPr>
      <xdr:spPr>
        <a:xfrm>
          <a:off x="98751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0</xdr:col>
      <xdr:colOff>959783</xdr:colOff>
      <xdr:row>0</xdr:row>
      <xdr:rowOff>0</xdr:rowOff>
    </xdr:from>
    <xdr:ext cx="184731" cy="655885"/>
    <xdr:sp macro="" textlink="">
      <xdr:nvSpPr>
        <xdr:cNvPr id="224" name="Rectángulo 223">
          <a:extLst>
            <a:ext uri="{FF2B5EF4-FFF2-40B4-BE49-F238E27FC236}">
              <a16:creationId xmlns:a16="http://schemas.microsoft.com/office/drawing/2014/main" id="{00000000-0008-0000-0800-0000E0000000}"/>
            </a:ext>
          </a:extLst>
        </xdr:cNvPr>
        <xdr:cNvSpPr/>
      </xdr:nvSpPr>
      <xdr:spPr>
        <a:xfrm>
          <a:off x="9597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0</xdr:col>
      <xdr:colOff>959783</xdr:colOff>
      <xdr:row>0</xdr:row>
      <xdr:rowOff>0</xdr:rowOff>
    </xdr:from>
    <xdr:ext cx="184731" cy="655885"/>
    <xdr:sp macro="" textlink="">
      <xdr:nvSpPr>
        <xdr:cNvPr id="225" name="Rectángulo 224">
          <a:extLst>
            <a:ext uri="{FF2B5EF4-FFF2-40B4-BE49-F238E27FC236}">
              <a16:creationId xmlns:a16="http://schemas.microsoft.com/office/drawing/2014/main" id="{00000000-0008-0000-0800-0000E1000000}"/>
            </a:ext>
          </a:extLst>
        </xdr:cNvPr>
        <xdr:cNvSpPr/>
      </xdr:nvSpPr>
      <xdr:spPr>
        <a:xfrm>
          <a:off x="9597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2</xdr:col>
      <xdr:colOff>1066800</xdr:colOff>
      <xdr:row>0</xdr:row>
      <xdr:rowOff>0</xdr:rowOff>
    </xdr:from>
    <xdr:ext cx="0" cy="38100"/>
    <xdr:sp macro="" textlink="">
      <xdr:nvSpPr>
        <xdr:cNvPr id="226" name="CuadroTexto 225">
          <a:extLst>
            <a:ext uri="{FF2B5EF4-FFF2-40B4-BE49-F238E27FC236}">
              <a16:creationId xmlns:a16="http://schemas.microsoft.com/office/drawing/2014/main" id="{00000000-0008-0000-0800-0000E2000000}"/>
            </a:ext>
          </a:extLst>
        </xdr:cNvPr>
        <xdr:cNvSpPr txBox="1"/>
      </xdr:nvSpPr>
      <xdr:spPr>
        <a:xfrm flipH="1">
          <a:off x="3295650" y="0"/>
          <a:ext cx="0" cy="38100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lvl="0" algn="ctr"/>
          <a:r>
            <a:rPr lang="es-MX" sz="1200" b="1">
              <a:solidFill>
                <a:sysClr val="windowText" lastClr="000000"/>
              </a:solidFill>
            </a:rPr>
            <a:t>ISLA 9: CAMBIO DE MIX POSICIONES 4, 5, 6 Y 7</a:t>
          </a: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227" name="Rectángulo 8">
          <a:extLst>
            <a:ext uri="{FF2B5EF4-FFF2-40B4-BE49-F238E27FC236}">
              <a16:creationId xmlns:a16="http://schemas.microsoft.com/office/drawing/2014/main" id="{00000000-0008-0000-0800-0000E300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228" name="Rectángulo 8">
          <a:extLst>
            <a:ext uri="{FF2B5EF4-FFF2-40B4-BE49-F238E27FC236}">
              <a16:creationId xmlns:a16="http://schemas.microsoft.com/office/drawing/2014/main" id="{00000000-0008-0000-0800-0000E400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229" name="rect">
          <a:extLst>
            <a:ext uri="{FF2B5EF4-FFF2-40B4-BE49-F238E27FC236}">
              <a16:creationId xmlns:a16="http://schemas.microsoft.com/office/drawing/2014/main" id="{00000000-0008-0000-0800-0000E500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230" name="rect">
          <a:extLst>
            <a:ext uri="{FF2B5EF4-FFF2-40B4-BE49-F238E27FC236}">
              <a16:creationId xmlns:a16="http://schemas.microsoft.com/office/drawing/2014/main" id="{00000000-0008-0000-0800-0000E600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952500</xdr:colOff>
      <xdr:row>0</xdr:row>
      <xdr:rowOff>0</xdr:rowOff>
    </xdr:from>
    <xdr:ext cx="180975" cy="647700"/>
    <xdr:sp macro="" textlink="">
      <xdr:nvSpPr>
        <xdr:cNvPr id="231" name="Rectángulo 230">
          <a:extLst>
            <a:ext uri="{FF2B5EF4-FFF2-40B4-BE49-F238E27FC236}">
              <a16:creationId xmlns:a16="http://schemas.microsoft.com/office/drawing/2014/main" id="{00000000-0008-0000-0800-0000E7000000}"/>
            </a:ext>
          </a:extLst>
        </xdr:cNvPr>
        <xdr:cNvSpPr/>
      </xdr:nvSpPr>
      <xdr:spPr>
        <a:xfrm>
          <a:off x="98679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232" name="Rectángulo 8">
          <a:extLst>
            <a:ext uri="{FF2B5EF4-FFF2-40B4-BE49-F238E27FC236}">
              <a16:creationId xmlns:a16="http://schemas.microsoft.com/office/drawing/2014/main" id="{00000000-0008-0000-0800-0000E800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233" name="Rectángulo 8">
          <a:extLst>
            <a:ext uri="{FF2B5EF4-FFF2-40B4-BE49-F238E27FC236}">
              <a16:creationId xmlns:a16="http://schemas.microsoft.com/office/drawing/2014/main" id="{00000000-0008-0000-0800-0000E900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234" name="rect">
          <a:extLst>
            <a:ext uri="{FF2B5EF4-FFF2-40B4-BE49-F238E27FC236}">
              <a16:creationId xmlns:a16="http://schemas.microsoft.com/office/drawing/2014/main" id="{00000000-0008-0000-0800-0000EA00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235" name="rect">
          <a:extLst>
            <a:ext uri="{FF2B5EF4-FFF2-40B4-BE49-F238E27FC236}">
              <a16:creationId xmlns:a16="http://schemas.microsoft.com/office/drawing/2014/main" id="{00000000-0008-0000-0800-0000EB00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952500</xdr:colOff>
      <xdr:row>0</xdr:row>
      <xdr:rowOff>0</xdr:rowOff>
    </xdr:from>
    <xdr:ext cx="180975" cy="647700"/>
    <xdr:sp macro="" textlink="">
      <xdr:nvSpPr>
        <xdr:cNvPr id="236" name="Rectángulo 8">
          <a:extLst>
            <a:ext uri="{FF2B5EF4-FFF2-40B4-BE49-F238E27FC236}">
              <a16:creationId xmlns:a16="http://schemas.microsoft.com/office/drawing/2014/main" id="{00000000-0008-0000-0800-0000EC000000}"/>
            </a:ext>
          </a:extLst>
        </xdr:cNvPr>
        <xdr:cNvSpPr/>
      </xdr:nvSpPr>
      <xdr:spPr>
        <a:xfrm>
          <a:off x="98679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237" name="Rectángulo 8">
          <a:extLst>
            <a:ext uri="{FF2B5EF4-FFF2-40B4-BE49-F238E27FC236}">
              <a16:creationId xmlns:a16="http://schemas.microsoft.com/office/drawing/2014/main" id="{00000000-0008-0000-0800-0000ED00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238" name="Rectángulo 8">
          <a:extLst>
            <a:ext uri="{FF2B5EF4-FFF2-40B4-BE49-F238E27FC236}">
              <a16:creationId xmlns:a16="http://schemas.microsoft.com/office/drawing/2014/main" id="{00000000-0008-0000-0800-0000EE00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239" name="rect">
          <a:extLst>
            <a:ext uri="{FF2B5EF4-FFF2-40B4-BE49-F238E27FC236}">
              <a16:creationId xmlns:a16="http://schemas.microsoft.com/office/drawing/2014/main" id="{00000000-0008-0000-0800-0000EF00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240" name="rect">
          <a:extLst>
            <a:ext uri="{FF2B5EF4-FFF2-40B4-BE49-F238E27FC236}">
              <a16:creationId xmlns:a16="http://schemas.microsoft.com/office/drawing/2014/main" id="{00000000-0008-0000-0800-0000F000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952500</xdr:colOff>
      <xdr:row>0</xdr:row>
      <xdr:rowOff>0</xdr:rowOff>
    </xdr:from>
    <xdr:ext cx="180975" cy="647700"/>
    <xdr:sp macro="" textlink="">
      <xdr:nvSpPr>
        <xdr:cNvPr id="241" name="Rectángulo 240">
          <a:extLst>
            <a:ext uri="{FF2B5EF4-FFF2-40B4-BE49-F238E27FC236}">
              <a16:creationId xmlns:a16="http://schemas.microsoft.com/office/drawing/2014/main" id="{00000000-0008-0000-0800-0000F1000000}"/>
            </a:ext>
          </a:extLst>
        </xdr:cNvPr>
        <xdr:cNvSpPr/>
      </xdr:nvSpPr>
      <xdr:spPr>
        <a:xfrm>
          <a:off x="98679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242" name="Rectángulo 8">
          <a:extLst>
            <a:ext uri="{FF2B5EF4-FFF2-40B4-BE49-F238E27FC236}">
              <a16:creationId xmlns:a16="http://schemas.microsoft.com/office/drawing/2014/main" id="{00000000-0008-0000-0800-0000F200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243" name="Rectángulo 8">
          <a:extLst>
            <a:ext uri="{FF2B5EF4-FFF2-40B4-BE49-F238E27FC236}">
              <a16:creationId xmlns:a16="http://schemas.microsoft.com/office/drawing/2014/main" id="{00000000-0008-0000-0800-0000F300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244" name="rect">
          <a:extLst>
            <a:ext uri="{FF2B5EF4-FFF2-40B4-BE49-F238E27FC236}">
              <a16:creationId xmlns:a16="http://schemas.microsoft.com/office/drawing/2014/main" id="{00000000-0008-0000-0800-0000F400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245" name="rect">
          <a:extLst>
            <a:ext uri="{FF2B5EF4-FFF2-40B4-BE49-F238E27FC236}">
              <a16:creationId xmlns:a16="http://schemas.microsoft.com/office/drawing/2014/main" id="{00000000-0008-0000-0800-0000F500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952500</xdr:colOff>
      <xdr:row>0</xdr:row>
      <xdr:rowOff>0</xdr:rowOff>
    </xdr:from>
    <xdr:ext cx="180975" cy="647700"/>
    <xdr:sp macro="" textlink="">
      <xdr:nvSpPr>
        <xdr:cNvPr id="246" name="Rectángulo 8">
          <a:extLst>
            <a:ext uri="{FF2B5EF4-FFF2-40B4-BE49-F238E27FC236}">
              <a16:creationId xmlns:a16="http://schemas.microsoft.com/office/drawing/2014/main" id="{00000000-0008-0000-0800-0000F6000000}"/>
            </a:ext>
          </a:extLst>
        </xdr:cNvPr>
        <xdr:cNvSpPr/>
      </xdr:nvSpPr>
      <xdr:spPr>
        <a:xfrm>
          <a:off x="98679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247" name="Rectángulo 8">
          <a:extLst>
            <a:ext uri="{FF2B5EF4-FFF2-40B4-BE49-F238E27FC236}">
              <a16:creationId xmlns:a16="http://schemas.microsoft.com/office/drawing/2014/main" id="{00000000-0008-0000-0800-0000F700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248" name="Rectángulo 247">
          <a:extLst>
            <a:ext uri="{FF2B5EF4-FFF2-40B4-BE49-F238E27FC236}">
              <a16:creationId xmlns:a16="http://schemas.microsoft.com/office/drawing/2014/main" id="{00000000-0008-0000-0800-0000F800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249" name="rect">
          <a:extLst>
            <a:ext uri="{FF2B5EF4-FFF2-40B4-BE49-F238E27FC236}">
              <a16:creationId xmlns:a16="http://schemas.microsoft.com/office/drawing/2014/main" id="{00000000-0008-0000-0800-0000F900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250" name="rect">
          <a:extLst>
            <a:ext uri="{FF2B5EF4-FFF2-40B4-BE49-F238E27FC236}">
              <a16:creationId xmlns:a16="http://schemas.microsoft.com/office/drawing/2014/main" id="{00000000-0008-0000-0800-0000FA00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952500</xdr:colOff>
      <xdr:row>0</xdr:row>
      <xdr:rowOff>0</xdr:rowOff>
    </xdr:from>
    <xdr:ext cx="180975" cy="647700"/>
    <xdr:sp macro="" textlink="">
      <xdr:nvSpPr>
        <xdr:cNvPr id="251" name="Rectángulo 250">
          <a:extLst>
            <a:ext uri="{FF2B5EF4-FFF2-40B4-BE49-F238E27FC236}">
              <a16:creationId xmlns:a16="http://schemas.microsoft.com/office/drawing/2014/main" id="{00000000-0008-0000-0800-0000FB000000}"/>
            </a:ext>
          </a:extLst>
        </xdr:cNvPr>
        <xdr:cNvSpPr/>
      </xdr:nvSpPr>
      <xdr:spPr>
        <a:xfrm>
          <a:off x="98679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2</xdr:col>
      <xdr:colOff>1066800</xdr:colOff>
      <xdr:row>0</xdr:row>
      <xdr:rowOff>0</xdr:rowOff>
    </xdr:from>
    <xdr:ext cx="0" cy="38100"/>
    <xdr:sp macro="" textlink="">
      <xdr:nvSpPr>
        <xdr:cNvPr id="252" name="CuadroTexto 251">
          <a:extLst>
            <a:ext uri="{FF2B5EF4-FFF2-40B4-BE49-F238E27FC236}">
              <a16:creationId xmlns:a16="http://schemas.microsoft.com/office/drawing/2014/main" id="{00000000-0008-0000-0800-0000FC000000}"/>
            </a:ext>
          </a:extLst>
        </xdr:cNvPr>
        <xdr:cNvSpPr txBox="1"/>
      </xdr:nvSpPr>
      <xdr:spPr>
        <a:xfrm flipH="1">
          <a:off x="3295650" y="0"/>
          <a:ext cx="0" cy="38100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lvl="0" algn="ctr"/>
          <a:r>
            <a:rPr lang="es-MX" sz="1200" b="1">
              <a:solidFill>
                <a:sysClr val="windowText" lastClr="000000"/>
              </a:solidFill>
            </a:rPr>
            <a:t>ISLA 9: CAMBIO DE MIX POSICIONES 4, 5, 6 Y 7</a:t>
          </a: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253" name="Rectángulo 8">
          <a:extLst>
            <a:ext uri="{FF2B5EF4-FFF2-40B4-BE49-F238E27FC236}">
              <a16:creationId xmlns:a16="http://schemas.microsoft.com/office/drawing/2014/main" id="{00000000-0008-0000-0800-0000FD00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254" name="Rectángulo 8">
          <a:extLst>
            <a:ext uri="{FF2B5EF4-FFF2-40B4-BE49-F238E27FC236}">
              <a16:creationId xmlns:a16="http://schemas.microsoft.com/office/drawing/2014/main" id="{00000000-0008-0000-0800-0000FE00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255" name="rect">
          <a:extLst>
            <a:ext uri="{FF2B5EF4-FFF2-40B4-BE49-F238E27FC236}">
              <a16:creationId xmlns:a16="http://schemas.microsoft.com/office/drawing/2014/main" id="{00000000-0008-0000-0800-0000FF00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256" name="rect">
          <a:extLst>
            <a:ext uri="{FF2B5EF4-FFF2-40B4-BE49-F238E27FC236}">
              <a16:creationId xmlns:a16="http://schemas.microsoft.com/office/drawing/2014/main" id="{00000000-0008-0000-0800-00000001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952500</xdr:colOff>
      <xdr:row>0</xdr:row>
      <xdr:rowOff>0</xdr:rowOff>
    </xdr:from>
    <xdr:ext cx="180975" cy="647700"/>
    <xdr:sp macro="" textlink="">
      <xdr:nvSpPr>
        <xdr:cNvPr id="257" name="Rectángulo 8">
          <a:extLst>
            <a:ext uri="{FF2B5EF4-FFF2-40B4-BE49-F238E27FC236}">
              <a16:creationId xmlns:a16="http://schemas.microsoft.com/office/drawing/2014/main" id="{00000000-0008-0000-0800-000001010000}"/>
            </a:ext>
          </a:extLst>
        </xdr:cNvPr>
        <xdr:cNvSpPr/>
      </xdr:nvSpPr>
      <xdr:spPr>
        <a:xfrm>
          <a:off x="98679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258" name="Rectángulo 8">
          <a:extLst>
            <a:ext uri="{FF2B5EF4-FFF2-40B4-BE49-F238E27FC236}">
              <a16:creationId xmlns:a16="http://schemas.microsoft.com/office/drawing/2014/main" id="{00000000-0008-0000-0800-00000201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259" name="Rectángulo 8">
          <a:extLst>
            <a:ext uri="{FF2B5EF4-FFF2-40B4-BE49-F238E27FC236}">
              <a16:creationId xmlns:a16="http://schemas.microsoft.com/office/drawing/2014/main" id="{00000000-0008-0000-0800-00000301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260" name="rect">
          <a:extLst>
            <a:ext uri="{FF2B5EF4-FFF2-40B4-BE49-F238E27FC236}">
              <a16:creationId xmlns:a16="http://schemas.microsoft.com/office/drawing/2014/main" id="{00000000-0008-0000-0800-00000401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261" name="rect">
          <a:extLst>
            <a:ext uri="{FF2B5EF4-FFF2-40B4-BE49-F238E27FC236}">
              <a16:creationId xmlns:a16="http://schemas.microsoft.com/office/drawing/2014/main" id="{00000000-0008-0000-0800-00000501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952500</xdr:colOff>
      <xdr:row>0</xdr:row>
      <xdr:rowOff>0</xdr:rowOff>
    </xdr:from>
    <xdr:ext cx="180975" cy="647700"/>
    <xdr:sp macro="" textlink="">
      <xdr:nvSpPr>
        <xdr:cNvPr id="262" name="Rectángulo 261">
          <a:extLst>
            <a:ext uri="{FF2B5EF4-FFF2-40B4-BE49-F238E27FC236}">
              <a16:creationId xmlns:a16="http://schemas.microsoft.com/office/drawing/2014/main" id="{00000000-0008-0000-0800-000006010000}"/>
            </a:ext>
          </a:extLst>
        </xdr:cNvPr>
        <xdr:cNvSpPr/>
      </xdr:nvSpPr>
      <xdr:spPr>
        <a:xfrm>
          <a:off x="98679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263" name="Rectángulo 8">
          <a:extLst>
            <a:ext uri="{FF2B5EF4-FFF2-40B4-BE49-F238E27FC236}">
              <a16:creationId xmlns:a16="http://schemas.microsoft.com/office/drawing/2014/main" id="{00000000-0008-0000-0800-00000701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264" name="Rectángulo 8">
          <a:extLst>
            <a:ext uri="{FF2B5EF4-FFF2-40B4-BE49-F238E27FC236}">
              <a16:creationId xmlns:a16="http://schemas.microsoft.com/office/drawing/2014/main" id="{00000000-0008-0000-0800-00000801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265" name="rect">
          <a:extLst>
            <a:ext uri="{FF2B5EF4-FFF2-40B4-BE49-F238E27FC236}">
              <a16:creationId xmlns:a16="http://schemas.microsoft.com/office/drawing/2014/main" id="{00000000-0008-0000-0800-00000901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266" name="rect">
          <a:extLst>
            <a:ext uri="{FF2B5EF4-FFF2-40B4-BE49-F238E27FC236}">
              <a16:creationId xmlns:a16="http://schemas.microsoft.com/office/drawing/2014/main" id="{00000000-0008-0000-0800-00000A01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952500</xdr:colOff>
      <xdr:row>0</xdr:row>
      <xdr:rowOff>0</xdr:rowOff>
    </xdr:from>
    <xdr:ext cx="180975" cy="647700"/>
    <xdr:sp macro="" textlink="">
      <xdr:nvSpPr>
        <xdr:cNvPr id="267" name="Rectángulo 8">
          <a:extLst>
            <a:ext uri="{FF2B5EF4-FFF2-40B4-BE49-F238E27FC236}">
              <a16:creationId xmlns:a16="http://schemas.microsoft.com/office/drawing/2014/main" id="{00000000-0008-0000-0800-00000B010000}"/>
            </a:ext>
          </a:extLst>
        </xdr:cNvPr>
        <xdr:cNvSpPr/>
      </xdr:nvSpPr>
      <xdr:spPr>
        <a:xfrm>
          <a:off x="98679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807383</xdr:colOff>
      <xdr:row>0</xdr:row>
      <xdr:rowOff>0</xdr:rowOff>
    </xdr:from>
    <xdr:ext cx="184731" cy="655885"/>
    <xdr:sp macro="" textlink="">
      <xdr:nvSpPr>
        <xdr:cNvPr id="268" name="Rectángulo 8">
          <a:extLst>
            <a:ext uri="{FF2B5EF4-FFF2-40B4-BE49-F238E27FC236}">
              <a16:creationId xmlns:a16="http://schemas.microsoft.com/office/drawing/2014/main" id="{00000000-0008-0000-0800-00000C010000}"/>
            </a:ext>
          </a:extLst>
        </xdr:cNvPr>
        <xdr:cNvSpPr/>
      </xdr:nvSpPr>
      <xdr:spPr>
        <a:xfrm>
          <a:off x="97227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0</xdr:row>
      <xdr:rowOff>0</xdr:rowOff>
    </xdr:from>
    <xdr:ext cx="184731" cy="655885"/>
    <xdr:sp macro="" textlink="">
      <xdr:nvSpPr>
        <xdr:cNvPr id="269" name="Rectángulo 8">
          <a:extLst>
            <a:ext uri="{FF2B5EF4-FFF2-40B4-BE49-F238E27FC236}">
              <a16:creationId xmlns:a16="http://schemas.microsoft.com/office/drawing/2014/main" id="{00000000-0008-0000-0800-00000D010000}"/>
            </a:ext>
          </a:extLst>
        </xdr:cNvPr>
        <xdr:cNvSpPr/>
      </xdr:nvSpPr>
      <xdr:spPr>
        <a:xfrm>
          <a:off x="97227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959783</xdr:colOff>
      <xdr:row>0</xdr:row>
      <xdr:rowOff>0</xdr:rowOff>
    </xdr:from>
    <xdr:ext cx="184731" cy="655885"/>
    <xdr:sp macro="" textlink="">
      <xdr:nvSpPr>
        <xdr:cNvPr id="270" name="Rectángulo 269">
          <a:extLst>
            <a:ext uri="{FF2B5EF4-FFF2-40B4-BE49-F238E27FC236}">
              <a16:creationId xmlns:a16="http://schemas.microsoft.com/office/drawing/2014/main" id="{00000000-0008-0000-0800-00000E010000}"/>
            </a:ext>
          </a:extLst>
        </xdr:cNvPr>
        <xdr:cNvSpPr/>
      </xdr:nvSpPr>
      <xdr:spPr>
        <a:xfrm>
          <a:off x="98751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0</xdr:row>
      <xdr:rowOff>0</xdr:rowOff>
    </xdr:from>
    <xdr:ext cx="184731" cy="655885"/>
    <xdr:sp macro="" textlink="">
      <xdr:nvSpPr>
        <xdr:cNvPr id="271" name="Rectángulo 270">
          <a:extLst>
            <a:ext uri="{FF2B5EF4-FFF2-40B4-BE49-F238E27FC236}">
              <a16:creationId xmlns:a16="http://schemas.microsoft.com/office/drawing/2014/main" id="{00000000-0008-0000-0800-00000F010000}"/>
            </a:ext>
          </a:extLst>
        </xdr:cNvPr>
        <xdr:cNvSpPr/>
      </xdr:nvSpPr>
      <xdr:spPr>
        <a:xfrm>
          <a:off x="97227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0</xdr:row>
      <xdr:rowOff>0</xdr:rowOff>
    </xdr:from>
    <xdr:ext cx="184731" cy="655885"/>
    <xdr:sp macro="" textlink="">
      <xdr:nvSpPr>
        <xdr:cNvPr id="272" name="Rectángulo 8">
          <a:extLst>
            <a:ext uri="{FF2B5EF4-FFF2-40B4-BE49-F238E27FC236}">
              <a16:creationId xmlns:a16="http://schemas.microsoft.com/office/drawing/2014/main" id="{00000000-0008-0000-0800-000010010000}"/>
            </a:ext>
          </a:extLst>
        </xdr:cNvPr>
        <xdr:cNvSpPr/>
      </xdr:nvSpPr>
      <xdr:spPr>
        <a:xfrm>
          <a:off x="97227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959783</xdr:colOff>
      <xdr:row>0</xdr:row>
      <xdr:rowOff>0</xdr:rowOff>
    </xdr:from>
    <xdr:ext cx="184731" cy="655885"/>
    <xdr:sp macro="" textlink="">
      <xdr:nvSpPr>
        <xdr:cNvPr id="273" name="Rectángulo 272">
          <a:extLst>
            <a:ext uri="{FF2B5EF4-FFF2-40B4-BE49-F238E27FC236}">
              <a16:creationId xmlns:a16="http://schemas.microsoft.com/office/drawing/2014/main" id="{00000000-0008-0000-0800-000011010000}"/>
            </a:ext>
          </a:extLst>
        </xdr:cNvPr>
        <xdr:cNvSpPr/>
      </xdr:nvSpPr>
      <xdr:spPr>
        <a:xfrm>
          <a:off x="98751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0</xdr:row>
      <xdr:rowOff>0</xdr:rowOff>
    </xdr:from>
    <xdr:ext cx="184731" cy="655885"/>
    <xdr:sp macro="" textlink="">
      <xdr:nvSpPr>
        <xdr:cNvPr id="274" name="Rectángulo 8">
          <a:extLst>
            <a:ext uri="{FF2B5EF4-FFF2-40B4-BE49-F238E27FC236}">
              <a16:creationId xmlns:a16="http://schemas.microsoft.com/office/drawing/2014/main" id="{00000000-0008-0000-0800-000012010000}"/>
            </a:ext>
          </a:extLst>
        </xdr:cNvPr>
        <xdr:cNvSpPr/>
      </xdr:nvSpPr>
      <xdr:spPr>
        <a:xfrm>
          <a:off x="97227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0</xdr:row>
      <xdr:rowOff>0</xdr:rowOff>
    </xdr:from>
    <xdr:ext cx="184731" cy="655885"/>
    <xdr:sp macro="" textlink="">
      <xdr:nvSpPr>
        <xdr:cNvPr id="275" name="Rectángulo 8">
          <a:extLst>
            <a:ext uri="{FF2B5EF4-FFF2-40B4-BE49-F238E27FC236}">
              <a16:creationId xmlns:a16="http://schemas.microsoft.com/office/drawing/2014/main" id="{00000000-0008-0000-0800-000013010000}"/>
            </a:ext>
          </a:extLst>
        </xdr:cNvPr>
        <xdr:cNvSpPr/>
      </xdr:nvSpPr>
      <xdr:spPr>
        <a:xfrm>
          <a:off x="97227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959783</xdr:colOff>
      <xdr:row>0</xdr:row>
      <xdr:rowOff>0</xdr:rowOff>
    </xdr:from>
    <xdr:ext cx="184731" cy="655885"/>
    <xdr:sp macro="" textlink="">
      <xdr:nvSpPr>
        <xdr:cNvPr id="276" name="Rectángulo 275">
          <a:extLst>
            <a:ext uri="{FF2B5EF4-FFF2-40B4-BE49-F238E27FC236}">
              <a16:creationId xmlns:a16="http://schemas.microsoft.com/office/drawing/2014/main" id="{00000000-0008-0000-0800-000014010000}"/>
            </a:ext>
          </a:extLst>
        </xdr:cNvPr>
        <xdr:cNvSpPr/>
      </xdr:nvSpPr>
      <xdr:spPr>
        <a:xfrm>
          <a:off x="98751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0</xdr:row>
      <xdr:rowOff>0</xdr:rowOff>
    </xdr:from>
    <xdr:ext cx="184731" cy="655885"/>
    <xdr:sp macro="" textlink="">
      <xdr:nvSpPr>
        <xdr:cNvPr id="277" name="Rectángulo 276">
          <a:extLst>
            <a:ext uri="{FF2B5EF4-FFF2-40B4-BE49-F238E27FC236}">
              <a16:creationId xmlns:a16="http://schemas.microsoft.com/office/drawing/2014/main" id="{00000000-0008-0000-0800-000015010000}"/>
            </a:ext>
          </a:extLst>
        </xdr:cNvPr>
        <xdr:cNvSpPr/>
      </xdr:nvSpPr>
      <xdr:spPr>
        <a:xfrm>
          <a:off x="97227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0</xdr:row>
      <xdr:rowOff>0</xdr:rowOff>
    </xdr:from>
    <xdr:ext cx="184731" cy="655885"/>
    <xdr:sp macro="" textlink="">
      <xdr:nvSpPr>
        <xdr:cNvPr id="278" name="Rectángulo 8">
          <a:extLst>
            <a:ext uri="{FF2B5EF4-FFF2-40B4-BE49-F238E27FC236}">
              <a16:creationId xmlns:a16="http://schemas.microsoft.com/office/drawing/2014/main" id="{00000000-0008-0000-0800-000016010000}"/>
            </a:ext>
          </a:extLst>
        </xdr:cNvPr>
        <xdr:cNvSpPr/>
      </xdr:nvSpPr>
      <xdr:spPr>
        <a:xfrm>
          <a:off x="97227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959783</xdr:colOff>
      <xdr:row>0</xdr:row>
      <xdr:rowOff>0</xdr:rowOff>
    </xdr:from>
    <xdr:ext cx="184731" cy="655885"/>
    <xdr:sp macro="" textlink="">
      <xdr:nvSpPr>
        <xdr:cNvPr id="279" name="Rectángulo 278">
          <a:extLst>
            <a:ext uri="{FF2B5EF4-FFF2-40B4-BE49-F238E27FC236}">
              <a16:creationId xmlns:a16="http://schemas.microsoft.com/office/drawing/2014/main" id="{00000000-0008-0000-0800-000017010000}"/>
            </a:ext>
          </a:extLst>
        </xdr:cNvPr>
        <xdr:cNvSpPr/>
      </xdr:nvSpPr>
      <xdr:spPr>
        <a:xfrm>
          <a:off x="98751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0</xdr:col>
      <xdr:colOff>959783</xdr:colOff>
      <xdr:row>0</xdr:row>
      <xdr:rowOff>0</xdr:rowOff>
    </xdr:from>
    <xdr:ext cx="184731" cy="655885"/>
    <xdr:sp macro="" textlink="">
      <xdr:nvSpPr>
        <xdr:cNvPr id="280" name="Rectángulo 279">
          <a:extLst>
            <a:ext uri="{FF2B5EF4-FFF2-40B4-BE49-F238E27FC236}">
              <a16:creationId xmlns:a16="http://schemas.microsoft.com/office/drawing/2014/main" id="{00000000-0008-0000-0800-000018010000}"/>
            </a:ext>
          </a:extLst>
        </xdr:cNvPr>
        <xdr:cNvSpPr/>
      </xdr:nvSpPr>
      <xdr:spPr>
        <a:xfrm>
          <a:off x="9597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0</xdr:col>
      <xdr:colOff>959783</xdr:colOff>
      <xdr:row>0</xdr:row>
      <xdr:rowOff>0</xdr:rowOff>
    </xdr:from>
    <xdr:ext cx="184731" cy="655885"/>
    <xdr:sp macro="" textlink="">
      <xdr:nvSpPr>
        <xdr:cNvPr id="281" name="Rectángulo 280">
          <a:extLst>
            <a:ext uri="{FF2B5EF4-FFF2-40B4-BE49-F238E27FC236}">
              <a16:creationId xmlns:a16="http://schemas.microsoft.com/office/drawing/2014/main" id="{00000000-0008-0000-0800-000019010000}"/>
            </a:ext>
          </a:extLst>
        </xdr:cNvPr>
        <xdr:cNvSpPr/>
      </xdr:nvSpPr>
      <xdr:spPr>
        <a:xfrm>
          <a:off x="9597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2</xdr:col>
      <xdr:colOff>1066800</xdr:colOff>
      <xdr:row>0</xdr:row>
      <xdr:rowOff>0</xdr:rowOff>
    </xdr:from>
    <xdr:ext cx="0" cy="38100"/>
    <xdr:sp macro="" textlink="">
      <xdr:nvSpPr>
        <xdr:cNvPr id="282" name="CuadroTexto 281">
          <a:extLst>
            <a:ext uri="{FF2B5EF4-FFF2-40B4-BE49-F238E27FC236}">
              <a16:creationId xmlns:a16="http://schemas.microsoft.com/office/drawing/2014/main" id="{00000000-0008-0000-0800-00001A010000}"/>
            </a:ext>
          </a:extLst>
        </xdr:cNvPr>
        <xdr:cNvSpPr txBox="1"/>
      </xdr:nvSpPr>
      <xdr:spPr>
        <a:xfrm flipH="1">
          <a:off x="3295650" y="0"/>
          <a:ext cx="0" cy="38100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lvl="0" algn="ctr"/>
          <a:r>
            <a:rPr lang="es-MX" sz="1200" b="1">
              <a:solidFill>
                <a:sysClr val="windowText" lastClr="000000"/>
              </a:solidFill>
            </a:rPr>
            <a:t>ISLA 9: CAMBIO DE MIX POSICIONES 4, 5, 6 Y 7</a:t>
          </a: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283" name="Rectángulo 8">
          <a:extLst>
            <a:ext uri="{FF2B5EF4-FFF2-40B4-BE49-F238E27FC236}">
              <a16:creationId xmlns:a16="http://schemas.microsoft.com/office/drawing/2014/main" id="{00000000-0008-0000-0800-00001B01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284" name="Rectángulo 8">
          <a:extLst>
            <a:ext uri="{FF2B5EF4-FFF2-40B4-BE49-F238E27FC236}">
              <a16:creationId xmlns:a16="http://schemas.microsoft.com/office/drawing/2014/main" id="{00000000-0008-0000-0800-00001C01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285" name="rect">
          <a:extLst>
            <a:ext uri="{FF2B5EF4-FFF2-40B4-BE49-F238E27FC236}">
              <a16:creationId xmlns:a16="http://schemas.microsoft.com/office/drawing/2014/main" id="{00000000-0008-0000-0800-00001D01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286" name="rect">
          <a:extLst>
            <a:ext uri="{FF2B5EF4-FFF2-40B4-BE49-F238E27FC236}">
              <a16:creationId xmlns:a16="http://schemas.microsoft.com/office/drawing/2014/main" id="{00000000-0008-0000-0800-00001E01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952500</xdr:colOff>
      <xdr:row>0</xdr:row>
      <xdr:rowOff>0</xdr:rowOff>
    </xdr:from>
    <xdr:ext cx="180975" cy="647700"/>
    <xdr:sp macro="" textlink="">
      <xdr:nvSpPr>
        <xdr:cNvPr id="287" name="Rectángulo 286">
          <a:extLst>
            <a:ext uri="{FF2B5EF4-FFF2-40B4-BE49-F238E27FC236}">
              <a16:creationId xmlns:a16="http://schemas.microsoft.com/office/drawing/2014/main" id="{00000000-0008-0000-0800-00001F010000}"/>
            </a:ext>
          </a:extLst>
        </xdr:cNvPr>
        <xdr:cNvSpPr/>
      </xdr:nvSpPr>
      <xdr:spPr>
        <a:xfrm>
          <a:off x="98679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288" name="Rectángulo 8">
          <a:extLst>
            <a:ext uri="{FF2B5EF4-FFF2-40B4-BE49-F238E27FC236}">
              <a16:creationId xmlns:a16="http://schemas.microsoft.com/office/drawing/2014/main" id="{00000000-0008-0000-0800-00002001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289" name="Rectángulo 8">
          <a:extLst>
            <a:ext uri="{FF2B5EF4-FFF2-40B4-BE49-F238E27FC236}">
              <a16:creationId xmlns:a16="http://schemas.microsoft.com/office/drawing/2014/main" id="{00000000-0008-0000-0800-00002101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290" name="rect">
          <a:extLst>
            <a:ext uri="{FF2B5EF4-FFF2-40B4-BE49-F238E27FC236}">
              <a16:creationId xmlns:a16="http://schemas.microsoft.com/office/drawing/2014/main" id="{00000000-0008-0000-0800-00002201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291" name="rect">
          <a:extLst>
            <a:ext uri="{FF2B5EF4-FFF2-40B4-BE49-F238E27FC236}">
              <a16:creationId xmlns:a16="http://schemas.microsoft.com/office/drawing/2014/main" id="{00000000-0008-0000-0800-00002301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952500</xdr:colOff>
      <xdr:row>0</xdr:row>
      <xdr:rowOff>0</xdr:rowOff>
    </xdr:from>
    <xdr:ext cx="180975" cy="647700"/>
    <xdr:sp macro="" textlink="">
      <xdr:nvSpPr>
        <xdr:cNvPr id="292" name="Rectángulo 8">
          <a:extLst>
            <a:ext uri="{FF2B5EF4-FFF2-40B4-BE49-F238E27FC236}">
              <a16:creationId xmlns:a16="http://schemas.microsoft.com/office/drawing/2014/main" id="{00000000-0008-0000-0800-000024010000}"/>
            </a:ext>
          </a:extLst>
        </xdr:cNvPr>
        <xdr:cNvSpPr/>
      </xdr:nvSpPr>
      <xdr:spPr>
        <a:xfrm>
          <a:off x="98679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293" name="Rectángulo 8">
          <a:extLst>
            <a:ext uri="{FF2B5EF4-FFF2-40B4-BE49-F238E27FC236}">
              <a16:creationId xmlns:a16="http://schemas.microsoft.com/office/drawing/2014/main" id="{00000000-0008-0000-0800-00002501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294" name="Rectángulo 8">
          <a:extLst>
            <a:ext uri="{FF2B5EF4-FFF2-40B4-BE49-F238E27FC236}">
              <a16:creationId xmlns:a16="http://schemas.microsoft.com/office/drawing/2014/main" id="{00000000-0008-0000-0800-00002601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295" name="rect">
          <a:extLst>
            <a:ext uri="{FF2B5EF4-FFF2-40B4-BE49-F238E27FC236}">
              <a16:creationId xmlns:a16="http://schemas.microsoft.com/office/drawing/2014/main" id="{00000000-0008-0000-0800-00002701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296" name="rect">
          <a:extLst>
            <a:ext uri="{FF2B5EF4-FFF2-40B4-BE49-F238E27FC236}">
              <a16:creationId xmlns:a16="http://schemas.microsoft.com/office/drawing/2014/main" id="{00000000-0008-0000-0800-00002801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952500</xdr:colOff>
      <xdr:row>0</xdr:row>
      <xdr:rowOff>0</xdr:rowOff>
    </xdr:from>
    <xdr:ext cx="180975" cy="647700"/>
    <xdr:sp macro="" textlink="">
      <xdr:nvSpPr>
        <xdr:cNvPr id="297" name="Rectángulo 296">
          <a:extLst>
            <a:ext uri="{FF2B5EF4-FFF2-40B4-BE49-F238E27FC236}">
              <a16:creationId xmlns:a16="http://schemas.microsoft.com/office/drawing/2014/main" id="{00000000-0008-0000-0800-000029010000}"/>
            </a:ext>
          </a:extLst>
        </xdr:cNvPr>
        <xdr:cNvSpPr/>
      </xdr:nvSpPr>
      <xdr:spPr>
        <a:xfrm>
          <a:off x="98679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298" name="Rectángulo 8">
          <a:extLst>
            <a:ext uri="{FF2B5EF4-FFF2-40B4-BE49-F238E27FC236}">
              <a16:creationId xmlns:a16="http://schemas.microsoft.com/office/drawing/2014/main" id="{00000000-0008-0000-0800-00002A01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299" name="Rectángulo 8">
          <a:extLst>
            <a:ext uri="{FF2B5EF4-FFF2-40B4-BE49-F238E27FC236}">
              <a16:creationId xmlns:a16="http://schemas.microsoft.com/office/drawing/2014/main" id="{00000000-0008-0000-0800-00002B01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300" name="rect">
          <a:extLst>
            <a:ext uri="{FF2B5EF4-FFF2-40B4-BE49-F238E27FC236}">
              <a16:creationId xmlns:a16="http://schemas.microsoft.com/office/drawing/2014/main" id="{00000000-0008-0000-0800-00002C01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301" name="rect">
          <a:extLst>
            <a:ext uri="{FF2B5EF4-FFF2-40B4-BE49-F238E27FC236}">
              <a16:creationId xmlns:a16="http://schemas.microsoft.com/office/drawing/2014/main" id="{00000000-0008-0000-0800-00002D01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952500</xdr:colOff>
      <xdr:row>0</xdr:row>
      <xdr:rowOff>0</xdr:rowOff>
    </xdr:from>
    <xdr:ext cx="180975" cy="647700"/>
    <xdr:sp macro="" textlink="">
      <xdr:nvSpPr>
        <xdr:cNvPr id="302" name="Rectángulo 8">
          <a:extLst>
            <a:ext uri="{FF2B5EF4-FFF2-40B4-BE49-F238E27FC236}">
              <a16:creationId xmlns:a16="http://schemas.microsoft.com/office/drawing/2014/main" id="{00000000-0008-0000-0800-00002E010000}"/>
            </a:ext>
          </a:extLst>
        </xdr:cNvPr>
        <xdr:cNvSpPr/>
      </xdr:nvSpPr>
      <xdr:spPr>
        <a:xfrm>
          <a:off x="98679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303" name="Rectángulo 8">
          <a:extLst>
            <a:ext uri="{FF2B5EF4-FFF2-40B4-BE49-F238E27FC236}">
              <a16:creationId xmlns:a16="http://schemas.microsoft.com/office/drawing/2014/main" id="{00000000-0008-0000-0800-00002F01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304" name="Rectángulo 303">
          <a:extLst>
            <a:ext uri="{FF2B5EF4-FFF2-40B4-BE49-F238E27FC236}">
              <a16:creationId xmlns:a16="http://schemas.microsoft.com/office/drawing/2014/main" id="{00000000-0008-0000-0800-00003001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305" name="rect">
          <a:extLst>
            <a:ext uri="{FF2B5EF4-FFF2-40B4-BE49-F238E27FC236}">
              <a16:creationId xmlns:a16="http://schemas.microsoft.com/office/drawing/2014/main" id="{00000000-0008-0000-0800-00003101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306" name="rect">
          <a:extLst>
            <a:ext uri="{FF2B5EF4-FFF2-40B4-BE49-F238E27FC236}">
              <a16:creationId xmlns:a16="http://schemas.microsoft.com/office/drawing/2014/main" id="{00000000-0008-0000-0800-00003201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952500</xdr:colOff>
      <xdr:row>0</xdr:row>
      <xdr:rowOff>0</xdr:rowOff>
    </xdr:from>
    <xdr:ext cx="180975" cy="647700"/>
    <xdr:sp macro="" textlink="">
      <xdr:nvSpPr>
        <xdr:cNvPr id="307" name="Rectángulo 306">
          <a:extLst>
            <a:ext uri="{FF2B5EF4-FFF2-40B4-BE49-F238E27FC236}">
              <a16:creationId xmlns:a16="http://schemas.microsoft.com/office/drawing/2014/main" id="{00000000-0008-0000-0800-000033010000}"/>
            </a:ext>
          </a:extLst>
        </xdr:cNvPr>
        <xdr:cNvSpPr/>
      </xdr:nvSpPr>
      <xdr:spPr>
        <a:xfrm>
          <a:off x="98679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2</xdr:col>
      <xdr:colOff>1066800</xdr:colOff>
      <xdr:row>0</xdr:row>
      <xdr:rowOff>0</xdr:rowOff>
    </xdr:from>
    <xdr:ext cx="0" cy="38100"/>
    <xdr:sp macro="" textlink="">
      <xdr:nvSpPr>
        <xdr:cNvPr id="308" name="CuadroTexto 307">
          <a:extLst>
            <a:ext uri="{FF2B5EF4-FFF2-40B4-BE49-F238E27FC236}">
              <a16:creationId xmlns:a16="http://schemas.microsoft.com/office/drawing/2014/main" id="{00000000-0008-0000-0800-000034010000}"/>
            </a:ext>
          </a:extLst>
        </xdr:cNvPr>
        <xdr:cNvSpPr txBox="1"/>
      </xdr:nvSpPr>
      <xdr:spPr>
        <a:xfrm flipH="1">
          <a:off x="3295650" y="0"/>
          <a:ext cx="0" cy="38100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lvl="0" algn="ctr"/>
          <a:r>
            <a:rPr lang="es-MX" sz="1200" b="1">
              <a:solidFill>
                <a:sysClr val="windowText" lastClr="000000"/>
              </a:solidFill>
            </a:rPr>
            <a:t>ISLA 9: CAMBIO DE MIX POSICIONES 4, 5, 6 Y 7</a:t>
          </a: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309" name="Rectángulo 8">
          <a:extLst>
            <a:ext uri="{FF2B5EF4-FFF2-40B4-BE49-F238E27FC236}">
              <a16:creationId xmlns:a16="http://schemas.microsoft.com/office/drawing/2014/main" id="{00000000-0008-0000-0800-00003501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310" name="Rectángulo 8">
          <a:extLst>
            <a:ext uri="{FF2B5EF4-FFF2-40B4-BE49-F238E27FC236}">
              <a16:creationId xmlns:a16="http://schemas.microsoft.com/office/drawing/2014/main" id="{00000000-0008-0000-0800-00003601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311" name="rect">
          <a:extLst>
            <a:ext uri="{FF2B5EF4-FFF2-40B4-BE49-F238E27FC236}">
              <a16:creationId xmlns:a16="http://schemas.microsoft.com/office/drawing/2014/main" id="{00000000-0008-0000-0800-00003701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312" name="rect">
          <a:extLst>
            <a:ext uri="{FF2B5EF4-FFF2-40B4-BE49-F238E27FC236}">
              <a16:creationId xmlns:a16="http://schemas.microsoft.com/office/drawing/2014/main" id="{00000000-0008-0000-0800-00003801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952500</xdr:colOff>
      <xdr:row>0</xdr:row>
      <xdr:rowOff>0</xdr:rowOff>
    </xdr:from>
    <xdr:ext cx="180975" cy="647700"/>
    <xdr:sp macro="" textlink="">
      <xdr:nvSpPr>
        <xdr:cNvPr id="313" name="Rectángulo 8">
          <a:extLst>
            <a:ext uri="{FF2B5EF4-FFF2-40B4-BE49-F238E27FC236}">
              <a16:creationId xmlns:a16="http://schemas.microsoft.com/office/drawing/2014/main" id="{00000000-0008-0000-0800-000039010000}"/>
            </a:ext>
          </a:extLst>
        </xdr:cNvPr>
        <xdr:cNvSpPr/>
      </xdr:nvSpPr>
      <xdr:spPr>
        <a:xfrm>
          <a:off x="98679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314" name="Rectángulo 8">
          <a:extLst>
            <a:ext uri="{FF2B5EF4-FFF2-40B4-BE49-F238E27FC236}">
              <a16:creationId xmlns:a16="http://schemas.microsoft.com/office/drawing/2014/main" id="{00000000-0008-0000-0800-00003A01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315" name="Rectángulo 8">
          <a:extLst>
            <a:ext uri="{FF2B5EF4-FFF2-40B4-BE49-F238E27FC236}">
              <a16:creationId xmlns:a16="http://schemas.microsoft.com/office/drawing/2014/main" id="{00000000-0008-0000-0800-00003B01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316" name="rect">
          <a:extLst>
            <a:ext uri="{FF2B5EF4-FFF2-40B4-BE49-F238E27FC236}">
              <a16:creationId xmlns:a16="http://schemas.microsoft.com/office/drawing/2014/main" id="{00000000-0008-0000-0800-00003C01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317" name="rect">
          <a:extLst>
            <a:ext uri="{FF2B5EF4-FFF2-40B4-BE49-F238E27FC236}">
              <a16:creationId xmlns:a16="http://schemas.microsoft.com/office/drawing/2014/main" id="{00000000-0008-0000-0800-00003D01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952500</xdr:colOff>
      <xdr:row>0</xdr:row>
      <xdr:rowOff>0</xdr:rowOff>
    </xdr:from>
    <xdr:ext cx="180975" cy="647700"/>
    <xdr:sp macro="" textlink="">
      <xdr:nvSpPr>
        <xdr:cNvPr id="318" name="Rectángulo 317">
          <a:extLst>
            <a:ext uri="{FF2B5EF4-FFF2-40B4-BE49-F238E27FC236}">
              <a16:creationId xmlns:a16="http://schemas.microsoft.com/office/drawing/2014/main" id="{00000000-0008-0000-0800-00003E010000}"/>
            </a:ext>
          </a:extLst>
        </xdr:cNvPr>
        <xdr:cNvSpPr/>
      </xdr:nvSpPr>
      <xdr:spPr>
        <a:xfrm>
          <a:off x="98679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319" name="Rectángulo 8">
          <a:extLst>
            <a:ext uri="{FF2B5EF4-FFF2-40B4-BE49-F238E27FC236}">
              <a16:creationId xmlns:a16="http://schemas.microsoft.com/office/drawing/2014/main" id="{00000000-0008-0000-0800-00003F01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320" name="Rectángulo 8">
          <a:extLst>
            <a:ext uri="{FF2B5EF4-FFF2-40B4-BE49-F238E27FC236}">
              <a16:creationId xmlns:a16="http://schemas.microsoft.com/office/drawing/2014/main" id="{00000000-0008-0000-0800-00004001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321" name="rect">
          <a:extLst>
            <a:ext uri="{FF2B5EF4-FFF2-40B4-BE49-F238E27FC236}">
              <a16:creationId xmlns:a16="http://schemas.microsoft.com/office/drawing/2014/main" id="{00000000-0008-0000-0800-00004101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322" name="rect">
          <a:extLst>
            <a:ext uri="{FF2B5EF4-FFF2-40B4-BE49-F238E27FC236}">
              <a16:creationId xmlns:a16="http://schemas.microsoft.com/office/drawing/2014/main" id="{00000000-0008-0000-0800-00004201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952500</xdr:colOff>
      <xdr:row>0</xdr:row>
      <xdr:rowOff>0</xdr:rowOff>
    </xdr:from>
    <xdr:ext cx="180975" cy="647700"/>
    <xdr:sp macro="" textlink="">
      <xdr:nvSpPr>
        <xdr:cNvPr id="323" name="Rectángulo 8">
          <a:extLst>
            <a:ext uri="{FF2B5EF4-FFF2-40B4-BE49-F238E27FC236}">
              <a16:creationId xmlns:a16="http://schemas.microsoft.com/office/drawing/2014/main" id="{00000000-0008-0000-0800-000043010000}"/>
            </a:ext>
          </a:extLst>
        </xdr:cNvPr>
        <xdr:cNvSpPr/>
      </xdr:nvSpPr>
      <xdr:spPr>
        <a:xfrm>
          <a:off x="98679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807383</xdr:colOff>
      <xdr:row>0</xdr:row>
      <xdr:rowOff>0</xdr:rowOff>
    </xdr:from>
    <xdr:ext cx="184731" cy="655885"/>
    <xdr:sp macro="" textlink="">
      <xdr:nvSpPr>
        <xdr:cNvPr id="324" name="Rectángulo 8">
          <a:extLst>
            <a:ext uri="{FF2B5EF4-FFF2-40B4-BE49-F238E27FC236}">
              <a16:creationId xmlns:a16="http://schemas.microsoft.com/office/drawing/2014/main" id="{00000000-0008-0000-0800-000044010000}"/>
            </a:ext>
          </a:extLst>
        </xdr:cNvPr>
        <xdr:cNvSpPr/>
      </xdr:nvSpPr>
      <xdr:spPr>
        <a:xfrm>
          <a:off x="97227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0</xdr:row>
      <xdr:rowOff>0</xdr:rowOff>
    </xdr:from>
    <xdr:ext cx="184731" cy="655885"/>
    <xdr:sp macro="" textlink="">
      <xdr:nvSpPr>
        <xdr:cNvPr id="325" name="Rectángulo 8">
          <a:extLst>
            <a:ext uri="{FF2B5EF4-FFF2-40B4-BE49-F238E27FC236}">
              <a16:creationId xmlns:a16="http://schemas.microsoft.com/office/drawing/2014/main" id="{00000000-0008-0000-0800-000045010000}"/>
            </a:ext>
          </a:extLst>
        </xdr:cNvPr>
        <xdr:cNvSpPr/>
      </xdr:nvSpPr>
      <xdr:spPr>
        <a:xfrm>
          <a:off x="97227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959783</xdr:colOff>
      <xdr:row>0</xdr:row>
      <xdr:rowOff>0</xdr:rowOff>
    </xdr:from>
    <xdr:ext cx="184731" cy="655885"/>
    <xdr:sp macro="" textlink="">
      <xdr:nvSpPr>
        <xdr:cNvPr id="326" name="Rectángulo 325">
          <a:extLst>
            <a:ext uri="{FF2B5EF4-FFF2-40B4-BE49-F238E27FC236}">
              <a16:creationId xmlns:a16="http://schemas.microsoft.com/office/drawing/2014/main" id="{00000000-0008-0000-0800-000046010000}"/>
            </a:ext>
          </a:extLst>
        </xdr:cNvPr>
        <xdr:cNvSpPr/>
      </xdr:nvSpPr>
      <xdr:spPr>
        <a:xfrm>
          <a:off x="98751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0</xdr:row>
      <xdr:rowOff>0</xdr:rowOff>
    </xdr:from>
    <xdr:ext cx="184731" cy="655885"/>
    <xdr:sp macro="" textlink="">
      <xdr:nvSpPr>
        <xdr:cNvPr id="327" name="Rectángulo 326">
          <a:extLst>
            <a:ext uri="{FF2B5EF4-FFF2-40B4-BE49-F238E27FC236}">
              <a16:creationId xmlns:a16="http://schemas.microsoft.com/office/drawing/2014/main" id="{00000000-0008-0000-0800-000047010000}"/>
            </a:ext>
          </a:extLst>
        </xdr:cNvPr>
        <xdr:cNvSpPr/>
      </xdr:nvSpPr>
      <xdr:spPr>
        <a:xfrm>
          <a:off x="97227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0</xdr:row>
      <xdr:rowOff>0</xdr:rowOff>
    </xdr:from>
    <xdr:ext cx="184731" cy="655885"/>
    <xdr:sp macro="" textlink="">
      <xdr:nvSpPr>
        <xdr:cNvPr id="328" name="Rectángulo 8">
          <a:extLst>
            <a:ext uri="{FF2B5EF4-FFF2-40B4-BE49-F238E27FC236}">
              <a16:creationId xmlns:a16="http://schemas.microsoft.com/office/drawing/2014/main" id="{00000000-0008-0000-0800-000048010000}"/>
            </a:ext>
          </a:extLst>
        </xdr:cNvPr>
        <xdr:cNvSpPr/>
      </xdr:nvSpPr>
      <xdr:spPr>
        <a:xfrm>
          <a:off x="97227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959783</xdr:colOff>
      <xdr:row>0</xdr:row>
      <xdr:rowOff>0</xdr:rowOff>
    </xdr:from>
    <xdr:ext cx="184731" cy="655885"/>
    <xdr:sp macro="" textlink="">
      <xdr:nvSpPr>
        <xdr:cNvPr id="329" name="Rectángulo 328">
          <a:extLst>
            <a:ext uri="{FF2B5EF4-FFF2-40B4-BE49-F238E27FC236}">
              <a16:creationId xmlns:a16="http://schemas.microsoft.com/office/drawing/2014/main" id="{00000000-0008-0000-0800-000049010000}"/>
            </a:ext>
          </a:extLst>
        </xdr:cNvPr>
        <xdr:cNvSpPr/>
      </xdr:nvSpPr>
      <xdr:spPr>
        <a:xfrm>
          <a:off x="98751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0</xdr:row>
      <xdr:rowOff>0</xdr:rowOff>
    </xdr:from>
    <xdr:ext cx="184731" cy="655885"/>
    <xdr:sp macro="" textlink="">
      <xdr:nvSpPr>
        <xdr:cNvPr id="330" name="Rectángulo 8">
          <a:extLst>
            <a:ext uri="{FF2B5EF4-FFF2-40B4-BE49-F238E27FC236}">
              <a16:creationId xmlns:a16="http://schemas.microsoft.com/office/drawing/2014/main" id="{00000000-0008-0000-0800-00004A010000}"/>
            </a:ext>
          </a:extLst>
        </xdr:cNvPr>
        <xdr:cNvSpPr/>
      </xdr:nvSpPr>
      <xdr:spPr>
        <a:xfrm>
          <a:off x="97227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0</xdr:row>
      <xdr:rowOff>0</xdr:rowOff>
    </xdr:from>
    <xdr:ext cx="184731" cy="655885"/>
    <xdr:sp macro="" textlink="">
      <xdr:nvSpPr>
        <xdr:cNvPr id="331" name="Rectángulo 8">
          <a:extLst>
            <a:ext uri="{FF2B5EF4-FFF2-40B4-BE49-F238E27FC236}">
              <a16:creationId xmlns:a16="http://schemas.microsoft.com/office/drawing/2014/main" id="{00000000-0008-0000-0800-00004B010000}"/>
            </a:ext>
          </a:extLst>
        </xdr:cNvPr>
        <xdr:cNvSpPr/>
      </xdr:nvSpPr>
      <xdr:spPr>
        <a:xfrm>
          <a:off x="97227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959783</xdr:colOff>
      <xdr:row>0</xdr:row>
      <xdr:rowOff>0</xdr:rowOff>
    </xdr:from>
    <xdr:ext cx="184731" cy="655885"/>
    <xdr:sp macro="" textlink="">
      <xdr:nvSpPr>
        <xdr:cNvPr id="332" name="Rectángulo 331">
          <a:extLst>
            <a:ext uri="{FF2B5EF4-FFF2-40B4-BE49-F238E27FC236}">
              <a16:creationId xmlns:a16="http://schemas.microsoft.com/office/drawing/2014/main" id="{00000000-0008-0000-0800-00004C010000}"/>
            </a:ext>
          </a:extLst>
        </xdr:cNvPr>
        <xdr:cNvSpPr/>
      </xdr:nvSpPr>
      <xdr:spPr>
        <a:xfrm>
          <a:off x="98751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0</xdr:row>
      <xdr:rowOff>0</xdr:rowOff>
    </xdr:from>
    <xdr:ext cx="184731" cy="655885"/>
    <xdr:sp macro="" textlink="">
      <xdr:nvSpPr>
        <xdr:cNvPr id="333" name="Rectángulo 332">
          <a:extLst>
            <a:ext uri="{FF2B5EF4-FFF2-40B4-BE49-F238E27FC236}">
              <a16:creationId xmlns:a16="http://schemas.microsoft.com/office/drawing/2014/main" id="{00000000-0008-0000-0800-00004D010000}"/>
            </a:ext>
          </a:extLst>
        </xdr:cNvPr>
        <xdr:cNvSpPr/>
      </xdr:nvSpPr>
      <xdr:spPr>
        <a:xfrm>
          <a:off x="97227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0</xdr:row>
      <xdr:rowOff>0</xdr:rowOff>
    </xdr:from>
    <xdr:ext cx="184731" cy="655885"/>
    <xdr:sp macro="" textlink="">
      <xdr:nvSpPr>
        <xdr:cNvPr id="334" name="Rectángulo 8">
          <a:extLst>
            <a:ext uri="{FF2B5EF4-FFF2-40B4-BE49-F238E27FC236}">
              <a16:creationId xmlns:a16="http://schemas.microsoft.com/office/drawing/2014/main" id="{00000000-0008-0000-0800-00004E010000}"/>
            </a:ext>
          </a:extLst>
        </xdr:cNvPr>
        <xdr:cNvSpPr/>
      </xdr:nvSpPr>
      <xdr:spPr>
        <a:xfrm>
          <a:off x="97227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959783</xdr:colOff>
      <xdr:row>0</xdr:row>
      <xdr:rowOff>0</xdr:rowOff>
    </xdr:from>
    <xdr:ext cx="184731" cy="655885"/>
    <xdr:sp macro="" textlink="">
      <xdr:nvSpPr>
        <xdr:cNvPr id="335" name="Rectángulo 334">
          <a:extLst>
            <a:ext uri="{FF2B5EF4-FFF2-40B4-BE49-F238E27FC236}">
              <a16:creationId xmlns:a16="http://schemas.microsoft.com/office/drawing/2014/main" id="{00000000-0008-0000-0800-00004F010000}"/>
            </a:ext>
          </a:extLst>
        </xdr:cNvPr>
        <xdr:cNvSpPr/>
      </xdr:nvSpPr>
      <xdr:spPr>
        <a:xfrm>
          <a:off x="98751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0</xdr:col>
      <xdr:colOff>959783</xdr:colOff>
      <xdr:row>0</xdr:row>
      <xdr:rowOff>0</xdr:rowOff>
    </xdr:from>
    <xdr:ext cx="184731" cy="655885"/>
    <xdr:sp macro="" textlink="">
      <xdr:nvSpPr>
        <xdr:cNvPr id="336" name="Rectángulo 335">
          <a:extLst>
            <a:ext uri="{FF2B5EF4-FFF2-40B4-BE49-F238E27FC236}">
              <a16:creationId xmlns:a16="http://schemas.microsoft.com/office/drawing/2014/main" id="{00000000-0008-0000-0800-000050010000}"/>
            </a:ext>
          </a:extLst>
        </xdr:cNvPr>
        <xdr:cNvSpPr/>
      </xdr:nvSpPr>
      <xdr:spPr>
        <a:xfrm>
          <a:off x="9597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0</xdr:col>
      <xdr:colOff>959783</xdr:colOff>
      <xdr:row>0</xdr:row>
      <xdr:rowOff>0</xdr:rowOff>
    </xdr:from>
    <xdr:ext cx="184731" cy="655885"/>
    <xdr:sp macro="" textlink="">
      <xdr:nvSpPr>
        <xdr:cNvPr id="337" name="Rectángulo 336">
          <a:extLst>
            <a:ext uri="{FF2B5EF4-FFF2-40B4-BE49-F238E27FC236}">
              <a16:creationId xmlns:a16="http://schemas.microsoft.com/office/drawing/2014/main" id="{00000000-0008-0000-0800-000051010000}"/>
            </a:ext>
          </a:extLst>
        </xdr:cNvPr>
        <xdr:cNvSpPr/>
      </xdr:nvSpPr>
      <xdr:spPr>
        <a:xfrm>
          <a:off x="9597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2</xdr:col>
      <xdr:colOff>1066800</xdr:colOff>
      <xdr:row>0</xdr:row>
      <xdr:rowOff>0</xdr:rowOff>
    </xdr:from>
    <xdr:ext cx="0" cy="38100"/>
    <xdr:sp macro="" textlink="">
      <xdr:nvSpPr>
        <xdr:cNvPr id="338" name="CuadroTexto 337">
          <a:extLst>
            <a:ext uri="{FF2B5EF4-FFF2-40B4-BE49-F238E27FC236}">
              <a16:creationId xmlns:a16="http://schemas.microsoft.com/office/drawing/2014/main" id="{00000000-0008-0000-0800-000052010000}"/>
            </a:ext>
          </a:extLst>
        </xdr:cNvPr>
        <xdr:cNvSpPr txBox="1"/>
      </xdr:nvSpPr>
      <xdr:spPr>
        <a:xfrm flipH="1">
          <a:off x="3295650" y="0"/>
          <a:ext cx="0" cy="38100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lvl="0" algn="ctr"/>
          <a:r>
            <a:rPr lang="es-MX" sz="1200" b="1">
              <a:solidFill>
                <a:sysClr val="windowText" lastClr="000000"/>
              </a:solidFill>
            </a:rPr>
            <a:t>ISLA 9: CAMBIO DE MIX POSICIONES 4, 5, 6 Y 7</a:t>
          </a: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339" name="Rectángulo 8">
          <a:extLst>
            <a:ext uri="{FF2B5EF4-FFF2-40B4-BE49-F238E27FC236}">
              <a16:creationId xmlns:a16="http://schemas.microsoft.com/office/drawing/2014/main" id="{00000000-0008-0000-0800-00005301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340" name="Rectángulo 8">
          <a:extLst>
            <a:ext uri="{FF2B5EF4-FFF2-40B4-BE49-F238E27FC236}">
              <a16:creationId xmlns:a16="http://schemas.microsoft.com/office/drawing/2014/main" id="{00000000-0008-0000-0800-00005401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341" name="rect">
          <a:extLst>
            <a:ext uri="{FF2B5EF4-FFF2-40B4-BE49-F238E27FC236}">
              <a16:creationId xmlns:a16="http://schemas.microsoft.com/office/drawing/2014/main" id="{00000000-0008-0000-0800-00005501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342" name="rect">
          <a:extLst>
            <a:ext uri="{FF2B5EF4-FFF2-40B4-BE49-F238E27FC236}">
              <a16:creationId xmlns:a16="http://schemas.microsoft.com/office/drawing/2014/main" id="{00000000-0008-0000-0800-00005601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952500</xdr:colOff>
      <xdr:row>0</xdr:row>
      <xdr:rowOff>0</xdr:rowOff>
    </xdr:from>
    <xdr:ext cx="180975" cy="647700"/>
    <xdr:sp macro="" textlink="">
      <xdr:nvSpPr>
        <xdr:cNvPr id="343" name="Rectángulo 342">
          <a:extLst>
            <a:ext uri="{FF2B5EF4-FFF2-40B4-BE49-F238E27FC236}">
              <a16:creationId xmlns:a16="http://schemas.microsoft.com/office/drawing/2014/main" id="{00000000-0008-0000-0800-000057010000}"/>
            </a:ext>
          </a:extLst>
        </xdr:cNvPr>
        <xdr:cNvSpPr/>
      </xdr:nvSpPr>
      <xdr:spPr>
        <a:xfrm>
          <a:off x="98679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344" name="Rectángulo 8">
          <a:extLst>
            <a:ext uri="{FF2B5EF4-FFF2-40B4-BE49-F238E27FC236}">
              <a16:creationId xmlns:a16="http://schemas.microsoft.com/office/drawing/2014/main" id="{00000000-0008-0000-0800-00005801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345" name="Rectángulo 344">
          <a:extLst>
            <a:ext uri="{FF2B5EF4-FFF2-40B4-BE49-F238E27FC236}">
              <a16:creationId xmlns:a16="http://schemas.microsoft.com/office/drawing/2014/main" id="{00000000-0008-0000-0800-00005901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346" name="rect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347" name="rect">
          <a:extLst>
            <a:ext uri="{FF2B5EF4-FFF2-40B4-BE49-F238E27FC236}">
              <a16:creationId xmlns:a16="http://schemas.microsoft.com/office/drawing/2014/main" id="{00000000-0008-0000-0800-00005B01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952500</xdr:colOff>
      <xdr:row>0</xdr:row>
      <xdr:rowOff>0</xdr:rowOff>
    </xdr:from>
    <xdr:ext cx="180975" cy="647700"/>
    <xdr:sp macro="" textlink="">
      <xdr:nvSpPr>
        <xdr:cNvPr id="348" name="Rectángulo 8">
          <a:extLst>
            <a:ext uri="{FF2B5EF4-FFF2-40B4-BE49-F238E27FC236}">
              <a16:creationId xmlns:a16="http://schemas.microsoft.com/office/drawing/2014/main" id="{00000000-0008-0000-0800-00005C010000}"/>
            </a:ext>
          </a:extLst>
        </xdr:cNvPr>
        <xdr:cNvSpPr/>
      </xdr:nvSpPr>
      <xdr:spPr>
        <a:xfrm>
          <a:off x="98679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349" name="Rectángulo 8">
          <a:extLst>
            <a:ext uri="{FF2B5EF4-FFF2-40B4-BE49-F238E27FC236}">
              <a16:creationId xmlns:a16="http://schemas.microsoft.com/office/drawing/2014/main" id="{00000000-0008-0000-0800-00005D01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350" name="Rectángulo 8">
          <a:extLst>
            <a:ext uri="{FF2B5EF4-FFF2-40B4-BE49-F238E27FC236}">
              <a16:creationId xmlns:a16="http://schemas.microsoft.com/office/drawing/2014/main" id="{00000000-0008-0000-0800-00005E01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351" name="rect">
          <a:extLst>
            <a:ext uri="{FF2B5EF4-FFF2-40B4-BE49-F238E27FC236}">
              <a16:creationId xmlns:a16="http://schemas.microsoft.com/office/drawing/2014/main" id="{00000000-0008-0000-0800-00005F01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352" name="rect">
          <a:extLst>
            <a:ext uri="{FF2B5EF4-FFF2-40B4-BE49-F238E27FC236}">
              <a16:creationId xmlns:a16="http://schemas.microsoft.com/office/drawing/2014/main" id="{00000000-0008-0000-0800-00006001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952500</xdr:colOff>
      <xdr:row>0</xdr:row>
      <xdr:rowOff>0</xdr:rowOff>
    </xdr:from>
    <xdr:ext cx="180975" cy="647700"/>
    <xdr:sp macro="" textlink="">
      <xdr:nvSpPr>
        <xdr:cNvPr id="353" name="Rectángulo 352">
          <a:extLst>
            <a:ext uri="{FF2B5EF4-FFF2-40B4-BE49-F238E27FC236}">
              <a16:creationId xmlns:a16="http://schemas.microsoft.com/office/drawing/2014/main" id="{00000000-0008-0000-0800-000061010000}"/>
            </a:ext>
          </a:extLst>
        </xdr:cNvPr>
        <xdr:cNvSpPr/>
      </xdr:nvSpPr>
      <xdr:spPr>
        <a:xfrm>
          <a:off x="98679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354" name="Rectángulo 8">
          <a:extLst>
            <a:ext uri="{FF2B5EF4-FFF2-40B4-BE49-F238E27FC236}">
              <a16:creationId xmlns:a16="http://schemas.microsoft.com/office/drawing/2014/main" id="{00000000-0008-0000-0800-00006201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355" name="Rectángulo 8">
          <a:extLst>
            <a:ext uri="{FF2B5EF4-FFF2-40B4-BE49-F238E27FC236}">
              <a16:creationId xmlns:a16="http://schemas.microsoft.com/office/drawing/2014/main" id="{00000000-0008-0000-0800-00006301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356" name="rect">
          <a:extLst>
            <a:ext uri="{FF2B5EF4-FFF2-40B4-BE49-F238E27FC236}">
              <a16:creationId xmlns:a16="http://schemas.microsoft.com/office/drawing/2014/main" id="{00000000-0008-0000-0800-00006401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357" name="rect">
          <a:extLst>
            <a:ext uri="{FF2B5EF4-FFF2-40B4-BE49-F238E27FC236}">
              <a16:creationId xmlns:a16="http://schemas.microsoft.com/office/drawing/2014/main" id="{00000000-0008-0000-0800-00006501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952500</xdr:colOff>
      <xdr:row>0</xdr:row>
      <xdr:rowOff>0</xdr:rowOff>
    </xdr:from>
    <xdr:ext cx="180975" cy="647700"/>
    <xdr:sp macro="" textlink="">
      <xdr:nvSpPr>
        <xdr:cNvPr id="358" name="Rectángulo 8">
          <a:extLst>
            <a:ext uri="{FF2B5EF4-FFF2-40B4-BE49-F238E27FC236}">
              <a16:creationId xmlns:a16="http://schemas.microsoft.com/office/drawing/2014/main" id="{00000000-0008-0000-0800-000066010000}"/>
            </a:ext>
          </a:extLst>
        </xdr:cNvPr>
        <xdr:cNvSpPr/>
      </xdr:nvSpPr>
      <xdr:spPr>
        <a:xfrm>
          <a:off x="98679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359" name="Rectángulo 8">
          <a:extLst>
            <a:ext uri="{FF2B5EF4-FFF2-40B4-BE49-F238E27FC236}">
              <a16:creationId xmlns:a16="http://schemas.microsoft.com/office/drawing/2014/main" id="{00000000-0008-0000-0800-00006701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360" name="Rectángulo 359">
          <a:extLst>
            <a:ext uri="{FF2B5EF4-FFF2-40B4-BE49-F238E27FC236}">
              <a16:creationId xmlns:a16="http://schemas.microsoft.com/office/drawing/2014/main" id="{00000000-0008-0000-0800-00006801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361" name="rect">
          <a:extLst>
            <a:ext uri="{FF2B5EF4-FFF2-40B4-BE49-F238E27FC236}">
              <a16:creationId xmlns:a16="http://schemas.microsoft.com/office/drawing/2014/main" id="{00000000-0008-0000-0800-00006901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362" name="rect">
          <a:extLst>
            <a:ext uri="{FF2B5EF4-FFF2-40B4-BE49-F238E27FC236}">
              <a16:creationId xmlns:a16="http://schemas.microsoft.com/office/drawing/2014/main" id="{00000000-0008-0000-0800-00006A01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952500</xdr:colOff>
      <xdr:row>0</xdr:row>
      <xdr:rowOff>0</xdr:rowOff>
    </xdr:from>
    <xdr:ext cx="180975" cy="647700"/>
    <xdr:sp macro="" textlink="">
      <xdr:nvSpPr>
        <xdr:cNvPr id="363" name="Rectángulo 362">
          <a:extLst>
            <a:ext uri="{FF2B5EF4-FFF2-40B4-BE49-F238E27FC236}">
              <a16:creationId xmlns:a16="http://schemas.microsoft.com/office/drawing/2014/main" id="{00000000-0008-0000-0800-00006B010000}"/>
            </a:ext>
          </a:extLst>
        </xdr:cNvPr>
        <xdr:cNvSpPr/>
      </xdr:nvSpPr>
      <xdr:spPr>
        <a:xfrm>
          <a:off x="98679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2</xdr:col>
      <xdr:colOff>1066800</xdr:colOff>
      <xdr:row>0</xdr:row>
      <xdr:rowOff>0</xdr:rowOff>
    </xdr:from>
    <xdr:ext cx="0" cy="38100"/>
    <xdr:sp macro="" textlink="">
      <xdr:nvSpPr>
        <xdr:cNvPr id="364" name="CuadroTexto 363">
          <a:extLst>
            <a:ext uri="{FF2B5EF4-FFF2-40B4-BE49-F238E27FC236}">
              <a16:creationId xmlns:a16="http://schemas.microsoft.com/office/drawing/2014/main" id="{00000000-0008-0000-0800-00006C010000}"/>
            </a:ext>
          </a:extLst>
        </xdr:cNvPr>
        <xdr:cNvSpPr txBox="1"/>
      </xdr:nvSpPr>
      <xdr:spPr>
        <a:xfrm flipH="1">
          <a:off x="3295650" y="0"/>
          <a:ext cx="0" cy="38100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lvl="0" algn="ctr"/>
          <a:r>
            <a:rPr lang="es-MX" sz="1200" b="1">
              <a:solidFill>
                <a:sysClr val="windowText" lastClr="000000"/>
              </a:solidFill>
            </a:rPr>
            <a:t>ISLA 9: CAMBIO DE MIX POSICIONES 4, 5, 6 Y 7</a:t>
          </a: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365" name="Rectángulo 8">
          <a:extLst>
            <a:ext uri="{FF2B5EF4-FFF2-40B4-BE49-F238E27FC236}">
              <a16:creationId xmlns:a16="http://schemas.microsoft.com/office/drawing/2014/main" id="{00000000-0008-0000-0800-00006D01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366" name="Rectángulo 8">
          <a:extLst>
            <a:ext uri="{FF2B5EF4-FFF2-40B4-BE49-F238E27FC236}">
              <a16:creationId xmlns:a16="http://schemas.microsoft.com/office/drawing/2014/main" id="{00000000-0008-0000-0800-00006E01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367" name="rect">
          <a:extLst>
            <a:ext uri="{FF2B5EF4-FFF2-40B4-BE49-F238E27FC236}">
              <a16:creationId xmlns:a16="http://schemas.microsoft.com/office/drawing/2014/main" id="{00000000-0008-0000-0800-00006F01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368" name="rect">
          <a:extLst>
            <a:ext uri="{FF2B5EF4-FFF2-40B4-BE49-F238E27FC236}">
              <a16:creationId xmlns:a16="http://schemas.microsoft.com/office/drawing/2014/main" id="{00000000-0008-0000-0800-00007001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952500</xdr:colOff>
      <xdr:row>0</xdr:row>
      <xdr:rowOff>0</xdr:rowOff>
    </xdr:from>
    <xdr:ext cx="180975" cy="647700"/>
    <xdr:sp macro="" textlink="">
      <xdr:nvSpPr>
        <xdr:cNvPr id="369" name="Rectángulo 8">
          <a:extLst>
            <a:ext uri="{FF2B5EF4-FFF2-40B4-BE49-F238E27FC236}">
              <a16:creationId xmlns:a16="http://schemas.microsoft.com/office/drawing/2014/main" id="{00000000-0008-0000-0800-000071010000}"/>
            </a:ext>
          </a:extLst>
        </xdr:cNvPr>
        <xdr:cNvSpPr/>
      </xdr:nvSpPr>
      <xdr:spPr>
        <a:xfrm>
          <a:off x="98679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370" name="Rectángulo 8">
          <a:extLst>
            <a:ext uri="{FF2B5EF4-FFF2-40B4-BE49-F238E27FC236}">
              <a16:creationId xmlns:a16="http://schemas.microsoft.com/office/drawing/2014/main" id="{00000000-0008-0000-0800-00007201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371" name="Rectángulo 8">
          <a:extLst>
            <a:ext uri="{FF2B5EF4-FFF2-40B4-BE49-F238E27FC236}">
              <a16:creationId xmlns:a16="http://schemas.microsoft.com/office/drawing/2014/main" id="{00000000-0008-0000-0800-00007301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372" name="rect">
          <a:extLst>
            <a:ext uri="{FF2B5EF4-FFF2-40B4-BE49-F238E27FC236}">
              <a16:creationId xmlns:a16="http://schemas.microsoft.com/office/drawing/2014/main" id="{00000000-0008-0000-0800-00007401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373" name="rect">
          <a:extLst>
            <a:ext uri="{FF2B5EF4-FFF2-40B4-BE49-F238E27FC236}">
              <a16:creationId xmlns:a16="http://schemas.microsoft.com/office/drawing/2014/main" id="{00000000-0008-0000-0800-00007501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952500</xdr:colOff>
      <xdr:row>0</xdr:row>
      <xdr:rowOff>0</xdr:rowOff>
    </xdr:from>
    <xdr:ext cx="180975" cy="647700"/>
    <xdr:sp macro="" textlink="">
      <xdr:nvSpPr>
        <xdr:cNvPr id="374" name="Rectángulo 373">
          <a:extLst>
            <a:ext uri="{FF2B5EF4-FFF2-40B4-BE49-F238E27FC236}">
              <a16:creationId xmlns:a16="http://schemas.microsoft.com/office/drawing/2014/main" id="{00000000-0008-0000-0800-000076010000}"/>
            </a:ext>
          </a:extLst>
        </xdr:cNvPr>
        <xdr:cNvSpPr/>
      </xdr:nvSpPr>
      <xdr:spPr>
        <a:xfrm>
          <a:off x="98679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375" name="Rectángulo 8">
          <a:extLst>
            <a:ext uri="{FF2B5EF4-FFF2-40B4-BE49-F238E27FC236}">
              <a16:creationId xmlns:a16="http://schemas.microsoft.com/office/drawing/2014/main" id="{00000000-0008-0000-0800-00007701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376" name="Rectángulo 8">
          <a:extLst>
            <a:ext uri="{FF2B5EF4-FFF2-40B4-BE49-F238E27FC236}">
              <a16:creationId xmlns:a16="http://schemas.microsoft.com/office/drawing/2014/main" id="{00000000-0008-0000-0800-00007801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377" name="rect">
          <a:extLst>
            <a:ext uri="{FF2B5EF4-FFF2-40B4-BE49-F238E27FC236}">
              <a16:creationId xmlns:a16="http://schemas.microsoft.com/office/drawing/2014/main" id="{00000000-0008-0000-0800-00007901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378" name="rect">
          <a:extLst>
            <a:ext uri="{FF2B5EF4-FFF2-40B4-BE49-F238E27FC236}">
              <a16:creationId xmlns:a16="http://schemas.microsoft.com/office/drawing/2014/main" id="{00000000-0008-0000-0800-00007A01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952500</xdr:colOff>
      <xdr:row>0</xdr:row>
      <xdr:rowOff>0</xdr:rowOff>
    </xdr:from>
    <xdr:ext cx="180975" cy="647700"/>
    <xdr:sp macro="" textlink="">
      <xdr:nvSpPr>
        <xdr:cNvPr id="379" name="Rectángulo 8">
          <a:extLst>
            <a:ext uri="{FF2B5EF4-FFF2-40B4-BE49-F238E27FC236}">
              <a16:creationId xmlns:a16="http://schemas.microsoft.com/office/drawing/2014/main" id="{00000000-0008-0000-0800-00007B010000}"/>
            </a:ext>
          </a:extLst>
        </xdr:cNvPr>
        <xdr:cNvSpPr/>
      </xdr:nvSpPr>
      <xdr:spPr>
        <a:xfrm>
          <a:off x="98679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807383</xdr:colOff>
      <xdr:row>0</xdr:row>
      <xdr:rowOff>0</xdr:rowOff>
    </xdr:from>
    <xdr:ext cx="184731" cy="655885"/>
    <xdr:sp macro="" textlink="">
      <xdr:nvSpPr>
        <xdr:cNvPr id="380" name="Rectángulo 8">
          <a:extLst>
            <a:ext uri="{FF2B5EF4-FFF2-40B4-BE49-F238E27FC236}">
              <a16:creationId xmlns:a16="http://schemas.microsoft.com/office/drawing/2014/main" id="{00000000-0008-0000-0800-00007C010000}"/>
            </a:ext>
          </a:extLst>
        </xdr:cNvPr>
        <xdr:cNvSpPr/>
      </xdr:nvSpPr>
      <xdr:spPr>
        <a:xfrm>
          <a:off x="97227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0</xdr:row>
      <xdr:rowOff>0</xdr:rowOff>
    </xdr:from>
    <xdr:ext cx="184731" cy="655885"/>
    <xdr:sp macro="" textlink="">
      <xdr:nvSpPr>
        <xdr:cNvPr id="381" name="Rectángulo 8">
          <a:extLst>
            <a:ext uri="{FF2B5EF4-FFF2-40B4-BE49-F238E27FC236}">
              <a16:creationId xmlns:a16="http://schemas.microsoft.com/office/drawing/2014/main" id="{00000000-0008-0000-0800-00007D010000}"/>
            </a:ext>
          </a:extLst>
        </xdr:cNvPr>
        <xdr:cNvSpPr/>
      </xdr:nvSpPr>
      <xdr:spPr>
        <a:xfrm>
          <a:off x="97227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959783</xdr:colOff>
      <xdr:row>0</xdr:row>
      <xdr:rowOff>0</xdr:rowOff>
    </xdr:from>
    <xdr:ext cx="184731" cy="655885"/>
    <xdr:sp macro="" textlink="">
      <xdr:nvSpPr>
        <xdr:cNvPr id="382" name="Rectángulo 381">
          <a:extLst>
            <a:ext uri="{FF2B5EF4-FFF2-40B4-BE49-F238E27FC236}">
              <a16:creationId xmlns:a16="http://schemas.microsoft.com/office/drawing/2014/main" id="{00000000-0008-0000-0800-00007E010000}"/>
            </a:ext>
          </a:extLst>
        </xdr:cNvPr>
        <xdr:cNvSpPr/>
      </xdr:nvSpPr>
      <xdr:spPr>
        <a:xfrm>
          <a:off x="98751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0</xdr:row>
      <xdr:rowOff>0</xdr:rowOff>
    </xdr:from>
    <xdr:ext cx="184731" cy="655885"/>
    <xdr:sp macro="" textlink="">
      <xdr:nvSpPr>
        <xdr:cNvPr id="383" name="Rectángulo 382">
          <a:extLst>
            <a:ext uri="{FF2B5EF4-FFF2-40B4-BE49-F238E27FC236}">
              <a16:creationId xmlns:a16="http://schemas.microsoft.com/office/drawing/2014/main" id="{00000000-0008-0000-0800-00007F010000}"/>
            </a:ext>
          </a:extLst>
        </xdr:cNvPr>
        <xdr:cNvSpPr/>
      </xdr:nvSpPr>
      <xdr:spPr>
        <a:xfrm>
          <a:off x="97227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0</xdr:row>
      <xdr:rowOff>0</xdr:rowOff>
    </xdr:from>
    <xdr:ext cx="184731" cy="655885"/>
    <xdr:sp macro="" textlink="">
      <xdr:nvSpPr>
        <xdr:cNvPr id="384" name="Rectángulo 8">
          <a:extLst>
            <a:ext uri="{FF2B5EF4-FFF2-40B4-BE49-F238E27FC236}">
              <a16:creationId xmlns:a16="http://schemas.microsoft.com/office/drawing/2014/main" id="{00000000-0008-0000-0800-000080010000}"/>
            </a:ext>
          </a:extLst>
        </xdr:cNvPr>
        <xdr:cNvSpPr/>
      </xdr:nvSpPr>
      <xdr:spPr>
        <a:xfrm>
          <a:off x="97227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959783</xdr:colOff>
      <xdr:row>0</xdr:row>
      <xdr:rowOff>0</xdr:rowOff>
    </xdr:from>
    <xdr:ext cx="184731" cy="655885"/>
    <xdr:sp macro="" textlink="">
      <xdr:nvSpPr>
        <xdr:cNvPr id="385" name="Rectángulo 384">
          <a:extLst>
            <a:ext uri="{FF2B5EF4-FFF2-40B4-BE49-F238E27FC236}">
              <a16:creationId xmlns:a16="http://schemas.microsoft.com/office/drawing/2014/main" id="{00000000-0008-0000-0800-000081010000}"/>
            </a:ext>
          </a:extLst>
        </xdr:cNvPr>
        <xdr:cNvSpPr/>
      </xdr:nvSpPr>
      <xdr:spPr>
        <a:xfrm>
          <a:off x="98751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0</xdr:row>
      <xdr:rowOff>0</xdr:rowOff>
    </xdr:from>
    <xdr:ext cx="184731" cy="655885"/>
    <xdr:sp macro="" textlink="">
      <xdr:nvSpPr>
        <xdr:cNvPr id="386" name="Rectángulo 8">
          <a:extLst>
            <a:ext uri="{FF2B5EF4-FFF2-40B4-BE49-F238E27FC236}">
              <a16:creationId xmlns:a16="http://schemas.microsoft.com/office/drawing/2014/main" id="{00000000-0008-0000-0800-000082010000}"/>
            </a:ext>
          </a:extLst>
        </xdr:cNvPr>
        <xdr:cNvSpPr/>
      </xdr:nvSpPr>
      <xdr:spPr>
        <a:xfrm>
          <a:off x="97227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0</xdr:row>
      <xdr:rowOff>0</xdr:rowOff>
    </xdr:from>
    <xdr:ext cx="184731" cy="655885"/>
    <xdr:sp macro="" textlink="">
      <xdr:nvSpPr>
        <xdr:cNvPr id="387" name="Rectángulo 8">
          <a:extLst>
            <a:ext uri="{FF2B5EF4-FFF2-40B4-BE49-F238E27FC236}">
              <a16:creationId xmlns:a16="http://schemas.microsoft.com/office/drawing/2014/main" id="{00000000-0008-0000-0800-000083010000}"/>
            </a:ext>
          </a:extLst>
        </xdr:cNvPr>
        <xdr:cNvSpPr/>
      </xdr:nvSpPr>
      <xdr:spPr>
        <a:xfrm>
          <a:off x="97227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959783</xdr:colOff>
      <xdr:row>0</xdr:row>
      <xdr:rowOff>0</xdr:rowOff>
    </xdr:from>
    <xdr:ext cx="184731" cy="655885"/>
    <xdr:sp macro="" textlink="">
      <xdr:nvSpPr>
        <xdr:cNvPr id="388" name="Rectángulo 387">
          <a:extLst>
            <a:ext uri="{FF2B5EF4-FFF2-40B4-BE49-F238E27FC236}">
              <a16:creationId xmlns:a16="http://schemas.microsoft.com/office/drawing/2014/main" id="{00000000-0008-0000-0800-000084010000}"/>
            </a:ext>
          </a:extLst>
        </xdr:cNvPr>
        <xdr:cNvSpPr/>
      </xdr:nvSpPr>
      <xdr:spPr>
        <a:xfrm>
          <a:off x="98751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0</xdr:row>
      <xdr:rowOff>0</xdr:rowOff>
    </xdr:from>
    <xdr:ext cx="184731" cy="655885"/>
    <xdr:sp macro="" textlink="">
      <xdr:nvSpPr>
        <xdr:cNvPr id="389" name="Rectángulo 388">
          <a:extLst>
            <a:ext uri="{FF2B5EF4-FFF2-40B4-BE49-F238E27FC236}">
              <a16:creationId xmlns:a16="http://schemas.microsoft.com/office/drawing/2014/main" id="{00000000-0008-0000-0800-000085010000}"/>
            </a:ext>
          </a:extLst>
        </xdr:cNvPr>
        <xdr:cNvSpPr/>
      </xdr:nvSpPr>
      <xdr:spPr>
        <a:xfrm>
          <a:off x="97227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0</xdr:row>
      <xdr:rowOff>0</xdr:rowOff>
    </xdr:from>
    <xdr:ext cx="184731" cy="655885"/>
    <xdr:sp macro="" textlink="">
      <xdr:nvSpPr>
        <xdr:cNvPr id="390" name="Rectángulo 8">
          <a:extLst>
            <a:ext uri="{FF2B5EF4-FFF2-40B4-BE49-F238E27FC236}">
              <a16:creationId xmlns:a16="http://schemas.microsoft.com/office/drawing/2014/main" id="{00000000-0008-0000-0800-000086010000}"/>
            </a:ext>
          </a:extLst>
        </xdr:cNvPr>
        <xdr:cNvSpPr/>
      </xdr:nvSpPr>
      <xdr:spPr>
        <a:xfrm>
          <a:off x="97227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959783</xdr:colOff>
      <xdr:row>0</xdr:row>
      <xdr:rowOff>0</xdr:rowOff>
    </xdr:from>
    <xdr:ext cx="184731" cy="655885"/>
    <xdr:sp macro="" textlink="">
      <xdr:nvSpPr>
        <xdr:cNvPr id="391" name="Rectángulo 390">
          <a:extLst>
            <a:ext uri="{FF2B5EF4-FFF2-40B4-BE49-F238E27FC236}">
              <a16:creationId xmlns:a16="http://schemas.microsoft.com/office/drawing/2014/main" id="{00000000-0008-0000-0800-000087010000}"/>
            </a:ext>
          </a:extLst>
        </xdr:cNvPr>
        <xdr:cNvSpPr/>
      </xdr:nvSpPr>
      <xdr:spPr>
        <a:xfrm>
          <a:off x="98751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0</xdr:col>
      <xdr:colOff>959783</xdr:colOff>
      <xdr:row>0</xdr:row>
      <xdr:rowOff>0</xdr:rowOff>
    </xdr:from>
    <xdr:ext cx="184731" cy="655885"/>
    <xdr:sp macro="" textlink="">
      <xdr:nvSpPr>
        <xdr:cNvPr id="392" name="Rectángulo 391">
          <a:extLst>
            <a:ext uri="{FF2B5EF4-FFF2-40B4-BE49-F238E27FC236}">
              <a16:creationId xmlns:a16="http://schemas.microsoft.com/office/drawing/2014/main" id="{00000000-0008-0000-0800-000088010000}"/>
            </a:ext>
          </a:extLst>
        </xdr:cNvPr>
        <xdr:cNvSpPr/>
      </xdr:nvSpPr>
      <xdr:spPr>
        <a:xfrm>
          <a:off x="9597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0</xdr:col>
      <xdr:colOff>959783</xdr:colOff>
      <xdr:row>0</xdr:row>
      <xdr:rowOff>0</xdr:rowOff>
    </xdr:from>
    <xdr:ext cx="184731" cy="655885"/>
    <xdr:sp macro="" textlink="">
      <xdr:nvSpPr>
        <xdr:cNvPr id="393" name="Rectángulo 392">
          <a:extLst>
            <a:ext uri="{FF2B5EF4-FFF2-40B4-BE49-F238E27FC236}">
              <a16:creationId xmlns:a16="http://schemas.microsoft.com/office/drawing/2014/main" id="{00000000-0008-0000-0800-000089010000}"/>
            </a:ext>
          </a:extLst>
        </xdr:cNvPr>
        <xdr:cNvSpPr/>
      </xdr:nvSpPr>
      <xdr:spPr>
        <a:xfrm>
          <a:off x="9597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2</xdr:col>
      <xdr:colOff>1066800</xdr:colOff>
      <xdr:row>0</xdr:row>
      <xdr:rowOff>0</xdr:rowOff>
    </xdr:from>
    <xdr:ext cx="0" cy="38100"/>
    <xdr:sp macro="" textlink="">
      <xdr:nvSpPr>
        <xdr:cNvPr id="394" name="CuadroTexto 393">
          <a:extLst>
            <a:ext uri="{FF2B5EF4-FFF2-40B4-BE49-F238E27FC236}">
              <a16:creationId xmlns:a16="http://schemas.microsoft.com/office/drawing/2014/main" id="{00000000-0008-0000-0800-00008A010000}"/>
            </a:ext>
          </a:extLst>
        </xdr:cNvPr>
        <xdr:cNvSpPr txBox="1"/>
      </xdr:nvSpPr>
      <xdr:spPr>
        <a:xfrm flipH="1">
          <a:off x="3295650" y="0"/>
          <a:ext cx="0" cy="38100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lvl="0" algn="ctr"/>
          <a:r>
            <a:rPr lang="es-MX" sz="1200" b="1">
              <a:solidFill>
                <a:sysClr val="windowText" lastClr="000000"/>
              </a:solidFill>
            </a:rPr>
            <a:t>ISLA 9: CAMBIO DE MIX POSICIONES 4, 5, 6 Y 7</a:t>
          </a: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395" name="Rectángulo 8">
          <a:extLst>
            <a:ext uri="{FF2B5EF4-FFF2-40B4-BE49-F238E27FC236}">
              <a16:creationId xmlns:a16="http://schemas.microsoft.com/office/drawing/2014/main" id="{00000000-0008-0000-0800-00008B01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396" name="Rectángulo 8">
          <a:extLst>
            <a:ext uri="{FF2B5EF4-FFF2-40B4-BE49-F238E27FC236}">
              <a16:creationId xmlns:a16="http://schemas.microsoft.com/office/drawing/2014/main" id="{00000000-0008-0000-0800-00008C01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397" name="rect">
          <a:extLst>
            <a:ext uri="{FF2B5EF4-FFF2-40B4-BE49-F238E27FC236}">
              <a16:creationId xmlns:a16="http://schemas.microsoft.com/office/drawing/2014/main" id="{00000000-0008-0000-0800-00008D01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398" name="rect">
          <a:extLst>
            <a:ext uri="{FF2B5EF4-FFF2-40B4-BE49-F238E27FC236}">
              <a16:creationId xmlns:a16="http://schemas.microsoft.com/office/drawing/2014/main" id="{00000000-0008-0000-0800-00008E01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952500</xdr:colOff>
      <xdr:row>0</xdr:row>
      <xdr:rowOff>0</xdr:rowOff>
    </xdr:from>
    <xdr:ext cx="180975" cy="647700"/>
    <xdr:sp macro="" textlink="">
      <xdr:nvSpPr>
        <xdr:cNvPr id="399" name="Rectángulo 398">
          <a:extLst>
            <a:ext uri="{FF2B5EF4-FFF2-40B4-BE49-F238E27FC236}">
              <a16:creationId xmlns:a16="http://schemas.microsoft.com/office/drawing/2014/main" id="{00000000-0008-0000-0800-00008F010000}"/>
            </a:ext>
          </a:extLst>
        </xdr:cNvPr>
        <xdr:cNvSpPr/>
      </xdr:nvSpPr>
      <xdr:spPr>
        <a:xfrm>
          <a:off x="98679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400" name="Rectángulo 8">
          <a:extLst>
            <a:ext uri="{FF2B5EF4-FFF2-40B4-BE49-F238E27FC236}">
              <a16:creationId xmlns:a16="http://schemas.microsoft.com/office/drawing/2014/main" id="{00000000-0008-0000-0800-00009001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401" name="Rectángulo 8">
          <a:extLst>
            <a:ext uri="{FF2B5EF4-FFF2-40B4-BE49-F238E27FC236}">
              <a16:creationId xmlns:a16="http://schemas.microsoft.com/office/drawing/2014/main" id="{00000000-0008-0000-0800-00009101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402" name="rect">
          <a:extLst>
            <a:ext uri="{FF2B5EF4-FFF2-40B4-BE49-F238E27FC236}">
              <a16:creationId xmlns:a16="http://schemas.microsoft.com/office/drawing/2014/main" id="{00000000-0008-0000-0800-00009201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403" name="rect">
          <a:extLst>
            <a:ext uri="{FF2B5EF4-FFF2-40B4-BE49-F238E27FC236}">
              <a16:creationId xmlns:a16="http://schemas.microsoft.com/office/drawing/2014/main" id="{00000000-0008-0000-0800-00009301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952500</xdr:colOff>
      <xdr:row>0</xdr:row>
      <xdr:rowOff>0</xdr:rowOff>
    </xdr:from>
    <xdr:ext cx="180975" cy="647700"/>
    <xdr:sp macro="" textlink="">
      <xdr:nvSpPr>
        <xdr:cNvPr id="404" name="Rectángulo 8">
          <a:extLst>
            <a:ext uri="{FF2B5EF4-FFF2-40B4-BE49-F238E27FC236}">
              <a16:creationId xmlns:a16="http://schemas.microsoft.com/office/drawing/2014/main" id="{00000000-0008-0000-0800-000094010000}"/>
            </a:ext>
          </a:extLst>
        </xdr:cNvPr>
        <xdr:cNvSpPr/>
      </xdr:nvSpPr>
      <xdr:spPr>
        <a:xfrm>
          <a:off x="98679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405" name="Rectángulo 8">
          <a:extLst>
            <a:ext uri="{FF2B5EF4-FFF2-40B4-BE49-F238E27FC236}">
              <a16:creationId xmlns:a16="http://schemas.microsoft.com/office/drawing/2014/main" id="{00000000-0008-0000-0800-00009501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406" name="Rectángulo 8">
          <a:extLst>
            <a:ext uri="{FF2B5EF4-FFF2-40B4-BE49-F238E27FC236}">
              <a16:creationId xmlns:a16="http://schemas.microsoft.com/office/drawing/2014/main" id="{00000000-0008-0000-0800-00009601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407" name="rect">
          <a:extLst>
            <a:ext uri="{FF2B5EF4-FFF2-40B4-BE49-F238E27FC236}">
              <a16:creationId xmlns:a16="http://schemas.microsoft.com/office/drawing/2014/main" id="{00000000-0008-0000-0800-00009701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408" name="rect">
          <a:extLst>
            <a:ext uri="{FF2B5EF4-FFF2-40B4-BE49-F238E27FC236}">
              <a16:creationId xmlns:a16="http://schemas.microsoft.com/office/drawing/2014/main" id="{00000000-0008-0000-0800-00009801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952500</xdr:colOff>
      <xdr:row>0</xdr:row>
      <xdr:rowOff>0</xdr:rowOff>
    </xdr:from>
    <xdr:ext cx="180975" cy="647700"/>
    <xdr:sp macro="" textlink="">
      <xdr:nvSpPr>
        <xdr:cNvPr id="409" name="Rectángulo 408">
          <a:extLst>
            <a:ext uri="{FF2B5EF4-FFF2-40B4-BE49-F238E27FC236}">
              <a16:creationId xmlns:a16="http://schemas.microsoft.com/office/drawing/2014/main" id="{00000000-0008-0000-0800-000099010000}"/>
            </a:ext>
          </a:extLst>
        </xdr:cNvPr>
        <xdr:cNvSpPr/>
      </xdr:nvSpPr>
      <xdr:spPr>
        <a:xfrm>
          <a:off x="98679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410" name="Rectángulo 8">
          <a:extLst>
            <a:ext uri="{FF2B5EF4-FFF2-40B4-BE49-F238E27FC236}">
              <a16:creationId xmlns:a16="http://schemas.microsoft.com/office/drawing/2014/main" id="{00000000-0008-0000-0800-00009A01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411" name="Rectángulo 8">
          <a:extLst>
            <a:ext uri="{FF2B5EF4-FFF2-40B4-BE49-F238E27FC236}">
              <a16:creationId xmlns:a16="http://schemas.microsoft.com/office/drawing/2014/main" id="{00000000-0008-0000-0800-00009B01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412" name="rect">
          <a:extLst>
            <a:ext uri="{FF2B5EF4-FFF2-40B4-BE49-F238E27FC236}">
              <a16:creationId xmlns:a16="http://schemas.microsoft.com/office/drawing/2014/main" id="{00000000-0008-0000-0800-00009C01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413" name="rect">
          <a:extLst>
            <a:ext uri="{FF2B5EF4-FFF2-40B4-BE49-F238E27FC236}">
              <a16:creationId xmlns:a16="http://schemas.microsoft.com/office/drawing/2014/main" id="{00000000-0008-0000-0800-00009D01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952500</xdr:colOff>
      <xdr:row>0</xdr:row>
      <xdr:rowOff>0</xdr:rowOff>
    </xdr:from>
    <xdr:ext cx="180975" cy="647700"/>
    <xdr:sp macro="" textlink="">
      <xdr:nvSpPr>
        <xdr:cNvPr id="414" name="Rectángulo 8">
          <a:extLst>
            <a:ext uri="{FF2B5EF4-FFF2-40B4-BE49-F238E27FC236}">
              <a16:creationId xmlns:a16="http://schemas.microsoft.com/office/drawing/2014/main" id="{00000000-0008-0000-0800-00009E010000}"/>
            </a:ext>
          </a:extLst>
        </xdr:cNvPr>
        <xdr:cNvSpPr/>
      </xdr:nvSpPr>
      <xdr:spPr>
        <a:xfrm>
          <a:off x="98679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415" name="Rectángulo 8">
          <a:extLst>
            <a:ext uri="{FF2B5EF4-FFF2-40B4-BE49-F238E27FC236}">
              <a16:creationId xmlns:a16="http://schemas.microsoft.com/office/drawing/2014/main" id="{00000000-0008-0000-0800-00009F01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416" name="Rectángulo 415">
          <a:extLst>
            <a:ext uri="{FF2B5EF4-FFF2-40B4-BE49-F238E27FC236}">
              <a16:creationId xmlns:a16="http://schemas.microsoft.com/office/drawing/2014/main" id="{00000000-0008-0000-0800-0000A001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417" name="rect">
          <a:extLst>
            <a:ext uri="{FF2B5EF4-FFF2-40B4-BE49-F238E27FC236}">
              <a16:creationId xmlns:a16="http://schemas.microsoft.com/office/drawing/2014/main" id="{00000000-0008-0000-0800-0000A101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418" name="rect">
          <a:extLst>
            <a:ext uri="{FF2B5EF4-FFF2-40B4-BE49-F238E27FC236}">
              <a16:creationId xmlns:a16="http://schemas.microsoft.com/office/drawing/2014/main" id="{00000000-0008-0000-0800-0000A201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952500</xdr:colOff>
      <xdr:row>0</xdr:row>
      <xdr:rowOff>0</xdr:rowOff>
    </xdr:from>
    <xdr:ext cx="180975" cy="647700"/>
    <xdr:sp macro="" textlink="">
      <xdr:nvSpPr>
        <xdr:cNvPr id="419" name="Rectángulo 418">
          <a:extLst>
            <a:ext uri="{FF2B5EF4-FFF2-40B4-BE49-F238E27FC236}">
              <a16:creationId xmlns:a16="http://schemas.microsoft.com/office/drawing/2014/main" id="{00000000-0008-0000-0800-0000A3010000}"/>
            </a:ext>
          </a:extLst>
        </xdr:cNvPr>
        <xdr:cNvSpPr/>
      </xdr:nvSpPr>
      <xdr:spPr>
        <a:xfrm>
          <a:off x="98679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2</xdr:col>
      <xdr:colOff>1066800</xdr:colOff>
      <xdr:row>0</xdr:row>
      <xdr:rowOff>0</xdr:rowOff>
    </xdr:from>
    <xdr:ext cx="0" cy="38100"/>
    <xdr:sp macro="" textlink="">
      <xdr:nvSpPr>
        <xdr:cNvPr id="420" name="CuadroTexto 419">
          <a:extLst>
            <a:ext uri="{FF2B5EF4-FFF2-40B4-BE49-F238E27FC236}">
              <a16:creationId xmlns:a16="http://schemas.microsoft.com/office/drawing/2014/main" id="{00000000-0008-0000-0800-0000A4010000}"/>
            </a:ext>
          </a:extLst>
        </xdr:cNvPr>
        <xdr:cNvSpPr txBox="1"/>
      </xdr:nvSpPr>
      <xdr:spPr>
        <a:xfrm flipH="1">
          <a:off x="3295650" y="0"/>
          <a:ext cx="0" cy="38100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lvl="0" algn="ctr"/>
          <a:r>
            <a:rPr lang="es-MX" sz="1200" b="1">
              <a:solidFill>
                <a:sysClr val="windowText" lastClr="000000"/>
              </a:solidFill>
            </a:rPr>
            <a:t>ISLA 9: CAMBIO DE MIX POSICIONES 4, 5, 6 Y 7</a:t>
          </a: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421" name="Rectángulo 8">
          <a:extLst>
            <a:ext uri="{FF2B5EF4-FFF2-40B4-BE49-F238E27FC236}">
              <a16:creationId xmlns:a16="http://schemas.microsoft.com/office/drawing/2014/main" id="{00000000-0008-0000-0800-0000A501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422" name="Rectángulo 8">
          <a:extLst>
            <a:ext uri="{FF2B5EF4-FFF2-40B4-BE49-F238E27FC236}">
              <a16:creationId xmlns:a16="http://schemas.microsoft.com/office/drawing/2014/main" id="{00000000-0008-0000-0800-0000A601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423" name="rect">
          <a:extLst>
            <a:ext uri="{FF2B5EF4-FFF2-40B4-BE49-F238E27FC236}">
              <a16:creationId xmlns:a16="http://schemas.microsoft.com/office/drawing/2014/main" id="{00000000-0008-0000-0800-0000A701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424" name="rect">
          <a:extLst>
            <a:ext uri="{FF2B5EF4-FFF2-40B4-BE49-F238E27FC236}">
              <a16:creationId xmlns:a16="http://schemas.microsoft.com/office/drawing/2014/main" id="{00000000-0008-0000-0800-0000A801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952500</xdr:colOff>
      <xdr:row>0</xdr:row>
      <xdr:rowOff>0</xdr:rowOff>
    </xdr:from>
    <xdr:ext cx="180975" cy="647700"/>
    <xdr:sp macro="" textlink="">
      <xdr:nvSpPr>
        <xdr:cNvPr id="425" name="Rectángulo 8">
          <a:extLst>
            <a:ext uri="{FF2B5EF4-FFF2-40B4-BE49-F238E27FC236}">
              <a16:creationId xmlns:a16="http://schemas.microsoft.com/office/drawing/2014/main" id="{00000000-0008-0000-0800-0000A9010000}"/>
            </a:ext>
          </a:extLst>
        </xdr:cNvPr>
        <xdr:cNvSpPr/>
      </xdr:nvSpPr>
      <xdr:spPr>
        <a:xfrm>
          <a:off x="98679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426" name="Rectángulo 8">
          <a:extLst>
            <a:ext uri="{FF2B5EF4-FFF2-40B4-BE49-F238E27FC236}">
              <a16:creationId xmlns:a16="http://schemas.microsoft.com/office/drawing/2014/main" id="{00000000-0008-0000-0800-0000AA01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427" name="Rectángulo 8">
          <a:extLst>
            <a:ext uri="{FF2B5EF4-FFF2-40B4-BE49-F238E27FC236}">
              <a16:creationId xmlns:a16="http://schemas.microsoft.com/office/drawing/2014/main" id="{00000000-0008-0000-0800-0000AB01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428" name="rect">
          <a:extLst>
            <a:ext uri="{FF2B5EF4-FFF2-40B4-BE49-F238E27FC236}">
              <a16:creationId xmlns:a16="http://schemas.microsoft.com/office/drawing/2014/main" id="{00000000-0008-0000-0800-0000AC01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429" name="rect">
          <a:extLst>
            <a:ext uri="{FF2B5EF4-FFF2-40B4-BE49-F238E27FC236}">
              <a16:creationId xmlns:a16="http://schemas.microsoft.com/office/drawing/2014/main" id="{00000000-0008-0000-0800-0000AD01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952500</xdr:colOff>
      <xdr:row>0</xdr:row>
      <xdr:rowOff>0</xdr:rowOff>
    </xdr:from>
    <xdr:ext cx="180975" cy="647700"/>
    <xdr:sp macro="" textlink="">
      <xdr:nvSpPr>
        <xdr:cNvPr id="430" name="Rectángulo 429">
          <a:extLst>
            <a:ext uri="{FF2B5EF4-FFF2-40B4-BE49-F238E27FC236}">
              <a16:creationId xmlns:a16="http://schemas.microsoft.com/office/drawing/2014/main" id="{00000000-0008-0000-0800-0000AE010000}"/>
            </a:ext>
          </a:extLst>
        </xdr:cNvPr>
        <xdr:cNvSpPr/>
      </xdr:nvSpPr>
      <xdr:spPr>
        <a:xfrm>
          <a:off x="98679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431" name="Rectángulo 8">
          <a:extLst>
            <a:ext uri="{FF2B5EF4-FFF2-40B4-BE49-F238E27FC236}">
              <a16:creationId xmlns:a16="http://schemas.microsoft.com/office/drawing/2014/main" id="{00000000-0008-0000-0800-0000AF01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180975" cy="647700"/>
    <xdr:sp macro="" textlink="">
      <xdr:nvSpPr>
        <xdr:cNvPr id="432" name="Rectángulo 8">
          <a:extLst>
            <a:ext uri="{FF2B5EF4-FFF2-40B4-BE49-F238E27FC236}">
              <a16:creationId xmlns:a16="http://schemas.microsoft.com/office/drawing/2014/main" id="{00000000-0008-0000-0800-0000B0010000}"/>
            </a:ext>
          </a:extLst>
        </xdr:cNvPr>
        <xdr:cNvSpPr/>
      </xdr:nvSpPr>
      <xdr:spPr>
        <a:xfrm>
          <a:off x="97155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433" name="rect">
          <a:extLst>
            <a:ext uri="{FF2B5EF4-FFF2-40B4-BE49-F238E27FC236}">
              <a16:creationId xmlns:a16="http://schemas.microsoft.com/office/drawing/2014/main" id="{00000000-0008-0000-0800-0000B101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800100</xdr:colOff>
      <xdr:row>0</xdr:row>
      <xdr:rowOff>0</xdr:rowOff>
    </xdr:from>
    <xdr:ext cx="0" cy="561975"/>
    <xdr:sp macro="" textlink="">
      <xdr:nvSpPr>
        <xdr:cNvPr id="434" name="rect">
          <a:extLst>
            <a:ext uri="{FF2B5EF4-FFF2-40B4-BE49-F238E27FC236}">
              <a16:creationId xmlns:a16="http://schemas.microsoft.com/office/drawing/2014/main" id="{00000000-0008-0000-0800-0000B2010000}"/>
            </a:ext>
          </a:extLst>
        </xdr:cNvPr>
        <xdr:cNvSpPr/>
      </xdr:nvSpPr>
      <xdr:spPr>
        <a:xfrm>
          <a:off x="9715500" y="0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952500</xdr:colOff>
      <xdr:row>0</xdr:row>
      <xdr:rowOff>0</xdr:rowOff>
    </xdr:from>
    <xdr:ext cx="180975" cy="647700"/>
    <xdr:sp macro="" textlink="">
      <xdr:nvSpPr>
        <xdr:cNvPr id="435" name="Rectángulo 8">
          <a:extLst>
            <a:ext uri="{FF2B5EF4-FFF2-40B4-BE49-F238E27FC236}">
              <a16:creationId xmlns:a16="http://schemas.microsoft.com/office/drawing/2014/main" id="{00000000-0008-0000-0800-0000B3010000}"/>
            </a:ext>
          </a:extLst>
        </xdr:cNvPr>
        <xdr:cNvSpPr/>
      </xdr:nvSpPr>
      <xdr:spPr>
        <a:xfrm>
          <a:off x="9867900" y="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807383</xdr:colOff>
      <xdr:row>0</xdr:row>
      <xdr:rowOff>0</xdr:rowOff>
    </xdr:from>
    <xdr:ext cx="184731" cy="655885"/>
    <xdr:sp macro="" textlink="">
      <xdr:nvSpPr>
        <xdr:cNvPr id="436" name="Rectángulo 8">
          <a:extLst>
            <a:ext uri="{FF2B5EF4-FFF2-40B4-BE49-F238E27FC236}">
              <a16:creationId xmlns:a16="http://schemas.microsoft.com/office/drawing/2014/main" id="{00000000-0008-0000-0800-0000B4010000}"/>
            </a:ext>
          </a:extLst>
        </xdr:cNvPr>
        <xdr:cNvSpPr/>
      </xdr:nvSpPr>
      <xdr:spPr>
        <a:xfrm>
          <a:off x="97227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0</xdr:row>
      <xdr:rowOff>0</xdr:rowOff>
    </xdr:from>
    <xdr:ext cx="184731" cy="655885"/>
    <xdr:sp macro="" textlink="">
      <xdr:nvSpPr>
        <xdr:cNvPr id="437" name="Rectángulo 8">
          <a:extLst>
            <a:ext uri="{FF2B5EF4-FFF2-40B4-BE49-F238E27FC236}">
              <a16:creationId xmlns:a16="http://schemas.microsoft.com/office/drawing/2014/main" id="{00000000-0008-0000-0800-0000B5010000}"/>
            </a:ext>
          </a:extLst>
        </xdr:cNvPr>
        <xdr:cNvSpPr/>
      </xdr:nvSpPr>
      <xdr:spPr>
        <a:xfrm>
          <a:off x="97227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959783</xdr:colOff>
      <xdr:row>0</xdr:row>
      <xdr:rowOff>0</xdr:rowOff>
    </xdr:from>
    <xdr:ext cx="184731" cy="655885"/>
    <xdr:sp macro="" textlink="">
      <xdr:nvSpPr>
        <xdr:cNvPr id="438" name="Rectángulo 437">
          <a:extLst>
            <a:ext uri="{FF2B5EF4-FFF2-40B4-BE49-F238E27FC236}">
              <a16:creationId xmlns:a16="http://schemas.microsoft.com/office/drawing/2014/main" id="{00000000-0008-0000-0800-0000B6010000}"/>
            </a:ext>
          </a:extLst>
        </xdr:cNvPr>
        <xdr:cNvSpPr/>
      </xdr:nvSpPr>
      <xdr:spPr>
        <a:xfrm>
          <a:off x="98751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0</xdr:row>
      <xdr:rowOff>0</xdr:rowOff>
    </xdr:from>
    <xdr:ext cx="184731" cy="655885"/>
    <xdr:sp macro="" textlink="">
      <xdr:nvSpPr>
        <xdr:cNvPr id="439" name="Rectángulo 438">
          <a:extLst>
            <a:ext uri="{FF2B5EF4-FFF2-40B4-BE49-F238E27FC236}">
              <a16:creationId xmlns:a16="http://schemas.microsoft.com/office/drawing/2014/main" id="{00000000-0008-0000-0800-0000B7010000}"/>
            </a:ext>
          </a:extLst>
        </xdr:cNvPr>
        <xdr:cNvSpPr/>
      </xdr:nvSpPr>
      <xdr:spPr>
        <a:xfrm>
          <a:off x="97227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0</xdr:row>
      <xdr:rowOff>0</xdr:rowOff>
    </xdr:from>
    <xdr:ext cx="184731" cy="655885"/>
    <xdr:sp macro="" textlink="">
      <xdr:nvSpPr>
        <xdr:cNvPr id="440" name="Rectángulo 8">
          <a:extLst>
            <a:ext uri="{FF2B5EF4-FFF2-40B4-BE49-F238E27FC236}">
              <a16:creationId xmlns:a16="http://schemas.microsoft.com/office/drawing/2014/main" id="{00000000-0008-0000-0800-0000B8010000}"/>
            </a:ext>
          </a:extLst>
        </xdr:cNvPr>
        <xdr:cNvSpPr/>
      </xdr:nvSpPr>
      <xdr:spPr>
        <a:xfrm>
          <a:off x="97227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959783</xdr:colOff>
      <xdr:row>0</xdr:row>
      <xdr:rowOff>0</xdr:rowOff>
    </xdr:from>
    <xdr:ext cx="184731" cy="655885"/>
    <xdr:sp macro="" textlink="">
      <xdr:nvSpPr>
        <xdr:cNvPr id="441" name="Rectángulo 440">
          <a:extLst>
            <a:ext uri="{FF2B5EF4-FFF2-40B4-BE49-F238E27FC236}">
              <a16:creationId xmlns:a16="http://schemas.microsoft.com/office/drawing/2014/main" id="{00000000-0008-0000-0800-0000B9010000}"/>
            </a:ext>
          </a:extLst>
        </xdr:cNvPr>
        <xdr:cNvSpPr/>
      </xdr:nvSpPr>
      <xdr:spPr>
        <a:xfrm>
          <a:off x="98751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0</xdr:row>
      <xdr:rowOff>0</xdr:rowOff>
    </xdr:from>
    <xdr:ext cx="184731" cy="655885"/>
    <xdr:sp macro="" textlink="">
      <xdr:nvSpPr>
        <xdr:cNvPr id="442" name="Rectángulo 8">
          <a:extLst>
            <a:ext uri="{FF2B5EF4-FFF2-40B4-BE49-F238E27FC236}">
              <a16:creationId xmlns:a16="http://schemas.microsoft.com/office/drawing/2014/main" id="{00000000-0008-0000-0800-0000BA010000}"/>
            </a:ext>
          </a:extLst>
        </xdr:cNvPr>
        <xdr:cNvSpPr/>
      </xdr:nvSpPr>
      <xdr:spPr>
        <a:xfrm>
          <a:off x="97227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0</xdr:row>
      <xdr:rowOff>0</xdr:rowOff>
    </xdr:from>
    <xdr:ext cx="184731" cy="655885"/>
    <xdr:sp macro="" textlink="">
      <xdr:nvSpPr>
        <xdr:cNvPr id="443" name="Rectángulo 8">
          <a:extLst>
            <a:ext uri="{FF2B5EF4-FFF2-40B4-BE49-F238E27FC236}">
              <a16:creationId xmlns:a16="http://schemas.microsoft.com/office/drawing/2014/main" id="{00000000-0008-0000-0800-0000BB010000}"/>
            </a:ext>
          </a:extLst>
        </xdr:cNvPr>
        <xdr:cNvSpPr/>
      </xdr:nvSpPr>
      <xdr:spPr>
        <a:xfrm>
          <a:off x="97227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959783</xdr:colOff>
      <xdr:row>0</xdr:row>
      <xdr:rowOff>0</xdr:rowOff>
    </xdr:from>
    <xdr:ext cx="184731" cy="655885"/>
    <xdr:sp macro="" textlink="">
      <xdr:nvSpPr>
        <xdr:cNvPr id="444" name="Rectángulo 443">
          <a:extLst>
            <a:ext uri="{FF2B5EF4-FFF2-40B4-BE49-F238E27FC236}">
              <a16:creationId xmlns:a16="http://schemas.microsoft.com/office/drawing/2014/main" id="{00000000-0008-0000-0800-0000BC010000}"/>
            </a:ext>
          </a:extLst>
        </xdr:cNvPr>
        <xdr:cNvSpPr/>
      </xdr:nvSpPr>
      <xdr:spPr>
        <a:xfrm>
          <a:off x="98751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0</xdr:row>
      <xdr:rowOff>0</xdr:rowOff>
    </xdr:from>
    <xdr:ext cx="184731" cy="655885"/>
    <xdr:sp macro="" textlink="">
      <xdr:nvSpPr>
        <xdr:cNvPr id="445" name="Rectángulo 444">
          <a:extLst>
            <a:ext uri="{FF2B5EF4-FFF2-40B4-BE49-F238E27FC236}">
              <a16:creationId xmlns:a16="http://schemas.microsoft.com/office/drawing/2014/main" id="{00000000-0008-0000-0800-0000BD010000}"/>
            </a:ext>
          </a:extLst>
        </xdr:cNvPr>
        <xdr:cNvSpPr/>
      </xdr:nvSpPr>
      <xdr:spPr>
        <a:xfrm>
          <a:off x="97227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0</xdr:row>
      <xdr:rowOff>0</xdr:rowOff>
    </xdr:from>
    <xdr:ext cx="184731" cy="655885"/>
    <xdr:sp macro="" textlink="">
      <xdr:nvSpPr>
        <xdr:cNvPr id="446" name="Rectángulo 8">
          <a:extLst>
            <a:ext uri="{FF2B5EF4-FFF2-40B4-BE49-F238E27FC236}">
              <a16:creationId xmlns:a16="http://schemas.microsoft.com/office/drawing/2014/main" id="{00000000-0008-0000-0800-0000BE010000}"/>
            </a:ext>
          </a:extLst>
        </xdr:cNvPr>
        <xdr:cNvSpPr/>
      </xdr:nvSpPr>
      <xdr:spPr>
        <a:xfrm>
          <a:off x="97227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959783</xdr:colOff>
      <xdr:row>0</xdr:row>
      <xdr:rowOff>0</xdr:rowOff>
    </xdr:from>
    <xdr:ext cx="184731" cy="655885"/>
    <xdr:sp macro="" textlink="">
      <xdr:nvSpPr>
        <xdr:cNvPr id="447" name="Rectángulo 446">
          <a:extLst>
            <a:ext uri="{FF2B5EF4-FFF2-40B4-BE49-F238E27FC236}">
              <a16:creationId xmlns:a16="http://schemas.microsoft.com/office/drawing/2014/main" id="{00000000-0008-0000-0800-0000BF010000}"/>
            </a:ext>
          </a:extLst>
        </xdr:cNvPr>
        <xdr:cNvSpPr/>
      </xdr:nvSpPr>
      <xdr:spPr>
        <a:xfrm>
          <a:off x="98751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0</xdr:col>
      <xdr:colOff>959783</xdr:colOff>
      <xdr:row>0</xdr:row>
      <xdr:rowOff>0</xdr:rowOff>
    </xdr:from>
    <xdr:ext cx="184731" cy="655885"/>
    <xdr:sp macro="" textlink="">
      <xdr:nvSpPr>
        <xdr:cNvPr id="448" name="Rectángulo 447">
          <a:extLst>
            <a:ext uri="{FF2B5EF4-FFF2-40B4-BE49-F238E27FC236}">
              <a16:creationId xmlns:a16="http://schemas.microsoft.com/office/drawing/2014/main" id="{00000000-0008-0000-0800-0000C0010000}"/>
            </a:ext>
          </a:extLst>
        </xdr:cNvPr>
        <xdr:cNvSpPr/>
      </xdr:nvSpPr>
      <xdr:spPr>
        <a:xfrm>
          <a:off x="9597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0</xdr:col>
      <xdr:colOff>959783</xdr:colOff>
      <xdr:row>0</xdr:row>
      <xdr:rowOff>0</xdr:rowOff>
    </xdr:from>
    <xdr:ext cx="184731" cy="655885"/>
    <xdr:sp macro="" textlink="">
      <xdr:nvSpPr>
        <xdr:cNvPr id="449" name="Rectángulo 448">
          <a:extLst>
            <a:ext uri="{FF2B5EF4-FFF2-40B4-BE49-F238E27FC236}">
              <a16:creationId xmlns:a16="http://schemas.microsoft.com/office/drawing/2014/main" id="{00000000-0008-0000-0800-0000C1010000}"/>
            </a:ext>
          </a:extLst>
        </xdr:cNvPr>
        <xdr:cNvSpPr/>
      </xdr:nvSpPr>
      <xdr:spPr>
        <a:xfrm>
          <a:off x="959783" y="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2</xdr:col>
      <xdr:colOff>1066800</xdr:colOff>
      <xdr:row>6</xdr:row>
      <xdr:rowOff>19050</xdr:rowOff>
    </xdr:from>
    <xdr:ext cx="0" cy="38100"/>
    <xdr:sp macro="" textlink="">
      <xdr:nvSpPr>
        <xdr:cNvPr id="450" name="CuadroTexto 449">
          <a:extLst>
            <a:ext uri="{FF2B5EF4-FFF2-40B4-BE49-F238E27FC236}">
              <a16:creationId xmlns:a16="http://schemas.microsoft.com/office/drawing/2014/main" id="{00000000-0008-0000-0800-0000C2010000}"/>
            </a:ext>
          </a:extLst>
        </xdr:cNvPr>
        <xdr:cNvSpPr txBox="1"/>
      </xdr:nvSpPr>
      <xdr:spPr>
        <a:xfrm flipH="1">
          <a:off x="3295650" y="1333500"/>
          <a:ext cx="0" cy="38100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lvl="0" algn="ctr"/>
          <a:r>
            <a:rPr lang="es-MX" sz="1200" b="1">
              <a:solidFill>
                <a:sysClr val="windowText" lastClr="000000"/>
              </a:solidFill>
            </a:rPr>
            <a:t>ISLA 9: CAMBIO DE MIX POSICIONES 4, 5, 6 Y 7</a:t>
          </a:r>
        </a:p>
      </xdr:txBody>
    </xdr:sp>
    <xdr:clientData fLocksWithSheet="0"/>
  </xdr:oneCellAnchor>
  <xdr:oneCellAnchor>
    <xdr:from>
      <xdr:col>8</xdr:col>
      <xdr:colOff>800100</xdr:colOff>
      <xdr:row>11</xdr:row>
      <xdr:rowOff>104775</xdr:rowOff>
    </xdr:from>
    <xdr:ext cx="180975" cy="647700"/>
    <xdr:sp macro="" textlink="">
      <xdr:nvSpPr>
        <xdr:cNvPr id="451" name="Rectángulo 8">
          <a:extLst>
            <a:ext uri="{FF2B5EF4-FFF2-40B4-BE49-F238E27FC236}">
              <a16:creationId xmlns:a16="http://schemas.microsoft.com/office/drawing/2014/main" id="{00000000-0008-0000-0800-0000C3010000}"/>
            </a:ext>
          </a:extLst>
        </xdr:cNvPr>
        <xdr:cNvSpPr/>
      </xdr:nvSpPr>
      <xdr:spPr>
        <a:xfrm>
          <a:off x="9715500" y="251460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11</xdr:row>
      <xdr:rowOff>104775</xdr:rowOff>
    </xdr:from>
    <xdr:ext cx="180975" cy="647700"/>
    <xdr:sp macro="" textlink="">
      <xdr:nvSpPr>
        <xdr:cNvPr id="452" name="Rectángulo 8">
          <a:extLst>
            <a:ext uri="{FF2B5EF4-FFF2-40B4-BE49-F238E27FC236}">
              <a16:creationId xmlns:a16="http://schemas.microsoft.com/office/drawing/2014/main" id="{00000000-0008-0000-0800-0000C4010000}"/>
            </a:ext>
          </a:extLst>
        </xdr:cNvPr>
        <xdr:cNvSpPr/>
      </xdr:nvSpPr>
      <xdr:spPr>
        <a:xfrm>
          <a:off x="9715500" y="251460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11</xdr:row>
      <xdr:rowOff>57150</xdr:rowOff>
    </xdr:from>
    <xdr:ext cx="0" cy="561975"/>
    <xdr:sp macro="" textlink="">
      <xdr:nvSpPr>
        <xdr:cNvPr id="453" name="rect">
          <a:extLst>
            <a:ext uri="{FF2B5EF4-FFF2-40B4-BE49-F238E27FC236}">
              <a16:creationId xmlns:a16="http://schemas.microsoft.com/office/drawing/2014/main" id="{00000000-0008-0000-0800-0000C5010000}"/>
            </a:ext>
          </a:extLst>
        </xdr:cNvPr>
        <xdr:cNvSpPr/>
      </xdr:nvSpPr>
      <xdr:spPr>
        <a:xfrm>
          <a:off x="9715500" y="2466975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800100</xdr:colOff>
      <xdr:row>11</xdr:row>
      <xdr:rowOff>57150</xdr:rowOff>
    </xdr:from>
    <xdr:ext cx="0" cy="561975"/>
    <xdr:sp macro="" textlink="">
      <xdr:nvSpPr>
        <xdr:cNvPr id="454" name="rect">
          <a:extLst>
            <a:ext uri="{FF2B5EF4-FFF2-40B4-BE49-F238E27FC236}">
              <a16:creationId xmlns:a16="http://schemas.microsoft.com/office/drawing/2014/main" id="{00000000-0008-0000-0800-0000C6010000}"/>
            </a:ext>
          </a:extLst>
        </xdr:cNvPr>
        <xdr:cNvSpPr/>
      </xdr:nvSpPr>
      <xdr:spPr>
        <a:xfrm>
          <a:off x="9715500" y="2466975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952500</xdr:colOff>
      <xdr:row>13</xdr:row>
      <xdr:rowOff>219075</xdr:rowOff>
    </xdr:from>
    <xdr:ext cx="180975" cy="647700"/>
    <xdr:sp macro="" textlink="">
      <xdr:nvSpPr>
        <xdr:cNvPr id="455" name="Rectángulo 454">
          <a:extLst>
            <a:ext uri="{FF2B5EF4-FFF2-40B4-BE49-F238E27FC236}">
              <a16:creationId xmlns:a16="http://schemas.microsoft.com/office/drawing/2014/main" id="{00000000-0008-0000-0800-0000C7010000}"/>
            </a:ext>
          </a:extLst>
        </xdr:cNvPr>
        <xdr:cNvSpPr/>
      </xdr:nvSpPr>
      <xdr:spPr>
        <a:xfrm>
          <a:off x="9867900" y="306705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11</xdr:row>
      <xdr:rowOff>104775</xdr:rowOff>
    </xdr:from>
    <xdr:ext cx="180975" cy="647700"/>
    <xdr:sp macro="" textlink="">
      <xdr:nvSpPr>
        <xdr:cNvPr id="456" name="Rectángulo 8">
          <a:extLst>
            <a:ext uri="{FF2B5EF4-FFF2-40B4-BE49-F238E27FC236}">
              <a16:creationId xmlns:a16="http://schemas.microsoft.com/office/drawing/2014/main" id="{00000000-0008-0000-0800-0000C8010000}"/>
            </a:ext>
          </a:extLst>
        </xdr:cNvPr>
        <xdr:cNvSpPr/>
      </xdr:nvSpPr>
      <xdr:spPr>
        <a:xfrm>
          <a:off x="9715500" y="251460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11</xdr:row>
      <xdr:rowOff>104775</xdr:rowOff>
    </xdr:from>
    <xdr:ext cx="180975" cy="647700"/>
    <xdr:sp macro="" textlink="">
      <xdr:nvSpPr>
        <xdr:cNvPr id="457" name="Rectángulo 8">
          <a:extLst>
            <a:ext uri="{FF2B5EF4-FFF2-40B4-BE49-F238E27FC236}">
              <a16:creationId xmlns:a16="http://schemas.microsoft.com/office/drawing/2014/main" id="{00000000-0008-0000-0800-0000C9010000}"/>
            </a:ext>
          </a:extLst>
        </xdr:cNvPr>
        <xdr:cNvSpPr/>
      </xdr:nvSpPr>
      <xdr:spPr>
        <a:xfrm>
          <a:off x="9715500" y="251460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11</xdr:row>
      <xdr:rowOff>57150</xdr:rowOff>
    </xdr:from>
    <xdr:ext cx="0" cy="561975"/>
    <xdr:sp macro="" textlink="">
      <xdr:nvSpPr>
        <xdr:cNvPr id="458" name="rect">
          <a:extLst>
            <a:ext uri="{FF2B5EF4-FFF2-40B4-BE49-F238E27FC236}">
              <a16:creationId xmlns:a16="http://schemas.microsoft.com/office/drawing/2014/main" id="{00000000-0008-0000-0800-0000CA010000}"/>
            </a:ext>
          </a:extLst>
        </xdr:cNvPr>
        <xdr:cNvSpPr/>
      </xdr:nvSpPr>
      <xdr:spPr>
        <a:xfrm>
          <a:off x="9715500" y="2466975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800100</xdr:colOff>
      <xdr:row>11</xdr:row>
      <xdr:rowOff>57150</xdr:rowOff>
    </xdr:from>
    <xdr:ext cx="0" cy="561975"/>
    <xdr:sp macro="" textlink="">
      <xdr:nvSpPr>
        <xdr:cNvPr id="459" name="rect">
          <a:extLst>
            <a:ext uri="{FF2B5EF4-FFF2-40B4-BE49-F238E27FC236}">
              <a16:creationId xmlns:a16="http://schemas.microsoft.com/office/drawing/2014/main" id="{00000000-0008-0000-0800-0000CB010000}"/>
            </a:ext>
          </a:extLst>
        </xdr:cNvPr>
        <xdr:cNvSpPr/>
      </xdr:nvSpPr>
      <xdr:spPr>
        <a:xfrm>
          <a:off x="9715500" y="2466975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952500</xdr:colOff>
      <xdr:row>13</xdr:row>
      <xdr:rowOff>219075</xdr:rowOff>
    </xdr:from>
    <xdr:ext cx="180975" cy="647700"/>
    <xdr:sp macro="" textlink="">
      <xdr:nvSpPr>
        <xdr:cNvPr id="460" name="Rectángulo 8">
          <a:extLst>
            <a:ext uri="{FF2B5EF4-FFF2-40B4-BE49-F238E27FC236}">
              <a16:creationId xmlns:a16="http://schemas.microsoft.com/office/drawing/2014/main" id="{00000000-0008-0000-0800-0000CC010000}"/>
            </a:ext>
          </a:extLst>
        </xdr:cNvPr>
        <xdr:cNvSpPr/>
      </xdr:nvSpPr>
      <xdr:spPr>
        <a:xfrm>
          <a:off x="9867900" y="306705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11</xdr:row>
      <xdr:rowOff>104775</xdr:rowOff>
    </xdr:from>
    <xdr:ext cx="180975" cy="647700"/>
    <xdr:sp macro="" textlink="">
      <xdr:nvSpPr>
        <xdr:cNvPr id="461" name="Rectángulo 8">
          <a:extLst>
            <a:ext uri="{FF2B5EF4-FFF2-40B4-BE49-F238E27FC236}">
              <a16:creationId xmlns:a16="http://schemas.microsoft.com/office/drawing/2014/main" id="{00000000-0008-0000-0800-0000CD010000}"/>
            </a:ext>
          </a:extLst>
        </xdr:cNvPr>
        <xdr:cNvSpPr/>
      </xdr:nvSpPr>
      <xdr:spPr>
        <a:xfrm>
          <a:off x="9715500" y="251460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11</xdr:row>
      <xdr:rowOff>104775</xdr:rowOff>
    </xdr:from>
    <xdr:ext cx="180975" cy="647700"/>
    <xdr:sp macro="" textlink="">
      <xdr:nvSpPr>
        <xdr:cNvPr id="462" name="Rectángulo 8">
          <a:extLst>
            <a:ext uri="{FF2B5EF4-FFF2-40B4-BE49-F238E27FC236}">
              <a16:creationId xmlns:a16="http://schemas.microsoft.com/office/drawing/2014/main" id="{00000000-0008-0000-0800-0000CE010000}"/>
            </a:ext>
          </a:extLst>
        </xdr:cNvPr>
        <xdr:cNvSpPr/>
      </xdr:nvSpPr>
      <xdr:spPr>
        <a:xfrm>
          <a:off x="9715500" y="251460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11</xdr:row>
      <xdr:rowOff>57150</xdr:rowOff>
    </xdr:from>
    <xdr:ext cx="0" cy="561975"/>
    <xdr:sp macro="" textlink="">
      <xdr:nvSpPr>
        <xdr:cNvPr id="463" name="rect">
          <a:extLst>
            <a:ext uri="{FF2B5EF4-FFF2-40B4-BE49-F238E27FC236}">
              <a16:creationId xmlns:a16="http://schemas.microsoft.com/office/drawing/2014/main" id="{00000000-0008-0000-0800-0000CF010000}"/>
            </a:ext>
          </a:extLst>
        </xdr:cNvPr>
        <xdr:cNvSpPr/>
      </xdr:nvSpPr>
      <xdr:spPr>
        <a:xfrm>
          <a:off x="9715500" y="2466975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800100</xdr:colOff>
      <xdr:row>11</xdr:row>
      <xdr:rowOff>57150</xdr:rowOff>
    </xdr:from>
    <xdr:ext cx="0" cy="561975"/>
    <xdr:sp macro="" textlink="">
      <xdr:nvSpPr>
        <xdr:cNvPr id="464" name="rect">
          <a:extLst>
            <a:ext uri="{FF2B5EF4-FFF2-40B4-BE49-F238E27FC236}">
              <a16:creationId xmlns:a16="http://schemas.microsoft.com/office/drawing/2014/main" id="{00000000-0008-0000-0800-0000D0010000}"/>
            </a:ext>
          </a:extLst>
        </xdr:cNvPr>
        <xdr:cNvSpPr/>
      </xdr:nvSpPr>
      <xdr:spPr>
        <a:xfrm>
          <a:off x="9715500" y="2466975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952500</xdr:colOff>
      <xdr:row>13</xdr:row>
      <xdr:rowOff>219075</xdr:rowOff>
    </xdr:from>
    <xdr:ext cx="180975" cy="647700"/>
    <xdr:sp macro="" textlink="">
      <xdr:nvSpPr>
        <xdr:cNvPr id="465" name="Rectángulo 464">
          <a:extLst>
            <a:ext uri="{FF2B5EF4-FFF2-40B4-BE49-F238E27FC236}">
              <a16:creationId xmlns:a16="http://schemas.microsoft.com/office/drawing/2014/main" id="{00000000-0008-0000-0800-0000D1010000}"/>
            </a:ext>
          </a:extLst>
        </xdr:cNvPr>
        <xdr:cNvSpPr/>
      </xdr:nvSpPr>
      <xdr:spPr>
        <a:xfrm>
          <a:off x="9867900" y="306705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11</xdr:row>
      <xdr:rowOff>104775</xdr:rowOff>
    </xdr:from>
    <xdr:ext cx="180975" cy="647700"/>
    <xdr:sp macro="" textlink="">
      <xdr:nvSpPr>
        <xdr:cNvPr id="466" name="Rectángulo 8">
          <a:extLst>
            <a:ext uri="{FF2B5EF4-FFF2-40B4-BE49-F238E27FC236}">
              <a16:creationId xmlns:a16="http://schemas.microsoft.com/office/drawing/2014/main" id="{00000000-0008-0000-0800-0000D2010000}"/>
            </a:ext>
          </a:extLst>
        </xdr:cNvPr>
        <xdr:cNvSpPr/>
      </xdr:nvSpPr>
      <xdr:spPr>
        <a:xfrm>
          <a:off x="9715500" y="251460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11</xdr:row>
      <xdr:rowOff>104775</xdr:rowOff>
    </xdr:from>
    <xdr:ext cx="180975" cy="647700"/>
    <xdr:sp macro="" textlink="">
      <xdr:nvSpPr>
        <xdr:cNvPr id="467" name="Rectángulo 8">
          <a:extLst>
            <a:ext uri="{FF2B5EF4-FFF2-40B4-BE49-F238E27FC236}">
              <a16:creationId xmlns:a16="http://schemas.microsoft.com/office/drawing/2014/main" id="{00000000-0008-0000-0800-0000D3010000}"/>
            </a:ext>
          </a:extLst>
        </xdr:cNvPr>
        <xdr:cNvSpPr/>
      </xdr:nvSpPr>
      <xdr:spPr>
        <a:xfrm>
          <a:off x="9715500" y="251460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11</xdr:row>
      <xdr:rowOff>57150</xdr:rowOff>
    </xdr:from>
    <xdr:ext cx="0" cy="561975"/>
    <xdr:sp macro="" textlink="">
      <xdr:nvSpPr>
        <xdr:cNvPr id="468" name="rect">
          <a:extLst>
            <a:ext uri="{FF2B5EF4-FFF2-40B4-BE49-F238E27FC236}">
              <a16:creationId xmlns:a16="http://schemas.microsoft.com/office/drawing/2014/main" id="{00000000-0008-0000-0800-0000D4010000}"/>
            </a:ext>
          </a:extLst>
        </xdr:cNvPr>
        <xdr:cNvSpPr/>
      </xdr:nvSpPr>
      <xdr:spPr>
        <a:xfrm>
          <a:off x="9715500" y="2466975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800100</xdr:colOff>
      <xdr:row>11</xdr:row>
      <xdr:rowOff>57150</xdr:rowOff>
    </xdr:from>
    <xdr:ext cx="0" cy="561975"/>
    <xdr:sp macro="" textlink="">
      <xdr:nvSpPr>
        <xdr:cNvPr id="469" name="rect">
          <a:extLst>
            <a:ext uri="{FF2B5EF4-FFF2-40B4-BE49-F238E27FC236}">
              <a16:creationId xmlns:a16="http://schemas.microsoft.com/office/drawing/2014/main" id="{00000000-0008-0000-0800-0000D5010000}"/>
            </a:ext>
          </a:extLst>
        </xdr:cNvPr>
        <xdr:cNvSpPr/>
      </xdr:nvSpPr>
      <xdr:spPr>
        <a:xfrm>
          <a:off x="9715500" y="2466975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952500</xdr:colOff>
      <xdr:row>13</xdr:row>
      <xdr:rowOff>219075</xdr:rowOff>
    </xdr:from>
    <xdr:ext cx="180975" cy="647700"/>
    <xdr:sp macro="" textlink="">
      <xdr:nvSpPr>
        <xdr:cNvPr id="470" name="Rectángulo 8">
          <a:extLst>
            <a:ext uri="{FF2B5EF4-FFF2-40B4-BE49-F238E27FC236}">
              <a16:creationId xmlns:a16="http://schemas.microsoft.com/office/drawing/2014/main" id="{00000000-0008-0000-0800-0000D6010000}"/>
            </a:ext>
          </a:extLst>
        </xdr:cNvPr>
        <xdr:cNvSpPr/>
      </xdr:nvSpPr>
      <xdr:spPr>
        <a:xfrm>
          <a:off x="9867900" y="306705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11</xdr:row>
      <xdr:rowOff>104775</xdr:rowOff>
    </xdr:from>
    <xdr:ext cx="180975" cy="647700"/>
    <xdr:sp macro="" textlink="">
      <xdr:nvSpPr>
        <xdr:cNvPr id="471" name="Rectángulo 8">
          <a:extLst>
            <a:ext uri="{FF2B5EF4-FFF2-40B4-BE49-F238E27FC236}">
              <a16:creationId xmlns:a16="http://schemas.microsoft.com/office/drawing/2014/main" id="{00000000-0008-0000-0800-0000D7010000}"/>
            </a:ext>
          </a:extLst>
        </xdr:cNvPr>
        <xdr:cNvSpPr/>
      </xdr:nvSpPr>
      <xdr:spPr>
        <a:xfrm>
          <a:off x="9715500" y="251460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11</xdr:row>
      <xdr:rowOff>104775</xdr:rowOff>
    </xdr:from>
    <xdr:ext cx="180975" cy="647700"/>
    <xdr:sp macro="" textlink="">
      <xdr:nvSpPr>
        <xdr:cNvPr id="472" name="Rectángulo 471">
          <a:extLst>
            <a:ext uri="{FF2B5EF4-FFF2-40B4-BE49-F238E27FC236}">
              <a16:creationId xmlns:a16="http://schemas.microsoft.com/office/drawing/2014/main" id="{00000000-0008-0000-0800-0000D8010000}"/>
            </a:ext>
          </a:extLst>
        </xdr:cNvPr>
        <xdr:cNvSpPr/>
      </xdr:nvSpPr>
      <xdr:spPr>
        <a:xfrm>
          <a:off x="9715500" y="251460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11</xdr:row>
      <xdr:rowOff>57150</xdr:rowOff>
    </xdr:from>
    <xdr:ext cx="0" cy="561975"/>
    <xdr:sp macro="" textlink="">
      <xdr:nvSpPr>
        <xdr:cNvPr id="473" name="rect">
          <a:extLst>
            <a:ext uri="{FF2B5EF4-FFF2-40B4-BE49-F238E27FC236}">
              <a16:creationId xmlns:a16="http://schemas.microsoft.com/office/drawing/2014/main" id="{00000000-0008-0000-0800-0000D9010000}"/>
            </a:ext>
          </a:extLst>
        </xdr:cNvPr>
        <xdr:cNvSpPr/>
      </xdr:nvSpPr>
      <xdr:spPr>
        <a:xfrm>
          <a:off x="9715500" y="2466975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800100</xdr:colOff>
      <xdr:row>11</xdr:row>
      <xdr:rowOff>57150</xdr:rowOff>
    </xdr:from>
    <xdr:ext cx="0" cy="561975"/>
    <xdr:sp macro="" textlink="">
      <xdr:nvSpPr>
        <xdr:cNvPr id="474" name="rect">
          <a:extLst>
            <a:ext uri="{FF2B5EF4-FFF2-40B4-BE49-F238E27FC236}">
              <a16:creationId xmlns:a16="http://schemas.microsoft.com/office/drawing/2014/main" id="{00000000-0008-0000-0800-0000DA010000}"/>
            </a:ext>
          </a:extLst>
        </xdr:cNvPr>
        <xdr:cNvSpPr/>
      </xdr:nvSpPr>
      <xdr:spPr>
        <a:xfrm>
          <a:off x="9715500" y="2466975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952500</xdr:colOff>
      <xdr:row>13</xdr:row>
      <xdr:rowOff>219075</xdr:rowOff>
    </xdr:from>
    <xdr:ext cx="180975" cy="647700"/>
    <xdr:sp macro="" textlink="">
      <xdr:nvSpPr>
        <xdr:cNvPr id="475" name="Rectángulo 474">
          <a:extLst>
            <a:ext uri="{FF2B5EF4-FFF2-40B4-BE49-F238E27FC236}">
              <a16:creationId xmlns:a16="http://schemas.microsoft.com/office/drawing/2014/main" id="{00000000-0008-0000-0800-0000DB010000}"/>
            </a:ext>
          </a:extLst>
        </xdr:cNvPr>
        <xdr:cNvSpPr/>
      </xdr:nvSpPr>
      <xdr:spPr>
        <a:xfrm>
          <a:off x="9867900" y="306705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2</xdr:col>
      <xdr:colOff>1066800</xdr:colOff>
      <xdr:row>6</xdr:row>
      <xdr:rowOff>19050</xdr:rowOff>
    </xdr:from>
    <xdr:ext cx="0" cy="38100"/>
    <xdr:sp macro="" textlink="">
      <xdr:nvSpPr>
        <xdr:cNvPr id="476" name="CuadroTexto 475">
          <a:extLst>
            <a:ext uri="{FF2B5EF4-FFF2-40B4-BE49-F238E27FC236}">
              <a16:creationId xmlns:a16="http://schemas.microsoft.com/office/drawing/2014/main" id="{00000000-0008-0000-0800-0000DC010000}"/>
            </a:ext>
          </a:extLst>
        </xdr:cNvPr>
        <xdr:cNvSpPr txBox="1"/>
      </xdr:nvSpPr>
      <xdr:spPr>
        <a:xfrm flipH="1">
          <a:off x="3295650" y="1333500"/>
          <a:ext cx="0" cy="38100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lvl="0" algn="ctr"/>
          <a:r>
            <a:rPr lang="es-MX" sz="1200" b="1">
              <a:solidFill>
                <a:sysClr val="windowText" lastClr="000000"/>
              </a:solidFill>
            </a:rPr>
            <a:t>ISLA 9: CAMBIO DE MIX POSICIONES 4, 5, 6 Y 7</a:t>
          </a:r>
        </a:p>
      </xdr:txBody>
    </xdr:sp>
    <xdr:clientData fLocksWithSheet="0"/>
  </xdr:oneCellAnchor>
  <xdr:oneCellAnchor>
    <xdr:from>
      <xdr:col>8</xdr:col>
      <xdr:colOff>800100</xdr:colOff>
      <xdr:row>11</xdr:row>
      <xdr:rowOff>104775</xdr:rowOff>
    </xdr:from>
    <xdr:ext cx="180975" cy="647700"/>
    <xdr:sp macro="" textlink="">
      <xdr:nvSpPr>
        <xdr:cNvPr id="477" name="Rectángulo 8">
          <a:extLst>
            <a:ext uri="{FF2B5EF4-FFF2-40B4-BE49-F238E27FC236}">
              <a16:creationId xmlns:a16="http://schemas.microsoft.com/office/drawing/2014/main" id="{00000000-0008-0000-0800-0000DD010000}"/>
            </a:ext>
          </a:extLst>
        </xdr:cNvPr>
        <xdr:cNvSpPr/>
      </xdr:nvSpPr>
      <xdr:spPr>
        <a:xfrm>
          <a:off x="9715500" y="251460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11</xdr:row>
      <xdr:rowOff>104775</xdr:rowOff>
    </xdr:from>
    <xdr:ext cx="180975" cy="647700"/>
    <xdr:sp macro="" textlink="">
      <xdr:nvSpPr>
        <xdr:cNvPr id="478" name="Rectángulo 8">
          <a:extLst>
            <a:ext uri="{FF2B5EF4-FFF2-40B4-BE49-F238E27FC236}">
              <a16:creationId xmlns:a16="http://schemas.microsoft.com/office/drawing/2014/main" id="{00000000-0008-0000-0800-0000DE010000}"/>
            </a:ext>
          </a:extLst>
        </xdr:cNvPr>
        <xdr:cNvSpPr/>
      </xdr:nvSpPr>
      <xdr:spPr>
        <a:xfrm>
          <a:off x="9715500" y="251460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11</xdr:row>
      <xdr:rowOff>57150</xdr:rowOff>
    </xdr:from>
    <xdr:ext cx="0" cy="561975"/>
    <xdr:sp macro="" textlink="">
      <xdr:nvSpPr>
        <xdr:cNvPr id="479" name="rect">
          <a:extLst>
            <a:ext uri="{FF2B5EF4-FFF2-40B4-BE49-F238E27FC236}">
              <a16:creationId xmlns:a16="http://schemas.microsoft.com/office/drawing/2014/main" id="{00000000-0008-0000-0800-0000DF010000}"/>
            </a:ext>
          </a:extLst>
        </xdr:cNvPr>
        <xdr:cNvSpPr/>
      </xdr:nvSpPr>
      <xdr:spPr>
        <a:xfrm>
          <a:off x="9715500" y="2466975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800100</xdr:colOff>
      <xdr:row>11</xdr:row>
      <xdr:rowOff>57150</xdr:rowOff>
    </xdr:from>
    <xdr:ext cx="0" cy="561975"/>
    <xdr:sp macro="" textlink="">
      <xdr:nvSpPr>
        <xdr:cNvPr id="480" name="rect">
          <a:extLst>
            <a:ext uri="{FF2B5EF4-FFF2-40B4-BE49-F238E27FC236}">
              <a16:creationId xmlns:a16="http://schemas.microsoft.com/office/drawing/2014/main" id="{00000000-0008-0000-0800-0000E0010000}"/>
            </a:ext>
          </a:extLst>
        </xdr:cNvPr>
        <xdr:cNvSpPr/>
      </xdr:nvSpPr>
      <xdr:spPr>
        <a:xfrm>
          <a:off x="9715500" y="2466975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952500</xdr:colOff>
      <xdr:row>13</xdr:row>
      <xdr:rowOff>219075</xdr:rowOff>
    </xdr:from>
    <xdr:ext cx="180975" cy="647700"/>
    <xdr:sp macro="" textlink="">
      <xdr:nvSpPr>
        <xdr:cNvPr id="481" name="Rectángulo 8">
          <a:extLst>
            <a:ext uri="{FF2B5EF4-FFF2-40B4-BE49-F238E27FC236}">
              <a16:creationId xmlns:a16="http://schemas.microsoft.com/office/drawing/2014/main" id="{00000000-0008-0000-0800-0000E1010000}"/>
            </a:ext>
          </a:extLst>
        </xdr:cNvPr>
        <xdr:cNvSpPr/>
      </xdr:nvSpPr>
      <xdr:spPr>
        <a:xfrm>
          <a:off x="9867900" y="306705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11</xdr:row>
      <xdr:rowOff>104775</xdr:rowOff>
    </xdr:from>
    <xdr:ext cx="180975" cy="647700"/>
    <xdr:sp macro="" textlink="">
      <xdr:nvSpPr>
        <xdr:cNvPr id="482" name="Rectángulo 8">
          <a:extLst>
            <a:ext uri="{FF2B5EF4-FFF2-40B4-BE49-F238E27FC236}">
              <a16:creationId xmlns:a16="http://schemas.microsoft.com/office/drawing/2014/main" id="{00000000-0008-0000-0800-0000E2010000}"/>
            </a:ext>
          </a:extLst>
        </xdr:cNvPr>
        <xdr:cNvSpPr/>
      </xdr:nvSpPr>
      <xdr:spPr>
        <a:xfrm>
          <a:off x="9715500" y="251460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11</xdr:row>
      <xdr:rowOff>104775</xdr:rowOff>
    </xdr:from>
    <xdr:ext cx="180975" cy="647700"/>
    <xdr:sp macro="" textlink="">
      <xdr:nvSpPr>
        <xdr:cNvPr id="483" name="Rectángulo 8">
          <a:extLst>
            <a:ext uri="{FF2B5EF4-FFF2-40B4-BE49-F238E27FC236}">
              <a16:creationId xmlns:a16="http://schemas.microsoft.com/office/drawing/2014/main" id="{00000000-0008-0000-0800-0000E3010000}"/>
            </a:ext>
          </a:extLst>
        </xdr:cNvPr>
        <xdr:cNvSpPr/>
      </xdr:nvSpPr>
      <xdr:spPr>
        <a:xfrm>
          <a:off x="9715500" y="251460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11</xdr:row>
      <xdr:rowOff>57150</xdr:rowOff>
    </xdr:from>
    <xdr:ext cx="0" cy="561975"/>
    <xdr:sp macro="" textlink="">
      <xdr:nvSpPr>
        <xdr:cNvPr id="484" name="rect">
          <a:extLst>
            <a:ext uri="{FF2B5EF4-FFF2-40B4-BE49-F238E27FC236}">
              <a16:creationId xmlns:a16="http://schemas.microsoft.com/office/drawing/2014/main" id="{00000000-0008-0000-0800-0000E4010000}"/>
            </a:ext>
          </a:extLst>
        </xdr:cNvPr>
        <xdr:cNvSpPr/>
      </xdr:nvSpPr>
      <xdr:spPr>
        <a:xfrm>
          <a:off x="9715500" y="2466975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800100</xdr:colOff>
      <xdr:row>11</xdr:row>
      <xdr:rowOff>57150</xdr:rowOff>
    </xdr:from>
    <xdr:ext cx="0" cy="561975"/>
    <xdr:sp macro="" textlink="">
      <xdr:nvSpPr>
        <xdr:cNvPr id="485" name="rect">
          <a:extLst>
            <a:ext uri="{FF2B5EF4-FFF2-40B4-BE49-F238E27FC236}">
              <a16:creationId xmlns:a16="http://schemas.microsoft.com/office/drawing/2014/main" id="{00000000-0008-0000-0800-0000E5010000}"/>
            </a:ext>
          </a:extLst>
        </xdr:cNvPr>
        <xdr:cNvSpPr/>
      </xdr:nvSpPr>
      <xdr:spPr>
        <a:xfrm>
          <a:off x="9715500" y="2466975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952500</xdr:colOff>
      <xdr:row>13</xdr:row>
      <xdr:rowOff>219075</xdr:rowOff>
    </xdr:from>
    <xdr:ext cx="180975" cy="647700"/>
    <xdr:sp macro="" textlink="">
      <xdr:nvSpPr>
        <xdr:cNvPr id="486" name="Rectángulo 485">
          <a:extLst>
            <a:ext uri="{FF2B5EF4-FFF2-40B4-BE49-F238E27FC236}">
              <a16:creationId xmlns:a16="http://schemas.microsoft.com/office/drawing/2014/main" id="{00000000-0008-0000-0800-0000E6010000}"/>
            </a:ext>
          </a:extLst>
        </xdr:cNvPr>
        <xdr:cNvSpPr/>
      </xdr:nvSpPr>
      <xdr:spPr>
        <a:xfrm>
          <a:off x="9867900" y="306705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11</xdr:row>
      <xdr:rowOff>104775</xdr:rowOff>
    </xdr:from>
    <xdr:ext cx="180975" cy="647700"/>
    <xdr:sp macro="" textlink="">
      <xdr:nvSpPr>
        <xdr:cNvPr id="487" name="Rectángulo 8">
          <a:extLst>
            <a:ext uri="{FF2B5EF4-FFF2-40B4-BE49-F238E27FC236}">
              <a16:creationId xmlns:a16="http://schemas.microsoft.com/office/drawing/2014/main" id="{00000000-0008-0000-0800-0000E7010000}"/>
            </a:ext>
          </a:extLst>
        </xdr:cNvPr>
        <xdr:cNvSpPr/>
      </xdr:nvSpPr>
      <xdr:spPr>
        <a:xfrm>
          <a:off x="9715500" y="251460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11</xdr:row>
      <xdr:rowOff>104775</xdr:rowOff>
    </xdr:from>
    <xdr:ext cx="180975" cy="647700"/>
    <xdr:sp macro="" textlink="">
      <xdr:nvSpPr>
        <xdr:cNvPr id="488" name="Rectángulo 8">
          <a:extLst>
            <a:ext uri="{FF2B5EF4-FFF2-40B4-BE49-F238E27FC236}">
              <a16:creationId xmlns:a16="http://schemas.microsoft.com/office/drawing/2014/main" id="{00000000-0008-0000-0800-0000E8010000}"/>
            </a:ext>
          </a:extLst>
        </xdr:cNvPr>
        <xdr:cNvSpPr/>
      </xdr:nvSpPr>
      <xdr:spPr>
        <a:xfrm>
          <a:off x="9715500" y="251460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800100</xdr:colOff>
      <xdr:row>11</xdr:row>
      <xdr:rowOff>57150</xdr:rowOff>
    </xdr:from>
    <xdr:ext cx="0" cy="561975"/>
    <xdr:sp macro="" textlink="">
      <xdr:nvSpPr>
        <xdr:cNvPr id="489" name="rect">
          <a:extLst>
            <a:ext uri="{FF2B5EF4-FFF2-40B4-BE49-F238E27FC236}">
              <a16:creationId xmlns:a16="http://schemas.microsoft.com/office/drawing/2014/main" id="{00000000-0008-0000-0800-0000E9010000}"/>
            </a:ext>
          </a:extLst>
        </xdr:cNvPr>
        <xdr:cNvSpPr/>
      </xdr:nvSpPr>
      <xdr:spPr>
        <a:xfrm>
          <a:off x="9715500" y="2466975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800100</xdr:colOff>
      <xdr:row>11</xdr:row>
      <xdr:rowOff>57150</xdr:rowOff>
    </xdr:from>
    <xdr:ext cx="0" cy="561975"/>
    <xdr:sp macro="" textlink="">
      <xdr:nvSpPr>
        <xdr:cNvPr id="490" name="rect">
          <a:extLst>
            <a:ext uri="{FF2B5EF4-FFF2-40B4-BE49-F238E27FC236}">
              <a16:creationId xmlns:a16="http://schemas.microsoft.com/office/drawing/2014/main" id="{00000000-0008-0000-0800-0000EA010000}"/>
            </a:ext>
          </a:extLst>
        </xdr:cNvPr>
        <xdr:cNvSpPr/>
      </xdr:nvSpPr>
      <xdr:spPr>
        <a:xfrm>
          <a:off x="9715500" y="2466975"/>
          <a:ext cx="0" cy="5619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lvl="0" algn="l"/>
          <a:endParaRPr/>
        </a:p>
      </xdr:txBody>
    </xdr:sp>
    <xdr:clientData fLocksWithSheet="0"/>
  </xdr:oneCellAnchor>
  <xdr:oneCellAnchor>
    <xdr:from>
      <xdr:col>8</xdr:col>
      <xdr:colOff>952500</xdr:colOff>
      <xdr:row>13</xdr:row>
      <xdr:rowOff>219075</xdr:rowOff>
    </xdr:from>
    <xdr:ext cx="180975" cy="647700"/>
    <xdr:sp macro="" textlink="">
      <xdr:nvSpPr>
        <xdr:cNvPr id="491" name="Rectángulo 8">
          <a:extLst>
            <a:ext uri="{FF2B5EF4-FFF2-40B4-BE49-F238E27FC236}">
              <a16:creationId xmlns:a16="http://schemas.microsoft.com/office/drawing/2014/main" id="{00000000-0008-0000-0800-0000EB010000}"/>
            </a:ext>
          </a:extLst>
        </xdr:cNvPr>
        <xdr:cNvSpPr/>
      </xdr:nvSpPr>
      <xdr:spPr>
        <a:xfrm>
          <a:off x="9867900" y="3067050"/>
          <a:ext cx="180975" cy="6477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lvl="0"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 fLocksWithSheet="0"/>
  </xdr:oneCellAnchor>
  <xdr:oneCellAnchor>
    <xdr:from>
      <xdr:col>8</xdr:col>
      <xdr:colOff>807383</xdr:colOff>
      <xdr:row>11</xdr:row>
      <xdr:rowOff>111125</xdr:rowOff>
    </xdr:from>
    <xdr:ext cx="184731" cy="655885"/>
    <xdr:sp macro="" textlink="">
      <xdr:nvSpPr>
        <xdr:cNvPr id="492" name="Rectángulo 8">
          <a:extLst>
            <a:ext uri="{FF2B5EF4-FFF2-40B4-BE49-F238E27FC236}">
              <a16:creationId xmlns:a16="http://schemas.microsoft.com/office/drawing/2014/main" id="{00000000-0008-0000-0800-0000EC010000}"/>
            </a:ext>
          </a:extLst>
        </xdr:cNvPr>
        <xdr:cNvSpPr/>
      </xdr:nvSpPr>
      <xdr:spPr>
        <a:xfrm>
          <a:off x="9722783" y="252095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11</xdr:row>
      <xdr:rowOff>111125</xdr:rowOff>
    </xdr:from>
    <xdr:ext cx="184731" cy="655885"/>
    <xdr:sp macro="" textlink="">
      <xdr:nvSpPr>
        <xdr:cNvPr id="493" name="Rectángulo 8">
          <a:extLst>
            <a:ext uri="{FF2B5EF4-FFF2-40B4-BE49-F238E27FC236}">
              <a16:creationId xmlns:a16="http://schemas.microsoft.com/office/drawing/2014/main" id="{00000000-0008-0000-0800-0000ED010000}"/>
            </a:ext>
          </a:extLst>
        </xdr:cNvPr>
        <xdr:cNvSpPr/>
      </xdr:nvSpPr>
      <xdr:spPr>
        <a:xfrm>
          <a:off x="9722783" y="252095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twoCellAnchor>
    <xdr:from>
      <xdr:col>8</xdr:col>
      <xdr:colOff>803348</xdr:colOff>
      <xdr:row>11</xdr:row>
      <xdr:rowOff>62210</xdr:rowOff>
    </xdr:from>
    <xdr:to>
      <xdr:col>8</xdr:col>
      <xdr:colOff>535172</xdr:colOff>
      <xdr:row>13</xdr:row>
      <xdr:rowOff>228376</xdr:rowOff>
    </xdr:to>
    <xdr:sp macro="" textlink="">
      <xdr:nvSpPr>
        <xdr:cNvPr id="494" name="rect">
          <a:extLst>
            <a:ext uri="{FF2B5EF4-FFF2-40B4-BE49-F238E27FC236}">
              <a16:creationId xmlns:a16="http://schemas.microsoft.com/office/drawing/2014/main" id="{00000000-0008-0000-0800-0000EE010000}"/>
            </a:ext>
          </a:extLst>
        </xdr:cNvPr>
        <xdr:cNvSpPr/>
      </xdr:nvSpPr>
      <xdr:spPr>
        <a:xfrm>
          <a:off x="9718748" y="2472035"/>
          <a:ext cx="0" cy="594791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8</xdr:col>
      <xdr:colOff>803348</xdr:colOff>
      <xdr:row>11</xdr:row>
      <xdr:rowOff>62210</xdr:rowOff>
    </xdr:from>
    <xdr:to>
      <xdr:col>8</xdr:col>
      <xdr:colOff>535172</xdr:colOff>
      <xdr:row>13</xdr:row>
      <xdr:rowOff>228376</xdr:rowOff>
    </xdr:to>
    <xdr:sp macro="" textlink="">
      <xdr:nvSpPr>
        <xdr:cNvPr id="495" name="rect">
          <a:extLst>
            <a:ext uri="{FF2B5EF4-FFF2-40B4-BE49-F238E27FC236}">
              <a16:creationId xmlns:a16="http://schemas.microsoft.com/office/drawing/2014/main" id="{00000000-0008-0000-0800-0000EF010000}"/>
            </a:ext>
          </a:extLst>
        </xdr:cNvPr>
        <xdr:cNvSpPr/>
      </xdr:nvSpPr>
      <xdr:spPr>
        <a:xfrm>
          <a:off x="9718748" y="2472035"/>
          <a:ext cx="0" cy="594791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oneCellAnchor>
    <xdr:from>
      <xdr:col>8</xdr:col>
      <xdr:colOff>959783</xdr:colOff>
      <xdr:row>13</xdr:row>
      <xdr:rowOff>225425</xdr:rowOff>
    </xdr:from>
    <xdr:ext cx="184731" cy="655885"/>
    <xdr:sp macro="" textlink="">
      <xdr:nvSpPr>
        <xdr:cNvPr id="496" name="Rectángulo 495">
          <a:extLst>
            <a:ext uri="{FF2B5EF4-FFF2-40B4-BE49-F238E27FC236}">
              <a16:creationId xmlns:a16="http://schemas.microsoft.com/office/drawing/2014/main" id="{00000000-0008-0000-0800-0000F0010000}"/>
            </a:ext>
          </a:extLst>
        </xdr:cNvPr>
        <xdr:cNvSpPr/>
      </xdr:nvSpPr>
      <xdr:spPr>
        <a:xfrm>
          <a:off x="9875183" y="3063875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11</xdr:row>
      <xdr:rowOff>111125</xdr:rowOff>
    </xdr:from>
    <xdr:ext cx="184731" cy="655885"/>
    <xdr:sp macro="" textlink="">
      <xdr:nvSpPr>
        <xdr:cNvPr id="497" name="Rectángulo 496">
          <a:extLst>
            <a:ext uri="{FF2B5EF4-FFF2-40B4-BE49-F238E27FC236}">
              <a16:creationId xmlns:a16="http://schemas.microsoft.com/office/drawing/2014/main" id="{00000000-0008-0000-0800-0000F1010000}"/>
            </a:ext>
          </a:extLst>
        </xdr:cNvPr>
        <xdr:cNvSpPr/>
      </xdr:nvSpPr>
      <xdr:spPr>
        <a:xfrm>
          <a:off x="9722783" y="252095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11</xdr:row>
      <xdr:rowOff>111125</xdr:rowOff>
    </xdr:from>
    <xdr:ext cx="184731" cy="655885"/>
    <xdr:sp macro="" textlink="">
      <xdr:nvSpPr>
        <xdr:cNvPr id="498" name="Rectángulo 8">
          <a:extLst>
            <a:ext uri="{FF2B5EF4-FFF2-40B4-BE49-F238E27FC236}">
              <a16:creationId xmlns:a16="http://schemas.microsoft.com/office/drawing/2014/main" id="{00000000-0008-0000-0800-0000F2010000}"/>
            </a:ext>
          </a:extLst>
        </xdr:cNvPr>
        <xdr:cNvSpPr/>
      </xdr:nvSpPr>
      <xdr:spPr>
        <a:xfrm>
          <a:off x="9722783" y="252095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twoCellAnchor>
    <xdr:from>
      <xdr:col>8</xdr:col>
      <xdr:colOff>803348</xdr:colOff>
      <xdr:row>11</xdr:row>
      <xdr:rowOff>62210</xdr:rowOff>
    </xdr:from>
    <xdr:to>
      <xdr:col>8</xdr:col>
      <xdr:colOff>535172</xdr:colOff>
      <xdr:row>13</xdr:row>
      <xdr:rowOff>228376</xdr:rowOff>
    </xdr:to>
    <xdr:sp macro="" textlink="">
      <xdr:nvSpPr>
        <xdr:cNvPr id="499" name="rect">
          <a:extLst>
            <a:ext uri="{FF2B5EF4-FFF2-40B4-BE49-F238E27FC236}">
              <a16:creationId xmlns:a16="http://schemas.microsoft.com/office/drawing/2014/main" id="{00000000-0008-0000-0800-0000F3010000}"/>
            </a:ext>
          </a:extLst>
        </xdr:cNvPr>
        <xdr:cNvSpPr/>
      </xdr:nvSpPr>
      <xdr:spPr>
        <a:xfrm>
          <a:off x="9718748" y="2472035"/>
          <a:ext cx="0" cy="594791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8</xdr:col>
      <xdr:colOff>803348</xdr:colOff>
      <xdr:row>11</xdr:row>
      <xdr:rowOff>62210</xdr:rowOff>
    </xdr:from>
    <xdr:to>
      <xdr:col>8</xdr:col>
      <xdr:colOff>535172</xdr:colOff>
      <xdr:row>13</xdr:row>
      <xdr:rowOff>228376</xdr:rowOff>
    </xdr:to>
    <xdr:sp macro="" textlink="">
      <xdr:nvSpPr>
        <xdr:cNvPr id="500" name="rect">
          <a:extLst>
            <a:ext uri="{FF2B5EF4-FFF2-40B4-BE49-F238E27FC236}">
              <a16:creationId xmlns:a16="http://schemas.microsoft.com/office/drawing/2014/main" id="{00000000-0008-0000-0800-0000F4010000}"/>
            </a:ext>
          </a:extLst>
        </xdr:cNvPr>
        <xdr:cNvSpPr/>
      </xdr:nvSpPr>
      <xdr:spPr>
        <a:xfrm>
          <a:off x="9718748" y="2472035"/>
          <a:ext cx="0" cy="594791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oneCellAnchor>
    <xdr:from>
      <xdr:col>8</xdr:col>
      <xdr:colOff>959783</xdr:colOff>
      <xdr:row>13</xdr:row>
      <xdr:rowOff>225425</xdr:rowOff>
    </xdr:from>
    <xdr:ext cx="184731" cy="655885"/>
    <xdr:sp macro="" textlink="">
      <xdr:nvSpPr>
        <xdr:cNvPr id="501" name="Rectángulo 500">
          <a:extLst>
            <a:ext uri="{FF2B5EF4-FFF2-40B4-BE49-F238E27FC236}">
              <a16:creationId xmlns:a16="http://schemas.microsoft.com/office/drawing/2014/main" id="{00000000-0008-0000-0800-0000F5010000}"/>
            </a:ext>
          </a:extLst>
        </xdr:cNvPr>
        <xdr:cNvSpPr/>
      </xdr:nvSpPr>
      <xdr:spPr>
        <a:xfrm>
          <a:off x="9875183" y="3063875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11</xdr:row>
      <xdr:rowOff>111125</xdr:rowOff>
    </xdr:from>
    <xdr:ext cx="184731" cy="655885"/>
    <xdr:sp macro="" textlink="">
      <xdr:nvSpPr>
        <xdr:cNvPr id="502" name="Rectángulo 8">
          <a:extLst>
            <a:ext uri="{FF2B5EF4-FFF2-40B4-BE49-F238E27FC236}">
              <a16:creationId xmlns:a16="http://schemas.microsoft.com/office/drawing/2014/main" id="{00000000-0008-0000-0800-0000F6010000}"/>
            </a:ext>
          </a:extLst>
        </xdr:cNvPr>
        <xdr:cNvSpPr/>
      </xdr:nvSpPr>
      <xdr:spPr>
        <a:xfrm>
          <a:off x="9722783" y="252095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11</xdr:row>
      <xdr:rowOff>111125</xdr:rowOff>
    </xdr:from>
    <xdr:ext cx="184731" cy="655885"/>
    <xdr:sp macro="" textlink="">
      <xdr:nvSpPr>
        <xdr:cNvPr id="503" name="Rectángulo 8">
          <a:extLst>
            <a:ext uri="{FF2B5EF4-FFF2-40B4-BE49-F238E27FC236}">
              <a16:creationId xmlns:a16="http://schemas.microsoft.com/office/drawing/2014/main" id="{00000000-0008-0000-0800-0000F7010000}"/>
            </a:ext>
          </a:extLst>
        </xdr:cNvPr>
        <xdr:cNvSpPr/>
      </xdr:nvSpPr>
      <xdr:spPr>
        <a:xfrm>
          <a:off x="9722783" y="252095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twoCellAnchor>
    <xdr:from>
      <xdr:col>8</xdr:col>
      <xdr:colOff>803348</xdr:colOff>
      <xdr:row>11</xdr:row>
      <xdr:rowOff>62210</xdr:rowOff>
    </xdr:from>
    <xdr:to>
      <xdr:col>8</xdr:col>
      <xdr:colOff>535172</xdr:colOff>
      <xdr:row>13</xdr:row>
      <xdr:rowOff>228376</xdr:rowOff>
    </xdr:to>
    <xdr:sp macro="" textlink="">
      <xdr:nvSpPr>
        <xdr:cNvPr id="504" name="rect">
          <a:extLst>
            <a:ext uri="{FF2B5EF4-FFF2-40B4-BE49-F238E27FC236}">
              <a16:creationId xmlns:a16="http://schemas.microsoft.com/office/drawing/2014/main" id="{00000000-0008-0000-0800-0000F8010000}"/>
            </a:ext>
          </a:extLst>
        </xdr:cNvPr>
        <xdr:cNvSpPr/>
      </xdr:nvSpPr>
      <xdr:spPr>
        <a:xfrm>
          <a:off x="9718748" y="2472035"/>
          <a:ext cx="0" cy="594791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8</xdr:col>
      <xdr:colOff>803348</xdr:colOff>
      <xdr:row>11</xdr:row>
      <xdr:rowOff>62210</xdr:rowOff>
    </xdr:from>
    <xdr:to>
      <xdr:col>8</xdr:col>
      <xdr:colOff>535172</xdr:colOff>
      <xdr:row>13</xdr:row>
      <xdr:rowOff>228376</xdr:rowOff>
    </xdr:to>
    <xdr:sp macro="" textlink="">
      <xdr:nvSpPr>
        <xdr:cNvPr id="505" name="rect">
          <a:extLst>
            <a:ext uri="{FF2B5EF4-FFF2-40B4-BE49-F238E27FC236}">
              <a16:creationId xmlns:a16="http://schemas.microsoft.com/office/drawing/2014/main" id="{00000000-0008-0000-0800-0000F9010000}"/>
            </a:ext>
          </a:extLst>
        </xdr:cNvPr>
        <xdr:cNvSpPr/>
      </xdr:nvSpPr>
      <xdr:spPr>
        <a:xfrm>
          <a:off x="9718748" y="2472035"/>
          <a:ext cx="0" cy="594791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oneCellAnchor>
    <xdr:from>
      <xdr:col>8</xdr:col>
      <xdr:colOff>959783</xdr:colOff>
      <xdr:row>13</xdr:row>
      <xdr:rowOff>225425</xdr:rowOff>
    </xdr:from>
    <xdr:ext cx="184731" cy="655885"/>
    <xdr:sp macro="" textlink="">
      <xdr:nvSpPr>
        <xdr:cNvPr id="506" name="Rectángulo 505">
          <a:extLst>
            <a:ext uri="{FF2B5EF4-FFF2-40B4-BE49-F238E27FC236}">
              <a16:creationId xmlns:a16="http://schemas.microsoft.com/office/drawing/2014/main" id="{00000000-0008-0000-0800-0000FA010000}"/>
            </a:ext>
          </a:extLst>
        </xdr:cNvPr>
        <xdr:cNvSpPr/>
      </xdr:nvSpPr>
      <xdr:spPr>
        <a:xfrm>
          <a:off x="9875183" y="3063875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11</xdr:row>
      <xdr:rowOff>111125</xdr:rowOff>
    </xdr:from>
    <xdr:ext cx="184731" cy="655885"/>
    <xdr:sp macro="" textlink="">
      <xdr:nvSpPr>
        <xdr:cNvPr id="507" name="Rectángulo 506">
          <a:extLst>
            <a:ext uri="{FF2B5EF4-FFF2-40B4-BE49-F238E27FC236}">
              <a16:creationId xmlns:a16="http://schemas.microsoft.com/office/drawing/2014/main" id="{00000000-0008-0000-0800-0000FB010000}"/>
            </a:ext>
          </a:extLst>
        </xdr:cNvPr>
        <xdr:cNvSpPr/>
      </xdr:nvSpPr>
      <xdr:spPr>
        <a:xfrm>
          <a:off x="9722783" y="252095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8</xdr:col>
      <xdr:colOff>807383</xdr:colOff>
      <xdr:row>11</xdr:row>
      <xdr:rowOff>111125</xdr:rowOff>
    </xdr:from>
    <xdr:ext cx="184731" cy="655885"/>
    <xdr:sp macro="" textlink="">
      <xdr:nvSpPr>
        <xdr:cNvPr id="508" name="Rectángulo 8">
          <a:extLst>
            <a:ext uri="{FF2B5EF4-FFF2-40B4-BE49-F238E27FC236}">
              <a16:creationId xmlns:a16="http://schemas.microsoft.com/office/drawing/2014/main" id="{00000000-0008-0000-0800-0000FC010000}"/>
            </a:ext>
          </a:extLst>
        </xdr:cNvPr>
        <xdr:cNvSpPr/>
      </xdr:nvSpPr>
      <xdr:spPr>
        <a:xfrm>
          <a:off x="9722783" y="2520950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twoCellAnchor>
    <xdr:from>
      <xdr:col>8</xdr:col>
      <xdr:colOff>803348</xdr:colOff>
      <xdr:row>11</xdr:row>
      <xdr:rowOff>62210</xdr:rowOff>
    </xdr:from>
    <xdr:to>
      <xdr:col>8</xdr:col>
      <xdr:colOff>535172</xdr:colOff>
      <xdr:row>13</xdr:row>
      <xdr:rowOff>228376</xdr:rowOff>
    </xdr:to>
    <xdr:sp macro="" textlink="">
      <xdr:nvSpPr>
        <xdr:cNvPr id="509" name="rect">
          <a:extLst>
            <a:ext uri="{FF2B5EF4-FFF2-40B4-BE49-F238E27FC236}">
              <a16:creationId xmlns:a16="http://schemas.microsoft.com/office/drawing/2014/main" id="{00000000-0008-0000-0800-0000FD010000}"/>
            </a:ext>
          </a:extLst>
        </xdr:cNvPr>
        <xdr:cNvSpPr/>
      </xdr:nvSpPr>
      <xdr:spPr>
        <a:xfrm>
          <a:off x="9718748" y="2472035"/>
          <a:ext cx="0" cy="594791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8</xdr:col>
      <xdr:colOff>803348</xdr:colOff>
      <xdr:row>11</xdr:row>
      <xdr:rowOff>62210</xdr:rowOff>
    </xdr:from>
    <xdr:to>
      <xdr:col>8</xdr:col>
      <xdr:colOff>535172</xdr:colOff>
      <xdr:row>13</xdr:row>
      <xdr:rowOff>228376</xdr:rowOff>
    </xdr:to>
    <xdr:sp macro="" textlink="">
      <xdr:nvSpPr>
        <xdr:cNvPr id="510" name="rect">
          <a:extLst>
            <a:ext uri="{FF2B5EF4-FFF2-40B4-BE49-F238E27FC236}">
              <a16:creationId xmlns:a16="http://schemas.microsoft.com/office/drawing/2014/main" id="{00000000-0008-0000-0800-0000FE010000}"/>
            </a:ext>
          </a:extLst>
        </xdr:cNvPr>
        <xdr:cNvSpPr/>
      </xdr:nvSpPr>
      <xdr:spPr>
        <a:xfrm>
          <a:off x="9718748" y="2472035"/>
          <a:ext cx="0" cy="594791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oneCellAnchor>
    <xdr:from>
      <xdr:col>8</xdr:col>
      <xdr:colOff>959783</xdr:colOff>
      <xdr:row>13</xdr:row>
      <xdr:rowOff>225425</xdr:rowOff>
    </xdr:from>
    <xdr:ext cx="184731" cy="655885"/>
    <xdr:sp macro="" textlink="">
      <xdr:nvSpPr>
        <xdr:cNvPr id="511" name="Rectángulo 510">
          <a:extLst>
            <a:ext uri="{FF2B5EF4-FFF2-40B4-BE49-F238E27FC236}">
              <a16:creationId xmlns:a16="http://schemas.microsoft.com/office/drawing/2014/main" id="{00000000-0008-0000-0800-0000FF010000}"/>
            </a:ext>
          </a:extLst>
        </xdr:cNvPr>
        <xdr:cNvSpPr/>
      </xdr:nvSpPr>
      <xdr:spPr>
        <a:xfrm>
          <a:off x="9875183" y="3063875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0</xdr:col>
      <xdr:colOff>959783</xdr:colOff>
      <xdr:row>59</xdr:row>
      <xdr:rowOff>225425</xdr:rowOff>
    </xdr:from>
    <xdr:ext cx="184731" cy="655885"/>
    <xdr:sp macro="" textlink="">
      <xdr:nvSpPr>
        <xdr:cNvPr id="512" name="Rectángulo 511">
          <a:extLst>
            <a:ext uri="{FF2B5EF4-FFF2-40B4-BE49-F238E27FC236}">
              <a16:creationId xmlns:a16="http://schemas.microsoft.com/office/drawing/2014/main" id="{00000000-0008-0000-0800-000000020000}"/>
            </a:ext>
          </a:extLst>
        </xdr:cNvPr>
        <xdr:cNvSpPr/>
      </xdr:nvSpPr>
      <xdr:spPr>
        <a:xfrm>
          <a:off x="959783" y="13141325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0</xdr:col>
      <xdr:colOff>959783</xdr:colOff>
      <xdr:row>59</xdr:row>
      <xdr:rowOff>225425</xdr:rowOff>
    </xdr:from>
    <xdr:ext cx="184731" cy="655885"/>
    <xdr:sp macro="" textlink="">
      <xdr:nvSpPr>
        <xdr:cNvPr id="513" name="Rectángulo 512">
          <a:extLst>
            <a:ext uri="{FF2B5EF4-FFF2-40B4-BE49-F238E27FC236}">
              <a16:creationId xmlns:a16="http://schemas.microsoft.com/office/drawing/2014/main" id="{00000000-0008-0000-0800-000001020000}"/>
            </a:ext>
          </a:extLst>
        </xdr:cNvPr>
        <xdr:cNvSpPr/>
      </xdr:nvSpPr>
      <xdr:spPr>
        <a:xfrm>
          <a:off x="959783" y="13141325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oneCellAnchor>
    <xdr:from>
      <xdr:col>2</xdr:col>
      <xdr:colOff>0</xdr:colOff>
      <xdr:row>3</xdr:row>
      <xdr:rowOff>0</xdr:rowOff>
    </xdr:from>
    <xdr:ext cx="184731" cy="655885"/>
    <xdr:sp macro="" textlink="">
      <xdr:nvSpPr>
        <xdr:cNvPr id="514" name="Rectángulo 513">
          <a:extLst>
            <a:ext uri="{FF2B5EF4-FFF2-40B4-BE49-F238E27FC236}">
              <a16:creationId xmlns:a16="http://schemas.microsoft.com/office/drawing/2014/main" id="{00000000-0008-0000-0800-000002020000}"/>
            </a:ext>
          </a:extLst>
        </xdr:cNvPr>
        <xdr:cNvSpPr/>
      </xdr:nvSpPr>
      <xdr:spPr>
        <a:xfrm>
          <a:off x="2228850" y="657225"/>
          <a:ext cx="184731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s-ES" sz="3600" b="1" cap="none" spc="0">
            <a:ln w="13462">
              <a:solidFill>
                <a:schemeClr val="bg1"/>
              </a:solidFill>
              <a:prstDash val="solid"/>
            </a:ln>
            <a:solidFill>
              <a:schemeClr val="tx1">
                <a:lumMod val="85000"/>
                <a:lumOff val="15000"/>
              </a:schemeClr>
            </a:solidFill>
            <a:effectLst>
              <a:outerShdw dist="38100" dir="2700000" algn="bl" rotWithShape="0">
                <a:schemeClr val="accent5"/>
              </a:outerShdw>
            </a:effectLst>
          </a:endParaRPr>
        </a:p>
      </xdr:txBody>
    </xdr:sp>
    <xdr:clientData/>
  </xdr:oneCellAnchor>
  <xdr:twoCellAnchor>
    <xdr:from>
      <xdr:col>11</xdr:col>
      <xdr:colOff>498763</xdr:colOff>
      <xdr:row>2</xdr:row>
      <xdr:rowOff>44162</xdr:rowOff>
    </xdr:from>
    <xdr:to>
      <xdr:col>12</xdr:col>
      <xdr:colOff>1051214</xdr:colOff>
      <xdr:row>5</xdr:row>
      <xdr:rowOff>126423</xdr:rowOff>
    </xdr:to>
    <xdr:sp macro="" textlink="">
      <xdr:nvSpPr>
        <xdr:cNvPr id="515" name="CuadroTexto 514">
          <a:extLst>
            <a:ext uri="{FF2B5EF4-FFF2-40B4-BE49-F238E27FC236}">
              <a16:creationId xmlns:a16="http://schemas.microsoft.com/office/drawing/2014/main" id="{00000000-0008-0000-0800-000003020000}"/>
            </a:ext>
          </a:extLst>
        </xdr:cNvPr>
        <xdr:cNvSpPr txBox="1"/>
      </xdr:nvSpPr>
      <xdr:spPr>
        <a:xfrm>
          <a:off x="12757438" y="482312"/>
          <a:ext cx="1666876" cy="739486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200" b="1">
              <a:solidFill>
                <a:sysClr val="windowText" lastClr="000000"/>
              </a:solidFill>
            </a:rPr>
            <a:t>RETIRO DE TODAS LAS TERMINALES</a:t>
          </a:r>
        </a:p>
      </xdr:txBody>
    </xdr:sp>
    <xdr:clientData/>
  </xdr:twoCellAnchor>
  <xdr:twoCellAnchor>
    <xdr:from>
      <xdr:col>8</xdr:col>
      <xdr:colOff>1013113</xdr:colOff>
      <xdr:row>25</xdr:row>
      <xdr:rowOff>185304</xdr:rowOff>
    </xdr:from>
    <xdr:to>
      <xdr:col>10</xdr:col>
      <xdr:colOff>426028</xdr:colOff>
      <xdr:row>34</xdr:row>
      <xdr:rowOff>167986</xdr:rowOff>
    </xdr:to>
    <xdr:sp macro="" textlink="">
      <xdr:nvSpPr>
        <xdr:cNvPr id="516" name="CuadroTexto 515">
          <a:extLst>
            <a:ext uri="{FF2B5EF4-FFF2-40B4-BE49-F238E27FC236}">
              <a16:creationId xmlns:a16="http://schemas.microsoft.com/office/drawing/2014/main" id="{00000000-0008-0000-0800-000004020000}"/>
            </a:ext>
          </a:extLst>
        </xdr:cNvPr>
        <xdr:cNvSpPr txBox="1"/>
      </xdr:nvSpPr>
      <xdr:spPr>
        <a:xfrm>
          <a:off x="9928513" y="5662179"/>
          <a:ext cx="1641765" cy="1954357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200" b="1">
              <a:solidFill>
                <a:sysClr val="windowText" lastClr="000000"/>
              </a:solidFill>
            </a:rPr>
            <a:t>ISLA 2: CAMBIO</a:t>
          </a:r>
          <a:r>
            <a:rPr lang="es-MX" sz="1200" b="1" baseline="0">
              <a:solidFill>
                <a:sysClr val="windowText" lastClr="000000"/>
              </a:solidFill>
            </a:rPr>
            <a:t> DE MIX POSICIONES 1, 2, 3, 4 Y 5</a:t>
          </a:r>
        </a:p>
        <a:p>
          <a:pPr algn="ctr"/>
          <a:r>
            <a:rPr lang="es-MX" sz="1200" b="1" baseline="0">
              <a:solidFill>
                <a:sysClr val="windowText" lastClr="000000"/>
              </a:solidFill>
            </a:rPr>
            <a:t>MOVIMIENTO A NO FUMAR (FLECHA ROJA) POSICIONES 6, 7, 8, 9, 10 Y 11</a:t>
          </a:r>
          <a:endParaRPr lang="es-MX" sz="12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13</xdr:col>
      <xdr:colOff>51955</xdr:colOff>
      <xdr:row>27</xdr:row>
      <xdr:rowOff>190500</xdr:rowOff>
    </xdr:from>
    <xdr:to>
      <xdr:col>33</xdr:col>
      <xdr:colOff>1104900</xdr:colOff>
      <xdr:row>52</xdr:row>
      <xdr:rowOff>0</xdr:rowOff>
    </xdr:to>
    <xdr:cxnSp macro="">
      <xdr:nvCxnSpPr>
        <xdr:cNvPr id="517" name="Conector recto de flecha 516">
          <a:extLst>
            <a:ext uri="{FF2B5EF4-FFF2-40B4-BE49-F238E27FC236}">
              <a16:creationId xmlns:a16="http://schemas.microsoft.com/office/drawing/2014/main" id="{00000000-0008-0000-0800-000005020000}"/>
            </a:ext>
          </a:extLst>
        </xdr:cNvPr>
        <xdr:cNvCxnSpPr/>
      </xdr:nvCxnSpPr>
      <xdr:spPr>
        <a:xfrm>
          <a:off x="14539480" y="6105525"/>
          <a:ext cx="10911320" cy="5286375"/>
        </a:xfrm>
        <a:prstGeom prst="straightConnector1">
          <a:avLst/>
        </a:prstGeom>
        <a:ln w="381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207818</xdr:colOff>
      <xdr:row>10</xdr:row>
      <xdr:rowOff>103909</xdr:rowOff>
    </xdr:from>
    <xdr:to>
      <xdr:col>21</xdr:col>
      <xdr:colOff>744683</xdr:colOff>
      <xdr:row>17</xdr:row>
      <xdr:rowOff>86591</xdr:rowOff>
    </xdr:to>
    <xdr:sp macro="" textlink="">
      <xdr:nvSpPr>
        <xdr:cNvPr id="518" name="CuadroTexto 517">
          <a:extLst>
            <a:ext uri="{FF2B5EF4-FFF2-40B4-BE49-F238E27FC236}">
              <a16:creationId xmlns:a16="http://schemas.microsoft.com/office/drawing/2014/main" id="{00000000-0008-0000-0800-000006020000}"/>
            </a:ext>
          </a:extLst>
        </xdr:cNvPr>
        <xdr:cNvSpPr txBox="1"/>
      </xdr:nvSpPr>
      <xdr:spPr>
        <a:xfrm>
          <a:off x="22353443" y="2294659"/>
          <a:ext cx="70140" cy="1516207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200" b="1">
              <a:solidFill>
                <a:sysClr val="windowText" lastClr="000000"/>
              </a:solidFill>
            </a:rPr>
            <a:t>ISLA 1: CAMBIO</a:t>
          </a:r>
          <a:r>
            <a:rPr lang="es-MX" sz="1200" b="1" baseline="0">
              <a:solidFill>
                <a:sysClr val="windowText" lastClr="000000"/>
              </a:solidFill>
            </a:rPr>
            <a:t> DE MIX POSICIONES 6 Y 7 CON AJUSTE DE DENOMINACIÓN EN POSICIÓN 6</a:t>
          </a:r>
          <a:endParaRPr lang="es-MX" sz="1200" b="1">
            <a:solidFill>
              <a:sysClr val="windowText" lastClr="000000"/>
            </a:solidFill>
          </a:endParaRPr>
        </a:p>
      </xdr:txBody>
    </xdr:sp>
    <xdr:clientData/>
  </xdr:twoCellAnchor>
  <xdr:oneCellAnchor>
    <xdr:from>
      <xdr:col>38</xdr:col>
      <xdr:colOff>626918</xdr:colOff>
      <xdr:row>50</xdr:row>
      <xdr:rowOff>157597</xdr:rowOff>
    </xdr:from>
    <xdr:ext cx="1524000" cy="905739"/>
    <xdr:sp macro="" textlink="">
      <xdr:nvSpPr>
        <xdr:cNvPr id="519" name="CuadroTexto 518">
          <a:extLst>
            <a:ext uri="{FF2B5EF4-FFF2-40B4-BE49-F238E27FC236}">
              <a16:creationId xmlns:a16="http://schemas.microsoft.com/office/drawing/2014/main" id="{00000000-0008-0000-0800-000007020000}"/>
            </a:ext>
          </a:extLst>
        </xdr:cNvPr>
        <xdr:cNvSpPr txBox="1"/>
      </xdr:nvSpPr>
      <xdr:spPr>
        <a:xfrm>
          <a:off x="30544943" y="11111347"/>
          <a:ext cx="1524000" cy="905739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s-MX" sz="1200" b="1">
              <a:solidFill>
                <a:sysClr val="windowText" lastClr="000000"/>
              </a:solidFill>
            </a:rPr>
            <a:t>ISLA 4: CAMBIO DE MIX</a:t>
          </a:r>
          <a:r>
            <a:rPr lang="es-MX" sz="1200" b="1" baseline="0">
              <a:solidFill>
                <a:sysClr val="windowText" lastClr="000000"/>
              </a:solidFill>
            </a:rPr>
            <a:t> POSICIONES 4, 5, Y 6</a:t>
          </a:r>
          <a:endParaRPr lang="es-MX" sz="1200" b="1">
            <a:solidFill>
              <a:sysClr val="windowText" lastClr="000000"/>
            </a:solidFill>
          </a:endParaRPr>
        </a:p>
      </xdr:txBody>
    </xdr:sp>
    <xdr:clientData/>
  </xdr:oneCellAnchor>
  <xdr:oneCellAnchor>
    <xdr:from>
      <xdr:col>38</xdr:col>
      <xdr:colOff>665018</xdr:colOff>
      <xdr:row>59</xdr:row>
      <xdr:rowOff>169719</xdr:rowOff>
    </xdr:from>
    <xdr:ext cx="1524000" cy="905739"/>
    <xdr:sp macro="" textlink="">
      <xdr:nvSpPr>
        <xdr:cNvPr id="520" name="CuadroTexto 519">
          <a:extLst>
            <a:ext uri="{FF2B5EF4-FFF2-40B4-BE49-F238E27FC236}">
              <a16:creationId xmlns:a16="http://schemas.microsoft.com/office/drawing/2014/main" id="{00000000-0008-0000-0800-000008020000}"/>
            </a:ext>
          </a:extLst>
        </xdr:cNvPr>
        <xdr:cNvSpPr txBox="1"/>
      </xdr:nvSpPr>
      <xdr:spPr>
        <a:xfrm>
          <a:off x="30583043" y="13095144"/>
          <a:ext cx="1524000" cy="905739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s-MX" sz="1200" b="1">
              <a:solidFill>
                <a:sysClr val="windowText" lastClr="000000"/>
              </a:solidFill>
            </a:rPr>
            <a:t>ISLA 5: CAMBIO DE MIX</a:t>
          </a:r>
          <a:r>
            <a:rPr lang="es-MX" sz="1200" b="1" baseline="0">
              <a:solidFill>
                <a:sysClr val="windowText" lastClr="000000"/>
              </a:solidFill>
            </a:rPr>
            <a:t> POSICIONES 1, 2, Y 3</a:t>
          </a:r>
          <a:endParaRPr lang="es-MX" sz="1200" b="1">
            <a:solidFill>
              <a:sysClr val="windowText" lastClr="000000"/>
            </a:solidFill>
          </a:endParaRPr>
        </a:p>
      </xdr:txBody>
    </xdr:sp>
    <xdr:clientData/>
  </xdr:oneCellAnchor>
  <xdr:oneCellAnchor>
    <xdr:from>
      <xdr:col>30</xdr:col>
      <xdr:colOff>38100</xdr:colOff>
      <xdr:row>51</xdr:row>
      <xdr:rowOff>43297</xdr:rowOff>
    </xdr:from>
    <xdr:ext cx="3141518" cy="905739"/>
    <xdr:sp macro="" textlink="">
      <xdr:nvSpPr>
        <xdr:cNvPr id="521" name="CuadroTexto 520">
          <a:extLst>
            <a:ext uri="{FF2B5EF4-FFF2-40B4-BE49-F238E27FC236}">
              <a16:creationId xmlns:a16="http://schemas.microsoft.com/office/drawing/2014/main" id="{00000000-0008-0000-0800-000009020000}"/>
            </a:ext>
          </a:extLst>
        </xdr:cNvPr>
        <xdr:cNvSpPr txBox="1"/>
      </xdr:nvSpPr>
      <xdr:spPr>
        <a:xfrm>
          <a:off x="22993350" y="11216122"/>
          <a:ext cx="3141518" cy="905739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s-MX" sz="1200" b="1">
              <a:solidFill>
                <a:sysClr val="windowText" lastClr="000000"/>
              </a:solidFill>
            </a:rPr>
            <a:t>ISLA 3: RETIRO TODAS LAS TERMINALES </a:t>
          </a:r>
        </a:p>
        <a:p>
          <a:pPr algn="ctr"/>
          <a:r>
            <a:rPr lang="es-MX" sz="1200" b="1">
              <a:solidFill>
                <a:sysClr val="windowText" lastClr="000000"/>
              </a:solidFill>
            </a:rPr>
            <a:t>MOVIMIENTO DE TERMINALES CON CAMBIO DE MIX EN TODAS (FLEHCA ROJA)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31">
    <tabColor theme="1"/>
  </sheetPr>
  <dimension ref="A1:CA495"/>
  <sheetViews>
    <sheetView tabSelected="1" topLeftCell="I1" zoomScale="60" zoomScaleNormal="60" workbookViewId="0">
      <selection activeCell="I1" sqref="A1:XFD1048576"/>
    </sheetView>
  </sheetViews>
  <sheetFormatPr baseColWidth="10" defaultColWidth="16.7109375" defaultRowHeight="17.25" customHeight="1" x14ac:dyDescent="0.25"/>
  <cols>
    <col min="1" max="20" width="16.7109375" style="1248"/>
    <col min="21" max="31" width="1" style="1248" customWidth="1"/>
    <col min="32" max="32" width="3.140625" style="1248" customWidth="1"/>
    <col min="33" max="16384" width="16.7109375" style="1248"/>
  </cols>
  <sheetData>
    <row r="1" spans="1:65" ht="17.25" customHeight="1" thickBot="1" x14ac:dyDescent="0.3">
      <c r="A1" s="1244"/>
      <c r="B1" s="1245"/>
      <c r="C1" s="1245"/>
      <c r="D1" s="1245"/>
      <c r="E1" s="1245"/>
      <c r="F1" s="1245"/>
      <c r="G1" s="1245"/>
      <c r="H1" s="1245"/>
      <c r="I1" s="1245"/>
      <c r="J1" s="1245"/>
      <c r="K1" s="1245"/>
      <c r="L1" s="1245"/>
      <c r="M1" s="1245"/>
      <c r="N1" s="1245"/>
      <c r="O1" s="1245"/>
      <c r="P1" s="1245"/>
      <c r="Q1" s="1245"/>
      <c r="R1" s="1245"/>
      <c r="S1" s="1245"/>
      <c r="T1" s="1245"/>
      <c r="U1" s="1245"/>
      <c r="V1" s="1245"/>
      <c r="W1" s="1245"/>
      <c r="X1" s="1245"/>
      <c r="Y1" s="1245"/>
      <c r="Z1" s="1245"/>
      <c r="AA1" s="1245"/>
      <c r="AB1" s="1245"/>
      <c r="AC1" s="1245"/>
      <c r="AD1" s="1245"/>
      <c r="AE1" s="1245"/>
      <c r="AF1" s="1245"/>
      <c r="AG1" s="1245"/>
      <c r="AH1" s="1245"/>
      <c r="AI1" s="1245"/>
      <c r="AJ1" s="1245"/>
      <c r="AK1" s="1245"/>
      <c r="AL1" s="1245"/>
      <c r="AM1" s="1245"/>
      <c r="AN1" s="1245"/>
      <c r="AO1" s="1245"/>
      <c r="AP1" s="1245"/>
      <c r="AQ1" s="1245"/>
      <c r="AR1" s="1245"/>
      <c r="AS1" s="1245"/>
      <c r="AT1" s="1245"/>
      <c r="AU1" s="1245"/>
      <c r="AV1" s="1245"/>
      <c r="AW1" s="1245"/>
      <c r="AX1" s="1245"/>
      <c r="AY1" s="1245"/>
      <c r="AZ1" s="1245"/>
      <c r="BA1" s="1245"/>
      <c r="BB1" s="1245"/>
      <c r="BC1" s="1245"/>
      <c r="BD1" s="1245"/>
      <c r="BE1" s="1245"/>
      <c r="BF1" s="1245"/>
      <c r="BG1" s="1245"/>
      <c r="BH1" s="1245"/>
      <c r="BI1" s="1246"/>
      <c r="BJ1" s="1247"/>
      <c r="BK1" s="1247"/>
      <c r="BL1" s="1247"/>
      <c r="BM1" s="1247"/>
    </row>
    <row r="2" spans="1:65" ht="17.25" customHeight="1" x14ac:dyDescent="0.25">
      <c r="A2" s="1249"/>
      <c r="B2" s="1249"/>
      <c r="C2" s="1249"/>
      <c r="D2" s="1247"/>
      <c r="E2" s="1250"/>
      <c r="F2" s="1250"/>
      <c r="G2" s="1250"/>
      <c r="H2" s="1250"/>
      <c r="I2" s="1250"/>
      <c r="J2" s="1250"/>
      <c r="K2" s="1250"/>
      <c r="L2" s="1250"/>
      <c r="M2" s="1249"/>
      <c r="N2" s="1249"/>
      <c r="O2" s="1249"/>
      <c r="P2" s="1249"/>
      <c r="Q2" s="1249"/>
      <c r="R2" s="1249"/>
      <c r="S2" s="1249"/>
      <c r="T2" s="1249"/>
      <c r="U2" s="1249"/>
      <c r="V2" s="1249"/>
      <c r="W2" s="1249"/>
      <c r="X2" s="1249"/>
      <c r="Y2" s="1249"/>
      <c r="Z2" s="1249"/>
      <c r="AA2" s="1249"/>
      <c r="AB2" s="1249"/>
      <c r="AC2" s="1249"/>
      <c r="AD2" s="1249"/>
      <c r="AE2" s="1249"/>
      <c r="AF2" s="1249"/>
      <c r="AG2" s="1249"/>
      <c r="AH2" s="1249"/>
      <c r="AI2" s="1249"/>
      <c r="AJ2" s="1249"/>
      <c r="AK2" s="1249"/>
      <c r="AL2" s="1249"/>
      <c r="AM2" s="1249"/>
      <c r="AN2" s="1249"/>
      <c r="AO2" s="1249"/>
      <c r="AP2" s="1249"/>
      <c r="AQ2" s="1249"/>
      <c r="AR2" s="1249"/>
      <c r="AS2" s="1249"/>
      <c r="AT2" s="1249"/>
      <c r="AU2" s="1249"/>
      <c r="AV2" s="1249"/>
      <c r="AW2" s="1249"/>
      <c r="AX2" s="1249"/>
      <c r="AY2" s="1249"/>
      <c r="AZ2" s="1249"/>
      <c r="BA2" s="1249"/>
      <c r="BB2" s="1249"/>
      <c r="BC2" s="1247"/>
      <c r="BD2" s="1247"/>
      <c r="BE2" s="1247"/>
      <c r="BF2" s="1247"/>
      <c r="BG2" s="1247"/>
      <c r="BH2" s="1247"/>
      <c r="BI2" s="1247"/>
      <c r="BJ2" s="1247"/>
      <c r="BK2" s="1247"/>
      <c r="BL2" s="1247"/>
      <c r="BM2" s="1247"/>
    </row>
    <row r="3" spans="1:65" ht="17.25" customHeight="1" thickBot="1" x14ac:dyDescent="0.3">
      <c r="A3" s="1251"/>
      <c r="B3" s="1252"/>
      <c r="C3" s="1253"/>
      <c r="D3" s="1253"/>
      <c r="E3" s="1253"/>
      <c r="F3" s="1253"/>
      <c r="G3" s="1253"/>
      <c r="H3" s="1253"/>
      <c r="I3" s="1253"/>
      <c r="J3" s="1253"/>
      <c r="K3" s="1253"/>
      <c r="L3" s="1254"/>
      <c r="M3" s="1253"/>
      <c r="N3" s="1255"/>
      <c r="O3" s="1255"/>
      <c r="P3" s="1256"/>
      <c r="T3" s="1255"/>
      <c r="U3" s="1255"/>
      <c r="V3" s="1255"/>
      <c r="W3" s="1255"/>
      <c r="X3" s="1255"/>
      <c r="Y3" s="1255"/>
      <c r="Z3" s="1255"/>
      <c r="AA3" s="1255"/>
      <c r="AB3" s="1255"/>
      <c r="AC3" s="1255"/>
      <c r="AD3" s="1255"/>
      <c r="AE3" s="1255"/>
      <c r="AF3" s="1255"/>
      <c r="AG3" s="1255"/>
      <c r="AH3" s="1255"/>
      <c r="AI3" s="1255"/>
      <c r="AJ3" s="1255"/>
      <c r="AK3" s="1255"/>
      <c r="AL3" s="1255"/>
      <c r="AM3" s="1255"/>
      <c r="AN3" s="1255"/>
      <c r="AO3" s="1255"/>
      <c r="AP3" s="1255"/>
      <c r="AQ3" s="1255"/>
      <c r="AR3" s="1255"/>
      <c r="AS3" s="1255"/>
      <c r="AT3" s="1255"/>
      <c r="AU3" s="1255"/>
      <c r="AV3" s="1255"/>
      <c r="AW3" s="1255"/>
      <c r="AX3" s="1255"/>
      <c r="AY3" s="1255"/>
      <c r="AZ3" s="1255"/>
      <c r="BA3" s="1255"/>
      <c r="BB3" s="1255"/>
      <c r="BC3" s="1255"/>
      <c r="BD3" s="1255"/>
      <c r="BE3" s="1255"/>
      <c r="BF3" s="1255"/>
      <c r="BG3" s="1255"/>
      <c r="BH3" s="1255"/>
      <c r="BI3" s="1255"/>
      <c r="BJ3" s="1247"/>
      <c r="BK3" s="1247"/>
      <c r="BL3" s="1247"/>
      <c r="BM3" s="1247"/>
    </row>
    <row r="4" spans="1:65" ht="17.25" customHeight="1" x14ac:dyDescent="0.25">
      <c r="A4" s="1257"/>
      <c r="B4" s="1258"/>
      <c r="C4" s="1259"/>
      <c r="D4" s="1260"/>
      <c r="E4" s="1261"/>
      <c r="F4" s="1262"/>
      <c r="G4" s="1263"/>
      <c r="H4" s="1260"/>
      <c r="I4" s="1264"/>
      <c r="J4" s="1264"/>
      <c r="K4" s="1265"/>
      <c r="L4" s="1259"/>
      <c r="M4" s="1259"/>
      <c r="N4" s="1266"/>
      <c r="O4" s="1267"/>
      <c r="P4" s="1268"/>
      <c r="Q4" s="1268"/>
      <c r="R4" s="1268"/>
      <c r="S4" s="1268"/>
      <c r="T4" s="1269"/>
      <c r="U4" s="1247"/>
      <c r="V4" s="1270"/>
      <c r="W4" s="1271"/>
      <c r="X4" s="1271"/>
      <c r="Y4" s="1271"/>
      <c r="Z4" s="1271"/>
      <c r="AA4" s="1271"/>
      <c r="AB4" s="1247"/>
      <c r="AC4" s="1247"/>
      <c r="AD4" s="1247"/>
      <c r="AE4" s="1247"/>
      <c r="AF4" s="1247"/>
      <c r="AG4" s="1247"/>
      <c r="AH4" s="1247"/>
      <c r="AI4" s="1247"/>
      <c r="AJ4" s="1247"/>
      <c r="AK4" s="1247"/>
      <c r="AL4" s="1247"/>
      <c r="AM4" s="1247"/>
      <c r="AN4" s="1247"/>
      <c r="AO4" s="1247"/>
      <c r="AP4" s="1247"/>
      <c r="AQ4" s="1247"/>
      <c r="AR4" s="1247"/>
      <c r="AS4" s="1247"/>
      <c r="AT4" s="1247"/>
      <c r="AU4" s="1247"/>
      <c r="AV4" s="1247"/>
      <c r="AW4" s="1247"/>
      <c r="AX4" s="1247"/>
      <c r="AY4" s="1247"/>
      <c r="AZ4" s="1247"/>
      <c r="BA4" s="1247"/>
      <c r="BB4" s="1247"/>
      <c r="BC4" s="1247"/>
      <c r="BD4" s="1247"/>
      <c r="BE4" s="1247"/>
      <c r="BF4" s="1247"/>
      <c r="BG4" s="1247"/>
      <c r="BH4" s="1247"/>
      <c r="BI4" s="1247"/>
      <c r="BJ4" s="1272"/>
      <c r="BK4" s="1247"/>
      <c r="BL4" s="1247"/>
      <c r="BM4" s="1247"/>
    </row>
    <row r="5" spans="1:65" ht="17.25" customHeight="1" x14ac:dyDescent="0.25">
      <c r="A5" s="1257"/>
      <c r="B5" s="1273"/>
      <c r="C5" s="1259"/>
      <c r="D5" s="1258"/>
      <c r="E5" s="1258"/>
      <c r="F5" s="1258"/>
      <c r="G5" s="1258"/>
      <c r="H5" s="1258"/>
      <c r="I5" s="1258"/>
      <c r="J5" s="1258"/>
      <c r="K5" s="1258"/>
      <c r="L5" s="1274"/>
      <c r="M5" s="1275"/>
      <c r="N5" s="1270"/>
      <c r="O5" s="1276"/>
      <c r="P5" s="1277"/>
      <c r="Q5" s="1277"/>
      <c r="R5" s="1277"/>
      <c r="S5" s="1277"/>
      <c r="T5" s="1278"/>
      <c r="U5" s="1247"/>
      <c r="V5" s="1247"/>
      <c r="W5" s="1247"/>
      <c r="X5" s="1247"/>
      <c r="Y5" s="1247"/>
      <c r="Z5" s="1247"/>
      <c r="AA5" s="1247"/>
      <c r="AB5" s="1247"/>
      <c r="AC5" s="1247"/>
      <c r="AD5" s="1247"/>
      <c r="AE5" s="1247"/>
      <c r="AF5" s="1247"/>
      <c r="AG5" s="1247"/>
      <c r="AH5" s="1247"/>
      <c r="AI5" s="1247"/>
      <c r="AJ5" s="1247"/>
      <c r="AK5" s="1247"/>
      <c r="AL5" s="1247"/>
      <c r="AM5" s="1247"/>
      <c r="AN5" s="1247"/>
      <c r="AO5" s="1247"/>
      <c r="AP5" s="1247"/>
      <c r="AQ5" s="1247"/>
      <c r="AR5" s="1247"/>
      <c r="AS5" s="1247"/>
      <c r="AT5" s="1247"/>
      <c r="AU5" s="1247"/>
      <c r="AV5" s="1247"/>
      <c r="AW5" s="1247"/>
      <c r="AX5" s="1247"/>
      <c r="AY5" s="1247"/>
      <c r="AZ5" s="1247"/>
      <c r="BA5" s="1247"/>
      <c r="BB5" s="1247"/>
      <c r="BC5" s="1247"/>
      <c r="BD5" s="1247"/>
      <c r="BE5" s="1247"/>
      <c r="BF5" s="1247"/>
      <c r="BG5" s="1247"/>
      <c r="BH5" s="1247"/>
      <c r="BI5" s="1247"/>
      <c r="BJ5" s="1272"/>
      <c r="BK5" s="1247"/>
      <c r="BL5" s="1247"/>
      <c r="BM5" s="1247"/>
    </row>
    <row r="6" spans="1:65" ht="17.25" customHeight="1" x14ac:dyDescent="0.25">
      <c r="A6" s="1257"/>
      <c r="B6" s="1279"/>
      <c r="C6" s="1259"/>
      <c r="D6" s="1280"/>
      <c r="E6" s="1280"/>
      <c r="F6" s="1280"/>
      <c r="G6" s="1280"/>
      <c r="H6" s="1280"/>
      <c r="I6" s="1280"/>
      <c r="J6" s="1280"/>
      <c r="K6" s="1280"/>
      <c r="L6" s="1281"/>
      <c r="M6" s="1275"/>
      <c r="N6" s="1247"/>
      <c r="O6" s="1247"/>
      <c r="P6" s="1282"/>
      <c r="Q6" s="1282"/>
      <c r="R6" s="1282"/>
      <c r="S6" s="1282"/>
      <c r="T6" s="1283"/>
      <c r="U6" s="1273"/>
      <c r="V6" s="1247"/>
      <c r="W6" s="1247"/>
      <c r="X6" s="1247"/>
      <c r="Y6" s="1247"/>
      <c r="Z6" s="1247"/>
      <c r="AA6" s="1247"/>
      <c r="AB6" s="1247"/>
      <c r="AC6" s="1247"/>
      <c r="AD6" s="1247"/>
      <c r="AE6" s="1247"/>
      <c r="AF6" s="1247"/>
      <c r="AG6" s="1247"/>
      <c r="AH6" s="1247"/>
      <c r="AI6" s="1247"/>
      <c r="AJ6" s="1247"/>
      <c r="AK6" s="1247"/>
      <c r="AL6" s="1247"/>
      <c r="AM6" s="1247"/>
      <c r="AN6" s="1247"/>
      <c r="AO6" s="1247"/>
      <c r="AP6" s="1247"/>
      <c r="AQ6" s="1247"/>
      <c r="AR6" s="1247"/>
      <c r="AS6" s="1247"/>
      <c r="AT6" s="1247"/>
      <c r="AU6" s="1247"/>
      <c r="AV6" s="1247"/>
      <c r="AW6" s="1247"/>
      <c r="AX6" s="1247"/>
      <c r="AY6" s="1247"/>
      <c r="AZ6" s="1247"/>
      <c r="BA6" s="1247"/>
      <c r="BB6" s="1247"/>
      <c r="BC6" s="1247"/>
      <c r="BD6" s="1247"/>
      <c r="BE6" s="1247"/>
      <c r="BF6" s="1247"/>
      <c r="BG6" s="1247"/>
      <c r="BH6" s="1247"/>
      <c r="BI6" s="1247"/>
      <c r="BJ6" s="1272"/>
      <c r="BK6" s="1247"/>
      <c r="BL6" s="1247"/>
      <c r="BM6" s="1247"/>
    </row>
    <row r="7" spans="1:65" ht="17.25" customHeight="1" x14ac:dyDescent="0.25">
      <c r="A7" s="1257"/>
      <c r="B7" s="1279"/>
      <c r="C7" s="1259"/>
      <c r="D7" s="1284"/>
      <c r="E7" s="1285"/>
      <c r="F7" s="1286"/>
      <c r="G7" s="1286"/>
      <c r="H7" s="1286"/>
      <c r="I7" s="1286"/>
      <c r="J7" s="1286"/>
      <c r="K7" s="1286"/>
      <c r="L7" s="1286"/>
      <c r="M7" s="1286"/>
      <c r="N7" s="1273"/>
      <c r="O7" s="1273"/>
      <c r="P7" s="1287"/>
      <c r="Q7" s="1288"/>
      <c r="R7" s="1289"/>
      <c r="S7" s="1277"/>
      <c r="T7" s="1290">
        <v>106647</v>
      </c>
      <c r="U7" s="1291"/>
      <c r="V7" s="1247"/>
      <c r="W7" s="1247"/>
      <c r="X7" s="1247"/>
      <c r="Y7" s="1247"/>
      <c r="Z7" s="1247"/>
      <c r="AA7" s="1247"/>
      <c r="AB7" s="1247"/>
      <c r="AC7" s="1247"/>
      <c r="AD7" s="1247"/>
      <c r="AE7" s="1247"/>
      <c r="AF7" s="1247"/>
      <c r="AG7" s="1247"/>
      <c r="AH7" s="1247"/>
      <c r="AI7" s="1247"/>
      <c r="AJ7" s="1247"/>
      <c r="AK7" s="1247"/>
      <c r="AL7" s="1247"/>
      <c r="AM7" s="1247"/>
      <c r="AN7" s="1247"/>
      <c r="AO7" s="1247"/>
      <c r="AP7" s="1247"/>
      <c r="AQ7" s="1247"/>
      <c r="AR7" s="1247"/>
      <c r="AS7" s="1247"/>
      <c r="AT7" s="1247"/>
      <c r="AU7" s="1247"/>
      <c r="AV7" s="1247"/>
      <c r="AW7" s="1247"/>
      <c r="AX7" s="1247"/>
      <c r="AY7" s="1247"/>
      <c r="AZ7" s="1247"/>
      <c r="BA7" s="1247"/>
      <c r="BB7" s="1247"/>
      <c r="BC7" s="1247"/>
      <c r="BD7" s="1247"/>
      <c r="BE7" s="1247"/>
      <c r="BF7" s="1247"/>
      <c r="BG7" s="1247"/>
      <c r="BH7" s="1247"/>
      <c r="BI7" s="1247"/>
      <c r="BJ7" s="1272"/>
      <c r="BK7" s="1247"/>
      <c r="BL7" s="1247"/>
      <c r="BM7" s="1247"/>
    </row>
    <row r="8" spans="1:65" ht="17.25" customHeight="1" x14ac:dyDescent="0.25">
      <c r="A8" s="1257"/>
      <c r="B8" s="1279"/>
      <c r="C8" s="1259"/>
      <c r="D8" s="1292"/>
      <c r="E8" s="1293"/>
      <c r="F8" s="1293"/>
      <c r="G8" s="1293"/>
      <c r="H8" s="1273"/>
      <c r="I8" s="1258"/>
      <c r="J8" s="1258"/>
      <c r="K8" s="1258"/>
      <c r="L8" s="1258"/>
      <c r="M8" s="1292"/>
      <c r="N8" s="1294"/>
      <c r="O8" s="1294"/>
      <c r="P8" s="1294"/>
      <c r="Q8" s="1294"/>
      <c r="R8" s="1289"/>
      <c r="S8" s="1277"/>
      <c r="T8" s="1290">
        <v>106613</v>
      </c>
      <c r="U8" s="1247"/>
      <c r="V8" s="1247"/>
      <c r="W8" s="1247"/>
      <c r="X8" s="1247"/>
      <c r="Y8" s="1247"/>
      <c r="Z8" s="1247"/>
      <c r="AA8" s="1247"/>
      <c r="AB8" s="1271"/>
      <c r="AC8" s="1271"/>
      <c r="AD8" s="1271"/>
      <c r="AE8" s="1271"/>
      <c r="AF8" s="1271"/>
      <c r="AG8" s="1271"/>
      <c r="AH8" s="1271"/>
      <c r="AI8" s="1271"/>
      <c r="AJ8" s="1271"/>
      <c r="AK8" s="1271"/>
      <c r="AL8" s="1271"/>
      <c r="AM8" s="1271"/>
      <c r="AN8" s="1247"/>
      <c r="AO8" s="1247"/>
      <c r="AP8" s="1247"/>
      <c r="AQ8" s="1247"/>
      <c r="AR8" s="1247"/>
      <c r="AS8" s="1247"/>
      <c r="AT8" s="1247"/>
      <c r="AU8" s="1247"/>
      <c r="AV8" s="1247"/>
      <c r="AW8" s="1247"/>
      <c r="AX8" s="1247"/>
      <c r="AY8" s="1247"/>
      <c r="AZ8" s="1247"/>
      <c r="BA8" s="1247"/>
      <c r="BB8" s="1247"/>
      <c r="BC8" s="1247"/>
      <c r="BD8" s="1247"/>
      <c r="BE8" s="1247"/>
      <c r="BF8" s="1247"/>
      <c r="BG8" s="1247"/>
      <c r="BH8" s="1247"/>
      <c r="BI8" s="1247"/>
      <c r="BJ8" s="1272"/>
      <c r="BK8" s="1247"/>
      <c r="BL8" s="1247"/>
      <c r="BM8" s="1247"/>
    </row>
    <row r="9" spans="1:65" ht="17.25" customHeight="1" thickBot="1" x14ac:dyDescent="0.3">
      <c r="A9" s="1257"/>
      <c r="B9" s="1279"/>
      <c r="C9" s="1259"/>
      <c r="D9" s="1295"/>
      <c r="E9" s="1296"/>
      <c r="F9" s="1296"/>
      <c r="G9" s="1296"/>
      <c r="H9" s="1295"/>
      <c r="I9" s="1258"/>
      <c r="J9" s="1297"/>
      <c r="K9" s="1297"/>
      <c r="L9" s="1297"/>
      <c r="M9" s="1294"/>
      <c r="N9" s="1296"/>
      <c r="O9" s="1296"/>
      <c r="P9" s="1296"/>
      <c r="Q9" s="1296"/>
      <c r="R9" s="1289"/>
      <c r="S9" s="1277"/>
      <c r="T9" s="1290">
        <v>106744</v>
      </c>
      <c r="U9" s="1247"/>
      <c r="V9" s="1247"/>
      <c r="W9" s="1247"/>
      <c r="X9" s="1247"/>
      <c r="Y9" s="1247"/>
      <c r="Z9" s="1247"/>
      <c r="AA9" s="1247"/>
      <c r="AB9" s="1271"/>
      <c r="AC9" s="1271"/>
      <c r="AD9" s="1271"/>
      <c r="AE9" s="1271"/>
      <c r="AF9" s="1298"/>
      <c r="AG9" s="1298"/>
      <c r="AH9" s="1271"/>
      <c r="AI9" s="1271"/>
      <c r="AJ9" s="1271"/>
      <c r="AK9" s="1271"/>
      <c r="AL9" s="1271"/>
      <c r="AM9" s="1271"/>
      <c r="AN9" s="1247"/>
      <c r="AO9" s="1247"/>
      <c r="AP9" s="1247"/>
      <c r="AQ9" s="1247"/>
      <c r="AR9" s="1247"/>
      <c r="AS9" s="1247"/>
      <c r="AT9" s="1247"/>
      <c r="AU9" s="1247"/>
      <c r="AV9" s="1247"/>
      <c r="AW9" s="1247"/>
      <c r="AX9" s="1247"/>
      <c r="AY9" s="1247"/>
      <c r="AZ9" s="1247"/>
      <c r="BA9" s="1247"/>
      <c r="BB9" s="1247"/>
      <c r="BC9" s="1247"/>
      <c r="BD9" s="1247"/>
      <c r="BE9" s="1247"/>
      <c r="BF9" s="1247"/>
      <c r="BG9" s="1247"/>
      <c r="BH9" s="1247"/>
      <c r="BI9" s="1247"/>
      <c r="BJ9" s="1272"/>
      <c r="BK9" s="1247"/>
      <c r="BL9" s="1247"/>
      <c r="BM9" s="1247"/>
    </row>
    <row r="10" spans="1:65" ht="17.25" customHeight="1" x14ac:dyDescent="0.25">
      <c r="A10" s="1299"/>
      <c r="B10" s="1279"/>
      <c r="C10" s="1259"/>
      <c r="D10" s="1295"/>
      <c r="E10" s="1296"/>
      <c r="F10" s="1296"/>
      <c r="G10" s="1296"/>
      <c r="H10" s="1295"/>
      <c r="I10" s="1258"/>
      <c r="J10" s="1297"/>
      <c r="K10" s="1297"/>
      <c r="L10" s="1297"/>
      <c r="M10" s="1294"/>
      <c r="N10" s="1296"/>
      <c r="O10" s="1296"/>
      <c r="P10" s="1296"/>
      <c r="Q10" s="1296"/>
      <c r="R10" s="1289"/>
      <c r="S10" s="1277"/>
      <c r="T10" s="1300">
        <v>110843</v>
      </c>
      <c r="U10" s="1301"/>
      <c r="V10" s="1302"/>
      <c r="W10" s="1302"/>
      <c r="X10" s="1302"/>
      <c r="Y10" s="1302"/>
      <c r="Z10" s="1302"/>
      <c r="AA10" s="1302"/>
      <c r="AB10" s="1302"/>
      <c r="AC10" s="1302"/>
      <c r="AD10" s="1302"/>
      <c r="AE10" s="1302"/>
      <c r="AF10" s="1302"/>
      <c r="AG10" s="1302"/>
      <c r="AH10" s="1302"/>
      <c r="AI10" s="1302"/>
      <c r="AJ10" s="1302"/>
      <c r="AK10" s="1302"/>
      <c r="AL10" s="1302"/>
      <c r="AM10" s="1302"/>
      <c r="AN10" s="1302"/>
      <c r="AO10" s="1302"/>
      <c r="AP10" s="1302"/>
      <c r="AQ10" s="1302"/>
      <c r="AR10" s="1302"/>
      <c r="AS10" s="1302"/>
      <c r="AT10" s="1302"/>
      <c r="AU10" s="1303"/>
      <c r="AV10" s="1247"/>
      <c r="AW10" s="1247"/>
      <c r="AX10" s="1247"/>
      <c r="AY10" s="1247"/>
      <c r="AZ10" s="1247"/>
      <c r="BA10" s="1247"/>
      <c r="BB10" s="1247"/>
      <c r="BC10" s="1247"/>
      <c r="BD10" s="1247"/>
      <c r="BE10" s="1247"/>
      <c r="BF10" s="1247"/>
      <c r="BG10" s="1247"/>
      <c r="BH10" s="1247"/>
      <c r="BI10" s="1247"/>
      <c r="BJ10" s="1272"/>
      <c r="BK10" s="1247"/>
      <c r="BL10" s="1247"/>
      <c r="BM10" s="1247"/>
    </row>
    <row r="11" spans="1:65" ht="17.25" customHeight="1" x14ac:dyDescent="0.25">
      <c r="A11" s="1299"/>
      <c r="B11" s="1304"/>
      <c r="C11" s="1259"/>
      <c r="D11" s="1291"/>
      <c r="E11" s="1293"/>
      <c r="F11" s="1293"/>
      <c r="G11" s="1293"/>
      <c r="H11" s="1287"/>
      <c r="I11" s="1258"/>
      <c r="J11" s="1291"/>
      <c r="K11" s="1258"/>
      <c r="L11" s="1258"/>
      <c r="M11" s="1291"/>
      <c r="N11" s="1294"/>
      <c r="O11" s="1294"/>
      <c r="P11" s="1294"/>
      <c r="Q11" s="1294"/>
      <c r="R11" s="1289"/>
      <c r="S11" s="1277"/>
      <c r="T11" s="1305">
        <v>114668</v>
      </c>
      <c r="U11" s="1306"/>
      <c r="V11" s="1307"/>
      <c r="W11" s="1307"/>
      <c r="X11" s="1307"/>
      <c r="Y11" s="1307"/>
      <c r="Z11" s="1307"/>
      <c r="AA11" s="1307"/>
      <c r="AB11" s="1307"/>
      <c r="AC11" s="1307"/>
      <c r="AD11" s="1307"/>
      <c r="AE11" s="1307"/>
      <c r="AF11" s="1307"/>
      <c r="AG11" s="1307"/>
      <c r="AH11" s="1307"/>
      <c r="AI11" s="1307"/>
      <c r="AJ11" s="1307"/>
      <c r="AK11" s="1307"/>
      <c r="AL11" s="1307"/>
      <c r="AM11" s="1307"/>
      <c r="AN11" s="1307"/>
      <c r="AO11" s="1307"/>
      <c r="AP11" s="1307"/>
      <c r="AQ11" s="1307"/>
      <c r="AR11" s="1307"/>
      <c r="AS11" s="1307"/>
      <c r="AT11" s="1307"/>
      <c r="AU11" s="1308"/>
      <c r="AV11" s="1247"/>
      <c r="AW11" s="1247"/>
      <c r="AX11" s="1247"/>
      <c r="AY11" s="1247"/>
      <c r="AZ11" s="1247"/>
      <c r="BA11" s="1247"/>
      <c r="BB11" s="1247"/>
      <c r="BC11" s="1247"/>
      <c r="BD11" s="1247"/>
      <c r="BE11" s="1247"/>
      <c r="BF11" s="1247"/>
      <c r="BG11" s="1247"/>
      <c r="BH11" s="1247"/>
      <c r="BI11" s="1247"/>
      <c r="BJ11" s="1272"/>
      <c r="BK11" s="1247"/>
      <c r="BL11" s="1247"/>
      <c r="BM11" s="1247"/>
    </row>
    <row r="12" spans="1:65" ht="17.25" customHeight="1" x14ac:dyDescent="0.25">
      <c r="A12" s="1299"/>
      <c r="B12" s="1279"/>
      <c r="C12" s="1259"/>
      <c r="D12" s="1273"/>
      <c r="E12" s="1285"/>
      <c r="F12" s="1285"/>
      <c r="G12" s="1285"/>
      <c r="H12" s="1309"/>
      <c r="I12" s="1258"/>
      <c r="J12" s="1258"/>
      <c r="K12" s="1258"/>
      <c r="L12" s="1258"/>
      <c r="M12" s="1258"/>
      <c r="N12" s="1310"/>
      <c r="O12" s="1310"/>
      <c r="P12" s="1310"/>
      <c r="Q12" s="1310"/>
      <c r="R12" s="1289"/>
      <c r="S12" s="1277"/>
      <c r="T12" s="1311">
        <v>106539</v>
      </c>
      <c r="U12" s="1306"/>
      <c r="V12" s="1307"/>
      <c r="W12" s="1307"/>
      <c r="X12" s="1307"/>
      <c r="Y12" s="1307"/>
      <c r="Z12" s="1307"/>
      <c r="AA12" s="1307"/>
      <c r="AB12" s="1307"/>
      <c r="AC12" s="1307"/>
      <c r="AD12" s="1307"/>
      <c r="AE12" s="1307"/>
      <c r="AF12" s="1307"/>
      <c r="AG12" s="1307"/>
      <c r="AH12" s="1307"/>
      <c r="AI12" s="1307"/>
      <c r="AJ12" s="1307"/>
      <c r="AK12" s="1307"/>
      <c r="AL12" s="1307"/>
      <c r="AM12" s="1307"/>
      <c r="AN12" s="1307"/>
      <c r="AO12" s="1307"/>
      <c r="AP12" s="1307"/>
      <c r="AQ12" s="1307"/>
      <c r="AR12" s="1307"/>
      <c r="AS12" s="1307"/>
      <c r="AT12" s="1307"/>
      <c r="AU12" s="1308"/>
      <c r="AV12" s="1247"/>
      <c r="AW12" s="1247"/>
      <c r="AX12" s="1247"/>
      <c r="AY12" s="1247"/>
      <c r="AZ12" s="1247"/>
      <c r="BA12" s="1247"/>
      <c r="BB12" s="1247"/>
      <c r="BC12" s="1247"/>
      <c r="BD12" s="1247"/>
      <c r="BE12" s="1247"/>
      <c r="BF12" s="1247"/>
      <c r="BG12" s="1247"/>
      <c r="BH12" s="1247"/>
      <c r="BI12" s="1247"/>
      <c r="BJ12" s="1272"/>
      <c r="BK12" s="1247"/>
      <c r="BL12" s="1247"/>
      <c r="BM12" s="1247"/>
    </row>
    <row r="13" spans="1:65" ht="17.25" customHeight="1" x14ac:dyDescent="0.25">
      <c r="A13" s="1299"/>
      <c r="B13" s="1279"/>
      <c r="C13" s="1259"/>
      <c r="D13" s="1273"/>
      <c r="E13" s="1312"/>
      <c r="F13" s="1312"/>
      <c r="G13" s="1312"/>
      <c r="H13" s="1313"/>
      <c r="I13" s="1258"/>
      <c r="J13" s="1258"/>
      <c r="K13" s="1258"/>
      <c r="L13" s="1258"/>
      <c r="M13" s="1258"/>
      <c r="N13" s="1314"/>
      <c r="O13" s="1314"/>
      <c r="P13" s="1258"/>
      <c r="Q13" s="1258"/>
      <c r="R13" s="1289"/>
      <c r="S13" s="1277"/>
      <c r="T13" s="1315">
        <v>110174</v>
      </c>
      <c r="U13" s="1306"/>
      <c r="V13" s="1307"/>
      <c r="W13" s="1307"/>
      <c r="X13" s="1307"/>
      <c r="Y13" s="1307"/>
      <c r="Z13" s="1307"/>
      <c r="AA13" s="1307"/>
      <c r="AB13" s="1307"/>
      <c r="AC13" s="1307"/>
      <c r="AD13" s="1307"/>
      <c r="AE13" s="1307"/>
      <c r="AF13" s="1307"/>
      <c r="AG13" s="1307"/>
      <c r="AH13" s="1307"/>
      <c r="AI13" s="1307"/>
      <c r="AJ13" s="1307"/>
      <c r="AK13" s="1307"/>
      <c r="AL13" s="1307"/>
      <c r="AM13" s="1307"/>
      <c r="AN13" s="1307"/>
      <c r="AO13" s="1307"/>
      <c r="AP13" s="1307"/>
      <c r="AQ13" s="1307"/>
      <c r="AR13" s="1307"/>
      <c r="AS13" s="1307"/>
      <c r="AT13" s="1307"/>
      <c r="AU13" s="1308"/>
      <c r="AV13" s="1247"/>
      <c r="AW13" s="1247"/>
      <c r="AX13" s="1247"/>
      <c r="AY13" s="1247"/>
      <c r="AZ13" s="1247"/>
      <c r="BA13" s="1247"/>
      <c r="BB13" s="1247"/>
      <c r="BC13" s="1247"/>
      <c r="BD13" s="1247"/>
      <c r="BE13" s="1247"/>
      <c r="BF13" s="1247"/>
      <c r="BG13" s="1247"/>
      <c r="BH13" s="1247"/>
      <c r="BI13" s="1247"/>
      <c r="BJ13" s="1272"/>
      <c r="BK13" s="1247"/>
      <c r="BL13" s="1247"/>
      <c r="BM13" s="1247"/>
    </row>
    <row r="14" spans="1:65" ht="17.25" customHeight="1" thickBot="1" x14ac:dyDescent="0.3">
      <c r="A14" s="1251"/>
      <c r="B14" s="1258"/>
      <c r="C14" s="1247"/>
      <c r="D14" s="1316"/>
      <c r="E14" s="1317"/>
      <c r="F14" s="1316"/>
      <c r="G14" s="1317"/>
      <c r="H14" s="1258"/>
      <c r="I14" s="1258"/>
      <c r="J14" s="1258"/>
      <c r="K14" s="1318"/>
      <c r="L14" s="1318"/>
      <c r="M14" s="1314"/>
      <c r="N14" s="1258"/>
      <c r="O14" s="1319"/>
      <c r="P14" s="1319"/>
      <c r="Q14" s="1314"/>
      <c r="R14" s="1289"/>
      <c r="S14" s="1277"/>
      <c r="T14" s="1320">
        <v>114315</v>
      </c>
      <c r="U14" s="1306"/>
      <c r="V14" s="1307"/>
      <c r="W14" s="1307"/>
      <c r="X14" s="1307"/>
      <c r="Y14" s="1307"/>
      <c r="Z14" s="1307"/>
      <c r="AA14" s="1307"/>
      <c r="AB14" s="1307"/>
      <c r="AC14" s="1307"/>
      <c r="AD14" s="1307"/>
      <c r="AE14" s="1307"/>
      <c r="AF14" s="1307"/>
      <c r="AG14" s="1307"/>
      <c r="AH14" s="1307"/>
      <c r="AI14" s="1307"/>
      <c r="AJ14" s="1307"/>
      <c r="AK14" s="1307"/>
      <c r="AL14" s="1307"/>
      <c r="AM14" s="1307"/>
      <c r="AN14" s="1307"/>
      <c r="AO14" s="1307"/>
      <c r="AP14" s="1307"/>
      <c r="AQ14" s="1307"/>
      <c r="AR14" s="1307"/>
      <c r="AS14" s="1307"/>
      <c r="AT14" s="1307"/>
      <c r="AU14" s="1308"/>
      <c r="AV14" s="1247"/>
      <c r="AW14" s="1247"/>
      <c r="AX14" s="1247"/>
      <c r="AY14" s="1247"/>
      <c r="AZ14" s="1247"/>
      <c r="BA14" s="1247"/>
      <c r="BB14" s="1247"/>
      <c r="BC14" s="1247"/>
      <c r="BD14" s="1247"/>
      <c r="BE14" s="1247"/>
      <c r="BF14" s="1247"/>
      <c r="BG14" s="1247"/>
      <c r="BH14" s="1247"/>
      <c r="BI14" s="1247"/>
      <c r="BJ14" s="1272"/>
      <c r="BK14" s="1247"/>
      <c r="BL14" s="1247"/>
      <c r="BM14" s="1247"/>
    </row>
    <row r="15" spans="1:65" ht="17.25" customHeight="1" x14ac:dyDescent="0.25">
      <c r="A15" s="1318"/>
      <c r="B15" s="1258"/>
      <c r="C15" s="1259"/>
      <c r="D15" s="1258"/>
      <c r="E15" s="1299"/>
      <c r="F15" s="1299"/>
      <c r="G15" s="1321"/>
      <c r="H15" s="1258"/>
      <c r="I15" s="1258"/>
      <c r="J15" s="1258"/>
      <c r="K15" s="1318"/>
      <c r="L15" s="1318"/>
      <c r="M15" s="1314"/>
      <c r="N15" s="1299"/>
      <c r="O15" s="1299"/>
      <c r="P15" s="1299"/>
      <c r="Q15" s="1299"/>
      <c r="R15" s="1289"/>
      <c r="S15" s="1277"/>
      <c r="T15" s="1320">
        <v>114640</v>
      </c>
      <c r="U15" s="1306"/>
      <c r="V15" s="1307"/>
      <c r="W15" s="1307"/>
      <c r="X15" s="1307"/>
      <c r="Y15" s="1307"/>
      <c r="Z15" s="1307"/>
      <c r="AA15" s="1307"/>
      <c r="AB15" s="1307"/>
      <c r="AC15" s="1307"/>
      <c r="AD15" s="1307"/>
      <c r="AE15" s="1307"/>
      <c r="AF15" s="1307"/>
      <c r="AG15" s="1307"/>
      <c r="AH15" s="1307"/>
      <c r="AI15" s="1307"/>
      <c r="AJ15" s="1307"/>
      <c r="AK15" s="1307"/>
      <c r="AL15" s="1307"/>
      <c r="AM15" s="1307"/>
      <c r="AN15" s="1307"/>
      <c r="AO15" s="1307"/>
      <c r="AP15" s="1307"/>
      <c r="AQ15" s="1307"/>
      <c r="AR15" s="1307"/>
      <c r="AS15" s="1307"/>
      <c r="AT15" s="1307"/>
      <c r="AU15" s="1308"/>
      <c r="AV15" s="1247"/>
      <c r="AW15" s="1247"/>
      <c r="AX15" s="1247"/>
      <c r="AY15" s="1247"/>
      <c r="AZ15" s="1247"/>
      <c r="BA15" s="1247"/>
      <c r="BB15" s="1247"/>
      <c r="BC15" s="1247"/>
      <c r="BD15" s="1247"/>
      <c r="BE15" s="1247"/>
      <c r="BF15" s="1247"/>
      <c r="BG15" s="1247"/>
      <c r="BH15" s="1247"/>
      <c r="BI15" s="1247"/>
      <c r="BJ15" s="1272"/>
      <c r="BK15" s="1247"/>
      <c r="BL15" s="1247"/>
      <c r="BM15" s="1247"/>
    </row>
    <row r="16" spans="1:65" ht="17.25" customHeight="1" x14ac:dyDescent="0.25">
      <c r="A16" s="1312"/>
      <c r="B16" s="1312"/>
      <c r="C16" s="1258"/>
      <c r="D16" s="1291"/>
      <c r="E16" s="1299"/>
      <c r="F16" s="1299"/>
      <c r="G16" s="1321"/>
      <c r="H16" s="1258"/>
      <c r="I16" s="1258"/>
      <c r="J16" s="1258"/>
      <c r="K16" s="1318"/>
      <c r="L16" s="1318"/>
      <c r="M16" s="1309"/>
      <c r="N16" s="1299"/>
      <c r="O16" s="1299"/>
      <c r="P16" s="1299"/>
      <c r="Q16" s="1299"/>
      <c r="R16" s="1289"/>
      <c r="S16" s="1277"/>
      <c r="T16" s="1322">
        <v>113833</v>
      </c>
      <c r="U16" s="1306"/>
      <c r="V16" s="1307"/>
      <c r="W16" s="1307"/>
      <c r="X16" s="1307"/>
      <c r="Y16" s="1307"/>
      <c r="Z16" s="1307"/>
      <c r="AA16" s="1307"/>
      <c r="AB16" s="1307"/>
      <c r="AC16" s="1307"/>
      <c r="AD16" s="1307"/>
      <c r="AE16" s="1307"/>
      <c r="AF16" s="1307"/>
      <c r="AG16" s="1307"/>
      <c r="AH16" s="1307"/>
      <c r="AI16" s="1307"/>
      <c r="AJ16" s="1307"/>
      <c r="AK16" s="1307"/>
      <c r="AL16" s="1307"/>
      <c r="AM16" s="1307"/>
      <c r="AN16" s="1307"/>
      <c r="AO16" s="1307"/>
      <c r="AP16" s="1307"/>
      <c r="AQ16" s="1307"/>
      <c r="AR16" s="1307"/>
      <c r="AS16" s="1307"/>
      <c r="AT16" s="1307"/>
      <c r="AU16" s="1308"/>
      <c r="AV16" s="1247"/>
      <c r="AW16" s="1247"/>
      <c r="AX16" s="1247"/>
      <c r="AY16" s="1247"/>
      <c r="AZ16" s="1247"/>
      <c r="BA16" s="1247"/>
      <c r="BB16" s="1247"/>
      <c r="BC16" s="1247"/>
      <c r="BD16" s="1247"/>
      <c r="BE16" s="1247"/>
      <c r="BF16" s="1247"/>
      <c r="BG16" s="1247"/>
      <c r="BH16" s="1247"/>
      <c r="BI16" s="1247"/>
      <c r="BJ16" s="1272"/>
      <c r="BK16" s="1247"/>
      <c r="BL16" s="1247"/>
      <c r="BM16" s="1247"/>
    </row>
    <row r="17" spans="1:65" ht="17.25" customHeight="1" x14ac:dyDescent="0.25">
      <c r="A17" s="1296"/>
      <c r="B17" s="1323"/>
      <c r="C17" s="1324"/>
      <c r="D17" s="1325"/>
      <c r="E17" s="1258"/>
      <c r="F17" s="1258"/>
      <c r="G17" s="1317"/>
      <c r="H17" s="1258"/>
      <c r="I17" s="1258"/>
      <c r="J17" s="1258"/>
      <c r="K17" s="1258"/>
      <c r="L17" s="1291"/>
      <c r="M17" s="1314"/>
      <c r="N17" s="1309"/>
      <c r="O17" s="1309"/>
      <c r="P17" s="1258"/>
      <c r="Q17" s="1258"/>
      <c r="R17" s="1289"/>
      <c r="S17" s="1277"/>
      <c r="T17" s="1326">
        <v>110425</v>
      </c>
      <c r="U17" s="1306"/>
      <c r="V17" s="1307"/>
      <c r="W17" s="1307"/>
      <c r="X17" s="1307"/>
      <c r="Y17" s="1307"/>
      <c r="Z17" s="1307"/>
      <c r="AA17" s="1307"/>
      <c r="AB17" s="1307"/>
      <c r="AC17" s="1307"/>
      <c r="AD17" s="1307"/>
      <c r="AE17" s="1307"/>
      <c r="AF17" s="1307"/>
      <c r="AG17" s="1307"/>
      <c r="AH17" s="1307"/>
      <c r="AI17" s="1307"/>
      <c r="AJ17" s="1307"/>
      <c r="AK17" s="1307"/>
      <c r="AL17" s="1307"/>
      <c r="AM17" s="1307"/>
      <c r="AN17" s="1307"/>
      <c r="AO17" s="1307"/>
      <c r="AP17" s="1307"/>
      <c r="AQ17" s="1307"/>
      <c r="AR17" s="1307"/>
      <c r="AS17" s="1307"/>
      <c r="AT17" s="1307"/>
      <c r="AU17" s="1308"/>
      <c r="AV17" s="1247"/>
      <c r="AW17" s="1247"/>
      <c r="AX17" s="1247"/>
      <c r="AY17" s="1247"/>
      <c r="AZ17" s="1247"/>
      <c r="BA17" s="1247"/>
      <c r="BB17" s="1247"/>
      <c r="BC17" s="1247"/>
      <c r="BD17" s="1247"/>
      <c r="BE17" s="1247"/>
      <c r="BF17" s="1247"/>
      <c r="BG17" s="1247"/>
      <c r="BH17" s="1247"/>
      <c r="BI17" s="1247"/>
      <c r="BJ17" s="1272"/>
      <c r="BK17" s="1247"/>
      <c r="BL17" s="1247"/>
      <c r="BM17" s="1247"/>
    </row>
    <row r="18" spans="1:65" ht="17.25" customHeight="1" thickBot="1" x14ac:dyDescent="0.3">
      <c r="A18" s="1296"/>
      <c r="B18" s="1323"/>
      <c r="C18" s="1324"/>
      <c r="D18" s="1258"/>
      <c r="E18" s="1258"/>
      <c r="F18" s="1258"/>
      <c r="G18" s="1258"/>
      <c r="H18" s="1258"/>
      <c r="I18" s="1258"/>
      <c r="J18" s="1258"/>
      <c r="K18" s="1258"/>
      <c r="L18" s="1312"/>
      <c r="M18" s="1312"/>
      <c r="N18" s="1258"/>
      <c r="O18" s="1291"/>
      <c r="P18" s="1327"/>
      <c r="Q18" s="1259"/>
      <c r="R18" s="1259"/>
      <c r="S18" s="1289"/>
      <c r="T18" s="1328"/>
      <c r="U18" s="1306"/>
      <c r="V18" s="1307"/>
      <c r="W18" s="1307"/>
      <c r="X18" s="1307"/>
      <c r="Y18" s="1307"/>
      <c r="Z18" s="1307"/>
      <c r="AA18" s="1307"/>
      <c r="AB18" s="1307"/>
      <c r="AC18" s="1307"/>
      <c r="AD18" s="1307"/>
      <c r="AE18" s="1307"/>
      <c r="AF18" s="1307"/>
      <c r="AG18" s="1307"/>
      <c r="AH18" s="1307"/>
      <c r="AI18" s="1307"/>
      <c r="AJ18" s="1307"/>
      <c r="AK18" s="1307"/>
      <c r="AL18" s="1307"/>
      <c r="AM18" s="1307"/>
      <c r="AN18" s="1307"/>
      <c r="AO18" s="1307"/>
      <c r="AP18" s="1307"/>
      <c r="AQ18" s="1307"/>
      <c r="AR18" s="1307"/>
      <c r="AS18" s="1307"/>
      <c r="AT18" s="1307"/>
      <c r="AU18" s="1308"/>
      <c r="AV18" s="1247"/>
      <c r="AW18" s="1247"/>
      <c r="AX18" s="1247"/>
      <c r="AY18" s="1247"/>
      <c r="AZ18" s="1247"/>
      <c r="BA18" s="1247"/>
      <c r="BB18" s="1247"/>
      <c r="BC18" s="1247"/>
      <c r="BD18" s="1247"/>
      <c r="BE18" s="1247"/>
      <c r="BF18" s="1247"/>
      <c r="BG18" s="1247"/>
      <c r="BH18" s="1247"/>
      <c r="BI18" s="1247"/>
      <c r="BJ18" s="1272"/>
      <c r="BK18" s="1247"/>
      <c r="BL18" s="1247"/>
      <c r="BM18" s="1247"/>
    </row>
    <row r="19" spans="1:65" ht="17.25" customHeight="1" x14ac:dyDescent="0.25">
      <c r="A19" s="1296"/>
      <c r="B19" s="1323"/>
      <c r="C19" s="1324"/>
      <c r="D19" s="1258"/>
      <c r="E19" s="1258"/>
      <c r="F19" s="1258"/>
      <c r="G19" s="1258"/>
      <c r="H19" s="1258"/>
      <c r="I19" s="1258"/>
      <c r="J19" s="1258"/>
      <c r="K19" s="1292"/>
      <c r="L19" s="1293"/>
      <c r="M19" s="1293"/>
      <c r="N19" s="1329"/>
      <c r="O19" s="1258"/>
      <c r="P19" s="1330"/>
      <c r="Q19" s="1330"/>
      <c r="R19" s="1330"/>
      <c r="S19" s="1330"/>
      <c r="T19" s="1331"/>
      <c r="U19" s="1306"/>
      <c r="V19" s="1307"/>
      <c r="W19" s="1307"/>
      <c r="X19" s="1307"/>
      <c r="Y19" s="1307"/>
      <c r="Z19" s="1307"/>
      <c r="AA19" s="1307"/>
      <c r="AB19" s="1307"/>
      <c r="AC19" s="1307"/>
      <c r="AD19" s="1307"/>
      <c r="AE19" s="1307"/>
      <c r="AF19" s="1307"/>
      <c r="AG19" s="1307"/>
      <c r="AH19" s="1307"/>
      <c r="AI19" s="1307"/>
      <c r="AJ19" s="1307"/>
      <c r="AK19" s="1307"/>
      <c r="AL19" s="1307"/>
      <c r="AM19" s="1307"/>
      <c r="AN19" s="1307"/>
      <c r="AO19" s="1307"/>
      <c r="AP19" s="1307"/>
      <c r="AQ19" s="1307"/>
      <c r="AR19" s="1307"/>
      <c r="AS19" s="1307"/>
      <c r="AT19" s="1307"/>
      <c r="AU19" s="1308"/>
      <c r="AV19" s="1332"/>
      <c r="AW19" s="1332"/>
      <c r="AX19" s="1332"/>
      <c r="AY19" s="1332"/>
      <c r="AZ19" s="1332"/>
      <c r="BA19" s="1332"/>
      <c r="BB19" s="1332"/>
      <c r="BC19" s="1332"/>
      <c r="BD19" s="1332"/>
      <c r="BE19" s="1333"/>
      <c r="BF19" s="1272"/>
      <c r="BG19" s="1247"/>
      <c r="BH19" s="1247"/>
      <c r="BI19" s="1247"/>
      <c r="BJ19" s="1272"/>
      <c r="BK19" s="1247"/>
      <c r="BL19" s="1247"/>
      <c r="BM19" s="1247"/>
    </row>
    <row r="20" spans="1:65" ht="17.25" customHeight="1" x14ac:dyDescent="0.25">
      <c r="A20" s="1296"/>
      <c r="B20" s="1323"/>
      <c r="C20" s="1324"/>
      <c r="D20" s="1258"/>
      <c r="E20" s="1258"/>
      <c r="F20" s="1258"/>
      <c r="G20" s="1258"/>
      <c r="H20" s="1258"/>
      <c r="I20" s="1258"/>
      <c r="J20" s="1334"/>
      <c r="K20" s="1293"/>
      <c r="L20" s="1296"/>
      <c r="M20" s="1296"/>
      <c r="N20" s="1293"/>
      <c r="O20" s="1324"/>
      <c r="P20" s="1335"/>
      <c r="Q20" s="1247"/>
      <c r="R20" s="1259"/>
      <c r="S20" s="1276"/>
      <c r="T20" s="1336"/>
      <c r="U20" s="1306"/>
      <c r="V20" s="1307"/>
      <c r="W20" s="1307"/>
      <c r="X20" s="1307"/>
      <c r="Y20" s="1307"/>
      <c r="Z20" s="1307"/>
      <c r="AA20" s="1307"/>
      <c r="AB20" s="1307"/>
      <c r="AC20" s="1307"/>
      <c r="AD20" s="1307"/>
      <c r="AE20" s="1307"/>
      <c r="AF20" s="1307"/>
      <c r="AG20" s="1307"/>
      <c r="AH20" s="1307"/>
      <c r="AI20" s="1307"/>
      <c r="AJ20" s="1307"/>
      <c r="AK20" s="1307"/>
      <c r="AL20" s="1307"/>
      <c r="AM20" s="1307"/>
      <c r="AN20" s="1307"/>
      <c r="AO20" s="1307"/>
      <c r="AP20" s="1307"/>
      <c r="AQ20" s="1307"/>
      <c r="AR20" s="1307"/>
      <c r="AS20" s="1307"/>
      <c r="AT20" s="1307"/>
      <c r="AU20" s="1308"/>
      <c r="AV20" s="1247"/>
      <c r="AW20" s="1247"/>
      <c r="AX20" s="1247"/>
      <c r="AY20" s="1247"/>
      <c r="AZ20" s="1247"/>
      <c r="BA20" s="1247"/>
      <c r="BB20" s="1247"/>
      <c r="BC20" s="1247"/>
      <c r="BD20" s="1247"/>
      <c r="BE20" s="1337"/>
      <c r="BF20" s="1272"/>
      <c r="BG20" s="1247"/>
      <c r="BH20" s="1247"/>
      <c r="BI20" s="1247"/>
      <c r="BJ20" s="1272"/>
      <c r="BK20" s="1247"/>
      <c r="BL20" s="1247"/>
      <c r="BM20" s="1247"/>
    </row>
    <row r="21" spans="1:65" ht="17.25" customHeight="1" thickBot="1" x14ac:dyDescent="0.3">
      <c r="A21" s="1296"/>
      <c r="B21" s="1323"/>
      <c r="C21" s="1324"/>
      <c r="D21" s="1258"/>
      <c r="E21" s="1258"/>
      <c r="F21" s="1258"/>
      <c r="G21" s="1258"/>
      <c r="H21" s="1258"/>
      <c r="I21" s="1258"/>
      <c r="J21" s="1334"/>
      <c r="K21" s="1293"/>
      <c r="L21" s="1296"/>
      <c r="M21" s="1296"/>
      <c r="N21" s="1293"/>
      <c r="O21" s="1324"/>
      <c r="P21" s="1335"/>
      <c r="Q21" s="1247"/>
      <c r="R21" s="1338"/>
      <c r="S21" s="1336"/>
      <c r="T21" s="1339"/>
      <c r="U21" s="1340"/>
      <c r="V21" s="1341"/>
      <c r="W21" s="1341"/>
      <c r="X21" s="1341"/>
      <c r="Y21" s="1341"/>
      <c r="Z21" s="1341"/>
      <c r="AA21" s="1341"/>
      <c r="AB21" s="1341"/>
      <c r="AC21" s="1341"/>
      <c r="AD21" s="1341"/>
      <c r="AE21" s="1341"/>
      <c r="AF21" s="1341"/>
      <c r="AG21" s="1341"/>
      <c r="AH21" s="1341"/>
      <c r="AI21" s="1341"/>
      <c r="AJ21" s="1341"/>
      <c r="AK21" s="1341"/>
      <c r="AL21" s="1341"/>
      <c r="AM21" s="1341"/>
      <c r="AN21" s="1341"/>
      <c r="AO21" s="1341"/>
      <c r="AP21" s="1341"/>
      <c r="AQ21" s="1341"/>
      <c r="AR21" s="1341"/>
      <c r="AS21" s="1341"/>
      <c r="AT21" s="1341"/>
      <c r="AU21" s="1342"/>
      <c r="AV21" s="1247"/>
      <c r="AW21" s="1247"/>
      <c r="AX21" s="1247"/>
      <c r="AY21" s="1247"/>
      <c r="AZ21" s="1247"/>
      <c r="BA21" s="1247"/>
      <c r="BB21" s="1247"/>
      <c r="BC21" s="1247"/>
      <c r="BD21" s="1247"/>
      <c r="BE21" s="1337"/>
      <c r="BF21" s="1272"/>
      <c r="BG21" s="1247"/>
      <c r="BH21" s="1247"/>
      <c r="BI21" s="1247"/>
      <c r="BJ21" s="1272"/>
      <c r="BK21" s="1247"/>
      <c r="BL21" s="1247"/>
      <c r="BM21" s="1247"/>
    </row>
    <row r="22" spans="1:65" ht="17.25" customHeight="1" thickBot="1" x14ac:dyDescent="0.3">
      <c r="A22" s="1296"/>
      <c r="B22" s="1323"/>
      <c r="C22" s="1324"/>
      <c r="D22" s="1258"/>
      <c r="E22" s="1299"/>
      <c r="F22" s="1299"/>
      <c r="G22" s="1299"/>
      <c r="H22" s="1273"/>
      <c r="I22" s="1273"/>
      <c r="J22" s="1334"/>
      <c r="K22" s="1293"/>
      <c r="L22" s="1296"/>
      <c r="M22" s="1296"/>
      <c r="N22" s="1293"/>
      <c r="O22" s="1324"/>
      <c r="P22" s="1335"/>
      <c r="R22" s="1336"/>
      <c r="S22" s="1339"/>
      <c r="T22" s="1343">
        <v>8765877</v>
      </c>
      <c r="U22" s="1344"/>
      <c r="V22" s="1345"/>
      <c r="W22" s="1345"/>
      <c r="X22" s="1345"/>
      <c r="Y22" s="1345"/>
      <c r="Z22" s="1346"/>
      <c r="AA22" s="1346"/>
      <c r="AB22" s="1346"/>
      <c r="AC22" s="1346"/>
      <c r="AD22" s="1346"/>
      <c r="AE22" s="1346"/>
      <c r="AF22" s="1346"/>
      <c r="AG22" s="1346"/>
      <c r="AH22" s="1346"/>
      <c r="AI22" s="1346"/>
      <c r="AJ22" s="1346"/>
      <c r="AK22" s="1346"/>
      <c r="AL22" s="1346"/>
      <c r="AM22" s="1346"/>
      <c r="AN22" s="1346"/>
      <c r="AO22" s="1345"/>
      <c r="AP22" s="1345"/>
      <c r="AQ22" s="1345"/>
      <c r="AR22" s="1345"/>
      <c r="AS22" s="1345"/>
      <c r="AT22" s="1345"/>
      <c r="AU22" s="1347"/>
      <c r="AV22" s="1272"/>
      <c r="AW22" s="1247"/>
      <c r="AX22" s="1247"/>
      <c r="AY22" s="1247"/>
      <c r="AZ22" s="1273"/>
      <c r="BA22" s="1273"/>
      <c r="BB22" s="1273"/>
      <c r="BC22" s="1247"/>
      <c r="BD22" s="1247"/>
      <c r="BE22" s="1337"/>
      <c r="BF22" s="1272"/>
      <c r="BG22" s="1247"/>
      <c r="BH22" s="1247"/>
      <c r="BI22" s="1247"/>
      <c r="BJ22" s="1272"/>
      <c r="BK22" s="1247"/>
      <c r="BL22" s="1247"/>
      <c r="BM22" s="1247"/>
    </row>
    <row r="23" spans="1:65" ht="17.25" customHeight="1" thickBot="1" x14ac:dyDescent="0.3">
      <c r="A23" s="1296"/>
      <c r="B23" s="1323"/>
      <c r="C23" s="1348"/>
      <c r="D23" s="1258"/>
      <c r="E23" s="1299"/>
      <c r="F23" s="1299"/>
      <c r="G23" s="1299"/>
      <c r="H23" s="1349"/>
      <c r="I23" s="1273"/>
      <c r="J23" s="1334"/>
      <c r="K23" s="1293"/>
      <c r="L23" s="1296"/>
      <c r="M23" s="1296"/>
      <c r="N23" s="1293"/>
      <c r="O23" s="1324"/>
      <c r="P23" s="1350"/>
      <c r="Q23" s="1336"/>
      <c r="R23" s="1339"/>
      <c r="S23" s="1322">
        <v>8765895</v>
      </c>
      <c r="T23" s="1351"/>
      <c r="U23" s="1345"/>
      <c r="V23" s="1259"/>
      <c r="X23" s="1259"/>
      <c r="Y23" s="1259"/>
      <c r="Z23" s="1259"/>
      <c r="AA23" s="1259"/>
      <c r="AB23" s="1259"/>
      <c r="AC23" s="1259"/>
      <c r="AD23" s="1259"/>
      <c r="AE23" s="1259"/>
      <c r="AF23" s="1259"/>
      <c r="AG23" s="1259"/>
      <c r="AH23" s="1259"/>
      <c r="AI23" s="1259"/>
      <c r="AJ23" s="1259"/>
      <c r="AK23" s="1259"/>
      <c r="AL23" s="1259"/>
      <c r="AM23" s="1259"/>
      <c r="AN23" s="1259"/>
      <c r="AO23" s="1259"/>
      <c r="AP23" s="1259"/>
      <c r="AQ23" s="1259"/>
      <c r="AR23" s="1259"/>
      <c r="AS23" s="1259"/>
      <c r="AT23" s="1259"/>
      <c r="AU23" s="1259"/>
      <c r="AV23" s="1272"/>
      <c r="AW23" s="1247"/>
      <c r="AX23" s="1247"/>
      <c r="AY23" s="1247"/>
      <c r="AZ23" s="1273"/>
      <c r="BA23" s="1273"/>
      <c r="BB23" s="1273"/>
      <c r="BC23" s="1247"/>
      <c r="BD23" s="1247"/>
      <c r="BE23" s="1337"/>
      <c r="BF23" s="1272"/>
      <c r="BG23" s="1247"/>
      <c r="BH23" s="1247"/>
      <c r="BI23" s="1247"/>
      <c r="BJ23" s="1272"/>
      <c r="BK23" s="1247"/>
      <c r="BL23" s="1247"/>
      <c r="BM23" s="1247"/>
    </row>
    <row r="24" spans="1:65" ht="17.25" customHeight="1" thickBot="1" x14ac:dyDescent="0.3">
      <c r="A24" s="1296"/>
      <c r="B24" s="1323"/>
      <c r="C24" s="1348"/>
      <c r="D24" s="1258"/>
      <c r="E24" s="1291"/>
      <c r="F24" s="1325"/>
      <c r="G24" s="1325"/>
      <c r="H24" s="1310"/>
      <c r="I24" s="1273"/>
      <c r="J24" s="1273"/>
      <c r="K24" s="1352"/>
      <c r="L24" s="1293"/>
      <c r="M24" s="1293"/>
      <c r="N24" s="1352"/>
      <c r="O24" s="1314"/>
      <c r="P24" s="1336"/>
      <c r="Q24" s="1339"/>
      <c r="R24" s="1353">
        <v>8765899</v>
      </c>
      <c r="S24" s="1351"/>
      <c r="T24" s="1291"/>
      <c r="U24" s="1259"/>
      <c r="V24" s="1259"/>
      <c r="W24" s="1259"/>
      <c r="X24" s="1259"/>
      <c r="AA24" s="1259"/>
      <c r="AB24" s="1259"/>
      <c r="AC24" s="1259"/>
      <c r="AD24" s="1259"/>
      <c r="AE24" s="1259"/>
      <c r="AF24" s="1259"/>
      <c r="AG24" s="1259"/>
      <c r="AH24" s="1259"/>
      <c r="AI24" s="1259"/>
      <c r="AJ24" s="1259"/>
      <c r="AK24" s="1259"/>
      <c r="AL24" s="1259"/>
      <c r="AM24" s="1259"/>
      <c r="AN24" s="1259"/>
      <c r="AO24" s="1259"/>
      <c r="AP24" s="1259"/>
      <c r="AQ24" s="1259"/>
      <c r="AR24" s="1259"/>
      <c r="AS24" s="1259"/>
      <c r="AT24" s="1259"/>
      <c r="AU24" s="1259"/>
      <c r="AV24" s="1272"/>
      <c r="AW24" s="1247"/>
      <c r="AX24" s="1247"/>
      <c r="AY24" s="1247"/>
      <c r="AZ24" s="1273"/>
      <c r="BA24" s="1354"/>
      <c r="BB24" s="1273"/>
      <c r="BC24" s="1247"/>
      <c r="BD24" s="1247"/>
      <c r="BE24" s="1337"/>
      <c r="BF24" s="1272"/>
      <c r="BG24" s="1355"/>
      <c r="BH24" s="1355"/>
      <c r="BI24" s="1356"/>
      <c r="BJ24" s="1272"/>
      <c r="BK24" s="1247"/>
      <c r="BL24" s="1247"/>
      <c r="BM24" s="1247"/>
    </row>
    <row r="25" spans="1:65" ht="17.25" customHeight="1" thickBot="1" x14ac:dyDescent="0.3">
      <c r="A25" s="1296"/>
      <c r="B25" s="1323"/>
      <c r="C25" s="1348"/>
      <c r="D25" s="1258"/>
      <c r="E25" s="1357"/>
      <c r="F25" s="1357"/>
      <c r="G25" s="1357"/>
      <c r="H25" s="1357"/>
      <c r="I25" s="1357"/>
      <c r="J25" s="1273"/>
      <c r="K25" s="1358"/>
      <c r="L25" s="1259"/>
      <c r="M25" s="1247"/>
      <c r="N25" s="1336"/>
      <c r="O25" s="1359"/>
      <c r="P25" s="1339"/>
      <c r="Q25" s="1360">
        <v>8765810</v>
      </c>
      <c r="R25" s="1351"/>
      <c r="S25" s="1317"/>
      <c r="T25" s="1247"/>
      <c r="U25" s="1259"/>
      <c r="V25" s="1259"/>
      <c r="X25" s="1259"/>
      <c r="AA25" s="1259"/>
      <c r="AB25" s="1259"/>
      <c r="AC25" s="1259"/>
      <c r="AD25" s="1259"/>
      <c r="AE25" s="1259"/>
      <c r="AF25" s="1259"/>
      <c r="AG25" s="1259"/>
      <c r="AH25" s="1259"/>
      <c r="AI25" s="1259"/>
      <c r="AJ25" s="1259"/>
      <c r="AK25" s="1259"/>
      <c r="AL25" s="1259"/>
      <c r="AM25" s="1258"/>
      <c r="AN25" s="1258"/>
      <c r="AO25" s="1258"/>
      <c r="AP25" s="1258"/>
      <c r="AQ25" s="1258"/>
      <c r="AR25" s="1258"/>
      <c r="AS25" s="1258"/>
      <c r="AT25" s="1258"/>
      <c r="AU25" s="1258"/>
      <c r="AV25" s="1361"/>
      <c r="AW25" s="1247"/>
      <c r="AX25" s="1247"/>
      <c r="AY25" s="1247"/>
      <c r="AZ25" s="1273"/>
      <c r="BA25" s="1273"/>
      <c r="BB25" s="1273"/>
      <c r="BC25" s="1247"/>
      <c r="BD25" s="1247"/>
      <c r="BE25" s="1337"/>
      <c r="BF25" s="1272"/>
      <c r="BG25" s="1247"/>
      <c r="BH25" s="1247"/>
      <c r="BI25" s="1247"/>
      <c r="BJ25" s="1272"/>
      <c r="BK25" s="1247"/>
      <c r="BL25" s="1247"/>
      <c r="BM25" s="1247"/>
    </row>
    <row r="26" spans="1:65" ht="17.25" customHeight="1" thickBot="1" x14ac:dyDescent="0.3">
      <c r="A26" s="1296"/>
      <c r="B26" s="1323"/>
      <c r="C26" s="1348"/>
      <c r="D26" s="1258"/>
      <c r="E26" s="1362"/>
      <c r="F26" s="1310"/>
      <c r="G26" s="1310"/>
      <c r="H26" s="1310"/>
      <c r="I26" s="1310"/>
      <c r="J26" s="1363"/>
      <c r="K26" s="1364"/>
      <c r="L26" s="1259"/>
      <c r="M26" s="1336"/>
      <c r="N26" s="1339"/>
      <c r="O26" s="1339"/>
      <c r="P26" s="1365">
        <v>8765901</v>
      </c>
      <c r="Q26" s="1351"/>
      <c r="R26" s="1346"/>
      <c r="S26" s="1247"/>
      <c r="T26" s="1259"/>
      <c r="U26" s="1259"/>
      <c r="V26" s="1259"/>
      <c r="W26" s="1259"/>
      <c r="X26" s="1259"/>
      <c r="AA26" s="1258"/>
      <c r="AB26" s="1258"/>
      <c r="AC26" s="1258"/>
      <c r="AD26" s="1259"/>
      <c r="AE26" s="1259"/>
      <c r="AF26" s="1259"/>
      <c r="AG26" s="1259"/>
      <c r="AH26" s="1259"/>
      <c r="AI26" s="1259"/>
      <c r="AJ26" s="1259"/>
      <c r="AK26" s="1259"/>
      <c r="AL26" s="1259"/>
      <c r="AM26" s="1258"/>
      <c r="AN26" s="1258"/>
      <c r="AO26" s="1312"/>
      <c r="AP26" s="1312"/>
      <c r="AQ26" s="1312"/>
      <c r="AR26" s="1258"/>
      <c r="AS26" s="1258"/>
      <c r="AT26" s="1258"/>
      <c r="AU26" s="1258"/>
      <c r="AV26" s="1361"/>
      <c r="AW26" s="1247"/>
      <c r="AX26" s="1247"/>
      <c r="AY26" s="1247"/>
      <c r="AZ26" s="1273"/>
      <c r="BA26" s="1273"/>
      <c r="BB26" s="1273"/>
      <c r="BC26" s="1247"/>
      <c r="BD26" s="1247"/>
      <c r="BE26" s="1337"/>
      <c r="BF26" s="1272"/>
      <c r="BG26" s="1247"/>
      <c r="BH26" s="1247"/>
      <c r="BI26" s="1247"/>
      <c r="BJ26" s="1272"/>
      <c r="BK26" s="1247"/>
      <c r="BL26" s="1247"/>
      <c r="BM26" s="1247"/>
    </row>
    <row r="27" spans="1:65" ht="17.25" customHeight="1" thickBot="1" x14ac:dyDescent="0.3">
      <c r="A27" s="1292"/>
      <c r="B27" s="1366"/>
      <c r="C27" s="1366"/>
      <c r="D27" s="1258"/>
      <c r="E27" s="1318"/>
      <c r="F27" s="1318"/>
      <c r="G27" s="1318"/>
      <c r="H27" s="1318"/>
      <c r="I27" s="1367"/>
      <c r="J27" s="1258"/>
      <c r="K27" s="1273"/>
      <c r="L27" s="1336"/>
      <c r="M27" s="1339"/>
      <c r="N27" s="1368"/>
      <c r="O27" s="1369"/>
      <c r="P27" s="1351"/>
      <c r="Q27" s="1346"/>
      <c r="R27" s="1346"/>
      <c r="S27" s="1247"/>
      <c r="T27" s="1259"/>
      <c r="U27" s="1259"/>
      <c r="W27" s="1259"/>
      <c r="X27" s="1259"/>
      <c r="AA27" s="1258"/>
      <c r="AB27" s="1258"/>
      <c r="AC27" s="1258"/>
      <c r="AD27" s="1259"/>
      <c r="AE27" s="1259"/>
      <c r="AF27" s="1259"/>
      <c r="AG27" s="1259"/>
      <c r="AH27" s="1259"/>
      <c r="AI27" s="1258"/>
      <c r="AJ27" s="1258"/>
      <c r="AK27" s="1258"/>
      <c r="AL27" s="1259"/>
      <c r="AM27" s="1258"/>
      <c r="AN27" s="1258"/>
      <c r="AO27" s="1258"/>
      <c r="AP27" s="1370"/>
      <c r="AQ27" s="1258"/>
      <c r="AR27" s="1258"/>
      <c r="AS27" s="1258"/>
      <c r="AT27" s="1258"/>
      <c r="AU27" s="1258"/>
      <c r="AV27" s="1361"/>
      <c r="AW27" s="1273"/>
      <c r="AX27" s="1273"/>
      <c r="AY27" s="1273"/>
      <c r="AZ27" s="1273"/>
      <c r="BA27" s="1273"/>
      <c r="BB27" s="1273"/>
      <c r="BC27" s="1273"/>
      <c r="BD27" s="1273"/>
      <c r="BE27" s="1371"/>
      <c r="BF27" s="1272"/>
      <c r="BG27" s="1247"/>
      <c r="BH27" s="1247"/>
      <c r="BI27" s="1247"/>
      <c r="BJ27" s="1272"/>
      <c r="BK27" s="1247"/>
      <c r="BL27" s="1247"/>
      <c r="BM27" s="1247"/>
    </row>
    <row r="28" spans="1:65" ht="17.25" customHeight="1" x14ac:dyDescent="0.25">
      <c r="A28" s="1296"/>
      <c r="B28" s="1323"/>
      <c r="C28" s="1358"/>
      <c r="D28" s="1291"/>
      <c r="E28" s="1318"/>
      <c r="F28" s="1318"/>
      <c r="G28" s="1318"/>
      <c r="H28" s="1318"/>
      <c r="I28" s="1372"/>
      <c r="J28" s="1258"/>
      <c r="K28" s="1373"/>
      <c r="L28" s="1339"/>
      <c r="M28" s="1374"/>
      <c r="N28" s="1375"/>
      <c r="O28" s="1345"/>
      <c r="P28" s="1346"/>
      <c r="Q28" s="1335"/>
      <c r="R28" s="1346"/>
      <c r="T28" s="1259"/>
      <c r="U28" s="1259"/>
      <c r="V28" s="1259"/>
      <c r="W28" s="1259"/>
      <c r="X28" s="1259"/>
      <c r="AA28" s="1258"/>
      <c r="AB28" s="1258"/>
      <c r="AC28" s="1317"/>
      <c r="AD28" s="1346"/>
      <c r="AE28" s="1346"/>
      <c r="AF28" s="1259"/>
      <c r="AG28" s="1259"/>
      <c r="AH28" s="1259"/>
      <c r="AI28" s="1317"/>
      <c r="AJ28" s="1273"/>
      <c r="AK28" s="1273"/>
      <c r="AL28" s="1247"/>
      <c r="AM28" s="1273"/>
      <c r="AN28" s="1273"/>
      <c r="AO28" s="1376"/>
      <c r="AP28" s="1377"/>
      <c r="AQ28" s="1258"/>
      <c r="AR28" s="1258"/>
      <c r="AS28" s="1273"/>
      <c r="AT28" s="1273"/>
      <c r="AU28" s="1258"/>
      <c r="AV28" s="1361"/>
      <c r="AW28" s="1273"/>
      <c r="AX28" s="1273"/>
      <c r="AY28" s="1273"/>
      <c r="AZ28" s="1273"/>
      <c r="BA28" s="1273"/>
      <c r="BB28" s="1273"/>
      <c r="BC28" s="1273"/>
      <c r="BD28" s="1273"/>
      <c r="BE28" s="1371"/>
      <c r="BF28" s="1272"/>
      <c r="BG28" s="1247"/>
      <c r="BH28" s="1247"/>
      <c r="BI28" s="1247"/>
      <c r="BJ28" s="1272"/>
      <c r="BK28" s="1247"/>
      <c r="BL28" s="1247"/>
      <c r="BM28" s="1247"/>
    </row>
    <row r="29" spans="1:65" ht="17.25" customHeight="1" thickBot="1" x14ac:dyDescent="0.3">
      <c r="A29" s="1296"/>
      <c r="B29" s="1323"/>
      <c r="C29" s="1358"/>
      <c r="D29" s="1372"/>
      <c r="E29" s="1378"/>
      <c r="F29" s="1273"/>
      <c r="G29" s="1273"/>
      <c r="H29" s="1273"/>
      <c r="I29" s="1372"/>
      <c r="J29" s="1258"/>
      <c r="K29" s="1373"/>
      <c r="L29" s="1339"/>
      <c r="M29" s="1374"/>
      <c r="N29" s="1375"/>
      <c r="O29" s="1338"/>
      <c r="P29" s="1346"/>
      <c r="R29" s="1346"/>
      <c r="S29" s="1247"/>
      <c r="T29" s="1259"/>
      <c r="U29" s="1258"/>
      <c r="V29" s="1258"/>
      <c r="W29" s="1258"/>
      <c r="X29" s="1258"/>
      <c r="Y29" s="1379"/>
      <c r="Z29" s="1379"/>
      <c r="AA29" s="1258"/>
      <c r="AB29" s="1258"/>
      <c r="AC29" s="1258"/>
      <c r="AD29" s="1346"/>
      <c r="AE29" s="1346"/>
      <c r="AF29" s="1259"/>
      <c r="AG29" s="1346"/>
      <c r="AH29" s="1259"/>
      <c r="AI29" s="1258"/>
      <c r="AJ29" s="1380"/>
      <c r="AK29" s="1273"/>
      <c r="AL29" s="1247"/>
      <c r="AM29" s="1258"/>
      <c r="AN29" s="1273"/>
      <c r="AO29" s="1381"/>
      <c r="AP29" s="1296"/>
      <c r="AQ29" s="1381"/>
      <c r="AR29" s="1258"/>
      <c r="AS29" s="1273"/>
      <c r="AT29" s="1273"/>
      <c r="AU29" s="1258"/>
      <c r="AV29" s="1382"/>
      <c r="AW29" s="1273"/>
      <c r="AX29" s="1383"/>
      <c r="AY29" s="1383"/>
      <c r="AZ29" s="1383"/>
      <c r="BA29" s="1383"/>
      <c r="BB29" s="1383"/>
      <c r="BC29" s="1383"/>
      <c r="BD29" s="1383"/>
      <c r="BE29" s="1384"/>
      <c r="BF29" s="1272"/>
      <c r="BG29" s="1385"/>
      <c r="BH29" s="1385"/>
      <c r="BI29" s="1386"/>
      <c r="BJ29" s="1272"/>
      <c r="BK29" s="1387"/>
      <c r="BL29" s="1387"/>
      <c r="BM29" s="1387"/>
    </row>
    <row r="30" spans="1:65" ht="17.25" customHeight="1" x14ac:dyDescent="0.25">
      <c r="A30" s="1296"/>
      <c r="B30" s="1323"/>
      <c r="C30" s="1358"/>
      <c r="D30" s="1388"/>
      <c r="E30" s="1352"/>
      <c r="F30" s="1352"/>
      <c r="G30" s="1352"/>
      <c r="H30" s="1352"/>
      <c r="I30" s="1273"/>
      <c r="J30" s="1258"/>
      <c r="K30" s="1373"/>
      <c r="L30" s="1339"/>
      <c r="M30" s="1374"/>
      <c r="N30" s="1375"/>
      <c r="O30" s="1389"/>
      <c r="R30" s="1346"/>
      <c r="S30" s="1247"/>
      <c r="T30" s="1259"/>
      <c r="U30" s="1258"/>
      <c r="V30" s="1258"/>
      <c r="W30" s="1258"/>
      <c r="X30" s="1258"/>
      <c r="Y30" s="1379"/>
      <c r="Z30" s="1379"/>
      <c r="AA30" s="1258"/>
      <c r="AB30" s="1390"/>
      <c r="AC30" s="1258"/>
      <c r="AD30" s="1259"/>
      <c r="AE30" s="1247"/>
      <c r="AF30" s="1259"/>
      <c r="AG30" s="1346"/>
      <c r="AH30" s="1259"/>
      <c r="AI30" s="1380"/>
      <c r="AJ30" s="1273"/>
      <c r="AK30" s="1380"/>
      <c r="AL30" s="1346"/>
      <c r="AM30" s="1391"/>
      <c r="AN30" s="1377"/>
      <c r="AO30" s="1296"/>
      <c r="AP30" s="1381"/>
      <c r="AQ30" s="1296"/>
      <c r="AR30" s="1377"/>
      <c r="AS30" s="1392"/>
      <c r="AT30" s="1317"/>
      <c r="AU30" s="1258"/>
      <c r="AV30" s="1317"/>
      <c r="AW30" s="1393"/>
      <c r="AX30" s="1299"/>
      <c r="AY30" s="1299"/>
      <c r="AZ30" s="1299"/>
      <c r="BA30" s="1299"/>
      <c r="BB30" s="1299"/>
      <c r="BC30" s="1257"/>
      <c r="BD30" s="1257"/>
      <c r="BE30" s="1257"/>
      <c r="BF30" s="1272"/>
      <c r="BG30" s="1247"/>
      <c r="BH30" s="1247"/>
      <c r="BI30" s="1247"/>
      <c r="BJ30" s="1272"/>
      <c r="BK30" s="1387"/>
      <c r="BL30" s="1394"/>
      <c r="BM30" s="1387"/>
    </row>
    <row r="31" spans="1:65" ht="17.25" customHeight="1" x14ac:dyDescent="0.25">
      <c r="A31" s="1296"/>
      <c r="B31" s="1323"/>
      <c r="C31" s="1358"/>
      <c r="D31" s="1273"/>
      <c r="E31" s="1319"/>
      <c r="F31" s="1319"/>
      <c r="G31" s="1319"/>
      <c r="H31" s="1319"/>
      <c r="I31" s="1258"/>
      <c r="J31" s="1258"/>
      <c r="K31" s="1373"/>
      <c r="L31" s="1339"/>
      <c r="M31" s="1374"/>
      <c r="N31" s="1375"/>
      <c r="O31" s="1346"/>
      <c r="P31" s="1346"/>
      <c r="Q31" s="1335"/>
      <c r="R31" s="1346"/>
      <c r="S31" s="1247"/>
      <c r="T31" s="1259"/>
      <c r="U31" s="1258"/>
      <c r="V31" s="1318"/>
      <c r="W31" s="1258"/>
      <c r="X31" s="1258"/>
      <c r="Y31" s="1379"/>
      <c r="Z31" s="1379"/>
      <c r="AA31" s="1390"/>
      <c r="AB31" s="1291"/>
      <c r="AC31" s="1390"/>
      <c r="AD31" s="1259"/>
      <c r="AE31" s="1247"/>
      <c r="AF31" s="1259"/>
      <c r="AG31" s="1346"/>
      <c r="AH31" s="1259"/>
      <c r="AI31" s="1258"/>
      <c r="AJ31" s="1380"/>
      <c r="AK31" s="1317"/>
      <c r="AL31" s="1346"/>
      <c r="AM31" s="1317"/>
      <c r="AN31" s="1273"/>
      <c r="AO31" s="1381"/>
      <c r="AP31" s="1296"/>
      <c r="AQ31" s="1381"/>
      <c r="AR31" s="1258"/>
      <c r="AS31" s="1314"/>
      <c r="AT31" s="1314"/>
      <c r="AU31" s="1258"/>
      <c r="AV31" s="1314"/>
      <c r="AW31" s="1314"/>
      <c r="AX31" s="1314"/>
      <c r="AY31" s="1314"/>
      <c r="AZ31" s="1314"/>
      <c r="BA31" s="1314"/>
      <c r="BB31" s="1317"/>
      <c r="BC31" s="1317"/>
      <c r="BD31" s="1317"/>
      <c r="BE31" s="1317"/>
      <c r="BF31" s="1272"/>
      <c r="BG31" s="1247"/>
      <c r="BH31" s="1247"/>
      <c r="BI31" s="1247"/>
      <c r="BJ31" s="1272"/>
      <c r="BK31" s="1394"/>
      <c r="BL31" s="1387"/>
      <c r="BM31" s="1394"/>
    </row>
    <row r="32" spans="1:65" ht="17.25" customHeight="1" thickBot="1" x14ac:dyDescent="0.3">
      <c r="A32" s="1323"/>
      <c r="B32" s="1379"/>
      <c r="C32" s="1358"/>
      <c r="D32" s="1273"/>
      <c r="E32" s="1318"/>
      <c r="F32" s="1318"/>
      <c r="G32" s="1318"/>
      <c r="H32" s="1318"/>
      <c r="I32" s="1258"/>
      <c r="J32" s="1317"/>
      <c r="K32" s="1395"/>
      <c r="L32" s="1336"/>
      <c r="M32" s="1339"/>
      <c r="N32" s="1396"/>
      <c r="O32" s="1389"/>
      <c r="P32" s="1346"/>
      <c r="Q32" s="1335"/>
      <c r="R32" s="1346"/>
      <c r="S32" s="1247"/>
      <c r="T32" s="1259"/>
      <c r="U32" s="1318"/>
      <c r="V32" s="1291"/>
      <c r="W32" s="1318"/>
      <c r="X32" s="1258"/>
      <c r="Y32" s="1379"/>
      <c r="Z32" s="1379"/>
      <c r="AA32" s="1323"/>
      <c r="AB32" s="1390"/>
      <c r="AC32" s="1323"/>
      <c r="AD32" s="1273"/>
      <c r="AE32" s="1273"/>
      <c r="AF32" s="1258"/>
      <c r="AG32" s="1317"/>
      <c r="AH32" s="1317"/>
      <c r="AI32" s="1258"/>
      <c r="AJ32" s="1273"/>
      <c r="AK32" s="1258"/>
      <c r="AL32" s="1259"/>
      <c r="AM32" s="1258"/>
      <c r="AN32" s="1273"/>
      <c r="AO32" s="1291"/>
      <c r="AP32" s="1377"/>
      <c r="AQ32" s="1258"/>
      <c r="AR32" s="1258"/>
      <c r="AS32" s="1258"/>
      <c r="AT32" s="1258"/>
      <c r="AU32" s="1258"/>
      <c r="AV32" s="1317"/>
      <c r="AW32" s="1317"/>
      <c r="AX32" s="1317"/>
      <c r="AY32" s="1317"/>
      <c r="AZ32" s="1317"/>
      <c r="BA32" s="1317"/>
      <c r="BB32" s="1317"/>
      <c r="BC32" s="1317"/>
      <c r="BD32" s="1317"/>
      <c r="BE32" s="1317"/>
      <c r="BF32" s="1272"/>
      <c r="BG32" s="1247"/>
      <c r="BH32" s="1247"/>
      <c r="BI32" s="1247"/>
      <c r="BJ32" s="1272"/>
      <c r="BK32" s="1394"/>
      <c r="BL32" s="1387"/>
      <c r="BM32" s="1394"/>
    </row>
    <row r="33" spans="1:65" ht="17.25" customHeight="1" x14ac:dyDescent="0.25">
      <c r="A33" s="1397"/>
      <c r="B33" s="1258"/>
      <c r="C33" s="1358"/>
      <c r="D33" s="1291"/>
      <c r="E33" s="1318"/>
      <c r="F33" s="1318"/>
      <c r="G33" s="1318"/>
      <c r="H33" s="1318"/>
      <c r="I33" s="1258"/>
      <c r="J33" s="1314"/>
      <c r="K33" s="1258"/>
      <c r="L33" s="1338"/>
      <c r="M33" s="1398"/>
      <c r="N33" s="1396"/>
      <c r="O33" s="1346"/>
      <c r="P33" s="1346"/>
      <c r="Q33" s="1335"/>
      <c r="R33" s="1346"/>
      <c r="S33" s="1247"/>
      <c r="T33" s="1247"/>
      <c r="U33" s="1258"/>
      <c r="V33" s="1318"/>
      <c r="W33" s="1258"/>
      <c r="X33" s="1258"/>
      <c r="Y33" s="1379"/>
      <c r="Z33" s="1379"/>
      <c r="AA33" s="1258"/>
      <c r="AB33" s="1323"/>
      <c r="AC33" s="1323"/>
      <c r="AD33" s="1323"/>
      <c r="AE33" s="1273"/>
      <c r="AF33" s="1258"/>
      <c r="AG33" s="1317"/>
      <c r="AH33" s="1317"/>
      <c r="AI33" s="1273"/>
      <c r="AJ33" s="1273"/>
      <c r="AK33" s="1258"/>
      <c r="AL33" s="1259"/>
      <c r="AM33" s="1258"/>
      <c r="AN33" s="1273"/>
      <c r="AO33" s="1258"/>
      <c r="AP33" s="1370"/>
      <c r="AQ33" s="1258"/>
      <c r="AR33" s="1258"/>
      <c r="AS33" s="1317"/>
      <c r="AT33" s="1317"/>
      <c r="AU33" s="1258"/>
      <c r="AV33" s="1258"/>
      <c r="AW33" s="1258"/>
      <c r="AX33" s="1258"/>
      <c r="AY33" s="1317"/>
      <c r="AZ33" s="1317"/>
      <c r="BA33" s="1317"/>
      <c r="BB33" s="1317"/>
      <c r="BC33" s="1317"/>
      <c r="BD33" s="1317"/>
      <c r="BE33" s="1399"/>
      <c r="BF33" s="1272"/>
      <c r="BG33" s="1247"/>
      <c r="BH33" s="1247"/>
      <c r="BI33" s="1337"/>
      <c r="BJ33" s="1272"/>
      <c r="BK33" s="1387"/>
      <c r="BL33" s="1394"/>
      <c r="BM33" s="1387"/>
    </row>
    <row r="34" spans="1:65" ht="17.25" customHeight="1" x14ac:dyDescent="0.25">
      <c r="A34" s="1400"/>
      <c r="B34" s="1327"/>
      <c r="C34" s="1358"/>
      <c r="D34" s="1364"/>
      <c r="E34" s="1401"/>
      <c r="F34" s="1401"/>
      <c r="G34" s="1401"/>
      <c r="H34" s="1401"/>
      <c r="I34" s="1402"/>
      <c r="J34" s="1273"/>
      <c r="K34" s="1395"/>
      <c r="L34" s="1403"/>
      <c r="M34" s="1404"/>
      <c r="N34" s="1396"/>
      <c r="O34" s="1258"/>
      <c r="P34" s="1258"/>
      <c r="Q34" s="1379"/>
      <c r="R34" s="1314"/>
      <c r="S34" s="1247"/>
      <c r="T34" s="1247"/>
      <c r="U34" s="1258"/>
      <c r="V34" s="1258"/>
      <c r="W34" s="1258"/>
      <c r="X34" s="1317"/>
      <c r="Y34" s="1379"/>
      <c r="Z34" s="1379"/>
      <c r="AA34" s="1259"/>
      <c r="AB34" s="1258"/>
      <c r="AC34" s="1258"/>
      <c r="AD34" s="1323"/>
      <c r="AE34" s="1273"/>
      <c r="AF34" s="1405"/>
      <c r="AG34" s="1405"/>
      <c r="AH34" s="1405"/>
      <c r="AI34" s="1273"/>
      <c r="AJ34" s="1273"/>
      <c r="AK34" s="1258"/>
      <c r="AL34" s="1259"/>
      <c r="AM34" s="1258"/>
      <c r="AN34" s="1258"/>
      <c r="AO34" s="1258"/>
      <c r="AP34" s="1257"/>
      <c r="AQ34" s="1257"/>
      <c r="AR34" s="1257"/>
      <c r="AS34" s="1257"/>
      <c r="AT34" s="1257"/>
      <c r="AU34" s="1258"/>
      <c r="AV34" s="1258"/>
      <c r="AW34" s="1299"/>
      <c r="AX34" s="1299"/>
      <c r="AY34" s="1299"/>
      <c r="AZ34" s="1258"/>
      <c r="BA34" s="1299"/>
      <c r="BB34" s="1399"/>
      <c r="BC34" s="1399"/>
      <c r="BD34" s="1317"/>
      <c r="BE34" s="1299"/>
      <c r="BF34" s="1361"/>
      <c r="BG34" s="1273"/>
      <c r="BH34" s="1273"/>
      <c r="BI34" s="1371"/>
      <c r="BJ34" s="1272"/>
      <c r="BK34" s="1387"/>
      <c r="BL34" s="1387"/>
      <c r="BM34" s="1387"/>
    </row>
    <row r="35" spans="1:65" ht="17.25" customHeight="1" x14ac:dyDescent="0.25">
      <c r="A35" s="1400"/>
      <c r="B35" s="1258"/>
      <c r="C35" s="1258"/>
      <c r="D35" s="1364"/>
      <c r="E35" s="1310"/>
      <c r="F35" s="1310"/>
      <c r="G35" s="1310"/>
      <c r="H35" s="1310"/>
      <c r="I35" s="1362"/>
      <c r="J35" s="1273"/>
      <c r="K35" s="1395"/>
      <c r="L35" s="1403"/>
      <c r="M35" s="1404"/>
      <c r="N35" s="1396"/>
      <c r="O35" s="1258"/>
      <c r="P35" s="1258"/>
      <c r="Q35" s="1314"/>
      <c r="R35" s="1314"/>
      <c r="S35" s="1247"/>
      <c r="T35" s="1247"/>
      <c r="U35" s="1317"/>
      <c r="V35" s="1317"/>
      <c r="W35" s="1317"/>
      <c r="X35" s="1317"/>
      <c r="Y35" s="1258"/>
      <c r="Z35" s="1323"/>
      <c r="AA35" s="1259"/>
      <c r="AB35" s="1323"/>
      <c r="AC35" s="1323"/>
      <c r="AD35" s="1273"/>
      <c r="AE35" s="1273"/>
      <c r="AF35" s="1258"/>
      <c r="AG35" s="1258"/>
      <c r="AH35" s="1258"/>
      <c r="AI35" s="1273"/>
      <c r="AJ35" s="1273"/>
      <c r="AK35" s="1258"/>
      <c r="AL35" s="1259"/>
      <c r="AM35" s="1258"/>
      <c r="AN35" s="1258"/>
      <c r="AO35" s="1258"/>
      <c r="AP35" s="1257"/>
      <c r="AQ35" s="1257"/>
      <c r="AR35" s="1257"/>
      <c r="AS35" s="1257"/>
      <c r="AT35" s="1257"/>
      <c r="AU35" s="1258"/>
      <c r="AV35" s="1258"/>
      <c r="AW35" s="1299"/>
      <c r="AX35" s="1299"/>
      <c r="AY35" s="1299"/>
      <c r="AZ35" s="1258"/>
      <c r="BA35" s="1299"/>
      <c r="BB35" s="1399"/>
      <c r="BC35" s="1399"/>
      <c r="BD35" s="1317"/>
      <c r="BE35" s="1299"/>
      <c r="BF35" s="1361"/>
      <c r="BG35" s="1273"/>
      <c r="BH35" s="1273"/>
      <c r="BI35" s="1371"/>
      <c r="BJ35" s="1406"/>
      <c r="BK35" s="1247"/>
      <c r="BL35" s="1247"/>
      <c r="BM35" s="1247"/>
    </row>
    <row r="36" spans="1:65" ht="17.25" customHeight="1" thickBot="1" x14ac:dyDescent="0.3">
      <c r="A36" s="1407"/>
      <c r="B36" s="1258"/>
      <c r="C36" s="1273"/>
      <c r="D36" s="1292"/>
      <c r="E36" s="1408"/>
      <c r="F36" s="1408"/>
      <c r="G36" s="1408"/>
      <c r="H36" s="1408"/>
      <c r="I36" s="1329"/>
      <c r="J36" s="1258"/>
      <c r="K36" s="1395"/>
      <c r="L36" s="1403"/>
      <c r="M36" s="1404"/>
      <c r="N36" s="1409"/>
      <c r="O36" s="1258"/>
      <c r="P36" s="1258"/>
      <c r="Q36" s="1317"/>
      <c r="R36" s="1317"/>
      <c r="S36" s="1247"/>
      <c r="T36" s="1247"/>
      <c r="U36" s="1317"/>
      <c r="V36" s="1317"/>
      <c r="W36" s="1317"/>
      <c r="X36" s="1317"/>
      <c r="Y36" s="1258"/>
      <c r="Z36" s="1273"/>
      <c r="AA36" s="1247"/>
      <c r="AB36" s="1273"/>
      <c r="AC36" s="1410"/>
      <c r="AD36" s="1410"/>
      <c r="AE36" s="1410"/>
      <c r="AF36" s="1317"/>
      <c r="AG36" s="1258"/>
      <c r="AH36" s="1258"/>
      <c r="AI36" s="1273"/>
      <c r="AJ36" s="1258"/>
      <c r="AK36" s="1258"/>
      <c r="AL36" s="1346"/>
      <c r="AM36" s="1258"/>
      <c r="AN36" s="1317"/>
      <c r="AO36" s="1258"/>
      <c r="AP36" s="1317"/>
      <c r="AQ36" s="1317"/>
      <c r="AR36" s="1317"/>
      <c r="AS36" s="1317"/>
      <c r="AT36" s="1317"/>
      <c r="AU36" s="1258"/>
      <c r="AV36" s="1291"/>
      <c r="AW36" s="1258"/>
      <c r="AX36" s="1258"/>
      <c r="AY36" s="1258"/>
      <c r="AZ36" s="1258"/>
      <c r="BA36" s="1258"/>
      <c r="BB36" s="1258"/>
      <c r="BC36" s="1258"/>
      <c r="BD36" s="1317"/>
      <c r="BE36" s="1299"/>
      <c r="BF36" s="1361"/>
      <c r="BG36" s="1273"/>
      <c r="BH36" s="1273"/>
      <c r="BI36" s="1371"/>
      <c r="BJ36" s="1272"/>
      <c r="BK36" s="1411"/>
      <c r="BL36" s="1247"/>
      <c r="BM36" s="1247"/>
    </row>
    <row r="37" spans="1:65" ht="17.25" customHeight="1" x14ac:dyDescent="0.25">
      <c r="A37" s="1412"/>
      <c r="B37" s="1273"/>
      <c r="C37" s="1413"/>
      <c r="D37" s="1414"/>
      <c r="E37" s="1296"/>
      <c r="F37" s="1296"/>
      <c r="G37" s="1296"/>
      <c r="H37" s="1296"/>
      <c r="I37" s="1415"/>
      <c r="J37" s="1258"/>
      <c r="K37" s="1395"/>
      <c r="L37" s="1403"/>
      <c r="M37" s="1404"/>
      <c r="N37" s="1409"/>
      <c r="O37" s="1292"/>
      <c r="P37" s="1258"/>
      <c r="Q37" s="1314"/>
      <c r="R37" s="1317"/>
      <c r="S37" s="1247"/>
      <c r="T37" s="1247"/>
      <c r="U37" s="1317"/>
      <c r="V37" s="1370"/>
      <c r="W37" s="1370"/>
      <c r="X37" s="1370"/>
      <c r="Y37" s="1258"/>
      <c r="Z37" s="1370"/>
      <c r="AA37" s="1259"/>
      <c r="AB37" s="1273"/>
      <c r="AC37" s="1258"/>
      <c r="AD37" s="1416"/>
      <c r="AE37" s="1258"/>
      <c r="AF37" s="1317"/>
      <c r="AG37" s="1258"/>
      <c r="AH37" s="1258"/>
      <c r="AI37" s="1273"/>
      <c r="AJ37" s="1258"/>
      <c r="AK37" s="1258"/>
      <c r="AL37" s="1346"/>
      <c r="AM37" s="1416"/>
      <c r="AN37" s="1314"/>
      <c r="AO37" s="1258"/>
      <c r="AP37" s="1314"/>
      <c r="AQ37" s="1317"/>
      <c r="AR37" s="1317"/>
      <c r="AS37" s="1317"/>
      <c r="AT37" s="1317"/>
      <c r="AU37" s="1317"/>
      <c r="AV37" s="1317"/>
      <c r="AW37" s="1258"/>
      <c r="AX37" s="1258"/>
      <c r="AY37" s="1258"/>
      <c r="AZ37" s="1258"/>
      <c r="BA37" s="1258"/>
      <c r="BB37" s="1258"/>
      <c r="BC37" s="1258"/>
      <c r="BD37" s="1317"/>
      <c r="BE37" s="1299"/>
      <c r="BF37" s="1361"/>
      <c r="BG37" s="1354"/>
      <c r="BH37" s="1273"/>
      <c r="BI37" s="1371"/>
      <c r="BJ37" s="1272"/>
      <c r="BK37" s="1411"/>
      <c r="BL37" s="1247"/>
      <c r="BM37" s="1247"/>
    </row>
    <row r="38" spans="1:65" ht="17.25" customHeight="1" thickBot="1" x14ac:dyDescent="0.3">
      <c r="A38" s="1299"/>
      <c r="B38" s="1273"/>
      <c r="C38" s="1413"/>
      <c r="D38" s="1414"/>
      <c r="E38" s="1296"/>
      <c r="F38" s="1296"/>
      <c r="G38" s="1296"/>
      <c r="H38" s="1296"/>
      <c r="I38" s="1415"/>
      <c r="J38" s="1258"/>
      <c r="K38" s="1395"/>
      <c r="L38" s="1403"/>
      <c r="M38" s="1404"/>
      <c r="N38" s="1417"/>
      <c r="O38" s="1312"/>
      <c r="P38" s="1258"/>
      <c r="Q38" s="1258"/>
      <c r="R38" s="1317"/>
      <c r="S38" s="1247"/>
      <c r="T38" s="1247"/>
      <c r="U38" s="1376"/>
      <c r="V38" s="1418"/>
      <c r="W38" s="1418"/>
      <c r="X38" s="1418"/>
      <c r="Y38" s="1329"/>
      <c r="Z38" s="1258"/>
      <c r="AA38" s="1259"/>
      <c r="AB38" s="1273"/>
      <c r="AC38" s="1376"/>
      <c r="AD38" s="1419"/>
      <c r="AE38" s="1416"/>
      <c r="AF38" s="1314"/>
      <c r="AG38" s="1258"/>
      <c r="AH38" s="1258"/>
      <c r="AI38" s="1313"/>
      <c r="AJ38" s="1318"/>
      <c r="AK38" s="1258"/>
      <c r="AL38" s="1259"/>
      <c r="AM38" s="1258"/>
      <c r="AN38" s="1258"/>
      <c r="AO38" s="1318"/>
      <c r="AP38" s="1258"/>
      <c r="AQ38" s="1420"/>
      <c r="AR38" s="1314"/>
      <c r="AS38" s="1299"/>
      <c r="AT38" s="1299"/>
      <c r="AU38" s="1299"/>
      <c r="AV38" s="1299"/>
      <c r="AW38" s="1258"/>
      <c r="AX38" s="1257"/>
      <c r="AY38" s="1257"/>
      <c r="AZ38" s="1258"/>
      <c r="BA38" s="1380"/>
      <c r="BB38" s="1380"/>
      <c r="BC38" s="1380"/>
      <c r="BD38" s="1317"/>
      <c r="BE38" s="1291"/>
      <c r="BF38" s="1361"/>
      <c r="BG38" s="1273"/>
      <c r="BH38" s="1273"/>
      <c r="BI38" s="1371"/>
      <c r="BJ38" s="1406"/>
      <c r="BK38" s="1247"/>
      <c r="BL38" s="1247"/>
      <c r="BM38" s="1247"/>
    </row>
    <row r="39" spans="1:65" ht="17.25" customHeight="1" x14ac:dyDescent="0.25">
      <c r="A39" s="1299"/>
      <c r="B39" s="1273"/>
      <c r="C39" s="1421"/>
      <c r="D39" s="1291"/>
      <c r="E39" s="1408"/>
      <c r="F39" s="1408"/>
      <c r="G39" s="1408"/>
      <c r="H39" s="1408"/>
      <c r="I39" s="1422"/>
      <c r="J39" s="1258"/>
      <c r="K39" s="1395"/>
      <c r="L39" s="1403"/>
      <c r="M39" s="1423"/>
      <c r="N39" s="1424"/>
      <c r="O39" s="1294"/>
      <c r="P39" s="1425"/>
      <c r="Q39" s="1317"/>
      <c r="R39" s="1317"/>
      <c r="S39" s="1247"/>
      <c r="T39" s="1247"/>
      <c r="U39" s="1293"/>
      <c r="V39" s="1296"/>
      <c r="W39" s="1296"/>
      <c r="X39" s="1296"/>
      <c r="Y39" s="1426"/>
      <c r="Z39" s="1258"/>
      <c r="AA39" s="1259"/>
      <c r="AB39" s="1273"/>
      <c r="AC39" s="1419"/>
      <c r="AD39" s="1296"/>
      <c r="AE39" s="1419"/>
      <c r="AF39" s="1258"/>
      <c r="AG39" s="1258"/>
      <c r="AH39" s="1258"/>
      <c r="AI39" s="1318"/>
      <c r="AJ39" s="1427"/>
      <c r="AK39" s="1318"/>
      <c r="AL39" s="1259"/>
      <c r="AM39" s="1258"/>
      <c r="AN39" s="1318"/>
      <c r="AO39" s="1317"/>
      <c r="AP39" s="1318"/>
      <c r="AQ39" s="1258"/>
      <c r="AR39" s="1314"/>
      <c r="AS39" s="1299"/>
      <c r="AT39" s="1299"/>
      <c r="AU39" s="1299"/>
      <c r="AV39" s="1299"/>
      <c r="AW39" s="1258"/>
      <c r="AX39" s="1257"/>
      <c r="AY39" s="1257"/>
      <c r="AZ39" s="1258"/>
      <c r="BA39" s="1380"/>
      <c r="BB39" s="1380"/>
      <c r="BC39" s="1380"/>
      <c r="BD39" s="1317"/>
      <c r="BE39" s="1428"/>
      <c r="BF39" s="1361"/>
      <c r="BG39" s="1273"/>
      <c r="BH39" s="1273"/>
      <c r="BI39" s="1371"/>
      <c r="BJ39" s="1272"/>
      <c r="BK39" s="1247"/>
      <c r="BL39" s="1247"/>
      <c r="BM39" s="1247"/>
    </row>
    <row r="40" spans="1:65" ht="17.25" customHeight="1" thickBot="1" x14ac:dyDescent="0.3">
      <c r="A40" s="1429"/>
      <c r="B40" s="1273"/>
      <c r="C40" s="1421"/>
      <c r="D40" s="1364"/>
      <c r="E40" s="1310"/>
      <c r="F40" s="1310"/>
      <c r="G40" s="1310"/>
      <c r="H40" s="1310"/>
      <c r="I40" s="1364"/>
      <c r="J40" s="1273"/>
      <c r="K40" s="1395"/>
      <c r="L40" s="1403"/>
      <c r="M40" s="1423"/>
      <c r="N40" s="1424"/>
      <c r="O40" s="1294"/>
      <c r="P40" s="1324"/>
      <c r="Q40" s="1314"/>
      <c r="R40" s="1314"/>
      <c r="S40" s="1247"/>
      <c r="T40" s="1247"/>
      <c r="U40" s="1293"/>
      <c r="V40" s="1296"/>
      <c r="W40" s="1296"/>
      <c r="X40" s="1296"/>
      <c r="Y40" s="1430"/>
      <c r="Z40" s="1258"/>
      <c r="AA40" s="1259"/>
      <c r="AB40" s="1419"/>
      <c r="AC40" s="1296"/>
      <c r="AD40" s="1419"/>
      <c r="AE40" s="1296"/>
      <c r="AF40" s="1419"/>
      <c r="AG40" s="1258"/>
      <c r="AH40" s="1258"/>
      <c r="AI40" s="1258"/>
      <c r="AJ40" s="1318"/>
      <c r="AK40" s="1258"/>
      <c r="AL40" s="1259"/>
      <c r="AM40" s="1258"/>
      <c r="AN40" s="1258"/>
      <c r="AO40" s="1318"/>
      <c r="AP40" s="1258"/>
      <c r="AQ40" s="1258"/>
      <c r="AR40" s="1314"/>
      <c r="AS40" s="1317"/>
      <c r="AT40" s="1317"/>
      <c r="AU40" s="1317"/>
      <c r="AV40" s="1317"/>
      <c r="AW40" s="1258"/>
      <c r="AX40" s="1258"/>
      <c r="AY40" s="1258"/>
      <c r="AZ40" s="1258"/>
      <c r="BA40" s="1258"/>
      <c r="BB40" s="1258"/>
      <c r="BC40" s="1258"/>
      <c r="BD40" s="1258"/>
      <c r="BE40" s="1428"/>
      <c r="BF40" s="1361"/>
      <c r="BG40" s="1273"/>
      <c r="BH40" s="1273"/>
      <c r="BI40" s="1371"/>
      <c r="BJ40" s="1272"/>
      <c r="BK40" s="1247"/>
      <c r="BL40" s="1247"/>
      <c r="BM40" s="1247"/>
    </row>
    <row r="41" spans="1:65" ht="17.25" customHeight="1" x14ac:dyDescent="0.25">
      <c r="A41" s="1379"/>
      <c r="B41" s="1273"/>
      <c r="C41" s="1421"/>
      <c r="D41" s="1273"/>
      <c r="E41" s="1312"/>
      <c r="F41" s="1312"/>
      <c r="G41" s="1312"/>
      <c r="H41" s="1312"/>
      <c r="I41" s="1312"/>
      <c r="J41" s="1273"/>
      <c r="K41" s="1431"/>
      <c r="L41" s="1403"/>
      <c r="M41" s="1423"/>
      <c r="N41" s="1424"/>
      <c r="O41" s="1294"/>
      <c r="P41" s="1324"/>
      <c r="Q41" s="1317"/>
      <c r="R41" s="1317"/>
      <c r="S41" s="1247"/>
      <c r="T41" s="1247"/>
      <c r="U41" s="1291"/>
      <c r="V41" s="1418"/>
      <c r="W41" s="1418"/>
      <c r="X41" s="1418"/>
      <c r="Y41" s="1432"/>
      <c r="Z41" s="1258"/>
      <c r="AA41" s="1259"/>
      <c r="AB41" s="1258"/>
      <c r="AC41" s="1419"/>
      <c r="AD41" s="1296"/>
      <c r="AE41" s="1419"/>
      <c r="AF41" s="1433"/>
      <c r="AG41" s="1258"/>
      <c r="AH41" s="1258"/>
      <c r="AI41" s="1273"/>
      <c r="AJ41" s="1258"/>
      <c r="AK41" s="1258"/>
      <c r="AL41" s="1259"/>
      <c r="AM41" s="1258"/>
      <c r="AN41" s="1258"/>
      <c r="AO41" s="1420"/>
      <c r="AP41" s="1258"/>
      <c r="AQ41" s="1258"/>
      <c r="AR41" s="1314"/>
      <c r="AS41" s="1346"/>
      <c r="AT41" s="1346"/>
      <c r="AU41" s="1346"/>
      <c r="AV41" s="1259"/>
      <c r="AW41" s="1258"/>
      <c r="AX41" s="1258"/>
      <c r="AY41" s="1258"/>
      <c r="AZ41" s="1258"/>
      <c r="BA41" s="1317"/>
      <c r="BB41" s="1317"/>
      <c r="BC41" s="1317"/>
      <c r="BD41" s="1317"/>
      <c r="BE41" s="1428"/>
      <c r="BF41" s="1361"/>
      <c r="BG41" s="1273"/>
      <c r="BH41" s="1273"/>
      <c r="BI41" s="1371"/>
      <c r="BJ41" s="1272"/>
      <c r="BK41" s="1247"/>
      <c r="BL41" s="1247"/>
      <c r="BM41" s="1247"/>
    </row>
    <row r="42" spans="1:65" ht="17.25" customHeight="1" thickBot="1" x14ac:dyDescent="0.3">
      <c r="A42" s="1434"/>
      <c r="B42" s="1273"/>
      <c r="C42" s="1421"/>
      <c r="D42" s="1273"/>
      <c r="E42" s="1310"/>
      <c r="F42" s="1310"/>
      <c r="G42" s="1310"/>
      <c r="H42" s="1310"/>
      <c r="I42" s="1310"/>
      <c r="J42" s="1273"/>
      <c r="K42" s="1431"/>
      <c r="L42" s="1403"/>
      <c r="M42" s="1423"/>
      <c r="N42" s="1435"/>
      <c r="O42" s="1436"/>
      <c r="P42" s="1437"/>
      <c r="Q42" s="1317"/>
      <c r="R42" s="1317"/>
      <c r="S42" s="1247"/>
      <c r="T42" s="1247"/>
      <c r="U42" s="1370"/>
      <c r="V42" s="1370"/>
      <c r="W42" s="1370"/>
      <c r="X42" s="1370"/>
      <c r="Y42" s="1273"/>
      <c r="Z42" s="1258"/>
      <c r="AA42" s="1258"/>
      <c r="AB42" s="1364"/>
      <c r="AC42" s="1291"/>
      <c r="AD42" s="1419"/>
      <c r="AE42" s="1258"/>
      <c r="AF42" s="1258"/>
      <c r="AG42" s="1258"/>
      <c r="AH42" s="1258"/>
      <c r="AI42" s="1258"/>
      <c r="AJ42" s="1364"/>
      <c r="AK42" s="1416"/>
      <c r="AL42" s="1346"/>
      <c r="AM42" s="1258"/>
      <c r="AN42" s="1314"/>
      <c r="AO42" s="1258"/>
      <c r="AP42" s="1258"/>
      <c r="AQ42" s="1258"/>
      <c r="AR42" s="1258"/>
      <c r="AS42" s="1259"/>
      <c r="AT42" s="1259"/>
      <c r="AU42" s="1259"/>
      <c r="AV42" s="1335"/>
      <c r="AW42" s="1335"/>
      <c r="AX42" s="1259"/>
      <c r="AY42" s="1259"/>
      <c r="AZ42" s="1259"/>
      <c r="BA42" s="1259"/>
      <c r="BB42" s="1259"/>
      <c r="BC42" s="1259"/>
      <c r="BD42" s="1438"/>
      <c r="BE42" s="1428"/>
      <c r="BF42" s="1361"/>
      <c r="BG42" s="1273"/>
      <c r="BH42" s="1273"/>
      <c r="BI42" s="1371"/>
      <c r="BJ42" s="1272"/>
      <c r="BK42" s="1247"/>
      <c r="BL42" s="1247"/>
      <c r="BM42" s="1247"/>
    </row>
    <row r="43" spans="1:65" ht="17.25" customHeight="1" x14ac:dyDescent="0.25">
      <c r="A43" s="1292"/>
      <c r="B43" s="1258"/>
      <c r="C43" s="1421"/>
      <c r="D43" s="1292"/>
      <c r="E43" s="1408"/>
      <c r="F43" s="1408"/>
      <c r="G43" s="1408"/>
      <c r="H43" s="1408"/>
      <c r="I43" s="1408"/>
      <c r="J43" s="1329"/>
      <c r="K43" s="1431"/>
      <c r="L43" s="1317"/>
      <c r="M43" s="1317"/>
      <c r="N43" s="1317"/>
      <c r="O43" s="1439"/>
      <c r="P43" s="1439"/>
      <c r="Q43" s="1440"/>
      <c r="R43" s="1441"/>
      <c r="S43" s="1247"/>
      <c r="T43" s="1442"/>
      <c r="U43" s="1317"/>
      <c r="V43" s="1443"/>
      <c r="W43" s="1443"/>
      <c r="X43" s="1443"/>
      <c r="Y43" s="1288"/>
      <c r="Z43" s="1258"/>
      <c r="AA43" s="1258"/>
      <c r="AB43" s="1364"/>
      <c r="AC43" s="1416"/>
      <c r="AD43" s="1416"/>
      <c r="AE43" s="1258"/>
      <c r="AF43" s="1314"/>
      <c r="AG43" s="1370"/>
      <c r="AH43" s="1258"/>
      <c r="AI43" s="1258"/>
      <c r="AJ43" s="1364"/>
      <c r="AK43" s="1317"/>
      <c r="AL43" s="1346"/>
      <c r="AM43" s="1346"/>
      <c r="AN43" s="1444"/>
      <c r="AP43" s="1259"/>
      <c r="AQ43" s="1444"/>
      <c r="AR43" s="1444"/>
      <c r="AS43" s="1444"/>
      <c r="AT43" s="1444"/>
      <c r="AU43" s="1273"/>
      <c r="AV43" s="1273"/>
      <c r="AW43" s="1273"/>
      <c r="AX43" s="1273"/>
      <c r="AY43" s="1273"/>
      <c r="AZ43" s="1273"/>
      <c r="BA43" s="1247"/>
      <c r="BB43" s="1247"/>
      <c r="BC43" s="1247"/>
      <c r="BD43" s="1247"/>
      <c r="BE43" s="1428"/>
      <c r="BF43" s="1361"/>
      <c r="BG43" s="1273"/>
      <c r="BH43" s="1273"/>
      <c r="BI43" s="1371"/>
      <c r="BJ43" s="1272"/>
      <c r="BK43" s="1247"/>
      <c r="BL43" s="1247"/>
      <c r="BM43" s="1247"/>
    </row>
    <row r="44" spans="1:65" ht="17.25" customHeight="1" x14ac:dyDescent="0.25">
      <c r="A44" s="1417"/>
      <c r="B44" s="1312"/>
      <c r="C44" s="1413"/>
      <c r="D44" s="1445"/>
      <c r="E44" s="1296"/>
      <c r="F44" s="1296"/>
      <c r="G44" s="1296"/>
      <c r="H44" s="1296"/>
      <c r="I44" s="1296"/>
      <c r="J44" s="1446"/>
      <c r="K44" s="1447"/>
      <c r="L44" s="1273"/>
      <c r="M44" s="1273"/>
      <c r="N44" s="1364"/>
      <c r="O44" s="1258"/>
      <c r="P44" s="1258"/>
      <c r="Q44" s="1448"/>
      <c r="R44" s="1449"/>
      <c r="S44" s="1442"/>
      <c r="T44" s="1247"/>
      <c r="U44" s="1273"/>
      <c r="V44" s="1364"/>
      <c r="W44" s="1312"/>
      <c r="X44" s="1312"/>
      <c r="Y44" s="1312"/>
      <c r="Z44" s="1312"/>
      <c r="AA44" s="1364"/>
      <c r="AB44" s="1450"/>
      <c r="AC44" s="1450"/>
      <c r="AD44" s="1450"/>
      <c r="AE44" s="1450"/>
      <c r="AF44" s="1364"/>
      <c r="AG44" s="1364"/>
      <c r="AH44" s="1364"/>
      <c r="AI44" s="1364"/>
      <c r="AJ44" s="1364"/>
      <c r="AK44" s="1273"/>
      <c r="AL44" s="1444"/>
      <c r="AM44" s="1444"/>
      <c r="AN44" s="1451"/>
      <c r="AO44" s="1451"/>
      <c r="AP44" s="1451"/>
      <c r="AQ44" s="1259"/>
      <c r="AR44" s="1259"/>
      <c r="AS44" s="1259"/>
      <c r="AT44" s="1247"/>
      <c r="AU44" s="1273"/>
      <c r="AV44" s="1452"/>
      <c r="AW44" s="1452"/>
      <c r="AX44" s="1452"/>
      <c r="AY44" s="1273"/>
      <c r="AZ44" s="1273"/>
      <c r="BA44" s="1247"/>
      <c r="BB44" s="1247"/>
      <c r="BC44" s="1247"/>
      <c r="BD44" s="1247"/>
      <c r="BE44" s="1428"/>
      <c r="BF44" s="1361"/>
      <c r="BG44" s="1273"/>
      <c r="BH44" s="1273"/>
      <c r="BI44" s="1371"/>
      <c r="BJ44" s="1272"/>
      <c r="BK44" s="1247"/>
      <c r="BL44" s="1247"/>
      <c r="BM44" s="1247"/>
    </row>
    <row r="45" spans="1:65" ht="17.25" customHeight="1" thickBot="1" x14ac:dyDescent="0.3">
      <c r="A45" s="1419"/>
      <c r="B45" s="1292"/>
      <c r="C45" s="1413"/>
      <c r="D45" s="1445"/>
      <c r="E45" s="1296"/>
      <c r="F45" s="1296"/>
      <c r="G45" s="1296"/>
      <c r="H45" s="1296"/>
      <c r="I45" s="1296"/>
      <c r="J45" s="1446"/>
      <c r="K45" s="1447"/>
      <c r="L45" s="1273"/>
      <c r="M45" s="1273"/>
      <c r="N45" s="1364"/>
      <c r="O45" s="1273"/>
      <c r="P45" s="1314"/>
      <c r="Q45" s="1453"/>
      <c r="R45" s="1454"/>
      <c r="S45" s="1442"/>
      <c r="T45" s="1247"/>
      <c r="U45" s="1273"/>
      <c r="V45" s="1258"/>
      <c r="W45" s="1310"/>
      <c r="X45" s="1310"/>
      <c r="Y45" s="1310"/>
      <c r="Z45" s="1310"/>
      <c r="AA45" s="1455"/>
      <c r="AB45" s="1310"/>
      <c r="AC45" s="1310"/>
      <c r="AD45" s="1310"/>
      <c r="AE45" s="1310"/>
      <c r="AF45" s="1363"/>
      <c r="AG45" s="1314"/>
      <c r="AH45" s="1314"/>
      <c r="AI45" s="1314"/>
      <c r="AJ45" s="1314"/>
      <c r="AK45" s="1258"/>
      <c r="AL45" s="1259"/>
      <c r="AM45" s="1259"/>
      <c r="AN45" s="1258"/>
      <c r="AO45" s="1258"/>
      <c r="AP45" s="1258"/>
      <c r="AQ45" s="1258"/>
      <c r="AR45" s="1259"/>
      <c r="AS45" s="1259"/>
      <c r="AT45" s="1259"/>
      <c r="AU45" s="1258"/>
      <c r="AV45" s="1456"/>
      <c r="AW45" s="1288"/>
      <c r="AX45" s="1456"/>
      <c r="AY45" s="1317"/>
      <c r="AZ45" s="1273"/>
      <c r="BA45" s="1247"/>
      <c r="BB45" s="1247"/>
      <c r="BC45" s="1247"/>
      <c r="BD45" s="1247"/>
      <c r="BE45" s="1457"/>
      <c r="BF45" s="1382"/>
      <c r="BG45" s="1383"/>
      <c r="BH45" s="1383"/>
      <c r="BI45" s="1384"/>
      <c r="BJ45" s="1272"/>
      <c r="BK45" s="1247"/>
      <c r="BL45" s="1247"/>
      <c r="BM45" s="1247"/>
    </row>
    <row r="46" spans="1:65" ht="17.25" customHeight="1" thickBot="1" x14ac:dyDescent="0.3">
      <c r="A46" s="1296"/>
      <c r="B46" s="1294"/>
      <c r="C46" s="1425"/>
      <c r="D46" s="1291"/>
      <c r="E46" s="1408"/>
      <c r="F46" s="1408"/>
      <c r="G46" s="1408"/>
      <c r="H46" s="1408"/>
      <c r="I46" s="1408"/>
      <c r="J46" s="1364"/>
      <c r="K46" s="1458"/>
      <c r="L46" s="1247"/>
      <c r="M46" s="1247"/>
      <c r="N46" s="1444"/>
      <c r="O46" s="1247"/>
      <c r="P46" s="1335"/>
      <c r="Q46" s="1459"/>
      <c r="R46" s="1259"/>
      <c r="S46" s="1442"/>
      <c r="T46" s="1247"/>
      <c r="U46" s="1273"/>
      <c r="V46" s="1292"/>
      <c r="W46" s="1352"/>
      <c r="X46" s="1352"/>
      <c r="Y46" s="1352"/>
      <c r="Z46" s="1352"/>
      <c r="AA46" s="1292"/>
      <c r="AB46" s="1460"/>
      <c r="AC46" s="1460"/>
      <c r="AD46" s="1460"/>
      <c r="AE46" s="1460"/>
      <c r="AF46" s="1329"/>
      <c r="AG46" s="1314"/>
      <c r="AH46" s="1317"/>
      <c r="AI46" s="1461"/>
      <c r="AJ46" s="1461"/>
      <c r="AK46" s="1461"/>
      <c r="AL46" s="1259"/>
      <c r="AM46" s="1259"/>
      <c r="AN46" s="1258"/>
      <c r="AO46" s="1258"/>
      <c r="AP46" s="1258"/>
      <c r="AQ46" s="1258"/>
      <c r="AR46" s="1259"/>
      <c r="AS46" s="1259"/>
      <c r="AT46" s="1259"/>
      <c r="AU46" s="1329"/>
      <c r="AV46" s="1293"/>
      <c r="AW46" s="1293"/>
      <c r="AX46" s="1293"/>
      <c r="AY46" s="1292"/>
      <c r="AZ46" s="1273"/>
      <c r="BA46" s="1247"/>
      <c r="BB46" s="1247"/>
      <c r="BC46" s="1247"/>
      <c r="BD46" s="1247"/>
      <c r="BE46" s="1259"/>
      <c r="BF46" s="1462"/>
      <c r="BG46" s="1463"/>
      <c r="BH46" s="1463"/>
      <c r="BI46" s="1464"/>
      <c r="BJ46" s="1272"/>
      <c r="BK46" s="1247"/>
      <c r="BL46" s="1247"/>
      <c r="BM46" s="1247"/>
    </row>
    <row r="47" spans="1:65" ht="17.25" customHeight="1" thickBot="1" x14ac:dyDescent="0.3">
      <c r="A47" s="1296"/>
      <c r="B47" s="1294"/>
      <c r="C47" s="1324"/>
      <c r="D47" s="1465"/>
      <c r="E47" s="1310"/>
      <c r="F47" s="1310"/>
      <c r="G47" s="1310"/>
      <c r="H47" s="1310"/>
      <c r="I47" s="1310"/>
      <c r="J47" s="1273"/>
      <c r="K47" s="1273"/>
      <c r="L47" s="1247"/>
      <c r="M47" s="1247"/>
      <c r="N47" s="1247"/>
      <c r="O47" s="1346"/>
      <c r="P47" s="1466"/>
      <c r="Q47" s="1467"/>
      <c r="R47" s="1259"/>
      <c r="S47" s="1442"/>
      <c r="T47" s="1247"/>
      <c r="U47" s="1273"/>
      <c r="V47" s="1310"/>
      <c r="W47" s="1296"/>
      <c r="X47" s="1296"/>
      <c r="Y47" s="1296"/>
      <c r="Z47" s="1296"/>
      <c r="AA47" s="1388"/>
      <c r="AB47" s="1296"/>
      <c r="AC47" s="1296"/>
      <c r="AD47" s="1296"/>
      <c r="AE47" s="1296"/>
      <c r="AF47" s="1388"/>
      <c r="AG47" s="1259"/>
      <c r="AH47" s="1259"/>
      <c r="AI47" s="1318"/>
      <c r="AJ47" s="1318"/>
      <c r="AK47" s="1318"/>
      <c r="AL47" s="1259"/>
      <c r="AM47" s="1259"/>
      <c r="AN47" s="1258"/>
      <c r="AO47" s="1258"/>
      <c r="AP47" s="1318"/>
      <c r="AQ47" s="1258"/>
      <c r="AR47" s="1259"/>
      <c r="AS47" s="1259"/>
      <c r="AT47" s="1259"/>
      <c r="AU47" s="1293"/>
      <c r="AV47" s="1296"/>
      <c r="AW47" s="1296"/>
      <c r="AX47" s="1296"/>
      <c r="AY47" s="1293"/>
      <c r="AZ47" s="1273"/>
      <c r="BA47" s="1247"/>
      <c r="BB47" s="1247"/>
      <c r="BC47" s="1247"/>
      <c r="BD47" s="1247"/>
      <c r="BE47" s="1457"/>
      <c r="BF47" s="1468"/>
      <c r="BG47" s="1469"/>
      <c r="BH47" s="1469"/>
      <c r="BI47" s="1470"/>
      <c r="BJ47" s="1272"/>
      <c r="BK47" s="1247"/>
      <c r="BL47" s="1247"/>
      <c r="BM47" s="1247"/>
    </row>
    <row r="48" spans="1:65" ht="17.25" customHeight="1" x14ac:dyDescent="0.25">
      <c r="A48" s="1296"/>
      <c r="B48" s="1294"/>
      <c r="C48" s="1324"/>
      <c r="D48" s="1288"/>
      <c r="E48" s="1471"/>
      <c r="F48" s="1471"/>
      <c r="G48" s="1471"/>
      <c r="H48" s="1471"/>
      <c r="I48" s="1317"/>
      <c r="J48" s="1317"/>
      <c r="K48" s="1273"/>
      <c r="L48" s="1247"/>
      <c r="M48" s="1247"/>
      <c r="N48" s="1247"/>
      <c r="O48" s="1472"/>
      <c r="P48" s="1467"/>
      <c r="Q48" s="1473"/>
      <c r="R48" s="1259"/>
      <c r="S48" s="1442"/>
      <c r="T48" s="1247"/>
      <c r="U48" s="1273"/>
      <c r="V48" s="1310"/>
      <c r="W48" s="1296"/>
      <c r="X48" s="1296"/>
      <c r="Y48" s="1296"/>
      <c r="Z48" s="1296"/>
      <c r="AA48" s="1388"/>
      <c r="AB48" s="1296"/>
      <c r="AC48" s="1296"/>
      <c r="AD48" s="1296"/>
      <c r="AE48" s="1296"/>
      <c r="AF48" s="1388"/>
      <c r="AG48" s="1259"/>
      <c r="AH48" s="1259"/>
      <c r="AI48" s="1318"/>
      <c r="AJ48" s="1318"/>
      <c r="AK48" s="1318"/>
      <c r="AL48" s="1259"/>
      <c r="AM48" s="1259"/>
      <c r="AN48" s="1291"/>
      <c r="AO48" s="1318"/>
      <c r="AP48" s="1258"/>
      <c r="AQ48" s="1318"/>
      <c r="AR48" s="1259"/>
      <c r="AS48" s="1259"/>
      <c r="AT48" s="1259"/>
      <c r="AU48" s="1293"/>
      <c r="AV48" s="1296"/>
      <c r="AW48" s="1296"/>
      <c r="AX48" s="1296"/>
      <c r="AY48" s="1293"/>
      <c r="AZ48" s="1273"/>
      <c r="BA48" s="1247"/>
      <c r="BB48" s="1247"/>
      <c r="BC48" s="1247"/>
      <c r="BD48" s="1247"/>
      <c r="BE48" s="1457"/>
      <c r="BF48" s="1468"/>
      <c r="BG48" s="1469"/>
      <c r="BH48" s="1469"/>
      <c r="BI48" s="1470"/>
      <c r="BJ48" s="1272"/>
      <c r="BK48" s="1247"/>
      <c r="BL48" s="1247"/>
      <c r="BM48" s="1247"/>
    </row>
    <row r="49" spans="1:65" ht="17.25" customHeight="1" x14ac:dyDescent="0.25">
      <c r="A49" s="1296"/>
      <c r="B49" s="1294"/>
      <c r="C49" s="1324"/>
      <c r="D49" s="1288"/>
      <c r="E49" s="1310"/>
      <c r="F49" s="1310"/>
      <c r="G49" s="1310"/>
      <c r="H49" s="1310"/>
      <c r="I49" s="1310"/>
      <c r="J49" s="1317"/>
      <c r="K49" s="1273"/>
      <c r="L49" s="1247"/>
      <c r="M49" s="1247"/>
      <c r="N49" s="1259"/>
      <c r="O49" s="1472"/>
      <c r="P49" s="1467"/>
      <c r="Q49" s="1259"/>
      <c r="R49" s="1442"/>
      <c r="S49" s="1442"/>
      <c r="T49" s="1247"/>
      <c r="U49" s="1273"/>
      <c r="V49" s="1329"/>
      <c r="W49" s="1352"/>
      <c r="X49" s="1352"/>
      <c r="Y49" s="1352"/>
      <c r="Z49" s="1352"/>
      <c r="AA49" s="1291"/>
      <c r="AB49" s="1460"/>
      <c r="AC49" s="1460"/>
      <c r="AD49" s="1460"/>
      <c r="AE49" s="1460"/>
      <c r="AF49" s="1291"/>
      <c r="AG49" s="1346"/>
      <c r="AH49" s="1346"/>
      <c r="AI49" s="1291"/>
      <c r="AJ49" s="1258"/>
      <c r="AK49" s="1258"/>
      <c r="AL49" s="1259"/>
      <c r="AM49" s="1259"/>
      <c r="AN49" s="1258"/>
      <c r="AO49" s="1258"/>
      <c r="AP49" s="1318"/>
      <c r="AQ49" s="1258"/>
      <c r="AR49" s="1259"/>
      <c r="AS49" s="1259"/>
      <c r="AT49" s="1259"/>
      <c r="AU49" s="1258"/>
      <c r="AV49" s="1293"/>
      <c r="AW49" s="1293"/>
      <c r="AX49" s="1293"/>
      <c r="AY49" s="1317"/>
      <c r="AZ49" s="1273"/>
      <c r="BB49" s="1247"/>
      <c r="BC49" s="1247"/>
      <c r="BD49" s="1474"/>
      <c r="BE49" s="1273"/>
      <c r="BF49" s="1469"/>
      <c r="BG49" s="1469"/>
      <c r="BH49" s="1469"/>
      <c r="BI49" s="1470"/>
      <c r="BJ49" s="1272"/>
      <c r="BK49" s="1247"/>
      <c r="BL49" s="1247"/>
      <c r="BM49" s="1247"/>
    </row>
    <row r="50" spans="1:65" ht="17.25" customHeight="1" x14ac:dyDescent="0.25">
      <c r="A50" s="1419"/>
      <c r="B50" s="1429"/>
      <c r="C50" s="1324"/>
      <c r="D50" s="1292"/>
      <c r="E50" s="1327"/>
      <c r="F50" s="1327"/>
      <c r="G50" s="1327"/>
      <c r="H50" s="1327"/>
      <c r="I50" s="1310"/>
      <c r="J50" s="1317"/>
      <c r="K50" s="1273"/>
      <c r="L50" s="1247"/>
      <c r="M50" s="1247"/>
      <c r="N50" s="1259"/>
      <c r="O50" s="1472"/>
      <c r="P50" s="1467"/>
      <c r="Q50" s="1442"/>
      <c r="R50" s="1442"/>
      <c r="S50" s="1335"/>
      <c r="T50" s="1247"/>
      <c r="U50" s="1273"/>
      <c r="V50" s="1273"/>
      <c r="W50" s="1310"/>
      <c r="X50" s="1310"/>
      <c r="Y50" s="1310"/>
      <c r="Z50" s="1310"/>
      <c r="AA50" s="1258"/>
      <c r="AB50" s="1310"/>
      <c r="AC50" s="1310"/>
      <c r="AD50" s="1310"/>
      <c r="AE50" s="1310"/>
      <c r="AF50" s="1273"/>
      <c r="AG50" s="1346"/>
      <c r="AH50" s="1346"/>
      <c r="AI50" s="1288"/>
      <c r="AJ50" s="1317"/>
      <c r="AK50" s="1317"/>
      <c r="AL50" s="1259"/>
      <c r="AM50" s="1259"/>
      <c r="AN50" s="1258"/>
      <c r="AO50" s="1258"/>
      <c r="AP50" s="1258"/>
      <c r="AQ50" s="1258"/>
      <c r="AR50" s="1259"/>
      <c r="AS50" s="1259"/>
      <c r="AT50" s="1259"/>
      <c r="AU50" s="1258"/>
      <c r="AV50" s="1456"/>
      <c r="AW50" s="1416"/>
      <c r="AX50" s="1456"/>
      <c r="AY50" s="1258"/>
      <c r="AZ50" s="1273"/>
      <c r="BB50" s="1474"/>
      <c r="BC50" s="1465"/>
      <c r="BD50" s="1317"/>
      <c r="BE50" s="1474"/>
      <c r="BF50" s="1469"/>
      <c r="BG50" s="1469"/>
      <c r="BH50" s="1469"/>
      <c r="BI50" s="1470"/>
      <c r="BJ50" s="1272"/>
      <c r="BK50" s="1247"/>
      <c r="BL50" s="1247"/>
      <c r="BM50" s="1247"/>
    </row>
    <row r="51" spans="1:65" ht="17.25" customHeight="1" x14ac:dyDescent="0.25">
      <c r="A51" s="1318"/>
      <c r="B51" s="1292"/>
      <c r="C51" s="1324"/>
      <c r="D51" s="1323"/>
      <c r="E51" s="1296"/>
      <c r="F51" s="1296"/>
      <c r="G51" s="1296"/>
      <c r="H51" s="1296"/>
      <c r="I51" s="1323"/>
      <c r="J51" s="1317"/>
      <c r="K51" s="1273"/>
      <c r="L51" s="1247"/>
      <c r="M51" s="1247"/>
      <c r="N51" s="1259"/>
      <c r="O51" s="1472"/>
      <c r="P51" s="1475"/>
      <c r="Q51" s="1442"/>
      <c r="R51" s="1442"/>
      <c r="S51" s="1335"/>
      <c r="T51" s="1247"/>
      <c r="U51" s="1273"/>
      <c r="V51" s="1273"/>
      <c r="W51" s="1273"/>
      <c r="X51" s="1476"/>
      <c r="Y51" s="1476"/>
      <c r="Z51" s="1476"/>
      <c r="AA51" s="1258"/>
      <c r="AB51" s="1273"/>
      <c r="AC51" s="1273"/>
      <c r="AD51" s="1273"/>
      <c r="AE51" s="1273"/>
      <c r="AF51" s="1273"/>
      <c r="AG51" s="1346"/>
      <c r="AH51" s="1346"/>
      <c r="AI51" s="1477"/>
      <c r="AJ51" s="1477"/>
      <c r="AK51" s="1477"/>
      <c r="AL51" s="1259"/>
      <c r="AM51" s="1259"/>
      <c r="AN51" s="1259"/>
      <c r="AO51" s="1346"/>
      <c r="AP51" s="1477"/>
      <c r="AQ51" s="1477"/>
      <c r="AR51" s="1477"/>
      <c r="AS51" s="1259"/>
      <c r="AT51" s="1259"/>
      <c r="AU51" s="1379"/>
      <c r="AV51" s="1478"/>
      <c r="AW51" s="1478"/>
      <c r="AX51" s="1478"/>
      <c r="AY51" s="1258"/>
      <c r="AZ51" s="1273"/>
      <c r="BB51" s="1465"/>
      <c r="BC51" s="1474"/>
      <c r="BD51" s="1474"/>
      <c r="BE51" s="1416"/>
      <c r="BF51" s="1469"/>
      <c r="BG51" s="1469"/>
      <c r="BH51" s="1469"/>
      <c r="BI51" s="1470"/>
      <c r="BJ51" s="1272"/>
      <c r="BK51" s="1247"/>
      <c r="BL51" s="1247"/>
      <c r="BM51" s="1247"/>
    </row>
    <row r="52" spans="1:65" ht="17.25" customHeight="1" thickBot="1" x14ac:dyDescent="0.3">
      <c r="A52" s="1292"/>
      <c r="B52" s="1258"/>
      <c r="C52" s="1258"/>
      <c r="D52" s="1323"/>
      <c r="E52" s="1296"/>
      <c r="F52" s="1296"/>
      <c r="G52" s="1296"/>
      <c r="H52" s="1296"/>
      <c r="I52" s="1323"/>
      <c r="J52" s="1317"/>
      <c r="K52" s="1273"/>
      <c r="L52" s="1247"/>
      <c r="M52" s="1247"/>
      <c r="N52" s="1259"/>
      <c r="O52" s="1472"/>
      <c r="P52" s="1475"/>
      <c r="Q52" s="1442"/>
      <c r="R52" s="1442"/>
      <c r="S52" s="1335"/>
      <c r="T52" s="1247"/>
      <c r="U52" s="1273"/>
      <c r="V52" s="1273"/>
      <c r="W52" s="1291"/>
      <c r="X52" s="1317"/>
      <c r="Y52" s="1317"/>
      <c r="Z52" s="1317"/>
      <c r="AA52" s="1258"/>
      <c r="AB52" s="1319"/>
      <c r="AC52" s="1319"/>
      <c r="AD52" s="1319"/>
      <c r="AE52" s="1319"/>
      <c r="AF52" s="1273"/>
      <c r="AG52" s="1479"/>
      <c r="AH52" s="1398"/>
      <c r="AI52" s="1339"/>
      <c r="AJ52" s="1339"/>
      <c r="AK52" s="1339"/>
      <c r="AL52" s="1480"/>
      <c r="AM52" s="1259"/>
      <c r="AN52" s="1259"/>
      <c r="AO52" s="1276"/>
      <c r="AP52" s="1277"/>
      <c r="AQ52" s="1277"/>
      <c r="AR52" s="1277"/>
      <c r="AS52" s="1398"/>
      <c r="AT52" s="1259"/>
      <c r="AU52" s="1481"/>
      <c r="AY52" s="1481"/>
      <c r="AZ52" s="1247"/>
      <c r="BB52" s="1317"/>
      <c r="BC52" s="1258"/>
      <c r="BD52" s="1317"/>
      <c r="BE52" s="1258"/>
      <c r="BF52" s="1469"/>
      <c r="BG52" s="1469"/>
      <c r="BH52" s="1469"/>
      <c r="BI52" s="1470"/>
      <c r="BJ52" s="1272"/>
      <c r="BK52" s="1247"/>
      <c r="BL52" s="1247"/>
      <c r="BM52" s="1247"/>
    </row>
    <row r="53" spans="1:65" ht="17.25" customHeight="1" x14ac:dyDescent="0.25">
      <c r="A53" s="1312"/>
      <c r="B53" s="1312"/>
      <c r="C53" s="1273"/>
      <c r="D53" s="1291"/>
      <c r="E53" s="1327"/>
      <c r="F53" s="1327"/>
      <c r="G53" s="1327"/>
      <c r="H53" s="1327"/>
      <c r="I53" s="1482"/>
      <c r="J53" s="1317"/>
      <c r="K53" s="1273"/>
      <c r="L53" s="1247"/>
      <c r="M53" s="1247"/>
      <c r="N53" s="1259"/>
      <c r="O53" s="1472"/>
      <c r="P53" s="1475"/>
      <c r="Q53" s="1442"/>
      <c r="R53" s="1442"/>
      <c r="S53" s="1335"/>
      <c r="T53" s="1247"/>
      <c r="U53" s="1273"/>
      <c r="V53" s="1273"/>
      <c r="W53" s="1380"/>
      <c r="X53" s="1380"/>
      <c r="Y53" s="1380"/>
      <c r="Z53" s="1317"/>
      <c r="AA53" s="1258"/>
      <c r="AB53" s="1467"/>
      <c r="AC53" s="1467"/>
      <c r="AD53" s="1467"/>
      <c r="AE53" s="1467"/>
      <c r="AF53" s="1273"/>
      <c r="AG53" s="1477"/>
      <c r="AH53" s="1483"/>
      <c r="AI53" s="1484">
        <v>8758439</v>
      </c>
      <c r="AJ53" s="1485">
        <v>8758441</v>
      </c>
      <c r="AK53" s="1484">
        <v>8758349</v>
      </c>
      <c r="AL53" s="1339"/>
      <c r="AM53" s="1477"/>
      <c r="AN53" s="1477"/>
      <c r="AO53" s="1277"/>
      <c r="AP53" s="1486">
        <v>115340</v>
      </c>
      <c r="AQ53" s="1487">
        <v>112704</v>
      </c>
      <c r="AR53" s="1486">
        <v>110879</v>
      </c>
      <c r="AS53" s="1277"/>
      <c r="AT53" s="1477"/>
      <c r="AU53" s="1488"/>
      <c r="AV53" s="1489"/>
      <c r="AW53" s="1489"/>
      <c r="AX53" s="1490"/>
      <c r="AZ53" s="1481"/>
      <c r="BA53" s="1247"/>
      <c r="BB53" s="1465"/>
      <c r="BC53" s="1465"/>
      <c r="BD53" s="1259"/>
      <c r="BE53" s="1346"/>
      <c r="BF53" s="1468"/>
      <c r="BG53" s="1469"/>
      <c r="BH53" s="1469"/>
      <c r="BI53" s="1470"/>
      <c r="BJ53" s="1272"/>
      <c r="BK53" s="1247"/>
      <c r="BL53" s="1247"/>
      <c r="BM53" s="1247"/>
    </row>
    <row r="54" spans="1:65" ht="17.25" customHeight="1" thickBot="1" x14ac:dyDescent="0.3">
      <c r="A54" s="1327"/>
      <c r="B54" s="1292"/>
      <c r="C54" s="1273"/>
      <c r="D54" s="1491"/>
      <c r="E54" s="1310"/>
      <c r="F54" s="1310"/>
      <c r="G54" s="1310"/>
      <c r="H54" s="1310"/>
      <c r="I54" s="1258"/>
      <c r="J54" s="1317"/>
      <c r="K54" s="1273"/>
      <c r="L54" s="1247"/>
      <c r="M54" s="1247"/>
      <c r="N54" s="1247"/>
      <c r="O54" s="1492"/>
      <c r="P54" s="1475"/>
      <c r="Q54" s="1442"/>
      <c r="R54" s="1442"/>
      <c r="S54" s="1335"/>
      <c r="T54" s="1247"/>
      <c r="U54" s="1273"/>
      <c r="V54" s="1273"/>
      <c r="W54" s="1380"/>
      <c r="X54" s="1380"/>
      <c r="Y54" s="1380"/>
      <c r="Z54" s="1317"/>
      <c r="AA54" s="1258"/>
      <c r="AB54" s="1467"/>
      <c r="AC54" s="1467"/>
      <c r="AD54" s="1467"/>
      <c r="AE54" s="1467"/>
      <c r="AF54" s="1273"/>
      <c r="AG54" s="1477"/>
      <c r="AH54" s="1493"/>
      <c r="AI54" s="1494">
        <v>8758421</v>
      </c>
      <c r="AJ54" s="1494">
        <v>8758415</v>
      </c>
      <c r="AK54" s="1494">
        <v>8758443</v>
      </c>
      <c r="AL54" s="1339"/>
      <c r="AM54" s="1477"/>
      <c r="AN54" s="1477"/>
      <c r="AO54" s="1277"/>
      <c r="AP54" s="1315">
        <v>113419</v>
      </c>
      <c r="AQ54" s="1315">
        <v>114742</v>
      </c>
      <c r="AR54" s="1495">
        <v>114276</v>
      </c>
      <c r="AS54" s="1277"/>
      <c r="AT54" s="1477"/>
      <c r="AU54" s="1488"/>
      <c r="AV54" s="1490"/>
      <c r="AW54" s="1496"/>
      <c r="AX54" s="1496"/>
      <c r="AZ54" s="1481"/>
      <c r="BA54" s="1247"/>
      <c r="BB54" s="1465"/>
      <c r="BC54" s="1259"/>
      <c r="BD54" s="1259"/>
      <c r="BE54" s="1259"/>
      <c r="BF54" s="1468"/>
      <c r="BG54" s="1469"/>
      <c r="BH54" s="1469"/>
      <c r="BI54" s="1470"/>
      <c r="BJ54" s="1272"/>
      <c r="BK54" s="1247"/>
      <c r="BL54" s="1247"/>
      <c r="BM54" s="1247"/>
    </row>
    <row r="55" spans="1:65" ht="17.25" customHeight="1" x14ac:dyDescent="0.25">
      <c r="A55" s="1296"/>
      <c r="B55" s="1327"/>
      <c r="C55" s="1425"/>
      <c r="D55" s="1497"/>
      <c r="E55" s="1380"/>
      <c r="F55" s="1380"/>
      <c r="G55" s="1380"/>
      <c r="H55" s="1380"/>
      <c r="I55" s="1258"/>
      <c r="J55" s="1317"/>
      <c r="K55" s="1273"/>
      <c r="L55" s="1247"/>
      <c r="M55" s="1247"/>
      <c r="N55" s="1259"/>
      <c r="O55" s="1492"/>
      <c r="P55" s="1475"/>
      <c r="Q55" s="1442"/>
      <c r="R55" s="1442"/>
      <c r="S55" s="1335"/>
      <c r="T55" s="1247"/>
      <c r="U55" s="1273"/>
      <c r="V55" s="1273"/>
      <c r="W55" s="1498"/>
      <c r="X55" s="1498"/>
      <c r="Y55" s="1498"/>
      <c r="Z55" s="1317"/>
      <c r="AA55" s="1258"/>
      <c r="AB55" s="1291"/>
      <c r="AC55" s="1499"/>
      <c r="AD55" s="1499"/>
      <c r="AE55" s="1317"/>
      <c r="AF55" s="1273"/>
      <c r="AG55" s="1346"/>
      <c r="AH55" s="1477"/>
      <c r="AI55" s="1339"/>
      <c r="AJ55" s="1339"/>
      <c r="AK55" s="1339"/>
      <c r="AL55" s="1477"/>
      <c r="AM55" s="1259"/>
      <c r="AN55" s="1259"/>
      <c r="AO55" s="1477"/>
      <c r="AP55" s="1277"/>
      <c r="AQ55" s="1277"/>
      <c r="AR55" s="1277"/>
      <c r="AS55" s="1477"/>
      <c r="AT55" s="1335"/>
      <c r="AU55" s="1481"/>
      <c r="AV55" s="1416"/>
      <c r="AX55" s="1379"/>
      <c r="AY55" s="1500"/>
      <c r="AZ55" s="1273"/>
      <c r="BA55" s="1273"/>
      <c r="BB55" s="1465"/>
      <c r="BC55" s="1465"/>
      <c r="BD55" s="1247"/>
      <c r="BE55" s="1247"/>
      <c r="BF55" s="1468"/>
      <c r="BG55" s="1469"/>
      <c r="BH55" s="1469"/>
      <c r="BI55" s="1470"/>
      <c r="BJ55" s="1272"/>
      <c r="BK55" s="1247"/>
      <c r="BL55" s="1247"/>
      <c r="BM55" s="1247"/>
    </row>
    <row r="56" spans="1:65" ht="17.25" customHeight="1" thickBot="1" x14ac:dyDescent="0.3">
      <c r="A56" s="1296"/>
      <c r="B56" s="1327"/>
      <c r="C56" s="1324"/>
      <c r="D56" s="1291"/>
      <c r="E56" s="1380"/>
      <c r="F56" s="1380"/>
      <c r="G56" s="1380"/>
      <c r="H56" s="1380"/>
      <c r="I56" s="1273"/>
      <c r="J56" s="1273"/>
      <c r="K56" s="1273"/>
      <c r="L56" s="1247"/>
      <c r="M56" s="1247"/>
      <c r="N56" s="1259"/>
      <c r="O56" s="1501"/>
      <c r="P56" s="1502"/>
      <c r="Q56" s="1442"/>
      <c r="R56" s="1442"/>
      <c r="S56" s="1335"/>
      <c r="T56" s="1247"/>
      <c r="U56" s="1273"/>
      <c r="V56" s="1273"/>
      <c r="W56" s="1258"/>
      <c r="X56" s="1258"/>
      <c r="Y56" s="1258"/>
      <c r="Z56" s="1258"/>
      <c r="AA56" s="1258"/>
      <c r="AB56" s="1258"/>
      <c r="AC56" s="1443"/>
      <c r="AD56" s="1443"/>
      <c r="AE56" s="1443"/>
      <c r="AF56" s="1258"/>
      <c r="AG56" s="1259"/>
      <c r="AH56" s="1416"/>
      <c r="AI56" s="1477"/>
      <c r="AJ56" s="1477"/>
      <c r="AK56" s="1477"/>
      <c r="AL56" s="1346"/>
      <c r="AM56" s="1259"/>
      <c r="AN56" s="1259"/>
      <c r="AO56" s="1416"/>
      <c r="AP56" s="1477"/>
      <c r="AQ56" s="1477"/>
      <c r="AR56" s="1477"/>
      <c r="AS56" s="1259"/>
      <c r="AT56" s="1346"/>
      <c r="AV56" s="1503"/>
      <c r="AW56" s="1503"/>
      <c r="AX56" s="1478"/>
      <c r="AY56" s="1258"/>
      <c r="AZ56" s="1273"/>
      <c r="BA56" s="1273"/>
      <c r="BB56" s="1465"/>
      <c r="BC56" s="1465"/>
      <c r="BD56" s="1247"/>
      <c r="BE56" s="1247"/>
      <c r="BF56" s="1504"/>
      <c r="BG56" s="1505"/>
      <c r="BH56" s="1505"/>
      <c r="BI56" s="1506"/>
      <c r="BJ56" s="1272"/>
      <c r="BK56" s="1247"/>
      <c r="BL56" s="1247"/>
      <c r="BM56" s="1247"/>
    </row>
    <row r="57" spans="1:65" ht="17.25" customHeight="1" thickBot="1" x14ac:dyDescent="0.3">
      <c r="A57" s="1296"/>
      <c r="B57" s="1327"/>
      <c r="C57" s="1324"/>
      <c r="D57" s="1258"/>
      <c r="E57" s="1258"/>
      <c r="F57" s="1258"/>
      <c r="G57" s="1258"/>
      <c r="H57" s="1258"/>
      <c r="I57" s="1258"/>
      <c r="J57" s="1258"/>
      <c r="K57" s="1258"/>
      <c r="L57" s="1259"/>
      <c r="M57" s="1259"/>
      <c r="N57" s="1259"/>
      <c r="O57" s="1501"/>
      <c r="P57" s="1502"/>
      <c r="Q57" s="1389"/>
      <c r="R57" s="1335"/>
      <c r="S57" s="1335"/>
      <c r="T57" s="1247"/>
      <c r="U57" s="1273"/>
      <c r="V57" s="1273"/>
      <c r="W57" s="1317"/>
      <c r="X57" s="1317"/>
      <c r="Y57" s="1317"/>
      <c r="Z57" s="1317"/>
      <c r="AA57" s="1317"/>
      <c r="AB57" s="1258"/>
      <c r="AC57" s="1370"/>
      <c r="AD57" s="1370"/>
      <c r="AE57" s="1370"/>
      <c r="AF57" s="1258"/>
      <c r="AG57" s="1259"/>
      <c r="AH57" s="1259"/>
      <c r="AI57" s="1507"/>
      <c r="AJ57" s="1507"/>
      <c r="AK57" s="1507"/>
      <c r="AL57" s="1247"/>
      <c r="AM57" s="1247"/>
      <c r="AN57" s="1259"/>
      <c r="AO57" s="1259"/>
      <c r="AP57" s="1259"/>
      <c r="AQ57" s="1259"/>
      <c r="AR57" s="1259"/>
      <c r="AS57" s="1259"/>
      <c r="AT57" s="1259"/>
      <c r="AX57" s="1379"/>
      <c r="AY57" s="1379"/>
      <c r="AZ57" s="1465"/>
      <c r="BA57" s="1465"/>
      <c r="BB57" s="1465"/>
      <c r="BC57" s="1465"/>
      <c r="BD57" s="1247"/>
      <c r="BE57" s="1247"/>
      <c r="BF57" s="1273"/>
      <c r="BG57" s="1273"/>
      <c r="BH57" s="1273"/>
      <c r="BI57" s="1508"/>
      <c r="BJ57" s="1272"/>
      <c r="BK57" s="1247"/>
      <c r="BL57" s="1247"/>
      <c r="BM57" s="1247"/>
    </row>
    <row r="58" spans="1:65" ht="17.25" customHeight="1" x14ac:dyDescent="0.25">
      <c r="A58" s="1296"/>
      <c r="B58" s="1327"/>
      <c r="C58" s="1324"/>
      <c r="D58" s="1258"/>
      <c r="E58" s="1257"/>
      <c r="F58" s="1257"/>
      <c r="G58" s="1257"/>
      <c r="H58" s="1258"/>
      <c r="I58" s="1258"/>
      <c r="J58" s="1258"/>
      <c r="K58" s="1258"/>
      <c r="L58" s="1259"/>
      <c r="M58" s="1259"/>
      <c r="N58" s="1259"/>
      <c r="O58" s="1501"/>
      <c r="P58" s="1502"/>
      <c r="Q58" s="1389"/>
      <c r="R58" s="1335"/>
      <c r="S58" s="1335"/>
      <c r="T58" s="1247"/>
      <c r="U58" s="1273"/>
      <c r="V58" s="1273"/>
      <c r="W58" s="1297"/>
      <c r="X58" s="1297"/>
      <c r="Y58" s="1297"/>
      <c r="Z58" s="1297"/>
      <c r="AA58" s="1258"/>
      <c r="AB58" s="1376"/>
      <c r="AC58" s="1418"/>
      <c r="AD58" s="1418"/>
      <c r="AE58" s="1418"/>
      <c r="AF58" s="1329"/>
      <c r="AG58" s="1247"/>
      <c r="AH58" s="1259"/>
      <c r="AI58" s="1346"/>
      <c r="AJ58" s="1346"/>
      <c r="AK58" s="1259"/>
      <c r="AL58" s="1259"/>
      <c r="AM58" s="1259"/>
      <c r="AN58" s="1507"/>
      <c r="AO58" s="1259"/>
      <c r="AP58" s="1259"/>
      <c r="AQ58" s="1259"/>
      <c r="AR58" s="1259"/>
      <c r="AS58" s="1259"/>
      <c r="AT58" s="1259"/>
      <c r="AU58" s="1346"/>
      <c r="AV58" s="1247"/>
      <c r="AW58" s="1247"/>
      <c r="AX58" s="1509"/>
      <c r="AY58" s="1510"/>
      <c r="AZ58" s="1510"/>
      <c r="BA58" s="1510"/>
      <c r="BB58" s="1510"/>
      <c r="BC58" s="1511"/>
      <c r="BD58" s="1247"/>
      <c r="BE58" s="1247"/>
      <c r="BF58" s="1273"/>
      <c r="BG58" s="1273"/>
      <c r="BH58" s="1273"/>
      <c r="BI58" s="1508"/>
      <c r="BJ58" s="1272"/>
      <c r="BK58" s="1247"/>
      <c r="BL58" s="1247"/>
      <c r="BM58" s="1247"/>
    </row>
    <row r="59" spans="1:65" ht="17.25" customHeight="1" thickBot="1" x14ac:dyDescent="0.3">
      <c r="A59" s="1318"/>
      <c r="B59" s="1291"/>
      <c r="C59" s="1258"/>
      <c r="D59" s="1258"/>
      <c r="E59" s="1257"/>
      <c r="F59" s="1257"/>
      <c r="G59" s="1257"/>
      <c r="H59" s="1258"/>
      <c r="I59" s="1258"/>
      <c r="J59" s="1258"/>
      <c r="K59" s="1258"/>
      <c r="L59" s="1259"/>
      <c r="M59" s="1259"/>
      <c r="N59" s="1259"/>
      <c r="O59" s="1501"/>
      <c r="P59" s="1502"/>
      <c r="Q59" s="1389"/>
      <c r="R59" s="1335"/>
      <c r="S59" s="1335"/>
      <c r="T59" s="1247"/>
      <c r="U59" s="1273"/>
      <c r="V59" s="1273"/>
      <c r="W59" s="1297"/>
      <c r="X59" s="1297"/>
      <c r="Y59" s="1297"/>
      <c r="Z59" s="1297"/>
      <c r="AA59" s="1258"/>
      <c r="AB59" s="1418"/>
      <c r="AC59" s="1296"/>
      <c r="AD59" s="1296"/>
      <c r="AE59" s="1296"/>
      <c r="AF59" s="1418"/>
      <c r="AG59" s="1259"/>
      <c r="AH59" s="1258"/>
      <c r="AI59" s="1258"/>
      <c r="AJ59" s="1258"/>
      <c r="AK59" s="1258"/>
      <c r="AL59" s="1259"/>
      <c r="AM59" s="1259"/>
      <c r="AN59" s="1259"/>
      <c r="AO59" s="1512"/>
      <c r="AP59" s="1513"/>
      <c r="AQ59" s="1513"/>
      <c r="AR59" s="1513"/>
      <c r="AS59" s="1514"/>
      <c r="AT59" s="1259"/>
      <c r="AU59" s="1259"/>
      <c r="AV59" s="1259"/>
      <c r="AW59" s="1247"/>
      <c r="AX59" s="1515"/>
      <c r="AY59" s="1516"/>
      <c r="AZ59" s="1516"/>
      <c r="BA59" s="1516"/>
      <c r="BB59" s="1516"/>
      <c r="BC59" s="1517"/>
      <c r="BD59" s="1518"/>
      <c r="BE59" s="1385"/>
      <c r="BF59" s="1383"/>
      <c r="BG59" s="1383"/>
      <c r="BH59" s="1384"/>
      <c r="BI59" s="1519"/>
      <c r="BJ59" s="1272"/>
      <c r="BK59" s="1247"/>
      <c r="BL59" s="1247"/>
      <c r="BM59" s="1247"/>
    </row>
    <row r="60" spans="1:65" ht="17.25" customHeight="1" x14ac:dyDescent="0.25">
      <c r="A60" s="1520"/>
      <c r="B60" s="1258"/>
      <c r="C60" s="1258"/>
      <c r="D60" s="1273"/>
      <c r="E60" s="1521"/>
      <c r="F60" s="1521"/>
      <c r="G60" s="1521"/>
      <c r="H60" s="1521"/>
      <c r="I60" s="1273"/>
      <c r="J60" s="1273"/>
      <c r="K60" s="1273"/>
      <c r="L60" s="1247"/>
      <c r="M60" s="1247"/>
      <c r="N60" s="1259"/>
      <c r="O60" s="1501"/>
      <c r="P60" s="1502"/>
      <c r="Q60" s="1389"/>
      <c r="R60" s="1335"/>
      <c r="S60" s="1335"/>
      <c r="T60" s="1247"/>
      <c r="U60" s="1273"/>
      <c r="V60" s="1273"/>
      <c r="W60" s="1291"/>
      <c r="X60" s="1258"/>
      <c r="Y60" s="1258"/>
      <c r="Z60" s="1258"/>
      <c r="AA60" s="1258"/>
      <c r="AB60" s="1418"/>
      <c r="AC60" s="1296"/>
      <c r="AD60" s="1296"/>
      <c r="AE60" s="1296"/>
      <c r="AF60" s="1418"/>
      <c r="AG60" s="1259"/>
      <c r="AH60" s="1258"/>
      <c r="AI60" s="1317"/>
      <c r="AJ60" s="1317"/>
      <c r="AK60" s="1317"/>
      <c r="AL60" s="1259"/>
      <c r="AM60" s="1259"/>
      <c r="AN60" s="1259"/>
      <c r="AO60" s="1398"/>
      <c r="AP60" s="1339"/>
      <c r="AQ60" s="1339"/>
      <c r="AR60" s="1339"/>
      <c r="AS60" s="1398"/>
      <c r="AT60" s="1259"/>
      <c r="AU60" s="1259"/>
      <c r="AV60" s="1259"/>
      <c r="AW60" s="1247"/>
      <c r="AX60" s="1515"/>
      <c r="AY60" s="1516"/>
      <c r="AZ60" s="1516"/>
      <c r="BA60" s="1516"/>
      <c r="BB60" s="1516"/>
      <c r="BC60" s="1517"/>
      <c r="BD60" s="1247"/>
      <c r="BE60" s="1247"/>
      <c r="BF60" s="1247"/>
      <c r="BG60" s="1247"/>
      <c r="BH60" s="1247"/>
      <c r="BI60" s="1247"/>
      <c r="BJ60" s="1272"/>
      <c r="BK60" s="1247"/>
      <c r="BL60" s="1247"/>
      <c r="BM60" s="1247"/>
    </row>
    <row r="61" spans="1:65" ht="17.25" customHeight="1" x14ac:dyDescent="0.25">
      <c r="A61" s="1520"/>
      <c r="B61" s="1258"/>
      <c r="C61" s="1258"/>
      <c r="D61" s="1258"/>
      <c r="E61" s="1455"/>
      <c r="F61" s="1455"/>
      <c r="G61" s="1455"/>
      <c r="H61" s="1455"/>
      <c r="I61" s="1258"/>
      <c r="J61" s="1258"/>
      <c r="K61" s="1258"/>
      <c r="L61" s="1247"/>
      <c r="M61" s="1247"/>
      <c r="N61" s="1259"/>
      <c r="O61" s="1501"/>
      <c r="P61" s="1502"/>
      <c r="Q61" s="1346"/>
      <c r="R61" s="1335"/>
      <c r="S61" s="1335"/>
      <c r="T61" s="1247"/>
      <c r="U61" s="1273"/>
      <c r="V61" s="1273"/>
      <c r="W61" s="1317"/>
      <c r="X61" s="1317"/>
      <c r="Y61" s="1273"/>
      <c r="Z61" s="1317"/>
      <c r="AA61" s="1317"/>
      <c r="AB61" s="1291"/>
      <c r="AC61" s="1418"/>
      <c r="AD61" s="1418"/>
      <c r="AE61" s="1418"/>
      <c r="AF61" s="1273"/>
      <c r="AG61" s="1247"/>
      <c r="AH61" s="1258"/>
      <c r="AI61" s="1522"/>
      <c r="AJ61" s="1523"/>
      <c r="AK61" s="1523"/>
      <c r="AL61" s="1259"/>
      <c r="AM61" s="1259"/>
      <c r="AN61" s="1513"/>
      <c r="AO61" s="1339"/>
      <c r="AP61" s="1524">
        <v>8765802</v>
      </c>
      <c r="AQ61" s="1524">
        <v>8765874</v>
      </c>
      <c r="AR61" s="1525">
        <v>8765886</v>
      </c>
      <c r="AS61" s="1339"/>
      <c r="AT61" s="1398"/>
      <c r="AU61" s="1259"/>
      <c r="AV61" s="1259"/>
      <c r="AW61" s="1247"/>
      <c r="AX61" s="1515"/>
      <c r="AY61" s="1516"/>
      <c r="AZ61" s="1516"/>
      <c r="BA61" s="1516"/>
      <c r="BB61" s="1516"/>
      <c r="BC61" s="1517"/>
      <c r="BD61" s="1247"/>
      <c r="BE61" s="1247"/>
      <c r="BF61" s="1247"/>
      <c r="BG61" s="1247"/>
      <c r="BH61" s="1247"/>
      <c r="BI61" s="1247"/>
      <c r="BJ61" s="1272"/>
      <c r="BK61" s="1247"/>
      <c r="BL61" s="1247"/>
      <c r="BM61" s="1247"/>
    </row>
    <row r="62" spans="1:65" ht="17.25" customHeight="1" thickBot="1" x14ac:dyDescent="0.3">
      <c r="A62" s="1520"/>
      <c r="B62" s="1288"/>
      <c r="C62" s="1258"/>
      <c r="D62" s="1292"/>
      <c r="E62" s="1352"/>
      <c r="F62" s="1352"/>
      <c r="G62" s="1352"/>
      <c r="H62" s="1352"/>
      <c r="I62" s="1329"/>
      <c r="J62" s="1258"/>
      <c r="K62" s="1258"/>
      <c r="L62" s="1247"/>
      <c r="M62" s="1247"/>
      <c r="N62" s="1259"/>
      <c r="O62" s="1258"/>
      <c r="P62" s="1502"/>
      <c r="Q62" s="1346"/>
      <c r="R62" s="1335"/>
      <c r="S62" s="1335"/>
      <c r="T62" s="1247"/>
      <c r="U62" s="1273"/>
      <c r="V62" s="1273"/>
      <c r="W62" s="1317"/>
      <c r="X62" s="1317"/>
      <c r="Y62" s="1273"/>
      <c r="Z62" s="1317"/>
      <c r="AA62" s="1317"/>
      <c r="AB62" s="1317"/>
      <c r="AC62" s="1370"/>
      <c r="AD62" s="1370"/>
      <c r="AE62" s="1370"/>
      <c r="AF62" s="1258"/>
      <c r="AG62" s="1259"/>
      <c r="AH62" s="1258"/>
      <c r="AI62" s="1523"/>
      <c r="AJ62" s="1526"/>
      <c r="AK62" s="1526"/>
      <c r="AL62" s="1259"/>
      <c r="AM62" s="1259"/>
      <c r="AN62" s="1513"/>
      <c r="AO62" s="1339"/>
      <c r="AP62" s="1527">
        <v>8765816</v>
      </c>
      <c r="AQ62" s="1527">
        <v>8765821</v>
      </c>
      <c r="AR62" s="1528">
        <v>8765857</v>
      </c>
      <c r="AS62" s="1339"/>
      <c r="AT62" s="1398"/>
      <c r="AU62" s="1259"/>
      <c r="AV62" s="1259"/>
      <c r="AW62" s="1247"/>
      <c r="AX62" s="1529"/>
      <c r="AY62" s="1530"/>
      <c r="AZ62" s="1530"/>
      <c r="BA62" s="1530"/>
      <c r="BB62" s="1530"/>
      <c r="BC62" s="1531"/>
      <c r="BD62" s="1247"/>
      <c r="BE62" s="1247"/>
      <c r="BF62" s="1247"/>
      <c r="BG62" s="1247"/>
      <c r="BH62" s="1247"/>
      <c r="BI62" s="1247"/>
      <c r="BJ62" s="1272"/>
      <c r="BK62" s="1247"/>
      <c r="BL62" s="1247"/>
      <c r="BM62" s="1247"/>
    </row>
    <row r="63" spans="1:65" ht="17.25" customHeight="1" x14ac:dyDescent="0.25">
      <c r="A63" s="1520"/>
      <c r="B63" s="1288"/>
      <c r="C63" s="1258"/>
      <c r="D63" s="1352"/>
      <c r="E63" s="1296"/>
      <c r="F63" s="1296"/>
      <c r="G63" s="1296"/>
      <c r="H63" s="1296"/>
      <c r="I63" s="1352"/>
      <c r="J63" s="1258"/>
      <c r="K63" s="1258"/>
      <c r="L63" s="1247"/>
      <c r="M63" s="1247"/>
      <c r="N63" s="1259"/>
      <c r="O63" s="1258"/>
      <c r="P63" s="1502"/>
      <c r="Q63" s="1346"/>
      <c r="R63" s="1256"/>
      <c r="S63" s="1259"/>
      <c r="T63" s="1247"/>
      <c r="U63" s="1273"/>
      <c r="V63" s="1273"/>
      <c r="W63" s="1317"/>
      <c r="X63" s="1258"/>
      <c r="Y63" s="1273"/>
      <c r="Z63" s="1317"/>
      <c r="AA63" s="1258"/>
      <c r="AB63" s="1258"/>
      <c r="AC63" s="1258"/>
      <c r="AD63" s="1317"/>
      <c r="AE63" s="1317"/>
      <c r="AF63" s="1258"/>
      <c r="AG63" s="1259"/>
      <c r="AH63" s="1258"/>
      <c r="AI63" s="1317"/>
      <c r="AJ63" s="1317"/>
      <c r="AK63" s="1317"/>
      <c r="AL63" s="1259"/>
      <c r="AM63" s="1259"/>
      <c r="AN63" s="1259"/>
      <c r="AO63" s="1513"/>
      <c r="AP63" s="1339"/>
      <c r="AQ63" s="1339"/>
      <c r="AR63" s="1339"/>
      <c r="AS63" s="1513"/>
      <c r="AT63" s="1259"/>
      <c r="AU63" s="1259"/>
      <c r="AV63" s="1259"/>
      <c r="AW63" s="1247"/>
      <c r="AX63" s="1532"/>
      <c r="AY63" s="1457"/>
      <c r="AZ63" s="1247"/>
      <c r="BA63" s="1533"/>
      <c r="BB63" s="1533"/>
      <c r="BC63" s="1247"/>
      <c r="BD63" s="1247"/>
      <c r="BE63" s="1247"/>
      <c r="BF63" s="1247"/>
      <c r="BG63" s="1247"/>
      <c r="BH63" s="1247"/>
      <c r="BI63" s="1247"/>
      <c r="BJ63" s="1272"/>
      <c r="BK63" s="1247"/>
      <c r="BL63" s="1247"/>
      <c r="BM63" s="1247"/>
    </row>
    <row r="64" spans="1:65" ht="17.25" customHeight="1" x14ac:dyDescent="0.25">
      <c r="A64" s="1520"/>
      <c r="B64" s="1288"/>
      <c r="C64" s="1258"/>
      <c r="D64" s="1352"/>
      <c r="E64" s="1296"/>
      <c r="F64" s="1296"/>
      <c r="G64" s="1296"/>
      <c r="H64" s="1296"/>
      <c r="I64" s="1352"/>
      <c r="J64" s="1258"/>
      <c r="K64" s="1258"/>
      <c r="L64" s="1247"/>
      <c r="M64" s="1259"/>
      <c r="N64" s="1259"/>
      <c r="O64" s="1258"/>
      <c r="P64" s="1502"/>
      <c r="Q64" s="1389"/>
      <c r="R64" s="1256"/>
      <c r="S64" s="1259"/>
      <c r="T64" s="1247"/>
      <c r="U64" s="1273"/>
      <c r="V64" s="1273"/>
      <c r="W64" s="1534"/>
      <c r="X64" s="1258"/>
      <c r="Y64" s="1258"/>
      <c r="Z64" s="1258"/>
      <c r="AA64" s="1258"/>
      <c r="AB64" s="1258"/>
      <c r="AC64" s="1317"/>
      <c r="AD64" s="1317"/>
      <c r="AE64" s="1317"/>
      <c r="AF64" s="1258"/>
      <c r="AG64" s="1259"/>
      <c r="AH64" s="1259"/>
      <c r="AI64" s="1346"/>
      <c r="AJ64" s="1346"/>
      <c r="AK64" s="1346"/>
      <c r="AO64" s="1416"/>
      <c r="AP64" s="1513"/>
      <c r="AQ64" s="1513"/>
      <c r="AR64" s="1513"/>
      <c r="AS64" s="1512"/>
      <c r="AT64" s="1259"/>
      <c r="AU64" s="1259"/>
      <c r="AV64" s="1259"/>
      <c r="AW64" s="1247"/>
      <c r="AX64" s="1535"/>
      <c r="AY64" s="1457"/>
      <c r="AZ64" s="1533"/>
      <c r="BA64" s="1533"/>
      <c r="BB64" s="1533"/>
      <c r="BC64" s="1247"/>
      <c r="BD64" s="1247"/>
      <c r="BE64" s="1247"/>
      <c r="BF64" s="1247"/>
      <c r="BG64" s="1247"/>
      <c r="BH64" s="1247"/>
      <c r="BI64" s="1247"/>
      <c r="BJ64" s="1272"/>
      <c r="BK64" s="1247"/>
      <c r="BL64" s="1247"/>
      <c r="BM64" s="1247"/>
    </row>
    <row r="65" spans="1:65" ht="17.25" customHeight="1" x14ac:dyDescent="0.25">
      <c r="A65" s="1520"/>
      <c r="B65" s="1258"/>
      <c r="C65" s="1258"/>
      <c r="D65" s="1291"/>
      <c r="E65" s="1352"/>
      <c r="F65" s="1352"/>
      <c r="G65" s="1352"/>
      <c r="H65" s="1352"/>
      <c r="I65" s="1258"/>
      <c r="J65" s="1258"/>
      <c r="K65" s="1258"/>
      <c r="L65" s="1247"/>
      <c r="M65" s="1259"/>
      <c r="N65" s="1259"/>
      <c r="O65" s="1258"/>
      <c r="P65" s="1502"/>
      <c r="Q65" s="1389"/>
      <c r="R65" s="1256"/>
      <c r="S65" s="1335"/>
      <c r="T65" s="1247"/>
      <c r="U65" s="1273"/>
      <c r="V65" s="1273"/>
      <c r="W65" s="1317"/>
      <c r="X65" s="1317"/>
      <c r="Y65" s="1258"/>
      <c r="Z65" s="1258"/>
      <c r="AA65" s="1258"/>
      <c r="AB65" s="1317"/>
      <c r="AC65" s="1317"/>
      <c r="AD65" s="1317"/>
      <c r="AE65" s="1317"/>
      <c r="AF65" s="1273"/>
      <c r="AG65" s="1247"/>
      <c r="AH65" s="1247"/>
      <c r="AI65" s="1346"/>
      <c r="AJ65" s="1346"/>
      <c r="AK65" s="1346"/>
      <c r="AO65" s="1536"/>
      <c r="AP65" s="1346"/>
      <c r="AQ65" s="1259"/>
      <c r="AR65" s="1259"/>
      <c r="AS65" s="1259"/>
      <c r="AT65" s="1259"/>
      <c r="AU65" s="1259"/>
      <c r="AV65" s="1457"/>
      <c r="AW65" s="1457"/>
      <c r="AX65" s="1535"/>
      <c r="AY65" s="1533"/>
      <c r="AZ65" s="1533"/>
      <c r="BA65" s="1537"/>
      <c r="BB65" s="1533"/>
      <c r="BC65" s="1247"/>
      <c r="BD65" s="1247"/>
      <c r="BE65" s="1247"/>
      <c r="BF65" s="1247"/>
      <c r="BG65" s="1247"/>
      <c r="BH65" s="1247"/>
      <c r="BI65" s="1247"/>
      <c r="BJ65" s="1272"/>
      <c r="BK65" s="1247"/>
      <c r="BL65" s="1247"/>
      <c r="BM65" s="1247"/>
    </row>
    <row r="66" spans="1:65" ht="17.25" customHeight="1" x14ac:dyDescent="0.25">
      <c r="A66" s="1520"/>
      <c r="B66" s="1258"/>
      <c r="C66" s="1258"/>
      <c r="D66" s="1273"/>
      <c r="E66" s="1455"/>
      <c r="F66" s="1455"/>
      <c r="G66" s="1455"/>
      <c r="H66" s="1455"/>
      <c r="I66" s="1273"/>
      <c r="J66" s="1258"/>
      <c r="K66" s="1258"/>
      <c r="L66" s="1247"/>
      <c r="M66" s="1259"/>
      <c r="N66" s="1259"/>
      <c r="O66" s="1538"/>
      <c r="P66" s="1502"/>
      <c r="Q66" s="1389"/>
      <c r="R66" s="1346"/>
      <c r="S66" s="1346"/>
      <c r="T66" s="1247"/>
      <c r="U66" s="1247"/>
      <c r="V66" s="1247"/>
      <c r="W66" s="1346"/>
      <c r="X66" s="1317"/>
      <c r="Y66" s="1273"/>
      <c r="Z66" s="1258"/>
      <c r="AA66" s="1258"/>
      <c r="AB66" s="1258"/>
      <c r="AC66" s="1258"/>
      <c r="AD66" s="1258"/>
      <c r="AE66" s="1258"/>
      <c r="AF66" s="1258"/>
      <c r="AG66" s="1273"/>
      <c r="AH66" s="1539"/>
      <c r="AI66" s="1317"/>
      <c r="AJ66" s="1317"/>
      <c r="AK66" s="1346"/>
      <c r="AL66" s="1259"/>
      <c r="AM66" s="1540"/>
      <c r="AN66" s="1259"/>
      <c r="AO66" s="1540"/>
      <c r="AP66" s="1541"/>
      <c r="AQ66" s="1259"/>
      <c r="AR66" s="1259"/>
      <c r="AS66" s="1259"/>
      <c r="AT66" s="1259"/>
      <c r="AU66" s="1259"/>
      <c r="AV66" s="1457"/>
      <c r="AW66" s="1542"/>
      <c r="AX66" s="1457"/>
      <c r="AY66" s="1533"/>
      <c r="AZ66" s="1533"/>
      <c r="BA66" s="1543"/>
      <c r="BB66" s="1533"/>
      <c r="BC66" s="1247"/>
      <c r="BD66" s="1247"/>
      <c r="BE66" s="1247"/>
      <c r="BF66" s="1247"/>
      <c r="BG66" s="1247"/>
      <c r="BH66" s="1247"/>
      <c r="BI66" s="1247"/>
      <c r="BJ66" s="1272"/>
      <c r="BK66" s="1247"/>
      <c r="BL66" s="1247"/>
      <c r="BM66" s="1247"/>
    </row>
    <row r="67" spans="1:65" ht="17.25" customHeight="1" thickBot="1" x14ac:dyDescent="0.3">
      <c r="A67" s="1520"/>
      <c r="B67" s="1258"/>
      <c r="C67" s="1258"/>
      <c r="D67" s="1273"/>
      <c r="E67" s="1544"/>
      <c r="F67" s="1544"/>
      <c r="G67" s="1544"/>
      <c r="H67" s="1544"/>
      <c r="I67" s="1273"/>
      <c r="J67" s="1258"/>
      <c r="K67" s="1258"/>
      <c r="L67" s="1247"/>
      <c r="M67" s="1259"/>
      <c r="N67" s="1259"/>
      <c r="O67" s="1538"/>
      <c r="P67" s="1502"/>
      <c r="Q67" s="1346"/>
      <c r="R67" s="1346"/>
      <c r="S67" s="1346"/>
      <c r="T67" s="1346"/>
      <c r="U67" s="1247"/>
      <c r="V67" s="1247"/>
      <c r="W67" s="1346"/>
      <c r="X67" s="1317"/>
      <c r="Y67" s="1317"/>
      <c r="Z67" s="1317"/>
      <c r="AA67" s="1317"/>
      <c r="AB67" s="1317"/>
      <c r="AC67" s="1317"/>
      <c r="AD67" s="1317"/>
      <c r="AE67" s="1317"/>
      <c r="AF67" s="1317"/>
      <c r="AG67" s="1258"/>
      <c r="AH67" s="1545"/>
      <c r="AI67" s="1546"/>
      <c r="AJ67" s="1258"/>
      <c r="AK67" s="1540"/>
      <c r="AL67" s="1536"/>
      <c r="AM67" s="1547"/>
      <c r="AN67" s="1259"/>
      <c r="AO67" s="1259"/>
      <c r="AS67" s="1259"/>
      <c r="AT67" s="1259"/>
      <c r="AU67" s="1259"/>
      <c r="AV67" s="1259"/>
      <c r="AW67" s="1542"/>
      <c r="AX67" s="1247"/>
      <c r="AY67" s="1247"/>
      <c r="AZ67" s="1247"/>
      <c r="BA67" s="1247"/>
      <c r="BB67" s="1247"/>
      <c r="BC67" s="1247"/>
      <c r="BD67" s="1247"/>
      <c r="BE67" s="1247"/>
      <c r="BF67" s="1247"/>
      <c r="BG67" s="1247"/>
      <c r="BH67" s="1247"/>
      <c r="BI67" s="1247"/>
      <c r="BJ67" s="1272"/>
      <c r="BK67" s="1247"/>
      <c r="BL67" s="1247"/>
      <c r="BM67" s="1247"/>
    </row>
    <row r="68" spans="1:65" ht="17.25" customHeight="1" thickBot="1" x14ac:dyDescent="0.3">
      <c r="A68" s="1548"/>
      <c r="B68" s="1258"/>
      <c r="C68" s="1258"/>
      <c r="D68" s="1273"/>
      <c r="E68" s="1455"/>
      <c r="F68" s="1455"/>
      <c r="G68" s="1455"/>
      <c r="H68" s="1455"/>
      <c r="I68" s="1273"/>
      <c r="J68" s="1258"/>
      <c r="K68" s="1273"/>
      <c r="L68" s="1273"/>
      <c r="M68" s="1258"/>
      <c r="N68" s="1258"/>
      <c r="O68" s="1538"/>
      <c r="P68" s="1549"/>
      <c r="Q68" s="1346"/>
      <c r="R68" s="1346"/>
      <c r="S68" s="1346"/>
      <c r="T68" s="1346"/>
      <c r="U68" s="1259"/>
      <c r="V68" s="1259"/>
      <c r="W68" s="1247"/>
      <c r="X68" s="1273"/>
      <c r="Y68" s="1273"/>
      <c r="Z68" s="1273"/>
      <c r="AA68" s="1273"/>
      <c r="AB68" s="1258"/>
      <c r="AC68" s="1258"/>
      <c r="AD68" s="1258"/>
      <c r="AE68" s="1258"/>
      <c r="AF68" s="1258"/>
      <c r="AG68" s="1258"/>
      <c r="AH68" s="1545"/>
      <c r="AI68" s="1317"/>
      <c r="AJ68" s="1546"/>
      <c r="AK68" s="1346"/>
      <c r="AL68" s="1346"/>
      <c r="AM68" s="1259"/>
      <c r="AN68" s="1259"/>
      <c r="AO68" s="1259"/>
      <c r="AS68" s="1259"/>
      <c r="AT68" s="1259"/>
      <c r="AU68" s="1259"/>
      <c r="AV68" s="1259"/>
      <c r="AW68" s="1550"/>
      <c r="AX68" s="1247"/>
      <c r="AY68" s="1247"/>
      <c r="AZ68" s="1247"/>
      <c r="BA68" s="1247"/>
      <c r="BB68" s="1247"/>
      <c r="BC68" s="1247"/>
      <c r="BD68" s="1247"/>
      <c r="BE68" s="1247"/>
      <c r="BF68" s="1247"/>
      <c r="BG68" s="1247"/>
      <c r="BH68" s="1247"/>
      <c r="BI68" s="1247"/>
      <c r="BJ68" s="1272"/>
      <c r="BK68" s="1247"/>
      <c r="BL68" s="1247"/>
      <c r="BM68" s="1247"/>
    </row>
    <row r="69" spans="1:65" ht="17.25" customHeight="1" thickBot="1" x14ac:dyDescent="0.3">
      <c r="A69" s="1419"/>
      <c r="B69" s="1292"/>
      <c r="C69" s="1258"/>
      <c r="D69" s="1292"/>
      <c r="E69" s="1352"/>
      <c r="F69" s="1352"/>
      <c r="G69" s="1352"/>
      <c r="H69" s="1352"/>
      <c r="I69" s="1329"/>
      <c r="J69" s="1258"/>
      <c r="K69" s="1273"/>
      <c r="L69" s="1273"/>
      <c r="M69" s="1273"/>
      <c r="N69" s="1258"/>
      <c r="O69" s="1538"/>
      <c r="P69" s="1475"/>
      <c r="Q69" s="1346"/>
      <c r="R69" s="1346"/>
      <c r="S69" s="1346"/>
      <c r="T69" s="1346"/>
      <c r="U69" s="1551"/>
      <c r="V69" s="1551"/>
      <c r="W69" s="1551"/>
      <c r="X69" s="1383"/>
      <c r="Y69" s="1383"/>
      <c r="Z69" s="1383"/>
      <c r="AA69" s="1383"/>
      <c r="AB69" s="1383"/>
      <c r="AC69" s="1383"/>
      <c r="AD69" s="1383"/>
      <c r="AE69" s="1383"/>
      <c r="AF69" s="1258"/>
      <c r="AG69" s="1258"/>
      <c r="AH69" s="1317"/>
      <c r="AI69" s="1317"/>
      <c r="AJ69" s="1552"/>
      <c r="AK69" s="1553"/>
      <c r="AL69" s="1553"/>
      <c r="AM69" s="1553"/>
      <c r="AN69" s="1553"/>
      <c r="AO69" s="1554"/>
      <c r="AP69" s="1554"/>
      <c r="AQ69" s="1555"/>
      <c r="AR69" s="1554"/>
      <c r="AS69" s="1554"/>
      <c r="AT69" s="1554"/>
      <c r="AU69" s="1554"/>
      <c r="AV69" s="1554"/>
      <c r="AW69" s="1556"/>
      <c r="AX69" s="1256"/>
      <c r="AY69" s="1256"/>
      <c r="AZ69" s="1256"/>
      <c r="BA69" s="1256"/>
      <c r="BB69" s="1256"/>
      <c r="BC69" s="1247"/>
      <c r="BD69" s="1247"/>
      <c r="BE69" s="1247"/>
      <c r="BF69" s="1247"/>
      <c r="BG69" s="1247"/>
      <c r="BH69" s="1247"/>
      <c r="BI69" s="1247"/>
      <c r="BJ69" s="1272"/>
      <c r="BK69" s="1247"/>
      <c r="BL69" s="1247"/>
      <c r="BM69" s="1247"/>
    </row>
    <row r="70" spans="1:65" ht="17.25" customHeight="1" x14ac:dyDescent="0.25">
      <c r="A70" s="1296"/>
      <c r="B70" s="1419"/>
      <c r="C70" s="1425"/>
      <c r="D70" s="1352"/>
      <c r="E70" s="1296"/>
      <c r="F70" s="1296"/>
      <c r="G70" s="1296"/>
      <c r="H70" s="1296"/>
      <c r="I70" s="1352"/>
      <c r="J70" s="1258"/>
      <c r="K70" s="1299"/>
      <c r="L70" s="1520"/>
      <c r="M70" s="1520"/>
      <c r="N70" s="1258"/>
      <c r="O70" s="1538"/>
      <c r="P70" s="1475"/>
      <c r="Q70" s="1346"/>
      <c r="R70" s="1346"/>
      <c r="S70" s="1346"/>
      <c r="T70" s="1346"/>
      <c r="U70" s="1557"/>
      <c r="V70" s="1558"/>
      <c r="W70" s="1559"/>
      <c r="X70" s="1560"/>
      <c r="Y70" s="1560"/>
      <c r="Z70" s="1560"/>
      <c r="AA70" s="1560"/>
      <c r="AB70" s="1560"/>
      <c r="AC70" s="1561"/>
      <c r="AD70" s="1562"/>
      <c r="AE70" s="1560"/>
      <c r="AF70" s="1563"/>
      <c r="AG70" s="1564"/>
      <c r="AH70" s="1564"/>
      <c r="AI70" s="1565"/>
      <c r="AJ70" s="1317"/>
      <c r="AK70" s="1346"/>
      <c r="AL70" s="1346"/>
      <c r="AM70" s="1346"/>
      <c r="AN70" s="1346"/>
      <c r="AO70" s="1259"/>
      <c r="AP70" s="1346"/>
      <c r="AQ70" s="1346"/>
      <c r="AR70" s="1346"/>
      <c r="AS70" s="1346"/>
      <c r="AT70" s="1256"/>
      <c r="AU70" s="1256"/>
      <c r="AV70" s="1256"/>
      <c r="AW70" s="1256"/>
      <c r="AX70" s="1256"/>
      <c r="AY70" s="1256"/>
      <c r="AZ70" s="1256"/>
      <c r="BA70" s="1256"/>
      <c r="BB70" s="1256"/>
      <c r="BC70" s="1247"/>
      <c r="BD70" s="1247"/>
      <c r="BE70" s="1247"/>
      <c r="BF70" s="1247"/>
      <c r="BG70" s="1247"/>
      <c r="BH70" s="1247"/>
      <c r="BI70" s="1247"/>
      <c r="BJ70" s="1272"/>
      <c r="BK70" s="1247"/>
      <c r="BL70" s="1247"/>
      <c r="BM70" s="1247"/>
    </row>
    <row r="71" spans="1:65" ht="17.25" customHeight="1" x14ac:dyDescent="0.25">
      <c r="A71" s="1296"/>
      <c r="B71" s="1419"/>
      <c r="C71" s="1324"/>
      <c r="D71" s="1352"/>
      <c r="E71" s="1296"/>
      <c r="F71" s="1296"/>
      <c r="G71" s="1296"/>
      <c r="H71" s="1296"/>
      <c r="I71" s="1352"/>
      <c r="J71" s="1258"/>
      <c r="K71" s="1299"/>
      <c r="L71" s="1520"/>
      <c r="M71" s="1520"/>
      <c r="N71" s="1566"/>
      <c r="O71" s="1538"/>
      <c r="P71" s="1567"/>
      <c r="Q71" s="1346"/>
      <c r="R71" s="1346"/>
      <c r="S71" s="1346"/>
      <c r="T71" s="1346"/>
      <c r="U71" s="1346"/>
      <c r="V71" s="1559"/>
      <c r="W71" s="1559"/>
      <c r="X71" s="1568"/>
      <c r="Y71" s="1569"/>
      <c r="Z71" s="1569"/>
      <c r="AA71" s="1569"/>
      <c r="AB71" s="1569"/>
      <c r="AC71" s="1570"/>
      <c r="AD71" s="1571"/>
      <c r="AE71" s="1572"/>
      <c r="AF71" s="1573"/>
      <c r="AG71" s="1574"/>
      <c r="AH71" s="1574"/>
      <c r="AI71" s="1575"/>
      <c r="AJ71" s="1317"/>
      <c r="AK71" s="1346"/>
      <c r="AL71" s="1346"/>
      <c r="AM71" s="1465"/>
      <c r="AN71" s="1256"/>
      <c r="AO71" s="1346"/>
      <c r="AP71" s="1346"/>
      <c r="AQ71" s="1346"/>
      <c r="AR71" s="1346"/>
      <c r="AS71" s="1346"/>
      <c r="AT71" s="1346"/>
      <c r="AU71" s="1346"/>
      <c r="AV71" s="1346"/>
      <c r="AW71" s="1346"/>
      <c r="AX71" s="1247"/>
      <c r="AY71" s="1247"/>
      <c r="AZ71" s="1247"/>
      <c r="BA71" s="1247"/>
      <c r="BB71" s="1247"/>
      <c r="BC71" s="1247"/>
      <c r="BD71" s="1247"/>
      <c r="BE71" s="1247"/>
      <c r="BF71" s="1247"/>
      <c r="BG71" s="1247"/>
      <c r="BH71" s="1247"/>
      <c r="BI71" s="1247"/>
      <c r="BJ71" s="1272"/>
      <c r="BK71" s="1247"/>
      <c r="BL71" s="1247"/>
      <c r="BM71" s="1247"/>
    </row>
    <row r="72" spans="1:65" ht="17.25" customHeight="1" x14ac:dyDescent="0.25">
      <c r="A72" s="1296"/>
      <c r="B72" s="1419"/>
      <c r="C72" s="1324"/>
      <c r="D72" s="1291"/>
      <c r="E72" s="1352"/>
      <c r="F72" s="1352"/>
      <c r="G72" s="1352"/>
      <c r="H72" s="1352"/>
      <c r="I72" s="1258"/>
      <c r="J72" s="1258"/>
      <c r="K72" s="1291"/>
      <c r="L72" s="1273"/>
      <c r="M72" s="1273"/>
      <c r="N72" s="1566"/>
      <c r="O72" s="1273"/>
      <c r="P72" s="1576"/>
      <c r="Q72" s="1577"/>
      <c r="R72" s="1577"/>
      <c r="S72" s="1346"/>
      <c r="T72" s="1346"/>
      <c r="U72" s="1346"/>
      <c r="V72" s="1559"/>
      <c r="W72" s="1559"/>
      <c r="X72" s="1560"/>
      <c r="Y72" s="1560"/>
      <c r="Z72" s="1560"/>
      <c r="AA72" s="1560"/>
      <c r="AB72" s="1560"/>
      <c r="AC72" s="1570"/>
      <c r="AD72" s="1571"/>
      <c r="AE72" s="1560"/>
      <c r="AF72" s="1573"/>
      <c r="AG72" s="1574"/>
      <c r="AH72" s="1574"/>
      <c r="AI72" s="1575"/>
      <c r="AJ72" s="1317"/>
      <c r="AK72" s="1346"/>
      <c r="AL72" s="1346"/>
      <c r="AM72" s="1346"/>
      <c r="AN72" s="1346"/>
      <c r="AO72" s="1346"/>
      <c r="AP72" s="1346"/>
      <c r="AQ72" s="1346"/>
      <c r="AR72" s="1346"/>
      <c r="AS72" s="1346"/>
      <c r="AT72" s="1346"/>
      <c r="AU72" s="1346"/>
      <c r="AV72" s="1346"/>
      <c r="AW72" s="1346"/>
      <c r="AX72" s="1247"/>
      <c r="AY72" s="1247"/>
      <c r="AZ72" s="1247"/>
      <c r="BA72" s="1247"/>
      <c r="BB72" s="1247"/>
      <c r="BC72" s="1247"/>
      <c r="BD72" s="1247"/>
      <c r="BE72" s="1247"/>
      <c r="BF72" s="1247"/>
      <c r="BG72" s="1247"/>
      <c r="BH72" s="1247"/>
      <c r="BI72" s="1247"/>
      <c r="BJ72" s="1272"/>
      <c r="BK72" s="1247"/>
      <c r="BL72" s="1247"/>
      <c r="BM72" s="1247"/>
    </row>
    <row r="73" spans="1:65" ht="17.25" customHeight="1" thickBot="1" x14ac:dyDescent="0.3">
      <c r="A73" s="1296"/>
      <c r="B73" s="1419"/>
      <c r="C73" s="1324"/>
      <c r="D73" s="1258"/>
      <c r="E73" s="1544"/>
      <c r="F73" s="1544"/>
      <c r="G73" s="1544"/>
      <c r="H73" s="1544"/>
      <c r="I73" s="1258"/>
      <c r="J73" s="1258"/>
      <c r="K73" s="1273"/>
      <c r="L73" s="1273"/>
      <c r="M73" s="1273"/>
      <c r="N73" s="1566"/>
      <c r="O73" s="1578"/>
      <c r="P73" s="1579"/>
      <c r="Q73" s="1578"/>
      <c r="R73" s="1577"/>
      <c r="S73" s="1259"/>
      <c r="T73" s="1580"/>
      <c r="U73" s="1578"/>
      <c r="V73" s="1578"/>
      <c r="W73" s="1578"/>
      <c r="X73" s="1581"/>
      <c r="Y73" s="1581"/>
      <c r="Z73" s="1581"/>
      <c r="AA73" s="1581"/>
      <c r="AB73" s="1581"/>
      <c r="AC73" s="1582"/>
      <c r="AD73" s="1583"/>
      <c r="AE73" s="1581"/>
      <c r="AF73" s="1584"/>
      <c r="AG73" s="1585"/>
      <c r="AH73" s="1585"/>
      <c r="AI73" s="1586"/>
      <c r="AJ73" s="1552"/>
      <c r="AK73" s="1553"/>
      <c r="AL73" s="1553"/>
      <c r="AM73" s="1553"/>
      <c r="AN73" s="1553"/>
      <c r="AO73" s="1553"/>
      <c r="AP73" s="1553"/>
      <c r="AQ73" s="1553"/>
      <c r="AR73" s="1553"/>
      <c r="AS73" s="1553"/>
      <c r="AT73" s="1553"/>
      <c r="AU73" s="1553"/>
      <c r="AV73" s="1553"/>
      <c r="AW73" s="1553"/>
      <c r="AX73" s="1385"/>
      <c r="AY73" s="1385"/>
      <c r="AZ73" s="1385"/>
      <c r="BA73" s="1385"/>
      <c r="BB73" s="1385"/>
      <c r="BC73" s="1385"/>
      <c r="BD73" s="1385"/>
      <c r="BE73" s="1385"/>
      <c r="BF73" s="1385"/>
      <c r="BG73" s="1385"/>
      <c r="BH73" s="1385"/>
      <c r="BI73" s="1385"/>
      <c r="BJ73" s="1272"/>
      <c r="BK73" s="1247"/>
      <c r="BL73" s="1247"/>
      <c r="BM73" s="1247"/>
    </row>
    <row r="74" spans="1:65" ht="17.25" customHeight="1" x14ac:dyDescent="0.25">
      <c r="A74" s="1419"/>
      <c r="B74" s="1291"/>
      <c r="C74" s="1258"/>
      <c r="D74" s="1258"/>
      <c r="E74" s="1455"/>
      <c r="F74" s="1455"/>
      <c r="G74" s="1455"/>
      <c r="H74" s="1455"/>
      <c r="I74" s="1566"/>
      <c r="J74" s="1258"/>
      <c r="K74" s="1566"/>
      <c r="L74" s="1566"/>
      <c r="M74" s="1258"/>
      <c r="N74" s="1258"/>
      <c r="O74" s="1587"/>
      <c r="P74" s="1588"/>
      <c r="Q74" s="1588"/>
      <c r="R74" s="1589"/>
      <c r="S74" s="1589"/>
      <c r="T74" s="1256"/>
      <c r="U74" s="1256"/>
      <c r="V74" s="1256"/>
      <c r="W74" s="1256"/>
      <c r="X74" s="1288"/>
      <c r="Y74" s="1288"/>
      <c r="Z74" s="1288"/>
      <c r="AA74" s="1288"/>
      <c r="AB74" s="1288"/>
      <c r="AC74" s="1288"/>
      <c r="AD74" s="1288"/>
      <c r="AE74" s="1288"/>
      <c r="AF74" s="1288"/>
      <c r="AG74" s="1288"/>
      <c r="AH74" s="1288"/>
      <c r="AI74" s="1288"/>
      <c r="AJ74" s="1273"/>
      <c r="AK74" s="1247"/>
      <c r="AL74" s="1247"/>
      <c r="AM74" s="1247"/>
      <c r="AN74" s="1247"/>
      <c r="AO74" s="1247"/>
      <c r="AP74" s="1247"/>
      <c r="AQ74" s="1247"/>
      <c r="AR74" s="1247"/>
      <c r="AS74" s="1247"/>
      <c r="AT74" s="1247"/>
      <c r="AU74" s="1247"/>
      <c r="AV74" s="1247"/>
      <c r="AW74" s="1247"/>
      <c r="AX74" s="1247"/>
      <c r="AY74" s="1247"/>
      <c r="AZ74" s="1247"/>
      <c r="BA74" s="1256"/>
      <c r="BB74" s="1256"/>
      <c r="BC74" s="1256"/>
      <c r="BD74" s="1256"/>
      <c r="BE74" s="1247"/>
      <c r="BF74" s="1247"/>
      <c r="BG74" s="1247"/>
      <c r="BH74" s="1247"/>
      <c r="BI74" s="1247"/>
      <c r="BJ74" s="1247"/>
      <c r="BK74" s="1247"/>
      <c r="BL74" s="1247"/>
      <c r="BM74" s="1247"/>
    </row>
    <row r="75" spans="1:65" ht="17.25" customHeight="1" x14ac:dyDescent="0.25">
      <c r="A75" s="1417"/>
      <c r="B75" s="1312"/>
      <c r="C75" s="1258"/>
      <c r="D75" s="1258"/>
      <c r="E75" s="1258"/>
      <c r="F75" s="1258"/>
      <c r="G75" s="1258"/>
      <c r="H75" s="1258"/>
      <c r="I75" s="1566"/>
      <c r="J75" s="1258"/>
      <c r="K75" s="1566"/>
      <c r="L75" s="1258"/>
      <c r="M75" s="1258"/>
      <c r="N75" s="1258"/>
      <c r="O75" s="1587"/>
      <c r="P75" s="1590"/>
      <c r="Q75" s="1590"/>
      <c r="R75" s="1590"/>
      <c r="S75" s="1590"/>
      <c r="T75" s="1256"/>
      <c r="U75" s="1256"/>
      <c r="V75" s="1256"/>
      <c r="W75" s="1256"/>
      <c r="X75" s="1256"/>
      <c r="Y75" s="1256"/>
      <c r="Z75" s="1256"/>
      <c r="AA75" s="1256"/>
      <c r="AB75" s="1256"/>
      <c r="AC75" s="1256"/>
      <c r="AD75" s="1256"/>
      <c r="AE75" s="1256"/>
      <c r="AF75" s="1256"/>
      <c r="AG75" s="1256"/>
      <c r="AH75" s="1256"/>
      <c r="AI75" s="1256"/>
      <c r="AJ75" s="1256"/>
      <c r="AK75" s="1256"/>
      <c r="AL75" s="1256"/>
      <c r="AM75" s="1256"/>
      <c r="AN75" s="1591"/>
      <c r="AO75" s="1591"/>
      <c r="AP75" s="1591"/>
      <c r="AQ75" s="1591"/>
      <c r="AR75" s="1591"/>
      <c r="AS75" s="1591"/>
      <c r="AT75" s="1591"/>
      <c r="AU75" s="1591"/>
      <c r="AV75" s="1591"/>
      <c r="AW75" s="1591"/>
      <c r="AX75" s="1355"/>
      <c r="AY75" s="1355"/>
      <c r="AZ75" s="1355"/>
      <c r="BA75" s="1355"/>
      <c r="BB75" s="1355"/>
      <c r="BC75" s="1355"/>
      <c r="BD75" s="1355"/>
      <c r="BE75" s="1355"/>
      <c r="BF75" s="1355"/>
      <c r="BG75" s="1355"/>
      <c r="BH75" s="1355"/>
      <c r="BI75" s="1355"/>
      <c r="BJ75" s="1355"/>
      <c r="BK75" s="1355"/>
      <c r="BL75" s="1355"/>
      <c r="BM75" s="1355"/>
    </row>
    <row r="76" spans="1:65" ht="17.25" customHeight="1" x14ac:dyDescent="0.25">
      <c r="A76" s="1520"/>
      <c r="B76" s="1491"/>
      <c r="C76" s="1258"/>
      <c r="D76" s="1258"/>
      <c r="E76" s="1258"/>
      <c r="F76" s="1258"/>
      <c r="G76" s="1258"/>
      <c r="H76" s="1258"/>
      <c r="I76" s="1592"/>
      <c r="J76" s="1592"/>
      <c r="K76" s="1592"/>
      <c r="L76" s="1258"/>
      <c r="M76" s="1258"/>
      <c r="N76" s="1299"/>
      <c r="O76" s="1587"/>
      <c r="P76" s="1259"/>
      <c r="Q76" s="1259"/>
      <c r="R76" s="1259"/>
      <c r="S76" s="1259"/>
      <c r="T76" s="1259"/>
      <c r="U76" s="1259"/>
      <c r="V76" s="1259"/>
      <c r="W76" s="1259"/>
      <c r="X76" s="1259"/>
      <c r="Y76" s="1259"/>
      <c r="Z76" s="1259"/>
      <c r="AA76" s="1259"/>
      <c r="AB76" s="1259"/>
      <c r="AC76" s="1259"/>
      <c r="AD76" s="1259"/>
      <c r="AE76" s="1259"/>
      <c r="AF76" s="1259"/>
      <c r="AG76" s="1259"/>
      <c r="AH76" s="1259"/>
      <c r="AI76" s="1259"/>
      <c r="AJ76" s="1259"/>
      <c r="AK76" s="1259"/>
      <c r="AL76" s="1259"/>
      <c r="AM76" s="1259"/>
      <c r="AN76" s="1259"/>
      <c r="AO76" s="1259"/>
      <c r="AP76" s="1259"/>
      <c r="AQ76" s="1259"/>
      <c r="AR76" s="1259"/>
      <c r="AS76" s="1259"/>
      <c r="AT76" s="1259"/>
      <c r="AU76" s="1259"/>
      <c r="AV76" s="1259"/>
      <c r="AW76" s="1259"/>
      <c r="AX76" s="1259"/>
      <c r="AY76" s="1259"/>
      <c r="AZ76" s="1259"/>
      <c r="BA76" s="1259"/>
      <c r="BB76" s="1259"/>
      <c r="BC76" s="1259"/>
      <c r="BD76" s="1259"/>
      <c r="BE76" s="1259"/>
      <c r="BF76" s="1259"/>
      <c r="BG76" s="1259"/>
      <c r="BH76" s="1259"/>
      <c r="BI76" s="1259"/>
      <c r="BJ76" s="1259"/>
      <c r="BK76" s="1259"/>
      <c r="BL76" s="1259"/>
      <c r="BM76" s="1259"/>
    </row>
    <row r="77" spans="1:65" ht="17.25" customHeight="1" x14ac:dyDescent="0.25">
      <c r="A77" s="1520"/>
      <c r="B77" s="1593"/>
      <c r="C77" s="1593"/>
      <c r="D77" s="1258"/>
      <c r="E77" s="1492"/>
      <c r="F77" s="1492"/>
      <c r="G77" s="1492"/>
      <c r="H77" s="1273"/>
      <c r="I77" s="1380"/>
      <c r="J77" s="1380"/>
      <c r="K77" s="1380"/>
      <c r="L77" s="1258"/>
      <c r="M77" s="1258"/>
      <c r="N77" s="1299"/>
      <c r="O77" s="1587"/>
      <c r="P77" s="1259"/>
      <c r="Q77" s="1259"/>
      <c r="R77" s="1259"/>
      <c r="S77" s="1259"/>
      <c r="T77" s="1259"/>
      <c r="U77" s="1259"/>
      <c r="V77" s="1259"/>
      <c r="W77" s="1259"/>
      <c r="X77" s="1259"/>
      <c r="Y77" s="1259"/>
      <c r="Z77" s="1259"/>
      <c r="AA77" s="1259"/>
      <c r="AB77" s="1259"/>
      <c r="AC77" s="1259"/>
      <c r="AD77" s="1259"/>
      <c r="AE77" s="1259"/>
      <c r="AF77" s="1259"/>
      <c r="AG77" s="1259"/>
      <c r="AH77" s="1259"/>
      <c r="AI77" s="1259"/>
      <c r="AJ77" s="1259"/>
      <c r="AK77" s="1259"/>
      <c r="AL77" s="1259"/>
      <c r="AM77" s="1259"/>
      <c r="AN77" s="1259"/>
      <c r="AO77" s="1259"/>
      <c r="AP77" s="1259"/>
      <c r="AQ77" s="1259"/>
      <c r="AR77" s="1259"/>
      <c r="AS77" s="1259"/>
      <c r="AT77" s="1259"/>
      <c r="AU77" s="1259"/>
      <c r="AV77" s="1259"/>
      <c r="AW77" s="1259"/>
      <c r="AX77" s="1259"/>
      <c r="AY77" s="1259"/>
      <c r="AZ77" s="1259"/>
      <c r="BA77" s="1259"/>
      <c r="BB77" s="1259"/>
      <c r="BC77" s="1259"/>
      <c r="BD77" s="1259"/>
      <c r="BE77" s="1259"/>
      <c r="BF77" s="1259"/>
      <c r="BG77" s="1259"/>
      <c r="BH77" s="1259"/>
      <c r="BI77" s="1259"/>
      <c r="BJ77" s="1259"/>
      <c r="BK77" s="1259"/>
      <c r="BL77" s="1259"/>
      <c r="BM77" s="1259"/>
    </row>
    <row r="78" spans="1:65" ht="17.25" customHeight="1" x14ac:dyDescent="0.25">
      <c r="A78" s="1520"/>
      <c r="B78" s="1258"/>
      <c r="C78" s="1258"/>
      <c r="D78" s="1258"/>
      <c r="E78" s="1492"/>
      <c r="F78" s="1492"/>
      <c r="G78" s="1492"/>
      <c r="H78" s="1273"/>
      <c r="I78" s="1380"/>
      <c r="J78" s="1380"/>
      <c r="K78" s="1380"/>
      <c r="L78" s="1258"/>
      <c r="M78" s="1258"/>
      <c r="N78" s="1299"/>
      <c r="O78" s="1587"/>
      <c r="P78" s="1259"/>
      <c r="Q78" s="1259"/>
      <c r="R78" s="1259"/>
      <c r="S78" s="1259"/>
      <c r="T78" s="1259"/>
      <c r="U78" s="1259"/>
      <c r="V78" s="1259"/>
      <c r="W78" s="1259"/>
      <c r="X78" s="1259"/>
      <c r="Y78" s="1259"/>
      <c r="Z78" s="1259"/>
      <c r="AA78" s="1259"/>
      <c r="AB78" s="1259"/>
      <c r="AC78" s="1259"/>
      <c r="AD78" s="1259"/>
      <c r="AE78" s="1259"/>
      <c r="AF78" s="1259"/>
      <c r="AG78" s="1259"/>
      <c r="AH78" s="1259"/>
      <c r="AI78" s="1259"/>
      <c r="AJ78" s="1259"/>
      <c r="AK78" s="1259"/>
      <c r="AL78" s="1259"/>
      <c r="AM78" s="1259"/>
      <c r="AN78" s="1259"/>
      <c r="AO78" s="1259"/>
      <c r="AP78" s="1259"/>
      <c r="AQ78" s="1259"/>
      <c r="AR78" s="1259"/>
      <c r="AS78" s="1259"/>
      <c r="AT78" s="1259"/>
      <c r="AU78" s="1259"/>
      <c r="AV78" s="1259"/>
      <c r="AW78" s="1259"/>
      <c r="AX78" s="1259"/>
      <c r="AY78" s="1259"/>
      <c r="AZ78" s="1259"/>
      <c r="BA78" s="1259"/>
      <c r="BB78" s="1259"/>
      <c r="BC78" s="1259"/>
      <c r="BD78" s="1259"/>
      <c r="BE78" s="1259"/>
      <c r="BF78" s="1259"/>
      <c r="BG78" s="1259"/>
      <c r="BH78" s="1259"/>
      <c r="BI78" s="1259"/>
      <c r="BJ78" s="1259"/>
      <c r="BK78" s="1259"/>
      <c r="BL78" s="1259"/>
      <c r="BM78" s="1259"/>
    </row>
    <row r="79" spans="1:65" ht="17.25" customHeight="1" x14ac:dyDescent="0.25">
      <c r="A79" s="1291"/>
      <c r="B79" s="1259"/>
      <c r="C79" s="1259"/>
      <c r="D79" s="1258"/>
      <c r="E79" s="1291"/>
      <c r="F79" s="1258"/>
      <c r="G79" s="1258"/>
      <c r="H79" s="1258"/>
      <c r="I79" s="1258"/>
      <c r="J79" s="1258"/>
      <c r="K79" s="1291"/>
      <c r="L79" s="1258"/>
      <c r="M79" s="1258"/>
      <c r="N79" s="1299"/>
      <c r="O79" s="1587"/>
      <c r="P79" s="1259"/>
      <c r="Q79" s="1259"/>
      <c r="R79" s="1259"/>
      <c r="S79" s="1259"/>
      <c r="T79" s="1259"/>
      <c r="U79" s="1259"/>
      <c r="V79" s="1259"/>
      <c r="W79" s="1259"/>
      <c r="X79" s="1259"/>
      <c r="Y79" s="1259"/>
      <c r="Z79" s="1259"/>
      <c r="AA79" s="1259"/>
      <c r="AB79" s="1259"/>
      <c r="AC79" s="1259"/>
      <c r="AD79" s="1259"/>
      <c r="AE79" s="1259"/>
      <c r="AF79" s="1259"/>
      <c r="AG79" s="1259"/>
      <c r="AH79" s="1259"/>
      <c r="AI79" s="1259"/>
      <c r="AJ79" s="1259"/>
      <c r="AK79" s="1259"/>
      <c r="AL79" s="1259"/>
      <c r="AM79" s="1259"/>
      <c r="AN79" s="1259"/>
      <c r="AO79" s="1259"/>
      <c r="AP79" s="1259"/>
      <c r="AQ79" s="1259"/>
      <c r="AR79" s="1259"/>
      <c r="AS79" s="1259"/>
      <c r="AT79" s="1259"/>
      <c r="AU79" s="1259"/>
      <c r="AV79" s="1259"/>
      <c r="AW79" s="1259"/>
      <c r="AX79" s="1259"/>
      <c r="AY79" s="1259"/>
      <c r="AZ79" s="1259"/>
      <c r="BA79" s="1259"/>
      <c r="BB79" s="1259"/>
      <c r="BC79" s="1259"/>
      <c r="BD79" s="1259"/>
      <c r="BE79" s="1259"/>
      <c r="BF79" s="1259"/>
      <c r="BG79" s="1259"/>
      <c r="BH79" s="1259"/>
      <c r="BI79" s="1259"/>
      <c r="BJ79" s="1259"/>
      <c r="BK79" s="1259"/>
      <c r="BL79" s="1259"/>
      <c r="BM79" s="1259"/>
    </row>
    <row r="80" spans="1:65" ht="17.25" customHeight="1" x14ac:dyDescent="0.25">
      <c r="A80" s="1259"/>
      <c r="B80" s="1259"/>
      <c r="C80" s="1259"/>
      <c r="D80" s="1259"/>
      <c r="E80" s="1259"/>
      <c r="F80" s="1259"/>
      <c r="G80" s="1259"/>
      <c r="H80" s="1259"/>
      <c r="I80" s="1259"/>
      <c r="J80" s="1259"/>
      <c r="K80" s="1247"/>
      <c r="L80" s="1259"/>
      <c r="M80" s="1259"/>
      <c r="N80" s="1259"/>
      <c r="O80" s="1587"/>
      <c r="P80" s="1259"/>
      <c r="Q80" s="1259"/>
      <c r="R80" s="1259"/>
      <c r="S80" s="1259"/>
      <c r="T80" s="1259"/>
      <c r="U80" s="1259"/>
      <c r="V80" s="1259"/>
      <c r="W80" s="1259"/>
      <c r="X80" s="1259"/>
      <c r="Y80" s="1259"/>
      <c r="Z80" s="1259"/>
      <c r="AA80" s="1259"/>
      <c r="AB80" s="1259"/>
      <c r="AC80" s="1259"/>
      <c r="AD80" s="1259"/>
      <c r="AE80" s="1259"/>
      <c r="AF80" s="1259"/>
      <c r="AG80" s="1259"/>
      <c r="AH80" s="1259"/>
      <c r="AI80" s="1259"/>
      <c r="AJ80" s="1259"/>
      <c r="AK80" s="1259"/>
      <c r="AL80" s="1259"/>
      <c r="AM80" s="1259"/>
      <c r="AN80" s="1259"/>
      <c r="AO80" s="1259"/>
      <c r="AP80" s="1259"/>
      <c r="AQ80" s="1259"/>
      <c r="AR80" s="1259"/>
      <c r="AS80" s="1259"/>
      <c r="AT80" s="1259"/>
      <c r="AU80" s="1259"/>
      <c r="AV80" s="1259"/>
      <c r="AW80" s="1259"/>
      <c r="AX80" s="1259"/>
      <c r="AY80" s="1259"/>
      <c r="AZ80" s="1259"/>
      <c r="BA80" s="1259"/>
      <c r="BB80" s="1259"/>
      <c r="BC80" s="1259"/>
      <c r="BD80" s="1259"/>
      <c r="BE80" s="1259"/>
      <c r="BF80" s="1259"/>
      <c r="BG80" s="1259"/>
      <c r="BH80" s="1259"/>
      <c r="BI80" s="1259"/>
      <c r="BJ80" s="1259"/>
      <c r="BK80" s="1259"/>
      <c r="BL80" s="1259"/>
      <c r="BM80" s="1259"/>
    </row>
    <row r="81" spans="1:79" ht="17.25" customHeight="1" thickBot="1" x14ac:dyDescent="0.3">
      <c r="A81" s="1253"/>
      <c r="B81" s="1253"/>
      <c r="C81" s="1253"/>
      <c r="D81" s="1253"/>
      <c r="E81" s="1253"/>
      <c r="F81" s="1253"/>
      <c r="G81" s="1253"/>
      <c r="H81" s="1253"/>
      <c r="I81" s="1253"/>
      <c r="J81" s="1253"/>
      <c r="K81" s="1253"/>
      <c r="L81" s="1253"/>
      <c r="M81" s="1253"/>
      <c r="N81" s="1386"/>
      <c r="O81" s="1587"/>
      <c r="P81" s="1259"/>
      <c r="Q81" s="1259"/>
      <c r="R81" s="1259"/>
      <c r="S81" s="1259"/>
      <c r="T81" s="1259"/>
      <c r="U81" s="1259"/>
      <c r="V81" s="1259"/>
      <c r="W81" s="1259"/>
      <c r="X81" s="1259"/>
      <c r="Y81" s="1259"/>
      <c r="Z81" s="1259"/>
      <c r="AA81" s="1259"/>
      <c r="AB81" s="1259"/>
      <c r="AC81" s="1259"/>
      <c r="AD81" s="1259"/>
      <c r="AE81" s="1259"/>
      <c r="AF81" s="1259"/>
      <c r="AG81" s="1259"/>
      <c r="AH81" s="1259"/>
      <c r="AI81" s="1259"/>
      <c r="AJ81" s="1259"/>
      <c r="AK81" s="1259"/>
      <c r="AL81" s="1259"/>
      <c r="AM81" s="1259"/>
      <c r="AN81" s="1259"/>
      <c r="AO81" s="1259"/>
      <c r="AP81" s="1259"/>
      <c r="AQ81" s="1259"/>
      <c r="AR81" s="1259"/>
      <c r="AS81" s="1259"/>
      <c r="AT81" s="1259"/>
      <c r="AU81" s="1259"/>
      <c r="AV81" s="1259"/>
      <c r="AW81" s="1259"/>
      <c r="AX81" s="1259"/>
      <c r="AY81" s="1259"/>
      <c r="AZ81" s="1259"/>
      <c r="BA81" s="1259"/>
      <c r="BB81" s="1259"/>
      <c r="BC81" s="1259"/>
      <c r="BD81" s="1259"/>
      <c r="BE81" s="1259"/>
      <c r="BF81" s="1259"/>
      <c r="BG81" s="1259"/>
      <c r="BH81" s="1259"/>
      <c r="BI81" s="1259"/>
      <c r="BJ81" s="1259"/>
      <c r="BK81" s="1259"/>
      <c r="BL81" s="1259"/>
      <c r="BM81" s="1259"/>
    </row>
    <row r="82" spans="1:79" ht="17.25" customHeight="1" x14ac:dyDescent="0.25">
      <c r="A82" s="1259"/>
      <c r="B82" s="1259"/>
      <c r="C82" s="1259"/>
      <c r="D82" s="1259"/>
      <c r="E82" s="1259"/>
      <c r="F82" s="1259"/>
      <c r="G82" s="1259"/>
      <c r="H82" s="1259"/>
      <c r="I82" s="1259"/>
      <c r="J82" s="1259"/>
      <c r="K82" s="1259"/>
      <c r="L82" s="1259"/>
      <c r="M82" s="1259"/>
      <c r="N82" s="1259"/>
      <c r="O82" s="1259"/>
      <c r="P82" s="1259"/>
      <c r="Q82" s="1259"/>
      <c r="R82" s="1259"/>
      <c r="S82" s="1259"/>
      <c r="T82" s="1259"/>
      <c r="U82" s="1259"/>
      <c r="V82" s="1259"/>
      <c r="W82" s="1259"/>
      <c r="X82" s="1259"/>
      <c r="Y82" s="1259"/>
      <c r="Z82" s="1259"/>
      <c r="AA82" s="1259"/>
      <c r="AB82" s="1259"/>
      <c r="AC82" s="1259"/>
      <c r="AD82" s="1259"/>
      <c r="AE82" s="1259"/>
      <c r="AF82" s="1259"/>
      <c r="AG82" s="1259"/>
      <c r="AH82" s="1259"/>
      <c r="AI82" s="1259"/>
      <c r="AJ82" s="1259"/>
      <c r="AK82" s="1259"/>
      <c r="AL82" s="1259"/>
      <c r="AM82" s="1259"/>
      <c r="AN82" s="1259"/>
      <c r="AO82" s="1259"/>
      <c r="AP82" s="1259"/>
      <c r="AQ82" s="1259"/>
      <c r="AR82" s="1259"/>
      <c r="AS82" s="1259"/>
      <c r="AT82" s="1259"/>
      <c r="AU82" s="1259"/>
      <c r="AV82" s="1259"/>
      <c r="AW82" s="1259"/>
      <c r="AX82" s="1259"/>
      <c r="AY82" s="1259"/>
      <c r="AZ82" s="1259"/>
      <c r="BA82" s="1259"/>
      <c r="BB82" s="1259"/>
      <c r="BC82" s="1259"/>
      <c r="BD82" s="1259"/>
      <c r="BE82" s="1259"/>
      <c r="BF82" s="1259"/>
      <c r="BG82" s="1259"/>
      <c r="BH82" s="1259"/>
      <c r="BI82" s="1259"/>
      <c r="BJ82" s="1259"/>
      <c r="BK82" s="1259"/>
      <c r="BL82" s="1259"/>
      <c r="BM82" s="1259"/>
    </row>
    <row r="83" spans="1:79" ht="17.25" customHeight="1" x14ac:dyDescent="0.25">
      <c r="A83" s="1259"/>
      <c r="B83" s="1259"/>
      <c r="C83" s="1259"/>
      <c r="D83" s="1259"/>
      <c r="E83" s="1259"/>
      <c r="F83" s="1259"/>
      <c r="G83" s="1259"/>
      <c r="H83" s="1259"/>
      <c r="I83" s="1259"/>
      <c r="J83" s="1259"/>
      <c r="K83" s="1259"/>
      <c r="L83" s="1259"/>
      <c r="M83" s="1259"/>
      <c r="N83" s="1259"/>
      <c r="O83" s="1259"/>
      <c r="P83" s="1259"/>
      <c r="Q83" s="1259"/>
      <c r="R83" s="1259"/>
      <c r="S83" s="1259"/>
      <c r="T83" s="1259"/>
      <c r="U83" s="1259"/>
      <c r="V83" s="1259"/>
      <c r="W83" s="1259"/>
      <c r="X83" s="1259"/>
      <c r="Y83" s="1259"/>
      <c r="Z83" s="1259"/>
      <c r="AA83" s="1259"/>
      <c r="AB83" s="1259"/>
      <c r="AC83" s="1259"/>
      <c r="AD83" s="1259"/>
      <c r="AE83" s="1259"/>
      <c r="AF83" s="1259"/>
      <c r="AG83" s="1259"/>
      <c r="AH83" s="1259"/>
      <c r="AI83" s="1259"/>
      <c r="AJ83" s="1259"/>
      <c r="AK83" s="1259"/>
      <c r="AL83" s="1259"/>
      <c r="AM83" s="1259"/>
      <c r="AN83" s="1259"/>
      <c r="AO83" s="1259"/>
      <c r="AP83" s="1259"/>
      <c r="AQ83" s="1259"/>
      <c r="AR83" s="1259"/>
      <c r="AS83" s="1259"/>
      <c r="AT83" s="1259"/>
      <c r="AU83" s="1259"/>
      <c r="AV83" s="1259"/>
      <c r="AW83" s="1259"/>
      <c r="AX83" s="1259"/>
      <c r="AY83" s="1259"/>
      <c r="AZ83" s="1259"/>
      <c r="BA83" s="1259"/>
      <c r="BB83" s="1259"/>
      <c r="BC83" s="1259"/>
      <c r="BD83" s="1259"/>
      <c r="BE83" s="1259"/>
      <c r="BF83" s="1259"/>
      <c r="BG83" s="1259"/>
      <c r="BH83" s="1259"/>
      <c r="BI83" s="1259"/>
      <c r="BJ83" s="1259"/>
      <c r="BK83" s="1259"/>
      <c r="BL83" s="1259"/>
      <c r="BM83" s="1259"/>
    </row>
    <row r="84" spans="1:79" ht="17.25" customHeight="1" x14ac:dyDescent="0.25">
      <c r="A84" s="1512"/>
      <c r="B84" s="1512"/>
      <c r="C84" s="1512"/>
      <c r="D84" s="1512"/>
      <c r="E84" s="1512"/>
      <c r="F84" s="1512"/>
      <c r="G84" s="1512"/>
      <c r="H84" s="1512"/>
      <c r="I84" s="1512"/>
      <c r="J84" s="1512"/>
      <c r="K84" s="1512"/>
      <c r="L84" s="1512"/>
      <c r="M84" s="1512"/>
      <c r="N84" s="1512"/>
      <c r="O84" s="1512"/>
      <c r="P84" s="1512"/>
      <c r="Q84" s="1512"/>
      <c r="R84" s="1512"/>
      <c r="S84" s="1512"/>
      <c r="T84" s="1512"/>
      <c r="U84" s="1512"/>
      <c r="V84" s="1512"/>
      <c r="W84" s="1512"/>
      <c r="X84" s="1512"/>
      <c r="Y84" s="1512"/>
      <c r="Z84" s="1512"/>
      <c r="AA84" s="1512"/>
      <c r="AB84" s="1512"/>
      <c r="AC84" s="1512"/>
      <c r="AD84" s="1512"/>
      <c r="AE84" s="1512"/>
      <c r="AF84" s="1512"/>
      <c r="AG84" s="1512"/>
      <c r="AH84" s="1512"/>
      <c r="AI84" s="1512"/>
      <c r="AJ84" s="1512"/>
      <c r="AK84" s="1512"/>
      <c r="AL84" s="1512"/>
      <c r="AM84" s="1512"/>
      <c r="AN84" s="1512"/>
      <c r="AO84" s="1512"/>
      <c r="AP84" s="1512"/>
      <c r="AQ84" s="1512"/>
      <c r="AR84" s="1512"/>
      <c r="AS84" s="1512"/>
      <c r="AT84" s="1512"/>
      <c r="AU84" s="1512"/>
      <c r="AV84" s="1512"/>
      <c r="AW84" s="1512"/>
      <c r="AX84" s="1512"/>
      <c r="AY84" s="1512"/>
      <c r="AZ84" s="1512"/>
      <c r="BA84" s="1512"/>
      <c r="BB84" s="1512"/>
      <c r="BC84" s="1512"/>
      <c r="BD84" s="1512"/>
      <c r="BE84" s="1512"/>
      <c r="BF84" s="1512"/>
      <c r="BG84" s="1512"/>
      <c r="BH84" s="1512"/>
      <c r="BI84" s="1512"/>
      <c r="BJ84" s="1512"/>
      <c r="BK84" s="1512"/>
      <c r="BL84" s="1512"/>
      <c r="BM84" s="1512"/>
      <c r="BN84" s="1512"/>
      <c r="BO84" s="1512"/>
      <c r="BP84" s="1512"/>
      <c r="BQ84" s="1512"/>
      <c r="BR84" s="1512"/>
      <c r="BS84" s="1512"/>
      <c r="BT84" s="1512"/>
      <c r="BU84" s="1512"/>
      <c r="BV84" s="1512"/>
      <c r="BW84" s="1512"/>
      <c r="BX84" s="1512"/>
      <c r="BY84" s="1512"/>
      <c r="BZ84" s="1512"/>
      <c r="CA84" s="1512"/>
    </row>
    <row r="85" spans="1:79" ht="17.25" customHeight="1" x14ac:dyDescent="0.25">
      <c r="A85" s="1512"/>
      <c r="B85" s="1512"/>
      <c r="C85" s="1512"/>
      <c r="D85" s="1512"/>
      <c r="E85" s="1512"/>
      <c r="F85" s="1512"/>
      <c r="G85" s="1512"/>
      <c r="H85" s="1512"/>
      <c r="I85" s="1512"/>
      <c r="J85" s="1512"/>
      <c r="K85" s="1512"/>
      <c r="L85" s="1512"/>
      <c r="M85" s="1512"/>
      <c r="N85" s="1512"/>
      <c r="O85" s="1512"/>
      <c r="P85" s="1512"/>
      <c r="Q85" s="1512"/>
      <c r="R85" s="1512"/>
      <c r="S85" s="1512"/>
      <c r="T85" s="1512"/>
      <c r="U85" s="1512"/>
      <c r="V85" s="1512"/>
      <c r="W85" s="1512"/>
      <c r="X85" s="1512"/>
      <c r="Y85" s="1512"/>
      <c r="Z85" s="1512"/>
      <c r="AA85" s="1512"/>
      <c r="AB85" s="1512"/>
      <c r="AC85" s="1512"/>
      <c r="AD85" s="1512"/>
      <c r="AE85" s="1512"/>
      <c r="AF85" s="1512"/>
      <c r="AG85" s="1512"/>
      <c r="AH85" s="1512"/>
      <c r="AI85" s="1512"/>
      <c r="AJ85" s="1512"/>
      <c r="AK85" s="1512"/>
      <c r="AL85" s="1512"/>
      <c r="AM85" s="1512"/>
      <c r="AN85" s="1512"/>
      <c r="AO85" s="1512"/>
      <c r="AP85" s="1512"/>
      <c r="AQ85" s="1512"/>
      <c r="AR85" s="1512"/>
      <c r="AS85" s="1512"/>
      <c r="AT85" s="1512"/>
      <c r="AU85" s="1512"/>
      <c r="AV85" s="1512"/>
      <c r="AW85" s="1512"/>
      <c r="AX85" s="1512"/>
      <c r="AY85" s="1512"/>
      <c r="AZ85" s="1512"/>
      <c r="BA85" s="1512"/>
      <c r="BB85" s="1512"/>
      <c r="BC85" s="1512"/>
      <c r="BD85" s="1512"/>
      <c r="BE85" s="1512"/>
      <c r="BF85" s="1512"/>
      <c r="BG85" s="1512"/>
      <c r="BH85" s="1512"/>
      <c r="BI85" s="1512"/>
      <c r="BJ85" s="1512"/>
      <c r="BK85" s="1512"/>
      <c r="BL85" s="1512"/>
      <c r="BM85" s="1512"/>
      <c r="BN85" s="1512"/>
      <c r="BO85" s="1512"/>
      <c r="BP85" s="1512"/>
      <c r="BQ85" s="1512"/>
      <c r="BR85" s="1512"/>
      <c r="BS85" s="1512"/>
      <c r="BT85" s="1512"/>
      <c r="BU85" s="1512"/>
      <c r="BV85" s="1512"/>
      <c r="BW85" s="1512"/>
      <c r="BX85" s="1512"/>
      <c r="BY85" s="1512"/>
      <c r="BZ85" s="1512"/>
      <c r="CA85" s="1512"/>
    </row>
    <row r="86" spans="1:79" ht="17.25" customHeight="1" x14ac:dyDescent="0.25">
      <c r="A86" s="1512"/>
      <c r="B86" s="1512"/>
      <c r="C86" s="1512"/>
      <c r="D86" s="1512"/>
      <c r="E86" s="1512"/>
      <c r="F86" s="1512"/>
      <c r="G86" s="1512"/>
      <c r="H86" s="1512"/>
      <c r="I86" s="1512"/>
      <c r="J86" s="1512"/>
      <c r="K86" s="1512"/>
      <c r="L86" s="1512"/>
      <c r="M86" s="1512"/>
      <c r="N86" s="1512"/>
      <c r="O86" s="1512"/>
      <c r="P86" s="1512"/>
      <c r="Q86" s="1512"/>
      <c r="R86" s="1512"/>
      <c r="S86" s="1512"/>
      <c r="T86" s="1512"/>
      <c r="U86" s="1512"/>
      <c r="V86" s="1512"/>
      <c r="W86" s="1512"/>
      <c r="X86" s="1512"/>
      <c r="Y86" s="1512"/>
      <c r="Z86" s="1512"/>
      <c r="AA86" s="1512"/>
      <c r="AB86" s="1512"/>
      <c r="AC86" s="1512"/>
      <c r="AD86" s="1512"/>
      <c r="AE86" s="1512"/>
      <c r="AF86" s="1512"/>
      <c r="AG86" s="1512"/>
      <c r="AH86" s="1512"/>
      <c r="AI86" s="1512"/>
      <c r="AJ86" s="1512"/>
      <c r="AK86" s="1512"/>
      <c r="AL86" s="1512"/>
      <c r="AM86" s="1512"/>
      <c r="AN86" s="1512"/>
      <c r="AO86" s="1512"/>
      <c r="AP86" s="1512"/>
      <c r="AQ86" s="1512"/>
      <c r="AR86" s="1512"/>
      <c r="AS86" s="1512"/>
      <c r="AT86" s="1512"/>
      <c r="AU86" s="1512"/>
      <c r="AV86" s="1512"/>
      <c r="AW86" s="1512"/>
      <c r="AX86" s="1512"/>
      <c r="AY86" s="1512"/>
      <c r="AZ86" s="1512"/>
      <c r="BA86" s="1512"/>
      <c r="BB86" s="1512"/>
      <c r="BC86" s="1512"/>
      <c r="BD86" s="1512"/>
      <c r="BE86" s="1512"/>
      <c r="BF86" s="1512"/>
      <c r="BG86" s="1512"/>
      <c r="BH86" s="1512"/>
      <c r="BI86" s="1512"/>
      <c r="BJ86" s="1512"/>
      <c r="BK86" s="1512"/>
      <c r="BL86" s="1512"/>
      <c r="BM86" s="1512"/>
      <c r="BN86" s="1512"/>
      <c r="BO86" s="1512"/>
      <c r="BP86" s="1512"/>
      <c r="BQ86" s="1512"/>
      <c r="BR86" s="1512"/>
      <c r="BS86" s="1512"/>
      <c r="BT86" s="1512"/>
      <c r="BU86" s="1512"/>
      <c r="BV86" s="1512"/>
      <c r="BW86" s="1512"/>
      <c r="BX86" s="1512"/>
      <c r="BY86" s="1512"/>
      <c r="BZ86" s="1512"/>
      <c r="CA86" s="1512"/>
    </row>
    <row r="87" spans="1:79" ht="17.25" customHeight="1" x14ac:dyDescent="0.25">
      <c r="A87" s="1512"/>
      <c r="B87" s="1512"/>
      <c r="C87" s="1512"/>
      <c r="D87" s="1512"/>
      <c r="E87" s="1512"/>
      <c r="F87" s="1512"/>
      <c r="G87" s="1512"/>
      <c r="H87" s="1512"/>
      <c r="I87" s="1512"/>
      <c r="J87" s="1512"/>
      <c r="K87" s="1512"/>
      <c r="L87" s="1512"/>
      <c r="M87" s="1512"/>
      <c r="N87" s="1512"/>
      <c r="O87" s="1512"/>
      <c r="P87" s="1512"/>
      <c r="Q87" s="1512"/>
      <c r="R87" s="1512"/>
      <c r="S87" s="1512"/>
      <c r="T87" s="1512"/>
      <c r="U87" s="1512"/>
      <c r="V87" s="1512"/>
      <c r="W87" s="1512"/>
      <c r="X87" s="1512"/>
      <c r="Y87" s="1512"/>
      <c r="Z87" s="1512"/>
      <c r="AA87" s="1512"/>
      <c r="AB87" s="1512"/>
      <c r="AC87" s="1512"/>
      <c r="AD87" s="1512"/>
      <c r="AE87" s="1512"/>
      <c r="AF87" s="1512"/>
      <c r="AG87" s="1512"/>
      <c r="AH87" s="1512"/>
      <c r="AI87" s="1512"/>
      <c r="AJ87" s="1512"/>
      <c r="AK87" s="1512"/>
      <c r="AL87" s="1512"/>
      <c r="AM87" s="1512"/>
      <c r="AN87" s="1512"/>
      <c r="AO87" s="1512"/>
      <c r="AP87" s="1512"/>
      <c r="AQ87" s="1512"/>
      <c r="AR87" s="1512"/>
      <c r="AS87" s="1512"/>
      <c r="AT87" s="1512"/>
      <c r="AU87" s="1512"/>
      <c r="AV87" s="1512"/>
      <c r="AW87" s="1512"/>
      <c r="AX87" s="1512"/>
      <c r="AY87" s="1512"/>
      <c r="AZ87" s="1512"/>
      <c r="BA87" s="1512"/>
      <c r="BB87" s="1512"/>
      <c r="BC87" s="1512"/>
      <c r="BD87" s="1512"/>
      <c r="BE87" s="1512"/>
      <c r="BF87" s="1512"/>
      <c r="BG87" s="1512"/>
      <c r="BH87" s="1512"/>
      <c r="BI87" s="1512"/>
      <c r="BJ87" s="1512"/>
      <c r="BK87" s="1512"/>
      <c r="BL87" s="1512"/>
      <c r="BM87" s="1512"/>
      <c r="BN87" s="1512"/>
      <c r="BO87" s="1512"/>
      <c r="BP87" s="1512"/>
      <c r="BQ87" s="1512"/>
      <c r="BR87" s="1512"/>
      <c r="BS87" s="1512"/>
      <c r="BT87" s="1512"/>
      <c r="BU87" s="1512"/>
      <c r="BV87" s="1512"/>
      <c r="BW87" s="1512"/>
      <c r="BX87" s="1512"/>
      <c r="BY87" s="1512"/>
      <c r="BZ87" s="1512"/>
      <c r="CA87" s="1512"/>
    </row>
    <row r="88" spans="1:79" ht="17.25" customHeight="1" x14ac:dyDescent="0.25">
      <c r="A88" s="1512"/>
      <c r="B88" s="1512"/>
      <c r="C88" s="1512"/>
      <c r="D88" s="1512"/>
      <c r="E88" s="1512"/>
      <c r="F88" s="1512"/>
      <c r="G88" s="1512"/>
      <c r="H88" s="1512"/>
      <c r="I88" s="1512"/>
      <c r="J88" s="1512"/>
      <c r="K88" s="1512"/>
      <c r="L88" s="1512"/>
      <c r="M88" s="1512"/>
      <c r="N88" s="1512"/>
      <c r="O88" s="1512"/>
      <c r="P88" s="1512"/>
      <c r="Q88" s="1512"/>
      <c r="R88" s="1512"/>
      <c r="S88" s="1512"/>
      <c r="T88" s="1512"/>
      <c r="U88" s="1512"/>
      <c r="V88" s="1512"/>
      <c r="W88" s="1512"/>
      <c r="X88" s="1512"/>
      <c r="Y88" s="1512"/>
      <c r="Z88" s="1512"/>
      <c r="AA88" s="1512"/>
      <c r="AB88" s="1512"/>
      <c r="AC88" s="1512"/>
      <c r="AD88" s="1512"/>
      <c r="AE88" s="1512"/>
      <c r="AF88" s="1512"/>
      <c r="AG88" s="1512"/>
      <c r="AH88" s="1512"/>
      <c r="AI88" s="1512"/>
      <c r="AJ88" s="1512"/>
      <c r="AK88" s="1512"/>
      <c r="AL88" s="1512"/>
      <c r="AM88" s="1512"/>
      <c r="AN88" s="1512"/>
      <c r="AO88" s="1512"/>
      <c r="AP88" s="1512"/>
      <c r="AQ88" s="1512"/>
      <c r="AR88" s="1512"/>
      <c r="AS88" s="1512"/>
      <c r="AT88" s="1512"/>
      <c r="AU88" s="1512"/>
      <c r="AV88" s="1512"/>
      <c r="AW88" s="1512"/>
      <c r="AX88" s="1512"/>
      <c r="AY88" s="1512"/>
      <c r="AZ88" s="1512"/>
      <c r="BA88" s="1512"/>
      <c r="BB88" s="1512"/>
      <c r="BC88" s="1512"/>
      <c r="BD88" s="1512"/>
      <c r="BE88" s="1512"/>
      <c r="BF88" s="1512"/>
      <c r="BG88" s="1512"/>
      <c r="BH88" s="1512"/>
      <c r="BI88" s="1512"/>
      <c r="BJ88" s="1512"/>
      <c r="BK88" s="1512"/>
      <c r="BL88" s="1512"/>
      <c r="BM88" s="1512"/>
      <c r="BN88" s="1512"/>
      <c r="BO88" s="1512"/>
      <c r="BP88" s="1512"/>
      <c r="BQ88" s="1512"/>
      <c r="BR88" s="1512"/>
      <c r="BS88" s="1512"/>
      <c r="BT88" s="1512"/>
      <c r="BU88" s="1512"/>
      <c r="BV88" s="1512"/>
      <c r="BW88" s="1512"/>
      <c r="BX88" s="1512"/>
      <c r="BY88" s="1512"/>
      <c r="BZ88" s="1512"/>
      <c r="CA88" s="1512"/>
    </row>
    <row r="89" spans="1:79" ht="17.25" customHeight="1" x14ac:dyDescent="0.25">
      <c r="A89" s="1512"/>
      <c r="B89" s="1512"/>
      <c r="C89" s="1512"/>
      <c r="D89" s="1512"/>
      <c r="E89" s="1512"/>
      <c r="F89" s="1512"/>
      <c r="G89" s="1512"/>
      <c r="H89" s="1512"/>
      <c r="I89" s="1512"/>
      <c r="J89" s="1512"/>
      <c r="K89" s="1512"/>
      <c r="L89" s="1512"/>
      <c r="M89" s="1512"/>
      <c r="N89" s="1512"/>
      <c r="O89" s="1512"/>
      <c r="P89" s="1512"/>
      <c r="Q89" s="1512"/>
      <c r="R89" s="1512"/>
      <c r="S89" s="1512"/>
      <c r="T89" s="1512"/>
      <c r="U89" s="1512"/>
      <c r="V89" s="1512"/>
      <c r="W89" s="1512"/>
      <c r="X89" s="1512"/>
      <c r="Y89" s="1512"/>
      <c r="Z89" s="1512"/>
      <c r="AA89" s="1512"/>
      <c r="AB89" s="1512"/>
      <c r="AC89" s="1512"/>
      <c r="AD89" s="1512"/>
      <c r="AE89" s="1512"/>
      <c r="AF89" s="1512"/>
      <c r="AG89" s="1512"/>
      <c r="AH89" s="1512"/>
      <c r="AI89" s="1512"/>
      <c r="AJ89" s="1512"/>
      <c r="AK89" s="1512"/>
      <c r="AL89" s="1512"/>
      <c r="AM89" s="1512"/>
      <c r="AN89" s="1512"/>
      <c r="AO89" s="1512"/>
      <c r="AP89" s="1512"/>
      <c r="AQ89" s="1512"/>
      <c r="AR89" s="1512"/>
      <c r="AS89" s="1512"/>
      <c r="AT89" s="1512"/>
      <c r="AU89" s="1512"/>
      <c r="AV89" s="1512"/>
      <c r="AW89" s="1512"/>
      <c r="AX89" s="1512"/>
      <c r="AY89" s="1512"/>
      <c r="AZ89" s="1512"/>
      <c r="BA89" s="1512"/>
      <c r="BB89" s="1512"/>
      <c r="BC89" s="1512"/>
      <c r="BD89" s="1512"/>
      <c r="BE89" s="1512"/>
      <c r="BF89" s="1512"/>
      <c r="BG89" s="1512"/>
      <c r="BH89" s="1512"/>
      <c r="BI89" s="1512"/>
      <c r="BJ89" s="1512"/>
      <c r="BK89" s="1512"/>
      <c r="BL89" s="1512"/>
      <c r="BM89" s="1512"/>
      <c r="BN89" s="1512"/>
      <c r="BO89" s="1512"/>
      <c r="BP89" s="1512"/>
      <c r="BQ89" s="1512"/>
      <c r="BR89" s="1512"/>
      <c r="BS89" s="1512"/>
      <c r="BT89" s="1512"/>
      <c r="BU89" s="1512"/>
      <c r="BV89" s="1512"/>
      <c r="BW89" s="1512"/>
      <c r="BX89" s="1512"/>
      <c r="BY89" s="1512"/>
      <c r="BZ89" s="1512"/>
      <c r="CA89" s="1512"/>
    </row>
    <row r="94" spans="1:79" ht="17.25" customHeight="1" x14ac:dyDescent="0.25">
      <c r="M94" s="1594"/>
    </row>
    <row r="95" spans="1:79" ht="17.25" customHeight="1" x14ac:dyDescent="0.25">
      <c r="M95" s="1594"/>
    </row>
    <row r="96" spans="1:79" ht="17.25" customHeight="1" x14ac:dyDescent="0.25">
      <c r="M96" s="1594"/>
    </row>
    <row r="101" spans="1:33" ht="17.25" customHeight="1" x14ac:dyDescent="0.25">
      <c r="M101" s="1594"/>
    </row>
    <row r="102" spans="1:33" ht="17.25" customHeight="1" x14ac:dyDescent="0.25">
      <c r="M102" s="1594"/>
    </row>
    <row r="103" spans="1:33" ht="17.25" customHeight="1" x14ac:dyDescent="0.25">
      <c r="M103" s="1594"/>
    </row>
    <row r="108" spans="1:33" ht="17.25" customHeight="1" x14ac:dyDescent="0.25">
      <c r="M108" s="1594"/>
    </row>
    <row r="109" spans="1:33" ht="17.25" customHeight="1" x14ac:dyDescent="0.25">
      <c r="M109" s="1594"/>
    </row>
    <row r="110" spans="1:33" ht="17.25" customHeight="1" thickBot="1" x14ac:dyDescent="0.3">
      <c r="M110" s="1594"/>
    </row>
    <row r="111" spans="1:33" ht="17.25" customHeight="1" thickBot="1" x14ac:dyDescent="0.3">
      <c r="A111" s="1595"/>
      <c r="B111" s="1596"/>
      <c r="C111" s="1596"/>
      <c r="D111" s="1596"/>
      <c r="E111" s="1596"/>
      <c r="F111" s="1596"/>
      <c r="G111" s="1596"/>
      <c r="H111" s="1596"/>
      <c r="I111" s="1597"/>
      <c r="J111" s="1598"/>
      <c r="K111" s="1599"/>
      <c r="L111" s="1599"/>
      <c r="M111" s="1600"/>
      <c r="Q111" s="1601"/>
      <c r="R111" s="1601"/>
      <c r="S111" s="1601"/>
      <c r="T111" s="1601"/>
      <c r="W111" s="1601"/>
      <c r="X111" s="1601"/>
      <c r="Y111" s="1601"/>
      <c r="Z111" s="1601"/>
      <c r="AB111" s="1602"/>
      <c r="AC111" s="1602"/>
      <c r="AD111" s="1602"/>
      <c r="AE111" s="1602"/>
      <c r="AF111" s="1602"/>
      <c r="AG111" s="1602"/>
    </row>
    <row r="112" spans="1:33" ht="17.25" customHeight="1" thickBot="1" x14ac:dyDescent="0.35">
      <c r="A112" s="1603"/>
      <c r="B112" s="1604"/>
      <c r="C112" s="1604"/>
      <c r="D112" s="1604"/>
      <c r="E112" s="1604"/>
      <c r="F112" s="1604"/>
      <c r="G112" s="1604"/>
      <c r="H112" s="1604"/>
      <c r="I112" s="1604"/>
      <c r="J112" s="1604"/>
      <c r="K112" s="1604"/>
      <c r="L112" s="1604"/>
      <c r="M112" s="1605"/>
      <c r="Q112" s="1606"/>
      <c r="R112" s="1606"/>
      <c r="S112" s="1606"/>
      <c r="T112" s="1606"/>
      <c r="W112" s="1606"/>
      <c r="X112" s="1606"/>
      <c r="Y112" s="1606"/>
      <c r="Z112" s="1606"/>
      <c r="AB112" s="1607"/>
      <c r="AC112" s="1607"/>
      <c r="AD112" s="1607"/>
      <c r="AE112" s="1607"/>
      <c r="AF112" s="1607"/>
      <c r="AG112" s="1607"/>
    </row>
    <row r="113" spans="1:58" ht="17.25" customHeight="1" thickBot="1" x14ac:dyDescent="0.35">
      <c r="A113" s="1608"/>
      <c r="B113" s="1609"/>
      <c r="C113" s="1609"/>
      <c r="D113" s="1609"/>
      <c r="E113" s="1609"/>
      <c r="F113" s="1610"/>
      <c r="G113" s="1611"/>
      <c r="H113" s="1612"/>
      <c r="I113" s="1613"/>
      <c r="Q113" s="1614"/>
      <c r="R113" s="1614"/>
      <c r="S113" s="1615"/>
      <c r="T113" s="1615"/>
      <c r="W113" s="1614"/>
      <c r="X113" s="1614"/>
      <c r="Y113" s="1615"/>
      <c r="Z113" s="1615"/>
      <c r="AB113" s="1607"/>
      <c r="AC113" s="1607"/>
      <c r="AD113" s="1607"/>
      <c r="AE113" s="1607"/>
      <c r="AF113" s="1607"/>
      <c r="AG113" s="1607"/>
    </row>
    <row r="114" spans="1:58" ht="17.25" customHeight="1" thickBot="1" x14ac:dyDescent="0.4">
      <c r="A114" s="1616"/>
      <c r="B114" s="1616"/>
      <c r="C114" s="1616"/>
      <c r="D114" s="1616"/>
      <c r="E114" s="1616"/>
      <c r="F114" s="1616"/>
      <c r="G114" s="1616"/>
      <c r="H114" s="1616"/>
      <c r="I114" s="1616"/>
      <c r="Q114" s="1617"/>
      <c r="R114" s="1618"/>
      <c r="S114" s="1618"/>
      <c r="T114" s="1618"/>
      <c r="U114" s="1619"/>
      <c r="V114" s="1620"/>
      <c r="W114" s="1617"/>
      <c r="X114" s="1618"/>
      <c r="Y114" s="1618"/>
      <c r="Z114" s="1618"/>
      <c r="AF114" s="1621"/>
      <c r="AG114" s="1621"/>
    </row>
    <row r="115" spans="1:58" ht="17.25" customHeight="1" thickTop="1" thickBot="1" x14ac:dyDescent="0.3">
      <c r="A115" s="1622"/>
      <c r="B115" s="1623"/>
      <c r="C115" s="1623"/>
      <c r="D115" s="1623"/>
      <c r="E115" s="1624"/>
      <c r="F115" s="1616"/>
      <c r="G115" s="1616"/>
      <c r="H115" s="1616"/>
      <c r="I115" s="1616"/>
      <c r="Q115" s="1625"/>
      <c r="R115" s="1626"/>
      <c r="S115" s="1626"/>
      <c r="T115" s="1626"/>
      <c r="W115" s="1625"/>
      <c r="X115" s="1626"/>
      <c r="Y115" s="1626"/>
      <c r="Z115" s="1626"/>
      <c r="AF115" s="1627"/>
      <c r="AG115" s="1627"/>
    </row>
    <row r="116" spans="1:58" ht="17.25" customHeight="1" thickTop="1" thickBot="1" x14ac:dyDescent="0.3">
      <c r="A116" s="1622"/>
      <c r="B116" s="1623"/>
      <c r="C116" s="1623"/>
      <c r="D116" s="1623"/>
      <c r="E116" s="1624"/>
      <c r="F116" s="1616"/>
      <c r="G116" s="1616"/>
      <c r="H116" s="1616"/>
      <c r="I116" s="1628"/>
      <c r="Q116" s="1629"/>
      <c r="R116" s="1630"/>
      <c r="S116" s="1630"/>
      <c r="T116" s="1630"/>
      <c r="W116" s="1629"/>
      <c r="X116" s="1631"/>
      <c r="Y116" s="1631"/>
      <c r="Z116" s="1631"/>
      <c r="AF116" s="1627"/>
      <c r="AG116" s="1627"/>
    </row>
    <row r="117" spans="1:58" ht="17.25" customHeight="1" thickBot="1" x14ac:dyDescent="0.3">
      <c r="F117" s="1632"/>
      <c r="G117" s="1616"/>
      <c r="H117" s="1616"/>
      <c r="I117" s="1616"/>
      <c r="Q117" s="1633"/>
      <c r="R117" s="1634"/>
      <c r="S117" s="1634"/>
      <c r="T117" s="1634"/>
      <c r="W117" s="1633"/>
      <c r="X117" s="1634"/>
      <c r="Y117" s="1634"/>
      <c r="Z117" s="1634"/>
      <c r="AF117" s="1635"/>
      <c r="AG117" s="1635"/>
    </row>
    <row r="118" spans="1:58" ht="17.25" customHeight="1" thickBot="1" x14ac:dyDescent="0.3">
      <c r="A118" s="1636"/>
      <c r="B118" s="1637"/>
      <c r="C118" s="1637"/>
      <c r="D118" s="1638"/>
      <c r="E118" s="1639"/>
      <c r="F118" s="1616"/>
      <c r="G118" s="1616"/>
      <c r="H118" s="1616"/>
      <c r="I118" s="1616"/>
      <c r="Q118" s="1640"/>
      <c r="R118" s="1641"/>
      <c r="S118" s="1641"/>
      <c r="T118" s="1641"/>
      <c r="W118" s="1640"/>
      <c r="X118" s="1642"/>
      <c r="Y118" s="1642"/>
      <c r="Z118" s="1642"/>
    </row>
    <row r="119" spans="1:58" ht="17.25" customHeight="1" thickBot="1" x14ac:dyDescent="0.3">
      <c r="A119" s="1636"/>
      <c r="B119" s="1637"/>
      <c r="C119" s="1637"/>
      <c r="D119" s="1638"/>
      <c r="E119" s="1643"/>
      <c r="F119" s="1616"/>
      <c r="G119" s="1616"/>
      <c r="H119" s="1616"/>
      <c r="I119" s="1616"/>
      <c r="Q119" s="1644"/>
      <c r="R119" s="1645"/>
      <c r="S119" s="1645"/>
      <c r="T119" s="1645"/>
      <c r="W119" s="1644"/>
      <c r="X119" s="1646"/>
      <c r="Y119" s="1646"/>
      <c r="Z119" s="1646"/>
    </row>
    <row r="120" spans="1:58" ht="17.25" customHeight="1" thickBot="1" x14ac:dyDescent="0.3">
      <c r="A120" s="1636"/>
      <c r="B120" s="1637"/>
      <c r="C120" s="1637"/>
      <c r="D120" s="1638"/>
      <c r="E120" s="1647"/>
      <c r="Q120" s="1648"/>
      <c r="R120" s="1649"/>
      <c r="S120" s="1649"/>
      <c r="T120" s="1649"/>
      <c r="W120" s="1648"/>
      <c r="X120" s="1650"/>
      <c r="Y120" s="1650"/>
      <c r="Z120" s="1650"/>
    </row>
    <row r="123" spans="1:58" ht="17.25" customHeight="1" thickBot="1" x14ac:dyDescent="0.75">
      <c r="A123" s="1651"/>
      <c r="B123" s="1652"/>
      <c r="C123" s="1652"/>
      <c r="D123" s="1652"/>
      <c r="E123" s="1652"/>
      <c r="F123" s="1652"/>
      <c r="G123" s="1652"/>
      <c r="H123" s="1652"/>
      <c r="I123" s="1652"/>
      <c r="J123" s="1652"/>
      <c r="K123" s="1652"/>
      <c r="L123" s="1652"/>
      <c r="M123" s="1652"/>
      <c r="N123" s="1652"/>
      <c r="O123" s="1652"/>
      <c r="P123" s="1652"/>
      <c r="Q123" s="1652"/>
      <c r="R123" s="1652"/>
      <c r="S123" s="1652"/>
      <c r="T123" s="1652"/>
      <c r="U123" s="1652"/>
      <c r="V123" s="1652"/>
      <c r="W123" s="1652"/>
      <c r="X123" s="1652"/>
      <c r="Y123" s="1652"/>
      <c r="Z123" s="1652"/>
      <c r="AA123" s="1605"/>
    </row>
    <row r="124" spans="1:58" ht="17.25" customHeight="1" thickTop="1" thickBot="1" x14ac:dyDescent="0.45">
      <c r="D124" s="1653"/>
      <c r="E124" s="1654"/>
      <c r="F124" s="1654"/>
      <c r="G124" s="1655"/>
      <c r="H124" s="1655"/>
      <c r="I124" s="1656"/>
      <c r="J124" s="1657"/>
      <c r="M124" s="1594"/>
      <c r="Q124" s="1653"/>
      <c r="R124" s="1654"/>
      <c r="S124" s="1654"/>
      <c r="T124" s="1655"/>
      <c r="U124" s="1655"/>
      <c r="V124" s="1656"/>
      <c r="W124" s="1657"/>
      <c r="AA124" s="1658"/>
      <c r="AB124" s="1659"/>
      <c r="AC124" s="1660"/>
      <c r="AD124" s="1661"/>
      <c r="AE124" s="1661"/>
      <c r="AF124" s="1662"/>
      <c r="AG124" s="1659"/>
      <c r="AI124" s="1663"/>
      <c r="AJ124" s="1664"/>
      <c r="AK124" s="1664"/>
      <c r="AL124" s="1664"/>
      <c r="AM124" s="1664"/>
      <c r="AN124" s="1664"/>
      <c r="AO124" s="1664"/>
      <c r="AP124" s="1664"/>
      <c r="AQ124" s="1664"/>
      <c r="AR124" s="1664"/>
      <c r="AS124" s="1664"/>
      <c r="AT124" s="1664"/>
      <c r="AU124" s="1664"/>
      <c r="AV124" s="1664"/>
      <c r="AW124" s="1664"/>
      <c r="AX124" s="1664"/>
      <c r="AY124" s="1664"/>
      <c r="AZ124" s="1664"/>
      <c r="BA124" s="1665"/>
    </row>
    <row r="125" spans="1:58" ht="17.25" customHeight="1" thickTop="1" thickBot="1" x14ac:dyDescent="0.4">
      <c r="D125" s="1653"/>
      <c r="E125" s="1654"/>
      <c r="F125" s="1654"/>
      <c r="G125" s="1655"/>
      <c r="H125" s="1655"/>
      <c r="I125" s="1656"/>
      <c r="J125" s="1657"/>
      <c r="M125" s="1594"/>
      <c r="Q125" s="1653"/>
      <c r="R125" s="1654"/>
      <c r="S125" s="1654"/>
      <c r="T125" s="1655"/>
      <c r="U125" s="1655"/>
      <c r="V125" s="1656"/>
      <c r="W125" s="1657"/>
      <c r="AA125" s="1658"/>
      <c r="AC125" s="1666"/>
      <c r="AD125" s="1667"/>
      <c r="AE125" s="1667"/>
      <c r="AF125" s="1668"/>
      <c r="AH125" s="1669"/>
      <c r="AI125" s="1670"/>
      <c r="AJ125" s="1671"/>
      <c r="AK125" s="1671"/>
      <c r="AL125" s="1671"/>
      <c r="AM125" s="1671"/>
      <c r="AN125" s="1672"/>
      <c r="AO125" s="1673"/>
      <c r="AP125" s="1674"/>
      <c r="AQ125" s="1669"/>
      <c r="AR125" s="1675"/>
      <c r="AS125" s="1676"/>
      <c r="AT125" s="1676"/>
      <c r="AU125" s="1676"/>
      <c r="AV125" s="1676"/>
      <c r="AW125" s="1677"/>
      <c r="AX125" s="1673"/>
      <c r="AY125" s="1674"/>
      <c r="AZ125" s="1669"/>
      <c r="BA125" s="1678"/>
    </row>
    <row r="126" spans="1:58" ht="17.25" customHeight="1" thickBot="1" x14ac:dyDescent="0.45">
      <c r="A126" s="1604"/>
      <c r="B126" s="1604"/>
      <c r="C126" s="1604"/>
      <c r="D126" s="1653"/>
      <c r="E126" s="1654"/>
      <c r="F126" s="1654"/>
      <c r="G126" s="1655"/>
      <c r="H126" s="1679"/>
      <c r="I126" s="1680"/>
      <c r="J126" s="1681"/>
      <c r="K126" s="1604"/>
      <c r="L126" s="1682"/>
      <c r="M126" s="1658"/>
      <c r="N126" s="1658"/>
      <c r="O126" s="1683"/>
      <c r="P126" s="1683"/>
      <c r="Q126" s="1653"/>
      <c r="R126" s="1654"/>
      <c r="S126" s="1654"/>
      <c r="T126" s="1654"/>
      <c r="U126" s="1684"/>
      <c r="V126" s="1680"/>
      <c r="W126" s="1681"/>
      <c r="X126" s="1683"/>
      <c r="Y126" s="1683"/>
      <c r="Z126" s="1685"/>
      <c r="AA126" s="1658"/>
      <c r="AC126" s="1686"/>
      <c r="AD126" s="1687"/>
      <c r="AE126" s="1688"/>
      <c r="AF126" s="1689"/>
      <c r="AH126" s="1669"/>
      <c r="AI126" s="1690"/>
      <c r="AJ126" s="1691"/>
      <c r="AK126" s="1691"/>
      <c r="AL126" s="1691"/>
      <c r="AM126" s="1691"/>
      <c r="AN126" s="1692"/>
      <c r="AO126" s="1693"/>
      <c r="AP126" s="1694"/>
      <c r="AQ126" s="1669"/>
      <c r="AR126" s="1695"/>
      <c r="AS126" s="1696"/>
      <c r="AT126" s="1696"/>
      <c r="AU126" s="1696"/>
      <c r="AV126" s="1696"/>
      <c r="AW126" s="1697"/>
      <c r="AX126" s="1693"/>
      <c r="AY126" s="1698"/>
      <c r="AZ126" s="1669"/>
      <c r="BA126" s="1678"/>
      <c r="BC126" s="1699"/>
      <c r="BD126" s="1699"/>
      <c r="BE126" s="1699"/>
      <c r="BF126" s="1699"/>
    </row>
    <row r="127" spans="1:58" ht="17.25" customHeight="1" thickBot="1" x14ac:dyDescent="0.4">
      <c r="C127" s="1700"/>
      <c r="D127" s="1653"/>
      <c r="E127" s="1654"/>
      <c r="F127" s="1654"/>
      <c r="G127" s="1655"/>
      <c r="H127" s="1679"/>
      <c r="I127" s="1680"/>
      <c r="J127" s="1681"/>
      <c r="M127" s="1594"/>
      <c r="Q127" s="1653"/>
      <c r="R127" s="1654"/>
      <c r="S127" s="1654"/>
      <c r="T127" s="1654"/>
      <c r="U127" s="1684"/>
      <c r="V127" s="1680"/>
      <c r="W127" s="1681"/>
      <c r="AA127" s="1700"/>
      <c r="AC127" s="1701"/>
      <c r="AD127" s="1702"/>
      <c r="AE127" s="1702"/>
      <c r="AF127" s="1702"/>
      <c r="AH127" s="1669"/>
      <c r="AI127" s="1690"/>
      <c r="AJ127" s="1691"/>
      <c r="AK127" s="1691"/>
      <c r="AL127" s="1691"/>
      <c r="AM127" s="1691"/>
      <c r="AN127" s="1703"/>
      <c r="AO127" s="1693"/>
      <c r="AP127" s="1694"/>
      <c r="AQ127" s="1669"/>
      <c r="AR127" s="1695"/>
      <c r="AS127" s="1696"/>
      <c r="AT127" s="1696"/>
      <c r="AU127" s="1696"/>
      <c r="AV127" s="1696"/>
      <c r="AW127" s="1704"/>
      <c r="AX127" s="1693"/>
      <c r="AY127" s="1705"/>
      <c r="AZ127" s="1669"/>
      <c r="BA127" s="1678"/>
      <c r="BC127" s="1706"/>
      <c r="BD127" s="1706"/>
      <c r="BE127" s="1707"/>
      <c r="BF127" s="1707"/>
    </row>
    <row r="128" spans="1:58" ht="17.25" customHeight="1" thickBot="1" x14ac:dyDescent="0.4">
      <c r="C128" s="1700"/>
      <c r="D128" s="1708"/>
      <c r="E128" s="1709"/>
      <c r="F128" s="1709"/>
      <c r="G128" s="1709"/>
      <c r="H128" s="1710"/>
      <c r="I128" s="1711"/>
      <c r="J128" s="1712"/>
      <c r="M128" s="1594"/>
      <c r="Q128" s="1708"/>
      <c r="R128" s="1709"/>
      <c r="S128" s="1709"/>
      <c r="T128" s="1709"/>
      <c r="U128" s="1710"/>
      <c r="V128" s="1711"/>
      <c r="W128" s="1712"/>
      <c r="AA128" s="1594"/>
      <c r="AC128" s="1713"/>
      <c r="AD128" s="1714"/>
      <c r="AE128" s="1715"/>
      <c r="AF128" s="1716"/>
      <c r="AH128" s="1669"/>
      <c r="AI128" s="1690"/>
      <c r="AJ128" s="1691"/>
      <c r="AK128" s="1691"/>
      <c r="AL128" s="1691"/>
      <c r="AM128" s="1691"/>
      <c r="AN128" s="1717"/>
      <c r="AO128" s="1693"/>
      <c r="AP128" s="1694"/>
      <c r="AQ128" s="1669"/>
      <c r="AR128" s="1695"/>
      <c r="AS128" s="1696"/>
      <c r="AT128" s="1696"/>
      <c r="AU128" s="1696"/>
      <c r="AV128" s="1696"/>
      <c r="AW128" s="1718"/>
      <c r="AX128" s="1693"/>
      <c r="AY128" s="1705"/>
      <c r="AZ128" s="1669"/>
      <c r="BA128" s="1678"/>
      <c r="BC128" s="1706"/>
      <c r="BD128" s="1706"/>
      <c r="BE128" s="1707"/>
      <c r="BF128" s="1707"/>
    </row>
    <row r="129" spans="1:58" ht="17.25" customHeight="1" x14ac:dyDescent="0.35">
      <c r="A129" s="1379"/>
      <c r="B129" s="1379"/>
      <c r="C129" s="1719"/>
      <c r="D129" s="1720"/>
      <c r="E129" s="1720"/>
      <c r="F129" s="1720"/>
      <c r="G129" s="1720"/>
      <c r="H129" s="1720"/>
      <c r="I129" s="1721"/>
      <c r="J129" s="1721"/>
      <c r="K129" s="1379"/>
      <c r="L129" s="1379"/>
      <c r="M129" s="1722"/>
      <c r="N129" s="1379"/>
      <c r="O129" s="1379"/>
      <c r="P129" s="1379"/>
      <c r="Q129" s="1720"/>
      <c r="R129" s="1720"/>
      <c r="S129" s="1720"/>
      <c r="T129" s="1720"/>
      <c r="U129" s="1720"/>
      <c r="V129" s="1721"/>
      <c r="W129" s="1721"/>
      <c r="X129" s="1379"/>
      <c r="Y129" s="1379"/>
      <c r="Z129" s="1379"/>
      <c r="AA129" s="1700"/>
      <c r="AC129" s="1713"/>
      <c r="AD129" s="1723"/>
      <c r="AE129" s="1715"/>
      <c r="AF129" s="1716"/>
      <c r="AH129" s="1669"/>
      <c r="AI129" s="1690"/>
      <c r="AJ129" s="1691"/>
      <c r="AK129" s="1691"/>
      <c r="AL129" s="1691"/>
      <c r="AM129" s="1691"/>
      <c r="AN129" s="1724"/>
      <c r="AO129" s="1693"/>
      <c r="AP129" s="1694"/>
      <c r="AQ129" s="1669"/>
      <c r="AR129" s="1695"/>
      <c r="AS129" s="1696"/>
      <c r="AT129" s="1696"/>
      <c r="AU129" s="1696"/>
      <c r="AV129" s="1696"/>
      <c r="AW129" s="1725"/>
      <c r="AX129" s="1693"/>
      <c r="AY129" s="1705"/>
      <c r="AZ129" s="1669"/>
      <c r="BA129" s="1678"/>
      <c r="BC129" s="1726"/>
      <c r="BD129" s="1726"/>
      <c r="BE129" s="1727"/>
      <c r="BF129" s="1727"/>
    </row>
    <row r="130" spans="1:58" ht="17.25" customHeight="1" thickBot="1" x14ac:dyDescent="0.3">
      <c r="A130" s="1728"/>
      <c r="B130" s="1729"/>
      <c r="C130" s="1729"/>
      <c r="D130" s="1729"/>
      <c r="E130" s="1729"/>
      <c r="F130" s="1729"/>
      <c r="G130" s="1729"/>
      <c r="H130" s="1729"/>
      <c r="I130" s="1730"/>
      <c r="J130" s="1731"/>
      <c r="K130" s="1731"/>
      <c r="L130" s="1731"/>
      <c r="M130" s="1700"/>
      <c r="N130" s="1728"/>
      <c r="O130" s="1729"/>
      <c r="P130" s="1729"/>
      <c r="Q130" s="1729"/>
      <c r="R130" s="1729"/>
      <c r="S130" s="1729"/>
      <c r="T130" s="1729"/>
      <c r="U130" s="1729"/>
      <c r="V130" s="1730"/>
      <c r="W130" s="1732"/>
      <c r="X130" s="1732"/>
      <c r="Y130" s="1732"/>
      <c r="Z130" s="1732"/>
      <c r="AA130" s="1700"/>
      <c r="AC130" s="1713"/>
      <c r="AD130" s="1733"/>
      <c r="AE130" s="1715"/>
      <c r="AF130" s="1716"/>
      <c r="AH130" s="1669"/>
      <c r="AI130" s="1690"/>
      <c r="AJ130" s="1691"/>
      <c r="AK130" s="1691"/>
      <c r="AL130" s="1691"/>
      <c r="AM130" s="1691"/>
      <c r="AN130" s="1734"/>
      <c r="AO130" s="1693"/>
      <c r="AP130" s="1694"/>
      <c r="AQ130" s="1669"/>
      <c r="AR130" s="1695"/>
      <c r="AS130" s="1696"/>
      <c r="AT130" s="1696"/>
      <c r="AU130" s="1696"/>
      <c r="AV130" s="1696"/>
      <c r="AW130" s="1725"/>
      <c r="AX130" s="1693"/>
      <c r="AY130" s="1705"/>
      <c r="AZ130" s="1669"/>
      <c r="BA130" s="1678"/>
      <c r="BC130" s="1706"/>
      <c r="BD130" s="1706"/>
      <c r="BE130" s="1707"/>
      <c r="BF130" s="1707"/>
    </row>
    <row r="131" spans="1:58" ht="17.25" customHeight="1" thickBot="1" x14ac:dyDescent="0.3">
      <c r="A131" s="1735"/>
      <c r="B131" s="1736"/>
      <c r="C131" s="1737"/>
      <c r="D131" s="1738"/>
      <c r="E131" s="1739"/>
      <c r="F131" s="1740"/>
      <c r="G131" s="1741"/>
      <c r="H131" s="1742"/>
      <c r="I131" s="1743"/>
      <c r="J131" s="1744"/>
      <c r="K131" s="1745"/>
      <c r="L131" s="1746"/>
      <c r="M131" s="1700"/>
      <c r="N131" s="1735"/>
      <c r="O131" s="1736"/>
      <c r="P131" s="1737"/>
      <c r="Q131" s="1738"/>
      <c r="R131" s="1739"/>
      <c r="S131" s="1740"/>
      <c r="T131" s="1747"/>
      <c r="U131" s="1747"/>
      <c r="V131" s="1747"/>
      <c r="W131" s="1744"/>
      <c r="X131" s="1745"/>
      <c r="Y131" s="1746"/>
      <c r="Z131" s="1748"/>
      <c r="AA131" s="1700"/>
      <c r="AC131" s="1713"/>
      <c r="AD131" s="1749"/>
      <c r="AE131" s="1715"/>
      <c r="AF131" s="1716"/>
      <c r="AH131" s="1669"/>
      <c r="AI131" s="1690"/>
      <c r="AJ131" s="1691"/>
      <c r="AK131" s="1691"/>
      <c r="AL131" s="1691"/>
      <c r="AM131" s="1691"/>
      <c r="AN131" s="1750"/>
      <c r="AO131" s="1693"/>
      <c r="AP131" s="1694"/>
      <c r="AQ131" s="1669"/>
      <c r="AR131" s="1695"/>
      <c r="AS131" s="1696"/>
      <c r="AT131" s="1696"/>
      <c r="AU131" s="1696"/>
      <c r="AV131" s="1696"/>
      <c r="AW131" s="1751"/>
      <c r="AX131" s="1693"/>
      <c r="AY131" s="1705"/>
      <c r="AZ131" s="1669"/>
      <c r="BA131" s="1678"/>
      <c r="BC131" s="1706"/>
      <c r="BD131" s="1706"/>
      <c r="BE131" s="1706"/>
      <c r="BF131" s="1706"/>
    </row>
    <row r="132" spans="1:58" ht="17.25" customHeight="1" thickBot="1" x14ac:dyDescent="0.3">
      <c r="A132" s="1735"/>
      <c r="B132" s="1736"/>
      <c r="C132" s="1737"/>
      <c r="D132" s="1738"/>
      <c r="E132" s="1739"/>
      <c r="F132" s="1752"/>
      <c r="G132" s="1741"/>
      <c r="H132" s="1742"/>
      <c r="I132" s="1743"/>
      <c r="J132" s="1744"/>
      <c r="K132" s="1745"/>
      <c r="L132" s="1746"/>
      <c r="M132" s="1700"/>
      <c r="N132" s="1735"/>
      <c r="O132" s="1736"/>
      <c r="P132" s="1737"/>
      <c r="Q132" s="1738"/>
      <c r="R132" s="1739"/>
      <c r="S132" s="1752"/>
      <c r="T132" s="1747"/>
      <c r="U132" s="1747"/>
      <c r="V132" s="1747"/>
      <c r="W132" s="1744"/>
      <c r="X132" s="1745"/>
      <c r="Y132" s="1746"/>
      <c r="Z132" s="1748"/>
      <c r="AA132" s="1700"/>
      <c r="AC132" s="1713"/>
      <c r="AD132" s="1753"/>
      <c r="AE132" s="1715"/>
      <c r="AF132" s="1716"/>
      <c r="AH132" s="1669"/>
      <c r="AI132" s="1690"/>
      <c r="AJ132" s="1691"/>
      <c r="AK132" s="1691"/>
      <c r="AL132" s="1691"/>
      <c r="AM132" s="1691"/>
      <c r="AN132" s="1754"/>
      <c r="AO132" s="1693"/>
      <c r="AP132" s="1694"/>
      <c r="AQ132" s="1669"/>
      <c r="AR132" s="1695"/>
      <c r="AS132" s="1696"/>
      <c r="AT132" s="1696"/>
      <c r="AU132" s="1696"/>
      <c r="AV132" s="1696"/>
      <c r="AW132" s="1755"/>
      <c r="AX132" s="1693"/>
      <c r="AY132" s="1705"/>
      <c r="AZ132" s="1669"/>
      <c r="BA132" s="1678"/>
      <c r="BC132" s="1706"/>
      <c r="BD132" s="1706"/>
      <c r="BE132" s="1707"/>
      <c r="BF132" s="1707"/>
    </row>
    <row r="133" spans="1:58" ht="17.25" customHeight="1" thickBot="1" x14ac:dyDescent="0.3">
      <c r="A133" s="1735"/>
      <c r="B133" s="1736"/>
      <c r="C133" s="1737"/>
      <c r="D133" s="1738"/>
      <c r="E133" s="1739"/>
      <c r="F133" s="1756"/>
      <c r="G133" s="1741"/>
      <c r="H133" s="1742"/>
      <c r="I133" s="1743"/>
      <c r="J133" s="1744"/>
      <c r="K133" s="1745"/>
      <c r="L133" s="1746"/>
      <c r="M133" s="1700"/>
      <c r="N133" s="1735"/>
      <c r="O133" s="1736"/>
      <c r="P133" s="1737"/>
      <c r="Q133" s="1738"/>
      <c r="R133" s="1739"/>
      <c r="S133" s="1756"/>
      <c r="T133" s="1747"/>
      <c r="U133" s="1747"/>
      <c r="V133" s="1747"/>
      <c r="W133" s="1744"/>
      <c r="X133" s="1745"/>
      <c r="Y133" s="1746"/>
      <c r="Z133" s="1748"/>
      <c r="AA133" s="1700"/>
      <c r="AC133" s="1713"/>
      <c r="AD133" s="1757"/>
      <c r="AE133" s="1715"/>
      <c r="AF133" s="1716"/>
      <c r="AH133" s="1669"/>
      <c r="AI133" s="1690"/>
      <c r="AJ133" s="1691"/>
      <c r="AK133" s="1691"/>
      <c r="AL133" s="1691"/>
      <c r="AM133" s="1691"/>
      <c r="AN133" s="1758"/>
      <c r="AO133" s="1693"/>
      <c r="AP133" s="1694"/>
      <c r="AQ133" s="1669"/>
      <c r="AR133" s="1695"/>
      <c r="AS133" s="1696"/>
      <c r="AT133" s="1696"/>
      <c r="AU133" s="1696"/>
      <c r="AV133" s="1696"/>
      <c r="AW133" s="1759"/>
      <c r="AX133" s="1693"/>
      <c r="AY133" s="1705"/>
      <c r="AZ133" s="1669"/>
      <c r="BA133" s="1678"/>
      <c r="BC133" s="1726"/>
      <c r="BD133" s="1726"/>
      <c r="BE133" s="1707"/>
      <c r="BF133" s="1707"/>
    </row>
    <row r="134" spans="1:58" ht="17.25" customHeight="1" thickBot="1" x14ac:dyDescent="0.3">
      <c r="A134" s="1735"/>
      <c r="B134" s="1736"/>
      <c r="C134" s="1737"/>
      <c r="D134" s="1738"/>
      <c r="E134" s="1739"/>
      <c r="F134" s="1760"/>
      <c r="G134" s="1741"/>
      <c r="H134" s="1742"/>
      <c r="I134" s="1743"/>
      <c r="J134" s="1744"/>
      <c r="K134" s="1745"/>
      <c r="L134" s="1746"/>
      <c r="M134" s="1700"/>
      <c r="N134" s="1735"/>
      <c r="O134" s="1736"/>
      <c r="P134" s="1737"/>
      <c r="Q134" s="1738"/>
      <c r="R134" s="1739"/>
      <c r="S134" s="1760"/>
      <c r="T134" s="1747"/>
      <c r="U134" s="1747"/>
      <c r="V134" s="1747"/>
      <c r="W134" s="1744"/>
      <c r="X134" s="1745"/>
      <c r="Y134" s="1746"/>
      <c r="Z134" s="1748"/>
      <c r="AA134" s="1700"/>
      <c r="AC134" s="1713"/>
      <c r="AD134" s="1761"/>
      <c r="AE134" s="1715"/>
      <c r="AF134" s="1716"/>
      <c r="AH134" s="1669"/>
      <c r="AI134" s="1690"/>
      <c r="AJ134" s="1691"/>
      <c r="AK134" s="1691"/>
      <c r="AL134" s="1691"/>
      <c r="AM134" s="1691"/>
      <c r="AN134" s="1762"/>
      <c r="AO134" s="1693"/>
      <c r="AP134" s="1694"/>
      <c r="AQ134" s="1669"/>
      <c r="AR134" s="1695"/>
      <c r="AS134" s="1696"/>
      <c r="AT134" s="1696"/>
      <c r="AU134" s="1696"/>
      <c r="AV134" s="1696"/>
      <c r="AW134" s="1763"/>
      <c r="AX134" s="1693"/>
      <c r="AY134" s="1705"/>
      <c r="AZ134" s="1669"/>
      <c r="BA134" s="1678"/>
    </row>
    <row r="135" spans="1:58" ht="17.25" customHeight="1" thickBot="1" x14ac:dyDescent="0.3">
      <c r="A135" s="1735"/>
      <c r="B135" s="1736"/>
      <c r="C135" s="1737"/>
      <c r="D135" s="1738"/>
      <c r="E135" s="1739"/>
      <c r="F135" s="1764"/>
      <c r="G135" s="1741"/>
      <c r="H135" s="1742"/>
      <c r="I135" s="1743"/>
      <c r="J135" s="1744"/>
      <c r="K135" s="1745"/>
      <c r="L135" s="1746"/>
      <c r="M135" s="1700"/>
      <c r="N135" s="1735"/>
      <c r="O135" s="1736"/>
      <c r="P135" s="1737"/>
      <c r="Q135" s="1738"/>
      <c r="R135" s="1739"/>
      <c r="S135" s="1764"/>
      <c r="T135" s="1747"/>
      <c r="U135" s="1747"/>
      <c r="V135" s="1747"/>
      <c r="W135" s="1744"/>
      <c r="X135" s="1745"/>
      <c r="Y135" s="1746"/>
      <c r="Z135" s="1748"/>
      <c r="AA135" s="1700"/>
      <c r="AC135" s="1713"/>
      <c r="AD135" s="1765"/>
      <c r="AE135" s="1715"/>
      <c r="AF135" s="1716"/>
      <c r="AH135" s="1669"/>
      <c r="AI135" s="1690"/>
      <c r="AJ135" s="1691"/>
      <c r="AK135" s="1691"/>
      <c r="AL135" s="1691"/>
      <c r="AM135" s="1691"/>
      <c r="AN135" s="1766"/>
      <c r="AO135" s="1693"/>
      <c r="AP135" s="1694"/>
      <c r="AQ135" s="1669"/>
      <c r="AR135" s="1695"/>
      <c r="AS135" s="1696"/>
      <c r="AT135" s="1696"/>
      <c r="AU135" s="1696"/>
      <c r="AV135" s="1696"/>
      <c r="AW135" s="1767"/>
      <c r="AX135" s="1693"/>
      <c r="AY135" s="1705"/>
      <c r="AZ135" s="1669"/>
      <c r="BA135" s="1678"/>
    </row>
    <row r="136" spans="1:58" ht="17.25" customHeight="1" thickBot="1" x14ac:dyDescent="0.3">
      <c r="A136" s="1735"/>
      <c r="B136" s="1736"/>
      <c r="C136" s="1737"/>
      <c r="D136" s="1738"/>
      <c r="E136" s="1739"/>
      <c r="F136" s="1768"/>
      <c r="G136" s="1741"/>
      <c r="H136" s="1742"/>
      <c r="I136" s="1743"/>
      <c r="J136" s="1744"/>
      <c r="K136" s="1745"/>
      <c r="L136" s="1746"/>
      <c r="M136" s="1700"/>
      <c r="N136" s="1735"/>
      <c r="O136" s="1736"/>
      <c r="P136" s="1737"/>
      <c r="Q136" s="1738"/>
      <c r="R136" s="1739"/>
      <c r="S136" s="1768"/>
      <c r="T136" s="1747"/>
      <c r="U136" s="1747"/>
      <c r="V136" s="1747"/>
      <c r="W136" s="1744"/>
      <c r="X136" s="1745"/>
      <c r="Y136" s="1746"/>
      <c r="Z136" s="1748"/>
      <c r="AA136" s="1700"/>
      <c r="AC136" s="1713"/>
      <c r="AD136" s="1769"/>
      <c r="AE136" s="1715"/>
      <c r="AF136" s="1716"/>
      <c r="AH136" s="1669"/>
      <c r="AI136" s="1690"/>
      <c r="AJ136" s="1691"/>
      <c r="AK136" s="1691"/>
      <c r="AL136" s="1691"/>
      <c r="AM136" s="1691"/>
      <c r="AN136" s="1770"/>
      <c r="AO136" s="1693"/>
      <c r="AP136" s="1694"/>
      <c r="AQ136" s="1669"/>
      <c r="AR136" s="1695"/>
      <c r="AS136" s="1696"/>
      <c r="AT136" s="1696"/>
      <c r="AU136" s="1696"/>
      <c r="AV136" s="1696"/>
      <c r="AW136" s="1771"/>
      <c r="AX136" s="1693"/>
      <c r="AY136" s="1705"/>
      <c r="AZ136" s="1669"/>
      <c r="BA136" s="1678"/>
    </row>
    <row r="137" spans="1:58" ht="17.25" customHeight="1" thickBot="1" x14ac:dyDescent="0.3">
      <c r="A137" s="1735"/>
      <c r="B137" s="1736"/>
      <c r="C137" s="1737"/>
      <c r="D137" s="1738"/>
      <c r="E137" s="1739"/>
      <c r="F137" s="1772"/>
      <c r="G137" s="1741"/>
      <c r="H137" s="1742"/>
      <c r="I137" s="1743"/>
      <c r="J137" s="1744"/>
      <c r="K137" s="1745"/>
      <c r="L137" s="1746"/>
      <c r="M137" s="1700"/>
      <c r="N137" s="1735"/>
      <c r="O137" s="1736"/>
      <c r="P137" s="1737"/>
      <c r="Q137" s="1738"/>
      <c r="R137" s="1739"/>
      <c r="S137" s="1772"/>
      <c r="T137" s="1747"/>
      <c r="U137" s="1747"/>
      <c r="V137" s="1747"/>
      <c r="W137" s="1744"/>
      <c r="X137" s="1745"/>
      <c r="Y137" s="1746"/>
      <c r="Z137" s="1748"/>
      <c r="AA137" s="1700"/>
      <c r="AC137" s="1713"/>
      <c r="AD137" s="1773"/>
      <c r="AE137" s="1715"/>
      <c r="AF137" s="1716"/>
      <c r="AH137" s="1669"/>
      <c r="AI137" s="1690"/>
      <c r="AJ137" s="1691"/>
      <c r="AK137" s="1691"/>
      <c r="AL137" s="1691"/>
      <c r="AM137" s="1691"/>
      <c r="AN137" s="1774"/>
      <c r="AO137" s="1693"/>
      <c r="AP137" s="1694"/>
      <c r="AQ137" s="1669"/>
      <c r="AR137" s="1695"/>
      <c r="AS137" s="1696"/>
      <c r="AT137" s="1696"/>
      <c r="AU137" s="1696"/>
      <c r="AV137" s="1696"/>
      <c r="AW137" s="1775"/>
      <c r="AX137" s="1693"/>
      <c r="AY137" s="1705"/>
      <c r="AZ137" s="1669"/>
      <c r="BA137" s="1678"/>
    </row>
    <row r="138" spans="1:58" ht="17.25" customHeight="1" thickBot="1" x14ac:dyDescent="0.3">
      <c r="A138" s="1735"/>
      <c r="B138" s="1736"/>
      <c r="C138" s="1737"/>
      <c r="D138" s="1738"/>
      <c r="E138" s="1739"/>
      <c r="F138" s="1776"/>
      <c r="G138" s="1741"/>
      <c r="H138" s="1742"/>
      <c r="I138" s="1743"/>
      <c r="J138" s="1744"/>
      <c r="K138" s="1745"/>
      <c r="L138" s="1746"/>
      <c r="M138" s="1700"/>
      <c r="N138" s="1735"/>
      <c r="O138" s="1736"/>
      <c r="P138" s="1737"/>
      <c r="Q138" s="1738"/>
      <c r="R138" s="1739"/>
      <c r="S138" s="1776"/>
      <c r="T138" s="1747"/>
      <c r="U138" s="1747"/>
      <c r="V138" s="1747"/>
      <c r="W138" s="1744"/>
      <c r="X138" s="1745"/>
      <c r="Y138" s="1746"/>
      <c r="Z138" s="1748"/>
      <c r="AA138" s="1700"/>
      <c r="AC138" s="1713"/>
      <c r="AD138" s="1777"/>
      <c r="AE138" s="1715"/>
      <c r="AF138" s="1716"/>
      <c r="AH138" s="1669"/>
      <c r="AI138" s="1690"/>
      <c r="AJ138" s="1691"/>
      <c r="AK138" s="1691"/>
      <c r="AL138" s="1691"/>
      <c r="AM138" s="1691"/>
      <c r="AN138" s="1774"/>
      <c r="AO138" s="1693"/>
      <c r="AP138" s="1694"/>
      <c r="AQ138" s="1669"/>
      <c r="AR138" s="1695"/>
      <c r="AS138" s="1696"/>
      <c r="AT138" s="1696"/>
      <c r="AU138" s="1696"/>
      <c r="AV138" s="1696"/>
      <c r="AW138" s="1778"/>
      <c r="AX138" s="1693"/>
      <c r="AY138" s="1705"/>
      <c r="AZ138" s="1669"/>
      <c r="BA138" s="1678"/>
    </row>
    <row r="139" spans="1:58" ht="17.25" customHeight="1" thickBot="1" x14ac:dyDescent="0.3">
      <c r="A139" s="1735"/>
      <c r="B139" s="1736"/>
      <c r="C139" s="1737"/>
      <c r="D139" s="1738"/>
      <c r="E139" s="1739"/>
      <c r="F139" s="1779"/>
      <c r="G139" s="1741"/>
      <c r="H139" s="1742"/>
      <c r="I139" s="1743"/>
      <c r="J139" s="1744"/>
      <c r="K139" s="1745"/>
      <c r="L139" s="1746"/>
      <c r="M139" s="1700"/>
      <c r="N139" s="1735"/>
      <c r="O139" s="1736"/>
      <c r="P139" s="1737"/>
      <c r="Q139" s="1738"/>
      <c r="R139" s="1739"/>
      <c r="S139" s="1779"/>
      <c r="T139" s="1747"/>
      <c r="U139" s="1747"/>
      <c r="V139" s="1747"/>
      <c r="W139" s="1744"/>
      <c r="X139" s="1745"/>
      <c r="Y139" s="1746"/>
      <c r="Z139" s="1748"/>
      <c r="AA139" s="1700"/>
      <c r="AC139" s="1780"/>
      <c r="AD139" s="1781"/>
      <c r="AE139" s="1715"/>
      <c r="AF139" s="1716"/>
      <c r="AH139" s="1669"/>
      <c r="AI139" s="1690"/>
      <c r="AJ139" s="1691"/>
      <c r="AK139" s="1691"/>
      <c r="AL139" s="1691"/>
      <c r="AM139" s="1691"/>
      <c r="AN139" s="1782"/>
      <c r="AO139" s="1693"/>
      <c r="AP139" s="1694"/>
      <c r="AQ139" s="1669"/>
      <c r="AR139" s="1695"/>
      <c r="AS139" s="1696"/>
      <c r="AT139" s="1696"/>
      <c r="AU139" s="1696"/>
      <c r="AV139" s="1696"/>
      <c r="AW139" s="1783"/>
      <c r="AX139" s="1693"/>
      <c r="AY139" s="1705"/>
      <c r="AZ139" s="1669"/>
      <c r="BA139" s="1678"/>
    </row>
    <row r="140" spans="1:58" ht="17.25" customHeight="1" x14ac:dyDescent="0.25">
      <c r="A140" s="1735"/>
      <c r="B140" s="1736"/>
      <c r="C140" s="1737"/>
      <c r="D140" s="1738"/>
      <c r="E140" s="1739"/>
      <c r="F140" s="1784"/>
      <c r="G140" s="1741"/>
      <c r="H140" s="1742"/>
      <c r="I140" s="1743"/>
      <c r="J140" s="1744"/>
      <c r="K140" s="1745"/>
      <c r="L140" s="1746"/>
      <c r="M140" s="1700"/>
      <c r="N140" s="1735"/>
      <c r="O140" s="1736"/>
      <c r="P140" s="1737"/>
      <c r="Q140" s="1738"/>
      <c r="R140" s="1739"/>
      <c r="S140" s="1784"/>
      <c r="T140" s="1747"/>
      <c r="U140" s="1747"/>
      <c r="V140" s="1747"/>
      <c r="W140" s="1744"/>
      <c r="X140" s="1745"/>
      <c r="Y140" s="1746"/>
      <c r="Z140" s="1748"/>
      <c r="AA140" s="1700"/>
      <c r="AC140" s="1780"/>
      <c r="AD140" s="1785"/>
      <c r="AE140" s="1715"/>
      <c r="AF140" s="1716"/>
      <c r="AH140" s="1669"/>
      <c r="AI140" s="1690"/>
      <c r="AJ140" s="1691"/>
      <c r="AK140" s="1691"/>
      <c r="AL140" s="1691"/>
      <c r="AM140" s="1691"/>
      <c r="AN140" s="1786"/>
      <c r="AO140" s="1693"/>
      <c r="AP140" s="1694"/>
      <c r="AQ140" s="1669"/>
      <c r="AR140" s="1695"/>
      <c r="AS140" s="1696"/>
      <c r="AT140" s="1696"/>
      <c r="AU140" s="1696"/>
      <c r="AV140" s="1696"/>
      <c r="AW140" s="1787"/>
      <c r="AX140" s="1693"/>
      <c r="AY140" s="1705"/>
      <c r="AZ140" s="1669"/>
      <c r="BA140" s="1678"/>
    </row>
    <row r="141" spans="1:58" ht="17.25" customHeight="1" thickBot="1" x14ac:dyDescent="0.3">
      <c r="A141" s="1735"/>
      <c r="B141" s="1736"/>
      <c r="C141" s="1737"/>
      <c r="D141" s="1738"/>
      <c r="E141" s="1739"/>
      <c r="F141" s="1788"/>
      <c r="G141" s="1741"/>
      <c r="H141" s="1742"/>
      <c r="I141" s="1743"/>
      <c r="J141" s="1744"/>
      <c r="K141" s="1745"/>
      <c r="L141" s="1746"/>
      <c r="M141" s="1700"/>
      <c r="N141" s="1735"/>
      <c r="O141" s="1736"/>
      <c r="P141" s="1737"/>
      <c r="Q141" s="1738"/>
      <c r="R141" s="1739"/>
      <c r="S141" s="1788"/>
      <c r="T141" s="1747"/>
      <c r="U141" s="1747"/>
      <c r="V141" s="1747"/>
      <c r="W141" s="1744"/>
      <c r="X141" s="1745"/>
      <c r="Y141" s="1746"/>
      <c r="Z141" s="1748"/>
      <c r="AA141" s="1700"/>
      <c r="AC141" s="1780"/>
      <c r="AD141" s="1789"/>
      <c r="AE141" s="1715"/>
      <c r="AF141" s="1716"/>
      <c r="AH141" s="1669"/>
      <c r="AI141" s="1690"/>
      <c r="AJ141" s="1691"/>
      <c r="AK141" s="1691"/>
      <c r="AL141" s="1691"/>
      <c r="AM141" s="1691"/>
      <c r="AN141" s="1790"/>
      <c r="AO141" s="1693"/>
      <c r="AP141" s="1694"/>
      <c r="AQ141" s="1669"/>
      <c r="AR141" s="1695"/>
      <c r="AS141" s="1696"/>
      <c r="AT141" s="1696"/>
      <c r="AU141" s="1696"/>
      <c r="AV141" s="1696"/>
      <c r="AW141" s="1791"/>
      <c r="AX141" s="1693"/>
      <c r="AY141" s="1705"/>
      <c r="AZ141" s="1669"/>
      <c r="BA141" s="1678"/>
    </row>
    <row r="142" spans="1:58" ht="17.25" customHeight="1" thickBot="1" x14ac:dyDescent="0.3">
      <c r="A142" s="1735"/>
      <c r="B142" s="1736"/>
      <c r="C142" s="1737"/>
      <c r="D142" s="1738"/>
      <c r="E142" s="1739"/>
      <c r="F142" s="1792"/>
      <c r="G142" s="1741"/>
      <c r="H142" s="1742"/>
      <c r="I142" s="1743"/>
      <c r="J142" s="1744"/>
      <c r="K142" s="1745"/>
      <c r="L142" s="1746"/>
      <c r="M142" s="1700"/>
      <c r="N142" s="1735"/>
      <c r="O142" s="1736"/>
      <c r="P142" s="1737"/>
      <c r="Q142" s="1738"/>
      <c r="R142" s="1739"/>
      <c r="S142" s="1792"/>
      <c r="T142" s="1747"/>
      <c r="U142" s="1747"/>
      <c r="V142" s="1747"/>
      <c r="W142" s="1744"/>
      <c r="X142" s="1745"/>
      <c r="Y142" s="1746"/>
      <c r="Z142" s="1748"/>
      <c r="AA142" s="1700"/>
      <c r="AC142" s="1780"/>
      <c r="AD142" s="1793"/>
      <c r="AE142" s="1715"/>
      <c r="AF142" s="1716"/>
      <c r="AH142" s="1669"/>
      <c r="AI142" s="1690"/>
      <c r="AJ142" s="1691"/>
      <c r="AK142" s="1691"/>
      <c r="AL142" s="1691"/>
      <c r="AM142" s="1691"/>
      <c r="AN142" s="1794"/>
      <c r="AO142" s="1693"/>
      <c r="AP142" s="1694"/>
      <c r="AQ142" s="1669"/>
      <c r="AR142" s="1695"/>
      <c r="AS142" s="1696"/>
      <c r="AT142" s="1696"/>
      <c r="AU142" s="1696"/>
      <c r="AV142" s="1696"/>
      <c r="AW142" s="1795"/>
      <c r="AX142" s="1693"/>
      <c r="AY142" s="1705"/>
      <c r="AZ142" s="1669"/>
      <c r="BA142" s="1678"/>
    </row>
    <row r="143" spans="1:58" ht="17.25" customHeight="1" thickBot="1" x14ac:dyDescent="0.3">
      <c r="A143" s="1735"/>
      <c r="B143" s="1736"/>
      <c r="C143" s="1737"/>
      <c r="D143" s="1738"/>
      <c r="E143" s="1739"/>
      <c r="F143" s="1796"/>
      <c r="G143" s="1741"/>
      <c r="H143" s="1742"/>
      <c r="I143" s="1743"/>
      <c r="J143" s="1744"/>
      <c r="K143" s="1745"/>
      <c r="L143" s="1746"/>
      <c r="M143" s="1700"/>
      <c r="N143" s="1735"/>
      <c r="O143" s="1736"/>
      <c r="P143" s="1737"/>
      <c r="Q143" s="1738"/>
      <c r="R143" s="1739"/>
      <c r="S143" s="1796"/>
      <c r="T143" s="1747"/>
      <c r="U143" s="1747"/>
      <c r="V143" s="1747"/>
      <c r="W143" s="1744"/>
      <c r="X143" s="1745"/>
      <c r="Y143" s="1746"/>
      <c r="Z143" s="1748"/>
      <c r="AA143" s="1700"/>
      <c r="AC143" s="1780"/>
      <c r="AD143" s="1797"/>
      <c r="AE143" s="1715"/>
      <c r="AF143" s="1716"/>
      <c r="AH143" s="1669"/>
      <c r="AI143" s="1690"/>
      <c r="AJ143" s="1691"/>
      <c r="AK143" s="1691"/>
      <c r="AL143" s="1691"/>
      <c r="AM143" s="1691"/>
      <c r="AN143" s="1798"/>
      <c r="AO143" s="1693"/>
      <c r="AP143" s="1694"/>
      <c r="AQ143" s="1669"/>
      <c r="AR143" s="1695"/>
      <c r="AS143" s="1696"/>
      <c r="AT143" s="1696"/>
      <c r="AU143" s="1696"/>
      <c r="AV143" s="1696"/>
      <c r="AW143" s="1795"/>
      <c r="AX143" s="1693"/>
      <c r="AY143" s="1705"/>
      <c r="AZ143" s="1669"/>
      <c r="BA143" s="1678"/>
    </row>
    <row r="144" spans="1:58" ht="17.25" customHeight="1" x14ac:dyDescent="0.25">
      <c r="A144" s="1735"/>
      <c r="B144" s="1736"/>
      <c r="C144" s="1737"/>
      <c r="D144" s="1738"/>
      <c r="E144" s="1739"/>
      <c r="F144" s="1799"/>
      <c r="G144" s="1741"/>
      <c r="H144" s="1742"/>
      <c r="I144" s="1743"/>
      <c r="J144" s="1744"/>
      <c r="K144" s="1745"/>
      <c r="L144" s="1746"/>
      <c r="M144" s="1700"/>
      <c r="N144" s="1735"/>
      <c r="O144" s="1736"/>
      <c r="P144" s="1737"/>
      <c r="Q144" s="1738"/>
      <c r="R144" s="1739"/>
      <c r="S144" s="1799"/>
      <c r="T144" s="1747"/>
      <c r="U144" s="1747"/>
      <c r="V144" s="1747"/>
      <c r="W144" s="1744"/>
      <c r="X144" s="1745"/>
      <c r="Y144" s="1746"/>
      <c r="Z144" s="1748"/>
      <c r="AA144" s="1700"/>
      <c r="AC144" s="1800"/>
      <c r="AD144" s="1801"/>
      <c r="AE144" s="1715"/>
      <c r="AF144" s="1716"/>
      <c r="AH144" s="1669"/>
      <c r="AI144" s="1690"/>
      <c r="AJ144" s="1691"/>
      <c r="AK144" s="1691"/>
      <c r="AL144" s="1691"/>
      <c r="AM144" s="1691"/>
      <c r="AN144" s="1802"/>
      <c r="AO144" s="1693"/>
      <c r="AP144" s="1694"/>
      <c r="AQ144" s="1669"/>
      <c r="AR144" s="1695"/>
      <c r="AS144" s="1696"/>
      <c r="AT144" s="1696"/>
      <c r="AU144" s="1696"/>
      <c r="AV144" s="1696"/>
      <c r="AW144" s="1803"/>
      <c r="AX144" s="1693"/>
      <c r="AY144" s="1705"/>
      <c r="AZ144" s="1669"/>
      <c r="BA144" s="1678"/>
      <c r="BB144" s="1669"/>
      <c r="BC144" s="1669"/>
      <c r="BD144" s="1669"/>
      <c r="BE144" s="1669"/>
      <c r="BF144" s="1669"/>
    </row>
    <row r="145" spans="1:58" ht="17.25" customHeight="1" thickBot="1" x14ac:dyDescent="0.3">
      <c r="A145" s="1735"/>
      <c r="B145" s="1736"/>
      <c r="C145" s="1737"/>
      <c r="D145" s="1738"/>
      <c r="E145" s="1739"/>
      <c r="F145" s="1804"/>
      <c r="G145" s="1741"/>
      <c r="H145" s="1742"/>
      <c r="I145" s="1743"/>
      <c r="J145" s="1744"/>
      <c r="K145" s="1745"/>
      <c r="L145" s="1746"/>
      <c r="M145" s="1700"/>
      <c r="N145" s="1735"/>
      <c r="O145" s="1736"/>
      <c r="P145" s="1737"/>
      <c r="Q145" s="1738"/>
      <c r="R145" s="1739"/>
      <c r="S145" s="1804"/>
      <c r="T145" s="1747"/>
      <c r="U145" s="1747"/>
      <c r="V145" s="1747"/>
      <c r="W145" s="1744"/>
      <c r="X145" s="1745"/>
      <c r="Y145" s="1746"/>
      <c r="Z145" s="1748"/>
      <c r="AA145" s="1700"/>
      <c r="AC145" s="1780"/>
      <c r="AD145" s="1805"/>
      <c r="AE145" s="1715"/>
      <c r="AF145" s="1716"/>
      <c r="AH145" s="1669"/>
      <c r="AI145" s="1690"/>
      <c r="AJ145" s="1691"/>
      <c r="AK145" s="1691"/>
      <c r="AL145" s="1691"/>
      <c r="AM145" s="1691"/>
      <c r="AN145" s="1806"/>
      <c r="AO145" s="1693"/>
      <c r="AP145" s="1694"/>
      <c r="AQ145" s="1669"/>
      <c r="AR145" s="1695"/>
      <c r="AS145" s="1696"/>
      <c r="AT145" s="1696"/>
      <c r="AU145" s="1696"/>
      <c r="AV145" s="1696"/>
      <c r="AW145" s="1807"/>
      <c r="AX145" s="1693"/>
      <c r="AY145" s="1705"/>
      <c r="AZ145" s="1669"/>
      <c r="BA145" s="1678"/>
      <c r="BB145" s="1669"/>
      <c r="BC145" s="1669"/>
      <c r="BD145" s="1669"/>
      <c r="BE145" s="1669"/>
      <c r="BF145" s="1669"/>
    </row>
    <row r="146" spans="1:58" ht="17.25" customHeight="1" thickBot="1" x14ac:dyDescent="0.3">
      <c r="A146" s="1735"/>
      <c r="B146" s="1736"/>
      <c r="C146" s="1737"/>
      <c r="D146" s="1738"/>
      <c r="E146" s="1739"/>
      <c r="F146" s="1808"/>
      <c r="G146" s="1741"/>
      <c r="H146" s="1742"/>
      <c r="I146" s="1743"/>
      <c r="J146" s="1744"/>
      <c r="K146" s="1745"/>
      <c r="L146" s="1746"/>
      <c r="M146" s="1700"/>
      <c r="N146" s="1735"/>
      <c r="O146" s="1736"/>
      <c r="P146" s="1737"/>
      <c r="Q146" s="1738"/>
      <c r="R146" s="1739"/>
      <c r="S146" s="1808"/>
      <c r="T146" s="1747"/>
      <c r="U146" s="1747"/>
      <c r="V146" s="1747"/>
      <c r="W146" s="1744"/>
      <c r="X146" s="1745"/>
      <c r="Y146" s="1746"/>
      <c r="Z146" s="1748"/>
      <c r="AA146" s="1700"/>
      <c r="AC146" s="1780"/>
      <c r="AD146" s="1809"/>
      <c r="AE146" s="1715"/>
      <c r="AF146" s="1716"/>
      <c r="AH146" s="1669"/>
      <c r="AI146" s="1690"/>
      <c r="AJ146" s="1691"/>
      <c r="AK146" s="1691"/>
      <c r="AL146" s="1691"/>
      <c r="AM146" s="1691"/>
      <c r="AN146" s="1810"/>
      <c r="AO146" s="1693"/>
      <c r="AP146" s="1694"/>
      <c r="AQ146" s="1669"/>
      <c r="AR146" s="1695"/>
      <c r="AS146" s="1696"/>
      <c r="AT146" s="1696"/>
      <c r="AU146" s="1696"/>
      <c r="AV146" s="1696"/>
      <c r="AW146" s="1811"/>
      <c r="AX146" s="1693"/>
      <c r="AY146" s="1705"/>
      <c r="AZ146" s="1669"/>
      <c r="BA146" s="1678"/>
    </row>
    <row r="147" spans="1:58" ht="17.25" customHeight="1" thickBot="1" x14ac:dyDescent="0.3">
      <c r="A147" s="1735"/>
      <c r="B147" s="1736"/>
      <c r="C147" s="1737"/>
      <c r="D147" s="1738"/>
      <c r="E147" s="1739"/>
      <c r="F147" s="1812"/>
      <c r="G147" s="1741"/>
      <c r="H147" s="1742"/>
      <c r="I147" s="1743"/>
      <c r="J147" s="1744"/>
      <c r="K147" s="1745"/>
      <c r="L147" s="1746"/>
      <c r="M147" s="1700"/>
      <c r="N147" s="1735"/>
      <c r="O147" s="1736"/>
      <c r="P147" s="1737"/>
      <c r="Q147" s="1738"/>
      <c r="R147" s="1739"/>
      <c r="S147" s="1812"/>
      <c r="T147" s="1747"/>
      <c r="U147" s="1747"/>
      <c r="V147" s="1747"/>
      <c r="W147" s="1744"/>
      <c r="X147" s="1745"/>
      <c r="Y147" s="1746"/>
      <c r="Z147" s="1748"/>
      <c r="AA147" s="1700"/>
      <c r="AC147" s="1780"/>
      <c r="AD147" s="1813"/>
      <c r="AE147" s="1715"/>
      <c r="AF147" s="1716"/>
      <c r="AH147" s="1669"/>
      <c r="AI147" s="1690"/>
      <c r="AJ147" s="1691"/>
      <c r="AK147" s="1691"/>
      <c r="AL147" s="1691"/>
      <c r="AM147" s="1691"/>
      <c r="AN147" s="1814"/>
      <c r="AO147" s="1693"/>
      <c r="AP147" s="1694"/>
      <c r="AQ147" s="1669"/>
      <c r="AR147" s="1695"/>
      <c r="AS147" s="1696"/>
      <c r="AT147" s="1696"/>
      <c r="AU147" s="1696"/>
      <c r="AV147" s="1696"/>
      <c r="AW147" s="1771"/>
      <c r="AX147" s="1693"/>
      <c r="AY147" s="1705"/>
      <c r="AZ147" s="1669"/>
      <c r="BA147" s="1678"/>
    </row>
    <row r="148" spans="1:58" ht="17.25" customHeight="1" thickBot="1" x14ac:dyDescent="0.3">
      <c r="A148" s="1735"/>
      <c r="B148" s="1736"/>
      <c r="C148" s="1737"/>
      <c r="D148" s="1738"/>
      <c r="E148" s="1739"/>
      <c r="F148" s="1815"/>
      <c r="G148" s="1741"/>
      <c r="H148" s="1742"/>
      <c r="I148" s="1743"/>
      <c r="J148" s="1744"/>
      <c r="K148" s="1745"/>
      <c r="L148" s="1746"/>
      <c r="M148" s="1700"/>
      <c r="N148" s="1735"/>
      <c r="O148" s="1736"/>
      <c r="P148" s="1737"/>
      <c r="Q148" s="1738"/>
      <c r="R148" s="1739"/>
      <c r="S148" s="1815"/>
      <c r="T148" s="1747"/>
      <c r="U148" s="1747"/>
      <c r="V148" s="1747"/>
      <c r="W148" s="1744"/>
      <c r="X148" s="1745"/>
      <c r="Y148" s="1746"/>
      <c r="Z148" s="1748"/>
      <c r="AA148" s="1700"/>
      <c r="AC148" s="1780"/>
      <c r="AD148" s="1816"/>
      <c r="AE148" s="1715"/>
      <c r="AF148" s="1716"/>
      <c r="AH148" s="1669"/>
      <c r="AI148" s="1690"/>
      <c r="AJ148" s="1691"/>
      <c r="AK148" s="1691"/>
      <c r="AL148" s="1691"/>
      <c r="AM148" s="1691"/>
      <c r="AN148" s="1806"/>
      <c r="AO148" s="1693"/>
      <c r="AP148" s="1694"/>
      <c r="AQ148" s="1669"/>
      <c r="AR148" s="1695"/>
      <c r="AS148" s="1696"/>
      <c r="AT148" s="1696"/>
      <c r="AU148" s="1696"/>
      <c r="AV148" s="1696"/>
      <c r="AW148" s="1817"/>
      <c r="AX148" s="1693"/>
      <c r="AY148" s="1705"/>
      <c r="AZ148" s="1669"/>
      <c r="BA148" s="1678"/>
    </row>
    <row r="149" spans="1:58" ht="17.25" customHeight="1" thickBot="1" x14ac:dyDescent="0.3">
      <c r="A149" s="1735"/>
      <c r="B149" s="1736"/>
      <c r="C149" s="1737"/>
      <c r="D149" s="1738"/>
      <c r="E149" s="1739"/>
      <c r="F149" s="1818"/>
      <c r="G149" s="1741"/>
      <c r="H149" s="1742"/>
      <c r="I149" s="1743"/>
      <c r="J149" s="1744"/>
      <c r="K149" s="1745"/>
      <c r="L149" s="1746"/>
      <c r="M149" s="1700"/>
      <c r="N149" s="1735"/>
      <c r="O149" s="1736"/>
      <c r="P149" s="1737"/>
      <c r="Q149" s="1738"/>
      <c r="R149" s="1739"/>
      <c r="S149" s="1818"/>
      <c r="T149" s="1747"/>
      <c r="U149" s="1747"/>
      <c r="V149" s="1747"/>
      <c r="W149" s="1744"/>
      <c r="X149" s="1745"/>
      <c r="Y149" s="1746"/>
      <c r="Z149" s="1748"/>
      <c r="AA149" s="1700"/>
      <c r="AC149" s="1800"/>
      <c r="AD149" s="1819"/>
      <c r="AE149" s="1715"/>
      <c r="AF149" s="1716"/>
      <c r="AH149" s="1669"/>
      <c r="AI149" s="1690"/>
      <c r="AJ149" s="1691"/>
      <c r="AK149" s="1691"/>
      <c r="AL149" s="1691"/>
      <c r="AM149" s="1691"/>
      <c r="AN149" s="1820"/>
      <c r="AO149" s="1693"/>
      <c r="AP149" s="1694"/>
      <c r="AQ149" s="1669"/>
      <c r="AR149" s="1695"/>
      <c r="AS149" s="1696"/>
      <c r="AT149" s="1696"/>
      <c r="AU149" s="1696"/>
      <c r="AV149" s="1696"/>
      <c r="AW149" s="1821"/>
      <c r="AX149" s="1693"/>
      <c r="AY149" s="1705"/>
      <c r="AZ149" s="1669"/>
      <c r="BA149" s="1678"/>
    </row>
    <row r="150" spans="1:58" ht="17.25" customHeight="1" thickBot="1" x14ac:dyDescent="0.3">
      <c r="A150" s="1735"/>
      <c r="B150" s="1736"/>
      <c r="C150" s="1737"/>
      <c r="D150" s="1738"/>
      <c r="E150" s="1739"/>
      <c r="F150" s="1822"/>
      <c r="G150" s="1741"/>
      <c r="H150" s="1742"/>
      <c r="I150" s="1743"/>
      <c r="J150" s="1744"/>
      <c r="K150" s="1745"/>
      <c r="L150" s="1746"/>
      <c r="M150" s="1700"/>
      <c r="N150" s="1735"/>
      <c r="O150" s="1736"/>
      <c r="P150" s="1737"/>
      <c r="Q150" s="1738"/>
      <c r="R150" s="1739"/>
      <c r="S150" s="1822"/>
      <c r="T150" s="1747"/>
      <c r="U150" s="1747"/>
      <c r="V150" s="1747"/>
      <c r="W150" s="1744"/>
      <c r="X150" s="1745"/>
      <c r="Y150" s="1746"/>
      <c r="Z150" s="1748"/>
      <c r="AA150" s="1700"/>
      <c r="AC150" s="1780"/>
      <c r="AD150" s="1816"/>
      <c r="AE150" s="1715"/>
      <c r="AF150" s="1716"/>
      <c r="AH150" s="1669"/>
      <c r="AI150" s="1690"/>
      <c r="AJ150" s="1691"/>
      <c r="AK150" s="1691"/>
      <c r="AL150" s="1691"/>
      <c r="AM150" s="1691"/>
      <c r="AN150" s="1823"/>
      <c r="AO150" s="1693"/>
      <c r="AP150" s="1694"/>
      <c r="AQ150" s="1669"/>
      <c r="AR150" s="1695"/>
      <c r="AS150" s="1696"/>
      <c r="AT150" s="1696"/>
      <c r="AU150" s="1696"/>
      <c r="AV150" s="1696"/>
      <c r="AW150" s="1824"/>
      <c r="AX150" s="1693"/>
      <c r="AY150" s="1705"/>
      <c r="AZ150" s="1669"/>
      <c r="BA150" s="1678"/>
    </row>
    <row r="151" spans="1:58" ht="17.25" customHeight="1" thickBot="1" x14ac:dyDescent="0.3">
      <c r="A151" s="1735"/>
      <c r="B151" s="1736"/>
      <c r="C151" s="1737"/>
      <c r="D151" s="1738"/>
      <c r="E151" s="1739"/>
      <c r="F151" s="1825"/>
      <c r="G151" s="1741"/>
      <c r="H151" s="1742"/>
      <c r="I151" s="1743"/>
      <c r="J151" s="1744"/>
      <c r="K151" s="1745"/>
      <c r="L151" s="1746"/>
      <c r="M151" s="1700"/>
      <c r="N151" s="1735"/>
      <c r="O151" s="1736"/>
      <c r="P151" s="1737"/>
      <c r="Q151" s="1738"/>
      <c r="R151" s="1739"/>
      <c r="S151" s="1825"/>
      <c r="T151" s="1741"/>
      <c r="U151" s="1742"/>
      <c r="V151" s="1743"/>
      <c r="W151" s="1744"/>
      <c r="X151" s="1745"/>
      <c r="Y151" s="1746"/>
      <c r="Z151" s="1748"/>
      <c r="AA151" s="1700"/>
      <c r="AC151" s="1701"/>
      <c r="AD151" s="1702"/>
      <c r="AE151" s="1702"/>
      <c r="AF151" s="1702"/>
      <c r="AH151" s="1669"/>
      <c r="AI151" s="1690"/>
      <c r="AJ151" s="1691"/>
      <c r="AK151" s="1691"/>
      <c r="AL151" s="1691"/>
      <c r="AM151" s="1691"/>
      <c r="AN151" s="1826"/>
      <c r="AO151" s="1693"/>
      <c r="AP151" s="1694"/>
      <c r="AQ151" s="1669"/>
      <c r="AR151" s="1695"/>
      <c r="AS151" s="1696"/>
      <c r="AT151" s="1696"/>
      <c r="AU151" s="1696"/>
      <c r="AV151" s="1696"/>
      <c r="AW151" s="1827"/>
      <c r="AX151" s="1693"/>
      <c r="AY151" s="1705"/>
      <c r="AZ151" s="1669"/>
      <c r="BA151" s="1828"/>
    </row>
    <row r="152" spans="1:58" ht="17.25" customHeight="1" x14ac:dyDescent="0.25">
      <c r="A152" s="1829"/>
      <c r="B152" s="1830"/>
      <c r="C152" s="1830"/>
      <c r="D152" s="1830"/>
      <c r="E152" s="1830"/>
      <c r="F152" s="1831"/>
      <c r="G152" s="1832"/>
      <c r="H152" s="1832"/>
      <c r="I152" s="1832"/>
      <c r="J152" s="1744"/>
      <c r="K152" s="1745"/>
      <c r="L152" s="1746"/>
      <c r="M152" s="1700"/>
      <c r="N152" s="1833"/>
      <c r="O152" s="1834"/>
      <c r="P152" s="1834"/>
      <c r="Q152" s="1834"/>
      <c r="R152" s="1834"/>
      <c r="S152" s="1835"/>
      <c r="T152" s="1836"/>
      <c r="U152" s="1836"/>
      <c r="V152" s="1836"/>
      <c r="W152" s="1744"/>
      <c r="X152" s="1745"/>
      <c r="Y152" s="1746"/>
      <c r="Z152" s="1748"/>
      <c r="AA152" s="1700"/>
      <c r="AC152" s="1837"/>
      <c r="AD152" s="1838"/>
      <c r="AE152" s="1715"/>
      <c r="AF152" s="1716"/>
      <c r="AH152" s="1669"/>
      <c r="AI152" s="1690"/>
      <c r="AJ152" s="1691"/>
      <c r="AK152" s="1691"/>
      <c r="AL152" s="1691"/>
      <c r="AM152" s="1691"/>
      <c r="AN152" s="1839"/>
      <c r="AO152" s="1693"/>
      <c r="AP152" s="1694"/>
      <c r="AQ152" s="1669"/>
      <c r="AR152" s="1695"/>
      <c r="AS152" s="1696"/>
      <c r="AT152" s="1696"/>
      <c r="AU152" s="1696"/>
      <c r="AV152" s="1696"/>
      <c r="AW152" s="1840"/>
      <c r="AX152" s="1693"/>
      <c r="AY152" s="1705"/>
      <c r="AZ152" s="1669"/>
      <c r="BA152" s="1828"/>
    </row>
    <row r="153" spans="1:58" ht="17.25" customHeight="1" x14ac:dyDescent="0.25">
      <c r="A153" s="1841"/>
      <c r="B153" s="1842"/>
      <c r="C153" s="1842"/>
      <c r="D153" s="1842"/>
      <c r="E153" s="1842"/>
      <c r="F153" s="1842"/>
      <c r="G153" s="1842"/>
      <c r="H153" s="1842"/>
      <c r="I153" s="1843"/>
      <c r="J153" s="1731"/>
      <c r="K153" s="1731"/>
      <c r="L153" s="1731"/>
      <c r="M153" s="1700"/>
      <c r="N153" s="1841"/>
      <c r="O153" s="1842"/>
      <c r="P153" s="1842"/>
      <c r="Q153" s="1842"/>
      <c r="R153" s="1842"/>
      <c r="S153" s="1842"/>
      <c r="T153" s="1842"/>
      <c r="U153" s="1842"/>
      <c r="V153" s="1843"/>
      <c r="W153" s="1732"/>
      <c r="X153" s="1732"/>
      <c r="Y153" s="1732"/>
      <c r="Z153" s="1844"/>
      <c r="AA153" s="1700"/>
      <c r="AC153" s="1837"/>
      <c r="AD153" s="1845"/>
      <c r="AE153" s="1715"/>
      <c r="AF153" s="1716"/>
      <c r="AH153" s="1669"/>
      <c r="AI153" s="1690"/>
      <c r="AJ153" s="1691"/>
      <c r="AK153" s="1691"/>
      <c r="AL153" s="1691"/>
      <c r="AM153" s="1691"/>
      <c r="AN153" s="1846"/>
      <c r="AO153" s="1693"/>
      <c r="AP153" s="1694"/>
      <c r="AQ153" s="1669"/>
      <c r="AR153" s="1695"/>
      <c r="AS153" s="1696"/>
      <c r="AT153" s="1696"/>
      <c r="AU153" s="1696"/>
      <c r="AV153" s="1696"/>
      <c r="AW153" s="1847"/>
      <c r="AX153" s="1693"/>
      <c r="AY153" s="1705"/>
      <c r="AZ153" s="1669"/>
      <c r="BA153" s="1678"/>
    </row>
    <row r="154" spans="1:58" ht="17.25" customHeight="1" x14ac:dyDescent="0.25">
      <c r="A154" s="1848"/>
      <c r="B154" s="1849"/>
      <c r="C154" s="1850"/>
      <c r="D154" s="1851"/>
      <c r="E154" s="1852"/>
      <c r="F154" s="1853"/>
      <c r="G154" s="1854"/>
      <c r="H154" s="1855"/>
      <c r="I154" s="1856"/>
      <c r="J154" s="1744"/>
      <c r="K154" s="1745"/>
      <c r="L154" s="1746"/>
      <c r="M154" s="1700"/>
      <c r="N154" s="1848"/>
      <c r="O154" s="1849"/>
      <c r="P154" s="1850"/>
      <c r="Q154" s="1851"/>
      <c r="R154" s="1852"/>
      <c r="S154" s="1853"/>
      <c r="T154" s="1747"/>
      <c r="U154" s="1747"/>
      <c r="V154" s="1747"/>
      <c r="W154" s="1744"/>
      <c r="X154" s="1745"/>
      <c r="Y154" s="1746"/>
      <c r="Z154" s="1748"/>
      <c r="AA154" s="1700"/>
      <c r="AC154" s="1837"/>
      <c r="AD154" s="1857"/>
      <c r="AE154" s="1715"/>
      <c r="AF154" s="1716"/>
      <c r="AH154" s="1669"/>
      <c r="AI154" s="1690"/>
      <c r="AJ154" s="1691"/>
      <c r="AK154" s="1691"/>
      <c r="AL154" s="1691"/>
      <c r="AM154" s="1691"/>
      <c r="AN154" s="1858"/>
      <c r="AO154" s="1693"/>
      <c r="AP154" s="1694"/>
      <c r="AQ154" s="1669"/>
      <c r="AR154" s="1695"/>
      <c r="AS154" s="1696"/>
      <c r="AT154" s="1696"/>
      <c r="AU154" s="1696"/>
      <c r="AV154" s="1696"/>
      <c r="AW154" s="1859"/>
      <c r="AX154" s="1693"/>
      <c r="AY154" s="1705"/>
      <c r="AZ154" s="1669"/>
      <c r="BA154" s="1678"/>
    </row>
    <row r="155" spans="1:58" ht="17.25" customHeight="1" thickBot="1" x14ac:dyDescent="0.3">
      <c r="A155" s="1860"/>
      <c r="B155" s="1861"/>
      <c r="C155" s="1862"/>
      <c r="D155" s="1738"/>
      <c r="E155" s="1863"/>
      <c r="F155" s="1864"/>
      <c r="G155" s="1741"/>
      <c r="H155" s="1742"/>
      <c r="I155" s="1743"/>
      <c r="J155" s="1744"/>
      <c r="K155" s="1745"/>
      <c r="L155" s="1746"/>
      <c r="M155" s="1700"/>
      <c r="N155" s="1860"/>
      <c r="O155" s="1861"/>
      <c r="P155" s="1862"/>
      <c r="Q155" s="1738"/>
      <c r="R155" s="1739"/>
      <c r="S155" s="1865"/>
      <c r="T155" s="1747"/>
      <c r="U155" s="1747"/>
      <c r="V155" s="1747"/>
      <c r="W155" s="1744"/>
      <c r="X155" s="1745"/>
      <c r="Y155" s="1746"/>
      <c r="Z155" s="1748"/>
      <c r="AA155" s="1700"/>
      <c r="AC155" s="1837"/>
      <c r="AD155" s="1866"/>
      <c r="AE155" s="1715"/>
      <c r="AF155" s="1716"/>
      <c r="AH155" s="1669"/>
      <c r="AI155" s="1690"/>
      <c r="AJ155" s="1691"/>
      <c r="AK155" s="1691"/>
      <c r="AL155" s="1691"/>
      <c r="AM155" s="1691"/>
      <c r="AN155" s="1867"/>
      <c r="AO155" s="1693"/>
      <c r="AP155" s="1694"/>
      <c r="AQ155" s="1669"/>
      <c r="AR155" s="1695"/>
      <c r="AS155" s="1696"/>
      <c r="AT155" s="1696"/>
      <c r="AU155" s="1696"/>
      <c r="AV155" s="1696"/>
      <c r="AW155" s="1859"/>
      <c r="AX155" s="1693"/>
      <c r="AY155" s="1705"/>
      <c r="AZ155" s="1669"/>
      <c r="BA155" s="1678"/>
    </row>
    <row r="156" spans="1:58" ht="17.25" customHeight="1" x14ac:dyDescent="0.25">
      <c r="A156" s="1860"/>
      <c r="B156" s="1861"/>
      <c r="C156" s="1862"/>
      <c r="D156" s="1738"/>
      <c r="E156" s="1739"/>
      <c r="F156" s="1868"/>
      <c r="G156" s="1741"/>
      <c r="H156" s="1742"/>
      <c r="I156" s="1743"/>
      <c r="J156" s="1744"/>
      <c r="K156" s="1745"/>
      <c r="L156" s="1746"/>
      <c r="M156" s="1700"/>
      <c r="N156" s="1860"/>
      <c r="O156" s="1861"/>
      <c r="P156" s="1862"/>
      <c r="Q156" s="1738"/>
      <c r="R156" s="1739"/>
      <c r="S156" s="1868"/>
      <c r="T156" s="1747"/>
      <c r="U156" s="1747"/>
      <c r="V156" s="1747"/>
      <c r="W156" s="1744"/>
      <c r="X156" s="1745"/>
      <c r="Y156" s="1746"/>
      <c r="Z156" s="1748"/>
      <c r="AA156" s="1700"/>
      <c r="AC156" s="1837"/>
      <c r="AD156" s="1801"/>
      <c r="AE156" s="1715"/>
      <c r="AF156" s="1716"/>
      <c r="AH156" s="1669"/>
      <c r="AI156" s="1690"/>
      <c r="AJ156" s="1691"/>
      <c r="AK156" s="1691"/>
      <c r="AL156" s="1691"/>
      <c r="AM156" s="1691"/>
      <c r="AN156" s="1810"/>
      <c r="AO156" s="1693"/>
      <c r="AP156" s="1694"/>
      <c r="AQ156" s="1669"/>
      <c r="AR156" s="1695"/>
      <c r="AS156" s="1696"/>
      <c r="AT156" s="1696"/>
      <c r="AU156" s="1696"/>
      <c r="AV156" s="1696"/>
      <c r="AW156" s="1869"/>
      <c r="AX156" s="1693"/>
      <c r="AY156" s="1705"/>
      <c r="AZ156" s="1669"/>
      <c r="BA156" s="1678"/>
    </row>
    <row r="157" spans="1:58" ht="17.25" customHeight="1" thickBot="1" x14ac:dyDescent="0.3">
      <c r="A157" s="1860"/>
      <c r="B157" s="1861"/>
      <c r="C157" s="1862"/>
      <c r="D157" s="1738"/>
      <c r="E157" s="1739"/>
      <c r="F157" s="1870"/>
      <c r="G157" s="1741"/>
      <c r="H157" s="1742"/>
      <c r="I157" s="1743"/>
      <c r="J157" s="1744"/>
      <c r="K157" s="1745"/>
      <c r="L157" s="1746"/>
      <c r="M157" s="1700"/>
      <c r="N157" s="1860"/>
      <c r="O157" s="1861"/>
      <c r="P157" s="1862"/>
      <c r="Q157" s="1738"/>
      <c r="R157" s="1739"/>
      <c r="S157" s="1870"/>
      <c r="T157" s="1747"/>
      <c r="U157" s="1747"/>
      <c r="V157" s="1747"/>
      <c r="W157" s="1744"/>
      <c r="X157" s="1745"/>
      <c r="Y157" s="1746"/>
      <c r="Z157" s="1748"/>
      <c r="AA157" s="1700"/>
      <c r="AC157" s="1837"/>
      <c r="AD157" s="1871"/>
      <c r="AE157" s="1715"/>
      <c r="AF157" s="1716"/>
      <c r="AH157" s="1669"/>
      <c r="AI157" s="1690"/>
      <c r="AJ157" s="1691"/>
      <c r="AK157" s="1691"/>
      <c r="AL157" s="1691"/>
      <c r="AM157" s="1691"/>
      <c r="AN157" s="1872"/>
      <c r="AO157" s="1693"/>
      <c r="AP157" s="1694"/>
      <c r="AQ157" s="1669"/>
      <c r="AR157" s="1695"/>
      <c r="AS157" s="1696"/>
      <c r="AT157" s="1696"/>
      <c r="AU157" s="1696"/>
      <c r="AV157" s="1696"/>
      <c r="AW157" s="1873"/>
      <c r="AX157" s="1693"/>
      <c r="AY157" s="1705"/>
      <c r="AZ157" s="1669"/>
      <c r="BA157" s="1678"/>
    </row>
    <row r="158" spans="1:58" ht="17.25" customHeight="1" thickBot="1" x14ac:dyDescent="0.3">
      <c r="A158" s="1860"/>
      <c r="B158" s="1861"/>
      <c r="C158" s="1862"/>
      <c r="D158" s="1738"/>
      <c r="E158" s="1739"/>
      <c r="F158" s="1874"/>
      <c r="G158" s="1741"/>
      <c r="H158" s="1742"/>
      <c r="I158" s="1743"/>
      <c r="J158" s="1744"/>
      <c r="K158" s="1745"/>
      <c r="L158" s="1746"/>
      <c r="M158" s="1700"/>
      <c r="N158" s="1860"/>
      <c r="O158" s="1861"/>
      <c r="P158" s="1862"/>
      <c r="Q158" s="1738"/>
      <c r="R158" s="1739"/>
      <c r="S158" s="1874"/>
      <c r="T158" s="1747"/>
      <c r="U158" s="1747"/>
      <c r="V158" s="1747"/>
      <c r="W158" s="1744"/>
      <c r="X158" s="1745"/>
      <c r="Y158" s="1746"/>
      <c r="Z158" s="1748"/>
      <c r="AA158" s="1700"/>
      <c r="AC158" s="1837"/>
      <c r="AD158" s="1875"/>
      <c r="AE158" s="1715"/>
      <c r="AF158" s="1716"/>
      <c r="AH158" s="1669"/>
      <c r="AI158" s="1690"/>
      <c r="AJ158" s="1691"/>
      <c r="AK158" s="1691"/>
      <c r="AL158" s="1691"/>
      <c r="AM158" s="1691"/>
      <c r="AN158" s="1876"/>
      <c r="AO158" s="1693"/>
      <c r="AP158" s="1694"/>
      <c r="AQ158" s="1669"/>
      <c r="AR158" s="1695"/>
      <c r="AS158" s="1696"/>
      <c r="AT158" s="1696"/>
      <c r="AU158" s="1696"/>
      <c r="AV158" s="1696"/>
      <c r="AW158" s="1877"/>
      <c r="AX158" s="1693"/>
      <c r="AY158" s="1705"/>
      <c r="AZ158" s="1669"/>
      <c r="BA158" s="1678"/>
    </row>
    <row r="159" spans="1:58" ht="17.25" customHeight="1" thickBot="1" x14ac:dyDescent="0.3">
      <c r="A159" s="1860"/>
      <c r="B159" s="1861"/>
      <c r="C159" s="1862"/>
      <c r="D159" s="1738"/>
      <c r="E159" s="1739"/>
      <c r="F159" s="1878"/>
      <c r="G159" s="1741"/>
      <c r="H159" s="1742"/>
      <c r="I159" s="1743"/>
      <c r="J159" s="1744"/>
      <c r="K159" s="1745"/>
      <c r="L159" s="1746"/>
      <c r="M159" s="1700"/>
      <c r="N159" s="1860"/>
      <c r="O159" s="1861"/>
      <c r="P159" s="1862"/>
      <c r="Q159" s="1738"/>
      <c r="R159" s="1739"/>
      <c r="S159" s="1878"/>
      <c r="T159" s="1747"/>
      <c r="U159" s="1747"/>
      <c r="V159" s="1747"/>
      <c r="W159" s="1744"/>
      <c r="X159" s="1745"/>
      <c r="Y159" s="1746"/>
      <c r="Z159" s="1748"/>
      <c r="AA159" s="1700"/>
      <c r="AC159" s="1837"/>
      <c r="AD159" s="1879"/>
      <c r="AE159" s="1715"/>
      <c r="AF159" s="1716"/>
      <c r="AH159" s="1669"/>
      <c r="AI159" s="1690"/>
      <c r="AJ159" s="1691"/>
      <c r="AK159" s="1691"/>
      <c r="AL159" s="1691"/>
      <c r="AM159" s="1691"/>
      <c r="AN159" s="1880"/>
      <c r="AO159" s="1693"/>
      <c r="AP159" s="1694"/>
      <c r="AQ159" s="1669"/>
      <c r="AR159" s="1695"/>
      <c r="AS159" s="1696"/>
      <c r="AT159" s="1696"/>
      <c r="AU159" s="1696"/>
      <c r="AV159" s="1696"/>
      <c r="AW159" s="1881"/>
      <c r="AX159" s="1693"/>
      <c r="AY159" s="1882"/>
      <c r="AZ159" s="1669"/>
      <c r="BA159" s="1678"/>
    </row>
    <row r="160" spans="1:58" ht="17.25" customHeight="1" x14ac:dyDescent="0.25">
      <c r="A160" s="1860"/>
      <c r="B160" s="1861"/>
      <c r="C160" s="1862"/>
      <c r="D160" s="1738"/>
      <c r="E160" s="1739"/>
      <c r="F160" s="1883"/>
      <c r="G160" s="1741"/>
      <c r="H160" s="1742"/>
      <c r="I160" s="1743"/>
      <c r="J160" s="1744"/>
      <c r="K160" s="1745"/>
      <c r="L160" s="1746"/>
      <c r="M160" s="1700"/>
      <c r="N160" s="1860"/>
      <c r="O160" s="1861"/>
      <c r="P160" s="1862"/>
      <c r="Q160" s="1738"/>
      <c r="R160" s="1739"/>
      <c r="S160" s="1883"/>
      <c r="T160" s="1747"/>
      <c r="U160" s="1747"/>
      <c r="V160" s="1747"/>
      <c r="W160" s="1744"/>
      <c r="X160" s="1745"/>
      <c r="Y160" s="1746"/>
      <c r="Z160" s="1748"/>
      <c r="AA160" s="1700"/>
      <c r="AC160" s="1837"/>
      <c r="AD160" s="1884"/>
      <c r="AE160" s="1715"/>
      <c r="AF160" s="1716"/>
      <c r="AH160" s="1669"/>
      <c r="AI160" s="1690"/>
      <c r="AJ160" s="1691"/>
      <c r="AK160" s="1691"/>
      <c r="AL160" s="1691"/>
      <c r="AM160" s="1691"/>
      <c r="AN160" s="1885"/>
      <c r="AO160" s="1693"/>
      <c r="AP160" s="1694"/>
      <c r="AQ160" s="1669"/>
      <c r="AR160" s="1695"/>
      <c r="AS160" s="1696"/>
      <c r="AT160" s="1696"/>
      <c r="AU160" s="1696"/>
      <c r="AV160" s="1696"/>
      <c r="AW160" s="1886"/>
      <c r="AX160" s="1693"/>
      <c r="AY160" s="1882"/>
      <c r="AZ160" s="1669"/>
      <c r="BA160" s="1678"/>
    </row>
    <row r="161" spans="1:58" ht="17.25" customHeight="1" thickBot="1" x14ac:dyDescent="0.3">
      <c r="A161" s="1860"/>
      <c r="B161" s="1861"/>
      <c r="C161" s="1862"/>
      <c r="D161" s="1738"/>
      <c r="E161" s="1739"/>
      <c r="F161" s="1887"/>
      <c r="G161" s="1741"/>
      <c r="H161" s="1742"/>
      <c r="I161" s="1743"/>
      <c r="J161" s="1744"/>
      <c r="K161" s="1745"/>
      <c r="L161" s="1746"/>
      <c r="M161" s="1700"/>
      <c r="N161" s="1860"/>
      <c r="O161" s="1861"/>
      <c r="P161" s="1862"/>
      <c r="Q161" s="1738"/>
      <c r="R161" s="1739"/>
      <c r="S161" s="1888"/>
      <c r="T161" s="1747"/>
      <c r="U161" s="1747"/>
      <c r="V161" s="1747"/>
      <c r="W161" s="1744"/>
      <c r="X161" s="1745"/>
      <c r="Y161" s="1746"/>
      <c r="Z161" s="1748"/>
      <c r="AA161" s="1700"/>
      <c r="AC161" s="1837"/>
      <c r="AD161" s="1889"/>
      <c r="AE161" s="1715"/>
      <c r="AF161" s="1716"/>
      <c r="AH161" s="1669"/>
      <c r="AI161" s="1690"/>
      <c r="AJ161" s="1691"/>
      <c r="AK161" s="1691"/>
      <c r="AL161" s="1691"/>
      <c r="AM161" s="1691"/>
      <c r="AN161" s="1751"/>
      <c r="AO161" s="1693"/>
      <c r="AP161" s="1694"/>
      <c r="AQ161" s="1669"/>
      <c r="AR161" s="1695"/>
      <c r="AS161" s="1696"/>
      <c r="AT161" s="1696"/>
      <c r="AU161" s="1696"/>
      <c r="AV161" s="1696"/>
      <c r="AW161" s="1890"/>
      <c r="AX161" s="1693"/>
      <c r="AY161" s="1705"/>
      <c r="AZ161" s="1669"/>
      <c r="BA161" s="1678"/>
    </row>
    <row r="162" spans="1:58" ht="17.25" customHeight="1" x14ac:dyDescent="0.25">
      <c r="A162" s="1860"/>
      <c r="B162" s="1861"/>
      <c r="C162" s="1862"/>
      <c r="D162" s="1738"/>
      <c r="E162" s="1739"/>
      <c r="F162" s="1891"/>
      <c r="G162" s="1741"/>
      <c r="H162" s="1742"/>
      <c r="I162" s="1743"/>
      <c r="J162" s="1744"/>
      <c r="K162" s="1745"/>
      <c r="L162" s="1746"/>
      <c r="M162" s="1700"/>
      <c r="N162" s="1860"/>
      <c r="O162" s="1861"/>
      <c r="P162" s="1862"/>
      <c r="Q162" s="1738"/>
      <c r="R162" s="1739"/>
      <c r="S162" s="1891"/>
      <c r="T162" s="1747"/>
      <c r="U162" s="1747"/>
      <c r="V162" s="1747"/>
      <c r="W162" s="1744"/>
      <c r="X162" s="1745"/>
      <c r="Y162" s="1746"/>
      <c r="Z162" s="1748"/>
      <c r="AA162" s="1700"/>
      <c r="AC162" s="1837"/>
      <c r="AD162" s="1892"/>
      <c r="AE162" s="1715"/>
      <c r="AF162" s="1716"/>
      <c r="AH162" s="1669"/>
      <c r="AI162" s="1690"/>
      <c r="AJ162" s="1691"/>
      <c r="AK162" s="1691"/>
      <c r="AL162" s="1691"/>
      <c r="AM162" s="1691"/>
      <c r="AN162" s="1876"/>
      <c r="AO162" s="1693"/>
      <c r="AP162" s="1694"/>
      <c r="AQ162" s="1669"/>
      <c r="AR162" s="1695"/>
      <c r="AS162" s="1696"/>
      <c r="AT162" s="1696"/>
      <c r="AU162" s="1696"/>
      <c r="AV162" s="1696"/>
      <c r="AW162" s="1893"/>
      <c r="AX162" s="1693"/>
      <c r="AY162" s="1705"/>
      <c r="AZ162" s="1669"/>
      <c r="BA162" s="1678"/>
      <c r="BC162" s="1669"/>
      <c r="BD162" s="1669"/>
      <c r="BE162" s="1669"/>
      <c r="BF162" s="1669"/>
    </row>
    <row r="163" spans="1:58" ht="17.25" customHeight="1" thickBot="1" x14ac:dyDescent="0.3">
      <c r="A163" s="1860"/>
      <c r="B163" s="1861"/>
      <c r="C163" s="1862"/>
      <c r="D163" s="1738"/>
      <c r="E163" s="1739"/>
      <c r="F163" s="1894"/>
      <c r="G163" s="1741"/>
      <c r="H163" s="1742"/>
      <c r="I163" s="1743"/>
      <c r="J163" s="1744"/>
      <c r="K163" s="1745"/>
      <c r="L163" s="1746"/>
      <c r="M163" s="1700"/>
      <c r="N163" s="1860"/>
      <c r="O163" s="1861"/>
      <c r="P163" s="1862"/>
      <c r="Q163" s="1738"/>
      <c r="R163" s="1739"/>
      <c r="S163" s="1895"/>
      <c r="T163" s="1747"/>
      <c r="U163" s="1747"/>
      <c r="V163" s="1747"/>
      <c r="W163" s="1744"/>
      <c r="X163" s="1745"/>
      <c r="Y163" s="1746"/>
      <c r="Z163" s="1748"/>
      <c r="AA163" s="1700"/>
      <c r="AC163" s="1837"/>
      <c r="AD163" s="1692"/>
      <c r="AE163" s="1715"/>
      <c r="AF163" s="1716"/>
      <c r="AH163" s="1669"/>
      <c r="AI163" s="1690"/>
      <c r="AJ163" s="1691"/>
      <c r="AK163" s="1691"/>
      <c r="AL163" s="1691"/>
      <c r="AM163" s="1691"/>
      <c r="AN163" s="1814"/>
      <c r="AO163" s="1693"/>
      <c r="AP163" s="1694"/>
      <c r="AQ163" s="1669"/>
      <c r="AR163" s="1896"/>
      <c r="AS163" s="1897"/>
      <c r="AT163" s="1897"/>
      <c r="AU163" s="1897"/>
      <c r="AV163" s="1897"/>
      <c r="AW163" s="1898"/>
      <c r="AX163" s="1693"/>
      <c r="AY163" s="1882"/>
      <c r="AZ163" s="1669"/>
      <c r="BA163" s="1678"/>
      <c r="BB163" s="1669"/>
      <c r="BC163" s="1669"/>
      <c r="BD163" s="1669"/>
      <c r="BE163" s="1669"/>
      <c r="BF163" s="1669"/>
    </row>
    <row r="164" spans="1:58" ht="17.25" customHeight="1" x14ac:dyDescent="0.25">
      <c r="A164" s="1860"/>
      <c r="B164" s="1861"/>
      <c r="C164" s="1862"/>
      <c r="D164" s="1738"/>
      <c r="E164" s="1739"/>
      <c r="F164" s="1899"/>
      <c r="G164" s="1741"/>
      <c r="H164" s="1742"/>
      <c r="I164" s="1743"/>
      <c r="J164" s="1744"/>
      <c r="K164" s="1745"/>
      <c r="L164" s="1746"/>
      <c r="M164" s="1700"/>
      <c r="N164" s="1860"/>
      <c r="O164" s="1861"/>
      <c r="P164" s="1862"/>
      <c r="Q164" s="1738"/>
      <c r="R164" s="1739"/>
      <c r="S164" s="1899"/>
      <c r="T164" s="1747"/>
      <c r="U164" s="1747"/>
      <c r="V164" s="1747"/>
      <c r="W164" s="1744"/>
      <c r="X164" s="1745"/>
      <c r="Y164" s="1746"/>
      <c r="Z164" s="1748"/>
      <c r="AA164" s="1700"/>
      <c r="AC164" s="1837"/>
      <c r="AD164" s="1900"/>
      <c r="AE164" s="1715"/>
      <c r="AF164" s="1716"/>
      <c r="AH164" s="1669"/>
      <c r="AI164" s="1690"/>
      <c r="AJ164" s="1691"/>
      <c r="AK164" s="1691"/>
      <c r="AL164" s="1691"/>
      <c r="AM164" s="1691"/>
      <c r="AN164" s="1876"/>
      <c r="AO164" s="1693"/>
      <c r="AP164" s="1694"/>
      <c r="AQ164" s="1669"/>
      <c r="AR164" s="1896"/>
      <c r="AS164" s="1897"/>
      <c r="AT164" s="1897"/>
      <c r="AU164" s="1897"/>
      <c r="AV164" s="1897"/>
      <c r="AW164" s="1795"/>
      <c r="AX164" s="1693"/>
      <c r="AY164" s="1882"/>
      <c r="AZ164" s="1669"/>
      <c r="BA164" s="1678"/>
      <c r="BB164" s="1669"/>
      <c r="BC164" s="1669"/>
      <c r="BD164" s="1669"/>
      <c r="BE164" s="1669"/>
      <c r="BF164" s="1669"/>
    </row>
    <row r="165" spans="1:58" ht="17.25" customHeight="1" thickBot="1" x14ac:dyDescent="0.3">
      <c r="A165" s="1735"/>
      <c r="B165" s="1736"/>
      <c r="C165" s="1737"/>
      <c r="D165" s="1738"/>
      <c r="E165" s="1739"/>
      <c r="F165" s="1901"/>
      <c r="G165" s="1741"/>
      <c r="H165" s="1742"/>
      <c r="I165" s="1743"/>
      <c r="J165" s="1744"/>
      <c r="K165" s="1745"/>
      <c r="L165" s="1746"/>
      <c r="M165" s="1700"/>
      <c r="N165" s="1735"/>
      <c r="O165" s="1736"/>
      <c r="P165" s="1737"/>
      <c r="Q165" s="1738"/>
      <c r="R165" s="1739"/>
      <c r="S165" s="1901"/>
      <c r="T165" s="1747"/>
      <c r="U165" s="1747"/>
      <c r="V165" s="1747"/>
      <c r="W165" s="1744"/>
      <c r="X165" s="1745"/>
      <c r="Y165" s="1746"/>
      <c r="Z165" s="1748"/>
      <c r="AA165" s="1700"/>
      <c r="AC165" s="1837"/>
      <c r="AD165" s="1845"/>
      <c r="AE165" s="1715"/>
      <c r="AF165" s="1716"/>
      <c r="AH165" s="1669"/>
      <c r="AI165" s="1690"/>
      <c r="AJ165" s="1691"/>
      <c r="AK165" s="1691"/>
      <c r="AL165" s="1691"/>
      <c r="AM165" s="1691"/>
      <c r="AN165" s="1902"/>
      <c r="AO165" s="1693"/>
      <c r="AP165" s="1694"/>
      <c r="AQ165" s="1669"/>
      <c r="AR165" s="1903"/>
      <c r="AS165" s="1904"/>
      <c r="AT165" s="1904"/>
      <c r="AU165" s="1904"/>
      <c r="AV165" s="1905"/>
      <c r="AW165" s="1906"/>
      <c r="AX165" s="1693"/>
      <c r="AY165" s="1705"/>
      <c r="AZ165" s="1669"/>
      <c r="BA165" s="1678"/>
      <c r="BB165" s="1669"/>
      <c r="BC165" s="1669"/>
      <c r="BD165" s="1669"/>
      <c r="BE165" s="1669"/>
      <c r="BF165" s="1669"/>
    </row>
    <row r="166" spans="1:58" ht="17.25" customHeight="1" thickBot="1" x14ac:dyDescent="0.3">
      <c r="A166" s="1860"/>
      <c r="B166" s="1861"/>
      <c r="C166" s="1862"/>
      <c r="D166" s="1738"/>
      <c r="E166" s="1739"/>
      <c r="F166" s="1907"/>
      <c r="G166" s="1741"/>
      <c r="H166" s="1742"/>
      <c r="I166" s="1743"/>
      <c r="J166" s="1744"/>
      <c r="K166" s="1745"/>
      <c r="L166" s="1746"/>
      <c r="M166" s="1700"/>
      <c r="N166" s="1860"/>
      <c r="O166" s="1861"/>
      <c r="P166" s="1862"/>
      <c r="Q166" s="1738"/>
      <c r="R166" s="1739"/>
      <c r="S166" s="1907"/>
      <c r="T166" s="1747"/>
      <c r="U166" s="1747"/>
      <c r="V166" s="1747"/>
      <c r="W166" s="1744"/>
      <c r="X166" s="1745"/>
      <c r="Y166" s="1746"/>
      <c r="Z166" s="1748"/>
      <c r="AA166" s="1700"/>
      <c r="AC166" s="1837"/>
      <c r="AD166" s="1908"/>
      <c r="AE166" s="1715"/>
      <c r="AF166" s="1716"/>
      <c r="AH166" s="1669"/>
      <c r="AI166" s="1690"/>
      <c r="AJ166" s="1691"/>
      <c r="AK166" s="1691"/>
      <c r="AL166" s="1691"/>
      <c r="AM166" s="1691"/>
      <c r="AN166" s="1876"/>
      <c r="AO166" s="1693"/>
      <c r="AP166" s="1694"/>
      <c r="AQ166" s="1669"/>
      <c r="AR166" s="1909"/>
      <c r="AS166" s="1910"/>
      <c r="AT166" s="1910"/>
      <c r="AU166" s="1910"/>
      <c r="AV166" s="1910"/>
      <c r="AW166" s="1911"/>
      <c r="AX166" s="1693"/>
      <c r="AY166" s="1912"/>
      <c r="AZ166" s="1669"/>
      <c r="BA166" s="1678"/>
      <c r="BB166" s="1669"/>
      <c r="BC166" s="1669"/>
      <c r="BD166" s="1669"/>
      <c r="BE166" s="1669"/>
      <c r="BF166" s="1669"/>
    </row>
    <row r="167" spans="1:58" ht="17.25" customHeight="1" thickBot="1" x14ac:dyDescent="0.3">
      <c r="A167" s="1860"/>
      <c r="B167" s="1861"/>
      <c r="C167" s="1862"/>
      <c r="D167" s="1738"/>
      <c r="E167" s="1739"/>
      <c r="F167" s="1913"/>
      <c r="G167" s="1741"/>
      <c r="H167" s="1742"/>
      <c r="I167" s="1743"/>
      <c r="J167" s="1744"/>
      <c r="K167" s="1745"/>
      <c r="L167" s="1746"/>
      <c r="M167" s="1700"/>
      <c r="N167" s="1860"/>
      <c r="O167" s="1861"/>
      <c r="P167" s="1862"/>
      <c r="Q167" s="1738"/>
      <c r="R167" s="1739"/>
      <c r="S167" s="1913"/>
      <c r="T167" s="1747"/>
      <c r="U167" s="1747"/>
      <c r="V167" s="1747"/>
      <c r="W167" s="1744"/>
      <c r="X167" s="1745"/>
      <c r="Y167" s="1746"/>
      <c r="Z167" s="1748"/>
      <c r="AA167" s="1700"/>
      <c r="AC167" s="1837"/>
      <c r="AD167" s="1785"/>
      <c r="AE167" s="1715"/>
      <c r="AF167" s="1716"/>
      <c r="AH167" s="1669"/>
      <c r="AI167" s="1690"/>
      <c r="AJ167" s="1691"/>
      <c r="AK167" s="1691"/>
      <c r="AL167" s="1691"/>
      <c r="AM167" s="1691"/>
      <c r="AN167" s="1914"/>
      <c r="AO167" s="1693"/>
      <c r="AP167" s="1694"/>
      <c r="AQ167" s="1669"/>
      <c r="AR167" s="1915"/>
      <c r="AS167" s="1916"/>
      <c r="AT167" s="1916"/>
      <c r="AU167" s="1916"/>
      <c r="AV167" s="1917"/>
      <c r="AW167" s="1918"/>
      <c r="AX167" s="1919"/>
      <c r="AY167" s="1669"/>
      <c r="AZ167" s="1669"/>
      <c r="BA167" s="1678"/>
      <c r="BB167" s="1669"/>
      <c r="BC167" s="1669"/>
      <c r="BD167" s="1669"/>
      <c r="BE167" s="1669"/>
      <c r="BF167" s="1669"/>
    </row>
    <row r="168" spans="1:58" ht="17.25" customHeight="1" thickBot="1" x14ac:dyDescent="0.3">
      <c r="A168" s="1860"/>
      <c r="B168" s="1861"/>
      <c r="C168" s="1862"/>
      <c r="D168" s="1738"/>
      <c r="E168" s="1739"/>
      <c r="F168" s="1920"/>
      <c r="G168" s="1741"/>
      <c r="H168" s="1742"/>
      <c r="I168" s="1743"/>
      <c r="J168" s="1744"/>
      <c r="K168" s="1745"/>
      <c r="L168" s="1746"/>
      <c r="M168" s="1700"/>
      <c r="N168" s="1860"/>
      <c r="O168" s="1861"/>
      <c r="P168" s="1862"/>
      <c r="Q168" s="1738"/>
      <c r="R168" s="1739"/>
      <c r="S168" s="1920"/>
      <c r="T168" s="1747"/>
      <c r="U168" s="1747"/>
      <c r="V168" s="1747"/>
      <c r="W168" s="1744"/>
      <c r="X168" s="1745"/>
      <c r="Y168" s="1746"/>
      <c r="Z168" s="1748"/>
      <c r="AA168" s="1700"/>
      <c r="AC168" s="1837"/>
      <c r="AD168" s="1921"/>
      <c r="AE168" s="1715"/>
      <c r="AF168" s="1716"/>
      <c r="AH168" s="1669"/>
      <c r="AI168" s="1690"/>
      <c r="AJ168" s="1691"/>
      <c r="AK168" s="1691"/>
      <c r="AL168" s="1691"/>
      <c r="AM168" s="1691"/>
      <c r="AN168" s="1922"/>
      <c r="AO168" s="1693"/>
      <c r="AP168" s="1694"/>
      <c r="AQ168" s="1669"/>
      <c r="AR168" s="1669"/>
      <c r="AS168" s="1669"/>
      <c r="AT168" s="1669"/>
      <c r="AU168" s="1669"/>
      <c r="AV168" s="1669"/>
      <c r="AW168" s="1669"/>
      <c r="AX168" s="1669"/>
      <c r="AY168" s="1669"/>
      <c r="AZ168" s="1669"/>
      <c r="BA168" s="1678"/>
      <c r="BB168" s="1669"/>
      <c r="BC168" s="1669"/>
      <c r="BD168" s="1669"/>
      <c r="BE168" s="1669"/>
      <c r="BF168" s="1669"/>
    </row>
    <row r="169" spans="1:58" ht="17.25" customHeight="1" thickBot="1" x14ac:dyDescent="0.3">
      <c r="A169" s="1860"/>
      <c r="B169" s="1861"/>
      <c r="C169" s="1862"/>
      <c r="D169" s="1738"/>
      <c r="E169" s="1739"/>
      <c r="F169" s="1923"/>
      <c r="G169" s="1741"/>
      <c r="H169" s="1742"/>
      <c r="I169" s="1743"/>
      <c r="J169" s="1744"/>
      <c r="K169" s="1745"/>
      <c r="L169" s="1746"/>
      <c r="M169" s="1700"/>
      <c r="N169" s="1860"/>
      <c r="O169" s="1861"/>
      <c r="P169" s="1862"/>
      <c r="Q169" s="1738"/>
      <c r="R169" s="1739"/>
      <c r="S169" s="1923"/>
      <c r="T169" s="1747"/>
      <c r="U169" s="1747"/>
      <c r="V169" s="1747"/>
      <c r="W169" s="1744"/>
      <c r="X169" s="1745"/>
      <c r="Y169" s="1746"/>
      <c r="Z169" s="1748"/>
      <c r="AA169" s="1700"/>
      <c r="AC169" s="1837"/>
      <c r="AD169" s="1924"/>
      <c r="AE169" s="1715"/>
      <c r="AF169" s="1716"/>
      <c r="AH169" s="1669"/>
      <c r="AI169" s="1690"/>
      <c r="AJ169" s="1691"/>
      <c r="AK169" s="1691"/>
      <c r="AL169" s="1691"/>
      <c r="AM169" s="1691"/>
      <c r="AN169" s="1922"/>
      <c r="AO169" s="1693"/>
      <c r="AP169" s="1694"/>
      <c r="AQ169" s="1669"/>
      <c r="AR169" s="1675"/>
      <c r="AS169" s="1676"/>
      <c r="AT169" s="1676"/>
      <c r="AU169" s="1676"/>
      <c r="AV169" s="1676"/>
      <c r="AW169" s="1677"/>
      <c r="AX169" s="1673"/>
      <c r="AY169" s="1674"/>
      <c r="AZ169" s="1669"/>
      <c r="BA169" s="1678"/>
      <c r="BB169" s="1669"/>
      <c r="BC169" s="1669"/>
      <c r="BD169" s="1669"/>
      <c r="BE169" s="1669"/>
      <c r="BF169" s="1669"/>
    </row>
    <row r="170" spans="1:58" ht="17.25" customHeight="1" thickBot="1" x14ac:dyDescent="0.3">
      <c r="A170" s="1860"/>
      <c r="B170" s="1861"/>
      <c r="C170" s="1862"/>
      <c r="D170" s="1738"/>
      <c r="E170" s="1739"/>
      <c r="F170" s="1925"/>
      <c r="G170" s="1741"/>
      <c r="H170" s="1742"/>
      <c r="I170" s="1743"/>
      <c r="J170" s="1744"/>
      <c r="K170" s="1745"/>
      <c r="L170" s="1746"/>
      <c r="M170" s="1700"/>
      <c r="N170" s="1860"/>
      <c r="O170" s="1861"/>
      <c r="P170" s="1862"/>
      <c r="Q170" s="1738"/>
      <c r="R170" s="1739"/>
      <c r="S170" s="1925"/>
      <c r="T170" s="1747"/>
      <c r="U170" s="1747"/>
      <c r="V170" s="1747"/>
      <c r="W170" s="1744"/>
      <c r="X170" s="1745"/>
      <c r="Y170" s="1746"/>
      <c r="Z170" s="1748"/>
      <c r="AA170" s="1700"/>
      <c r="AC170" s="1926"/>
      <c r="AD170" s="1927"/>
      <c r="AE170" s="1715"/>
      <c r="AF170" s="1716"/>
      <c r="AH170" s="1669"/>
      <c r="AI170" s="1690"/>
      <c r="AJ170" s="1691"/>
      <c r="AK170" s="1691"/>
      <c r="AL170" s="1691"/>
      <c r="AM170" s="1691"/>
      <c r="AN170" s="1928"/>
      <c r="AO170" s="1693"/>
      <c r="AP170" s="1694"/>
      <c r="AQ170" s="1669"/>
      <c r="AR170" s="1929"/>
      <c r="AS170" s="1930"/>
      <c r="AT170" s="1930"/>
      <c r="AU170" s="1930"/>
      <c r="AV170" s="1930"/>
      <c r="AW170" s="1931"/>
      <c r="AX170" s="1693"/>
      <c r="AY170" s="1932"/>
      <c r="AZ170" s="1669"/>
      <c r="BA170" s="1678"/>
      <c r="BB170" s="1669"/>
    </row>
    <row r="171" spans="1:58" ht="17.25" customHeight="1" x14ac:dyDescent="0.25">
      <c r="A171" s="1860"/>
      <c r="B171" s="1861"/>
      <c r="C171" s="1862"/>
      <c r="D171" s="1933"/>
      <c r="E171" s="1863"/>
      <c r="F171" s="1934"/>
      <c r="G171" s="1741"/>
      <c r="H171" s="1742"/>
      <c r="I171" s="1743"/>
      <c r="J171" s="1744"/>
      <c r="K171" s="1745"/>
      <c r="L171" s="1746"/>
      <c r="M171" s="1700"/>
      <c r="N171" s="1860"/>
      <c r="O171" s="1861"/>
      <c r="P171" s="1862"/>
      <c r="Q171" s="1935"/>
      <c r="R171" s="1936"/>
      <c r="S171" s="1934"/>
      <c r="T171" s="1747"/>
      <c r="U171" s="1747"/>
      <c r="V171" s="1747"/>
      <c r="W171" s="1744"/>
      <c r="X171" s="1745"/>
      <c r="Y171" s="1746"/>
      <c r="Z171" s="1748"/>
      <c r="AA171" s="1700"/>
      <c r="AC171" s="1837"/>
      <c r="AD171" s="1697"/>
      <c r="AE171" s="1715"/>
      <c r="AF171" s="1716"/>
      <c r="AH171" s="1669"/>
      <c r="AI171" s="1690"/>
      <c r="AJ171" s="1691"/>
      <c r="AK171" s="1691"/>
      <c r="AL171" s="1691"/>
      <c r="AM171" s="1691"/>
      <c r="AN171" s="1802"/>
      <c r="AO171" s="1693"/>
      <c r="AP171" s="1694"/>
      <c r="AQ171" s="1669"/>
      <c r="AR171" s="1929"/>
      <c r="AS171" s="1930"/>
      <c r="AT171" s="1930"/>
      <c r="AU171" s="1930"/>
      <c r="AV171" s="1930"/>
      <c r="AW171" s="1937"/>
      <c r="AX171" s="1693"/>
      <c r="AY171" s="1932"/>
      <c r="AZ171" s="1669"/>
      <c r="BA171" s="1678"/>
      <c r="BB171" s="1669"/>
    </row>
    <row r="172" spans="1:58" ht="17.25" customHeight="1" x14ac:dyDescent="0.25">
      <c r="A172" s="1938"/>
      <c r="B172" s="1742"/>
      <c r="C172" s="1742"/>
      <c r="D172" s="1742"/>
      <c r="E172" s="1742"/>
      <c r="F172" s="1939"/>
      <c r="G172" s="1836"/>
      <c r="H172" s="1836"/>
      <c r="I172" s="1836"/>
      <c r="J172" s="1744"/>
      <c r="K172" s="1745"/>
      <c r="L172" s="1746"/>
      <c r="M172" s="1700"/>
      <c r="N172" s="1833"/>
      <c r="O172" s="1834"/>
      <c r="P172" s="1834"/>
      <c r="Q172" s="1834"/>
      <c r="R172" s="1834"/>
      <c r="S172" s="1940"/>
      <c r="T172" s="1941"/>
      <c r="U172" s="1941"/>
      <c r="V172" s="1941"/>
      <c r="W172" s="1744"/>
      <c r="X172" s="1745"/>
      <c r="Y172" s="1746"/>
      <c r="Z172" s="1748"/>
      <c r="AA172" s="1700"/>
      <c r="AC172" s="1837"/>
      <c r="AD172" s="1942"/>
      <c r="AE172" s="1715"/>
      <c r="AF172" s="1716"/>
      <c r="AH172" s="1669"/>
      <c r="AI172" s="1690"/>
      <c r="AJ172" s="1691"/>
      <c r="AK172" s="1691"/>
      <c r="AL172" s="1691"/>
      <c r="AM172" s="1691"/>
      <c r="AN172" s="1943"/>
      <c r="AO172" s="1693"/>
      <c r="AP172" s="1694"/>
      <c r="AQ172" s="1669"/>
      <c r="AR172" s="1929"/>
      <c r="AS172" s="1930"/>
      <c r="AT172" s="1930"/>
      <c r="AU172" s="1930"/>
      <c r="AV172" s="1930"/>
      <c r="AW172" s="1937"/>
      <c r="AX172" s="1693"/>
      <c r="AY172" s="1932"/>
      <c r="AZ172" s="1669"/>
      <c r="BA172" s="1678"/>
      <c r="BB172" s="1669"/>
    </row>
    <row r="173" spans="1:58" ht="17.25" customHeight="1" x14ac:dyDescent="0.25">
      <c r="A173" s="1944"/>
      <c r="B173" s="1945"/>
      <c r="C173" s="1945"/>
      <c r="D173" s="1945"/>
      <c r="E173" s="1945"/>
      <c r="F173" s="1945"/>
      <c r="G173" s="1945"/>
      <c r="H173" s="1945"/>
      <c r="I173" s="1946"/>
      <c r="J173" s="1731"/>
      <c r="K173" s="1731"/>
      <c r="L173" s="1731"/>
      <c r="M173" s="1700"/>
      <c r="N173" s="1944"/>
      <c r="O173" s="1945"/>
      <c r="P173" s="1945"/>
      <c r="Q173" s="1945"/>
      <c r="R173" s="1945"/>
      <c r="S173" s="1945"/>
      <c r="T173" s="1945"/>
      <c r="U173" s="1945"/>
      <c r="V173" s="1946"/>
      <c r="W173" s="1732"/>
      <c r="X173" s="1732"/>
      <c r="Y173" s="1732"/>
      <c r="Z173" s="1844"/>
      <c r="AA173" s="1700"/>
      <c r="AC173" s="1837"/>
      <c r="AD173" s="1947"/>
      <c r="AE173" s="1715"/>
      <c r="AF173" s="1716"/>
      <c r="AH173" s="1669"/>
      <c r="AI173" s="1690"/>
      <c r="AJ173" s="1691"/>
      <c r="AK173" s="1691"/>
      <c r="AL173" s="1691"/>
      <c r="AM173" s="1691"/>
      <c r="AN173" s="1876"/>
      <c r="AO173" s="1693"/>
      <c r="AP173" s="1694"/>
      <c r="AQ173" s="1669"/>
      <c r="AR173" s="1929"/>
      <c r="AS173" s="1930"/>
      <c r="AT173" s="1930"/>
      <c r="AU173" s="1930"/>
      <c r="AV173" s="1930"/>
      <c r="AW173" s="1948"/>
      <c r="AX173" s="1693"/>
      <c r="AY173" s="1932"/>
      <c r="AZ173" s="1669"/>
      <c r="BA173" s="1678"/>
    </row>
    <row r="174" spans="1:58" ht="17.25" customHeight="1" thickBot="1" x14ac:dyDescent="0.3">
      <c r="A174" s="1848"/>
      <c r="B174" s="1849"/>
      <c r="C174" s="1850"/>
      <c r="D174" s="1851"/>
      <c r="E174" s="1852"/>
      <c r="F174" s="1756"/>
      <c r="G174" s="1854"/>
      <c r="H174" s="1855"/>
      <c r="I174" s="1856"/>
      <c r="J174" s="1744"/>
      <c r="K174" s="1745"/>
      <c r="L174" s="1746"/>
      <c r="M174" s="1700"/>
      <c r="N174" s="1848"/>
      <c r="O174" s="1849"/>
      <c r="P174" s="1850"/>
      <c r="Q174" s="1851"/>
      <c r="R174" s="1852"/>
      <c r="S174" s="1756"/>
      <c r="T174" s="1747"/>
      <c r="U174" s="1747"/>
      <c r="V174" s="1747"/>
      <c r="W174" s="1744"/>
      <c r="X174" s="1745"/>
      <c r="Y174" s="1746"/>
      <c r="Z174" s="1748"/>
      <c r="AA174" s="1700"/>
      <c r="AC174" s="1837"/>
      <c r="AD174" s="1949"/>
      <c r="AE174" s="1715"/>
      <c r="AF174" s="1716"/>
      <c r="AH174" s="1669"/>
      <c r="AI174" s="1690"/>
      <c r="AJ174" s="1691"/>
      <c r="AK174" s="1691"/>
      <c r="AL174" s="1691"/>
      <c r="AM174" s="1691"/>
      <c r="AN174" s="1950"/>
      <c r="AO174" s="1693"/>
      <c r="AP174" s="1694"/>
      <c r="AQ174" s="1669"/>
      <c r="AR174" s="1929"/>
      <c r="AS174" s="1930"/>
      <c r="AT174" s="1930"/>
      <c r="AU174" s="1930"/>
      <c r="AV174" s="1930"/>
      <c r="AW174" s="1803"/>
      <c r="AX174" s="1693"/>
      <c r="AY174" s="1932"/>
      <c r="AZ174" s="1669"/>
      <c r="BA174" s="1678"/>
    </row>
    <row r="175" spans="1:58" ht="17.25" customHeight="1" thickBot="1" x14ac:dyDescent="0.3">
      <c r="A175" s="1860"/>
      <c r="B175" s="1861"/>
      <c r="C175" s="1862"/>
      <c r="D175" s="1738"/>
      <c r="E175" s="1739"/>
      <c r="F175" s="1874"/>
      <c r="G175" s="1741"/>
      <c r="H175" s="1742"/>
      <c r="I175" s="1743"/>
      <c r="J175" s="1744"/>
      <c r="K175" s="1745"/>
      <c r="L175" s="1746"/>
      <c r="M175" s="1700"/>
      <c r="N175" s="1860"/>
      <c r="O175" s="1861"/>
      <c r="P175" s="1862"/>
      <c r="Q175" s="1738"/>
      <c r="R175" s="1739"/>
      <c r="S175" s="1874"/>
      <c r="T175" s="1747"/>
      <c r="U175" s="1747"/>
      <c r="V175" s="1747"/>
      <c r="W175" s="1744"/>
      <c r="X175" s="1745"/>
      <c r="Y175" s="1746"/>
      <c r="Z175" s="1748"/>
      <c r="AA175" s="1700"/>
      <c r="AC175" s="1837"/>
      <c r="AD175" s="1951"/>
      <c r="AE175" s="1715"/>
      <c r="AF175" s="1716"/>
      <c r="AH175" s="1669"/>
      <c r="AI175" s="1690"/>
      <c r="AJ175" s="1691"/>
      <c r="AK175" s="1691"/>
      <c r="AL175" s="1691"/>
      <c r="AM175" s="1691"/>
      <c r="AN175" s="1952"/>
      <c r="AO175" s="1693"/>
      <c r="AP175" s="1694"/>
      <c r="AQ175" s="1669"/>
      <c r="AR175" s="1929"/>
      <c r="AS175" s="1930"/>
      <c r="AT175" s="1930"/>
      <c r="AU175" s="1930"/>
      <c r="AV175" s="1930"/>
      <c r="AW175" s="1803"/>
      <c r="AX175" s="1693"/>
      <c r="AY175" s="1932"/>
      <c r="AZ175" s="1669"/>
      <c r="BA175" s="1678"/>
    </row>
    <row r="176" spans="1:58" ht="17.25" customHeight="1" x14ac:dyDescent="0.25">
      <c r="A176" s="1938"/>
      <c r="B176" s="1742"/>
      <c r="C176" s="1742"/>
      <c r="D176" s="1742"/>
      <c r="E176" s="1742"/>
      <c r="F176" s="1939"/>
      <c r="G176" s="1836"/>
      <c r="H176" s="1836"/>
      <c r="I176" s="1836"/>
      <c r="J176" s="1744"/>
      <c r="K176" s="1745"/>
      <c r="L176" s="1746"/>
      <c r="M176" s="1700"/>
      <c r="N176" s="1833"/>
      <c r="O176" s="1834"/>
      <c r="P176" s="1834"/>
      <c r="Q176" s="1834"/>
      <c r="R176" s="1834"/>
      <c r="S176" s="1940"/>
      <c r="T176" s="1941"/>
      <c r="U176" s="1941"/>
      <c r="V176" s="1941"/>
      <c r="W176" s="1744"/>
      <c r="X176" s="1745"/>
      <c r="Y176" s="1746"/>
      <c r="Z176" s="1748"/>
      <c r="AA176" s="1700"/>
      <c r="AC176" s="1837"/>
      <c r="AD176" s="1953"/>
      <c r="AE176" s="1715"/>
      <c r="AF176" s="1716"/>
      <c r="AH176" s="1669"/>
      <c r="AI176" s="1690"/>
      <c r="AJ176" s="1691"/>
      <c r="AK176" s="1691"/>
      <c r="AL176" s="1691"/>
      <c r="AM176" s="1691"/>
      <c r="AN176" s="1954"/>
      <c r="AO176" s="1693"/>
      <c r="AP176" s="1694"/>
      <c r="AQ176" s="1669"/>
      <c r="AR176" s="1929"/>
      <c r="AS176" s="1930"/>
      <c r="AT176" s="1930"/>
      <c r="AU176" s="1930"/>
      <c r="AV176" s="1930"/>
      <c r="AW176" s="1803"/>
      <c r="AX176" s="1693"/>
      <c r="AY176" s="1955"/>
      <c r="AZ176" s="1669"/>
      <c r="BA176" s="1678"/>
    </row>
    <row r="177" spans="1:53" ht="17.25" customHeight="1" x14ac:dyDescent="0.25">
      <c r="A177" s="1956"/>
      <c r="B177" s="1957"/>
      <c r="C177" s="1957"/>
      <c r="D177" s="1957"/>
      <c r="E177" s="1957"/>
      <c r="F177" s="1957"/>
      <c r="G177" s="1957"/>
      <c r="H177" s="1957"/>
      <c r="I177" s="1958"/>
      <c r="J177" s="1731"/>
      <c r="K177" s="1731"/>
      <c r="L177" s="1731"/>
      <c r="M177" s="1700"/>
      <c r="N177" s="1956"/>
      <c r="O177" s="1957"/>
      <c r="P177" s="1957"/>
      <c r="Q177" s="1957"/>
      <c r="R177" s="1957"/>
      <c r="S177" s="1957"/>
      <c r="T177" s="1957"/>
      <c r="U177" s="1957"/>
      <c r="V177" s="1958"/>
      <c r="W177" s="1732"/>
      <c r="X177" s="1732"/>
      <c r="Y177" s="1732"/>
      <c r="Z177" s="1844"/>
      <c r="AA177" s="1700"/>
      <c r="AC177" s="1837"/>
      <c r="AD177" s="1959"/>
      <c r="AE177" s="1715"/>
      <c r="AF177" s="1716"/>
      <c r="AH177" s="1669"/>
      <c r="AI177" s="1690"/>
      <c r="AJ177" s="1691"/>
      <c r="AK177" s="1691"/>
      <c r="AL177" s="1691"/>
      <c r="AM177" s="1691"/>
      <c r="AN177" s="1960"/>
      <c r="AO177" s="1693"/>
      <c r="AP177" s="1694"/>
      <c r="AQ177" s="1669"/>
      <c r="AR177" s="1929"/>
      <c r="AS177" s="1930"/>
      <c r="AT177" s="1930"/>
      <c r="AU177" s="1930"/>
      <c r="AV177" s="1930"/>
      <c r="AW177" s="1961"/>
      <c r="AX177" s="1693"/>
      <c r="AY177" s="1955"/>
      <c r="AZ177" s="1669"/>
      <c r="BA177" s="1678"/>
    </row>
    <row r="178" spans="1:53" ht="17.25" customHeight="1" thickBot="1" x14ac:dyDescent="0.3">
      <c r="A178" s="1735"/>
      <c r="B178" s="1736"/>
      <c r="C178" s="1737"/>
      <c r="D178" s="1738"/>
      <c r="E178" s="1739"/>
      <c r="F178" s="1962"/>
      <c r="G178" s="1963"/>
      <c r="H178" s="1964"/>
      <c r="I178" s="1965"/>
      <c r="J178" s="1744"/>
      <c r="K178" s="1745"/>
      <c r="L178" s="1746"/>
      <c r="M178" s="1700"/>
      <c r="N178" s="1735"/>
      <c r="O178" s="1736"/>
      <c r="P178" s="1737"/>
      <c r="Q178" s="1738"/>
      <c r="R178" s="1739"/>
      <c r="S178" s="1962"/>
      <c r="T178" s="1747"/>
      <c r="U178" s="1747"/>
      <c r="V178" s="1747"/>
      <c r="W178" s="1744"/>
      <c r="X178" s="1745"/>
      <c r="Y178" s="1746"/>
      <c r="Z178" s="1748"/>
      <c r="AA178" s="1700"/>
      <c r="AC178" s="1837"/>
      <c r="AD178" s="1966"/>
      <c r="AE178" s="1715"/>
      <c r="AF178" s="1716"/>
      <c r="AH178" s="1669"/>
      <c r="AI178" s="1690"/>
      <c r="AJ178" s="1691"/>
      <c r="AK178" s="1691"/>
      <c r="AL178" s="1691"/>
      <c r="AM178" s="1691"/>
      <c r="AN178" s="1967"/>
      <c r="AO178" s="1693"/>
      <c r="AP178" s="1694"/>
      <c r="AQ178" s="1669"/>
      <c r="AR178" s="1929"/>
      <c r="AS178" s="1930"/>
      <c r="AT178" s="1930"/>
      <c r="AU178" s="1930"/>
      <c r="AV178" s="1930"/>
      <c r="AW178" s="1961"/>
      <c r="AX178" s="1693"/>
      <c r="AY178" s="1955"/>
      <c r="AZ178" s="1669"/>
      <c r="BA178" s="1678"/>
    </row>
    <row r="179" spans="1:53" ht="17.25" customHeight="1" x14ac:dyDescent="0.25">
      <c r="A179" s="1735"/>
      <c r="B179" s="1736"/>
      <c r="C179" s="1737"/>
      <c r="D179" s="1738"/>
      <c r="E179" s="1739"/>
      <c r="F179" s="1968"/>
      <c r="G179" s="1742"/>
      <c r="H179" s="1742"/>
      <c r="I179" s="1743"/>
      <c r="J179" s="1744"/>
      <c r="K179" s="1745"/>
      <c r="L179" s="1746"/>
      <c r="M179" s="1700"/>
      <c r="N179" s="1735"/>
      <c r="O179" s="1736"/>
      <c r="P179" s="1737"/>
      <c r="Q179" s="1738"/>
      <c r="R179" s="1739"/>
      <c r="S179" s="1968"/>
      <c r="T179" s="1743"/>
      <c r="U179" s="1747"/>
      <c r="V179" s="1747"/>
      <c r="W179" s="1744"/>
      <c r="X179" s="1745"/>
      <c r="Y179" s="1746"/>
      <c r="Z179" s="1748"/>
      <c r="AA179" s="1700"/>
      <c r="AC179" s="1800"/>
      <c r="AD179" s="1969"/>
      <c r="AE179" s="1715"/>
      <c r="AF179" s="1716"/>
      <c r="AH179" s="1669"/>
      <c r="AI179" s="1690"/>
      <c r="AJ179" s="1691"/>
      <c r="AK179" s="1691"/>
      <c r="AL179" s="1691"/>
      <c r="AM179" s="1691"/>
      <c r="AN179" s="1970"/>
      <c r="AO179" s="1693"/>
      <c r="AP179" s="1694"/>
      <c r="AQ179" s="1669"/>
      <c r="AR179" s="1929"/>
      <c r="AS179" s="1930"/>
      <c r="AT179" s="1930"/>
      <c r="AU179" s="1930"/>
      <c r="AV179" s="1930"/>
      <c r="AW179" s="1971"/>
      <c r="AX179" s="1693"/>
      <c r="AY179" s="1955"/>
      <c r="AZ179" s="1669"/>
      <c r="BA179" s="1678"/>
    </row>
    <row r="180" spans="1:53" ht="17.25" customHeight="1" thickBot="1" x14ac:dyDescent="0.3">
      <c r="A180" s="1735"/>
      <c r="B180" s="1736"/>
      <c r="C180" s="1737"/>
      <c r="D180" s="1738"/>
      <c r="E180" s="1739"/>
      <c r="F180" s="1972"/>
      <c r="G180" s="1742"/>
      <c r="H180" s="1742"/>
      <c r="I180" s="1743"/>
      <c r="J180" s="1744"/>
      <c r="K180" s="1745"/>
      <c r="L180" s="1746"/>
      <c r="M180" s="1700"/>
      <c r="N180" s="1735"/>
      <c r="O180" s="1736"/>
      <c r="P180" s="1737"/>
      <c r="Q180" s="1738"/>
      <c r="R180" s="1739"/>
      <c r="S180" s="1972"/>
      <c r="T180" s="1743"/>
      <c r="U180" s="1747"/>
      <c r="V180" s="1747"/>
      <c r="W180" s="1744"/>
      <c r="X180" s="1745"/>
      <c r="Y180" s="1746"/>
      <c r="Z180" s="1748"/>
      <c r="AA180" s="1700"/>
      <c r="AC180" s="1837"/>
      <c r="AD180" s="1973"/>
      <c r="AE180" s="1715"/>
      <c r="AF180" s="1716"/>
      <c r="AH180" s="1669"/>
      <c r="AI180" s="1690"/>
      <c r="AJ180" s="1691"/>
      <c r="AK180" s="1691"/>
      <c r="AL180" s="1691"/>
      <c r="AM180" s="1691"/>
      <c r="AN180" s="1974"/>
      <c r="AO180" s="1693"/>
      <c r="AP180" s="1975"/>
      <c r="AQ180" s="1669"/>
      <c r="AR180" s="1929"/>
      <c r="AS180" s="1930"/>
      <c r="AT180" s="1930"/>
      <c r="AU180" s="1930"/>
      <c r="AV180" s="1930"/>
      <c r="AW180" s="1961"/>
      <c r="AX180" s="1693"/>
      <c r="AY180" s="1932"/>
      <c r="AZ180" s="1669"/>
      <c r="BA180" s="1678"/>
    </row>
    <row r="181" spans="1:53" ht="17.25" customHeight="1" thickBot="1" x14ac:dyDescent="0.3">
      <c r="A181" s="1735"/>
      <c r="B181" s="1736"/>
      <c r="C181" s="1737"/>
      <c r="D181" s="1738"/>
      <c r="E181" s="1739"/>
      <c r="F181" s="1976"/>
      <c r="G181" s="1742"/>
      <c r="H181" s="1742"/>
      <c r="I181" s="1743"/>
      <c r="J181" s="1744"/>
      <c r="K181" s="1745"/>
      <c r="L181" s="1746"/>
      <c r="M181" s="1700"/>
      <c r="N181" s="1735"/>
      <c r="O181" s="1736"/>
      <c r="P181" s="1737"/>
      <c r="Q181" s="1738"/>
      <c r="R181" s="1739"/>
      <c r="S181" s="1976"/>
      <c r="T181" s="1743"/>
      <c r="U181" s="1747"/>
      <c r="V181" s="1747"/>
      <c r="W181" s="1744"/>
      <c r="X181" s="1745"/>
      <c r="Y181" s="1746"/>
      <c r="Z181" s="1748"/>
      <c r="AA181" s="1700"/>
      <c r="AC181" s="1837"/>
      <c r="AD181" s="1977"/>
      <c r="AE181" s="1715"/>
      <c r="AF181" s="1716"/>
      <c r="AH181" s="1669"/>
      <c r="AI181" s="1690"/>
      <c r="AJ181" s="1691"/>
      <c r="AK181" s="1691"/>
      <c r="AL181" s="1691"/>
      <c r="AM181" s="1691"/>
      <c r="AN181" s="1845"/>
      <c r="AO181" s="1693"/>
      <c r="AP181" s="1694"/>
      <c r="AQ181" s="1669"/>
      <c r="AR181" s="1929"/>
      <c r="AS181" s="1930"/>
      <c r="AT181" s="1930"/>
      <c r="AU181" s="1930"/>
      <c r="AV181" s="1930"/>
      <c r="AW181" s="1978"/>
      <c r="AX181" s="1693"/>
      <c r="AY181" s="1932"/>
      <c r="AZ181" s="1669"/>
      <c r="BA181" s="1828"/>
    </row>
    <row r="182" spans="1:53" ht="17.25" customHeight="1" thickBot="1" x14ac:dyDescent="0.3">
      <c r="A182" s="1735"/>
      <c r="B182" s="1736"/>
      <c r="C182" s="1737"/>
      <c r="D182" s="1738"/>
      <c r="E182" s="1739"/>
      <c r="F182" s="1979"/>
      <c r="G182" s="1742"/>
      <c r="H182" s="1742"/>
      <c r="I182" s="1743"/>
      <c r="J182" s="1744"/>
      <c r="K182" s="1745"/>
      <c r="L182" s="1746"/>
      <c r="M182" s="1700"/>
      <c r="N182" s="1735"/>
      <c r="O182" s="1736"/>
      <c r="P182" s="1737"/>
      <c r="Q182" s="1738"/>
      <c r="R182" s="1739"/>
      <c r="S182" s="1979"/>
      <c r="T182" s="1743"/>
      <c r="U182" s="1747"/>
      <c r="V182" s="1747"/>
      <c r="W182" s="1744"/>
      <c r="X182" s="1745"/>
      <c r="Y182" s="1746"/>
      <c r="Z182" s="1748"/>
      <c r="AC182" s="1837"/>
      <c r="AD182" s="1980"/>
      <c r="AE182" s="1715"/>
      <c r="AF182" s="1716"/>
      <c r="AH182" s="1669"/>
      <c r="AI182" s="1690"/>
      <c r="AJ182" s="1691"/>
      <c r="AK182" s="1691"/>
      <c r="AL182" s="1691"/>
      <c r="AM182" s="1691"/>
      <c r="AN182" s="1967"/>
      <c r="AO182" s="1693"/>
      <c r="AP182" s="1694"/>
      <c r="AQ182" s="1669"/>
      <c r="AR182" s="1929"/>
      <c r="AS182" s="1930"/>
      <c r="AT182" s="1930"/>
      <c r="AU182" s="1930"/>
      <c r="AV182" s="1930"/>
      <c r="AW182" s="1981"/>
      <c r="AX182" s="1693"/>
      <c r="AY182" s="1932"/>
      <c r="AZ182" s="1669"/>
      <c r="BA182" s="1828"/>
    </row>
    <row r="183" spans="1:53" ht="17.25" customHeight="1" x14ac:dyDescent="0.25">
      <c r="A183" s="1735"/>
      <c r="B183" s="1736"/>
      <c r="C183" s="1737"/>
      <c r="D183" s="1738"/>
      <c r="E183" s="1739"/>
      <c r="F183" s="1982"/>
      <c r="G183" s="1741"/>
      <c r="H183" s="1742"/>
      <c r="I183" s="1743"/>
      <c r="J183" s="1744"/>
      <c r="K183" s="1745"/>
      <c r="L183" s="1746"/>
      <c r="M183" s="1700"/>
      <c r="N183" s="1735"/>
      <c r="O183" s="1736"/>
      <c r="P183" s="1737"/>
      <c r="Q183" s="1738"/>
      <c r="R183" s="1739"/>
      <c r="S183" s="1982"/>
      <c r="T183" s="1747"/>
      <c r="U183" s="1747"/>
      <c r="V183" s="1747"/>
      <c r="W183" s="1744"/>
      <c r="X183" s="1745"/>
      <c r="Y183" s="1746"/>
      <c r="Z183" s="1748"/>
      <c r="AC183" s="1837"/>
      <c r="AD183" s="1983"/>
      <c r="AE183" s="1715"/>
      <c r="AF183" s="1716"/>
      <c r="AH183" s="1669"/>
      <c r="AI183" s="1690"/>
      <c r="AJ183" s="1691"/>
      <c r="AK183" s="1691"/>
      <c r="AL183" s="1691"/>
      <c r="AM183" s="1691"/>
      <c r="AN183" s="1984"/>
      <c r="AO183" s="1693"/>
      <c r="AP183" s="1694"/>
      <c r="AQ183" s="1669"/>
      <c r="AR183" s="1929"/>
      <c r="AS183" s="1930"/>
      <c r="AT183" s="1930"/>
      <c r="AU183" s="1930"/>
      <c r="AV183" s="1930"/>
      <c r="AW183" s="1985"/>
      <c r="AX183" s="1693"/>
      <c r="AY183" s="1932"/>
      <c r="AZ183" s="1669"/>
      <c r="BA183" s="1828"/>
    </row>
    <row r="184" spans="1:53" ht="17.25" customHeight="1" x14ac:dyDescent="0.25">
      <c r="A184" s="1735"/>
      <c r="B184" s="1736"/>
      <c r="C184" s="1737"/>
      <c r="D184" s="1738"/>
      <c r="E184" s="1739"/>
      <c r="F184" s="1772"/>
      <c r="G184" s="1741"/>
      <c r="H184" s="1742"/>
      <c r="I184" s="1743"/>
      <c r="J184" s="1744"/>
      <c r="K184" s="1745"/>
      <c r="L184" s="1746"/>
      <c r="M184" s="1700"/>
      <c r="N184" s="1735"/>
      <c r="O184" s="1736"/>
      <c r="P184" s="1737"/>
      <c r="Q184" s="1738"/>
      <c r="R184" s="1739"/>
      <c r="S184" s="1772"/>
      <c r="T184" s="1747"/>
      <c r="U184" s="1747"/>
      <c r="V184" s="1747"/>
      <c r="W184" s="1744"/>
      <c r="X184" s="1745"/>
      <c r="Y184" s="1746"/>
      <c r="Z184" s="1748"/>
      <c r="AC184" s="1837"/>
      <c r="AD184" s="1986"/>
      <c r="AE184" s="1715"/>
      <c r="AF184" s="1716"/>
      <c r="AH184" s="1669"/>
      <c r="AI184" s="1690"/>
      <c r="AJ184" s="1691"/>
      <c r="AK184" s="1691"/>
      <c r="AL184" s="1691"/>
      <c r="AM184" s="1691"/>
      <c r="AN184" s="1876"/>
      <c r="AO184" s="1693"/>
      <c r="AP184" s="1694"/>
      <c r="AQ184" s="1669"/>
      <c r="AR184" s="1929"/>
      <c r="AS184" s="1930"/>
      <c r="AT184" s="1930"/>
      <c r="AU184" s="1930"/>
      <c r="AV184" s="1930"/>
      <c r="AW184" s="1987"/>
      <c r="AX184" s="1693"/>
      <c r="AY184" s="1932"/>
      <c r="AZ184" s="1669"/>
      <c r="BA184" s="1828"/>
    </row>
    <row r="185" spans="1:53" ht="17.25" customHeight="1" x14ac:dyDescent="0.25">
      <c r="A185" s="1735"/>
      <c r="B185" s="1736"/>
      <c r="C185" s="1737"/>
      <c r="D185" s="1738"/>
      <c r="E185" s="1739"/>
      <c r="F185" s="1988"/>
      <c r="G185" s="1741"/>
      <c r="H185" s="1742"/>
      <c r="I185" s="1743"/>
      <c r="J185" s="1744"/>
      <c r="K185" s="1745"/>
      <c r="L185" s="1746"/>
      <c r="M185" s="1700"/>
      <c r="N185" s="1735"/>
      <c r="O185" s="1736"/>
      <c r="P185" s="1737"/>
      <c r="Q185" s="1738"/>
      <c r="R185" s="1739"/>
      <c r="S185" s="1988"/>
      <c r="T185" s="1747"/>
      <c r="U185" s="1747"/>
      <c r="V185" s="1747"/>
      <c r="W185" s="1744"/>
      <c r="X185" s="1745"/>
      <c r="Y185" s="1746"/>
      <c r="Z185" s="1748"/>
      <c r="AC185" s="1837"/>
      <c r="AD185" s="1989"/>
      <c r="AE185" s="1715"/>
      <c r="AF185" s="1716"/>
      <c r="AH185" s="1669"/>
      <c r="AI185" s="1690"/>
      <c r="AJ185" s="1691"/>
      <c r="AK185" s="1691"/>
      <c r="AL185" s="1691"/>
      <c r="AM185" s="1691"/>
      <c r="AN185" s="1990"/>
      <c r="AO185" s="1693"/>
      <c r="AP185" s="1694"/>
      <c r="AQ185" s="1669"/>
      <c r="AR185" s="1929"/>
      <c r="AS185" s="1930"/>
      <c r="AT185" s="1930"/>
      <c r="AU185" s="1930"/>
      <c r="AV185" s="1930"/>
      <c r="AW185" s="1991"/>
      <c r="AX185" s="1693"/>
      <c r="AY185" s="1955"/>
      <c r="AZ185" s="1669"/>
      <c r="BA185" s="1678"/>
    </row>
    <row r="186" spans="1:53" ht="17.25" customHeight="1" x14ac:dyDescent="0.25">
      <c r="A186" s="1735"/>
      <c r="B186" s="1736"/>
      <c r="C186" s="1737"/>
      <c r="D186" s="1738"/>
      <c r="E186" s="1739"/>
      <c r="F186" s="1992"/>
      <c r="G186" s="1741"/>
      <c r="H186" s="1742"/>
      <c r="I186" s="1743"/>
      <c r="J186" s="1744"/>
      <c r="K186" s="1745"/>
      <c r="L186" s="1746"/>
      <c r="M186" s="1700"/>
      <c r="N186" s="1735"/>
      <c r="O186" s="1736"/>
      <c r="P186" s="1737"/>
      <c r="Q186" s="1738"/>
      <c r="R186" s="1739"/>
      <c r="S186" s="1992"/>
      <c r="T186" s="1747"/>
      <c r="U186" s="1747"/>
      <c r="V186" s="1747"/>
      <c r="W186" s="1744"/>
      <c r="X186" s="1745"/>
      <c r="Y186" s="1746"/>
      <c r="Z186" s="1748"/>
      <c r="AC186" s="1837"/>
      <c r="AD186" s="1989"/>
      <c r="AE186" s="1715"/>
      <c r="AF186" s="1716"/>
      <c r="AH186" s="1669"/>
      <c r="AI186" s="1690"/>
      <c r="AJ186" s="1691"/>
      <c r="AK186" s="1691"/>
      <c r="AL186" s="1691"/>
      <c r="AM186" s="1691"/>
      <c r="AN186" s="1993"/>
      <c r="AO186" s="1693"/>
      <c r="AP186" s="1694"/>
      <c r="AQ186" s="1669"/>
      <c r="AR186" s="1929"/>
      <c r="AS186" s="1930"/>
      <c r="AT186" s="1930"/>
      <c r="AU186" s="1930"/>
      <c r="AV186" s="1930"/>
      <c r="AW186" s="1994"/>
      <c r="AX186" s="1693"/>
      <c r="AY186" s="1932"/>
      <c r="AZ186" s="1669"/>
      <c r="BA186" s="1678"/>
    </row>
    <row r="187" spans="1:53" ht="17.25" customHeight="1" thickBot="1" x14ac:dyDescent="0.3">
      <c r="A187" s="1735"/>
      <c r="B187" s="1736"/>
      <c r="C187" s="1737"/>
      <c r="D187" s="1738"/>
      <c r="E187" s="1739"/>
      <c r="F187" s="1976"/>
      <c r="G187" s="1741"/>
      <c r="H187" s="1742"/>
      <c r="I187" s="1743"/>
      <c r="J187" s="1744"/>
      <c r="K187" s="1745"/>
      <c r="L187" s="1746"/>
      <c r="M187" s="1700"/>
      <c r="N187" s="1735"/>
      <c r="O187" s="1736"/>
      <c r="P187" s="1737"/>
      <c r="Q187" s="1738"/>
      <c r="R187" s="1739"/>
      <c r="S187" s="1976"/>
      <c r="T187" s="1747"/>
      <c r="U187" s="1747"/>
      <c r="V187" s="1747"/>
      <c r="W187" s="1744"/>
      <c r="X187" s="1745"/>
      <c r="Y187" s="1746"/>
      <c r="Z187" s="1748"/>
      <c r="AC187" s="1837"/>
      <c r="AD187" s="1995"/>
      <c r="AE187" s="1715"/>
      <c r="AF187" s="1716"/>
      <c r="AH187" s="1669"/>
      <c r="AI187" s="1690"/>
      <c r="AJ187" s="1691"/>
      <c r="AK187" s="1691"/>
      <c r="AL187" s="1691"/>
      <c r="AM187" s="1691"/>
      <c r="AN187" s="1996"/>
      <c r="AO187" s="1693"/>
      <c r="AP187" s="1694"/>
      <c r="AQ187" s="1669"/>
      <c r="AR187" s="1929"/>
      <c r="AS187" s="1930"/>
      <c r="AT187" s="1930"/>
      <c r="AU187" s="1930"/>
      <c r="AV187" s="1930"/>
      <c r="AW187" s="1997"/>
      <c r="AX187" s="1693"/>
      <c r="AY187" s="1932"/>
      <c r="AZ187" s="1669"/>
      <c r="BA187" s="1828"/>
    </row>
    <row r="188" spans="1:53" ht="17.25" customHeight="1" thickBot="1" x14ac:dyDescent="0.3">
      <c r="A188" s="1735"/>
      <c r="B188" s="1736"/>
      <c r="C188" s="1737"/>
      <c r="D188" s="1738"/>
      <c r="E188" s="1739"/>
      <c r="F188" s="1998"/>
      <c r="G188" s="1741"/>
      <c r="H188" s="1742"/>
      <c r="I188" s="1743"/>
      <c r="J188" s="1744"/>
      <c r="K188" s="1745"/>
      <c r="L188" s="1746"/>
      <c r="M188" s="1700"/>
      <c r="N188" s="1735"/>
      <c r="O188" s="1736"/>
      <c r="P188" s="1737"/>
      <c r="Q188" s="1738"/>
      <c r="R188" s="1739"/>
      <c r="S188" s="1998"/>
      <c r="T188" s="1747"/>
      <c r="U188" s="1747"/>
      <c r="V188" s="1747"/>
      <c r="W188" s="1744"/>
      <c r="X188" s="1745"/>
      <c r="Y188" s="1746"/>
      <c r="Z188" s="1748"/>
      <c r="AC188" s="1837"/>
      <c r="AD188" s="1999"/>
      <c r="AE188" s="1715"/>
      <c r="AF188" s="1716"/>
      <c r="AH188" s="1669"/>
      <c r="AI188" s="1690"/>
      <c r="AJ188" s="1691"/>
      <c r="AK188" s="1691"/>
      <c r="AL188" s="1691"/>
      <c r="AM188" s="1691"/>
      <c r="AN188" s="2000"/>
      <c r="AO188" s="1693"/>
      <c r="AP188" s="1694"/>
      <c r="AQ188" s="1669"/>
      <c r="AR188" s="1929"/>
      <c r="AS188" s="1930"/>
      <c r="AT188" s="1930"/>
      <c r="AU188" s="1930"/>
      <c r="AV188" s="1930"/>
      <c r="AW188" s="1997"/>
      <c r="AX188" s="1693"/>
      <c r="AY188" s="1932"/>
      <c r="AZ188" s="1669"/>
      <c r="BA188" s="1828"/>
    </row>
    <row r="189" spans="1:53" ht="17.25" customHeight="1" thickBot="1" x14ac:dyDescent="0.3">
      <c r="A189" s="1735"/>
      <c r="B189" s="1736"/>
      <c r="C189" s="1737"/>
      <c r="D189" s="1738"/>
      <c r="E189" s="1739"/>
      <c r="F189" s="1976"/>
      <c r="G189" s="1741"/>
      <c r="H189" s="1742"/>
      <c r="I189" s="1743"/>
      <c r="J189" s="1744"/>
      <c r="K189" s="1745"/>
      <c r="L189" s="1746"/>
      <c r="M189" s="1700"/>
      <c r="N189" s="1735"/>
      <c r="O189" s="1736"/>
      <c r="P189" s="1737"/>
      <c r="Q189" s="1738"/>
      <c r="R189" s="1739"/>
      <c r="S189" s="1976"/>
      <c r="T189" s="1747"/>
      <c r="U189" s="1747"/>
      <c r="V189" s="1747"/>
      <c r="W189" s="1744"/>
      <c r="X189" s="1745"/>
      <c r="Y189" s="1746"/>
      <c r="Z189" s="1748"/>
      <c r="AC189" s="1837"/>
      <c r="AD189" s="1999"/>
      <c r="AE189" s="1715"/>
      <c r="AF189" s="1716"/>
      <c r="AH189" s="1669"/>
      <c r="AI189" s="1690"/>
      <c r="AJ189" s="1691"/>
      <c r="AK189" s="1691"/>
      <c r="AL189" s="1691"/>
      <c r="AM189" s="1691"/>
      <c r="AN189" s="2001"/>
      <c r="AO189" s="1693"/>
      <c r="AP189" s="1694"/>
      <c r="AQ189" s="1669"/>
      <c r="AR189" s="1929"/>
      <c r="AS189" s="1930"/>
      <c r="AT189" s="1930"/>
      <c r="AU189" s="1930"/>
      <c r="AV189" s="1930"/>
      <c r="AW189" s="2002"/>
      <c r="AX189" s="1693"/>
      <c r="AY189" s="1932"/>
      <c r="AZ189" s="1669"/>
      <c r="BA189" s="1828"/>
    </row>
    <row r="190" spans="1:53" ht="17.25" customHeight="1" thickBot="1" x14ac:dyDescent="0.3">
      <c r="A190" s="1735"/>
      <c r="B190" s="1736"/>
      <c r="C190" s="1737"/>
      <c r="D190" s="1738"/>
      <c r="E190" s="1739"/>
      <c r="F190" s="2003"/>
      <c r="G190" s="1741"/>
      <c r="H190" s="1742"/>
      <c r="I190" s="1743"/>
      <c r="J190" s="1744"/>
      <c r="K190" s="1745"/>
      <c r="L190" s="1746"/>
      <c r="M190" s="1700"/>
      <c r="N190" s="1735"/>
      <c r="O190" s="1736"/>
      <c r="P190" s="1737"/>
      <c r="Q190" s="1738"/>
      <c r="R190" s="1739"/>
      <c r="S190" s="2003"/>
      <c r="T190" s="1747"/>
      <c r="U190" s="1747"/>
      <c r="V190" s="1747"/>
      <c r="W190" s="1744"/>
      <c r="X190" s="1745"/>
      <c r="Y190" s="1746"/>
      <c r="Z190" s="1748"/>
      <c r="AC190" s="1837"/>
      <c r="AD190" s="2004"/>
      <c r="AE190" s="1715"/>
      <c r="AF190" s="1716"/>
      <c r="AH190" s="1669"/>
      <c r="AI190" s="1690"/>
      <c r="AJ190" s="1691"/>
      <c r="AK190" s="1691"/>
      <c r="AL190" s="1691"/>
      <c r="AM190" s="2005"/>
      <c r="AN190" s="1922"/>
      <c r="AO190" s="1693"/>
      <c r="AP190" s="1694"/>
      <c r="AQ190" s="1669"/>
      <c r="AR190" s="1929"/>
      <c r="AS190" s="1930"/>
      <c r="AT190" s="1930"/>
      <c r="AU190" s="1930"/>
      <c r="AV190" s="1930"/>
      <c r="AW190" s="2006"/>
      <c r="AX190" s="1693"/>
      <c r="AY190" s="1932"/>
      <c r="AZ190" s="1669"/>
      <c r="BA190" s="1828"/>
    </row>
    <row r="191" spans="1:53" ht="17.25" customHeight="1" x14ac:dyDescent="0.25">
      <c r="A191" s="1735"/>
      <c r="B191" s="1736"/>
      <c r="C191" s="1737"/>
      <c r="D191" s="1738"/>
      <c r="E191" s="1739"/>
      <c r="F191" s="2007"/>
      <c r="G191" s="1741"/>
      <c r="H191" s="1742"/>
      <c r="I191" s="1743"/>
      <c r="J191" s="1744"/>
      <c r="K191" s="1745"/>
      <c r="L191" s="1746"/>
      <c r="M191" s="1700"/>
      <c r="N191" s="1735"/>
      <c r="O191" s="1736"/>
      <c r="P191" s="1737"/>
      <c r="Q191" s="1738"/>
      <c r="R191" s="1739"/>
      <c r="S191" s="2007"/>
      <c r="T191" s="1747"/>
      <c r="U191" s="1747"/>
      <c r="V191" s="1747"/>
      <c r="W191" s="1744"/>
      <c r="X191" s="1745"/>
      <c r="Y191" s="1746"/>
      <c r="Z191" s="1748"/>
      <c r="AC191" s="1837"/>
      <c r="AD191" s="2008"/>
      <c r="AE191" s="1715"/>
      <c r="AF191" s="1716"/>
      <c r="AH191" s="1669"/>
      <c r="AI191" s="1690"/>
      <c r="AJ191" s="1691"/>
      <c r="AK191" s="1691"/>
      <c r="AL191" s="1691"/>
      <c r="AM191" s="1691"/>
      <c r="AN191" s="1762"/>
      <c r="AO191" s="1693"/>
      <c r="AP191" s="1694"/>
      <c r="AQ191" s="1669"/>
      <c r="AR191" s="1929"/>
      <c r="AS191" s="1930"/>
      <c r="AT191" s="1930"/>
      <c r="AU191" s="1930"/>
      <c r="AV191" s="1930"/>
      <c r="AW191" s="2006"/>
      <c r="AX191" s="1693"/>
      <c r="AY191" s="1932"/>
      <c r="AZ191" s="1669"/>
      <c r="BA191" s="1828"/>
    </row>
    <row r="192" spans="1:53" ht="17.25" customHeight="1" x14ac:dyDescent="0.25">
      <c r="A192" s="1735"/>
      <c r="B192" s="1736"/>
      <c r="C192" s="1737"/>
      <c r="D192" s="1738"/>
      <c r="E192" s="1739"/>
      <c r="F192" s="2009"/>
      <c r="G192" s="1741"/>
      <c r="H192" s="1742"/>
      <c r="I192" s="1743"/>
      <c r="J192" s="1744"/>
      <c r="K192" s="1745"/>
      <c r="L192" s="1746"/>
      <c r="M192" s="1700"/>
      <c r="N192" s="1735"/>
      <c r="O192" s="1736"/>
      <c r="P192" s="1737"/>
      <c r="Q192" s="1738"/>
      <c r="R192" s="1739"/>
      <c r="S192" s="2009"/>
      <c r="T192" s="1747"/>
      <c r="U192" s="1747"/>
      <c r="V192" s="1747"/>
      <c r="W192" s="1744"/>
      <c r="X192" s="1745"/>
      <c r="Y192" s="1746"/>
      <c r="Z192" s="1748"/>
      <c r="AC192" s="1837"/>
      <c r="AD192" s="2010"/>
      <c r="AE192" s="1715"/>
      <c r="AF192" s="1716"/>
      <c r="AH192" s="1669"/>
      <c r="AI192" s="1690"/>
      <c r="AJ192" s="1691"/>
      <c r="AK192" s="1691"/>
      <c r="AL192" s="1691"/>
      <c r="AM192" s="1691"/>
      <c r="AN192" s="2011"/>
      <c r="AO192" s="1693"/>
      <c r="AP192" s="1694"/>
      <c r="AQ192" s="1669"/>
      <c r="AR192" s="1929"/>
      <c r="AS192" s="1930"/>
      <c r="AT192" s="1930"/>
      <c r="AU192" s="1930"/>
      <c r="AV192" s="1930"/>
      <c r="AW192" s="2012"/>
      <c r="AX192" s="1693"/>
      <c r="AY192" s="1932"/>
      <c r="AZ192" s="1669"/>
      <c r="BA192" s="1828"/>
    </row>
    <row r="193" spans="1:53" ht="17.25" customHeight="1" x14ac:dyDescent="0.25">
      <c r="A193" s="1735"/>
      <c r="B193" s="1736"/>
      <c r="C193" s="1737"/>
      <c r="D193" s="1738"/>
      <c r="E193" s="1739"/>
      <c r="F193" s="2013"/>
      <c r="G193" s="1741"/>
      <c r="H193" s="1742"/>
      <c r="I193" s="1743"/>
      <c r="J193" s="1744"/>
      <c r="K193" s="1745"/>
      <c r="L193" s="1746"/>
      <c r="M193" s="1700"/>
      <c r="N193" s="1735"/>
      <c r="O193" s="1736"/>
      <c r="P193" s="1737"/>
      <c r="Q193" s="1738"/>
      <c r="R193" s="1739"/>
      <c r="S193" s="2013"/>
      <c r="T193" s="1747"/>
      <c r="U193" s="1747"/>
      <c r="V193" s="1747"/>
      <c r="W193" s="1744"/>
      <c r="X193" s="1745"/>
      <c r="Y193" s="1746"/>
      <c r="Z193" s="1748"/>
      <c r="AC193" s="1837"/>
      <c r="AD193" s="2014"/>
      <c r="AE193" s="1715"/>
      <c r="AF193" s="1716"/>
      <c r="AH193" s="1669"/>
      <c r="AI193" s="1690"/>
      <c r="AJ193" s="1691"/>
      <c r="AK193" s="1691"/>
      <c r="AL193" s="1691"/>
      <c r="AM193" s="1691"/>
      <c r="AN193" s="2015"/>
      <c r="AO193" s="1693"/>
      <c r="AP193" s="1694"/>
      <c r="AQ193" s="1669"/>
      <c r="AR193" s="1929"/>
      <c r="AS193" s="1930"/>
      <c r="AT193" s="1930"/>
      <c r="AU193" s="1930"/>
      <c r="AV193" s="1930"/>
      <c r="AW193" s="1937"/>
      <c r="AX193" s="1693"/>
      <c r="AY193" s="1932"/>
      <c r="AZ193" s="1669"/>
      <c r="BA193" s="1828"/>
    </row>
    <row r="194" spans="1:53" ht="17.25" customHeight="1" thickBot="1" x14ac:dyDescent="0.3">
      <c r="A194" s="1735"/>
      <c r="B194" s="1736"/>
      <c r="C194" s="1737"/>
      <c r="D194" s="1738"/>
      <c r="E194" s="1739"/>
      <c r="F194" s="2016"/>
      <c r="G194" s="1741"/>
      <c r="H194" s="1742"/>
      <c r="I194" s="1743"/>
      <c r="J194" s="1744"/>
      <c r="K194" s="1745"/>
      <c r="L194" s="1746"/>
      <c r="M194" s="1700"/>
      <c r="N194" s="1735"/>
      <c r="O194" s="1736"/>
      <c r="P194" s="1737"/>
      <c r="Q194" s="1738"/>
      <c r="R194" s="1739"/>
      <c r="S194" s="2016"/>
      <c r="T194" s="1747"/>
      <c r="U194" s="1747"/>
      <c r="V194" s="1747"/>
      <c r="W194" s="1744"/>
      <c r="X194" s="1745"/>
      <c r="Y194" s="1746"/>
      <c r="Z194" s="1748"/>
      <c r="AC194" s="1837"/>
      <c r="AD194" s="2017"/>
      <c r="AE194" s="1715"/>
      <c r="AF194" s="1716"/>
      <c r="AH194" s="1669"/>
      <c r="AI194" s="1690"/>
      <c r="AJ194" s="1691"/>
      <c r="AK194" s="1691"/>
      <c r="AL194" s="1691"/>
      <c r="AM194" s="1691"/>
      <c r="AN194" s="1762"/>
      <c r="AO194" s="1693"/>
      <c r="AP194" s="1694"/>
      <c r="AQ194" s="1669"/>
      <c r="AR194" s="1929"/>
      <c r="AS194" s="1930"/>
      <c r="AT194" s="1930"/>
      <c r="AU194" s="1930"/>
      <c r="AV194" s="1930"/>
      <c r="AW194" s="1718"/>
      <c r="AX194" s="1693"/>
      <c r="AY194" s="1932"/>
      <c r="AZ194" s="1669"/>
      <c r="BA194" s="1828"/>
    </row>
    <row r="195" spans="1:53" ht="17.25" customHeight="1" x14ac:dyDescent="0.25">
      <c r="A195" s="1938"/>
      <c r="B195" s="1742"/>
      <c r="C195" s="1742"/>
      <c r="D195" s="1742"/>
      <c r="E195" s="1742"/>
      <c r="F195" s="1939"/>
      <c r="G195" s="1836"/>
      <c r="H195" s="1836"/>
      <c r="I195" s="1836"/>
      <c r="J195" s="1744"/>
      <c r="K195" s="1745"/>
      <c r="L195" s="1746"/>
      <c r="M195" s="1700"/>
      <c r="N195" s="1833"/>
      <c r="O195" s="1834"/>
      <c r="P195" s="1834"/>
      <c r="Q195" s="1834"/>
      <c r="R195" s="1834"/>
      <c r="S195" s="1940"/>
      <c r="T195" s="1941"/>
      <c r="U195" s="1941"/>
      <c r="V195" s="1941"/>
      <c r="W195" s="1744"/>
      <c r="X195" s="1745"/>
      <c r="Y195" s="1746"/>
      <c r="Z195" s="1748"/>
      <c r="AC195" s="1837"/>
      <c r="AD195" s="2018"/>
      <c r="AE195" s="1715"/>
      <c r="AF195" s="1716"/>
      <c r="AH195" s="1669"/>
      <c r="AI195" s="1690"/>
      <c r="AJ195" s="1691"/>
      <c r="AK195" s="1691"/>
      <c r="AL195" s="1691"/>
      <c r="AM195" s="1691"/>
      <c r="AN195" s="2019"/>
      <c r="AO195" s="1693"/>
      <c r="AP195" s="1694"/>
      <c r="AQ195" s="1669"/>
      <c r="AR195" s="1929"/>
      <c r="AS195" s="1930"/>
      <c r="AT195" s="1930"/>
      <c r="AU195" s="1930"/>
      <c r="AV195" s="1930"/>
      <c r="AW195" s="1718"/>
      <c r="AX195" s="1693"/>
      <c r="AY195" s="1932"/>
      <c r="AZ195" s="1669"/>
      <c r="BA195" s="1828"/>
    </row>
    <row r="196" spans="1:53" ht="17.25" customHeight="1" x14ac:dyDescent="0.25">
      <c r="A196" s="2020"/>
      <c r="B196" s="2020"/>
      <c r="C196" s="2020"/>
      <c r="D196" s="2020"/>
      <c r="E196" s="2020"/>
      <c r="F196" s="2021"/>
      <c r="M196" s="1594"/>
      <c r="N196" s="2020"/>
      <c r="O196" s="2020"/>
      <c r="P196" s="2020"/>
      <c r="Q196" s="2020"/>
      <c r="R196" s="2020"/>
      <c r="S196" s="2021"/>
      <c r="AC196" s="1800"/>
      <c r="AD196" s="1819"/>
      <c r="AE196" s="1715"/>
      <c r="AF196" s="1716"/>
      <c r="AH196" s="1669"/>
      <c r="AI196" s="1690"/>
      <c r="AJ196" s="1691"/>
      <c r="AK196" s="1691"/>
      <c r="AL196" s="1691"/>
      <c r="AM196" s="1691"/>
      <c r="AN196" s="1762"/>
      <c r="AO196" s="1693"/>
      <c r="AP196" s="1694"/>
      <c r="AQ196" s="1669"/>
      <c r="AR196" s="1929"/>
      <c r="AS196" s="1930"/>
      <c r="AT196" s="1930"/>
      <c r="AU196" s="1930"/>
      <c r="AV196" s="1930"/>
      <c r="AW196" s="1795"/>
      <c r="AX196" s="1693"/>
      <c r="AY196" s="1932"/>
      <c r="AZ196" s="1669"/>
      <c r="BA196" s="1828"/>
    </row>
    <row r="197" spans="1:53" ht="17.25" customHeight="1" x14ac:dyDescent="0.25">
      <c r="A197" s="2020"/>
      <c r="B197" s="2020"/>
      <c r="C197" s="2020"/>
      <c r="D197" s="2020"/>
      <c r="E197" s="2020"/>
      <c r="F197" s="2021"/>
      <c r="M197" s="1594"/>
      <c r="N197" s="2020"/>
      <c r="O197" s="2020"/>
      <c r="P197" s="2020"/>
      <c r="Q197" s="2020"/>
      <c r="R197" s="2020"/>
      <c r="S197" s="2021"/>
      <c r="AC197" s="1837"/>
      <c r="AD197" s="1819"/>
      <c r="AE197" s="1715"/>
      <c r="AF197" s="1716"/>
      <c r="AH197" s="1669"/>
      <c r="AI197" s="1690"/>
      <c r="AJ197" s="1691"/>
      <c r="AK197" s="1691"/>
      <c r="AL197" s="1691"/>
      <c r="AM197" s="1691"/>
      <c r="AN197" s="2011"/>
      <c r="AO197" s="1693"/>
      <c r="AP197" s="1694"/>
      <c r="AQ197" s="1669"/>
      <c r="AR197" s="1929"/>
      <c r="AS197" s="1930"/>
      <c r="AT197" s="1930"/>
      <c r="AU197" s="1930"/>
      <c r="AV197" s="1930"/>
      <c r="AW197" s="2022"/>
      <c r="AX197" s="1693"/>
      <c r="AY197" s="1932"/>
      <c r="AZ197" s="1669"/>
      <c r="BA197" s="1828"/>
    </row>
    <row r="198" spans="1:53" ht="17.25" customHeight="1" x14ac:dyDescent="0.25">
      <c r="A198" s="2023"/>
      <c r="B198" s="2024"/>
      <c r="C198" s="2024"/>
      <c r="D198" s="2024"/>
      <c r="E198" s="2025"/>
      <c r="F198" s="2026"/>
      <c r="G198" s="1855"/>
      <c r="H198" s="1855"/>
      <c r="I198" s="1856"/>
      <c r="J198" s="2027"/>
      <c r="K198" s="2028"/>
      <c r="L198" s="2027"/>
      <c r="M198" s="1594"/>
      <c r="N198" s="2023"/>
      <c r="O198" s="2024"/>
      <c r="P198" s="2024"/>
      <c r="Q198" s="2024"/>
      <c r="R198" s="2025"/>
      <c r="S198" s="2026"/>
      <c r="T198" s="1855"/>
      <c r="U198" s="1855"/>
      <c r="V198" s="1856"/>
      <c r="W198" s="2027"/>
      <c r="X198" s="2028"/>
      <c r="Y198" s="2027"/>
      <c r="AC198" s="1837"/>
      <c r="AD198" s="1819"/>
      <c r="AE198" s="1715"/>
      <c r="AF198" s="1716"/>
      <c r="AH198" s="1669"/>
      <c r="AI198" s="1690"/>
      <c r="AJ198" s="1691"/>
      <c r="AK198" s="1691"/>
      <c r="AL198" s="1691"/>
      <c r="AM198" s="1691"/>
      <c r="AN198" s="2015"/>
      <c r="AO198" s="1693"/>
      <c r="AP198" s="1694"/>
      <c r="AQ198" s="1669"/>
      <c r="AR198" s="1929"/>
      <c r="AS198" s="1930"/>
      <c r="AT198" s="1930"/>
      <c r="AU198" s="1930"/>
      <c r="AV198" s="1930"/>
      <c r="AW198" s="2022"/>
      <c r="AX198" s="1693"/>
      <c r="AY198" s="1955"/>
      <c r="AZ198" s="1669"/>
      <c r="BA198" s="1828"/>
    </row>
    <row r="199" spans="1:53" ht="17.25" customHeight="1" x14ac:dyDescent="0.25">
      <c r="A199" s="1735"/>
      <c r="B199" s="1736"/>
      <c r="C199" s="1737"/>
      <c r="D199" s="2029"/>
      <c r="E199" s="2030"/>
      <c r="F199" s="2031"/>
      <c r="G199" s="1741"/>
      <c r="H199" s="1742"/>
      <c r="I199" s="1743"/>
      <c r="J199" s="1744"/>
      <c r="K199" s="1745"/>
      <c r="L199" s="1746"/>
      <c r="M199" s="1594"/>
      <c r="N199" s="1735"/>
      <c r="O199" s="1736"/>
      <c r="P199" s="1737"/>
      <c r="Q199" s="2029"/>
      <c r="R199" s="2030"/>
      <c r="S199" s="2031"/>
      <c r="T199" s="1747"/>
      <c r="U199" s="1747"/>
      <c r="V199" s="1747"/>
      <c r="W199" s="1744"/>
      <c r="X199" s="1745"/>
      <c r="Y199" s="1746"/>
      <c r="Z199" s="1748"/>
      <c r="AC199" s="1837"/>
      <c r="AD199" s="2032"/>
      <c r="AE199" s="1715"/>
      <c r="AF199" s="1716"/>
      <c r="AH199" s="1669"/>
      <c r="AI199" s="1690"/>
      <c r="AJ199" s="1691"/>
      <c r="AK199" s="1691"/>
      <c r="AL199" s="1691"/>
      <c r="AM199" s="1691"/>
      <c r="AN199" s="2033"/>
      <c r="AO199" s="1693"/>
      <c r="AP199" s="1694"/>
      <c r="AQ199" s="1669"/>
      <c r="AR199" s="1929"/>
      <c r="AS199" s="1930"/>
      <c r="AT199" s="1930"/>
      <c r="AU199" s="1930"/>
      <c r="AV199" s="1930"/>
      <c r="AW199" s="2022"/>
      <c r="AX199" s="1693"/>
      <c r="AY199" s="1955"/>
      <c r="AZ199" s="1669"/>
      <c r="BA199" s="1678"/>
    </row>
    <row r="200" spans="1:53" ht="17.25" customHeight="1" x14ac:dyDescent="0.25">
      <c r="A200" s="1735"/>
      <c r="B200" s="1736"/>
      <c r="C200" s="1737"/>
      <c r="D200" s="2029"/>
      <c r="E200" s="2030"/>
      <c r="F200" s="2034"/>
      <c r="G200" s="1741"/>
      <c r="H200" s="1742"/>
      <c r="I200" s="1743"/>
      <c r="J200" s="1744"/>
      <c r="K200" s="1745"/>
      <c r="L200" s="1746"/>
      <c r="M200" s="1594"/>
      <c r="N200" s="1735"/>
      <c r="O200" s="1736"/>
      <c r="P200" s="1737"/>
      <c r="Q200" s="2029"/>
      <c r="R200" s="2030"/>
      <c r="S200" s="2034"/>
      <c r="T200" s="1747"/>
      <c r="U200" s="1747"/>
      <c r="V200" s="1747"/>
      <c r="W200" s="1744"/>
      <c r="X200" s="1745"/>
      <c r="Y200" s="1746"/>
      <c r="Z200" s="1748"/>
      <c r="AC200" s="1837"/>
      <c r="AD200" s="2035"/>
      <c r="AE200" s="1715"/>
      <c r="AF200" s="1716"/>
      <c r="AH200" s="1669"/>
      <c r="AI200" s="1690"/>
      <c r="AJ200" s="1691"/>
      <c r="AK200" s="1691"/>
      <c r="AL200" s="1691"/>
      <c r="AM200" s="1691"/>
      <c r="AN200" s="2036"/>
      <c r="AO200" s="1693"/>
      <c r="AP200" s="1694"/>
      <c r="AQ200" s="1669"/>
      <c r="AR200" s="1929"/>
      <c r="AS200" s="1930"/>
      <c r="AT200" s="1930"/>
      <c r="AU200" s="1930"/>
      <c r="AV200" s="1930"/>
      <c r="AW200" s="2037"/>
      <c r="AX200" s="1693"/>
      <c r="AY200" s="1955"/>
      <c r="BA200" s="1678"/>
    </row>
    <row r="201" spans="1:53" ht="17.25" customHeight="1" x14ac:dyDescent="0.25">
      <c r="A201" s="1735"/>
      <c r="B201" s="1736"/>
      <c r="C201" s="1737"/>
      <c r="D201" s="2029"/>
      <c r="E201" s="2030"/>
      <c r="F201" s="2038"/>
      <c r="G201" s="1741"/>
      <c r="H201" s="1742"/>
      <c r="I201" s="1743"/>
      <c r="J201" s="1744"/>
      <c r="K201" s="1745"/>
      <c r="L201" s="1746"/>
      <c r="M201" s="1594"/>
      <c r="N201" s="1735"/>
      <c r="O201" s="1736"/>
      <c r="P201" s="1737"/>
      <c r="Q201" s="2029"/>
      <c r="R201" s="2030"/>
      <c r="S201" s="2038"/>
      <c r="T201" s="1747"/>
      <c r="U201" s="1747"/>
      <c r="V201" s="1747"/>
      <c r="W201" s="1744"/>
      <c r="X201" s="1745"/>
      <c r="Y201" s="1746"/>
      <c r="Z201" s="1748"/>
      <c r="AC201" s="1837"/>
      <c r="AD201" s="1765"/>
      <c r="AE201" s="1715"/>
      <c r="AF201" s="1716"/>
      <c r="AH201" s="1669"/>
      <c r="AI201" s="1690"/>
      <c r="AJ201" s="1691"/>
      <c r="AK201" s="1691"/>
      <c r="AL201" s="1691"/>
      <c r="AM201" s="1691"/>
      <c r="AN201" s="2039"/>
      <c r="AO201" s="1693"/>
      <c r="AP201" s="1694"/>
      <c r="AQ201" s="1669"/>
      <c r="AR201" s="1929"/>
      <c r="AS201" s="1930"/>
      <c r="AT201" s="1930"/>
      <c r="AU201" s="1930"/>
      <c r="AV201" s="1930"/>
      <c r="AW201" s="2040"/>
      <c r="AX201" s="1693"/>
      <c r="AY201" s="1955"/>
      <c r="BA201" s="1678"/>
    </row>
    <row r="202" spans="1:53" ht="17.25" customHeight="1" thickBot="1" x14ac:dyDescent="0.3">
      <c r="A202" s="1735"/>
      <c r="B202" s="1736"/>
      <c r="C202" s="1737"/>
      <c r="D202" s="2029"/>
      <c r="E202" s="2030"/>
      <c r="F202" s="2041"/>
      <c r="G202" s="1741"/>
      <c r="H202" s="1742"/>
      <c r="I202" s="1743"/>
      <c r="J202" s="1744"/>
      <c r="K202" s="1745"/>
      <c r="L202" s="1746"/>
      <c r="M202" s="1594"/>
      <c r="N202" s="1735"/>
      <c r="O202" s="1736"/>
      <c r="P202" s="1737"/>
      <c r="Q202" s="2029"/>
      <c r="R202" s="2030"/>
      <c r="S202" s="2041"/>
      <c r="T202" s="1747"/>
      <c r="U202" s="1747"/>
      <c r="V202" s="1747"/>
      <c r="W202" s="1744"/>
      <c r="X202" s="1745"/>
      <c r="Y202" s="1746"/>
      <c r="Z202" s="1748"/>
      <c r="AC202" s="1837"/>
      <c r="AD202" s="2042"/>
      <c r="AE202" s="1715"/>
      <c r="AF202" s="1716"/>
      <c r="AH202" s="1669"/>
      <c r="AI202" s="2043"/>
      <c r="AJ202" s="1916"/>
      <c r="AK202" s="1916"/>
      <c r="AL202" s="1916"/>
      <c r="AM202" s="1917"/>
      <c r="AN202" s="2044"/>
      <c r="AO202" s="1919"/>
      <c r="AQ202" s="1669"/>
      <c r="AR202" s="1929"/>
      <c r="AS202" s="1930"/>
      <c r="AT202" s="1930"/>
      <c r="AU202" s="1930"/>
      <c r="AV202" s="1930"/>
      <c r="AW202" s="1967"/>
      <c r="AX202" s="1693"/>
      <c r="AY202" s="1955"/>
      <c r="BA202" s="1678"/>
    </row>
    <row r="203" spans="1:53" ht="17.25" customHeight="1" thickBot="1" x14ac:dyDescent="0.35">
      <c r="A203" s="1747"/>
      <c r="B203" s="1747"/>
      <c r="C203" s="1747"/>
      <c r="D203" s="1747"/>
      <c r="E203" s="1747"/>
      <c r="F203" s="2021"/>
      <c r="G203" s="2045"/>
      <c r="H203" s="2045"/>
      <c r="I203" s="2045"/>
      <c r="J203" s="2046"/>
      <c r="K203" s="2047"/>
      <c r="L203" s="1746"/>
      <c r="M203" s="1594"/>
      <c r="N203" s="1747"/>
      <c r="O203" s="1747"/>
      <c r="P203" s="1747"/>
      <c r="Q203" s="1747"/>
      <c r="R203" s="1747"/>
      <c r="S203" s="2021"/>
      <c r="T203" s="2045"/>
      <c r="U203" s="2045"/>
      <c r="V203" s="2045"/>
      <c r="W203" s="2046"/>
      <c r="X203" s="2047"/>
      <c r="Y203" s="1746"/>
      <c r="Z203" s="1748"/>
      <c r="AC203" s="1837"/>
      <c r="AD203" s="2048"/>
      <c r="AE203" s="1715"/>
      <c r="AF203" s="1716"/>
      <c r="AH203" s="1669"/>
      <c r="AI203" s="2049"/>
      <c r="AJ203" s="2050"/>
      <c r="AK203" s="2050"/>
      <c r="AL203" s="2050"/>
      <c r="AM203" s="2050"/>
      <c r="AN203" s="2051"/>
      <c r="AO203" s="1693"/>
      <c r="AQ203" s="1669"/>
      <c r="AR203" s="1929"/>
      <c r="AS203" s="1930"/>
      <c r="AT203" s="1930"/>
      <c r="AU203" s="1930"/>
      <c r="AV203" s="1930"/>
      <c r="AW203" s="1877"/>
      <c r="AX203" s="1693"/>
      <c r="AY203" s="1955"/>
      <c r="BA203" s="1678"/>
    </row>
    <row r="204" spans="1:53" ht="17.25" customHeight="1" x14ac:dyDescent="0.25">
      <c r="A204" s="2020"/>
      <c r="B204" s="2020"/>
      <c r="C204" s="2020"/>
      <c r="D204" s="2020"/>
      <c r="E204" s="2020"/>
      <c r="F204" s="2021"/>
      <c r="M204" s="1594"/>
      <c r="N204" s="2020"/>
      <c r="O204" s="2020"/>
      <c r="P204" s="2020"/>
      <c r="Q204" s="2020"/>
      <c r="R204" s="2020"/>
      <c r="S204" s="2021"/>
      <c r="AA204" s="1700"/>
      <c r="AC204" s="1837"/>
      <c r="AD204" s="2052"/>
      <c r="AE204" s="1715"/>
      <c r="AF204" s="1716"/>
      <c r="AH204" s="1669"/>
      <c r="AI204" s="2053"/>
      <c r="AJ204" s="2054"/>
      <c r="AK204" s="2054"/>
      <c r="AL204" s="2054"/>
      <c r="AM204" s="2054"/>
      <c r="AQ204" s="1669"/>
      <c r="AR204" s="1929"/>
      <c r="AS204" s="1930"/>
      <c r="AT204" s="1930"/>
      <c r="AU204" s="1930"/>
      <c r="AV204" s="1930"/>
      <c r="AW204" s="1783"/>
      <c r="AX204" s="1693"/>
      <c r="AY204" s="1955"/>
      <c r="BA204" s="1678"/>
    </row>
    <row r="205" spans="1:53" ht="17.25" customHeight="1" x14ac:dyDescent="0.25">
      <c r="A205" s="2020"/>
      <c r="B205" s="2020"/>
      <c r="C205" s="2020"/>
      <c r="D205" s="2020"/>
      <c r="E205" s="2020"/>
      <c r="F205" s="2021"/>
      <c r="M205" s="1594"/>
      <c r="N205" s="2020"/>
      <c r="O205" s="2020"/>
      <c r="P205" s="2020"/>
      <c r="Q205" s="2020"/>
      <c r="R205" s="2020"/>
      <c r="S205" s="2021"/>
      <c r="AA205" s="1700"/>
      <c r="AC205" s="1837"/>
      <c r="AD205" s="2055"/>
      <c r="AE205" s="1715"/>
      <c r="AF205" s="1716"/>
      <c r="AH205" s="1669"/>
      <c r="AI205" s="2056"/>
      <c r="AJ205" s="1676"/>
      <c r="AK205" s="1676"/>
      <c r="AL205" s="1676"/>
      <c r="AM205" s="1676"/>
      <c r="AN205" s="1677"/>
      <c r="AO205" s="1673"/>
      <c r="AP205" s="2057"/>
      <c r="AQ205" s="1669"/>
      <c r="AR205" s="1929"/>
      <c r="AS205" s="1930"/>
      <c r="AT205" s="1930"/>
      <c r="AU205" s="1930"/>
      <c r="AV205" s="1930"/>
      <c r="AW205" s="1783"/>
      <c r="AX205" s="1693"/>
      <c r="AY205" s="1955"/>
      <c r="BA205" s="1678"/>
    </row>
    <row r="206" spans="1:53" ht="17.25" customHeight="1" x14ac:dyDescent="0.25">
      <c r="A206" s="2058"/>
      <c r="B206" s="2059"/>
      <c r="C206" s="2059"/>
      <c r="D206" s="2059"/>
      <c r="E206" s="2060"/>
      <c r="F206" s="2026"/>
      <c r="G206" s="1855"/>
      <c r="H206" s="1855"/>
      <c r="I206" s="1856"/>
      <c r="J206" s="2027"/>
      <c r="K206" s="2028"/>
      <c r="L206" s="2027"/>
      <c r="M206" s="1594"/>
      <c r="N206" s="2058"/>
      <c r="O206" s="2059"/>
      <c r="P206" s="2059"/>
      <c r="Q206" s="2059"/>
      <c r="R206" s="2060"/>
      <c r="S206" s="2026"/>
      <c r="T206" s="1855"/>
      <c r="U206" s="1855"/>
      <c r="V206" s="1856"/>
      <c r="W206" s="2027"/>
      <c r="X206" s="2028"/>
      <c r="Y206" s="2027"/>
      <c r="AA206" s="1700"/>
      <c r="AC206" s="1837"/>
      <c r="AD206" s="2042"/>
      <c r="AE206" s="1715"/>
      <c r="AF206" s="1716"/>
      <c r="AH206" s="1669"/>
      <c r="AI206" s="1909"/>
      <c r="AJ206" s="1910"/>
      <c r="AK206" s="1910"/>
      <c r="AL206" s="1910"/>
      <c r="AM206" s="1910"/>
      <c r="AN206" s="2061"/>
      <c r="AO206" s="1693"/>
      <c r="AP206" s="2062"/>
      <c r="AQ206" s="1669"/>
      <c r="AR206" s="1929"/>
      <c r="AS206" s="1930"/>
      <c r="AT206" s="1930"/>
      <c r="AU206" s="1930"/>
      <c r="AV206" s="1930"/>
      <c r="AW206" s="1787"/>
      <c r="AX206" s="1693"/>
      <c r="AY206" s="1955"/>
      <c r="BA206" s="1678"/>
    </row>
    <row r="207" spans="1:53" ht="17.25" customHeight="1" x14ac:dyDescent="0.25">
      <c r="A207" s="1735"/>
      <c r="B207" s="1736"/>
      <c r="C207" s="1737"/>
      <c r="D207" s="2029"/>
      <c r="E207" s="2030"/>
      <c r="F207" s="2063"/>
      <c r="G207" s="1741"/>
      <c r="H207" s="1742"/>
      <c r="I207" s="1743"/>
      <c r="J207" s="1744"/>
      <c r="K207" s="1745"/>
      <c r="L207" s="1746"/>
      <c r="M207" s="1594"/>
      <c r="N207" s="1735"/>
      <c r="O207" s="1736"/>
      <c r="P207" s="1737"/>
      <c r="Q207" s="2029"/>
      <c r="R207" s="2030"/>
      <c r="S207" s="2063"/>
      <c r="T207" s="1747"/>
      <c r="U207" s="1747"/>
      <c r="V207" s="1747"/>
      <c r="W207" s="1744"/>
      <c r="X207" s="1745"/>
      <c r="Y207" s="1746"/>
      <c r="Z207" s="1748"/>
      <c r="AA207" s="1700"/>
      <c r="AC207" s="1837"/>
      <c r="AD207" s="2064"/>
      <c r="AE207" s="1715"/>
      <c r="AF207" s="1716"/>
      <c r="AH207" s="1669"/>
      <c r="AI207" s="1909"/>
      <c r="AJ207" s="1910"/>
      <c r="AK207" s="1910"/>
      <c r="AL207" s="1910"/>
      <c r="AM207" s="1910"/>
      <c r="AN207" s="2065"/>
      <c r="AO207" s="1693"/>
      <c r="AP207" s="2062"/>
      <c r="AQ207" s="1669"/>
      <c r="AR207" s="1929"/>
      <c r="AS207" s="1930"/>
      <c r="AT207" s="1930"/>
      <c r="AU207" s="1930"/>
      <c r="AV207" s="1930"/>
      <c r="AW207" s="1873"/>
      <c r="AX207" s="1693"/>
      <c r="AY207" s="1955"/>
      <c r="BA207" s="1678"/>
    </row>
    <row r="208" spans="1:53" ht="17.25" customHeight="1" x14ac:dyDescent="0.25">
      <c r="A208" s="1735"/>
      <c r="B208" s="1736"/>
      <c r="C208" s="1737"/>
      <c r="D208" s="2029"/>
      <c r="E208" s="2030"/>
      <c r="F208" s="2066"/>
      <c r="G208" s="1741"/>
      <c r="H208" s="1742"/>
      <c r="I208" s="1743"/>
      <c r="J208" s="1744"/>
      <c r="K208" s="1745"/>
      <c r="L208" s="1746"/>
      <c r="M208" s="1594"/>
      <c r="N208" s="1735"/>
      <c r="O208" s="1736"/>
      <c r="P208" s="1737"/>
      <c r="Q208" s="2029"/>
      <c r="R208" s="2030"/>
      <c r="S208" s="2066"/>
      <c r="T208" s="1747"/>
      <c r="U208" s="1747"/>
      <c r="V208" s="1747"/>
      <c r="W208" s="1744"/>
      <c r="X208" s="1745"/>
      <c r="Y208" s="1746"/>
      <c r="Z208" s="1748"/>
      <c r="AA208" s="1700"/>
      <c r="AC208" s="1837"/>
      <c r="AD208" s="2067"/>
      <c r="AE208" s="1715"/>
      <c r="AF208" s="1716"/>
      <c r="AH208" s="1669"/>
      <c r="AI208" s="1909"/>
      <c r="AJ208" s="1910"/>
      <c r="AK208" s="1910"/>
      <c r="AL208" s="1910"/>
      <c r="AM208" s="1910"/>
      <c r="AN208" s="2068"/>
      <c r="AO208" s="1693"/>
      <c r="AP208" s="2062"/>
      <c r="AQ208" s="1669"/>
      <c r="AR208" s="1929"/>
      <c r="AS208" s="1930"/>
      <c r="AT208" s="1930"/>
      <c r="AU208" s="1930"/>
      <c r="AV208" s="1930"/>
      <c r="AW208" s="1873"/>
      <c r="AX208" s="1693"/>
      <c r="AY208" s="1955"/>
      <c r="BA208" s="1678"/>
    </row>
    <row r="209" spans="1:58" ht="17.25" customHeight="1" x14ac:dyDescent="0.25">
      <c r="A209" s="1735"/>
      <c r="B209" s="1736"/>
      <c r="C209" s="1737"/>
      <c r="D209" s="2029"/>
      <c r="E209" s="2030"/>
      <c r="F209" s="2069"/>
      <c r="G209" s="1741"/>
      <c r="H209" s="1742"/>
      <c r="I209" s="1743"/>
      <c r="J209" s="1744"/>
      <c r="K209" s="1745"/>
      <c r="L209" s="1746"/>
      <c r="M209" s="1594"/>
      <c r="N209" s="1735"/>
      <c r="O209" s="1736"/>
      <c r="P209" s="1737"/>
      <c r="Q209" s="2029"/>
      <c r="R209" s="2030"/>
      <c r="S209" s="2069"/>
      <c r="T209" s="1747"/>
      <c r="U209" s="1747"/>
      <c r="V209" s="1747"/>
      <c r="W209" s="1744"/>
      <c r="X209" s="1745"/>
      <c r="Y209" s="1746"/>
      <c r="Z209" s="1748"/>
      <c r="AA209" s="1700"/>
      <c r="AC209" s="1837"/>
      <c r="AD209" s="2070"/>
      <c r="AE209" s="1715"/>
      <c r="AF209" s="1716"/>
      <c r="AH209" s="1669"/>
      <c r="AI209" s="1909"/>
      <c r="AJ209" s="1910"/>
      <c r="AK209" s="1910"/>
      <c r="AL209" s="1910"/>
      <c r="AM209" s="1910"/>
      <c r="AN209" s="2071"/>
      <c r="AO209" s="1693"/>
      <c r="AP209" s="2062"/>
      <c r="AQ209" s="1669"/>
      <c r="AR209" s="1929"/>
      <c r="AS209" s="1930"/>
      <c r="AT209" s="1930"/>
      <c r="AU209" s="1930"/>
      <c r="AV209" s="1930"/>
      <c r="AW209" s="1873"/>
      <c r="AX209" s="1693"/>
      <c r="AY209" s="1955"/>
      <c r="BA209" s="1678"/>
    </row>
    <row r="210" spans="1:58" ht="17.25" customHeight="1" x14ac:dyDescent="0.25">
      <c r="A210" s="1747"/>
      <c r="B210" s="1747"/>
      <c r="C210" s="1747"/>
      <c r="D210" s="1747"/>
      <c r="E210" s="1747"/>
      <c r="F210" s="2021"/>
      <c r="G210" s="2045"/>
      <c r="H210" s="2045"/>
      <c r="I210" s="2045"/>
      <c r="J210" s="2046"/>
      <c r="K210" s="2047"/>
      <c r="L210" s="1746"/>
      <c r="M210" s="1594"/>
      <c r="N210" s="1747"/>
      <c r="O210" s="1747"/>
      <c r="P210" s="1747"/>
      <c r="Q210" s="1747"/>
      <c r="R210" s="1747"/>
      <c r="S210" s="2021"/>
      <c r="T210" s="2045"/>
      <c r="U210" s="2045"/>
      <c r="V210" s="2045"/>
      <c r="W210" s="2046"/>
      <c r="X210" s="2047"/>
      <c r="Y210" s="1746"/>
      <c r="Z210" s="1748"/>
      <c r="AA210" s="1700"/>
      <c r="AC210" s="1837"/>
      <c r="AD210" s="2072"/>
      <c r="AE210" s="1715"/>
      <c r="AF210" s="1716"/>
      <c r="AH210" s="1669"/>
      <c r="AI210" s="1909"/>
      <c r="AJ210" s="1910"/>
      <c r="AK210" s="1910"/>
      <c r="AL210" s="1910"/>
      <c r="AM210" s="1910"/>
      <c r="AN210" s="2073"/>
      <c r="AO210" s="1693"/>
      <c r="AP210" s="2062"/>
      <c r="AQ210" s="1669"/>
      <c r="AR210" s="1929"/>
      <c r="AS210" s="1930"/>
      <c r="AT210" s="1930"/>
      <c r="AU210" s="1930"/>
      <c r="AV210" s="1930"/>
      <c r="AW210" s="1869"/>
      <c r="AX210" s="1693"/>
      <c r="AY210" s="1955"/>
      <c r="BA210" s="1678"/>
    </row>
    <row r="211" spans="1:58" ht="17.25" customHeight="1" x14ac:dyDescent="0.25">
      <c r="A211" s="2020"/>
      <c r="B211" s="2020"/>
      <c r="C211" s="2020"/>
      <c r="D211" s="2020"/>
      <c r="E211" s="2020"/>
      <c r="F211" s="2021"/>
      <c r="M211" s="1594"/>
      <c r="N211" s="2020"/>
      <c r="O211" s="2020"/>
      <c r="P211" s="2020"/>
      <c r="Q211" s="2020"/>
      <c r="R211" s="2020"/>
      <c r="S211" s="2021"/>
      <c r="AA211" s="1700"/>
      <c r="AC211" s="1837"/>
      <c r="AD211" s="2072"/>
      <c r="AE211" s="1715"/>
      <c r="AF211" s="1716"/>
      <c r="AH211" s="1669"/>
      <c r="AI211" s="1909"/>
      <c r="AJ211" s="1910"/>
      <c r="AK211" s="1910"/>
      <c r="AL211" s="1910"/>
      <c r="AM211" s="1910"/>
      <c r="AN211" s="2074"/>
      <c r="AO211" s="1693"/>
      <c r="AP211" s="2062"/>
      <c r="AQ211" s="1669"/>
      <c r="AR211" s="1929"/>
      <c r="AS211" s="1930"/>
      <c r="AT211" s="1930"/>
      <c r="AU211" s="1930"/>
      <c r="AV211" s="1930"/>
      <c r="AW211" s="1869"/>
      <c r="AX211" s="1693"/>
      <c r="AY211" s="1955"/>
      <c r="BA211" s="1678"/>
    </row>
    <row r="212" spans="1:58" ht="17.25" customHeight="1" x14ac:dyDescent="0.25">
      <c r="A212" s="2020"/>
      <c r="B212" s="2020"/>
      <c r="C212" s="2020"/>
      <c r="D212" s="2020"/>
      <c r="E212" s="2020"/>
      <c r="F212" s="2021"/>
      <c r="M212" s="1594"/>
      <c r="N212" s="2020"/>
      <c r="O212" s="2020"/>
      <c r="P212" s="2020"/>
      <c r="Q212" s="2020"/>
      <c r="R212" s="2020"/>
      <c r="S212" s="2021"/>
      <c r="AA212" s="1700"/>
      <c r="AC212" s="1837"/>
      <c r="AD212" s="2075"/>
      <c r="AE212" s="1715"/>
      <c r="AF212" s="1716"/>
      <c r="AH212" s="1669"/>
      <c r="AI212" s="1909"/>
      <c r="AJ212" s="1910"/>
      <c r="AK212" s="1910"/>
      <c r="AL212" s="1910"/>
      <c r="AM212" s="1910"/>
      <c r="AN212" s="1783"/>
      <c r="AO212" s="1693"/>
      <c r="AP212" s="2062"/>
      <c r="AQ212" s="1669"/>
      <c r="AR212" s="1929"/>
      <c r="AS212" s="1930"/>
      <c r="AT212" s="1930"/>
      <c r="AU212" s="1930"/>
      <c r="AV212" s="1930"/>
      <c r="AW212" s="1697"/>
      <c r="AX212" s="1693"/>
      <c r="AY212" s="1955"/>
      <c r="BA212" s="1678"/>
      <c r="BC212" s="2076"/>
      <c r="BD212" s="2076"/>
      <c r="BE212" s="2076"/>
      <c r="BF212" s="2076"/>
    </row>
    <row r="213" spans="1:58" ht="17.25" customHeight="1" x14ac:dyDescent="0.25">
      <c r="A213" s="2077"/>
      <c r="B213" s="2078"/>
      <c r="C213" s="2078"/>
      <c r="D213" s="2078"/>
      <c r="E213" s="2079"/>
      <c r="F213" s="2026"/>
      <c r="G213" s="1855"/>
      <c r="H213" s="1855"/>
      <c r="I213" s="1856"/>
      <c r="J213" s="2027"/>
      <c r="K213" s="2028"/>
      <c r="L213" s="2027"/>
      <c r="M213" s="1594"/>
      <c r="N213" s="2077"/>
      <c r="O213" s="2078"/>
      <c r="P213" s="2078"/>
      <c r="Q213" s="2078"/>
      <c r="R213" s="2079"/>
      <c r="S213" s="2026"/>
      <c r="T213" s="1855"/>
      <c r="U213" s="1855"/>
      <c r="V213" s="1856"/>
      <c r="W213" s="2027"/>
      <c r="X213" s="2028"/>
      <c r="Y213" s="2027"/>
      <c r="AA213" s="1700"/>
      <c r="AC213" s="1837"/>
      <c r="AD213" s="2080"/>
      <c r="AE213" s="1715"/>
      <c r="AF213" s="1716"/>
      <c r="AH213" s="1669"/>
      <c r="AI213" s="1909"/>
      <c r="AJ213" s="1910"/>
      <c r="AK213" s="1910"/>
      <c r="AL213" s="1910"/>
      <c r="AM213" s="1910"/>
      <c r="AN213" s="1697"/>
      <c r="AO213" s="1693"/>
      <c r="AP213" s="2062"/>
      <c r="AQ213" s="1669"/>
      <c r="AR213" s="1929"/>
      <c r="AS213" s="1930"/>
      <c r="AT213" s="1930"/>
      <c r="AU213" s="1930"/>
      <c r="AV213" s="1930"/>
      <c r="AW213" s="2081"/>
      <c r="AX213" s="1693"/>
      <c r="AY213" s="1955"/>
      <c r="BA213" s="1678"/>
      <c r="BC213" s="2082"/>
      <c r="BD213" s="2082"/>
      <c r="BE213" s="2082"/>
      <c r="BF213" s="2082"/>
    </row>
    <row r="214" spans="1:58" ht="17.25" customHeight="1" x14ac:dyDescent="0.25">
      <c r="A214" s="1735"/>
      <c r="B214" s="1736"/>
      <c r="C214" s="1737"/>
      <c r="D214" s="2029"/>
      <c r="E214" s="2030"/>
      <c r="F214" s="2083"/>
      <c r="G214" s="1741"/>
      <c r="H214" s="1742"/>
      <c r="I214" s="1743"/>
      <c r="J214" s="1744"/>
      <c r="K214" s="1745"/>
      <c r="L214" s="1746"/>
      <c r="M214" s="1594"/>
      <c r="N214" s="1735"/>
      <c r="O214" s="1736"/>
      <c r="P214" s="1737"/>
      <c r="Q214" s="2029"/>
      <c r="R214" s="2030"/>
      <c r="S214" s="2083"/>
      <c r="T214" s="1747"/>
      <c r="U214" s="1747"/>
      <c r="V214" s="1747"/>
      <c r="W214" s="1744"/>
      <c r="X214" s="1745"/>
      <c r="Y214" s="1746"/>
      <c r="Z214" s="1748"/>
      <c r="AA214" s="1700"/>
      <c r="AC214" s="1837"/>
      <c r="AD214" s="2084"/>
      <c r="AE214" s="1715"/>
      <c r="AF214" s="1716"/>
      <c r="AH214" s="1669"/>
      <c r="AI214" s="1909"/>
      <c r="AJ214" s="1910"/>
      <c r="AK214" s="1910"/>
      <c r="AL214" s="1910"/>
      <c r="AM214" s="1910"/>
      <c r="AN214" s="1869"/>
      <c r="AO214" s="1693"/>
      <c r="AP214" s="2062"/>
      <c r="AQ214" s="1669"/>
      <c r="AR214" s="1929"/>
      <c r="AS214" s="1930"/>
      <c r="AT214" s="1930"/>
      <c r="AU214" s="1930"/>
      <c r="AV214" s="1930"/>
      <c r="AW214" s="2085"/>
      <c r="AX214" s="1693"/>
      <c r="AY214" s="1955"/>
      <c r="BA214" s="1678"/>
      <c r="BC214" s="2076"/>
      <c r="BD214" s="2076"/>
      <c r="BE214" s="2076"/>
      <c r="BF214" s="2076"/>
    </row>
    <row r="215" spans="1:58" ht="17.25" customHeight="1" x14ac:dyDescent="0.25">
      <c r="A215" s="1735"/>
      <c r="B215" s="1736"/>
      <c r="C215" s="1737"/>
      <c r="D215" s="2029"/>
      <c r="E215" s="2030"/>
      <c r="F215" s="2086"/>
      <c r="G215" s="1741"/>
      <c r="H215" s="1742"/>
      <c r="I215" s="1743"/>
      <c r="J215" s="1744"/>
      <c r="K215" s="1745"/>
      <c r="L215" s="1746"/>
      <c r="M215" s="1594"/>
      <c r="N215" s="1735"/>
      <c r="O215" s="1736"/>
      <c r="P215" s="1737"/>
      <c r="Q215" s="2029"/>
      <c r="R215" s="2030"/>
      <c r="S215" s="2086"/>
      <c r="T215" s="1747"/>
      <c r="U215" s="1747"/>
      <c r="V215" s="1747"/>
      <c r="W215" s="1744"/>
      <c r="X215" s="1745"/>
      <c r="Y215" s="1746"/>
      <c r="Z215" s="1748"/>
      <c r="AA215" s="1700"/>
      <c r="AC215" s="1837"/>
      <c r="AD215" s="2087"/>
      <c r="AE215" s="1715"/>
      <c r="AF215" s="1716"/>
      <c r="AH215" s="1669"/>
      <c r="AI215" s="1909"/>
      <c r="AJ215" s="1910"/>
      <c r="AK215" s="1910"/>
      <c r="AL215" s="1910"/>
      <c r="AM215" s="1910"/>
      <c r="AN215" s="1869"/>
      <c r="AO215" s="1693"/>
      <c r="AP215" s="2062"/>
      <c r="AQ215" s="1669"/>
      <c r="AR215" s="1929"/>
      <c r="AS215" s="1930"/>
      <c r="AT215" s="1930"/>
      <c r="AU215" s="1930"/>
      <c r="AV215" s="1930"/>
      <c r="AW215" s="2088"/>
      <c r="AX215" s="1693"/>
      <c r="AY215" s="1955"/>
      <c r="BA215" s="1678"/>
      <c r="BC215" s="2089"/>
      <c r="BD215" s="2089"/>
      <c r="BE215" s="2089"/>
      <c r="BF215" s="2089"/>
    </row>
    <row r="216" spans="1:58" ht="17.25" customHeight="1" x14ac:dyDescent="0.25">
      <c r="A216" s="1735"/>
      <c r="B216" s="1736"/>
      <c r="C216" s="1737"/>
      <c r="D216" s="2029"/>
      <c r="E216" s="2030"/>
      <c r="F216" s="2090"/>
      <c r="G216" s="1741"/>
      <c r="H216" s="1742"/>
      <c r="I216" s="1743"/>
      <c r="J216" s="1744"/>
      <c r="K216" s="1745"/>
      <c r="L216" s="1746"/>
      <c r="M216" s="1594"/>
      <c r="N216" s="1735"/>
      <c r="O216" s="1736"/>
      <c r="P216" s="1737"/>
      <c r="Q216" s="2029"/>
      <c r="R216" s="2030"/>
      <c r="S216" s="2090"/>
      <c r="T216" s="1747"/>
      <c r="U216" s="1747"/>
      <c r="V216" s="1747"/>
      <c r="W216" s="1744"/>
      <c r="X216" s="1745"/>
      <c r="Y216" s="1746"/>
      <c r="Z216" s="1748"/>
      <c r="AA216" s="1700"/>
      <c r="AC216" s="1837"/>
      <c r="AD216" s="2087"/>
      <c r="AE216" s="1715"/>
      <c r="AF216" s="1716"/>
      <c r="AH216" s="1669"/>
      <c r="AI216" s="1909"/>
      <c r="AJ216" s="1910"/>
      <c r="AK216" s="1910"/>
      <c r="AL216" s="1910"/>
      <c r="AM216" s="1910"/>
      <c r="AN216" s="2091"/>
      <c r="AO216" s="1693"/>
      <c r="AP216" s="2062"/>
      <c r="AQ216" s="1669"/>
      <c r="AR216" s="1929"/>
      <c r="AS216" s="1930"/>
      <c r="AT216" s="1930"/>
      <c r="AU216" s="1930"/>
      <c r="AV216" s="1930"/>
      <c r="AW216" s="2088"/>
      <c r="AX216" s="1693"/>
      <c r="AY216" s="1955"/>
      <c r="BA216" s="1678"/>
    </row>
    <row r="217" spans="1:58" ht="17.25" customHeight="1" x14ac:dyDescent="0.25">
      <c r="A217" s="1735"/>
      <c r="B217" s="1736"/>
      <c r="C217" s="1737"/>
      <c r="D217" s="2029"/>
      <c r="E217" s="2030"/>
      <c r="F217" s="2092"/>
      <c r="G217" s="1741"/>
      <c r="H217" s="1742"/>
      <c r="I217" s="1743"/>
      <c r="J217" s="1744"/>
      <c r="K217" s="1745"/>
      <c r="L217" s="1746"/>
      <c r="M217" s="1594"/>
      <c r="N217" s="1735"/>
      <c r="O217" s="1736"/>
      <c r="P217" s="1737"/>
      <c r="Q217" s="2029"/>
      <c r="R217" s="2030"/>
      <c r="S217" s="2092"/>
      <c r="T217" s="1747"/>
      <c r="U217" s="1747"/>
      <c r="V217" s="1747"/>
      <c r="W217" s="1744"/>
      <c r="X217" s="1745"/>
      <c r="Y217" s="1746"/>
      <c r="Z217" s="1748"/>
      <c r="AA217" s="1700"/>
      <c r="AC217" s="1837"/>
      <c r="AD217" s="2093"/>
      <c r="AE217" s="1715"/>
      <c r="AF217" s="1716"/>
      <c r="AH217" s="1669"/>
      <c r="AI217" s="1909"/>
      <c r="AJ217" s="1910"/>
      <c r="AK217" s="1910"/>
      <c r="AL217" s="1910"/>
      <c r="AM217" s="1910"/>
      <c r="AN217" s="1718"/>
      <c r="AO217" s="1693"/>
      <c r="AP217" s="2062"/>
      <c r="AQ217" s="1669"/>
      <c r="AR217" s="1929"/>
      <c r="AS217" s="1930"/>
      <c r="AT217" s="1930"/>
      <c r="AU217" s="1930"/>
      <c r="AV217" s="1930"/>
      <c r="AW217" s="2094"/>
      <c r="AX217" s="1693"/>
      <c r="AY217" s="1955"/>
      <c r="BA217" s="1678"/>
      <c r="BC217" s="2076"/>
      <c r="BD217" s="2076"/>
      <c r="BE217" s="2076"/>
      <c r="BF217" s="2076"/>
    </row>
    <row r="218" spans="1:58" ht="17.25" customHeight="1" x14ac:dyDescent="0.25">
      <c r="A218" s="1747"/>
      <c r="B218" s="1747"/>
      <c r="C218" s="1747"/>
      <c r="D218" s="1747"/>
      <c r="E218" s="1747"/>
      <c r="F218" s="2021"/>
      <c r="G218" s="2045"/>
      <c r="H218" s="2045"/>
      <c r="I218" s="2045"/>
      <c r="J218" s="2046"/>
      <c r="K218" s="2047"/>
      <c r="L218" s="1746"/>
      <c r="M218" s="1594"/>
      <c r="N218" s="1747"/>
      <c r="O218" s="1747"/>
      <c r="P218" s="1747"/>
      <c r="Q218" s="1747"/>
      <c r="R218" s="1747"/>
      <c r="S218" s="2021"/>
      <c r="T218" s="2045"/>
      <c r="U218" s="2045"/>
      <c r="V218" s="2045"/>
      <c r="W218" s="2046"/>
      <c r="X218" s="2047"/>
      <c r="Y218" s="1746"/>
      <c r="Z218" s="1748"/>
      <c r="AA218" s="1700"/>
      <c r="AC218" s="1837"/>
      <c r="AD218" s="2055"/>
      <c r="AE218" s="1715"/>
      <c r="AF218" s="1716"/>
      <c r="AI218" s="1909"/>
      <c r="AJ218" s="1910"/>
      <c r="AK218" s="1910"/>
      <c r="AL218" s="1910"/>
      <c r="AM218" s="1910"/>
      <c r="AN218" s="1803"/>
      <c r="AO218" s="1693"/>
      <c r="AP218" s="2062"/>
      <c r="AQ218" s="1669"/>
      <c r="AR218" s="1929"/>
      <c r="AS218" s="1930"/>
      <c r="AT218" s="1930"/>
      <c r="AU218" s="1930"/>
      <c r="AV218" s="1930"/>
      <c r="AW218" s="2095"/>
      <c r="AX218" s="1693"/>
      <c r="AY218" s="1955"/>
      <c r="BA218" s="1678"/>
      <c r="BC218" s="2082"/>
      <c r="BD218" s="2082"/>
      <c r="BE218" s="2082"/>
      <c r="BF218" s="2082"/>
    </row>
    <row r="219" spans="1:58" ht="17.25" customHeight="1" x14ac:dyDescent="0.25">
      <c r="A219" s="2020"/>
      <c r="B219" s="2020"/>
      <c r="C219" s="2020"/>
      <c r="D219" s="2020"/>
      <c r="E219" s="2020"/>
      <c r="F219" s="2021"/>
      <c r="M219" s="1594"/>
      <c r="N219" s="2020"/>
      <c r="O219" s="2020"/>
      <c r="P219" s="2020"/>
      <c r="Q219" s="2020"/>
      <c r="R219" s="2020"/>
      <c r="S219" s="2021"/>
      <c r="AA219" s="1700"/>
      <c r="AC219" s="1837"/>
      <c r="AD219" s="2084"/>
      <c r="AE219" s="1715"/>
      <c r="AF219" s="1716"/>
      <c r="AI219" s="1909"/>
      <c r="AJ219" s="1910"/>
      <c r="AK219" s="1910"/>
      <c r="AL219" s="1910"/>
      <c r="AM219" s="1910"/>
      <c r="AN219" s="1877"/>
      <c r="AO219" s="1693"/>
      <c r="AP219" s="2062"/>
      <c r="AQ219" s="1669"/>
      <c r="AR219" s="1929"/>
      <c r="AS219" s="1930"/>
      <c r="AT219" s="1930"/>
      <c r="AU219" s="1930"/>
      <c r="AV219" s="1930"/>
      <c r="AW219" s="2096"/>
      <c r="AX219" s="1693"/>
      <c r="AY219" s="1955"/>
      <c r="BA219" s="1678"/>
      <c r="BC219" s="2076"/>
      <c r="BD219" s="2076"/>
      <c r="BE219" s="2076"/>
      <c r="BF219" s="2076"/>
    </row>
    <row r="220" spans="1:58" ht="17.25" customHeight="1" x14ac:dyDescent="0.25">
      <c r="A220" s="2020"/>
      <c r="B220" s="2020"/>
      <c r="C220" s="2020"/>
      <c r="D220" s="2020"/>
      <c r="E220" s="2020"/>
      <c r="F220" s="2021"/>
      <c r="M220" s="1594"/>
      <c r="N220" s="2020"/>
      <c r="O220" s="2020"/>
      <c r="P220" s="2020"/>
      <c r="Q220" s="2020"/>
      <c r="R220" s="2020"/>
      <c r="S220" s="2021"/>
      <c r="AA220" s="1700"/>
      <c r="AC220" s="1837"/>
      <c r="AD220" s="2097"/>
      <c r="AE220" s="1715"/>
      <c r="AF220" s="1716"/>
      <c r="AI220" s="1909"/>
      <c r="AJ220" s="1910"/>
      <c r="AK220" s="1910"/>
      <c r="AL220" s="1910"/>
      <c r="AM220" s="1910"/>
      <c r="AN220" s="1873"/>
      <c r="AO220" s="1693"/>
      <c r="AP220" s="2062"/>
      <c r="AQ220" s="1669"/>
      <c r="AR220" s="1929"/>
      <c r="AS220" s="1930"/>
      <c r="AT220" s="1930"/>
      <c r="AU220" s="1930"/>
      <c r="AV220" s="1930"/>
      <c r="AW220" s="2098"/>
      <c r="AX220" s="1693"/>
      <c r="AY220" s="1955"/>
      <c r="BA220" s="1678"/>
      <c r="BC220" s="2089"/>
      <c r="BD220" s="2089"/>
      <c r="BE220" s="2089"/>
      <c r="BF220" s="2089"/>
    </row>
    <row r="221" spans="1:58" ht="17.25" customHeight="1" x14ac:dyDescent="0.25">
      <c r="A221" s="2099"/>
      <c r="B221" s="2100"/>
      <c r="C221" s="2100"/>
      <c r="D221" s="2100"/>
      <c r="E221" s="2101"/>
      <c r="F221" s="2026"/>
      <c r="G221" s="1855"/>
      <c r="H221" s="1855"/>
      <c r="I221" s="1856"/>
      <c r="J221" s="2027"/>
      <c r="K221" s="2028"/>
      <c r="L221" s="2027"/>
      <c r="M221" s="1594"/>
      <c r="N221" s="2099"/>
      <c r="O221" s="2100"/>
      <c r="P221" s="2100"/>
      <c r="Q221" s="2100"/>
      <c r="R221" s="2101"/>
      <c r="S221" s="2026"/>
      <c r="T221" s="1855"/>
      <c r="U221" s="1855"/>
      <c r="V221" s="1856"/>
      <c r="W221" s="2027"/>
      <c r="X221" s="2028"/>
      <c r="Y221" s="2027"/>
      <c r="AA221" s="1700"/>
      <c r="AC221" s="1837"/>
      <c r="AD221" s="2102"/>
      <c r="AE221" s="1715"/>
      <c r="AF221" s="1716"/>
      <c r="AI221" s="1909"/>
      <c r="AJ221" s="1910"/>
      <c r="AK221" s="1910"/>
      <c r="AL221" s="1910"/>
      <c r="AM221" s="1910"/>
      <c r="AN221" s="1886"/>
      <c r="AO221" s="1693"/>
      <c r="AP221" s="2062"/>
      <c r="AQ221" s="1669"/>
      <c r="AR221" s="1929"/>
      <c r="AS221" s="1930"/>
      <c r="AT221" s="1930"/>
      <c r="AU221" s="1930"/>
      <c r="AV221" s="1930"/>
      <c r="AW221" s="2103"/>
      <c r="AX221" s="1693"/>
      <c r="AY221" s="1955"/>
      <c r="BA221" s="1678"/>
    </row>
    <row r="222" spans="1:58" ht="17.25" customHeight="1" x14ac:dyDescent="0.25">
      <c r="A222" s="1735"/>
      <c r="B222" s="1736"/>
      <c r="C222" s="1737"/>
      <c r="D222" s="2029"/>
      <c r="E222" s="2030"/>
      <c r="F222" s="2104"/>
      <c r="G222" s="1741"/>
      <c r="H222" s="1742"/>
      <c r="I222" s="1743"/>
      <c r="J222" s="1744"/>
      <c r="K222" s="1745"/>
      <c r="L222" s="1746"/>
      <c r="M222" s="1594"/>
      <c r="N222" s="1735"/>
      <c r="O222" s="1736"/>
      <c r="P222" s="1737"/>
      <c r="Q222" s="2029"/>
      <c r="R222" s="2030"/>
      <c r="S222" s="2104"/>
      <c r="T222" s="1747"/>
      <c r="U222" s="1747"/>
      <c r="V222" s="1747"/>
      <c r="W222" s="1744"/>
      <c r="X222" s="1745"/>
      <c r="Y222" s="1746"/>
      <c r="Z222" s="1748"/>
      <c r="AA222" s="1700"/>
      <c r="AC222" s="1837"/>
      <c r="AD222" s="1769"/>
      <c r="AE222" s="1715"/>
      <c r="AF222" s="1716"/>
      <c r="AI222" s="1909"/>
      <c r="AJ222" s="1910"/>
      <c r="AK222" s="1910"/>
      <c r="AL222" s="1910"/>
      <c r="AM222" s="1910"/>
      <c r="AN222" s="2081"/>
      <c r="AO222" s="1693"/>
      <c r="AP222" s="2062"/>
      <c r="AQ222" s="1669"/>
      <c r="AR222" s="1929"/>
      <c r="AS222" s="1930"/>
      <c r="AT222" s="1930"/>
      <c r="AU222" s="1930"/>
      <c r="AV222" s="1930"/>
      <c r="AW222" s="1886"/>
      <c r="AX222" s="1693"/>
      <c r="AY222" s="1955"/>
      <c r="BA222" s="1678"/>
      <c r="BC222" s="2076"/>
      <c r="BD222" s="2076"/>
      <c r="BE222" s="2076"/>
      <c r="BF222" s="2076"/>
    </row>
    <row r="223" spans="1:58" ht="17.25" customHeight="1" x14ac:dyDescent="0.25">
      <c r="A223" s="1735"/>
      <c r="B223" s="1736"/>
      <c r="C223" s="1737"/>
      <c r="D223" s="2029"/>
      <c r="E223" s="2030"/>
      <c r="F223" s="2105"/>
      <c r="G223" s="1741"/>
      <c r="H223" s="1742"/>
      <c r="I223" s="1743"/>
      <c r="J223" s="1744"/>
      <c r="K223" s="1745"/>
      <c r="L223" s="1746"/>
      <c r="M223" s="1594"/>
      <c r="N223" s="1735"/>
      <c r="O223" s="1736"/>
      <c r="P223" s="1737"/>
      <c r="Q223" s="2029"/>
      <c r="R223" s="2030"/>
      <c r="S223" s="2105"/>
      <c r="T223" s="1747"/>
      <c r="U223" s="1747"/>
      <c r="V223" s="1747"/>
      <c r="W223" s="1744"/>
      <c r="X223" s="1745"/>
      <c r="Y223" s="1746"/>
      <c r="Z223" s="1748"/>
      <c r="AA223" s="1700"/>
      <c r="AC223" s="1837"/>
      <c r="AD223" s="1995"/>
      <c r="AE223" s="1715"/>
      <c r="AF223" s="1716"/>
      <c r="AI223" s="1909"/>
      <c r="AJ223" s="1910"/>
      <c r="AK223" s="1910"/>
      <c r="AL223" s="1910"/>
      <c r="AM223" s="1910"/>
      <c r="AN223" s="2106"/>
      <c r="AO223" s="1693"/>
      <c r="AP223" s="2062"/>
      <c r="AQ223" s="1669"/>
      <c r="AR223" s="1929"/>
      <c r="AS223" s="1930"/>
      <c r="AT223" s="1930"/>
      <c r="AU223" s="1930"/>
      <c r="AV223" s="1930"/>
      <c r="AW223" s="2107"/>
      <c r="AX223" s="1693"/>
      <c r="AY223" s="1955"/>
      <c r="BA223" s="1678"/>
      <c r="BC223" s="2082"/>
      <c r="BD223" s="2082"/>
      <c r="BE223" s="2082"/>
      <c r="BF223" s="2082"/>
    </row>
    <row r="224" spans="1:58" ht="17.25" customHeight="1" x14ac:dyDescent="0.25">
      <c r="A224" s="1735"/>
      <c r="B224" s="1736"/>
      <c r="C224" s="1737"/>
      <c r="D224" s="2029"/>
      <c r="E224" s="2030"/>
      <c r="F224" s="2108"/>
      <c r="G224" s="1741"/>
      <c r="H224" s="1742"/>
      <c r="I224" s="1743"/>
      <c r="J224" s="1744"/>
      <c r="K224" s="1745"/>
      <c r="L224" s="1746"/>
      <c r="M224" s="1594"/>
      <c r="N224" s="1735"/>
      <c r="O224" s="1736"/>
      <c r="P224" s="1737"/>
      <c r="Q224" s="2029"/>
      <c r="R224" s="2030"/>
      <c r="S224" s="2108"/>
      <c r="T224" s="1747"/>
      <c r="U224" s="1747"/>
      <c r="V224" s="1747"/>
      <c r="W224" s="1744"/>
      <c r="X224" s="1745"/>
      <c r="Y224" s="1746"/>
      <c r="Z224" s="1748"/>
      <c r="AA224" s="1700"/>
      <c r="AC224" s="1837"/>
      <c r="AD224" s="2109"/>
      <c r="AE224" s="1715"/>
      <c r="AF224" s="1716"/>
      <c r="AI224" s="1909"/>
      <c r="AJ224" s="1910"/>
      <c r="AK224" s="1910"/>
      <c r="AL224" s="1910"/>
      <c r="AM224" s="1910"/>
      <c r="AN224" s="2110"/>
      <c r="AO224" s="1693"/>
      <c r="AP224" s="2062"/>
      <c r="AQ224" s="1669"/>
      <c r="AR224" s="1915"/>
      <c r="AS224" s="1916"/>
      <c r="AT224" s="1916"/>
      <c r="AU224" s="1916"/>
      <c r="AV224" s="1917"/>
      <c r="AW224" s="1918"/>
      <c r="AX224" s="1919"/>
      <c r="AY224" s="1669"/>
      <c r="BA224" s="1678"/>
      <c r="BC224" s="2076"/>
      <c r="BD224" s="2076"/>
      <c r="BE224" s="2076"/>
      <c r="BF224" s="2076"/>
    </row>
    <row r="225" spans="1:58" ht="17.25" customHeight="1" x14ac:dyDescent="0.25">
      <c r="A225" s="2111"/>
      <c r="B225" s="1747"/>
      <c r="C225" s="1747"/>
      <c r="D225" s="1747"/>
      <c r="E225" s="1747"/>
      <c r="F225" s="2021"/>
      <c r="G225" s="2045"/>
      <c r="H225" s="2045"/>
      <c r="I225" s="2045"/>
      <c r="J225" s="2046"/>
      <c r="K225" s="2047"/>
      <c r="L225" s="1746"/>
      <c r="M225" s="1594"/>
      <c r="N225" s="2111"/>
      <c r="O225" s="1747"/>
      <c r="P225" s="1747"/>
      <c r="Q225" s="1747"/>
      <c r="R225" s="1747"/>
      <c r="S225" s="2021"/>
      <c r="T225" s="2045"/>
      <c r="U225" s="2045"/>
      <c r="V225" s="2045"/>
      <c r="W225" s="2046"/>
      <c r="X225" s="2047"/>
      <c r="Y225" s="1746"/>
      <c r="Z225" s="1748"/>
      <c r="AA225" s="1700"/>
      <c r="AI225" s="1909"/>
      <c r="AJ225" s="1910"/>
      <c r="AK225" s="1910"/>
      <c r="AL225" s="1910"/>
      <c r="AM225" s="1910"/>
      <c r="AN225" s="1997"/>
      <c r="AO225" s="1693"/>
      <c r="AP225" s="2062"/>
      <c r="AQ225" s="1669"/>
      <c r="AR225" s="1669"/>
      <c r="AS225" s="1669"/>
      <c r="AT225" s="1669"/>
      <c r="AU225" s="1669"/>
      <c r="AV225" s="1669"/>
      <c r="AW225" s="1669"/>
      <c r="AX225" s="1669"/>
      <c r="AY225" s="1669"/>
      <c r="BA225" s="1678"/>
      <c r="BC225" s="2089"/>
      <c r="BD225" s="2089"/>
      <c r="BE225" s="2089"/>
      <c r="BF225" s="2089"/>
    </row>
    <row r="226" spans="1:58" ht="17.25" customHeight="1" x14ac:dyDescent="0.25">
      <c r="M226" s="1594"/>
      <c r="AA226" s="1700"/>
      <c r="AI226" s="1909"/>
      <c r="AJ226" s="1910"/>
      <c r="AK226" s="1910"/>
      <c r="AL226" s="1910"/>
      <c r="AM226" s="1910"/>
      <c r="AN226" s="2112"/>
      <c r="AO226" s="1693"/>
      <c r="AP226" s="2062"/>
      <c r="AQ226" s="1669"/>
      <c r="AR226" s="1675"/>
      <c r="AS226" s="1676"/>
      <c r="AT226" s="1676"/>
      <c r="AU226" s="1676"/>
      <c r="AV226" s="1676"/>
      <c r="AW226" s="1677"/>
      <c r="AX226" s="1673"/>
      <c r="AY226" s="1674"/>
      <c r="BA226" s="1678"/>
    </row>
    <row r="227" spans="1:58" ht="17.25" customHeight="1" x14ac:dyDescent="0.25">
      <c r="M227" s="1594"/>
      <c r="AA227" s="1700"/>
      <c r="AI227" s="1909"/>
      <c r="AJ227" s="1910"/>
      <c r="AK227" s="1910"/>
      <c r="AL227" s="1910"/>
      <c r="AM227" s="1910"/>
      <c r="AN227" s="2112"/>
      <c r="AO227" s="1693"/>
      <c r="AP227" s="2062"/>
      <c r="AQ227" s="1669"/>
      <c r="AR227" s="1929"/>
      <c r="AS227" s="1930"/>
      <c r="AT227" s="1930"/>
      <c r="AU227" s="1930"/>
      <c r="AV227" s="1930"/>
      <c r="AW227" s="2113"/>
      <c r="AX227" s="1693"/>
      <c r="AY227" s="2114"/>
      <c r="BA227" s="1678"/>
      <c r="BC227" s="2076"/>
      <c r="BD227" s="2076"/>
      <c r="BE227" s="2076"/>
      <c r="BF227" s="2076"/>
    </row>
    <row r="228" spans="1:58" ht="17.25" customHeight="1" x14ac:dyDescent="0.25">
      <c r="A228" s="1938"/>
      <c r="B228" s="1742"/>
      <c r="C228" s="1742"/>
      <c r="D228" s="1742"/>
      <c r="E228" s="1742"/>
      <c r="F228" s="1835"/>
      <c r="G228" s="2115"/>
      <c r="H228" s="2115"/>
      <c r="I228" s="2115"/>
      <c r="J228" s="2116"/>
      <c r="K228" s="1745"/>
      <c r="L228" s="1746"/>
      <c r="M228" s="1700"/>
      <c r="N228" s="1938"/>
      <c r="O228" s="1742"/>
      <c r="P228" s="1742"/>
      <c r="Q228" s="1742"/>
      <c r="R228" s="1742"/>
      <c r="S228" s="1835"/>
      <c r="T228" s="2115"/>
      <c r="U228" s="2115"/>
      <c r="V228" s="2115"/>
      <c r="W228" s="2116"/>
      <c r="X228" s="1745"/>
      <c r="Y228" s="1746"/>
      <c r="Z228" s="1748"/>
      <c r="AA228" s="1700"/>
      <c r="AI228" s="1909"/>
      <c r="AJ228" s="1910"/>
      <c r="AK228" s="1910"/>
      <c r="AL228" s="1910"/>
      <c r="AM228" s="1910"/>
      <c r="AN228" s="2117"/>
      <c r="AO228" s="1693"/>
      <c r="AP228" s="2062"/>
      <c r="AQ228" s="1669"/>
      <c r="AR228" s="1929"/>
      <c r="AS228" s="1930"/>
      <c r="AT228" s="1930"/>
      <c r="AU228" s="1930"/>
      <c r="AV228" s="1930"/>
      <c r="AW228" s="1803"/>
      <c r="AX228" s="1693"/>
      <c r="AY228" s="2114"/>
      <c r="BA228" s="1678"/>
      <c r="BC228" s="2076"/>
      <c r="BD228" s="2076"/>
      <c r="BE228" s="2076"/>
      <c r="BF228" s="2076"/>
    </row>
    <row r="229" spans="1:58" ht="17.25" customHeight="1" x14ac:dyDescent="0.25">
      <c r="M229" s="1594"/>
      <c r="AA229" s="1700"/>
      <c r="AI229" s="1909"/>
      <c r="AJ229" s="1910"/>
      <c r="AK229" s="1910"/>
      <c r="AL229" s="1910"/>
      <c r="AM229" s="1910"/>
      <c r="AN229" s="2118"/>
      <c r="AO229" s="1693"/>
      <c r="AP229" s="2062"/>
      <c r="AQ229" s="1669"/>
      <c r="AR229" s="1929"/>
      <c r="AS229" s="1930"/>
      <c r="AT229" s="1930"/>
      <c r="AU229" s="1930"/>
      <c r="AV229" s="1930"/>
      <c r="AW229" s="2119"/>
      <c r="AX229" s="1693"/>
      <c r="AY229" s="2114"/>
      <c r="BA229" s="1678"/>
      <c r="BB229" s="2120"/>
      <c r="BC229" s="2089"/>
      <c r="BD229" s="2089"/>
      <c r="BE229" s="2089"/>
      <c r="BF229" s="2089"/>
    </row>
    <row r="230" spans="1:58" ht="17.25" customHeight="1" x14ac:dyDescent="0.25">
      <c r="M230" s="1594"/>
      <c r="AA230" s="1700"/>
      <c r="AI230" s="1909"/>
      <c r="AJ230" s="1910"/>
      <c r="AK230" s="1910"/>
      <c r="AL230" s="1910"/>
      <c r="AM230" s="1910"/>
      <c r="AN230" s="1787"/>
      <c r="AO230" s="1693"/>
      <c r="AP230" s="2062"/>
      <c r="AQ230" s="1669"/>
      <c r="AR230" s="1929"/>
      <c r="AS230" s="1930"/>
      <c r="AT230" s="1930"/>
      <c r="AU230" s="1930"/>
      <c r="AV230" s="1930"/>
      <c r="AW230" s="2121"/>
      <c r="AX230" s="1693"/>
      <c r="AY230" s="2114"/>
      <c r="BA230" s="1678"/>
      <c r="BB230" s="2122"/>
    </row>
    <row r="231" spans="1:58" ht="17.25" customHeight="1" x14ac:dyDescent="0.25">
      <c r="M231" s="1594"/>
      <c r="AA231" s="1700"/>
      <c r="AI231" s="1909"/>
      <c r="AJ231" s="1910"/>
      <c r="AK231" s="1910"/>
      <c r="AL231" s="1910"/>
      <c r="AM231" s="1910"/>
      <c r="AN231" s="2123"/>
      <c r="AO231" s="1693"/>
      <c r="AP231" s="2062"/>
      <c r="AQ231" s="1669"/>
      <c r="AR231" s="1929"/>
      <c r="AS231" s="1930"/>
      <c r="AT231" s="1930"/>
      <c r="AU231" s="1930"/>
      <c r="AV231" s="1930"/>
      <c r="AW231" s="2124"/>
      <c r="AX231" s="1693"/>
      <c r="AY231" s="2114"/>
      <c r="BA231" s="1678"/>
      <c r="BB231" s="2120"/>
      <c r="BC231" s="2076"/>
      <c r="BD231" s="2076"/>
      <c r="BE231" s="2076"/>
      <c r="BF231" s="2076"/>
    </row>
    <row r="232" spans="1:58" ht="17.25" customHeight="1" x14ac:dyDescent="0.25">
      <c r="A232" s="2125"/>
      <c r="B232" s="2125"/>
      <c r="C232" s="2125"/>
      <c r="D232" s="2125"/>
      <c r="E232" s="2125"/>
      <c r="F232" s="2125"/>
      <c r="G232" s="2125"/>
      <c r="H232" s="2125"/>
      <c r="I232" s="2125"/>
      <c r="J232" s="2125"/>
      <c r="K232" s="2125"/>
      <c r="L232" s="2125"/>
      <c r="M232" s="2125"/>
      <c r="N232" s="2125"/>
      <c r="O232" s="2125"/>
      <c r="P232" s="2125"/>
      <c r="Q232" s="2125"/>
      <c r="R232" s="2125"/>
      <c r="S232" s="2125"/>
      <c r="T232" s="2125"/>
      <c r="U232" s="2125"/>
      <c r="V232" s="2125"/>
      <c r="W232" s="2125"/>
      <c r="X232" s="2125"/>
      <c r="Y232" s="2125"/>
      <c r="Z232" s="2125"/>
      <c r="AA232" s="1700"/>
      <c r="AI232" s="1909"/>
      <c r="AJ232" s="1910"/>
      <c r="AK232" s="1910"/>
      <c r="AL232" s="1910"/>
      <c r="AM232" s="1910"/>
      <c r="AN232" s="2126"/>
      <c r="AO232" s="1693"/>
      <c r="AP232" s="2062"/>
      <c r="AQ232" s="1669"/>
      <c r="AR232" s="1929"/>
      <c r="AS232" s="1930"/>
      <c r="AT232" s="1930"/>
      <c r="AU232" s="1930"/>
      <c r="AV232" s="1930"/>
      <c r="AW232" s="2127"/>
      <c r="AX232" s="1693"/>
      <c r="AY232" s="2114"/>
      <c r="BA232" s="1678"/>
      <c r="BB232" s="2120"/>
      <c r="BC232" s="2082"/>
      <c r="BD232" s="2082"/>
      <c r="BE232" s="2082"/>
      <c r="BF232" s="2082"/>
    </row>
    <row r="233" spans="1:58" ht="17.25" customHeight="1" x14ac:dyDescent="0.25">
      <c r="A233" s="2125"/>
      <c r="B233" s="2125"/>
      <c r="C233" s="2125"/>
      <c r="D233" s="2125"/>
      <c r="E233" s="2125"/>
      <c r="F233" s="2125"/>
      <c r="G233" s="2125"/>
      <c r="H233" s="2125"/>
      <c r="I233" s="2125"/>
      <c r="J233" s="2125"/>
      <c r="K233" s="2125"/>
      <c r="L233" s="2125"/>
      <c r="M233" s="2125"/>
      <c r="N233" s="2125"/>
      <c r="O233" s="2125"/>
      <c r="P233" s="2125"/>
      <c r="Q233" s="2125"/>
      <c r="R233" s="2125"/>
      <c r="S233" s="2125"/>
      <c r="T233" s="2125"/>
      <c r="U233" s="2125"/>
      <c r="V233" s="2125"/>
      <c r="W233" s="2125"/>
      <c r="X233" s="2125"/>
      <c r="Y233" s="2125"/>
      <c r="Z233" s="2125"/>
      <c r="AA233" s="1700"/>
      <c r="AI233" s="1909"/>
      <c r="AJ233" s="1910"/>
      <c r="AK233" s="1910"/>
      <c r="AL233" s="1910"/>
      <c r="AM233" s="1910"/>
      <c r="AN233" s="2128"/>
      <c r="AO233" s="1693"/>
      <c r="AP233" s="2062"/>
      <c r="AQ233" s="1669"/>
      <c r="AR233" s="1929"/>
      <c r="AS233" s="1930"/>
      <c r="AT233" s="1930"/>
      <c r="AU233" s="1930"/>
      <c r="AV233" s="1930"/>
      <c r="AW233" s="2127"/>
      <c r="AX233" s="1693"/>
      <c r="AY233" s="2114"/>
      <c r="BA233" s="1678"/>
      <c r="BC233" s="2076"/>
      <c r="BD233" s="2076"/>
      <c r="BE233" s="2076"/>
      <c r="BF233" s="2076"/>
    </row>
    <row r="234" spans="1:58" ht="17.25" customHeight="1" thickBot="1" x14ac:dyDescent="0.3">
      <c r="AA234" s="1700"/>
      <c r="AI234" s="1909"/>
      <c r="AJ234" s="1910"/>
      <c r="AK234" s="1910"/>
      <c r="AL234" s="1910"/>
      <c r="AM234" s="1910"/>
      <c r="AN234" s="2129"/>
      <c r="AO234" s="1693"/>
      <c r="AP234" s="2062"/>
      <c r="AQ234" s="1669"/>
      <c r="AR234" s="1929"/>
      <c r="AS234" s="1930"/>
      <c r="AT234" s="1930"/>
      <c r="AU234" s="1930"/>
      <c r="AV234" s="1930"/>
      <c r="AW234" s="2127"/>
      <c r="AX234" s="1693"/>
      <c r="AY234" s="2114"/>
      <c r="BA234" s="1678"/>
      <c r="BB234" s="2120"/>
      <c r="BC234" s="2089"/>
      <c r="BD234" s="2089"/>
      <c r="BE234" s="2089"/>
      <c r="BF234" s="2089"/>
    </row>
    <row r="235" spans="1:58" ht="17.25" customHeight="1" thickBot="1" x14ac:dyDescent="0.3">
      <c r="A235" s="2130"/>
      <c r="B235" s="2131"/>
      <c r="C235" s="2131"/>
      <c r="D235" s="2131"/>
      <c r="E235" s="2131"/>
      <c r="F235" s="2131"/>
      <c r="G235" s="2132"/>
      <c r="H235" s="2133"/>
      <c r="AA235" s="1700"/>
      <c r="AI235" s="2134"/>
      <c r="AJ235" s="2135"/>
      <c r="AK235" s="2135"/>
      <c r="AL235" s="2135"/>
      <c r="AM235" s="2136"/>
      <c r="AN235" s="1918"/>
      <c r="AO235" s="1919"/>
      <c r="AP235" s="1669"/>
      <c r="AQ235" s="1669"/>
      <c r="AR235" s="1929"/>
      <c r="AS235" s="1930"/>
      <c r="AT235" s="1930"/>
      <c r="AU235" s="1930"/>
      <c r="AV235" s="1930"/>
      <c r="AW235" s="2137"/>
      <c r="AX235" s="1693"/>
      <c r="AY235" s="2114"/>
      <c r="BA235" s="1678"/>
      <c r="BB235" s="2122"/>
    </row>
    <row r="236" spans="1:58" ht="17.25" customHeight="1" thickBot="1" x14ac:dyDescent="0.3">
      <c r="AA236" s="1700"/>
      <c r="AI236" s="2138"/>
      <c r="AJ236" s="1669"/>
      <c r="AK236" s="1669"/>
      <c r="AL236" s="1669"/>
      <c r="AM236" s="1669"/>
      <c r="AN236" s="1669"/>
      <c r="AO236" s="1669"/>
      <c r="AP236" s="1669"/>
      <c r="AQ236" s="1669"/>
      <c r="AR236" s="1929"/>
      <c r="AS236" s="1930"/>
      <c r="AT236" s="1930"/>
      <c r="AU236" s="1930"/>
      <c r="AV236" s="1930"/>
      <c r="AW236" s="1783"/>
      <c r="AX236" s="1693"/>
      <c r="AY236" s="2114"/>
      <c r="BA236" s="1678"/>
      <c r="BB236" s="2120"/>
      <c r="BC236" s="2076"/>
      <c r="BD236" s="2076"/>
      <c r="BE236" s="2076"/>
      <c r="BF236" s="2076"/>
    </row>
    <row r="237" spans="1:58" ht="17.25" customHeight="1" thickBot="1" x14ac:dyDescent="0.4">
      <c r="A237" s="2139"/>
      <c r="B237" s="2140"/>
      <c r="C237" s="2140"/>
      <c r="D237" s="2140"/>
      <c r="E237" s="2141"/>
      <c r="F237" s="2142"/>
      <c r="G237" s="2143"/>
      <c r="N237" s="2139"/>
      <c r="O237" s="2140"/>
      <c r="P237" s="2140"/>
      <c r="Q237" s="2140"/>
      <c r="R237" s="2141"/>
      <c r="S237" s="2142"/>
      <c r="T237" s="2143"/>
      <c r="AA237" s="1700"/>
      <c r="AI237" s="2138"/>
      <c r="AJ237" s="1669"/>
      <c r="AK237" s="1669"/>
      <c r="AL237" s="1669"/>
      <c r="AM237" s="1669"/>
      <c r="AN237" s="1669"/>
      <c r="AO237" s="1669"/>
      <c r="AQ237" s="1669"/>
      <c r="AR237" s="1929"/>
      <c r="AS237" s="1930"/>
      <c r="AT237" s="1930"/>
      <c r="AU237" s="1930"/>
      <c r="AV237" s="1930"/>
      <c r="AW237" s="2144"/>
      <c r="AX237" s="1693"/>
      <c r="AY237" s="2145"/>
      <c r="BA237" s="1678"/>
      <c r="BB237" s="2120"/>
      <c r="BC237" s="2082"/>
      <c r="BD237" s="2082"/>
      <c r="BE237" s="2082"/>
      <c r="BF237" s="2082"/>
    </row>
    <row r="238" spans="1:58" ht="17.25" customHeight="1" thickBot="1" x14ac:dyDescent="0.4">
      <c r="A238" s="2146"/>
      <c r="B238" s="2147"/>
      <c r="C238" s="2147"/>
      <c r="D238" s="2147"/>
      <c r="E238" s="2148"/>
      <c r="F238" s="2148"/>
      <c r="G238" s="2148"/>
      <c r="Q238" s="2148"/>
      <c r="AA238" s="1700"/>
      <c r="AI238" s="2056"/>
      <c r="AJ238" s="1676"/>
      <c r="AK238" s="1676"/>
      <c r="AL238" s="1676"/>
      <c r="AM238" s="1676"/>
      <c r="AN238" s="2149"/>
      <c r="AO238" s="1673"/>
      <c r="AP238" s="1674"/>
      <c r="AQ238" s="1669"/>
      <c r="AR238" s="1929"/>
      <c r="AS238" s="1930"/>
      <c r="AT238" s="1930"/>
      <c r="AU238" s="1930"/>
      <c r="AV238" s="1930"/>
      <c r="AW238" s="2150"/>
      <c r="AX238" s="1693"/>
      <c r="AY238" s="2145"/>
      <c r="BA238" s="1678"/>
      <c r="BC238" s="2076"/>
      <c r="BD238" s="2076"/>
      <c r="BE238" s="2076"/>
      <c r="BF238" s="2076"/>
    </row>
    <row r="239" spans="1:58" ht="17.25" customHeight="1" thickBot="1" x14ac:dyDescent="0.3">
      <c r="A239" s="2151"/>
      <c r="B239" s="2152"/>
      <c r="C239" s="2152"/>
      <c r="D239" s="2152"/>
      <c r="E239" s="2153"/>
      <c r="G239" s="2154"/>
      <c r="H239" s="2154"/>
      <c r="I239" s="2154"/>
      <c r="N239" s="2151"/>
      <c r="O239" s="2152"/>
      <c r="P239" s="2152"/>
      <c r="Q239" s="2152"/>
      <c r="R239" s="2153"/>
      <c r="T239" s="2154"/>
      <c r="U239" s="2154"/>
      <c r="V239" s="2154"/>
      <c r="AA239" s="1700"/>
      <c r="AI239" s="1909"/>
      <c r="AJ239" s="1910"/>
      <c r="AK239" s="1910"/>
      <c r="AL239" s="1910"/>
      <c r="AM239" s="2155"/>
      <c r="AN239" s="2156"/>
      <c r="AO239" s="1693"/>
      <c r="AP239" s="2157"/>
      <c r="AQ239" s="1669"/>
      <c r="AR239" s="2158"/>
      <c r="AS239" s="2159"/>
      <c r="AT239" s="2159"/>
      <c r="AU239" s="2159"/>
      <c r="AV239" s="2159"/>
      <c r="AW239" s="2160"/>
      <c r="AX239" s="1693"/>
      <c r="AY239" s="2145"/>
      <c r="BA239" s="1678"/>
      <c r="BC239" s="2089"/>
      <c r="BD239" s="2089"/>
      <c r="BE239" s="2089"/>
      <c r="BF239" s="2089"/>
    </row>
    <row r="240" spans="1:58" ht="17.25" customHeight="1" x14ac:dyDescent="0.25">
      <c r="A240" s="2161"/>
      <c r="B240" s="2161"/>
      <c r="C240" s="2161"/>
      <c r="D240" s="2161"/>
      <c r="E240" s="2161"/>
      <c r="F240" s="1350"/>
      <c r="G240" s="1741"/>
      <c r="H240" s="1742"/>
      <c r="I240" s="1743"/>
      <c r="N240" s="2161"/>
      <c r="O240" s="2161"/>
      <c r="P240" s="2161"/>
      <c r="Q240" s="2161"/>
      <c r="R240" s="2161"/>
      <c r="S240" s="1350"/>
      <c r="T240" s="1747"/>
      <c r="U240" s="1747"/>
      <c r="V240" s="1747"/>
      <c r="AA240" s="1700"/>
      <c r="AI240" s="1909"/>
      <c r="AJ240" s="1910"/>
      <c r="AK240" s="1910"/>
      <c r="AL240" s="1910"/>
      <c r="AM240" s="2155"/>
      <c r="AN240" s="2162"/>
      <c r="AO240" s="1693"/>
      <c r="AP240" s="2157"/>
      <c r="AQ240" s="1669"/>
      <c r="AR240" s="1929"/>
      <c r="AS240" s="1930"/>
      <c r="AT240" s="1930"/>
      <c r="AU240" s="1930"/>
      <c r="AV240" s="1930"/>
      <c r="AW240" s="2040"/>
      <c r="AX240" s="1693"/>
      <c r="AY240" s="2145"/>
      <c r="BA240" s="1678"/>
      <c r="BB240" s="2120"/>
    </row>
    <row r="241" spans="1:58" ht="17.25" customHeight="1" x14ac:dyDescent="0.25">
      <c r="A241" s="2163"/>
      <c r="B241" s="2163"/>
      <c r="C241" s="2163"/>
      <c r="D241" s="2163"/>
      <c r="E241" s="2163"/>
      <c r="F241" s="1350"/>
      <c r="G241" s="1741"/>
      <c r="H241" s="1742"/>
      <c r="I241" s="1743"/>
      <c r="N241" s="2163"/>
      <c r="O241" s="2163"/>
      <c r="P241" s="2163"/>
      <c r="Q241" s="2163"/>
      <c r="R241" s="2163"/>
      <c r="S241" s="1350"/>
      <c r="T241" s="1747"/>
      <c r="U241" s="1747"/>
      <c r="V241" s="1747"/>
      <c r="AA241" s="1700"/>
      <c r="AI241" s="2134"/>
      <c r="AJ241" s="2135"/>
      <c r="AK241" s="2135"/>
      <c r="AL241" s="2135"/>
      <c r="AM241" s="2136"/>
      <c r="AN241" s="1918"/>
      <c r="AO241" s="1919"/>
      <c r="AP241" s="1669"/>
      <c r="AQ241" s="1669"/>
      <c r="AR241" s="1929"/>
      <c r="AS241" s="1930"/>
      <c r="AT241" s="1930"/>
      <c r="AU241" s="1930"/>
      <c r="AV241" s="1930"/>
      <c r="AW241" s="2164"/>
      <c r="AX241" s="1693"/>
      <c r="AY241" s="2145"/>
      <c r="BA241" s="1678"/>
      <c r="BB241" s="2122"/>
      <c r="BC241" s="2076"/>
      <c r="BD241" s="2076"/>
      <c r="BE241" s="2076"/>
      <c r="BF241" s="2076"/>
    </row>
    <row r="242" spans="1:58" ht="17.25" customHeight="1" x14ac:dyDescent="0.25">
      <c r="A242" s="2163"/>
      <c r="B242" s="2163"/>
      <c r="C242" s="2163"/>
      <c r="D242" s="2163"/>
      <c r="E242" s="2163"/>
      <c r="F242" s="1350"/>
      <c r="G242" s="1741"/>
      <c r="H242" s="1742"/>
      <c r="I242" s="1743"/>
      <c r="N242" s="2163"/>
      <c r="O242" s="2163"/>
      <c r="P242" s="2163"/>
      <c r="Q242" s="2163"/>
      <c r="R242" s="2163"/>
      <c r="S242" s="1350"/>
      <c r="T242" s="1747"/>
      <c r="U242" s="1747"/>
      <c r="V242" s="1747"/>
      <c r="AA242" s="1700"/>
      <c r="AI242" s="2138"/>
      <c r="AJ242" s="1669"/>
      <c r="AK242" s="1669"/>
      <c r="AL242" s="1669"/>
      <c r="AM242" s="1669"/>
      <c r="AN242" s="1669"/>
      <c r="AO242" s="1669"/>
      <c r="AP242" s="1669"/>
      <c r="AQ242" s="1669"/>
      <c r="AR242" s="1929"/>
      <c r="AS242" s="1930"/>
      <c r="AT242" s="1930"/>
      <c r="AU242" s="1930"/>
      <c r="AV242" s="1930"/>
      <c r="AW242" s="2165"/>
      <c r="AX242" s="1693"/>
      <c r="AY242" s="2145"/>
      <c r="BA242" s="1678"/>
      <c r="BB242" s="2120"/>
      <c r="BC242" s="2082"/>
      <c r="BD242" s="2082"/>
      <c r="BE242" s="2082"/>
      <c r="BF242" s="2082"/>
    </row>
    <row r="243" spans="1:58" ht="17.25" customHeight="1" x14ac:dyDescent="0.25">
      <c r="A243" s="2163"/>
      <c r="B243" s="2163"/>
      <c r="C243" s="2163"/>
      <c r="D243" s="2163"/>
      <c r="E243" s="2163"/>
      <c r="F243" s="1350"/>
      <c r="G243" s="1741"/>
      <c r="H243" s="1742"/>
      <c r="I243" s="1743"/>
      <c r="N243" s="2163"/>
      <c r="O243" s="2163"/>
      <c r="P243" s="2163"/>
      <c r="Q243" s="2163"/>
      <c r="R243" s="2163"/>
      <c r="S243" s="1350"/>
      <c r="T243" s="1747"/>
      <c r="U243" s="1747"/>
      <c r="V243" s="1747"/>
      <c r="AA243" s="1700"/>
      <c r="AI243" s="2138"/>
      <c r="AJ243" s="1669"/>
      <c r="AK243" s="1669"/>
      <c r="AL243" s="1669"/>
      <c r="AM243" s="1669"/>
      <c r="AN243" s="1669"/>
      <c r="AO243" s="1669"/>
      <c r="AP243" s="1669"/>
      <c r="AQ243" s="1669"/>
      <c r="AR243" s="1929"/>
      <c r="AS243" s="1930"/>
      <c r="AT243" s="1930"/>
      <c r="AU243" s="1930"/>
      <c r="AV243" s="1930"/>
      <c r="AW243" s="1787"/>
      <c r="AX243" s="1693"/>
      <c r="AY243" s="2145"/>
      <c r="BA243" s="1678"/>
      <c r="BC243" s="2076"/>
      <c r="BD243" s="2076"/>
      <c r="BE243" s="2076"/>
      <c r="BF243" s="2076"/>
    </row>
    <row r="244" spans="1:58" ht="17.25" customHeight="1" x14ac:dyDescent="0.25">
      <c r="A244" s="2163"/>
      <c r="B244" s="2163"/>
      <c r="C244" s="2163"/>
      <c r="D244" s="2163"/>
      <c r="E244" s="2163"/>
      <c r="F244" s="1350"/>
      <c r="G244" s="1741"/>
      <c r="H244" s="1742"/>
      <c r="I244" s="1743"/>
      <c r="N244" s="2163"/>
      <c r="O244" s="2163"/>
      <c r="P244" s="2163"/>
      <c r="Q244" s="2163"/>
      <c r="R244" s="2163"/>
      <c r="S244" s="1350"/>
      <c r="T244" s="1747"/>
      <c r="U244" s="1747"/>
      <c r="V244" s="1747"/>
      <c r="AA244" s="1700"/>
      <c r="AI244" s="2166"/>
      <c r="AJ244" s="2167"/>
      <c r="AK244" s="2167"/>
      <c r="AL244" s="2167"/>
      <c r="AM244" s="2167"/>
      <c r="AN244" s="1677"/>
      <c r="AO244" s="1673"/>
      <c r="AP244" s="1674"/>
      <c r="AR244" s="1929"/>
      <c r="AS244" s="1930"/>
      <c r="AT244" s="1930"/>
      <c r="AU244" s="1930"/>
      <c r="AV244" s="1930"/>
      <c r="AW244" s="1697"/>
      <c r="AX244" s="1693"/>
      <c r="AY244" s="2145"/>
      <c r="BA244" s="1678"/>
      <c r="BB244" s="2120"/>
      <c r="BC244" s="2089"/>
      <c r="BD244" s="2089"/>
      <c r="BE244" s="2089"/>
      <c r="BF244" s="2089"/>
    </row>
    <row r="245" spans="1:58" ht="17.25" customHeight="1" x14ac:dyDescent="0.25">
      <c r="A245" s="2163"/>
      <c r="B245" s="2163"/>
      <c r="C245" s="2163"/>
      <c r="D245" s="2163"/>
      <c r="E245" s="2163"/>
      <c r="F245" s="1350"/>
      <c r="G245" s="1741"/>
      <c r="H245" s="1742"/>
      <c r="I245" s="1743"/>
      <c r="N245" s="2163"/>
      <c r="O245" s="2163"/>
      <c r="P245" s="2163"/>
      <c r="Q245" s="2163"/>
      <c r="R245" s="2163"/>
      <c r="S245" s="1350"/>
      <c r="T245" s="1747"/>
      <c r="U245" s="1747"/>
      <c r="V245" s="1747"/>
      <c r="AA245" s="1700"/>
      <c r="AH245" s="1678"/>
      <c r="AI245" s="1690"/>
      <c r="AJ245" s="1691"/>
      <c r="AK245" s="1691"/>
      <c r="AL245" s="1691"/>
      <c r="AM245" s="1691"/>
      <c r="AN245" s="1783"/>
      <c r="AO245" s="1693"/>
      <c r="AP245" s="2168"/>
      <c r="AR245" s="1929"/>
      <c r="AS245" s="1930"/>
      <c r="AT245" s="1930"/>
      <c r="AU245" s="1930"/>
      <c r="AV245" s="1930"/>
      <c r="AW245" s="2169"/>
      <c r="AX245" s="1693"/>
      <c r="AY245" s="2145"/>
      <c r="BA245" s="1678"/>
      <c r="BB245" s="2122"/>
    </row>
    <row r="246" spans="1:58" ht="17.25" customHeight="1" thickBot="1" x14ac:dyDescent="0.3">
      <c r="A246" s="2170"/>
      <c r="B246" s="2171"/>
      <c r="C246" s="2171"/>
      <c r="D246" s="2171"/>
      <c r="E246" s="2171"/>
      <c r="F246" s="2172"/>
      <c r="G246" s="2173"/>
      <c r="H246" s="2174"/>
      <c r="I246" s="2175"/>
      <c r="N246" s="2170"/>
      <c r="O246" s="2171"/>
      <c r="P246" s="2171"/>
      <c r="Q246" s="2171"/>
      <c r="R246" s="2171"/>
      <c r="S246" s="2172"/>
      <c r="T246" s="2173"/>
      <c r="U246" s="2174"/>
      <c r="V246" s="2175"/>
      <c r="AA246" s="1700"/>
      <c r="AH246" s="2176"/>
      <c r="AI246" s="1690"/>
      <c r="AJ246" s="1691"/>
      <c r="AK246" s="1691"/>
      <c r="AL246" s="1691"/>
      <c r="AM246" s="2177"/>
      <c r="AN246" s="2156"/>
      <c r="AO246" s="1693"/>
      <c r="AP246" s="2178"/>
      <c r="AR246" s="1929"/>
      <c r="AS246" s="1930"/>
      <c r="AT246" s="1930"/>
      <c r="AU246" s="1930"/>
      <c r="AV246" s="1930"/>
      <c r="AW246" s="2179"/>
      <c r="AX246" s="1693"/>
      <c r="AY246" s="2145"/>
      <c r="BA246" s="1678"/>
      <c r="BB246" s="2120"/>
    </row>
    <row r="247" spans="1:58" ht="17.25" customHeight="1" thickBot="1" x14ac:dyDescent="0.3">
      <c r="A247" s="2151"/>
      <c r="B247" s="2152"/>
      <c r="C247" s="2152"/>
      <c r="D247" s="2152"/>
      <c r="E247" s="2153"/>
      <c r="F247" s="1259"/>
      <c r="G247" s="1259"/>
      <c r="H247" s="1259"/>
      <c r="I247" s="1259"/>
      <c r="N247" s="2151"/>
      <c r="O247" s="2152"/>
      <c r="P247" s="2152"/>
      <c r="Q247" s="2152"/>
      <c r="R247" s="2153"/>
      <c r="S247" s="1259"/>
      <c r="T247" s="1259"/>
      <c r="U247" s="1259"/>
      <c r="V247" s="1259"/>
      <c r="AA247" s="1700"/>
      <c r="AH247" s="2176"/>
      <c r="AI247" s="1690"/>
      <c r="AJ247" s="1691"/>
      <c r="AK247" s="1691"/>
      <c r="AL247" s="1691"/>
      <c r="AM247" s="2177"/>
      <c r="AN247" s="2180"/>
      <c r="AO247" s="1693"/>
      <c r="AP247" s="2178"/>
      <c r="AR247" s="1929"/>
      <c r="AS247" s="1930"/>
      <c r="AT247" s="1930"/>
      <c r="AU247" s="1930"/>
      <c r="AV247" s="1930"/>
      <c r="AW247" s="2181"/>
      <c r="AX247" s="1693"/>
      <c r="AY247" s="2145"/>
      <c r="AZ247" s="1669"/>
      <c r="BA247" s="1678"/>
      <c r="BB247" s="2120"/>
    </row>
    <row r="248" spans="1:58" ht="17.25" customHeight="1" x14ac:dyDescent="0.25">
      <c r="A248" s="2161"/>
      <c r="B248" s="2161"/>
      <c r="C248" s="2161"/>
      <c r="D248" s="2161"/>
      <c r="E248" s="2161"/>
      <c r="F248" s="1350"/>
      <c r="G248" s="1741"/>
      <c r="H248" s="1742"/>
      <c r="I248" s="1743"/>
      <c r="N248" s="2161"/>
      <c r="O248" s="2161"/>
      <c r="P248" s="2161"/>
      <c r="Q248" s="2161"/>
      <c r="R248" s="2161"/>
      <c r="S248" s="1350"/>
      <c r="T248" s="1747"/>
      <c r="U248" s="1747"/>
      <c r="V248" s="1747"/>
      <c r="AA248" s="1700"/>
      <c r="AI248" s="1690"/>
      <c r="AJ248" s="1691"/>
      <c r="AK248" s="1691"/>
      <c r="AL248" s="1691"/>
      <c r="AM248" s="2177"/>
      <c r="AN248" s="2182"/>
      <c r="AO248" s="1693"/>
      <c r="AP248" s="2178"/>
      <c r="AR248" s="1929"/>
      <c r="AS248" s="1930"/>
      <c r="AT248" s="1930"/>
      <c r="AU248" s="1930"/>
      <c r="AV248" s="1930"/>
      <c r="AW248" s="2183"/>
      <c r="AX248" s="1693"/>
      <c r="AY248" s="2145"/>
      <c r="BA248" s="1678"/>
    </row>
    <row r="249" spans="1:58" ht="17.25" customHeight="1" x14ac:dyDescent="0.25">
      <c r="A249" s="2163"/>
      <c r="B249" s="2163"/>
      <c r="C249" s="2163"/>
      <c r="D249" s="2163"/>
      <c r="E249" s="2163"/>
      <c r="F249" s="1350"/>
      <c r="G249" s="1741"/>
      <c r="H249" s="1742"/>
      <c r="I249" s="1743"/>
      <c r="N249" s="2163"/>
      <c r="O249" s="2163"/>
      <c r="P249" s="2163"/>
      <c r="Q249" s="2163"/>
      <c r="R249" s="2163"/>
      <c r="S249" s="1350"/>
      <c r="T249" s="1747"/>
      <c r="U249" s="1747"/>
      <c r="V249" s="1747"/>
      <c r="AA249" s="1700"/>
      <c r="AI249" s="1690"/>
      <c r="AJ249" s="1691"/>
      <c r="AK249" s="1691"/>
      <c r="AL249" s="1691"/>
      <c r="AM249" s="2177"/>
      <c r="AN249" s="2184"/>
      <c r="AO249" s="1693"/>
      <c r="AP249" s="2178"/>
      <c r="AR249" s="1929"/>
      <c r="AS249" s="1930"/>
      <c r="AT249" s="1930"/>
      <c r="AU249" s="1930"/>
      <c r="AV249" s="1930"/>
      <c r="AW249" s="2185"/>
      <c r="AX249" s="1693"/>
      <c r="AY249" s="2145"/>
      <c r="BA249" s="1678"/>
      <c r="BB249" s="2120"/>
    </row>
    <row r="250" spans="1:58" ht="17.25" customHeight="1" x14ac:dyDescent="0.25">
      <c r="A250" s="2163"/>
      <c r="B250" s="2163"/>
      <c r="C250" s="2163"/>
      <c r="D250" s="2163"/>
      <c r="E250" s="2163"/>
      <c r="F250" s="1350"/>
      <c r="G250" s="1741"/>
      <c r="H250" s="1742"/>
      <c r="I250" s="1743"/>
      <c r="N250" s="2163"/>
      <c r="O250" s="2163"/>
      <c r="P250" s="2163"/>
      <c r="Q250" s="2163"/>
      <c r="R250" s="2163"/>
      <c r="S250" s="1350"/>
      <c r="T250" s="1747"/>
      <c r="U250" s="1747"/>
      <c r="V250" s="1747"/>
      <c r="AA250" s="1700"/>
      <c r="AI250" s="1690"/>
      <c r="AJ250" s="1691"/>
      <c r="AK250" s="1691"/>
      <c r="AL250" s="1691"/>
      <c r="AM250" s="2177"/>
      <c r="AN250" s="2186"/>
      <c r="AO250" s="1693"/>
      <c r="AP250" s="2178"/>
      <c r="AR250" s="1929"/>
      <c r="AS250" s="1930"/>
      <c r="AT250" s="1930"/>
      <c r="AU250" s="1930"/>
      <c r="AV250" s="1930"/>
      <c r="AW250" s="2187"/>
      <c r="AX250" s="1693"/>
      <c r="AY250" s="2145"/>
      <c r="BA250" s="1678"/>
      <c r="BB250" s="2188"/>
    </row>
    <row r="251" spans="1:58" ht="17.25" customHeight="1" x14ac:dyDescent="0.25">
      <c r="A251" s="2163"/>
      <c r="B251" s="2163"/>
      <c r="C251" s="2163"/>
      <c r="D251" s="2163"/>
      <c r="E251" s="2163"/>
      <c r="F251" s="1350"/>
      <c r="G251" s="1741"/>
      <c r="H251" s="1742"/>
      <c r="I251" s="1743"/>
      <c r="N251" s="2163"/>
      <c r="O251" s="2163"/>
      <c r="P251" s="2163"/>
      <c r="Q251" s="2163"/>
      <c r="R251" s="2163"/>
      <c r="S251" s="1350"/>
      <c r="T251" s="1747"/>
      <c r="U251" s="1747"/>
      <c r="V251" s="1747"/>
      <c r="AA251" s="1700"/>
      <c r="AI251" s="1690"/>
      <c r="AJ251" s="1691"/>
      <c r="AK251" s="1691"/>
      <c r="AL251" s="1691"/>
      <c r="AM251" s="2177"/>
      <c r="AN251" s="1803"/>
      <c r="AO251" s="1693"/>
      <c r="AP251" s="2178"/>
      <c r="AR251" s="1929"/>
      <c r="AS251" s="1930"/>
      <c r="AT251" s="1930"/>
      <c r="AU251" s="1930"/>
      <c r="AV251" s="1930"/>
      <c r="AW251" s="2187"/>
      <c r="AX251" s="1693"/>
      <c r="AY251" s="2145"/>
      <c r="BA251" s="1678"/>
      <c r="BB251" s="2120"/>
    </row>
    <row r="252" spans="1:58" ht="17.25" customHeight="1" x14ac:dyDescent="0.25">
      <c r="A252" s="2163"/>
      <c r="B252" s="2163"/>
      <c r="C252" s="2163"/>
      <c r="D252" s="2163"/>
      <c r="E252" s="2163"/>
      <c r="F252" s="1350"/>
      <c r="G252" s="1741"/>
      <c r="H252" s="1742"/>
      <c r="I252" s="1743"/>
      <c r="N252" s="2163"/>
      <c r="O252" s="2163"/>
      <c r="P252" s="2163"/>
      <c r="Q252" s="2163"/>
      <c r="R252" s="2163"/>
      <c r="S252" s="1350"/>
      <c r="T252" s="1747"/>
      <c r="U252" s="1747"/>
      <c r="V252" s="1747"/>
      <c r="AA252" s="1700"/>
      <c r="AI252" s="2134"/>
      <c r="AJ252" s="2135"/>
      <c r="AK252" s="2135"/>
      <c r="AL252" s="2135"/>
      <c r="AM252" s="2136"/>
      <c r="AN252" s="1918"/>
      <c r="AO252" s="1919"/>
      <c r="AP252" s="1669"/>
      <c r="AR252" s="1929"/>
      <c r="AS252" s="1930"/>
      <c r="AT252" s="1930"/>
      <c r="AU252" s="1930"/>
      <c r="AV252" s="1930"/>
      <c r="AW252" s="2187"/>
      <c r="AX252" s="1693"/>
      <c r="AY252" s="2145"/>
      <c r="BA252" s="1678"/>
      <c r="BB252" s="2120"/>
    </row>
    <row r="253" spans="1:58" ht="17.25" customHeight="1" x14ac:dyDescent="0.25">
      <c r="A253" s="2163"/>
      <c r="B253" s="2163"/>
      <c r="C253" s="2163"/>
      <c r="D253" s="2163"/>
      <c r="E253" s="2163"/>
      <c r="F253" s="1350"/>
      <c r="G253" s="1741"/>
      <c r="H253" s="1742"/>
      <c r="I253" s="1743"/>
      <c r="N253" s="2163"/>
      <c r="O253" s="2163"/>
      <c r="P253" s="2163"/>
      <c r="Q253" s="2163"/>
      <c r="R253" s="2163"/>
      <c r="S253" s="1350"/>
      <c r="T253" s="1747"/>
      <c r="U253" s="1747"/>
      <c r="V253" s="1747"/>
      <c r="AA253" s="1700"/>
      <c r="AI253" s="2138"/>
      <c r="AJ253" s="1669"/>
      <c r="AK253" s="1669"/>
      <c r="AL253" s="1669"/>
      <c r="AM253" s="1669"/>
      <c r="AN253" s="1669"/>
      <c r="AO253" s="1669"/>
      <c r="AP253" s="1669"/>
      <c r="AR253" s="1929"/>
      <c r="AS253" s="1930"/>
      <c r="AT253" s="1930"/>
      <c r="AU253" s="1930"/>
      <c r="AV253" s="1930"/>
      <c r="AW253" s="2189"/>
      <c r="AX253" s="1693"/>
      <c r="AY253" s="2145"/>
      <c r="BA253" s="1678"/>
    </row>
    <row r="254" spans="1:58" ht="17.25" customHeight="1" x14ac:dyDescent="0.25">
      <c r="A254" s="2163"/>
      <c r="B254" s="2163"/>
      <c r="C254" s="2163"/>
      <c r="D254" s="2163"/>
      <c r="E254" s="2163"/>
      <c r="F254" s="1350"/>
      <c r="G254" s="1741"/>
      <c r="H254" s="1742"/>
      <c r="I254" s="1743"/>
      <c r="N254" s="2163"/>
      <c r="O254" s="2163"/>
      <c r="P254" s="2163"/>
      <c r="Q254" s="2163"/>
      <c r="R254" s="2163"/>
      <c r="S254" s="1350"/>
      <c r="T254" s="1747"/>
      <c r="U254" s="1747"/>
      <c r="V254" s="1747"/>
      <c r="AA254" s="1700"/>
      <c r="AI254" s="2190"/>
      <c r="AQ254" s="1669"/>
      <c r="AR254" s="1929"/>
      <c r="AS254" s="1930"/>
      <c r="AT254" s="1930"/>
      <c r="AU254" s="1930"/>
      <c r="AV254" s="1930"/>
      <c r="AW254" s="2191"/>
      <c r="AX254" s="1693"/>
      <c r="AY254" s="2145"/>
      <c r="BA254" s="1678"/>
      <c r="BB254" s="2120"/>
    </row>
    <row r="255" spans="1:58" ht="17.25" customHeight="1" x14ac:dyDescent="0.25">
      <c r="A255" s="2163"/>
      <c r="B255" s="2163"/>
      <c r="C255" s="2163"/>
      <c r="D255" s="2163"/>
      <c r="E255" s="2163"/>
      <c r="F255" s="1350"/>
      <c r="G255" s="1741"/>
      <c r="H255" s="1742"/>
      <c r="I255" s="1743"/>
      <c r="N255" s="2163"/>
      <c r="O255" s="2163"/>
      <c r="P255" s="2163"/>
      <c r="Q255" s="2163"/>
      <c r="R255" s="2163"/>
      <c r="S255" s="1350"/>
      <c r="T255" s="1747"/>
      <c r="U255" s="1747"/>
      <c r="V255" s="1747"/>
      <c r="AA255" s="1700"/>
      <c r="AI255" s="2056"/>
      <c r="AJ255" s="1676"/>
      <c r="AK255" s="1676"/>
      <c r="AL255" s="1676"/>
      <c r="AM255" s="1676"/>
      <c r="AN255" s="2149"/>
      <c r="AO255" s="1673"/>
      <c r="AP255" s="1674"/>
      <c r="AQ255" s="2192"/>
      <c r="AR255" s="1909"/>
      <c r="AS255" s="1910"/>
      <c r="AT255" s="1910"/>
      <c r="AU255" s="1910"/>
      <c r="AV255" s="1910"/>
      <c r="AW255" s="2193"/>
      <c r="AX255" s="1693"/>
      <c r="AY255" s="2145"/>
      <c r="BA255" s="1678"/>
      <c r="BB255" s="2194"/>
    </row>
    <row r="256" spans="1:58" ht="17.25" customHeight="1" x14ac:dyDescent="0.25">
      <c r="A256" s="2163"/>
      <c r="B256" s="2163"/>
      <c r="C256" s="2163"/>
      <c r="D256" s="2163"/>
      <c r="E256" s="2163"/>
      <c r="F256" s="1350"/>
      <c r="G256" s="1741"/>
      <c r="H256" s="1742"/>
      <c r="I256" s="1743"/>
      <c r="N256" s="2163"/>
      <c r="O256" s="2163"/>
      <c r="P256" s="2163"/>
      <c r="Q256" s="2163"/>
      <c r="R256" s="2163"/>
      <c r="S256" s="1350"/>
      <c r="T256" s="1747"/>
      <c r="U256" s="1747"/>
      <c r="V256" s="1747"/>
      <c r="AA256" s="1700"/>
      <c r="AI256" s="2195"/>
      <c r="AJ256" s="2196"/>
      <c r="AK256" s="2196"/>
      <c r="AL256" s="2196"/>
      <c r="AM256" s="2197"/>
      <c r="AN256" s="2198"/>
      <c r="AO256" s="1693"/>
      <c r="AP256" s="2199"/>
      <c r="AR256" s="1929"/>
      <c r="AS256" s="1930"/>
      <c r="AT256" s="1930"/>
      <c r="AU256" s="1930"/>
      <c r="AV256" s="1930"/>
      <c r="AW256" s="1869"/>
      <c r="AX256" s="1693"/>
      <c r="AY256" s="2145"/>
      <c r="BA256" s="1678"/>
      <c r="BB256" s="2120"/>
    </row>
    <row r="257" spans="1:54" ht="17.25" customHeight="1" x14ac:dyDescent="0.25">
      <c r="A257" s="2163"/>
      <c r="B257" s="2163"/>
      <c r="C257" s="2163"/>
      <c r="D257" s="2163"/>
      <c r="E257" s="2163"/>
      <c r="F257" s="1350"/>
      <c r="G257" s="1741"/>
      <c r="H257" s="1742"/>
      <c r="I257" s="1743"/>
      <c r="N257" s="2163"/>
      <c r="O257" s="2163"/>
      <c r="P257" s="2163"/>
      <c r="Q257" s="2163"/>
      <c r="R257" s="2163"/>
      <c r="S257" s="1350"/>
      <c r="T257" s="1747"/>
      <c r="U257" s="1747"/>
      <c r="V257" s="1747"/>
      <c r="AA257" s="1700"/>
      <c r="AI257" s="2195"/>
      <c r="AJ257" s="2196"/>
      <c r="AK257" s="2196"/>
      <c r="AL257" s="2196"/>
      <c r="AM257" s="2197"/>
      <c r="AN257" s="2198"/>
      <c r="AO257" s="1693"/>
      <c r="AP257" s="2200"/>
      <c r="AR257" s="1929"/>
      <c r="AS257" s="1930"/>
      <c r="AT257" s="1930"/>
      <c r="AU257" s="1930"/>
      <c r="AV257" s="1930"/>
      <c r="AW257" s="1971"/>
      <c r="AX257" s="1693"/>
      <c r="AY257" s="2145"/>
      <c r="BA257" s="1678"/>
      <c r="BB257" s="2120"/>
    </row>
    <row r="258" spans="1:54" ht="17.25" customHeight="1" x14ac:dyDescent="0.25">
      <c r="A258" s="2163"/>
      <c r="B258" s="2163"/>
      <c r="C258" s="2163"/>
      <c r="D258" s="2163"/>
      <c r="E258" s="2163"/>
      <c r="F258" s="1350"/>
      <c r="G258" s="1741"/>
      <c r="H258" s="1742"/>
      <c r="I258" s="1743"/>
      <c r="N258" s="2163"/>
      <c r="O258" s="2163"/>
      <c r="P258" s="2163"/>
      <c r="Q258" s="2163"/>
      <c r="R258" s="2163"/>
      <c r="S258" s="1350"/>
      <c r="T258" s="1747"/>
      <c r="U258" s="1747"/>
      <c r="V258" s="1747"/>
      <c r="AA258" s="1700"/>
      <c r="AI258" s="2195"/>
      <c r="AJ258" s="2196"/>
      <c r="AK258" s="2196"/>
      <c r="AL258" s="2196"/>
      <c r="AM258" s="2197"/>
      <c r="AN258" s="2198"/>
      <c r="AO258" s="1693"/>
      <c r="AP258" s="2200"/>
      <c r="AQ258" s="1669"/>
      <c r="AR258" s="1929"/>
      <c r="AS258" s="1930"/>
      <c r="AT258" s="1930"/>
      <c r="AU258" s="1930"/>
      <c r="AV258" s="1930"/>
      <c r="AW258" s="2169"/>
      <c r="AX258" s="1693"/>
      <c r="AY258" s="2145"/>
      <c r="BA258" s="1678"/>
    </row>
    <row r="259" spans="1:54" ht="17.25" customHeight="1" x14ac:dyDescent="0.25">
      <c r="A259" s="2163"/>
      <c r="B259" s="2163"/>
      <c r="C259" s="2163"/>
      <c r="D259" s="2163"/>
      <c r="E259" s="2163"/>
      <c r="F259" s="1350"/>
      <c r="G259" s="1741"/>
      <c r="H259" s="1742"/>
      <c r="I259" s="1743"/>
      <c r="N259" s="2163"/>
      <c r="O259" s="2163"/>
      <c r="P259" s="2163"/>
      <c r="Q259" s="2163"/>
      <c r="R259" s="2163"/>
      <c r="S259" s="1350"/>
      <c r="T259" s="1747"/>
      <c r="U259" s="1747"/>
      <c r="V259" s="1747"/>
      <c r="AA259" s="1700"/>
      <c r="AI259" s="2195"/>
      <c r="AJ259" s="2196"/>
      <c r="AK259" s="2196"/>
      <c r="AL259" s="2196"/>
      <c r="AM259" s="2197"/>
      <c r="AN259" s="2198"/>
      <c r="AO259" s="1693"/>
      <c r="AP259" s="2200"/>
      <c r="AQ259" s="1669"/>
      <c r="AR259" s="1929"/>
      <c r="AS259" s="1930"/>
      <c r="AT259" s="1930"/>
      <c r="AU259" s="1930"/>
      <c r="AV259" s="1930"/>
      <c r="AW259" s="2201"/>
      <c r="AX259" s="1693"/>
      <c r="AY259" s="2145"/>
      <c r="BA259" s="1678"/>
      <c r="BB259" s="2120"/>
    </row>
    <row r="260" spans="1:54" ht="17.25" customHeight="1" x14ac:dyDescent="0.25">
      <c r="A260" s="2163"/>
      <c r="B260" s="2163"/>
      <c r="C260" s="2163"/>
      <c r="D260" s="2163"/>
      <c r="E260" s="2163"/>
      <c r="F260" s="1350"/>
      <c r="G260" s="1741"/>
      <c r="H260" s="1742"/>
      <c r="I260" s="1743"/>
      <c r="N260" s="2163"/>
      <c r="O260" s="2163"/>
      <c r="P260" s="2163"/>
      <c r="Q260" s="2163"/>
      <c r="R260" s="2163"/>
      <c r="S260" s="1350"/>
      <c r="T260" s="1747"/>
      <c r="U260" s="1747"/>
      <c r="V260" s="1747"/>
      <c r="AA260" s="1700"/>
      <c r="AI260" s="2195"/>
      <c r="AJ260" s="2196"/>
      <c r="AK260" s="2196"/>
      <c r="AL260" s="2196"/>
      <c r="AM260" s="2197"/>
      <c r="AN260" s="2198"/>
      <c r="AO260" s="1693"/>
      <c r="AP260" s="2200"/>
      <c r="AQ260" s="1669"/>
      <c r="AR260" s="1929"/>
      <c r="AS260" s="1930"/>
      <c r="AT260" s="1930"/>
      <c r="AU260" s="1930"/>
      <c r="AV260" s="1930"/>
      <c r="AW260" s="2202"/>
      <c r="AX260" s="1693"/>
      <c r="AY260" s="2145"/>
      <c r="BA260" s="1678"/>
      <c r="BB260" s="2203"/>
    </row>
    <row r="261" spans="1:54" ht="17.25" customHeight="1" thickBot="1" x14ac:dyDescent="0.3">
      <c r="A261" s="2204"/>
      <c r="B261" s="2204"/>
      <c r="C261" s="2204"/>
      <c r="D261" s="2204"/>
      <c r="E261" s="2204"/>
      <c r="F261" s="2172"/>
      <c r="G261" s="2173"/>
      <c r="H261" s="2174"/>
      <c r="I261" s="2175"/>
      <c r="N261" s="2204"/>
      <c r="O261" s="2204"/>
      <c r="P261" s="2204"/>
      <c r="Q261" s="2204"/>
      <c r="R261" s="2204"/>
      <c r="S261" s="2172"/>
      <c r="T261" s="2173"/>
      <c r="U261" s="2174"/>
      <c r="V261" s="2175"/>
      <c r="AA261" s="1700"/>
      <c r="AI261" s="2195"/>
      <c r="AJ261" s="2196"/>
      <c r="AK261" s="2196"/>
      <c r="AL261" s="2196"/>
      <c r="AM261" s="2197"/>
      <c r="AN261" s="2198"/>
      <c r="AO261" s="1693"/>
      <c r="AP261" s="2200"/>
      <c r="AQ261" s="1669"/>
      <c r="AR261" s="1929"/>
      <c r="AS261" s="1930"/>
      <c r="AT261" s="1930"/>
      <c r="AU261" s="1930"/>
      <c r="AV261" s="1930"/>
      <c r="AW261" s="2205"/>
      <c r="AX261" s="1693"/>
      <c r="AY261" s="2145"/>
      <c r="BA261" s="1678"/>
      <c r="BB261" s="2120"/>
    </row>
    <row r="262" spans="1:54" ht="17.25" customHeight="1" thickBot="1" x14ac:dyDescent="0.3">
      <c r="A262" s="2151"/>
      <c r="B262" s="2152"/>
      <c r="C262" s="2152"/>
      <c r="D262" s="2152"/>
      <c r="E262" s="2153"/>
      <c r="F262" s="1259"/>
      <c r="G262" s="1259"/>
      <c r="H262" s="1259"/>
      <c r="I262" s="1259"/>
      <c r="N262" s="2151"/>
      <c r="O262" s="2152"/>
      <c r="P262" s="2152"/>
      <c r="Q262" s="2152"/>
      <c r="R262" s="2153"/>
      <c r="S262" s="1259"/>
      <c r="T262" s="1259"/>
      <c r="U262" s="1259"/>
      <c r="V262" s="1259"/>
      <c r="AA262" s="1594"/>
      <c r="AI262" s="2195"/>
      <c r="AJ262" s="2196"/>
      <c r="AK262" s="2196"/>
      <c r="AL262" s="2196"/>
      <c r="AM262" s="2197"/>
      <c r="AN262" s="2198"/>
      <c r="AO262" s="1693"/>
      <c r="AP262" s="2200"/>
      <c r="AQ262" s="1669"/>
      <c r="AR262" s="1929"/>
      <c r="AS262" s="1930"/>
      <c r="AT262" s="1930"/>
      <c r="AU262" s="1930"/>
      <c r="AV262" s="1930"/>
      <c r="AW262" s="2206"/>
      <c r="AX262" s="1693"/>
      <c r="AY262" s="2145"/>
      <c r="BA262" s="1678"/>
      <c r="BB262" s="2120"/>
    </row>
    <row r="263" spans="1:54" ht="17.25" customHeight="1" x14ac:dyDescent="0.25">
      <c r="A263" s="2163"/>
      <c r="B263" s="2163"/>
      <c r="C263" s="2163"/>
      <c r="D263" s="2163"/>
      <c r="E263" s="2163"/>
      <c r="F263" s="1350"/>
      <c r="G263" s="1741"/>
      <c r="H263" s="1742"/>
      <c r="I263" s="1743"/>
      <c r="N263" s="2163"/>
      <c r="O263" s="2163"/>
      <c r="P263" s="2163"/>
      <c r="Q263" s="2163"/>
      <c r="R263" s="2163"/>
      <c r="S263" s="1350"/>
      <c r="T263" s="1747"/>
      <c r="U263" s="1747"/>
      <c r="V263" s="1747"/>
      <c r="AI263" s="2195"/>
      <c r="AJ263" s="2196"/>
      <c r="AK263" s="2196"/>
      <c r="AL263" s="2196"/>
      <c r="AM263" s="2197"/>
      <c r="AN263" s="2198"/>
      <c r="AO263" s="1693"/>
      <c r="AP263" s="2200"/>
      <c r="AQ263" s="1669"/>
      <c r="AR263" s="1929"/>
      <c r="AS263" s="1930"/>
      <c r="AT263" s="1930"/>
      <c r="AU263" s="1930"/>
      <c r="AV263" s="1930"/>
      <c r="AW263" s="2202"/>
      <c r="AX263" s="1693"/>
      <c r="AY263" s="2145"/>
      <c r="BA263" s="1678"/>
    </row>
    <row r="264" spans="1:54" ht="17.25" customHeight="1" x14ac:dyDescent="0.25">
      <c r="A264" s="2163"/>
      <c r="B264" s="2163"/>
      <c r="C264" s="2163"/>
      <c r="D264" s="2163"/>
      <c r="E264" s="2163"/>
      <c r="F264" s="1350"/>
      <c r="G264" s="1741"/>
      <c r="H264" s="1742"/>
      <c r="I264" s="1743"/>
      <c r="N264" s="2163"/>
      <c r="O264" s="2163"/>
      <c r="P264" s="2163"/>
      <c r="Q264" s="2163"/>
      <c r="R264" s="2163"/>
      <c r="S264" s="1350"/>
      <c r="T264" s="1747"/>
      <c r="U264" s="1747"/>
      <c r="V264" s="1747"/>
      <c r="AI264" s="2195"/>
      <c r="AJ264" s="2196"/>
      <c r="AK264" s="2196"/>
      <c r="AL264" s="2196"/>
      <c r="AM264" s="2197"/>
      <c r="AN264" s="2198"/>
      <c r="AO264" s="1693"/>
      <c r="AP264" s="2200"/>
      <c r="AQ264" s="1669"/>
      <c r="AR264" s="1929"/>
      <c r="AS264" s="1930"/>
      <c r="AT264" s="1930"/>
      <c r="AU264" s="1930"/>
      <c r="AV264" s="1930"/>
      <c r="AW264" s="2207"/>
      <c r="AX264" s="1693"/>
      <c r="AY264" s="2145"/>
      <c r="BA264" s="1678"/>
    </row>
    <row r="265" spans="1:54" ht="17.25" customHeight="1" x14ac:dyDescent="0.25">
      <c r="A265" s="2163"/>
      <c r="B265" s="2163"/>
      <c r="C265" s="2163"/>
      <c r="D265" s="2163"/>
      <c r="E265" s="2163"/>
      <c r="F265" s="1350"/>
      <c r="G265" s="1741"/>
      <c r="H265" s="1742"/>
      <c r="I265" s="1743"/>
      <c r="N265" s="2163"/>
      <c r="O265" s="2163"/>
      <c r="P265" s="2163"/>
      <c r="Q265" s="2163"/>
      <c r="R265" s="2163"/>
      <c r="S265" s="1350"/>
      <c r="T265" s="1747"/>
      <c r="U265" s="1747"/>
      <c r="V265" s="1747"/>
      <c r="AI265" s="2195"/>
      <c r="AJ265" s="2196"/>
      <c r="AK265" s="2196"/>
      <c r="AL265" s="2196"/>
      <c r="AM265" s="2197"/>
      <c r="AN265" s="2198"/>
      <c r="AO265" s="1693"/>
      <c r="AP265" s="2200"/>
      <c r="AQ265" s="1669"/>
      <c r="AR265" s="1915"/>
      <c r="AS265" s="1916"/>
      <c r="AT265" s="1916"/>
      <c r="AU265" s="1916"/>
      <c r="AV265" s="1917"/>
      <c r="AW265" s="1918"/>
      <c r="AX265" s="1919"/>
      <c r="BA265" s="1678"/>
    </row>
    <row r="266" spans="1:54" ht="17.25" customHeight="1" x14ac:dyDescent="0.25">
      <c r="A266" s="2163"/>
      <c r="B266" s="2163"/>
      <c r="C266" s="2163"/>
      <c r="D266" s="2163"/>
      <c r="E266" s="2163"/>
      <c r="F266" s="1350"/>
      <c r="G266" s="1741"/>
      <c r="H266" s="1742"/>
      <c r="I266" s="1743"/>
      <c r="N266" s="2163"/>
      <c r="O266" s="2163"/>
      <c r="P266" s="2163"/>
      <c r="Q266" s="2163"/>
      <c r="R266" s="2163"/>
      <c r="S266" s="1350"/>
      <c r="T266" s="1747"/>
      <c r="U266" s="1747"/>
      <c r="V266" s="1747"/>
      <c r="AI266" s="2195"/>
      <c r="AJ266" s="2196"/>
      <c r="AK266" s="2196"/>
      <c r="AL266" s="2196"/>
      <c r="AM266" s="2197"/>
      <c r="AN266" s="2198"/>
      <c r="AO266" s="1693"/>
      <c r="AP266" s="2200"/>
      <c r="AQ266" s="1669"/>
      <c r="BA266" s="1678"/>
    </row>
    <row r="267" spans="1:54" ht="17.25" customHeight="1" x14ac:dyDescent="0.25">
      <c r="A267" s="2163"/>
      <c r="B267" s="2163"/>
      <c r="C267" s="2163"/>
      <c r="D267" s="2163"/>
      <c r="E267" s="2163"/>
      <c r="F267" s="1350"/>
      <c r="G267" s="1741"/>
      <c r="H267" s="1742"/>
      <c r="I267" s="1743"/>
      <c r="N267" s="2163"/>
      <c r="O267" s="2163"/>
      <c r="P267" s="2163"/>
      <c r="Q267" s="2163"/>
      <c r="R267" s="2163"/>
      <c r="S267" s="1350"/>
      <c r="T267" s="1747"/>
      <c r="U267" s="1747"/>
      <c r="V267" s="1747"/>
      <c r="AI267" s="2195"/>
      <c r="AJ267" s="2196"/>
      <c r="AK267" s="2196"/>
      <c r="AL267" s="2196"/>
      <c r="AM267" s="2197"/>
      <c r="AN267" s="2198"/>
      <c r="AO267" s="1693"/>
      <c r="AP267" s="2200"/>
      <c r="AR267" s="1675"/>
      <c r="AS267" s="1676"/>
      <c r="AT267" s="1676"/>
      <c r="AU267" s="1676"/>
      <c r="AV267" s="1676"/>
      <c r="AW267" s="2149"/>
      <c r="AX267" s="1673"/>
      <c r="AY267" s="1674"/>
      <c r="BA267" s="1678"/>
    </row>
    <row r="268" spans="1:54" ht="17.25" customHeight="1" thickBot="1" x14ac:dyDescent="0.3">
      <c r="A268" s="2208"/>
      <c r="B268" s="2208"/>
      <c r="C268" s="2208"/>
      <c r="D268" s="2208"/>
      <c r="E268" s="2208"/>
      <c r="F268" s="1350"/>
      <c r="G268" s="1741"/>
      <c r="H268" s="1742"/>
      <c r="I268" s="1743"/>
      <c r="N268" s="2208"/>
      <c r="O268" s="2208"/>
      <c r="P268" s="2208"/>
      <c r="Q268" s="2208"/>
      <c r="R268" s="2208"/>
      <c r="S268" s="1350"/>
      <c r="T268" s="1747"/>
      <c r="U268" s="1747"/>
      <c r="V268" s="1747"/>
      <c r="AI268" s="2195"/>
      <c r="AJ268" s="2196"/>
      <c r="AK268" s="2196"/>
      <c r="AL268" s="2196"/>
      <c r="AM268" s="2197"/>
      <c r="AN268" s="2198"/>
      <c r="AO268" s="1693"/>
      <c r="AP268" s="2200"/>
      <c r="AR268" s="1903"/>
      <c r="AS268" s="1904"/>
      <c r="AT268" s="1904"/>
      <c r="AU268" s="1904"/>
      <c r="AV268" s="2209"/>
      <c r="AW268" s="2210"/>
      <c r="AX268" s="1693"/>
      <c r="AY268" s="2211"/>
      <c r="BA268" s="1678"/>
    </row>
    <row r="269" spans="1:54" ht="17.25" customHeight="1" thickBot="1" x14ac:dyDescent="0.3">
      <c r="A269" s="2212"/>
      <c r="B269" s="2213"/>
      <c r="C269" s="2213"/>
      <c r="D269" s="2213"/>
      <c r="E269" s="2213"/>
      <c r="F269" s="2172"/>
      <c r="G269" s="2173"/>
      <c r="H269" s="2174"/>
      <c r="I269" s="2175"/>
      <c r="N269" s="2212"/>
      <c r="O269" s="2213"/>
      <c r="P269" s="2213"/>
      <c r="Q269" s="2213"/>
      <c r="R269" s="2213"/>
      <c r="S269" s="2172"/>
      <c r="T269" s="2173"/>
      <c r="U269" s="2174"/>
      <c r="V269" s="2175"/>
      <c r="AI269" s="2195"/>
      <c r="AJ269" s="2196"/>
      <c r="AK269" s="2196"/>
      <c r="AL269" s="2196"/>
      <c r="AM269" s="2197"/>
      <c r="AN269" s="2198"/>
      <c r="AO269" s="1693"/>
      <c r="AP269" s="2200"/>
      <c r="AR269" s="2214"/>
      <c r="AS269" s="2215"/>
      <c r="AT269" s="2215"/>
      <c r="AU269" s="2215"/>
      <c r="AV269" s="2216"/>
      <c r="AW269" s="2217"/>
      <c r="AX269" s="1693"/>
      <c r="AY269" s="2211"/>
      <c r="BA269" s="1678"/>
    </row>
    <row r="270" spans="1:54" ht="17.25" customHeight="1" thickBot="1" x14ac:dyDescent="0.3">
      <c r="A270" s="2218"/>
      <c r="B270" s="2219"/>
      <c r="C270" s="2219"/>
      <c r="D270" s="2219"/>
      <c r="E270" s="2220"/>
      <c r="F270" s="1259"/>
      <c r="G270" s="1259"/>
      <c r="H270" s="1259"/>
      <c r="I270" s="1259"/>
      <c r="N270" s="2218"/>
      <c r="O270" s="2219"/>
      <c r="P270" s="2219"/>
      <c r="Q270" s="2219"/>
      <c r="R270" s="2220"/>
      <c r="S270" s="1259"/>
      <c r="T270" s="1259"/>
      <c r="U270" s="1259"/>
      <c r="V270" s="1259"/>
      <c r="AI270" s="2195"/>
      <c r="AJ270" s="2196"/>
      <c r="AK270" s="2196"/>
      <c r="AL270" s="2196"/>
      <c r="AM270" s="2197"/>
      <c r="AN270" s="2198"/>
      <c r="AO270" s="1693"/>
      <c r="AP270" s="2200"/>
      <c r="AR270" s="2221"/>
      <c r="AS270" s="2222"/>
      <c r="AT270" s="2222"/>
      <c r="AU270" s="2222"/>
      <c r="AV270" s="2223"/>
      <c r="AW270" s="1918"/>
      <c r="AX270" s="1919"/>
      <c r="BA270" s="1678"/>
    </row>
    <row r="271" spans="1:54" ht="17.25" customHeight="1" x14ac:dyDescent="0.25">
      <c r="A271" s="2163"/>
      <c r="B271" s="2163"/>
      <c r="C271" s="2163"/>
      <c r="D271" s="2163"/>
      <c r="E271" s="2163"/>
      <c r="F271" s="1350"/>
      <c r="G271" s="1741"/>
      <c r="H271" s="1742"/>
      <c r="I271" s="1743"/>
      <c r="N271" s="2163"/>
      <c r="O271" s="2163"/>
      <c r="P271" s="2163"/>
      <c r="Q271" s="2163"/>
      <c r="R271" s="2163"/>
      <c r="S271" s="1350"/>
      <c r="T271" s="1747"/>
      <c r="U271" s="1747"/>
      <c r="V271" s="1747"/>
      <c r="AI271" s="2195"/>
      <c r="AJ271" s="2196"/>
      <c r="AK271" s="2196"/>
      <c r="AL271" s="2196"/>
      <c r="AM271" s="2197"/>
      <c r="AN271" s="2198"/>
      <c r="AO271" s="1693"/>
      <c r="AP271" s="2200"/>
      <c r="AY271" s="1669"/>
      <c r="BA271" s="1678"/>
    </row>
    <row r="272" spans="1:54" ht="17.25" customHeight="1" x14ac:dyDescent="0.25">
      <c r="A272" s="2163"/>
      <c r="B272" s="2163"/>
      <c r="C272" s="2163"/>
      <c r="D272" s="2163"/>
      <c r="E272" s="2163"/>
      <c r="F272" s="1350"/>
      <c r="G272" s="1741"/>
      <c r="H272" s="1742"/>
      <c r="I272" s="1743"/>
      <c r="N272" s="2163"/>
      <c r="O272" s="2163"/>
      <c r="P272" s="2163"/>
      <c r="Q272" s="2163"/>
      <c r="R272" s="2163"/>
      <c r="S272" s="1350"/>
      <c r="T272" s="1747"/>
      <c r="U272" s="1747"/>
      <c r="V272" s="1747"/>
      <c r="AI272" s="2134"/>
      <c r="AJ272" s="2135"/>
      <c r="AK272" s="2135"/>
      <c r="AL272" s="2135"/>
      <c r="AM272" s="2136"/>
      <c r="AN272" s="1918"/>
      <c r="AO272" s="1919"/>
      <c r="AR272" s="1675"/>
      <c r="AS272" s="1676"/>
      <c r="AT272" s="1676"/>
      <c r="AU272" s="1676"/>
      <c r="AV272" s="1676"/>
      <c r="AW272" s="2149"/>
      <c r="AX272" s="1673"/>
      <c r="AY272" s="1674"/>
      <c r="BA272" s="1678"/>
    </row>
    <row r="273" spans="1:53" ht="17.25" customHeight="1" thickBot="1" x14ac:dyDescent="0.3">
      <c r="A273" s="2224"/>
      <c r="B273" s="2225"/>
      <c r="C273" s="2225"/>
      <c r="D273" s="2225"/>
      <c r="E273" s="2226"/>
      <c r="F273" s="2172"/>
      <c r="G273" s="2173"/>
      <c r="H273" s="2174"/>
      <c r="I273" s="2175"/>
      <c r="N273" s="2224"/>
      <c r="O273" s="2225"/>
      <c r="P273" s="2225"/>
      <c r="Q273" s="2225"/>
      <c r="R273" s="2226"/>
      <c r="S273" s="2172"/>
      <c r="T273" s="2173"/>
      <c r="U273" s="2174"/>
      <c r="V273" s="2175"/>
      <c r="AI273" s="2190"/>
      <c r="AR273" s="1695"/>
      <c r="AS273" s="1696"/>
      <c r="AT273" s="1696"/>
      <c r="AU273" s="1696"/>
      <c r="AV273" s="2227"/>
      <c r="AW273" s="2228"/>
      <c r="AX273" s="1693"/>
      <c r="AY273" s="2229"/>
      <c r="BA273" s="1678"/>
    </row>
    <row r="274" spans="1:53" ht="17.25" customHeight="1" thickBot="1" x14ac:dyDescent="0.3">
      <c r="A274" s="2151"/>
      <c r="B274" s="2152"/>
      <c r="C274" s="2152"/>
      <c r="D274" s="2152"/>
      <c r="E274" s="2153"/>
      <c r="F274" s="1259"/>
      <c r="G274" s="1259"/>
      <c r="H274" s="1259"/>
      <c r="I274" s="1259"/>
      <c r="N274" s="2151"/>
      <c r="O274" s="2152"/>
      <c r="P274" s="2152"/>
      <c r="Q274" s="2152"/>
      <c r="R274" s="2153"/>
      <c r="S274" s="1259"/>
      <c r="T274" s="1259"/>
      <c r="U274" s="1259"/>
      <c r="V274" s="1259"/>
      <c r="AI274" s="2056"/>
      <c r="AJ274" s="1676"/>
      <c r="AK274" s="1676"/>
      <c r="AL274" s="1676"/>
      <c r="AM274" s="1676"/>
      <c r="AN274" s="1677"/>
      <c r="AO274" s="1673"/>
      <c r="AP274" s="1674"/>
      <c r="AR274" s="1695"/>
      <c r="AS274" s="1696"/>
      <c r="AT274" s="1696"/>
      <c r="AU274" s="1696"/>
      <c r="AV274" s="2227"/>
      <c r="AW274" s="2230"/>
      <c r="AX274" s="1693"/>
      <c r="AY274" s="2229"/>
      <c r="BA274" s="1678"/>
    </row>
    <row r="275" spans="1:53" ht="17.25" customHeight="1" x14ac:dyDescent="0.25">
      <c r="A275" s="2163"/>
      <c r="B275" s="2163"/>
      <c r="C275" s="2163"/>
      <c r="D275" s="2163"/>
      <c r="E275" s="2163"/>
      <c r="F275" s="1350"/>
      <c r="G275" s="1741"/>
      <c r="H275" s="1742"/>
      <c r="I275" s="1743"/>
      <c r="N275" s="2163"/>
      <c r="O275" s="2163"/>
      <c r="P275" s="2163"/>
      <c r="Q275" s="2163"/>
      <c r="R275" s="2163"/>
      <c r="S275" s="1350"/>
      <c r="T275" s="1747"/>
      <c r="U275" s="1747"/>
      <c r="V275" s="1747"/>
      <c r="AI275" s="1909"/>
      <c r="AJ275" s="1910"/>
      <c r="AK275" s="1910"/>
      <c r="AL275" s="1910"/>
      <c r="AM275" s="1910"/>
      <c r="AN275" s="1911"/>
      <c r="AO275" s="1693"/>
      <c r="AP275" s="2231"/>
      <c r="AR275" s="1695"/>
      <c r="AS275" s="1696"/>
      <c r="AT275" s="1696"/>
      <c r="AU275" s="1696"/>
      <c r="AV275" s="2227"/>
      <c r="AW275" s="2232"/>
      <c r="AX275" s="1693"/>
      <c r="AY275" s="2229"/>
      <c r="BA275" s="1678"/>
    </row>
    <row r="276" spans="1:53" ht="17.25" customHeight="1" x14ac:dyDescent="0.25">
      <c r="A276" s="2163"/>
      <c r="B276" s="2163"/>
      <c r="C276" s="2163"/>
      <c r="D276" s="2163"/>
      <c r="E276" s="2163"/>
      <c r="F276" s="1350"/>
      <c r="G276" s="1741"/>
      <c r="H276" s="1742"/>
      <c r="I276" s="1743"/>
      <c r="N276" s="2163"/>
      <c r="O276" s="2163"/>
      <c r="P276" s="2163"/>
      <c r="Q276" s="2163"/>
      <c r="R276" s="2163"/>
      <c r="S276" s="1350"/>
      <c r="T276" s="1747"/>
      <c r="U276" s="1747"/>
      <c r="V276" s="1747"/>
      <c r="AI276" s="2134"/>
      <c r="AJ276" s="2135"/>
      <c r="AK276" s="2135"/>
      <c r="AL276" s="2135"/>
      <c r="AM276" s="2136"/>
      <c r="AN276" s="1918"/>
      <c r="AO276" s="1919"/>
      <c r="AR276" s="1695"/>
      <c r="AS276" s="1696"/>
      <c r="AT276" s="1696"/>
      <c r="AU276" s="1696"/>
      <c r="AV276" s="2227"/>
      <c r="AW276" s="2233"/>
      <c r="AX276" s="1693"/>
      <c r="AY276" s="2229"/>
      <c r="BA276" s="1678"/>
    </row>
    <row r="277" spans="1:53" ht="17.25" customHeight="1" thickBot="1" x14ac:dyDescent="0.3">
      <c r="A277" s="2224"/>
      <c r="B277" s="2225"/>
      <c r="C277" s="2225"/>
      <c r="D277" s="2225"/>
      <c r="E277" s="2226"/>
      <c r="F277" s="2172"/>
      <c r="G277" s="2173"/>
      <c r="H277" s="2174"/>
      <c r="I277" s="2175"/>
      <c r="N277" s="2224"/>
      <c r="O277" s="2225"/>
      <c r="P277" s="2225"/>
      <c r="Q277" s="2225"/>
      <c r="R277" s="2226"/>
      <c r="S277" s="2172"/>
      <c r="T277" s="2173"/>
      <c r="U277" s="2174"/>
      <c r="V277" s="2175"/>
      <c r="AI277" s="2190"/>
      <c r="AR277" s="1695"/>
      <c r="AS277" s="1696"/>
      <c r="AT277" s="1696"/>
      <c r="AU277" s="1696"/>
      <c r="AV277" s="2227"/>
      <c r="AW277" s="2234"/>
      <c r="AX277" s="1693"/>
      <c r="AY277" s="2229"/>
      <c r="BA277" s="1678"/>
    </row>
    <row r="278" spans="1:53" ht="17.25" customHeight="1" x14ac:dyDescent="0.25">
      <c r="M278" s="1594"/>
      <c r="AI278" s="2190"/>
      <c r="AR278" s="1695"/>
      <c r="AS278" s="1696"/>
      <c r="AT278" s="1696"/>
      <c r="AU278" s="1696"/>
      <c r="AV278" s="2227"/>
      <c r="AW278" s="2235"/>
      <c r="AX278" s="1693"/>
      <c r="AY278" s="2229"/>
      <c r="BA278" s="1678"/>
    </row>
    <row r="279" spans="1:53" ht="17.25" customHeight="1" x14ac:dyDescent="0.25">
      <c r="M279" s="1594"/>
      <c r="AI279" s="2056"/>
      <c r="AJ279" s="1676"/>
      <c r="AK279" s="1676"/>
      <c r="AL279" s="1676"/>
      <c r="AM279" s="1676"/>
      <c r="AN279" s="2149"/>
      <c r="AO279" s="1673"/>
      <c r="AP279" s="1674"/>
      <c r="AR279" s="1675"/>
      <c r="AS279" s="1676"/>
      <c r="AT279" s="1676"/>
      <c r="AU279" s="1676"/>
      <c r="AV279" s="2149"/>
      <c r="AW279" s="1918"/>
      <c r="AX279" s="1919"/>
      <c r="BA279" s="1678"/>
    </row>
    <row r="280" spans="1:53" ht="17.25" customHeight="1" x14ac:dyDescent="0.25">
      <c r="M280" s="1594"/>
      <c r="AI280" s="1909"/>
      <c r="AJ280" s="1910"/>
      <c r="AK280" s="1910"/>
      <c r="AL280" s="1910"/>
      <c r="AM280" s="2155"/>
      <c r="AN280" s="2236"/>
      <c r="AO280" s="1693"/>
      <c r="AP280" s="2237"/>
      <c r="BA280" s="1678"/>
    </row>
    <row r="281" spans="1:53" ht="17.25" customHeight="1" x14ac:dyDescent="0.25">
      <c r="M281" s="1594"/>
      <c r="AI281" s="1909"/>
      <c r="AJ281" s="1910"/>
      <c r="AK281" s="1910"/>
      <c r="AL281" s="1910"/>
      <c r="AM281" s="2155"/>
      <c r="AN281" s="2238"/>
      <c r="AO281" s="1693"/>
      <c r="AP281" s="2239"/>
      <c r="AQ281" s="1669"/>
      <c r="AR281" s="1675"/>
      <c r="AS281" s="1676"/>
      <c r="AT281" s="1676"/>
      <c r="AU281" s="1676"/>
      <c r="AV281" s="1676"/>
      <c r="AW281" s="2149"/>
      <c r="AX281" s="1673"/>
      <c r="AY281" s="1674"/>
      <c r="BA281" s="1678"/>
    </row>
    <row r="282" spans="1:53" ht="17.25" customHeight="1" x14ac:dyDescent="0.25">
      <c r="M282" s="1594"/>
      <c r="AI282" s="1909"/>
      <c r="AJ282" s="1910"/>
      <c r="AK282" s="1910"/>
      <c r="AL282" s="1910"/>
      <c r="AM282" s="2155"/>
      <c r="AN282" s="2240"/>
      <c r="AO282" s="1693"/>
      <c r="AP282" s="2239"/>
      <c r="AR282" s="1695"/>
      <c r="AS282" s="1696"/>
      <c r="AT282" s="1696"/>
      <c r="AU282" s="1696"/>
      <c r="AV282" s="2227"/>
      <c r="AW282" s="2241"/>
      <c r="AX282" s="1693"/>
      <c r="AY282" s="2229"/>
      <c r="BA282" s="1678"/>
    </row>
    <row r="283" spans="1:53" ht="17.25" customHeight="1" x14ac:dyDescent="0.25">
      <c r="M283" s="1594"/>
      <c r="AI283" s="1909"/>
      <c r="AJ283" s="1910"/>
      <c r="AK283" s="1910"/>
      <c r="AL283" s="1910"/>
      <c r="AM283" s="2155"/>
      <c r="AN283" s="2242"/>
      <c r="AO283" s="1693"/>
      <c r="AP283" s="2239"/>
      <c r="AR283" s="1675"/>
      <c r="AS283" s="1676"/>
      <c r="AT283" s="1676"/>
      <c r="AU283" s="1676"/>
      <c r="AV283" s="2149"/>
      <c r="AW283" s="1918"/>
      <c r="AX283" s="1919"/>
      <c r="BA283" s="1678"/>
    </row>
    <row r="284" spans="1:53" ht="17.25" customHeight="1" x14ac:dyDescent="0.25">
      <c r="M284" s="1594"/>
      <c r="AI284" s="1909"/>
      <c r="AJ284" s="1910"/>
      <c r="AK284" s="1910"/>
      <c r="AL284" s="1910"/>
      <c r="AM284" s="2155"/>
      <c r="AN284" s="2243"/>
      <c r="AO284" s="1693"/>
      <c r="AP284" s="2239"/>
      <c r="AR284" s="1669"/>
      <c r="AS284" s="1669"/>
      <c r="AT284" s="1669"/>
      <c r="AU284" s="1669"/>
      <c r="AV284" s="1669"/>
      <c r="AW284" s="1669"/>
      <c r="AX284" s="1669"/>
      <c r="AY284" s="1669"/>
      <c r="BA284" s="1678"/>
    </row>
    <row r="285" spans="1:53" ht="17.25" customHeight="1" x14ac:dyDescent="0.25">
      <c r="M285" s="1594"/>
      <c r="AI285" s="2134"/>
      <c r="AJ285" s="2135"/>
      <c r="AK285" s="2135"/>
      <c r="AL285" s="2135"/>
      <c r="AM285" s="2136"/>
      <c r="AN285" s="1918"/>
      <c r="AO285" s="1919"/>
      <c r="AP285" s="1669"/>
      <c r="AR285" s="1675"/>
      <c r="AS285" s="1676"/>
      <c r="AT285" s="1676"/>
      <c r="AU285" s="1676"/>
      <c r="AV285" s="1676"/>
      <c r="AW285" s="2149"/>
      <c r="AX285" s="1673"/>
      <c r="AY285" s="1674"/>
      <c r="BA285" s="1678"/>
    </row>
    <row r="286" spans="1:53" ht="17.25" customHeight="1" x14ac:dyDescent="0.25">
      <c r="M286" s="1594"/>
      <c r="AI286" s="2190"/>
      <c r="AR286" s="2244"/>
      <c r="AS286" s="1696"/>
      <c r="AT286" s="1696"/>
      <c r="AU286" s="1696"/>
      <c r="AV286" s="2227"/>
      <c r="AW286" s="2245"/>
      <c r="AX286" s="1693"/>
      <c r="AY286" s="2246"/>
      <c r="BA286" s="2176"/>
    </row>
    <row r="287" spans="1:53" ht="17.25" customHeight="1" x14ac:dyDescent="0.25">
      <c r="M287" s="1594"/>
      <c r="AI287" s="2166"/>
      <c r="AJ287" s="2167"/>
      <c r="AK287" s="2167"/>
      <c r="AL287" s="2167"/>
      <c r="AM287" s="2167"/>
      <c r="AN287" s="1677"/>
      <c r="AO287" s="1673"/>
      <c r="AP287" s="1674"/>
      <c r="AR287" s="1675"/>
      <c r="AS287" s="1676"/>
      <c r="AT287" s="1676"/>
      <c r="AU287" s="1676"/>
      <c r="AV287" s="2149"/>
      <c r="AW287" s="1918"/>
      <c r="AX287" s="1919"/>
      <c r="BA287" s="2176"/>
    </row>
    <row r="288" spans="1:53" ht="17.25" customHeight="1" x14ac:dyDescent="0.25">
      <c r="M288" s="1594"/>
      <c r="AI288" s="1690"/>
      <c r="AJ288" s="1691"/>
      <c r="AK288" s="1691"/>
      <c r="AL288" s="1691"/>
      <c r="AM288" s="1691"/>
      <c r="AN288" s="2247"/>
      <c r="AO288" s="1693"/>
      <c r="AP288" s="2248"/>
      <c r="BA288" s="2176"/>
    </row>
    <row r="289" spans="13:53" ht="17.25" customHeight="1" x14ac:dyDescent="0.25">
      <c r="M289" s="1594"/>
      <c r="AA289" s="1594"/>
      <c r="AI289" s="1690"/>
      <c r="AJ289" s="1691"/>
      <c r="AK289" s="1691"/>
      <c r="AL289" s="1691"/>
      <c r="AM289" s="2177"/>
      <c r="AN289" s="2249"/>
      <c r="AO289" s="1693"/>
      <c r="AP289" s="2248"/>
      <c r="AR289" s="1675"/>
      <c r="AS289" s="1676"/>
      <c r="AT289" s="1676"/>
      <c r="AU289" s="1676"/>
      <c r="AV289" s="1676"/>
      <c r="AW289" s="2149"/>
      <c r="AX289" s="1673"/>
      <c r="AY289" s="1674"/>
      <c r="BA289" s="2176"/>
    </row>
    <row r="290" spans="13:53" ht="17.25" customHeight="1" x14ac:dyDescent="0.25">
      <c r="M290" s="1594"/>
      <c r="AA290" s="1594"/>
      <c r="AI290" s="2134"/>
      <c r="AJ290" s="2135"/>
      <c r="AK290" s="2135"/>
      <c r="AL290" s="2135"/>
      <c r="AM290" s="2136"/>
      <c r="AN290" s="1918"/>
      <c r="AO290" s="1919"/>
      <c r="AP290" s="1669"/>
      <c r="AR290" s="1695"/>
      <c r="AS290" s="1696"/>
      <c r="AT290" s="1696"/>
      <c r="AU290" s="1696"/>
      <c r="AV290" s="2227"/>
      <c r="AW290" s="2250"/>
      <c r="AX290" s="1693"/>
      <c r="AY290" s="2251"/>
      <c r="BA290" s="2176"/>
    </row>
    <row r="291" spans="13:53" ht="17.25" customHeight="1" x14ac:dyDescent="0.25">
      <c r="M291" s="1594"/>
      <c r="AA291" s="1594"/>
      <c r="AI291" s="2190"/>
      <c r="AR291" s="1675"/>
      <c r="AS291" s="1676"/>
      <c r="AT291" s="1676"/>
      <c r="AU291" s="1676"/>
      <c r="AV291" s="2149"/>
      <c r="AW291" s="2252"/>
      <c r="AX291" s="1919"/>
      <c r="BA291" s="2176"/>
    </row>
    <row r="292" spans="13:53" ht="17.25" customHeight="1" x14ac:dyDescent="0.25">
      <c r="M292" s="1594"/>
      <c r="AA292" s="1594"/>
      <c r="AI292" s="2166"/>
      <c r="AJ292" s="2167"/>
      <c r="AK292" s="2167"/>
      <c r="AL292" s="2167"/>
      <c r="AM292" s="2167"/>
      <c r="AN292" s="1677"/>
      <c r="AO292" s="1673"/>
      <c r="AP292" s="1674"/>
      <c r="BA292" s="2176"/>
    </row>
    <row r="293" spans="13:53" ht="17.25" customHeight="1" x14ac:dyDescent="0.25">
      <c r="M293" s="1594"/>
      <c r="AA293" s="1594"/>
      <c r="AI293" s="1690"/>
      <c r="AJ293" s="1691"/>
      <c r="AK293" s="1691"/>
      <c r="AL293" s="1691"/>
      <c r="AM293" s="2005"/>
      <c r="AN293" s="2236"/>
      <c r="AO293" s="1693"/>
      <c r="AP293" s="2253"/>
      <c r="AR293" s="1675"/>
      <c r="AS293" s="1676"/>
      <c r="AT293" s="1676"/>
      <c r="AU293" s="1676"/>
      <c r="AV293" s="1676"/>
      <c r="AW293" s="2149"/>
      <c r="AX293" s="1673"/>
      <c r="AY293" s="1674"/>
      <c r="BA293" s="2176"/>
    </row>
    <row r="294" spans="13:53" ht="17.25" customHeight="1" x14ac:dyDescent="0.25">
      <c r="M294" s="1594"/>
      <c r="AA294" s="1594"/>
      <c r="AI294" s="1690"/>
      <c r="AJ294" s="1691"/>
      <c r="AK294" s="1691"/>
      <c r="AL294" s="1691"/>
      <c r="AM294" s="2005"/>
      <c r="AN294" s="2254"/>
      <c r="AO294" s="1693"/>
      <c r="AP294" s="2253"/>
      <c r="AR294" s="1695"/>
      <c r="AS294" s="1696"/>
      <c r="AT294" s="1696"/>
      <c r="AU294" s="1696"/>
      <c r="AV294" s="2227"/>
      <c r="AW294" s="2255"/>
      <c r="AX294" s="1693"/>
      <c r="AY294" s="2256"/>
      <c r="BA294" s="2176"/>
    </row>
    <row r="295" spans="13:53" ht="17.25" customHeight="1" x14ac:dyDescent="0.25">
      <c r="M295" s="1594"/>
      <c r="AA295" s="1594"/>
      <c r="AI295" s="1690"/>
      <c r="AJ295" s="1691"/>
      <c r="AK295" s="1691"/>
      <c r="AL295" s="1691"/>
      <c r="AM295" s="2005"/>
      <c r="AN295" s="2257"/>
      <c r="AO295" s="1693"/>
      <c r="AP295" s="2253"/>
      <c r="AR295" s="1675"/>
      <c r="AS295" s="1676"/>
      <c r="AT295" s="1676"/>
      <c r="AU295" s="1676"/>
      <c r="AV295" s="2149"/>
      <c r="AW295" s="1918"/>
      <c r="AX295" s="1919"/>
      <c r="BA295" s="2176"/>
    </row>
    <row r="296" spans="13:53" ht="17.25" customHeight="1" x14ac:dyDescent="0.25">
      <c r="M296" s="1594"/>
      <c r="AA296" s="1594"/>
      <c r="AI296" s="1690"/>
      <c r="AJ296" s="1691"/>
      <c r="AK296" s="1691"/>
      <c r="AL296" s="1691"/>
      <c r="AM296" s="2005"/>
      <c r="AN296" s="2258"/>
      <c r="AO296" s="1693"/>
      <c r="AP296" s="2253"/>
      <c r="BA296" s="2176"/>
    </row>
    <row r="297" spans="13:53" ht="17.25" customHeight="1" x14ac:dyDescent="0.25">
      <c r="M297" s="1594"/>
      <c r="AA297" s="1594"/>
      <c r="AI297" s="1690"/>
      <c r="AJ297" s="1691"/>
      <c r="AK297" s="1691"/>
      <c r="AL297" s="1691"/>
      <c r="AM297" s="2005"/>
      <c r="AN297" s="2259"/>
      <c r="AO297" s="1693"/>
      <c r="AP297" s="2253"/>
      <c r="AR297" s="2260"/>
      <c r="AS297" s="2167"/>
      <c r="AT297" s="2167"/>
      <c r="AU297" s="2167"/>
      <c r="AV297" s="2167"/>
      <c r="AW297" s="1677"/>
      <c r="AX297" s="1673"/>
      <c r="AY297" s="1674"/>
      <c r="BA297" s="2176"/>
    </row>
    <row r="298" spans="13:53" ht="17.25" customHeight="1" x14ac:dyDescent="0.25">
      <c r="M298" s="1594"/>
      <c r="AA298" s="1594"/>
      <c r="AI298" s="1690"/>
      <c r="AJ298" s="1691"/>
      <c r="AK298" s="1691"/>
      <c r="AL298" s="1691"/>
      <c r="AM298" s="2005"/>
      <c r="AN298" s="2261"/>
      <c r="AO298" s="1693"/>
      <c r="AP298" s="2253"/>
      <c r="AR298" s="2262"/>
      <c r="AS298" s="2262"/>
      <c r="AT298" s="2262"/>
      <c r="AU298" s="2262"/>
      <c r="AV298" s="2262"/>
      <c r="AW298" s="2263"/>
      <c r="AX298" s="1693"/>
      <c r="AY298" s="2264"/>
      <c r="BA298" s="2176"/>
    </row>
    <row r="299" spans="13:53" ht="17.25" customHeight="1" x14ac:dyDescent="0.25">
      <c r="M299" s="1594"/>
      <c r="AA299" s="1594"/>
      <c r="AI299" s="1690"/>
      <c r="AJ299" s="1691"/>
      <c r="AK299" s="1691"/>
      <c r="AL299" s="1691"/>
      <c r="AM299" s="2005"/>
      <c r="AN299" s="2265"/>
      <c r="AO299" s="1693"/>
      <c r="AP299" s="2253"/>
      <c r="AR299" s="2262"/>
      <c r="AS299" s="2262"/>
      <c r="AT299" s="2262"/>
      <c r="AU299" s="2262"/>
      <c r="AV299" s="2262"/>
      <c r="AW299" s="2266"/>
      <c r="AX299" s="1693"/>
      <c r="AY299" s="2264"/>
      <c r="BA299" s="2176"/>
    </row>
    <row r="300" spans="13:53" ht="17.25" customHeight="1" x14ac:dyDescent="0.25">
      <c r="M300" s="1594"/>
      <c r="AA300" s="1594"/>
      <c r="AI300" s="1690"/>
      <c r="AJ300" s="1691"/>
      <c r="AK300" s="1691"/>
      <c r="AL300" s="1691"/>
      <c r="AM300" s="2005"/>
      <c r="AN300" s="2267"/>
      <c r="AO300" s="1693"/>
      <c r="AP300" s="2253"/>
      <c r="AR300" s="2262"/>
      <c r="AS300" s="2262"/>
      <c r="AT300" s="2262"/>
      <c r="AU300" s="2262"/>
      <c r="AV300" s="2262"/>
      <c r="AW300" s="2268"/>
      <c r="AX300" s="1693"/>
      <c r="AY300" s="2264"/>
      <c r="BA300" s="2176"/>
    </row>
    <row r="301" spans="13:53" ht="17.25" customHeight="1" x14ac:dyDescent="0.25">
      <c r="M301" s="1594"/>
      <c r="AA301" s="1594"/>
      <c r="AI301" s="1690"/>
      <c r="AJ301" s="1691"/>
      <c r="AK301" s="1691"/>
      <c r="AL301" s="1691"/>
      <c r="AM301" s="2005"/>
      <c r="AN301" s="2269"/>
      <c r="AO301" s="1693"/>
      <c r="AP301" s="2253"/>
      <c r="AR301" s="2262"/>
      <c r="AS301" s="2262"/>
      <c r="AT301" s="2262"/>
      <c r="AU301" s="2262"/>
      <c r="AV301" s="2262"/>
      <c r="AW301" s="2270"/>
      <c r="AX301" s="1693"/>
      <c r="AY301" s="2264"/>
      <c r="BA301" s="2176"/>
    </row>
    <row r="302" spans="13:53" ht="17.25" customHeight="1" x14ac:dyDescent="0.25">
      <c r="M302" s="1594"/>
      <c r="AA302" s="1594"/>
      <c r="AI302" s="1690"/>
      <c r="AJ302" s="1691"/>
      <c r="AK302" s="1691"/>
      <c r="AL302" s="1691"/>
      <c r="AM302" s="2005"/>
      <c r="AN302" s="2271"/>
      <c r="AO302" s="1693"/>
      <c r="AP302" s="2253"/>
      <c r="AR302" s="2272"/>
      <c r="AS302" s="2273"/>
      <c r="AT302" s="2273"/>
      <c r="AU302" s="2273"/>
      <c r="AV302" s="2274"/>
      <c r="AW302" s="2275"/>
      <c r="AX302" s="1919"/>
      <c r="BA302" s="2176"/>
    </row>
    <row r="303" spans="13:53" ht="17.25" customHeight="1" x14ac:dyDescent="0.25">
      <c r="M303" s="1594"/>
      <c r="AA303" s="1594"/>
      <c r="AI303" s="2134"/>
      <c r="AJ303" s="2135"/>
      <c r="AK303" s="2135"/>
      <c r="AL303" s="2135"/>
      <c r="AM303" s="2136"/>
      <c r="AN303" s="1918"/>
      <c r="AO303" s="1919"/>
      <c r="AP303" s="1669"/>
      <c r="BA303" s="2176"/>
    </row>
    <row r="304" spans="13:53" ht="17.25" customHeight="1" x14ac:dyDescent="0.25">
      <c r="M304" s="1594"/>
      <c r="AA304" s="1594"/>
      <c r="AI304" s="2190"/>
      <c r="BA304" s="2176"/>
    </row>
    <row r="305" spans="13:53" ht="17.25" customHeight="1" x14ac:dyDescent="0.25">
      <c r="M305" s="1594"/>
      <c r="AA305" s="1594"/>
      <c r="AI305" s="2166"/>
      <c r="AJ305" s="2167"/>
      <c r="AK305" s="2167"/>
      <c r="AL305" s="2167"/>
      <c r="AM305" s="2167"/>
      <c r="AN305" s="1677"/>
      <c r="AO305" s="1673"/>
      <c r="AP305" s="1674"/>
      <c r="BA305" s="2176"/>
    </row>
    <row r="306" spans="13:53" ht="17.25" customHeight="1" x14ac:dyDescent="0.25">
      <c r="M306" s="1594"/>
      <c r="AA306" s="1594"/>
      <c r="AI306" s="1690"/>
      <c r="AJ306" s="1691"/>
      <c r="AK306" s="1691"/>
      <c r="AL306" s="1691"/>
      <c r="AM306" s="1691"/>
      <c r="AN306" s="2276"/>
      <c r="AO306" s="1693"/>
      <c r="AP306" s="2248"/>
      <c r="BA306" s="2176"/>
    </row>
    <row r="307" spans="13:53" ht="17.25" customHeight="1" x14ac:dyDescent="0.25">
      <c r="M307" s="1594"/>
      <c r="AA307" s="1594"/>
      <c r="AI307" s="1690"/>
      <c r="AJ307" s="1691"/>
      <c r="AK307" s="1691"/>
      <c r="AL307" s="1691"/>
      <c r="AM307" s="2177"/>
      <c r="AN307" s="2277"/>
      <c r="AO307" s="1693"/>
      <c r="AP307" s="2248"/>
      <c r="BA307" s="2176"/>
    </row>
    <row r="308" spans="13:53" ht="17.25" customHeight="1" x14ac:dyDescent="0.25">
      <c r="M308" s="1594"/>
      <c r="AA308" s="1594"/>
      <c r="AI308" s="2134"/>
      <c r="AJ308" s="2135"/>
      <c r="AK308" s="2135"/>
      <c r="AL308" s="2135"/>
      <c r="AM308" s="2136"/>
      <c r="AN308" s="1918"/>
      <c r="AO308" s="1919"/>
      <c r="AP308" s="1669"/>
      <c r="BA308" s="2176"/>
    </row>
    <row r="309" spans="13:53" ht="17.25" customHeight="1" x14ac:dyDescent="0.25">
      <c r="M309" s="1594"/>
      <c r="AA309" s="1594"/>
      <c r="AI309" s="2278"/>
      <c r="AJ309" s="2279"/>
      <c r="AK309" s="2279"/>
      <c r="AL309" s="2279"/>
      <c r="AM309" s="2279"/>
      <c r="AN309" s="2280"/>
      <c r="AO309" s="2281"/>
      <c r="AP309" s="1669"/>
      <c r="BA309" s="2176"/>
    </row>
    <row r="310" spans="13:53" ht="17.25" customHeight="1" x14ac:dyDescent="0.25">
      <c r="M310" s="1594"/>
      <c r="AA310" s="1594"/>
      <c r="AI310" s="2278"/>
      <c r="AJ310" s="2279"/>
      <c r="AK310" s="2279"/>
      <c r="AL310" s="2279"/>
      <c r="AM310" s="2279"/>
      <c r="AN310" s="2280"/>
      <c r="AO310" s="2281"/>
      <c r="AP310" s="1669"/>
      <c r="BA310" s="2176"/>
    </row>
    <row r="311" spans="13:53" ht="17.25" customHeight="1" x14ac:dyDescent="0.25">
      <c r="M311" s="1594"/>
      <c r="AA311" s="1594"/>
      <c r="AI311" s="2278"/>
      <c r="AJ311" s="2279"/>
      <c r="AK311" s="2279"/>
      <c r="AL311" s="2279"/>
      <c r="AM311" s="2279"/>
      <c r="AN311" s="2280"/>
      <c r="AO311" s="2281"/>
      <c r="AP311" s="1669"/>
      <c r="BA311" s="2176"/>
    </row>
    <row r="312" spans="13:53" ht="17.25" customHeight="1" x14ac:dyDescent="0.25">
      <c r="M312" s="1594"/>
      <c r="AA312" s="1594"/>
      <c r="AI312" s="2278"/>
      <c r="AJ312" s="2279"/>
      <c r="AK312" s="2279"/>
      <c r="AL312" s="2279"/>
      <c r="AM312" s="2279"/>
      <c r="AN312" s="2280"/>
      <c r="AO312" s="2281"/>
      <c r="AP312" s="1669"/>
      <c r="BA312" s="2176"/>
    </row>
    <row r="313" spans="13:53" ht="17.25" customHeight="1" x14ac:dyDescent="0.25">
      <c r="M313" s="1594"/>
      <c r="AA313" s="1594"/>
      <c r="AI313" s="2278"/>
      <c r="AJ313" s="2279"/>
      <c r="AK313" s="2279"/>
      <c r="AL313" s="2279"/>
      <c r="AM313" s="2279"/>
      <c r="AN313" s="2280"/>
      <c r="AO313" s="2281"/>
      <c r="AP313" s="1669"/>
      <c r="BA313" s="2176"/>
    </row>
    <row r="314" spans="13:53" ht="17.25" customHeight="1" x14ac:dyDescent="0.25">
      <c r="M314" s="1594"/>
      <c r="AA314" s="1594"/>
      <c r="AI314" s="2278"/>
      <c r="AJ314" s="2279"/>
      <c r="AK314" s="2279"/>
      <c r="AL314" s="2279"/>
      <c r="AM314" s="2279"/>
      <c r="AN314" s="2280"/>
      <c r="AO314" s="2281"/>
      <c r="AP314" s="1669"/>
      <c r="BA314" s="2176"/>
    </row>
    <row r="315" spans="13:53" ht="17.25" customHeight="1" x14ac:dyDescent="0.25">
      <c r="M315" s="1594"/>
      <c r="AA315" s="1594"/>
      <c r="AI315" s="2278"/>
      <c r="AJ315" s="2279"/>
      <c r="AK315" s="2279"/>
      <c r="AL315" s="2279"/>
      <c r="AM315" s="2279"/>
      <c r="AN315" s="2280"/>
      <c r="AO315" s="2281"/>
      <c r="AP315" s="1669"/>
      <c r="BA315" s="2176"/>
    </row>
    <row r="316" spans="13:53" ht="17.25" customHeight="1" x14ac:dyDescent="0.25">
      <c r="M316" s="1594"/>
      <c r="AA316" s="1594"/>
      <c r="AI316" s="2278"/>
      <c r="AJ316" s="2279"/>
      <c r="AK316" s="2279"/>
      <c r="AL316" s="2279"/>
      <c r="AM316" s="2279"/>
      <c r="AN316" s="2280"/>
      <c r="AO316" s="2281"/>
      <c r="AP316" s="1669"/>
      <c r="BA316" s="2176"/>
    </row>
    <row r="317" spans="13:53" ht="17.25" customHeight="1" x14ac:dyDescent="0.25">
      <c r="M317" s="1594"/>
      <c r="AA317" s="1594"/>
      <c r="AI317" s="2278"/>
      <c r="AJ317" s="2279"/>
      <c r="AK317" s="2279"/>
      <c r="AL317" s="2279"/>
      <c r="AM317" s="2279"/>
      <c r="AN317" s="2280"/>
      <c r="AO317" s="2281"/>
      <c r="AP317" s="1669"/>
      <c r="BA317" s="2176"/>
    </row>
    <row r="318" spans="13:53" ht="17.25" customHeight="1" x14ac:dyDescent="0.25">
      <c r="M318" s="1594"/>
      <c r="AA318" s="1594"/>
      <c r="AI318" s="2278"/>
      <c r="AJ318" s="2279"/>
      <c r="AK318" s="2279"/>
      <c r="AL318" s="2279"/>
      <c r="AM318" s="2279"/>
      <c r="AN318" s="2280"/>
      <c r="AO318" s="2281"/>
      <c r="AP318" s="1669"/>
      <c r="BA318" s="2176"/>
    </row>
    <row r="319" spans="13:53" ht="17.25" customHeight="1" x14ac:dyDescent="0.25">
      <c r="M319" s="1594"/>
      <c r="AA319" s="1594"/>
      <c r="AI319" s="2278"/>
      <c r="AJ319" s="2279"/>
      <c r="AK319" s="2279"/>
      <c r="AL319" s="2279"/>
      <c r="AM319" s="2279"/>
      <c r="AN319" s="2280"/>
      <c r="AO319" s="2281"/>
      <c r="AP319" s="1669"/>
      <c r="BA319" s="2176"/>
    </row>
    <row r="320" spans="13:53" ht="17.25" customHeight="1" x14ac:dyDescent="0.25">
      <c r="M320" s="1594"/>
      <c r="AA320" s="1594"/>
      <c r="AI320" s="2190"/>
      <c r="BA320" s="2176"/>
    </row>
    <row r="321" spans="13:53" ht="17.25" customHeight="1" thickBot="1" x14ac:dyDescent="0.3">
      <c r="M321" s="1594"/>
      <c r="AA321" s="1594"/>
      <c r="AI321" s="2282"/>
      <c r="AJ321" s="2283"/>
      <c r="AK321" s="2283"/>
      <c r="AL321" s="2283"/>
      <c r="AM321" s="2283"/>
      <c r="AN321" s="2283"/>
      <c r="AO321" s="2283"/>
      <c r="AP321" s="2283"/>
      <c r="AQ321" s="2283"/>
      <c r="AR321" s="2283"/>
      <c r="AS321" s="2283"/>
      <c r="AT321" s="2283"/>
      <c r="AU321" s="2283"/>
      <c r="AV321" s="2283"/>
      <c r="AW321" s="2283"/>
      <c r="AX321" s="2283"/>
      <c r="AY321" s="2283"/>
      <c r="AZ321" s="2283"/>
      <c r="BA321" s="2284"/>
    </row>
    <row r="322" spans="13:53" ht="17.25" customHeight="1" x14ac:dyDescent="0.25">
      <c r="M322" s="1594"/>
      <c r="AA322" s="1594"/>
    </row>
    <row r="323" spans="13:53" ht="17.25" customHeight="1" x14ac:dyDescent="0.25">
      <c r="M323" s="1594"/>
      <c r="AA323" s="1594"/>
    </row>
    <row r="324" spans="13:53" ht="17.25" customHeight="1" x14ac:dyDescent="0.25">
      <c r="M324" s="1594"/>
      <c r="AA324" s="1594"/>
    </row>
    <row r="325" spans="13:53" ht="17.25" customHeight="1" x14ac:dyDescent="0.25">
      <c r="M325" s="1594"/>
      <c r="AA325" s="1594"/>
    </row>
    <row r="326" spans="13:53" ht="17.25" customHeight="1" x14ac:dyDescent="0.25">
      <c r="M326" s="1594"/>
      <c r="AA326" s="1594"/>
    </row>
    <row r="327" spans="13:53" ht="17.25" customHeight="1" x14ac:dyDescent="0.25">
      <c r="M327" s="1594"/>
      <c r="AA327" s="1594"/>
      <c r="AZ327" s="2120"/>
    </row>
    <row r="328" spans="13:53" ht="17.25" customHeight="1" x14ac:dyDescent="0.25">
      <c r="M328" s="1594"/>
      <c r="AA328" s="1594"/>
      <c r="AI328" s="1389"/>
      <c r="AJ328" s="1389"/>
      <c r="AK328" s="1389"/>
      <c r="AL328" s="1389"/>
      <c r="AM328" s="1389"/>
      <c r="AQ328" s="2285"/>
    </row>
    <row r="329" spans="13:53" ht="17.25" customHeight="1" x14ac:dyDescent="0.25">
      <c r="M329" s="1594"/>
      <c r="AA329" s="1594"/>
      <c r="AI329" s="2286"/>
      <c r="AJ329" s="2286"/>
      <c r="AK329" s="2286"/>
      <c r="AL329" s="2286"/>
      <c r="AM329" s="2286"/>
      <c r="AN329" s="2286"/>
      <c r="AO329" s="2285"/>
      <c r="AP329" s="2285"/>
      <c r="AQ329" s="1936"/>
      <c r="BA329" s="2120"/>
    </row>
    <row r="330" spans="13:53" ht="17.25" customHeight="1" x14ac:dyDescent="0.25">
      <c r="M330" s="1594"/>
      <c r="AA330" s="1594"/>
      <c r="AI330" s="2287"/>
      <c r="AJ330" s="2287"/>
      <c r="AK330" s="2287"/>
      <c r="AL330" s="2287"/>
      <c r="AM330" s="2287"/>
      <c r="AN330" s="2122"/>
      <c r="AO330" s="1936"/>
      <c r="AP330" s="1936"/>
      <c r="AQ330" s="2285"/>
      <c r="AZ330" s="2120"/>
      <c r="BA330" s="2285"/>
    </row>
    <row r="331" spans="13:53" ht="17.25" customHeight="1" x14ac:dyDescent="0.25">
      <c r="M331" s="1594"/>
      <c r="AA331" s="1594"/>
      <c r="AI331" s="2286"/>
      <c r="AJ331" s="2286"/>
      <c r="AK331" s="2286"/>
      <c r="AL331" s="2286"/>
      <c r="AM331" s="2286"/>
      <c r="AN331" s="2286"/>
      <c r="AO331" s="2285"/>
      <c r="AP331" s="2285"/>
      <c r="AQ331" s="2288"/>
      <c r="AZ331" s="2285"/>
      <c r="BA331" s="2120"/>
    </row>
    <row r="332" spans="13:53" ht="17.25" customHeight="1" x14ac:dyDescent="0.25">
      <c r="M332" s="1594"/>
      <c r="AA332" s="1594"/>
      <c r="AI332" s="2286"/>
      <c r="AJ332" s="2286"/>
      <c r="AK332" s="2286"/>
      <c r="AL332" s="2286"/>
      <c r="AM332" s="2286"/>
      <c r="AN332" s="2286"/>
      <c r="AO332" s="2288"/>
      <c r="AP332" s="2288"/>
      <c r="AQ332" s="2288"/>
      <c r="AZ332" s="2120"/>
      <c r="BA332" s="2120"/>
    </row>
    <row r="333" spans="13:53" ht="17.25" customHeight="1" x14ac:dyDescent="0.25">
      <c r="M333" s="1594"/>
      <c r="AA333" s="1594"/>
      <c r="AI333" s="2120"/>
      <c r="AJ333" s="2120"/>
      <c r="AK333" s="2120"/>
      <c r="AL333" s="2120"/>
      <c r="AM333" s="2120"/>
      <c r="AN333" s="2120"/>
      <c r="AO333" s="2288"/>
      <c r="AP333" s="2288"/>
      <c r="AQ333" s="2288"/>
      <c r="AZ333" s="2120"/>
      <c r="BA333" s="2120"/>
    </row>
    <row r="334" spans="13:53" ht="17.25" customHeight="1" x14ac:dyDescent="0.25">
      <c r="M334" s="1594"/>
      <c r="AA334" s="1594"/>
      <c r="AI334" s="2120"/>
      <c r="AJ334" s="2120"/>
      <c r="AK334" s="2120"/>
      <c r="AL334" s="2120"/>
      <c r="AM334" s="2120"/>
      <c r="AN334" s="2120"/>
      <c r="AO334" s="2288"/>
      <c r="AP334" s="2288"/>
      <c r="AQ334" s="2288"/>
      <c r="AZ334" s="2120"/>
      <c r="BA334" s="2120"/>
    </row>
    <row r="335" spans="13:53" ht="17.25" customHeight="1" x14ac:dyDescent="0.25">
      <c r="M335" s="1594"/>
      <c r="AA335" s="1594"/>
      <c r="AI335" s="2120"/>
      <c r="AJ335" s="2120"/>
      <c r="AK335" s="2120"/>
      <c r="AL335" s="2120"/>
      <c r="AM335" s="2120"/>
      <c r="AN335" s="2120"/>
      <c r="AO335" s="2288"/>
      <c r="AP335" s="2288"/>
      <c r="AQ335" s="2288"/>
      <c r="AZ335" s="2120"/>
      <c r="BA335" s="2120"/>
    </row>
    <row r="336" spans="13:53" ht="17.25" customHeight="1" x14ac:dyDescent="0.25">
      <c r="M336" s="1594"/>
      <c r="AA336" s="1594"/>
      <c r="AI336" s="2120"/>
      <c r="AJ336" s="2120"/>
      <c r="AK336" s="2120"/>
      <c r="AL336" s="2120"/>
      <c r="AM336" s="2120"/>
      <c r="AN336" s="2120"/>
      <c r="AO336" s="2288"/>
      <c r="AP336" s="2288"/>
      <c r="AQ336" s="2288"/>
      <c r="AZ336" s="2120"/>
      <c r="BA336" s="2120"/>
    </row>
    <row r="337" spans="13:53" ht="17.25" customHeight="1" x14ac:dyDescent="0.25">
      <c r="M337" s="1594"/>
      <c r="AA337" s="1594"/>
      <c r="AI337" s="2120"/>
      <c r="AJ337" s="2120"/>
      <c r="AK337" s="2120"/>
      <c r="AL337" s="2120"/>
      <c r="AM337" s="2120"/>
      <c r="AN337" s="2120"/>
      <c r="AO337" s="2288"/>
      <c r="AP337" s="2288"/>
      <c r="AQ337" s="2288"/>
      <c r="AZ337" s="2120"/>
      <c r="BA337" s="2120"/>
    </row>
    <row r="338" spans="13:53" ht="17.25" customHeight="1" x14ac:dyDescent="0.25">
      <c r="M338" s="1594"/>
      <c r="AA338" s="1594"/>
      <c r="AI338" s="2120"/>
      <c r="AJ338" s="2120"/>
      <c r="AK338" s="2120"/>
      <c r="AL338" s="2120"/>
      <c r="AM338" s="2120"/>
      <c r="AN338" s="2120"/>
      <c r="AO338" s="2288"/>
      <c r="AP338" s="2288"/>
      <c r="AQ338" s="2288"/>
      <c r="AZ338" s="2120"/>
      <c r="BA338" s="2120"/>
    </row>
    <row r="339" spans="13:53" ht="17.25" customHeight="1" x14ac:dyDescent="0.25">
      <c r="M339" s="1594"/>
      <c r="AA339" s="1594"/>
      <c r="AI339" s="2120"/>
      <c r="AJ339" s="2120"/>
      <c r="AK339" s="2120"/>
      <c r="AL339" s="2120"/>
      <c r="AM339" s="2120"/>
      <c r="AN339" s="2120"/>
      <c r="AO339" s="2288"/>
      <c r="AP339" s="2288"/>
      <c r="AQ339" s="2288"/>
      <c r="AZ339" s="2120"/>
      <c r="BA339" s="2120"/>
    </row>
    <row r="340" spans="13:53" ht="17.25" customHeight="1" x14ac:dyDescent="0.25">
      <c r="M340" s="1594"/>
      <c r="AA340" s="1594"/>
      <c r="AI340" s="2120"/>
      <c r="AJ340" s="2120"/>
      <c r="AK340" s="2120"/>
      <c r="AL340" s="2120"/>
      <c r="AM340" s="2120"/>
      <c r="AN340" s="2120"/>
      <c r="AO340" s="2288"/>
      <c r="AP340" s="2288"/>
      <c r="AQ340" s="2288"/>
      <c r="AZ340" s="2120"/>
      <c r="BA340" s="2120"/>
    </row>
    <row r="341" spans="13:53" ht="17.25" customHeight="1" x14ac:dyDescent="0.25">
      <c r="M341" s="1594"/>
      <c r="AA341" s="1594"/>
      <c r="AI341" s="2120"/>
      <c r="AJ341" s="2120"/>
      <c r="AK341" s="2120"/>
      <c r="AL341" s="2120"/>
      <c r="AM341" s="2120"/>
      <c r="AN341" s="2120"/>
      <c r="AO341" s="2288"/>
      <c r="AP341" s="2288"/>
      <c r="AQ341" s="2288"/>
      <c r="AZ341" s="2120"/>
      <c r="BA341" s="2120"/>
    </row>
    <row r="342" spans="13:53" ht="17.25" customHeight="1" x14ac:dyDescent="0.25">
      <c r="M342" s="1594"/>
      <c r="AA342" s="1594"/>
      <c r="AI342" s="2120"/>
      <c r="AJ342" s="2120"/>
      <c r="AK342" s="2120"/>
      <c r="AL342" s="2120"/>
      <c r="AM342" s="2120"/>
      <c r="AN342" s="2120"/>
      <c r="AO342" s="2288"/>
      <c r="AP342" s="2288"/>
      <c r="AQ342" s="2288"/>
      <c r="AZ342" s="2120"/>
      <c r="BA342" s="2120"/>
    </row>
    <row r="343" spans="13:53" ht="17.25" customHeight="1" x14ac:dyDescent="0.25">
      <c r="M343" s="1594"/>
      <c r="AA343" s="1594"/>
      <c r="AI343" s="2120"/>
      <c r="AJ343" s="2120"/>
      <c r="AK343" s="2120"/>
      <c r="AL343" s="2120"/>
      <c r="AM343" s="2120"/>
      <c r="AN343" s="2120"/>
      <c r="AO343" s="2288"/>
      <c r="AP343" s="2288"/>
      <c r="AQ343" s="2288"/>
      <c r="AZ343" s="2120"/>
      <c r="BA343" s="2120"/>
    </row>
    <row r="344" spans="13:53" ht="17.25" customHeight="1" x14ac:dyDescent="0.25">
      <c r="M344" s="1594"/>
      <c r="AA344" s="1594"/>
      <c r="AI344" s="2120"/>
      <c r="AJ344" s="2120"/>
      <c r="AK344" s="2120"/>
      <c r="AL344" s="2120"/>
      <c r="AM344" s="2120"/>
      <c r="AN344" s="2120"/>
      <c r="AO344" s="2288"/>
      <c r="AP344" s="2288"/>
      <c r="AQ344" s="2288"/>
      <c r="AZ344" s="2120"/>
      <c r="BA344" s="2120"/>
    </row>
    <row r="345" spans="13:53" ht="17.25" customHeight="1" x14ac:dyDescent="0.25">
      <c r="M345" s="1594"/>
      <c r="AA345" s="1594"/>
      <c r="AI345" s="1389"/>
      <c r="AJ345" s="1389"/>
      <c r="AK345" s="1389"/>
      <c r="AL345" s="1389"/>
      <c r="AM345" s="1389"/>
      <c r="AQ345" s="2288"/>
      <c r="AZ345" s="2120"/>
      <c r="BA345" s="2120"/>
    </row>
    <row r="346" spans="13:53" ht="17.25" customHeight="1" x14ac:dyDescent="0.25">
      <c r="M346" s="1594"/>
      <c r="AA346" s="1594"/>
      <c r="AI346" s="1389"/>
      <c r="AJ346" s="1389"/>
      <c r="AK346" s="1389"/>
      <c r="AL346" s="1389"/>
      <c r="AM346" s="1389"/>
      <c r="AQ346" s="2288"/>
      <c r="AZ346" s="2120"/>
      <c r="BA346" s="2120"/>
    </row>
    <row r="347" spans="13:53" ht="17.25" customHeight="1" x14ac:dyDescent="0.25">
      <c r="M347" s="1594"/>
      <c r="AA347" s="1594"/>
      <c r="AI347" s="1389"/>
      <c r="AJ347" s="1389"/>
      <c r="AK347" s="1389"/>
      <c r="AL347" s="1389"/>
      <c r="AM347" s="1389"/>
      <c r="AQ347" s="2288"/>
      <c r="AZ347" s="2120"/>
      <c r="BA347" s="2120"/>
    </row>
    <row r="348" spans="13:53" ht="17.25" customHeight="1" x14ac:dyDescent="0.25">
      <c r="M348" s="1594"/>
      <c r="AA348" s="1594"/>
      <c r="AI348" s="1389"/>
      <c r="AJ348" s="1389"/>
      <c r="AK348" s="1389"/>
      <c r="AL348" s="1389"/>
      <c r="AM348" s="1389"/>
      <c r="AQ348" s="2288"/>
      <c r="AZ348" s="2120"/>
      <c r="BA348" s="2120"/>
    </row>
    <row r="349" spans="13:53" ht="17.25" customHeight="1" x14ac:dyDescent="0.25">
      <c r="M349" s="1594"/>
      <c r="AA349" s="1594"/>
      <c r="AI349" s="1389"/>
      <c r="AJ349" s="1389"/>
      <c r="AK349" s="1389"/>
      <c r="AL349" s="1389"/>
      <c r="AM349" s="1389"/>
      <c r="AQ349" s="2288"/>
      <c r="AZ349" s="2120"/>
      <c r="BA349" s="2120"/>
    </row>
    <row r="350" spans="13:53" ht="17.25" customHeight="1" x14ac:dyDescent="0.25">
      <c r="M350" s="1594"/>
      <c r="AA350" s="1594"/>
      <c r="AI350" s="1389"/>
      <c r="AJ350" s="1389"/>
      <c r="AK350" s="1389"/>
      <c r="AL350" s="1389"/>
      <c r="AM350" s="1389"/>
      <c r="AQ350" s="2288"/>
      <c r="AZ350" s="2120"/>
      <c r="BA350" s="2120"/>
    </row>
    <row r="351" spans="13:53" ht="17.25" customHeight="1" x14ac:dyDescent="0.25">
      <c r="M351" s="1594"/>
      <c r="AA351" s="1594"/>
      <c r="AI351" s="1389"/>
      <c r="AJ351" s="1389"/>
      <c r="AK351" s="1389"/>
      <c r="AL351" s="1389"/>
      <c r="AM351" s="1389"/>
      <c r="AQ351" s="2288"/>
      <c r="AZ351" s="2120"/>
      <c r="BA351" s="2120"/>
    </row>
    <row r="352" spans="13:53" ht="17.25" customHeight="1" x14ac:dyDescent="0.25">
      <c r="M352" s="1594"/>
      <c r="AA352" s="1594"/>
      <c r="AI352" s="1389"/>
      <c r="AJ352" s="1389"/>
      <c r="AK352" s="1389"/>
      <c r="AL352" s="1389"/>
      <c r="AM352" s="1389"/>
      <c r="AQ352" s="2288"/>
      <c r="AZ352" s="2120"/>
      <c r="BA352" s="2120"/>
    </row>
    <row r="353" spans="13:53" ht="17.25" customHeight="1" x14ac:dyDescent="0.25">
      <c r="M353" s="1594"/>
      <c r="AA353" s="1594"/>
      <c r="AI353" s="1389"/>
      <c r="AJ353" s="1389"/>
      <c r="AK353" s="1389"/>
      <c r="AL353" s="1389"/>
      <c r="AM353" s="1389"/>
      <c r="AQ353" s="2288"/>
      <c r="AZ353" s="2120"/>
      <c r="BA353" s="2120"/>
    </row>
    <row r="354" spans="13:53" ht="17.25" customHeight="1" x14ac:dyDescent="0.25">
      <c r="M354" s="1594"/>
      <c r="AA354" s="1594"/>
      <c r="AI354" s="1389"/>
      <c r="AJ354" s="1389"/>
      <c r="AK354" s="1389"/>
      <c r="AL354" s="1389"/>
      <c r="AM354" s="1389"/>
      <c r="AQ354" s="2288"/>
      <c r="AZ354" s="2120"/>
      <c r="BA354" s="2120"/>
    </row>
    <row r="355" spans="13:53" ht="17.25" customHeight="1" x14ac:dyDescent="0.25">
      <c r="M355" s="1594"/>
      <c r="AA355" s="1594"/>
      <c r="AI355" s="1389"/>
      <c r="AJ355" s="1389"/>
      <c r="AK355" s="1389"/>
      <c r="AL355" s="1389"/>
      <c r="AM355" s="1389"/>
      <c r="AQ355" s="2288"/>
      <c r="AZ355" s="2120"/>
      <c r="BA355" s="2120"/>
    </row>
    <row r="356" spans="13:53" ht="17.25" customHeight="1" x14ac:dyDescent="0.25">
      <c r="M356" s="1594"/>
      <c r="AA356" s="1594"/>
      <c r="AI356" s="1389"/>
      <c r="AJ356" s="1389"/>
      <c r="AK356" s="1389"/>
      <c r="AL356" s="1389"/>
      <c r="AM356" s="1389"/>
      <c r="AQ356" s="2288"/>
      <c r="AZ356" s="2120"/>
      <c r="BA356" s="2120"/>
    </row>
    <row r="357" spans="13:53" ht="17.25" customHeight="1" x14ac:dyDescent="0.25">
      <c r="M357" s="1594"/>
      <c r="AA357" s="1594"/>
      <c r="AI357" s="1389"/>
      <c r="AJ357" s="1389"/>
      <c r="AK357" s="1389"/>
      <c r="AL357" s="1389"/>
      <c r="AM357" s="1389"/>
      <c r="AQ357" s="2288"/>
      <c r="AZ357" s="2120"/>
      <c r="BA357" s="2120"/>
    </row>
    <row r="358" spans="13:53" ht="17.25" customHeight="1" x14ac:dyDescent="0.25">
      <c r="M358" s="1594"/>
      <c r="AI358" s="1389"/>
      <c r="AJ358" s="1389"/>
      <c r="AK358" s="1389"/>
      <c r="AL358" s="1389"/>
      <c r="AM358" s="1389"/>
      <c r="AQ358" s="2288"/>
      <c r="AZ358" s="2120"/>
      <c r="BA358" s="2120"/>
    </row>
    <row r="359" spans="13:53" ht="17.25" customHeight="1" x14ac:dyDescent="0.25">
      <c r="M359" s="1594"/>
      <c r="AI359" s="1389"/>
      <c r="AJ359" s="1389"/>
      <c r="AK359" s="1389"/>
      <c r="AL359" s="1389"/>
      <c r="AM359" s="1389"/>
      <c r="AQ359" s="2288"/>
      <c r="AZ359" s="2120"/>
      <c r="BA359" s="2120"/>
    </row>
    <row r="360" spans="13:53" ht="17.25" customHeight="1" x14ac:dyDescent="0.25">
      <c r="M360" s="1594"/>
      <c r="AI360" s="1389"/>
      <c r="AJ360" s="1389"/>
      <c r="AK360" s="1389"/>
      <c r="AL360" s="1389"/>
      <c r="AM360" s="1389"/>
      <c r="AQ360" s="2285"/>
      <c r="AZ360" s="2120"/>
    </row>
    <row r="361" spans="13:53" ht="17.25" customHeight="1" x14ac:dyDescent="0.25">
      <c r="M361" s="1594"/>
      <c r="AI361" s="1389"/>
      <c r="AJ361" s="1389"/>
      <c r="AK361" s="1389"/>
      <c r="AL361" s="1389"/>
      <c r="AM361" s="1389"/>
      <c r="AQ361" s="1936"/>
      <c r="BA361" s="2120"/>
    </row>
    <row r="362" spans="13:53" ht="17.25" customHeight="1" x14ac:dyDescent="0.25">
      <c r="M362" s="1594"/>
      <c r="AI362" s="2287"/>
      <c r="AJ362" s="2287"/>
      <c r="AK362" s="2287"/>
      <c r="AL362" s="2287"/>
      <c r="AM362" s="2287"/>
      <c r="AN362" s="2122"/>
      <c r="AO362" s="1936"/>
      <c r="AP362" s="1936"/>
      <c r="AQ362" s="1936"/>
      <c r="AZ362" s="2120"/>
      <c r="BA362" s="2120"/>
    </row>
    <row r="363" spans="13:53" ht="17.25" customHeight="1" x14ac:dyDescent="0.25">
      <c r="M363" s="1594"/>
      <c r="AI363" s="2285"/>
      <c r="AJ363" s="2285"/>
      <c r="AK363" s="2285"/>
      <c r="AL363" s="2285"/>
      <c r="AM363" s="2285"/>
      <c r="AN363" s="2122"/>
      <c r="AO363" s="1936"/>
      <c r="AP363" s="1936"/>
      <c r="AQ363" s="1936"/>
      <c r="AZ363" s="2120"/>
      <c r="BA363" s="2120"/>
    </row>
    <row r="364" spans="13:53" ht="17.25" customHeight="1" x14ac:dyDescent="0.25">
      <c r="M364" s="1594"/>
      <c r="AI364" s="2285"/>
      <c r="AJ364" s="2285"/>
      <c r="AK364" s="2285"/>
      <c r="AL364" s="2285"/>
      <c r="AM364" s="2285"/>
      <c r="AN364" s="2122"/>
      <c r="AO364" s="1936"/>
      <c r="AP364" s="1936"/>
      <c r="AQ364" s="2285"/>
      <c r="AZ364" s="2120"/>
      <c r="BA364" s="2285"/>
    </row>
    <row r="365" spans="13:53" ht="17.25" customHeight="1" x14ac:dyDescent="0.25">
      <c r="M365" s="1594"/>
      <c r="AI365" s="2285"/>
      <c r="AJ365" s="2285"/>
      <c r="AK365" s="2285"/>
      <c r="AL365" s="2285"/>
      <c r="AM365" s="2285"/>
      <c r="AN365" s="2122"/>
      <c r="AO365" s="1936"/>
      <c r="AP365" s="1936"/>
      <c r="AQ365" s="2288"/>
      <c r="AR365" s="2288"/>
      <c r="AS365" s="2288"/>
      <c r="AT365" s="2288"/>
      <c r="AU365" s="2288"/>
      <c r="AZ365" s="2285"/>
      <c r="BA365" s="2120"/>
    </row>
    <row r="366" spans="13:53" ht="17.25" customHeight="1" x14ac:dyDescent="0.25">
      <c r="M366" s="1594"/>
      <c r="AI366" s="2286"/>
      <c r="AJ366" s="2286"/>
      <c r="AK366" s="2286"/>
      <c r="AL366" s="2286"/>
      <c r="AM366" s="2286"/>
      <c r="AN366" s="2286"/>
      <c r="AO366" s="2285"/>
      <c r="AP366" s="2285"/>
      <c r="AW366" s="2120"/>
      <c r="AX366" s="2120"/>
      <c r="AY366" s="2120"/>
      <c r="AZ366" s="2120"/>
      <c r="BA366" s="2120"/>
    </row>
    <row r="367" spans="13:53" ht="17.25" customHeight="1" x14ac:dyDescent="0.25">
      <c r="M367" s="1594"/>
      <c r="AI367" s="2286"/>
      <c r="AJ367" s="2286"/>
      <c r="AK367" s="2286"/>
      <c r="AL367" s="2286"/>
      <c r="AM367" s="2286"/>
      <c r="AN367" s="2286"/>
      <c r="AO367" s="2288"/>
      <c r="AP367" s="2288"/>
      <c r="AQ367" s="2285"/>
      <c r="AW367" s="2120"/>
      <c r="AX367" s="2120"/>
      <c r="AY367" s="2120"/>
      <c r="AZ367" s="2120"/>
      <c r="BA367" s="2120"/>
    </row>
    <row r="368" spans="13:53" ht="17.25" customHeight="1" x14ac:dyDescent="0.25">
      <c r="M368" s="1594"/>
      <c r="AQ368" s="2285"/>
      <c r="AW368" s="2120"/>
      <c r="AX368" s="2120"/>
      <c r="AY368" s="2120"/>
      <c r="AZ368" s="2120"/>
    </row>
    <row r="369" spans="13:53" ht="17.25" customHeight="1" x14ac:dyDescent="0.25">
      <c r="M369" s="1594"/>
      <c r="AI369" s="2286"/>
      <c r="AJ369" s="2286"/>
      <c r="AK369" s="2286"/>
      <c r="AL369" s="2286"/>
      <c r="AM369" s="2286"/>
      <c r="AN369" s="2286"/>
      <c r="AO369" s="2285"/>
      <c r="AP369" s="2285"/>
      <c r="AQ369" s="2285"/>
      <c r="AR369" s="2285"/>
      <c r="AS369" s="2285"/>
      <c r="AT369" s="2285"/>
      <c r="AU369" s="2285"/>
      <c r="AW369" s="2285"/>
      <c r="AX369" s="2285"/>
      <c r="AY369" s="2285"/>
    </row>
    <row r="370" spans="13:53" ht="17.25" customHeight="1" x14ac:dyDescent="0.25">
      <c r="M370" s="1594"/>
      <c r="AI370" s="2287"/>
      <c r="AJ370" s="2287"/>
      <c r="AK370" s="2287"/>
      <c r="AL370" s="2287"/>
      <c r="AM370" s="2287"/>
      <c r="AN370" s="2122"/>
      <c r="AO370" s="1936"/>
      <c r="AP370" s="1936"/>
      <c r="AQ370" s="1936"/>
      <c r="AR370" s="1936"/>
      <c r="AS370" s="1936"/>
      <c r="AT370" s="1936"/>
      <c r="AU370" s="1936"/>
      <c r="AW370" s="2120"/>
      <c r="AX370" s="2120"/>
      <c r="AY370" s="2120"/>
      <c r="BA370" s="2120"/>
    </row>
    <row r="371" spans="13:53" ht="17.25" customHeight="1" x14ac:dyDescent="0.25">
      <c r="M371" s="1594"/>
      <c r="AI371" s="2285"/>
      <c r="AJ371" s="2285"/>
      <c r="AK371" s="2285"/>
      <c r="AL371" s="2285"/>
      <c r="AM371" s="2285"/>
      <c r="AN371" s="2122"/>
      <c r="AO371" s="1936"/>
      <c r="AP371" s="1936"/>
      <c r="AQ371" s="1936"/>
      <c r="AR371" s="1936"/>
      <c r="AS371" s="1936"/>
      <c r="AT371" s="1936"/>
      <c r="AU371" s="1936"/>
      <c r="AW371" s="2120"/>
      <c r="AX371" s="2120"/>
      <c r="AY371" s="2120"/>
      <c r="AZ371" s="2120"/>
      <c r="BA371" s="2120"/>
    </row>
    <row r="372" spans="13:53" ht="17.25" customHeight="1" x14ac:dyDescent="0.25">
      <c r="M372" s="1594"/>
      <c r="AI372" s="2285"/>
      <c r="AJ372" s="2285"/>
      <c r="AK372" s="2285"/>
      <c r="AL372" s="2285"/>
      <c r="AM372" s="2285"/>
      <c r="AN372" s="2122"/>
      <c r="AO372" s="1936"/>
      <c r="AP372" s="1936"/>
      <c r="AQ372" s="1936"/>
      <c r="AZ372" s="2120"/>
      <c r="BA372" s="2120"/>
    </row>
    <row r="373" spans="13:53" ht="17.25" customHeight="1" x14ac:dyDescent="0.25">
      <c r="M373" s="1594"/>
      <c r="AI373" s="2285"/>
      <c r="AJ373" s="2285"/>
      <c r="AK373" s="2285"/>
      <c r="AL373" s="2285"/>
      <c r="AM373" s="2285"/>
      <c r="AN373" s="2122"/>
      <c r="AO373" s="1936"/>
      <c r="AP373" s="1936"/>
      <c r="AQ373" s="1936"/>
      <c r="AZ373" s="2120"/>
      <c r="BA373" s="2120"/>
    </row>
    <row r="374" spans="13:53" ht="17.25" customHeight="1" x14ac:dyDescent="0.25">
      <c r="M374" s="1594"/>
      <c r="AI374" s="2285"/>
      <c r="AJ374" s="2285"/>
      <c r="AK374" s="2285"/>
      <c r="AL374" s="2285"/>
      <c r="AM374" s="2285"/>
      <c r="AN374" s="2122"/>
      <c r="AO374" s="1936"/>
      <c r="AP374" s="1936"/>
      <c r="AQ374" s="1936"/>
      <c r="AR374" s="2288"/>
      <c r="AS374" s="2288"/>
      <c r="AT374" s="2288"/>
      <c r="AU374" s="2288"/>
      <c r="AZ374" s="2120"/>
      <c r="BA374" s="2120"/>
    </row>
    <row r="375" spans="13:53" ht="17.25" customHeight="1" x14ac:dyDescent="0.25">
      <c r="M375" s="1594"/>
      <c r="AI375" s="2285"/>
      <c r="AJ375" s="2285"/>
      <c r="AK375" s="2285"/>
      <c r="AL375" s="2285"/>
      <c r="AM375" s="2285"/>
      <c r="AN375" s="2122"/>
      <c r="AO375" s="1936"/>
      <c r="AP375" s="1936"/>
      <c r="AR375" s="2288"/>
      <c r="AS375" s="2288"/>
      <c r="AT375" s="2288"/>
      <c r="AU375" s="2288"/>
      <c r="AZ375" s="2120"/>
      <c r="BA375" s="2120"/>
    </row>
    <row r="376" spans="13:53" ht="17.25" customHeight="1" x14ac:dyDescent="0.25">
      <c r="M376" s="1594"/>
      <c r="AI376" s="2285"/>
      <c r="AJ376" s="2285"/>
      <c r="AK376" s="2285"/>
      <c r="AL376" s="2285"/>
      <c r="AM376" s="2285"/>
      <c r="AN376" s="2122"/>
      <c r="AO376" s="1936"/>
      <c r="AP376" s="1936"/>
      <c r="AQ376" s="2285"/>
      <c r="AR376" s="2288"/>
      <c r="AS376" s="2288"/>
      <c r="AT376" s="2288"/>
      <c r="AU376" s="2288"/>
      <c r="AZ376" s="2120"/>
      <c r="BA376" s="2120"/>
    </row>
    <row r="377" spans="13:53" ht="17.25" customHeight="1" x14ac:dyDescent="0.25">
      <c r="M377" s="1594"/>
      <c r="AQ377" s="2285"/>
      <c r="AW377" s="2120"/>
      <c r="AX377" s="2120"/>
      <c r="AY377" s="2120"/>
      <c r="AZ377" s="2120"/>
    </row>
    <row r="378" spans="13:53" ht="17.25" customHeight="1" x14ac:dyDescent="0.25">
      <c r="M378" s="1594"/>
      <c r="AI378" s="2286"/>
      <c r="AJ378" s="2286"/>
      <c r="AK378" s="2286"/>
      <c r="AL378" s="2286"/>
      <c r="AM378" s="2286"/>
      <c r="AN378" s="2286"/>
      <c r="AO378" s="2285"/>
      <c r="AP378" s="2285"/>
      <c r="AQ378" s="1936"/>
      <c r="AR378" s="2285"/>
      <c r="AS378" s="2285"/>
      <c r="AT378" s="2285"/>
      <c r="AU378" s="2285"/>
      <c r="AW378" s="2285"/>
      <c r="AX378" s="2285"/>
      <c r="AY378" s="2285"/>
    </row>
    <row r="379" spans="13:53" ht="17.25" customHeight="1" x14ac:dyDescent="0.25">
      <c r="M379" s="1594"/>
      <c r="AI379" s="2287"/>
      <c r="AJ379" s="2287"/>
      <c r="AK379" s="2287"/>
      <c r="AL379" s="2287"/>
      <c r="AM379" s="2287"/>
      <c r="AN379" s="2122"/>
      <c r="AO379" s="1936"/>
      <c r="AP379" s="1936"/>
      <c r="AQ379" s="2285"/>
      <c r="AR379" s="1936"/>
      <c r="AS379" s="1936"/>
      <c r="AT379" s="1936"/>
      <c r="AU379" s="1936"/>
      <c r="AW379" s="2120"/>
      <c r="AX379" s="2120"/>
      <c r="AY379" s="2120"/>
    </row>
    <row r="380" spans="13:53" ht="17.25" customHeight="1" x14ac:dyDescent="0.25">
      <c r="M380" s="1594"/>
      <c r="AI380" s="2286"/>
      <c r="AJ380" s="2286"/>
      <c r="AK380" s="2286"/>
      <c r="AL380" s="2286"/>
      <c r="AM380" s="2286"/>
      <c r="AN380" s="2286"/>
      <c r="AO380" s="2285"/>
      <c r="AP380" s="2285"/>
      <c r="AQ380" s="2288"/>
      <c r="AR380" s="2285"/>
      <c r="AS380" s="2285"/>
      <c r="AT380" s="2285"/>
      <c r="AU380" s="2285"/>
      <c r="AW380" s="2120"/>
      <c r="AX380" s="2120"/>
      <c r="AY380" s="2120"/>
    </row>
    <row r="381" spans="13:53" ht="17.25" customHeight="1" x14ac:dyDescent="0.25">
      <c r="M381" s="1594"/>
      <c r="AI381" s="2286"/>
      <c r="AJ381" s="2286"/>
      <c r="AK381" s="2286"/>
      <c r="AL381" s="2286"/>
      <c r="AM381" s="2286"/>
      <c r="AN381" s="2286"/>
      <c r="AO381" s="2288"/>
      <c r="AP381" s="2288"/>
      <c r="AR381" s="2285"/>
      <c r="AS381" s="2285"/>
      <c r="AT381" s="2285"/>
      <c r="AU381" s="2285"/>
      <c r="AW381" s="2120"/>
      <c r="AX381" s="2120"/>
      <c r="AY381" s="2120"/>
    </row>
    <row r="382" spans="13:53" ht="17.25" customHeight="1" x14ac:dyDescent="0.25">
      <c r="M382" s="1594"/>
      <c r="AI382" s="1389"/>
      <c r="AJ382" s="1389"/>
      <c r="AK382" s="1389"/>
      <c r="AL382" s="1389"/>
      <c r="AM382" s="1389"/>
      <c r="AQ382" s="2285"/>
      <c r="AR382" s="2288"/>
      <c r="AS382" s="2288"/>
      <c r="AT382" s="2288"/>
      <c r="AU382" s="2288"/>
    </row>
    <row r="383" spans="13:53" ht="17.25" customHeight="1" x14ac:dyDescent="0.25">
      <c r="M383" s="1594"/>
      <c r="AI383" s="2286"/>
      <c r="AJ383" s="2286"/>
      <c r="AK383" s="2286"/>
      <c r="AL383" s="2286"/>
      <c r="AM383" s="2286"/>
      <c r="AN383" s="2286"/>
      <c r="AO383" s="2285"/>
      <c r="AP383" s="2285"/>
      <c r="AQ383" s="1936"/>
      <c r="AW383" s="2120"/>
      <c r="AX383" s="2120"/>
      <c r="AY383" s="2120"/>
    </row>
    <row r="384" spans="13:53" ht="17.25" customHeight="1" x14ac:dyDescent="0.25">
      <c r="M384" s="1594"/>
      <c r="AI384" s="2287"/>
      <c r="AJ384" s="2287"/>
      <c r="AK384" s="2287"/>
      <c r="AL384" s="2287"/>
      <c r="AM384" s="2287"/>
      <c r="AN384" s="2122"/>
      <c r="AO384" s="1936"/>
      <c r="AP384" s="1936"/>
      <c r="AQ384" s="2285"/>
      <c r="AR384" s="2285"/>
      <c r="AS384" s="2285"/>
      <c r="AT384" s="2285"/>
      <c r="AU384" s="2285"/>
      <c r="AW384" s="2285"/>
      <c r="AX384" s="2285"/>
      <c r="AY384" s="2285"/>
    </row>
    <row r="385" spans="13:51" ht="17.25" customHeight="1" x14ac:dyDescent="0.25">
      <c r="M385" s="1594"/>
      <c r="AI385" s="2286"/>
      <c r="AJ385" s="2286"/>
      <c r="AK385" s="2286"/>
      <c r="AL385" s="2286"/>
      <c r="AM385" s="2286"/>
      <c r="AN385" s="2286"/>
      <c r="AO385" s="2285"/>
      <c r="AP385" s="2285"/>
      <c r="AQ385" s="2288"/>
      <c r="AR385" s="1936"/>
      <c r="AS385" s="1936"/>
      <c r="AT385" s="1936"/>
      <c r="AU385" s="1936"/>
      <c r="AW385" s="2120"/>
      <c r="AX385" s="2120"/>
      <c r="AY385" s="2120"/>
    </row>
    <row r="386" spans="13:51" ht="17.25" customHeight="1" x14ac:dyDescent="0.25">
      <c r="M386" s="1594"/>
      <c r="AI386" s="2286"/>
      <c r="AJ386" s="2286"/>
      <c r="AK386" s="2286"/>
      <c r="AL386" s="2286"/>
      <c r="AM386" s="2286"/>
      <c r="AN386" s="2286"/>
      <c r="AO386" s="2288"/>
      <c r="AP386" s="2288"/>
      <c r="AR386" s="2285"/>
      <c r="AS386" s="2285"/>
      <c r="AT386" s="2285"/>
      <c r="AU386" s="2285"/>
      <c r="AW386" s="2120"/>
      <c r="AX386" s="2120"/>
      <c r="AY386" s="2120"/>
    </row>
    <row r="387" spans="13:51" ht="17.25" customHeight="1" x14ac:dyDescent="0.25">
      <c r="M387" s="1594"/>
      <c r="AK387" s="1669"/>
      <c r="AQ387" s="2285"/>
      <c r="AR387" s="2288"/>
      <c r="AS387" s="2288"/>
      <c r="AT387" s="2288"/>
      <c r="AU387" s="2288"/>
    </row>
    <row r="388" spans="13:51" ht="17.25" customHeight="1" x14ac:dyDescent="0.25">
      <c r="M388" s="1594"/>
      <c r="AI388" s="2289"/>
      <c r="AJ388" s="2289"/>
      <c r="AK388" s="2289"/>
      <c r="AL388" s="2289"/>
      <c r="AM388" s="2289"/>
      <c r="AN388" s="2289"/>
      <c r="AO388" s="2285"/>
      <c r="AP388" s="2285"/>
      <c r="AQ388" s="1936"/>
    </row>
    <row r="389" spans="13:51" ht="17.25" customHeight="1" x14ac:dyDescent="0.25">
      <c r="M389" s="1594"/>
      <c r="AI389" s="2290"/>
      <c r="AJ389" s="2290"/>
      <c r="AK389" s="2290"/>
      <c r="AL389" s="2290"/>
      <c r="AM389" s="2290"/>
      <c r="AN389" s="2122"/>
      <c r="AO389" s="1936"/>
      <c r="AP389" s="1936"/>
      <c r="AQ389" s="2285"/>
      <c r="AR389" s="2285"/>
      <c r="AS389" s="2285"/>
      <c r="AT389" s="2285"/>
      <c r="AU389" s="2285"/>
    </row>
    <row r="390" spans="13:51" ht="17.25" customHeight="1" x14ac:dyDescent="0.25">
      <c r="M390" s="1594"/>
      <c r="AI390" s="2289"/>
      <c r="AJ390" s="2289"/>
      <c r="AK390" s="2289"/>
      <c r="AL390" s="2289"/>
      <c r="AM390" s="2289"/>
      <c r="AN390" s="2289"/>
      <c r="AO390" s="2285"/>
      <c r="AP390" s="2285"/>
      <c r="AQ390" s="2288"/>
      <c r="AR390" s="1936"/>
      <c r="AS390" s="1936"/>
      <c r="AT390" s="1936"/>
      <c r="AU390" s="1936"/>
    </row>
    <row r="391" spans="13:51" ht="17.25" customHeight="1" x14ac:dyDescent="0.25">
      <c r="M391" s="1594"/>
      <c r="AI391" s="2289"/>
      <c r="AJ391" s="2289"/>
      <c r="AK391" s="2289"/>
      <c r="AL391" s="2289"/>
      <c r="AM391" s="2289"/>
      <c r="AN391" s="2289"/>
      <c r="AO391" s="2288"/>
      <c r="AP391" s="2288"/>
      <c r="AR391" s="2285"/>
      <c r="AS391" s="2285"/>
      <c r="AT391" s="2285"/>
      <c r="AU391" s="2285"/>
    </row>
    <row r="392" spans="13:51" ht="17.25" customHeight="1" x14ac:dyDescent="0.25">
      <c r="M392" s="1594"/>
      <c r="AI392" s="1389"/>
      <c r="AJ392" s="1389"/>
      <c r="AK392" s="1389"/>
      <c r="AL392" s="1389"/>
      <c r="AM392" s="1389"/>
      <c r="AQ392" s="2285"/>
      <c r="AR392" s="2288"/>
      <c r="AS392" s="2288"/>
      <c r="AT392" s="2288"/>
      <c r="AU392" s="2288"/>
    </row>
    <row r="393" spans="13:51" ht="17.25" customHeight="1" x14ac:dyDescent="0.25">
      <c r="M393" s="1594"/>
      <c r="AI393" s="2286"/>
      <c r="AJ393" s="2286"/>
      <c r="AK393" s="2286"/>
      <c r="AL393" s="2286"/>
      <c r="AM393" s="2286"/>
      <c r="AN393" s="2286"/>
      <c r="AO393" s="2285"/>
      <c r="AP393" s="2285"/>
      <c r="AQ393" s="1936"/>
    </row>
    <row r="394" spans="13:51" ht="17.25" customHeight="1" x14ac:dyDescent="0.25">
      <c r="M394" s="1594"/>
      <c r="AI394" s="2287"/>
      <c r="AJ394" s="2287"/>
      <c r="AK394" s="2287"/>
      <c r="AL394" s="2287"/>
      <c r="AM394" s="2287"/>
      <c r="AN394" s="2122"/>
      <c r="AO394" s="1936"/>
      <c r="AP394" s="1936"/>
      <c r="AQ394" s="2285"/>
      <c r="AR394" s="2285"/>
      <c r="AS394" s="2285"/>
      <c r="AT394" s="2285"/>
      <c r="AU394" s="2285"/>
    </row>
    <row r="395" spans="13:51" ht="17.25" customHeight="1" x14ac:dyDescent="0.25">
      <c r="M395" s="1594"/>
      <c r="AI395" s="2286"/>
      <c r="AJ395" s="2286"/>
      <c r="AK395" s="2286"/>
      <c r="AL395" s="2286"/>
      <c r="AM395" s="2286"/>
      <c r="AN395" s="2286"/>
      <c r="AO395" s="2285"/>
      <c r="AP395" s="2285"/>
      <c r="AQ395" s="2288"/>
      <c r="AR395" s="1936"/>
      <c r="AS395" s="1936"/>
      <c r="AT395" s="1936"/>
      <c r="AU395" s="1936"/>
    </row>
    <row r="396" spans="13:51" ht="17.25" customHeight="1" x14ac:dyDescent="0.25">
      <c r="M396" s="1594"/>
      <c r="AI396" s="2286"/>
      <c r="AJ396" s="2286"/>
      <c r="AK396" s="2286"/>
      <c r="AL396" s="2286"/>
      <c r="AM396" s="2286"/>
      <c r="AN396" s="2286"/>
      <c r="AO396" s="2288"/>
      <c r="AP396" s="2288"/>
      <c r="AR396" s="2285"/>
      <c r="AS396" s="2285"/>
      <c r="AT396" s="2285"/>
      <c r="AU396" s="2285"/>
    </row>
    <row r="397" spans="13:51" ht="17.25" customHeight="1" x14ac:dyDescent="0.25">
      <c r="M397" s="1594"/>
      <c r="AR397" s="2288"/>
      <c r="AS397" s="2288"/>
      <c r="AT397" s="2288"/>
      <c r="AU397" s="2288"/>
    </row>
    <row r="398" spans="13:51" ht="17.25" customHeight="1" x14ac:dyDescent="0.25">
      <c r="M398" s="1594"/>
      <c r="AI398" s="1389"/>
      <c r="AJ398" s="1389"/>
      <c r="AK398" s="1389"/>
      <c r="AL398" s="1389"/>
      <c r="AM398" s="1389"/>
      <c r="AQ398" s="2285"/>
    </row>
    <row r="399" spans="13:51" ht="17.25" customHeight="1" x14ac:dyDescent="0.25">
      <c r="M399" s="1594"/>
      <c r="AI399" s="2286"/>
      <c r="AJ399" s="2286"/>
      <c r="AK399" s="2286"/>
      <c r="AL399" s="2286"/>
      <c r="AM399" s="2286"/>
      <c r="AN399" s="2286"/>
      <c r="AO399" s="2285"/>
      <c r="AP399" s="2285"/>
      <c r="AR399" s="2285"/>
      <c r="AS399" s="2285"/>
      <c r="AT399" s="2285"/>
      <c r="AU399" s="2285"/>
    </row>
    <row r="400" spans="13:51" ht="17.25" customHeight="1" x14ac:dyDescent="0.25">
      <c r="M400" s="1594"/>
      <c r="AI400" s="2287"/>
      <c r="AJ400" s="2287"/>
      <c r="AK400" s="2287"/>
      <c r="AL400" s="2287"/>
      <c r="AM400" s="2287"/>
      <c r="AN400" s="2122"/>
      <c r="AO400" s="1936"/>
      <c r="AP400" s="1936"/>
      <c r="AR400" s="1936"/>
      <c r="AS400" s="1936"/>
      <c r="AT400" s="1936"/>
      <c r="AU400" s="1936"/>
    </row>
    <row r="401" spans="13:13" ht="17.25" customHeight="1" x14ac:dyDescent="0.25">
      <c r="M401" s="1594"/>
    </row>
    <row r="402" spans="13:13" ht="17.25" customHeight="1" x14ac:dyDescent="0.25">
      <c r="M402" s="1594"/>
    </row>
    <row r="403" spans="13:13" ht="17.25" customHeight="1" x14ac:dyDescent="0.25">
      <c r="M403" s="1594"/>
    </row>
    <row r="404" spans="13:13" ht="17.25" customHeight="1" x14ac:dyDescent="0.25">
      <c r="M404" s="1594"/>
    </row>
    <row r="405" spans="13:13" ht="17.25" customHeight="1" x14ac:dyDescent="0.25">
      <c r="M405" s="1594"/>
    </row>
    <row r="406" spans="13:13" ht="17.25" customHeight="1" x14ac:dyDescent="0.25">
      <c r="M406" s="1594"/>
    </row>
    <row r="407" spans="13:13" ht="17.25" customHeight="1" x14ac:dyDescent="0.25">
      <c r="M407" s="1594"/>
    </row>
    <row r="408" spans="13:13" ht="17.25" customHeight="1" x14ac:dyDescent="0.25">
      <c r="M408" s="1594"/>
    </row>
    <row r="409" spans="13:13" ht="17.25" customHeight="1" x14ac:dyDescent="0.25">
      <c r="M409" s="1594"/>
    </row>
    <row r="410" spans="13:13" ht="17.25" customHeight="1" x14ac:dyDescent="0.25">
      <c r="M410" s="1594"/>
    </row>
    <row r="411" spans="13:13" ht="17.25" customHeight="1" x14ac:dyDescent="0.25">
      <c r="M411" s="1594"/>
    </row>
    <row r="412" spans="13:13" ht="17.25" customHeight="1" x14ac:dyDescent="0.25">
      <c r="M412" s="1594"/>
    </row>
    <row r="413" spans="13:13" ht="17.25" customHeight="1" x14ac:dyDescent="0.25">
      <c r="M413" s="1594"/>
    </row>
    <row r="414" spans="13:13" ht="17.25" customHeight="1" x14ac:dyDescent="0.25">
      <c r="M414" s="1594"/>
    </row>
    <row r="415" spans="13:13" ht="17.25" customHeight="1" x14ac:dyDescent="0.25">
      <c r="M415" s="1594"/>
    </row>
    <row r="416" spans="13:13" ht="17.25" customHeight="1" x14ac:dyDescent="0.25">
      <c r="M416" s="1594"/>
    </row>
    <row r="417" spans="13:13" ht="17.25" customHeight="1" x14ac:dyDescent="0.25">
      <c r="M417" s="1594"/>
    </row>
    <row r="418" spans="13:13" ht="17.25" customHeight="1" x14ac:dyDescent="0.25">
      <c r="M418" s="1594"/>
    </row>
    <row r="419" spans="13:13" ht="17.25" customHeight="1" x14ac:dyDescent="0.25">
      <c r="M419" s="1594"/>
    </row>
    <row r="420" spans="13:13" ht="17.25" customHeight="1" x14ac:dyDescent="0.25">
      <c r="M420" s="1594"/>
    </row>
    <row r="421" spans="13:13" ht="17.25" customHeight="1" x14ac:dyDescent="0.25">
      <c r="M421" s="1594"/>
    </row>
    <row r="422" spans="13:13" ht="17.25" customHeight="1" x14ac:dyDescent="0.25">
      <c r="M422" s="1594"/>
    </row>
    <row r="423" spans="13:13" ht="17.25" customHeight="1" x14ac:dyDescent="0.25">
      <c r="M423" s="1594"/>
    </row>
    <row r="424" spans="13:13" ht="17.25" customHeight="1" x14ac:dyDescent="0.25">
      <c r="M424" s="1594"/>
    </row>
    <row r="425" spans="13:13" ht="17.25" customHeight="1" x14ac:dyDescent="0.25">
      <c r="M425" s="1594"/>
    </row>
    <row r="426" spans="13:13" ht="17.25" customHeight="1" x14ac:dyDescent="0.25">
      <c r="M426" s="1594"/>
    </row>
    <row r="427" spans="13:13" ht="17.25" customHeight="1" x14ac:dyDescent="0.25">
      <c r="M427" s="1594"/>
    </row>
    <row r="428" spans="13:13" ht="17.25" customHeight="1" x14ac:dyDescent="0.25">
      <c r="M428" s="1594"/>
    </row>
    <row r="429" spans="13:13" ht="17.25" customHeight="1" x14ac:dyDescent="0.25">
      <c r="M429" s="1594"/>
    </row>
    <row r="430" spans="13:13" ht="17.25" customHeight="1" x14ac:dyDescent="0.25">
      <c r="M430" s="1594"/>
    </row>
    <row r="431" spans="13:13" ht="17.25" customHeight="1" x14ac:dyDescent="0.25">
      <c r="M431" s="1594"/>
    </row>
    <row r="432" spans="13:13" ht="17.25" customHeight="1" x14ac:dyDescent="0.25">
      <c r="M432" s="1594"/>
    </row>
    <row r="433" spans="13:13" ht="17.25" customHeight="1" x14ac:dyDescent="0.25">
      <c r="M433" s="1594"/>
    </row>
    <row r="434" spans="13:13" ht="17.25" customHeight="1" x14ac:dyDescent="0.25">
      <c r="M434" s="1594"/>
    </row>
    <row r="435" spans="13:13" ht="17.25" customHeight="1" x14ac:dyDescent="0.25">
      <c r="M435" s="1594"/>
    </row>
    <row r="436" spans="13:13" ht="17.25" customHeight="1" x14ac:dyDescent="0.25">
      <c r="M436" s="1594"/>
    </row>
    <row r="437" spans="13:13" ht="17.25" customHeight="1" x14ac:dyDescent="0.25">
      <c r="M437" s="1594"/>
    </row>
    <row r="438" spans="13:13" ht="17.25" customHeight="1" x14ac:dyDescent="0.25">
      <c r="M438" s="1594"/>
    </row>
    <row r="439" spans="13:13" ht="17.25" customHeight="1" x14ac:dyDescent="0.25">
      <c r="M439" s="1594"/>
    </row>
    <row r="440" spans="13:13" ht="17.25" customHeight="1" x14ac:dyDescent="0.25">
      <c r="M440" s="1594"/>
    </row>
    <row r="441" spans="13:13" ht="17.25" customHeight="1" x14ac:dyDescent="0.25">
      <c r="M441" s="1594"/>
    </row>
    <row r="442" spans="13:13" ht="17.25" customHeight="1" x14ac:dyDescent="0.25">
      <c r="M442" s="1594"/>
    </row>
    <row r="443" spans="13:13" ht="17.25" customHeight="1" x14ac:dyDescent="0.25">
      <c r="M443" s="1594"/>
    </row>
    <row r="444" spans="13:13" ht="17.25" customHeight="1" x14ac:dyDescent="0.25">
      <c r="M444" s="1594"/>
    </row>
    <row r="445" spans="13:13" ht="17.25" customHeight="1" x14ac:dyDescent="0.25">
      <c r="M445" s="1594"/>
    </row>
    <row r="446" spans="13:13" ht="17.25" customHeight="1" x14ac:dyDescent="0.25">
      <c r="M446" s="1594"/>
    </row>
    <row r="447" spans="13:13" ht="17.25" customHeight="1" x14ac:dyDescent="0.25">
      <c r="M447" s="1594"/>
    </row>
    <row r="448" spans="13:13" ht="17.25" customHeight="1" x14ac:dyDescent="0.25">
      <c r="M448" s="1594"/>
    </row>
    <row r="449" spans="13:13" ht="17.25" customHeight="1" x14ac:dyDescent="0.25">
      <c r="M449" s="1594"/>
    </row>
    <row r="450" spans="13:13" ht="17.25" customHeight="1" x14ac:dyDescent="0.25">
      <c r="M450" s="1594"/>
    </row>
    <row r="451" spans="13:13" ht="17.25" customHeight="1" x14ac:dyDescent="0.25">
      <c r="M451" s="1594"/>
    </row>
    <row r="452" spans="13:13" ht="17.25" customHeight="1" x14ac:dyDescent="0.25">
      <c r="M452" s="1594"/>
    </row>
    <row r="453" spans="13:13" ht="17.25" customHeight="1" x14ac:dyDescent="0.25">
      <c r="M453" s="1594"/>
    </row>
    <row r="454" spans="13:13" ht="17.25" customHeight="1" x14ac:dyDescent="0.25">
      <c r="M454" s="1594"/>
    </row>
    <row r="455" spans="13:13" ht="17.25" customHeight="1" x14ac:dyDescent="0.25">
      <c r="M455" s="1594"/>
    </row>
    <row r="456" spans="13:13" ht="17.25" customHeight="1" x14ac:dyDescent="0.25">
      <c r="M456" s="1594"/>
    </row>
    <row r="457" spans="13:13" ht="17.25" customHeight="1" x14ac:dyDescent="0.25">
      <c r="M457" s="1594"/>
    </row>
    <row r="458" spans="13:13" ht="17.25" customHeight="1" x14ac:dyDescent="0.25">
      <c r="M458" s="1594"/>
    </row>
    <row r="459" spans="13:13" ht="17.25" customHeight="1" x14ac:dyDescent="0.25">
      <c r="M459" s="1594"/>
    </row>
    <row r="460" spans="13:13" ht="17.25" customHeight="1" x14ac:dyDescent="0.25">
      <c r="M460" s="1594"/>
    </row>
    <row r="461" spans="13:13" ht="17.25" customHeight="1" x14ac:dyDescent="0.25">
      <c r="M461" s="1594"/>
    </row>
    <row r="462" spans="13:13" ht="17.25" customHeight="1" x14ac:dyDescent="0.25">
      <c r="M462" s="1594"/>
    </row>
    <row r="463" spans="13:13" ht="17.25" customHeight="1" x14ac:dyDescent="0.25">
      <c r="M463" s="1594"/>
    </row>
    <row r="464" spans="13:13" ht="17.25" customHeight="1" x14ac:dyDescent="0.25">
      <c r="M464" s="1594"/>
    </row>
    <row r="465" spans="13:13" ht="17.25" customHeight="1" x14ac:dyDescent="0.25">
      <c r="M465" s="1594"/>
    </row>
    <row r="466" spans="13:13" ht="17.25" customHeight="1" x14ac:dyDescent="0.25">
      <c r="M466" s="1594"/>
    </row>
    <row r="467" spans="13:13" ht="17.25" customHeight="1" x14ac:dyDescent="0.25">
      <c r="M467" s="1594"/>
    </row>
    <row r="468" spans="13:13" ht="17.25" customHeight="1" x14ac:dyDescent="0.25">
      <c r="M468" s="1594"/>
    </row>
    <row r="469" spans="13:13" ht="17.25" customHeight="1" x14ac:dyDescent="0.25">
      <c r="M469" s="1594"/>
    </row>
    <row r="470" spans="13:13" ht="17.25" customHeight="1" x14ac:dyDescent="0.25">
      <c r="M470" s="1594"/>
    </row>
    <row r="471" spans="13:13" ht="17.25" customHeight="1" x14ac:dyDescent="0.25">
      <c r="M471" s="1594"/>
    </row>
    <row r="472" spans="13:13" ht="17.25" customHeight="1" x14ac:dyDescent="0.25">
      <c r="M472" s="1594"/>
    </row>
    <row r="473" spans="13:13" ht="17.25" customHeight="1" x14ac:dyDescent="0.25">
      <c r="M473" s="1594"/>
    </row>
    <row r="474" spans="13:13" ht="17.25" customHeight="1" x14ac:dyDescent="0.25">
      <c r="M474" s="1594"/>
    </row>
    <row r="475" spans="13:13" ht="17.25" customHeight="1" x14ac:dyDescent="0.25">
      <c r="M475" s="1594"/>
    </row>
    <row r="476" spans="13:13" ht="17.25" customHeight="1" x14ac:dyDescent="0.25">
      <c r="M476" s="1594"/>
    </row>
    <row r="477" spans="13:13" ht="17.25" customHeight="1" x14ac:dyDescent="0.25">
      <c r="M477" s="1594"/>
    </row>
    <row r="478" spans="13:13" ht="17.25" customHeight="1" x14ac:dyDescent="0.25">
      <c r="M478" s="1594"/>
    </row>
    <row r="479" spans="13:13" ht="17.25" customHeight="1" x14ac:dyDescent="0.25">
      <c r="M479" s="1594"/>
    </row>
    <row r="480" spans="13:13" ht="17.25" customHeight="1" x14ac:dyDescent="0.25">
      <c r="M480" s="1594"/>
    </row>
    <row r="481" spans="13:58" ht="17.25" customHeight="1" x14ac:dyDescent="0.25">
      <c r="M481" s="1594"/>
    </row>
    <row r="482" spans="13:58" ht="17.25" customHeight="1" x14ac:dyDescent="0.25">
      <c r="M482" s="1594"/>
    </row>
    <row r="483" spans="13:58" ht="17.25" customHeight="1" x14ac:dyDescent="0.25">
      <c r="M483" s="1594"/>
    </row>
    <row r="484" spans="13:58" ht="17.25" customHeight="1" x14ac:dyDescent="0.25">
      <c r="M484" s="1594"/>
    </row>
    <row r="485" spans="13:58" ht="17.25" customHeight="1" x14ac:dyDescent="0.25">
      <c r="M485" s="1594"/>
    </row>
    <row r="486" spans="13:58" ht="17.25" customHeight="1" x14ac:dyDescent="0.25">
      <c r="M486" s="1594"/>
    </row>
    <row r="487" spans="13:58" ht="17.25" customHeight="1" x14ac:dyDescent="0.25">
      <c r="M487" s="1594"/>
    </row>
    <row r="488" spans="13:58" ht="17.25" customHeight="1" x14ac:dyDescent="0.25">
      <c r="M488" s="1594"/>
    </row>
    <row r="489" spans="13:58" ht="17.25" customHeight="1" x14ac:dyDescent="0.25">
      <c r="M489" s="1594"/>
    </row>
    <row r="490" spans="13:58" ht="17.25" customHeight="1" x14ac:dyDescent="0.25">
      <c r="M490" s="1594"/>
    </row>
    <row r="491" spans="13:58" ht="17.25" customHeight="1" x14ac:dyDescent="0.25">
      <c r="M491" s="1594"/>
    </row>
    <row r="492" spans="13:58" ht="17.25" customHeight="1" x14ac:dyDescent="0.25">
      <c r="M492" s="1594"/>
    </row>
    <row r="493" spans="13:58" ht="17.25" customHeight="1" x14ac:dyDescent="0.25">
      <c r="M493" s="1594"/>
    </row>
    <row r="494" spans="13:58" ht="17.25" customHeight="1" x14ac:dyDescent="0.25">
      <c r="M494" s="1594"/>
    </row>
    <row r="495" spans="13:58" ht="17.25" customHeight="1" x14ac:dyDescent="0.25">
      <c r="M495" s="1594"/>
      <c r="BF495" s="2291"/>
    </row>
  </sheetData>
  <mergeCells count="988">
    <mergeCell ref="AO26:AQ26"/>
    <mergeCell ref="B27:C27"/>
    <mergeCell ref="E31:H31"/>
    <mergeCell ref="A33:A36"/>
    <mergeCell ref="E34:H34"/>
    <mergeCell ref="AF34:AH34"/>
    <mergeCell ref="AC36:AE36"/>
    <mergeCell ref="A1:BI1"/>
    <mergeCell ref="U10:AU21"/>
    <mergeCell ref="E13:G13"/>
    <mergeCell ref="O14:P14"/>
    <mergeCell ref="A16:B16"/>
    <mergeCell ref="L18:M18"/>
    <mergeCell ref="P19:T19"/>
    <mergeCell ref="A44:B44"/>
    <mergeCell ref="C44:C45"/>
    <mergeCell ref="D44:D45"/>
    <mergeCell ref="J44:J45"/>
    <mergeCell ref="K44:K45"/>
    <mergeCell ref="W44:Z44"/>
    <mergeCell ref="C37:C38"/>
    <mergeCell ref="D37:D38"/>
    <mergeCell ref="I37:I38"/>
    <mergeCell ref="N38:O38"/>
    <mergeCell ref="Y39:Y40"/>
    <mergeCell ref="E41:I41"/>
    <mergeCell ref="BI57:BI59"/>
    <mergeCell ref="AX58:BC62"/>
    <mergeCell ref="E60:H60"/>
    <mergeCell ref="AB44:AE44"/>
    <mergeCell ref="AN44:AP44"/>
    <mergeCell ref="AV44:AX44"/>
    <mergeCell ref="AI46:AK46"/>
    <mergeCell ref="BF46:BI56"/>
    <mergeCell ref="E48:H48"/>
    <mergeCell ref="AB52:AE52"/>
    <mergeCell ref="Q43:R45"/>
    <mergeCell ref="V43:X43"/>
    <mergeCell ref="E67:H67"/>
    <mergeCell ref="AC70:AD73"/>
    <mergeCell ref="AF70:AI73"/>
    <mergeCell ref="E73:H73"/>
    <mergeCell ref="A75:B75"/>
    <mergeCell ref="I76:K76"/>
    <mergeCell ref="A53:B53"/>
    <mergeCell ref="AH53:AH54"/>
    <mergeCell ref="W55:Y55"/>
    <mergeCell ref="AC56:AE56"/>
    <mergeCell ref="W113:X113"/>
    <mergeCell ref="Y113:Z113"/>
    <mergeCell ref="A111:I111"/>
    <mergeCell ref="J111:M111"/>
    <mergeCell ref="Q111:T111"/>
    <mergeCell ref="W111:Z111"/>
    <mergeCell ref="Q112:R112"/>
    <mergeCell ref="S112:T112"/>
    <mergeCell ref="W112:X112"/>
    <mergeCell ref="Y112:Z112"/>
    <mergeCell ref="U114:V114"/>
    <mergeCell ref="A115:D115"/>
    <mergeCell ref="A116:D116"/>
    <mergeCell ref="A118:D118"/>
    <mergeCell ref="A119:D119"/>
    <mergeCell ref="A120:D120"/>
    <mergeCell ref="A113:F113"/>
    <mergeCell ref="G113:I113"/>
    <mergeCell ref="Q113:R113"/>
    <mergeCell ref="S113:T113"/>
    <mergeCell ref="A123:Z123"/>
    <mergeCell ref="D124:H124"/>
    <mergeCell ref="I124:J124"/>
    <mergeCell ref="Q124:U124"/>
    <mergeCell ref="V124:W124"/>
    <mergeCell ref="AC124:AF125"/>
    <mergeCell ref="D125:H125"/>
    <mergeCell ref="I125:J125"/>
    <mergeCell ref="Q125:U125"/>
    <mergeCell ref="V125:W125"/>
    <mergeCell ref="AI125:AN125"/>
    <mergeCell ref="AR125:AW125"/>
    <mergeCell ref="D126:H126"/>
    <mergeCell ref="I126:J126"/>
    <mergeCell ref="Q126:U126"/>
    <mergeCell ref="V126:W126"/>
    <mergeCell ref="AC126:AD126"/>
    <mergeCell ref="AI126:AM126"/>
    <mergeCell ref="AR126:AV126"/>
    <mergeCell ref="AI129:AM129"/>
    <mergeCell ref="AR129:AV129"/>
    <mergeCell ref="A130:I130"/>
    <mergeCell ref="N130:V130"/>
    <mergeCell ref="AI130:AM130"/>
    <mergeCell ref="AR130:AV130"/>
    <mergeCell ref="AR127:AV127"/>
    <mergeCell ref="D128:H128"/>
    <mergeCell ref="I128:J128"/>
    <mergeCell ref="Q128:U128"/>
    <mergeCell ref="V128:W128"/>
    <mergeCell ref="AI128:AM128"/>
    <mergeCell ref="AR128:AV128"/>
    <mergeCell ref="D127:H127"/>
    <mergeCell ref="I127:J127"/>
    <mergeCell ref="Q127:U127"/>
    <mergeCell ref="V127:W127"/>
    <mergeCell ref="AC127:AF127"/>
    <mergeCell ref="AI127:AM127"/>
    <mergeCell ref="A132:C132"/>
    <mergeCell ref="G132:I132"/>
    <mergeCell ref="N132:P132"/>
    <mergeCell ref="T132:V132"/>
    <mergeCell ref="AI132:AM132"/>
    <mergeCell ref="AR132:AV132"/>
    <mergeCell ref="A131:C131"/>
    <mergeCell ref="G131:I131"/>
    <mergeCell ref="N131:P131"/>
    <mergeCell ref="T131:V131"/>
    <mergeCell ref="AI131:AM131"/>
    <mergeCell ref="AR131:AV131"/>
    <mergeCell ref="A134:C134"/>
    <mergeCell ref="G134:I134"/>
    <mergeCell ref="N134:P134"/>
    <mergeCell ref="T134:V134"/>
    <mergeCell ref="AI134:AM134"/>
    <mergeCell ref="AR134:AV134"/>
    <mergeCell ref="A133:C133"/>
    <mergeCell ref="G133:I133"/>
    <mergeCell ref="N133:P133"/>
    <mergeCell ref="T133:V133"/>
    <mergeCell ref="AI133:AM133"/>
    <mergeCell ref="AR133:AV133"/>
    <mergeCell ref="A136:C136"/>
    <mergeCell ref="G136:I136"/>
    <mergeCell ref="N136:P136"/>
    <mergeCell ref="T136:V136"/>
    <mergeCell ref="AI136:AM136"/>
    <mergeCell ref="AR136:AV136"/>
    <mergeCell ref="A135:C135"/>
    <mergeCell ref="G135:I135"/>
    <mergeCell ref="N135:P135"/>
    <mergeCell ref="T135:V135"/>
    <mergeCell ref="AI135:AM135"/>
    <mergeCell ref="AR135:AV135"/>
    <mergeCell ref="A138:C138"/>
    <mergeCell ref="G138:I138"/>
    <mergeCell ref="N138:P138"/>
    <mergeCell ref="T138:V138"/>
    <mergeCell ref="AI138:AM138"/>
    <mergeCell ref="AR138:AV138"/>
    <mergeCell ref="A137:C137"/>
    <mergeCell ref="G137:I137"/>
    <mergeCell ref="N137:P137"/>
    <mergeCell ref="T137:V137"/>
    <mergeCell ref="AI137:AM137"/>
    <mergeCell ref="AR137:AV137"/>
    <mergeCell ref="A140:C140"/>
    <mergeCell ref="G140:I140"/>
    <mergeCell ref="N140:P140"/>
    <mergeCell ref="T140:V140"/>
    <mergeCell ref="AI140:AM140"/>
    <mergeCell ref="AR140:AV140"/>
    <mergeCell ref="A139:C139"/>
    <mergeCell ref="G139:I139"/>
    <mergeCell ref="N139:P139"/>
    <mergeCell ref="T139:V139"/>
    <mergeCell ref="AI139:AM139"/>
    <mergeCell ref="AR139:AV139"/>
    <mergeCell ref="A142:C142"/>
    <mergeCell ref="G142:I142"/>
    <mergeCell ref="N142:P142"/>
    <mergeCell ref="T142:V142"/>
    <mergeCell ref="AI142:AM142"/>
    <mergeCell ref="AR142:AV142"/>
    <mergeCell ref="A141:C141"/>
    <mergeCell ref="G141:I141"/>
    <mergeCell ref="N141:P141"/>
    <mergeCell ref="T141:V141"/>
    <mergeCell ref="AI141:AM141"/>
    <mergeCell ref="AR141:AV141"/>
    <mergeCell ref="A144:C144"/>
    <mergeCell ref="G144:I144"/>
    <mergeCell ref="N144:P144"/>
    <mergeCell ref="T144:V144"/>
    <mergeCell ref="AI144:AM144"/>
    <mergeCell ref="AR144:AV144"/>
    <mergeCell ref="A143:C143"/>
    <mergeCell ref="G143:I143"/>
    <mergeCell ref="N143:P143"/>
    <mergeCell ref="T143:V143"/>
    <mergeCell ref="AI143:AM143"/>
    <mergeCell ref="AR143:AV143"/>
    <mergeCell ref="A146:C146"/>
    <mergeCell ref="G146:I146"/>
    <mergeCell ref="N146:P146"/>
    <mergeCell ref="T146:V146"/>
    <mergeCell ref="AI146:AM146"/>
    <mergeCell ref="AR146:AV146"/>
    <mergeCell ref="A145:C145"/>
    <mergeCell ref="G145:I145"/>
    <mergeCell ref="N145:P145"/>
    <mergeCell ref="T145:V145"/>
    <mergeCell ref="AI145:AM145"/>
    <mergeCell ref="AR145:AV145"/>
    <mergeCell ref="A148:C148"/>
    <mergeCell ref="G148:I148"/>
    <mergeCell ref="N148:P148"/>
    <mergeCell ref="T148:V148"/>
    <mergeCell ref="AI148:AM148"/>
    <mergeCell ref="AR148:AV148"/>
    <mergeCell ref="A147:C147"/>
    <mergeCell ref="G147:I147"/>
    <mergeCell ref="N147:P147"/>
    <mergeCell ref="T147:V147"/>
    <mergeCell ref="AI147:AM147"/>
    <mergeCell ref="AR147:AV147"/>
    <mergeCell ref="A150:C150"/>
    <mergeCell ref="G150:I150"/>
    <mergeCell ref="N150:P150"/>
    <mergeCell ref="T150:V150"/>
    <mergeCell ref="AI150:AM150"/>
    <mergeCell ref="AR150:AV150"/>
    <mergeCell ref="A149:C149"/>
    <mergeCell ref="G149:I149"/>
    <mergeCell ref="N149:P149"/>
    <mergeCell ref="T149:V149"/>
    <mergeCell ref="AI149:AM149"/>
    <mergeCell ref="AR149:AV149"/>
    <mergeCell ref="AR151:AV151"/>
    <mergeCell ref="A152:E152"/>
    <mergeCell ref="G152:I152"/>
    <mergeCell ref="N152:R152"/>
    <mergeCell ref="T152:V152"/>
    <mergeCell ref="AI152:AM152"/>
    <mergeCell ref="AR152:AV152"/>
    <mergeCell ref="A151:C151"/>
    <mergeCell ref="G151:I151"/>
    <mergeCell ref="N151:P151"/>
    <mergeCell ref="T151:V151"/>
    <mergeCell ref="AC151:AF151"/>
    <mergeCell ref="AI151:AM151"/>
    <mergeCell ref="A153:I153"/>
    <mergeCell ref="N153:V153"/>
    <mergeCell ref="AI153:AM153"/>
    <mergeCell ref="AR153:AV153"/>
    <mergeCell ref="A154:C154"/>
    <mergeCell ref="G154:I154"/>
    <mergeCell ref="N154:P154"/>
    <mergeCell ref="T154:V154"/>
    <mergeCell ref="AI154:AM154"/>
    <mergeCell ref="AR154:AV154"/>
    <mergeCell ref="A156:C156"/>
    <mergeCell ref="G156:I156"/>
    <mergeCell ref="N156:P156"/>
    <mergeCell ref="T156:V156"/>
    <mergeCell ref="AI156:AM156"/>
    <mergeCell ref="AR156:AV156"/>
    <mergeCell ref="A155:C155"/>
    <mergeCell ref="G155:I155"/>
    <mergeCell ref="N155:P155"/>
    <mergeCell ref="T155:V155"/>
    <mergeCell ref="AI155:AM155"/>
    <mergeCell ref="AR155:AV155"/>
    <mergeCell ref="A158:C158"/>
    <mergeCell ref="G158:I158"/>
    <mergeCell ref="N158:P158"/>
    <mergeCell ref="T158:V158"/>
    <mergeCell ref="AI158:AM158"/>
    <mergeCell ref="AR158:AV158"/>
    <mergeCell ref="A157:C157"/>
    <mergeCell ref="G157:I157"/>
    <mergeCell ref="N157:P157"/>
    <mergeCell ref="T157:V157"/>
    <mergeCell ref="AI157:AM157"/>
    <mergeCell ref="AR157:AV157"/>
    <mergeCell ref="A160:C160"/>
    <mergeCell ref="G160:I160"/>
    <mergeCell ref="N160:P160"/>
    <mergeCell ref="T160:V160"/>
    <mergeCell ref="AI160:AM160"/>
    <mergeCell ref="AR160:AV160"/>
    <mergeCell ref="A159:C159"/>
    <mergeCell ref="G159:I159"/>
    <mergeCell ref="N159:P159"/>
    <mergeCell ref="T159:V159"/>
    <mergeCell ref="AI159:AM159"/>
    <mergeCell ref="AR159:AV159"/>
    <mergeCell ref="A162:C162"/>
    <mergeCell ref="G162:I162"/>
    <mergeCell ref="N162:P162"/>
    <mergeCell ref="T162:V162"/>
    <mergeCell ref="AI162:AM162"/>
    <mergeCell ref="AR162:AV162"/>
    <mergeCell ref="A161:C161"/>
    <mergeCell ref="G161:I161"/>
    <mergeCell ref="N161:P161"/>
    <mergeCell ref="T161:V161"/>
    <mergeCell ref="AI161:AM161"/>
    <mergeCell ref="AR161:AV161"/>
    <mergeCell ref="A165:C165"/>
    <mergeCell ref="G165:I165"/>
    <mergeCell ref="N165:P165"/>
    <mergeCell ref="T165:V165"/>
    <mergeCell ref="AI165:AM165"/>
    <mergeCell ref="AR165:AV165"/>
    <mergeCell ref="A163:C163"/>
    <mergeCell ref="G163:I163"/>
    <mergeCell ref="N163:P163"/>
    <mergeCell ref="T163:V163"/>
    <mergeCell ref="AI163:AM163"/>
    <mergeCell ref="A164:C164"/>
    <mergeCell ref="G164:I164"/>
    <mergeCell ref="N164:P164"/>
    <mergeCell ref="T164:V164"/>
    <mergeCell ref="AI164:AM164"/>
    <mergeCell ref="A167:C167"/>
    <mergeCell ref="G167:I167"/>
    <mergeCell ref="N167:P167"/>
    <mergeCell ref="T167:V167"/>
    <mergeCell ref="AI167:AM167"/>
    <mergeCell ref="AR167:AV167"/>
    <mergeCell ref="A166:C166"/>
    <mergeCell ref="G166:I166"/>
    <mergeCell ref="N166:P166"/>
    <mergeCell ref="T166:V166"/>
    <mergeCell ref="AI166:AM166"/>
    <mergeCell ref="AR166:AV166"/>
    <mergeCell ref="AR169:AW169"/>
    <mergeCell ref="A170:C170"/>
    <mergeCell ref="G170:I170"/>
    <mergeCell ref="N170:P170"/>
    <mergeCell ref="T170:V170"/>
    <mergeCell ref="AI170:AM170"/>
    <mergeCell ref="AR170:AV170"/>
    <mergeCell ref="A168:C168"/>
    <mergeCell ref="G168:I168"/>
    <mergeCell ref="N168:P168"/>
    <mergeCell ref="T168:V168"/>
    <mergeCell ref="AI168:AM168"/>
    <mergeCell ref="A169:C169"/>
    <mergeCell ref="G169:I169"/>
    <mergeCell ref="N169:P169"/>
    <mergeCell ref="T169:V169"/>
    <mergeCell ref="AI169:AM169"/>
    <mergeCell ref="A172:E172"/>
    <mergeCell ref="G172:I172"/>
    <mergeCell ref="N172:R172"/>
    <mergeCell ref="T172:V172"/>
    <mergeCell ref="AI172:AM172"/>
    <mergeCell ref="AR172:AV172"/>
    <mergeCell ref="A171:C171"/>
    <mergeCell ref="G171:I171"/>
    <mergeCell ref="N171:P171"/>
    <mergeCell ref="T171:V171"/>
    <mergeCell ref="AI171:AM171"/>
    <mergeCell ref="AR171:AV171"/>
    <mergeCell ref="A173:I173"/>
    <mergeCell ref="N173:V173"/>
    <mergeCell ref="AI173:AM173"/>
    <mergeCell ref="AR173:AV173"/>
    <mergeCell ref="A174:C174"/>
    <mergeCell ref="G174:I174"/>
    <mergeCell ref="N174:P174"/>
    <mergeCell ref="T174:V174"/>
    <mergeCell ref="AI174:AM174"/>
    <mergeCell ref="AR174:AV174"/>
    <mergeCell ref="A176:E176"/>
    <mergeCell ref="G176:I176"/>
    <mergeCell ref="N176:R176"/>
    <mergeCell ref="T176:V176"/>
    <mergeCell ref="AI176:AM176"/>
    <mergeCell ref="AR176:AV176"/>
    <mergeCell ref="A175:C175"/>
    <mergeCell ref="G175:I175"/>
    <mergeCell ref="N175:P175"/>
    <mergeCell ref="T175:V175"/>
    <mergeCell ref="AI175:AM175"/>
    <mergeCell ref="AR175:AV175"/>
    <mergeCell ref="A179:C179"/>
    <mergeCell ref="G179:I179"/>
    <mergeCell ref="N179:P179"/>
    <mergeCell ref="T179:V179"/>
    <mergeCell ref="AI179:AM179"/>
    <mergeCell ref="AR179:AV179"/>
    <mergeCell ref="A177:I177"/>
    <mergeCell ref="N177:V177"/>
    <mergeCell ref="AI177:AM177"/>
    <mergeCell ref="AR177:AV177"/>
    <mergeCell ref="A178:C178"/>
    <mergeCell ref="G178:I178"/>
    <mergeCell ref="N178:P178"/>
    <mergeCell ref="T178:V178"/>
    <mergeCell ref="AI178:AM178"/>
    <mergeCell ref="AR178:AV178"/>
    <mergeCell ref="A181:C181"/>
    <mergeCell ref="G181:I181"/>
    <mergeCell ref="N181:P181"/>
    <mergeCell ref="T181:V181"/>
    <mergeCell ref="AI181:AM181"/>
    <mergeCell ref="AR181:AV181"/>
    <mergeCell ref="A180:C180"/>
    <mergeCell ref="G180:I180"/>
    <mergeCell ref="N180:P180"/>
    <mergeCell ref="T180:V180"/>
    <mergeCell ref="AI180:AM180"/>
    <mergeCell ref="AR180:AV180"/>
    <mergeCell ref="A183:C183"/>
    <mergeCell ref="G183:I183"/>
    <mergeCell ref="N183:P183"/>
    <mergeCell ref="T183:V183"/>
    <mergeCell ref="AI183:AM183"/>
    <mergeCell ref="AR183:AV183"/>
    <mergeCell ref="A182:C182"/>
    <mergeCell ref="G182:I182"/>
    <mergeCell ref="N182:P182"/>
    <mergeCell ref="T182:V182"/>
    <mergeCell ref="AI182:AM182"/>
    <mergeCell ref="AR182:AV182"/>
    <mergeCell ref="A185:C185"/>
    <mergeCell ref="G185:I185"/>
    <mergeCell ref="N185:P185"/>
    <mergeCell ref="T185:V185"/>
    <mergeCell ref="AI185:AM185"/>
    <mergeCell ref="AR185:AV185"/>
    <mergeCell ref="A184:C184"/>
    <mergeCell ref="G184:I184"/>
    <mergeCell ref="N184:P184"/>
    <mergeCell ref="T184:V184"/>
    <mergeCell ref="AI184:AM184"/>
    <mergeCell ref="AR184:AV184"/>
    <mergeCell ref="A187:C187"/>
    <mergeCell ref="G187:I187"/>
    <mergeCell ref="N187:P187"/>
    <mergeCell ref="T187:V187"/>
    <mergeCell ref="AI187:AM187"/>
    <mergeCell ref="AR187:AV187"/>
    <mergeCell ref="A186:C186"/>
    <mergeCell ref="G186:I186"/>
    <mergeCell ref="N186:P186"/>
    <mergeCell ref="T186:V186"/>
    <mergeCell ref="AI186:AM186"/>
    <mergeCell ref="AR186:AV186"/>
    <mergeCell ref="A189:C189"/>
    <mergeCell ref="G189:I189"/>
    <mergeCell ref="N189:P189"/>
    <mergeCell ref="T189:V189"/>
    <mergeCell ref="AI189:AM189"/>
    <mergeCell ref="AR189:AV189"/>
    <mergeCell ref="A188:C188"/>
    <mergeCell ref="G188:I188"/>
    <mergeCell ref="N188:P188"/>
    <mergeCell ref="T188:V188"/>
    <mergeCell ref="AI188:AM188"/>
    <mergeCell ref="AR188:AV188"/>
    <mergeCell ref="A191:C191"/>
    <mergeCell ref="G191:I191"/>
    <mergeCell ref="N191:P191"/>
    <mergeCell ref="T191:V191"/>
    <mergeCell ref="AI191:AM191"/>
    <mergeCell ref="AR191:AV191"/>
    <mergeCell ref="A190:C190"/>
    <mergeCell ref="G190:I190"/>
    <mergeCell ref="N190:P190"/>
    <mergeCell ref="T190:V190"/>
    <mergeCell ref="AI190:AM190"/>
    <mergeCell ref="AR190:AV190"/>
    <mergeCell ref="A193:C193"/>
    <mergeCell ref="G193:I193"/>
    <mergeCell ref="N193:P193"/>
    <mergeCell ref="T193:V193"/>
    <mergeCell ref="AI193:AM193"/>
    <mergeCell ref="AR193:AV193"/>
    <mergeCell ref="A192:C192"/>
    <mergeCell ref="G192:I192"/>
    <mergeCell ref="N192:P192"/>
    <mergeCell ref="T192:V192"/>
    <mergeCell ref="AI192:AM192"/>
    <mergeCell ref="AR192:AV192"/>
    <mergeCell ref="A195:E195"/>
    <mergeCell ref="G195:I195"/>
    <mergeCell ref="N195:R195"/>
    <mergeCell ref="T195:V195"/>
    <mergeCell ref="AI195:AM195"/>
    <mergeCell ref="AR195:AV195"/>
    <mergeCell ref="A194:C194"/>
    <mergeCell ref="G194:I194"/>
    <mergeCell ref="N194:P194"/>
    <mergeCell ref="T194:V194"/>
    <mergeCell ref="AI194:AM194"/>
    <mergeCell ref="AR194:AV194"/>
    <mergeCell ref="AI196:AM196"/>
    <mergeCell ref="AR196:AV196"/>
    <mergeCell ref="AI197:AM197"/>
    <mergeCell ref="AR197:AV197"/>
    <mergeCell ref="A198:E198"/>
    <mergeCell ref="G198:I198"/>
    <mergeCell ref="N198:R198"/>
    <mergeCell ref="T198:V198"/>
    <mergeCell ref="AI198:AM198"/>
    <mergeCell ref="AR198:AV198"/>
    <mergeCell ref="AI199:AM199"/>
    <mergeCell ref="AR199:AV199"/>
    <mergeCell ref="A200:C200"/>
    <mergeCell ref="D200:E200"/>
    <mergeCell ref="G200:I200"/>
    <mergeCell ref="N200:P200"/>
    <mergeCell ref="Q200:R200"/>
    <mergeCell ref="T200:V200"/>
    <mergeCell ref="AI200:AM200"/>
    <mergeCell ref="AR200:AV200"/>
    <mergeCell ref="A199:C199"/>
    <mergeCell ref="D199:E199"/>
    <mergeCell ref="G199:I199"/>
    <mergeCell ref="N199:P199"/>
    <mergeCell ref="Q199:R199"/>
    <mergeCell ref="T199:V199"/>
    <mergeCell ref="A203:E203"/>
    <mergeCell ref="G203:I203"/>
    <mergeCell ref="N203:R203"/>
    <mergeCell ref="T203:V203"/>
    <mergeCell ref="AI203:AM203"/>
    <mergeCell ref="AR203:AV203"/>
    <mergeCell ref="AI201:AM201"/>
    <mergeCell ref="AR201:AV201"/>
    <mergeCell ref="A202:C202"/>
    <mergeCell ref="D202:E202"/>
    <mergeCell ref="G202:I202"/>
    <mergeCell ref="N202:P202"/>
    <mergeCell ref="Q202:R202"/>
    <mergeCell ref="T202:V202"/>
    <mergeCell ref="AI202:AM202"/>
    <mergeCell ref="AR202:AV202"/>
    <mergeCell ref="A201:C201"/>
    <mergeCell ref="D201:E201"/>
    <mergeCell ref="G201:I201"/>
    <mergeCell ref="N201:P201"/>
    <mergeCell ref="Q201:R201"/>
    <mergeCell ref="T201:V201"/>
    <mergeCell ref="AR204:AV204"/>
    <mergeCell ref="AI205:AN205"/>
    <mergeCell ref="AR205:AV205"/>
    <mergeCell ref="A206:E206"/>
    <mergeCell ref="G206:I206"/>
    <mergeCell ref="N206:R206"/>
    <mergeCell ref="T206:V206"/>
    <mergeCell ref="AI206:AM206"/>
    <mergeCell ref="AR206:AV206"/>
    <mergeCell ref="AI207:AM207"/>
    <mergeCell ref="AR207:AV207"/>
    <mergeCell ref="A208:C208"/>
    <mergeCell ref="D208:E208"/>
    <mergeCell ref="G208:I208"/>
    <mergeCell ref="N208:P208"/>
    <mergeCell ref="Q208:R208"/>
    <mergeCell ref="T208:V208"/>
    <mergeCell ref="AI208:AM208"/>
    <mergeCell ref="AR208:AV208"/>
    <mergeCell ref="A207:C207"/>
    <mergeCell ref="D207:E207"/>
    <mergeCell ref="G207:I207"/>
    <mergeCell ref="N207:P207"/>
    <mergeCell ref="Q207:R207"/>
    <mergeCell ref="T207:V207"/>
    <mergeCell ref="AI209:AM209"/>
    <mergeCell ref="AR209:AV209"/>
    <mergeCell ref="A210:E210"/>
    <mergeCell ref="G210:I210"/>
    <mergeCell ref="N210:R210"/>
    <mergeCell ref="T210:V210"/>
    <mergeCell ref="AI210:AM210"/>
    <mergeCell ref="AR210:AV210"/>
    <mergeCell ref="A209:C209"/>
    <mergeCell ref="D209:E209"/>
    <mergeCell ref="G209:I209"/>
    <mergeCell ref="N209:P209"/>
    <mergeCell ref="Q209:R209"/>
    <mergeCell ref="T209:V209"/>
    <mergeCell ref="AI211:AM211"/>
    <mergeCell ref="AR211:AV211"/>
    <mergeCell ref="AI212:AM212"/>
    <mergeCell ref="AR212:AV212"/>
    <mergeCell ref="A213:E213"/>
    <mergeCell ref="G213:I213"/>
    <mergeCell ref="N213:R213"/>
    <mergeCell ref="T213:V213"/>
    <mergeCell ref="AI213:AM213"/>
    <mergeCell ref="AR213:AV213"/>
    <mergeCell ref="AI214:AM214"/>
    <mergeCell ref="AR214:AV214"/>
    <mergeCell ref="A215:C215"/>
    <mergeCell ref="D215:E215"/>
    <mergeCell ref="G215:I215"/>
    <mergeCell ref="N215:P215"/>
    <mergeCell ref="Q215:R215"/>
    <mergeCell ref="T215:V215"/>
    <mergeCell ref="AI215:AM215"/>
    <mergeCell ref="AR215:AV215"/>
    <mergeCell ref="A214:C214"/>
    <mergeCell ref="D214:E214"/>
    <mergeCell ref="G214:I214"/>
    <mergeCell ref="N214:P214"/>
    <mergeCell ref="Q214:R214"/>
    <mergeCell ref="T214:V214"/>
    <mergeCell ref="A218:E218"/>
    <mergeCell ref="G218:I218"/>
    <mergeCell ref="N218:R218"/>
    <mergeCell ref="T218:V218"/>
    <mergeCell ref="AI218:AM218"/>
    <mergeCell ref="AR218:AV218"/>
    <mergeCell ref="AI216:AM216"/>
    <mergeCell ref="AR216:AV216"/>
    <mergeCell ref="A217:C217"/>
    <mergeCell ref="D217:E217"/>
    <mergeCell ref="G217:I217"/>
    <mergeCell ref="N217:P217"/>
    <mergeCell ref="Q217:R217"/>
    <mergeCell ref="T217:V217"/>
    <mergeCell ref="AI217:AM217"/>
    <mergeCell ref="AR217:AV217"/>
    <mergeCell ref="A216:C216"/>
    <mergeCell ref="D216:E216"/>
    <mergeCell ref="G216:I216"/>
    <mergeCell ref="N216:P216"/>
    <mergeCell ref="Q216:R216"/>
    <mergeCell ref="T216:V216"/>
    <mergeCell ref="AI219:AM219"/>
    <mergeCell ref="AR219:AV219"/>
    <mergeCell ref="AI220:AM220"/>
    <mergeCell ref="AR220:AV220"/>
    <mergeCell ref="A221:E221"/>
    <mergeCell ref="G221:I221"/>
    <mergeCell ref="N221:R221"/>
    <mergeCell ref="T221:V221"/>
    <mergeCell ref="AI221:AM221"/>
    <mergeCell ref="AR221:AV221"/>
    <mergeCell ref="AI222:AM222"/>
    <mergeCell ref="AR222:AV222"/>
    <mergeCell ref="A223:C223"/>
    <mergeCell ref="D223:E223"/>
    <mergeCell ref="G223:I223"/>
    <mergeCell ref="N223:P223"/>
    <mergeCell ref="Q223:R223"/>
    <mergeCell ref="T223:V223"/>
    <mergeCell ref="AI223:AM223"/>
    <mergeCell ref="AR223:AV223"/>
    <mergeCell ref="A222:C222"/>
    <mergeCell ref="D222:E222"/>
    <mergeCell ref="G222:I222"/>
    <mergeCell ref="N222:P222"/>
    <mergeCell ref="Q222:R222"/>
    <mergeCell ref="T222:V222"/>
    <mergeCell ref="AI224:AM224"/>
    <mergeCell ref="AR224:AV224"/>
    <mergeCell ref="A225:E225"/>
    <mergeCell ref="G225:I225"/>
    <mergeCell ref="N225:R225"/>
    <mergeCell ref="T225:V225"/>
    <mergeCell ref="AI225:AM225"/>
    <mergeCell ref="A224:C224"/>
    <mergeCell ref="D224:E224"/>
    <mergeCell ref="G224:I224"/>
    <mergeCell ref="N224:P224"/>
    <mergeCell ref="Q224:R224"/>
    <mergeCell ref="T224:V224"/>
    <mergeCell ref="AI226:AM226"/>
    <mergeCell ref="AR226:AW226"/>
    <mergeCell ref="AI227:AM227"/>
    <mergeCell ref="AR227:AV227"/>
    <mergeCell ref="A228:E228"/>
    <mergeCell ref="G228:I228"/>
    <mergeCell ref="N228:R228"/>
    <mergeCell ref="T228:V228"/>
    <mergeCell ref="AI228:AM228"/>
    <mergeCell ref="AR228:AV228"/>
    <mergeCell ref="A232:Z233"/>
    <mergeCell ref="AI232:AM232"/>
    <mergeCell ref="AR232:AV232"/>
    <mergeCell ref="AI233:AM233"/>
    <mergeCell ref="AR233:AV233"/>
    <mergeCell ref="AI234:AM234"/>
    <mergeCell ref="AR234:AV234"/>
    <mergeCell ref="AI229:AM229"/>
    <mergeCell ref="AR229:AV229"/>
    <mergeCell ref="AI230:AM230"/>
    <mergeCell ref="AR230:AV230"/>
    <mergeCell ref="AI231:AM231"/>
    <mergeCell ref="AR231:AV231"/>
    <mergeCell ref="AI238:AN238"/>
    <mergeCell ref="AR238:AV238"/>
    <mergeCell ref="A239:E239"/>
    <mergeCell ref="G239:I239"/>
    <mergeCell ref="N239:R239"/>
    <mergeCell ref="T239:V239"/>
    <mergeCell ref="AI239:AM239"/>
    <mergeCell ref="AR239:AV239"/>
    <mergeCell ref="A235:G235"/>
    <mergeCell ref="AI235:AM235"/>
    <mergeCell ref="AR235:AV235"/>
    <mergeCell ref="AR236:AV236"/>
    <mergeCell ref="A237:E237"/>
    <mergeCell ref="F237:G237"/>
    <mergeCell ref="N237:R237"/>
    <mergeCell ref="S237:T237"/>
    <mergeCell ref="AR237:AV237"/>
    <mergeCell ref="A241:E241"/>
    <mergeCell ref="G241:I241"/>
    <mergeCell ref="N241:R241"/>
    <mergeCell ref="T241:V241"/>
    <mergeCell ref="AI241:AM241"/>
    <mergeCell ref="AR241:AV241"/>
    <mergeCell ref="A240:E240"/>
    <mergeCell ref="G240:I240"/>
    <mergeCell ref="N240:R240"/>
    <mergeCell ref="T240:V240"/>
    <mergeCell ref="AI240:AM240"/>
    <mergeCell ref="AR240:AV240"/>
    <mergeCell ref="A244:E244"/>
    <mergeCell ref="G244:I244"/>
    <mergeCell ref="N244:R244"/>
    <mergeCell ref="T244:V244"/>
    <mergeCell ref="AI244:AN244"/>
    <mergeCell ref="AR244:AV244"/>
    <mergeCell ref="A242:E242"/>
    <mergeCell ref="G242:I242"/>
    <mergeCell ref="N242:R242"/>
    <mergeCell ref="T242:V242"/>
    <mergeCell ref="AR242:AV242"/>
    <mergeCell ref="A243:E243"/>
    <mergeCell ref="G243:I243"/>
    <mergeCell ref="N243:R243"/>
    <mergeCell ref="T243:V243"/>
    <mergeCell ref="AR243:AV243"/>
    <mergeCell ref="A246:E246"/>
    <mergeCell ref="G246:I246"/>
    <mergeCell ref="N246:R246"/>
    <mergeCell ref="T246:V246"/>
    <mergeCell ref="AI246:AM246"/>
    <mergeCell ref="AR246:AV246"/>
    <mergeCell ref="A245:E245"/>
    <mergeCell ref="G245:I245"/>
    <mergeCell ref="N245:R245"/>
    <mergeCell ref="T245:V245"/>
    <mergeCell ref="AI245:AM245"/>
    <mergeCell ref="AR245:AV245"/>
    <mergeCell ref="A247:E247"/>
    <mergeCell ref="N247:R247"/>
    <mergeCell ref="AI247:AM247"/>
    <mergeCell ref="AR247:AV247"/>
    <mergeCell ref="A248:E248"/>
    <mergeCell ref="G248:I248"/>
    <mergeCell ref="N248:R248"/>
    <mergeCell ref="T248:V248"/>
    <mergeCell ref="AI248:AM248"/>
    <mergeCell ref="AR248:AV248"/>
    <mergeCell ref="A250:E250"/>
    <mergeCell ref="G250:I250"/>
    <mergeCell ref="N250:R250"/>
    <mergeCell ref="T250:V250"/>
    <mergeCell ref="AI250:AM250"/>
    <mergeCell ref="AR250:AV250"/>
    <mergeCell ref="A249:E249"/>
    <mergeCell ref="G249:I249"/>
    <mergeCell ref="N249:R249"/>
    <mergeCell ref="T249:V249"/>
    <mergeCell ref="AI249:AM249"/>
    <mergeCell ref="AR249:AV249"/>
    <mergeCell ref="A252:E252"/>
    <mergeCell ref="G252:I252"/>
    <mergeCell ref="N252:R252"/>
    <mergeCell ref="T252:V252"/>
    <mergeCell ref="AI252:AM252"/>
    <mergeCell ref="AR252:AV252"/>
    <mergeCell ref="A251:E251"/>
    <mergeCell ref="G251:I251"/>
    <mergeCell ref="N251:R251"/>
    <mergeCell ref="T251:V251"/>
    <mergeCell ref="AI251:AM251"/>
    <mergeCell ref="AR251:AV251"/>
    <mergeCell ref="A255:E255"/>
    <mergeCell ref="G255:I255"/>
    <mergeCell ref="N255:R255"/>
    <mergeCell ref="T255:V255"/>
    <mergeCell ref="AI255:AN255"/>
    <mergeCell ref="AR255:AV255"/>
    <mergeCell ref="A253:E253"/>
    <mergeCell ref="G253:I253"/>
    <mergeCell ref="N253:R253"/>
    <mergeCell ref="T253:V253"/>
    <mergeCell ref="AR253:AV253"/>
    <mergeCell ref="A254:E254"/>
    <mergeCell ref="G254:I254"/>
    <mergeCell ref="N254:R254"/>
    <mergeCell ref="T254:V254"/>
    <mergeCell ref="AR254:AV254"/>
    <mergeCell ref="A257:E257"/>
    <mergeCell ref="G257:I257"/>
    <mergeCell ref="N257:R257"/>
    <mergeCell ref="T257:V257"/>
    <mergeCell ref="AI257:AM257"/>
    <mergeCell ref="AR257:AV257"/>
    <mergeCell ref="A256:E256"/>
    <mergeCell ref="G256:I256"/>
    <mergeCell ref="N256:R256"/>
    <mergeCell ref="T256:V256"/>
    <mergeCell ref="AI256:AM256"/>
    <mergeCell ref="AR256:AV256"/>
    <mergeCell ref="A259:E259"/>
    <mergeCell ref="G259:I259"/>
    <mergeCell ref="N259:R259"/>
    <mergeCell ref="T259:V259"/>
    <mergeCell ref="AI259:AM259"/>
    <mergeCell ref="AR259:AV259"/>
    <mergeCell ref="A258:E258"/>
    <mergeCell ref="G258:I258"/>
    <mergeCell ref="N258:R258"/>
    <mergeCell ref="T258:V258"/>
    <mergeCell ref="AI258:AM258"/>
    <mergeCell ref="AR258:AV258"/>
    <mergeCell ref="A261:E261"/>
    <mergeCell ref="G261:I261"/>
    <mergeCell ref="N261:R261"/>
    <mergeCell ref="T261:V261"/>
    <mergeCell ref="AI261:AM261"/>
    <mergeCell ref="AR261:AV261"/>
    <mergeCell ref="A260:E260"/>
    <mergeCell ref="G260:I260"/>
    <mergeCell ref="N260:R260"/>
    <mergeCell ref="T260:V260"/>
    <mergeCell ref="AI260:AM260"/>
    <mergeCell ref="AR260:AV260"/>
    <mergeCell ref="A262:E262"/>
    <mergeCell ref="N262:R262"/>
    <mergeCell ref="AI262:AM262"/>
    <mergeCell ref="AR262:AV262"/>
    <mergeCell ref="A263:E263"/>
    <mergeCell ref="G263:I263"/>
    <mergeCell ref="N263:R263"/>
    <mergeCell ref="T263:V263"/>
    <mergeCell ref="AI263:AM263"/>
    <mergeCell ref="AR263:AV263"/>
    <mergeCell ref="A265:E265"/>
    <mergeCell ref="G265:I265"/>
    <mergeCell ref="N265:R265"/>
    <mergeCell ref="T265:V265"/>
    <mergeCell ref="AI265:AM265"/>
    <mergeCell ref="AR265:AV265"/>
    <mergeCell ref="A264:E264"/>
    <mergeCell ref="G264:I264"/>
    <mergeCell ref="N264:R264"/>
    <mergeCell ref="T264:V264"/>
    <mergeCell ref="AI264:AM264"/>
    <mergeCell ref="AR264:AV264"/>
    <mergeCell ref="A266:E266"/>
    <mergeCell ref="G266:I266"/>
    <mergeCell ref="N266:R266"/>
    <mergeCell ref="T266:V266"/>
    <mergeCell ref="AI266:AM266"/>
    <mergeCell ref="A267:E267"/>
    <mergeCell ref="G267:I267"/>
    <mergeCell ref="N267:R267"/>
    <mergeCell ref="T267:V267"/>
    <mergeCell ref="AI267:AM267"/>
    <mergeCell ref="A269:E269"/>
    <mergeCell ref="G269:I269"/>
    <mergeCell ref="N269:R269"/>
    <mergeCell ref="T269:V269"/>
    <mergeCell ref="AI269:AM269"/>
    <mergeCell ref="AR269:AV269"/>
    <mergeCell ref="AR267:AW267"/>
    <mergeCell ref="A268:E268"/>
    <mergeCell ref="G268:I268"/>
    <mergeCell ref="N268:R268"/>
    <mergeCell ref="T268:V268"/>
    <mergeCell ref="AI268:AM268"/>
    <mergeCell ref="AR268:AV268"/>
    <mergeCell ref="A272:E272"/>
    <mergeCell ref="G272:I272"/>
    <mergeCell ref="N272:R272"/>
    <mergeCell ref="T272:V272"/>
    <mergeCell ref="AI272:AM272"/>
    <mergeCell ref="AR272:AW272"/>
    <mergeCell ref="A270:E270"/>
    <mergeCell ref="N270:R270"/>
    <mergeCell ref="AI270:AM270"/>
    <mergeCell ref="AR270:AV270"/>
    <mergeCell ref="A271:E271"/>
    <mergeCell ref="G271:I271"/>
    <mergeCell ref="N271:R271"/>
    <mergeCell ref="T271:V271"/>
    <mergeCell ref="AI271:AM271"/>
    <mergeCell ref="A275:E275"/>
    <mergeCell ref="G275:I275"/>
    <mergeCell ref="N275:R275"/>
    <mergeCell ref="T275:V275"/>
    <mergeCell ref="AI275:AM275"/>
    <mergeCell ref="AR275:AV275"/>
    <mergeCell ref="A273:E273"/>
    <mergeCell ref="G273:I273"/>
    <mergeCell ref="N273:R273"/>
    <mergeCell ref="T273:V273"/>
    <mergeCell ref="AR273:AV273"/>
    <mergeCell ref="A274:E274"/>
    <mergeCell ref="N274:R274"/>
    <mergeCell ref="AI274:AN274"/>
    <mergeCell ref="AR274:AV274"/>
    <mergeCell ref="A277:E277"/>
    <mergeCell ref="G277:I277"/>
    <mergeCell ref="N277:R277"/>
    <mergeCell ref="T277:V277"/>
    <mergeCell ref="AR277:AV277"/>
    <mergeCell ref="AR278:AV278"/>
    <mergeCell ref="A276:E276"/>
    <mergeCell ref="G276:I276"/>
    <mergeCell ref="N276:R276"/>
    <mergeCell ref="T276:V276"/>
    <mergeCell ref="AI276:AM276"/>
    <mergeCell ref="AR276:AV276"/>
    <mergeCell ref="AI283:AM283"/>
    <mergeCell ref="AR283:AV283"/>
    <mergeCell ref="AI284:AM284"/>
    <mergeCell ref="AI285:AM285"/>
    <mergeCell ref="AR285:AW285"/>
    <mergeCell ref="AR286:AV286"/>
    <mergeCell ref="AI279:AN279"/>
    <mergeCell ref="AR279:AV279"/>
    <mergeCell ref="AI280:AM280"/>
    <mergeCell ref="AI281:AM281"/>
    <mergeCell ref="AR281:AW281"/>
    <mergeCell ref="AI282:AM282"/>
    <mergeCell ref="AR282:AV282"/>
    <mergeCell ref="AR291:AV291"/>
    <mergeCell ref="AI292:AN292"/>
    <mergeCell ref="AI293:AM293"/>
    <mergeCell ref="AR293:AW293"/>
    <mergeCell ref="AI294:AM294"/>
    <mergeCell ref="AR294:AV294"/>
    <mergeCell ref="AI287:AN287"/>
    <mergeCell ref="AR287:AV287"/>
    <mergeCell ref="AI288:AM288"/>
    <mergeCell ref="AI289:AM289"/>
    <mergeCell ref="AR289:AW289"/>
    <mergeCell ref="AI290:AM290"/>
    <mergeCell ref="AR290:AV290"/>
    <mergeCell ref="AI299:AM299"/>
    <mergeCell ref="AR299:AV299"/>
    <mergeCell ref="AI300:AM300"/>
    <mergeCell ref="AR300:AV300"/>
    <mergeCell ref="AI301:AM301"/>
    <mergeCell ref="AR301:AV301"/>
    <mergeCell ref="AI295:AM295"/>
    <mergeCell ref="AR295:AV295"/>
    <mergeCell ref="AI296:AM296"/>
    <mergeCell ref="AI297:AM297"/>
    <mergeCell ref="AR297:AW297"/>
    <mergeCell ref="AI298:AM298"/>
    <mergeCell ref="AR298:AV298"/>
    <mergeCell ref="AI308:AM308"/>
    <mergeCell ref="AI329:AN329"/>
    <mergeCell ref="AI330:AM330"/>
    <mergeCell ref="AI331:AN331"/>
    <mergeCell ref="AI332:AN332"/>
    <mergeCell ref="AI362:AM362"/>
    <mergeCell ref="AI302:AM302"/>
    <mergeCell ref="AR302:AV302"/>
    <mergeCell ref="AI303:AM303"/>
    <mergeCell ref="AI305:AN305"/>
    <mergeCell ref="AI306:AM306"/>
    <mergeCell ref="AI307:AM307"/>
    <mergeCell ref="AI380:AN380"/>
    <mergeCell ref="AI381:AN381"/>
    <mergeCell ref="AI383:AN383"/>
    <mergeCell ref="AI384:AM384"/>
    <mergeCell ref="AI385:AN385"/>
    <mergeCell ref="AI386:AN386"/>
    <mergeCell ref="AI366:AN366"/>
    <mergeCell ref="AI367:AN367"/>
    <mergeCell ref="AI369:AN369"/>
    <mergeCell ref="AI370:AM370"/>
    <mergeCell ref="AI378:AN378"/>
    <mergeCell ref="AI379:AM379"/>
    <mergeCell ref="AI395:AN395"/>
    <mergeCell ref="AI396:AN396"/>
    <mergeCell ref="AI399:AN399"/>
    <mergeCell ref="AI400:AM400"/>
    <mergeCell ref="AI388:AN388"/>
    <mergeCell ref="AI389:AM389"/>
    <mergeCell ref="AI390:AN390"/>
    <mergeCell ref="AI391:AN391"/>
    <mergeCell ref="AI393:AN393"/>
    <mergeCell ref="AI394:AM394"/>
  </mergeCells>
  <phoneticPr fontId="0" type="noConversion"/>
  <conditionalFormatting sqref="A131:A151 A154:A164 N154:N164">
    <cfRule type="expression" dxfId="263" priority="61">
      <formula>IF(D131="DESC",1,0)</formula>
    </cfRule>
  </conditionalFormatting>
  <conditionalFormatting sqref="A174:A175">
    <cfRule type="expression" dxfId="262" priority="54">
      <formula>IF(D174="DESC",1,0)</formula>
    </cfRule>
  </conditionalFormatting>
  <conditionalFormatting sqref="A178:A194">
    <cfRule type="expression" dxfId="261" priority="57">
      <formula>IF(D178="DESC",1,0)</formula>
    </cfRule>
  </conditionalFormatting>
  <conditionalFormatting sqref="A240:A245">
    <cfRule type="expression" dxfId="260" priority="16">
      <formula>IF(#REF!="DESC",1,0)</formula>
    </cfRule>
  </conditionalFormatting>
  <conditionalFormatting sqref="A248:A260">
    <cfRule type="expression" dxfId="259" priority="4">
      <formula>IF(#REF!="DESC",1,0)</formula>
    </cfRule>
  </conditionalFormatting>
  <conditionalFormatting sqref="A263:A268">
    <cfRule type="expression" dxfId="258" priority="15">
      <formula>IF(#REF!="DESC",1,0)</formula>
    </cfRule>
  </conditionalFormatting>
  <conditionalFormatting sqref="A271:A272">
    <cfRule type="expression" dxfId="257" priority="14">
      <formula>IF(#REF!="DESC",1,0)</formula>
    </cfRule>
  </conditionalFormatting>
  <conditionalFormatting sqref="A275:A276">
    <cfRule type="expression" dxfId="256" priority="13">
      <formula>IF(#REF!="DESC",1,0)</formula>
    </cfRule>
  </conditionalFormatting>
  <conditionalFormatting sqref="A199:C202">
    <cfRule type="expression" dxfId="255" priority="27">
      <formula>IF(D199="DESC",1,0)</formula>
    </cfRule>
  </conditionalFormatting>
  <conditionalFormatting sqref="A207:C209">
    <cfRule type="expression" dxfId="254" priority="31">
      <formula>IF(D207="DESC",1,0)</formula>
    </cfRule>
  </conditionalFormatting>
  <conditionalFormatting sqref="A214:C217">
    <cfRule type="expression" dxfId="253" priority="29">
      <formula>IF(D214="DESC",1,0)</formula>
    </cfRule>
  </conditionalFormatting>
  <conditionalFormatting sqref="A222:C224">
    <cfRule type="expression" dxfId="252" priority="26">
      <formula>IF(D222="DESC",1,0)</formula>
    </cfRule>
  </conditionalFormatting>
  <conditionalFormatting sqref="A165:N170">
    <cfRule type="expression" dxfId="251" priority="55">
      <formula>IF(D165="DESC",1,0)</formula>
    </cfRule>
  </conditionalFormatting>
  <conditionalFormatting sqref="A171:P171">
    <cfRule type="expression" dxfId="250" priority="5">
      <formula>IF(D171="DESC",1,0)</formula>
    </cfRule>
  </conditionalFormatting>
  <conditionalFormatting sqref="F140">
    <cfRule type="expression" dxfId="249" priority="62">
      <formula>IF(D140="DESC",1,0)</formula>
    </cfRule>
  </conditionalFormatting>
  <conditionalFormatting sqref="F144">
    <cfRule type="expression" dxfId="248" priority="63">
      <formula>IF(D144="DESC",1,0)</formula>
    </cfRule>
  </conditionalFormatting>
  <conditionalFormatting sqref="F164">
    <cfRule type="expression" dxfId="247" priority="36">
      <formula>IF(D164="DESC",1,0)</formula>
    </cfRule>
  </conditionalFormatting>
  <conditionalFormatting sqref="F199:F202">
    <cfRule type="expression" dxfId="246" priority="28">
      <formula>IF(D199="DESC",1,0)</formula>
    </cfRule>
  </conditionalFormatting>
  <conditionalFormatting sqref="F207:F209">
    <cfRule type="expression" dxfId="245" priority="18">
      <formula>IF(D207="DESC",1,0)</formula>
    </cfRule>
  </conditionalFormatting>
  <conditionalFormatting sqref="F214:F217">
    <cfRule type="expression" dxfId="244" priority="30">
      <formula>IF(D214="DESC",1,0)</formula>
    </cfRule>
  </conditionalFormatting>
  <conditionalFormatting sqref="F222:F224">
    <cfRule type="expression" dxfId="243" priority="32">
      <formula>IF(D222="DESC",1,0)</formula>
    </cfRule>
  </conditionalFormatting>
  <conditionalFormatting sqref="F248:F260">
    <cfRule type="duplicateValues" dxfId="242" priority="3"/>
  </conditionalFormatting>
  <conditionalFormatting sqref="G248:N260">
    <cfRule type="expression" dxfId="241" priority="2">
      <formula>IF(#REF!="DESC",1,0)</formula>
    </cfRule>
  </conditionalFormatting>
  <conditionalFormatting sqref="M156:M157">
    <cfRule type="expression" dxfId="240" priority="6">
      <formula>IF(P156="DESC",1,0)</formula>
    </cfRule>
  </conditionalFormatting>
  <conditionalFormatting sqref="M162">
    <cfRule type="expression" dxfId="239" priority="7">
      <formula>IF(P162="DESC",1,0)</formula>
    </cfRule>
  </conditionalFormatting>
  <conditionalFormatting sqref="N131:N151">
    <cfRule type="expression" dxfId="238" priority="58">
      <formula>IF(Q131="DESC",1,0)</formula>
    </cfRule>
  </conditionalFormatting>
  <conditionalFormatting sqref="N174:N175">
    <cfRule type="expression" dxfId="237" priority="53">
      <formula>IF(Q174="DESC",1,0)</formula>
    </cfRule>
  </conditionalFormatting>
  <conditionalFormatting sqref="N178:N194">
    <cfRule type="expression" dxfId="236" priority="56">
      <formula>IF(Q178="DESC",1,0)</formula>
    </cfRule>
  </conditionalFormatting>
  <conditionalFormatting sqref="N240:N245">
    <cfRule type="expression" dxfId="235" priority="12">
      <formula>IF(#REF!="DESC",1,0)</formula>
    </cfRule>
  </conditionalFormatting>
  <conditionalFormatting sqref="N263:N268">
    <cfRule type="expression" dxfId="234" priority="11">
      <formula>IF(#REF!="DESC",1,0)</formula>
    </cfRule>
  </conditionalFormatting>
  <conditionalFormatting sqref="N271:N272">
    <cfRule type="expression" dxfId="233" priority="10">
      <formula>IF(#REF!="DESC",1,0)</formula>
    </cfRule>
  </conditionalFormatting>
  <conditionalFormatting sqref="N275:N276">
    <cfRule type="expression" dxfId="232" priority="9">
      <formula>IF(#REF!="DESC",1,0)</formula>
    </cfRule>
  </conditionalFormatting>
  <conditionalFormatting sqref="N199:P202">
    <cfRule type="expression" dxfId="231" priority="21">
      <formula>IF(Q199="DESC",1,0)</formula>
    </cfRule>
  </conditionalFormatting>
  <conditionalFormatting sqref="N207:P209">
    <cfRule type="expression" dxfId="230" priority="24">
      <formula>IF(Q207="DESC",1,0)</formula>
    </cfRule>
  </conditionalFormatting>
  <conditionalFormatting sqref="N214:P217">
    <cfRule type="expression" dxfId="229" priority="23">
      <formula>IF(Q214="DESC",1,0)</formula>
    </cfRule>
  </conditionalFormatting>
  <conditionalFormatting sqref="N222:P224">
    <cfRule type="expression" dxfId="228" priority="20">
      <formula>IF(Q222="DESC",1,0)</formula>
    </cfRule>
  </conditionalFormatting>
  <conditionalFormatting sqref="S140">
    <cfRule type="expression" dxfId="227" priority="59">
      <formula>IF(Q140="DESC",1,0)</formula>
    </cfRule>
  </conditionalFormatting>
  <conditionalFormatting sqref="S144">
    <cfRule type="expression" dxfId="226" priority="60">
      <formula>IF(Q144="DESC",1,0)</formula>
    </cfRule>
  </conditionalFormatting>
  <conditionalFormatting sqref="S164">
    <cfRule type="expression" dxfId="225" priority="35">
      <formula>IF(Q164="DESC",1,0)</formula>
    </cfRule>
  </conditionalFormatting>
  <conditionalFormatting sqref="S171">
    <cfRule type="expression" dxfId="224" priority="8">
      <formula>IF(V171="DESC",1,0)</formula>
    </cfRule>
  </conditionalFormatting>
  <conditionalFormatting sqref="S199:S202">
    <cfRule type="expression" dxfId="223" priority="22">
      <formula>IF(Q199="DESC",1,0)</formula>
    </cfRule>
  </conditionalFormatting>
  <conditionalFormatting sqref="S207:S209">
    <cfRule type="expression" dxfId="222" priority="17">
      <formula>IF(Q207="DESC",1,0)</formula>
    </cfRule>
  </conditionalFormatting>
  <conditionalFormatting sqref="S214:S217">
    <cfRule type="expression" dxfId="221" priority="19">
      <formula>IF(Q214="DESC",1,0)</formula>
    </cfRule>
  </conditionalFormatting>
  <conditionalFormatting sqref="S222:S224">
    <cfRule type="expression" dxfId="220" priority="25">
      <formula>IF(Q222="DESC",1,0)</formula>
    </cfRule>
  </conditionalFormatting>
  <conditionalFormatting sqref="S248:S260">
    <cfRule type="duplicateValues" dxfId="219" priority="1"/>
  </conditionalFormatting>
  <conditionalFormatting sqref="AD144">
    <cfRule type="duplicateValues" dxfId="218" priority="64"/>
  </conditionalFormatting>
  <conditionalFormatting sqref="AD149">
    <cfRule type="duplicateValues" dxfId="217" priority="38"/>
  </conditionalFormatting>
  <conditionalFormatting sqref="AD152:AD153 AD155 AD157:AD163 AD165:AD168">
    <cfRule type="duplicateValues" dxfId="216" priority="65"/>
  </conditionalFormatting>
  <conditionalFormatting sqref="AD154">
    <cfRule type="duplicateValues" dxfId="215" priority="50"/>
  </conditionalFormatting>
  <conditionalFormatting sqref="AD156">
    <cfRule type="duplicateValues" dxfId="214" priority="52"/>
  </conditionalFormatting>
  <conditionalFormatting sqref="AD164">
    <cfRule type="duplicateValues" dxfId="213" priority="51"/>
  </conditionalFormatting>
  <conditionalFormatting sqref="AD169">
    <cfRule type="duplicateValues" dxfId="212" priority="44"/>
  </conditionalFormatting>
  <conditionalFormatting sqref="AD170">
    <cfRule type="duplicateValues" dxfId="211" priority="37"/>
  </conditionalFormatting>
  <conditionalFormatting sqref="AD171 AD173:AD176 AD178 AD181:AD184 AD186:AD192 AD194:AD195 AD197:AD205 AD207:AD209 AD211:AD213 AD215:AD221">
    <cfRule type="duplicateValues" dxfId="210" priority="66"/>
  </conditionalFormatting>
  <conditionalFormatting sqref="AD172">
    <cfRule type="duplicateValues" dxfId="209" priority="43"/>
  </conditionalFormatting>
  <conditionalFormatting sqref="AD177">
    <cfRule type="duplicateValues" dxfId="208" priority="48"/>
  </conditionalFormatting>
  <conditionalFormatting sqref="AD179">
    <cfRule type="duplicateValues" dxfId="207" priority="34"/>
  </conditionalFormatting>
  <conditionalFormatting sqref="AD180">
    <cfRule type="duplicateValues" dxfId="206" priority="49"/>
  </conditionalFormatting>
  <conditionalFormatting sqref="AD185">
    <cfRule type="duplicateValues" dxfId="205" priority="41"/>
  </conditionalFormatting>
  <conditionalFormatting sqref="AD193">
    <cfRule type="duplicateValues" dxfId="204" priority="47"/>
  </conditionalFormatting>
  <conditionalFormatting sqref="AD196">
    <cfRule type="duplicateValues" dxfId="203" priority="33"/>
  </conditionalFormatting>
  <conditionalFormatting sqref="AD206">
    <cfRule type="duplicateValues" dxfId="202" priority="42"/>
  </conditionalFormatting>
  <conditionalFormatting sqref="AD210">
    <cfRule type="duplicateValues" dxfId="201" priority="46"/>
  </conditionalFormatting>
  <conditionalFormatting sqref="AD214">
    <cfRule type="duplicateValues" dxfId="200" priority="45"/>
  </conditionalFormatting>
  <conditionalFormatting sqref="AD223">
    <cfRule type="duplicateValues" dxfId="199" priority="40"/>
  </conditionalFormatting>
  <conditionalFormatting sqref="AD224">
    <cfRule type="duplicateValues" dxfId="198" priority="39"/>
  </conditionalFormatting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32">
    <tabColor theme="3" tint="0.39997558519241921"/>
  </sheetPr>
  <dimension ref="A1:CA495"/>
  <sheetViews>
    <sheetView topLeftCell="H1" zoomScale="55" zoomScaleNormal="55" workbookViewId="0">
      <selection activeCell="R40" sqref="R40"/>
    </sheetView>
  </sheetViews>
  <sheetFormatPr baseColWidth="10" defaultColWidth="16.7109375" defaultRowHeight="17.25" customHeight="1" x14ac:dyDescent="0.25"/>
  <sheetData>
    <row r="1" spans="1:65" ht="17.25" customHeight="1" thickBot="1" x14ac:dyDescent="0.3">
      <c r="A1" s="1153" t="s">
        <v>149</v>
      </c>
      <c r="B1" s="1154"/>
      <c r="C1" s="1154"/>
      <c r="D1" s="1154"/>
      <c r="E1" s="1154"/>
      <c r="F1" s="1154"/>
      <c r="G1" s="1154"/>
      <c r="H1" s="1154"/>
      <c r="I1" s="1154"/>
      <c r="J1" s="1154"/>
      <c r="K1" s="1154"/>
      <c r="L1" s="1154"/>
      <c r="M1" s="1154"/>
      <c r="N1" s="1154"/>
      <c r="O1" s="1154"/>
      <c r="P1" s="1154"/>
      <c r="Q1" s="1154"/>
      <c r="R1" s="1154"/>
      <c r="S1" s="1154"/>
      <c r="T1" s="1154"/>
      <c r="U1" s="1154"/>
      <c r="V1" s="1154"/>
      <c r="W1" s="1154"/>
      <c r="X1" s="1154"/>
      <c r="Y1" s="1154"/>
      <c r="Z1" s="1154"/>
      <c r="AA1" s="1154"/>
      <c r="AB1" s="1154"/>
      <c r="AC1" s="1154"/>
      <c r="AD1" s="1154"/>
      <c r="AE1" s="1154"/>
      <c r="AF1" s="1154"/>
      <c r="AG1" s="1154"/>
      <c r="AH1" s="1154"/>
      <c r="AI1" s="1154"/>
      <c r="AJ1" s="1154"/>
      <c r="AK1" s="1154"/>
      <c r="AL1" s="1154"/>
      <c r="AM1" s="1154"/>
      <c r="AN1" s="1154"/>
      <c r="AO1" s="1154"/>
      <c r="AP1" s="1154"/>
      <c r="AQ1" s="1154"/>
      <c r="AR1" s="1154"/>
      <c r="AS1" s="1154"/>
      <c r="AT1" s="1154"/>
      <c r="AU1" s="1154"/>
      <c r="AV1" s="1154"/>
      <c r="AW1" s="1154"/>
      <c r="AX1" s="1154"/>
      <c r="AY1" s="1154"/>
      <c r="AZ1" s="1154"/>
      <c r="BA1" s="1154"/>
      <c r="BB1" s="1154"/>
      <c r="BC1" s="1154"/>
      <c r="BD1" s="1154"/>
      <c r="BE1" s="1154"/>
      <c r="BF1" s="1154"/>
      <c r="BG1" s="1154"/>
      <c r="BH1" s="1154"/>
      <c r="BI1" s="1155"/>
      <c r="BJ1" s="23"/>
      <c r="BK1" s="23"/>
      <c r="BL1" s="23"/>
      <c r="BM1" s="23"/>
    </row>
    <row r="2" spans="1:65" ht="17.25" customHeight="1" x14ac:dyDescent="0.25">
      <c r="A2" s="24"/>
      <c r="B2" s="24"/>
      <c r="C2" s="24"/>
      <c r="D2" s="23"/>
      <c r="E2" s="25"/>
      <c r="F2" s="25"/>
      <c r="G2" s="25"/>
      <c r="H2" s="25"/>
      <c r="I2" s="25"/>
      <c r="J2" s="25"/>
      <c r="K2" s="25"/>
      <c r="L2" s="25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  <c r="AQ2" s="24"/>
      <c r="AR2" s="24"/>
      <c r="AS2" s="24"/>
      <c r="AT2" s="24"/>
      <c r="AU2" s="24"/>
      <c r="AV2" s="24"/>
      <c r="AW2" s="24"/>
      <c r="AX2" s="24"/>
      <c r="AY2" s="24"/>
      <c r="AZ2" s="24"/>
      <c r="BA2" s="24"/>
      <c r="BB2" s="24"/>
      <c r="BC2" s="23"/>
      <c r="BD2" s="23"/>
      <c r="BE2" s="23"/>
      <c r="BF2" s="23"/>
      <c r="BG2" s="23"/>
      <c r="BH2" s="23"/>
      <c r="BI2" s="23"/>
      <c r="BJ2" s="23"/>
      <c r="BK2" s="23"/>
      <c r="BL2" s="23"/>
      <c r="BM2" s="23"/>
    </row>
    <row r="3" spans="1:65" ht="17.25" customHeight="1" thickBot="1" x14ac:dyDescent="0.3">
      <c r="A3" s="26" t="s">
        <v>150</v>
      </c>
      <c r="B3" s="27"/>
      <c r="C3" s="28"/>
      <c r="D3" s="28"/>
      <c r="E3" s="28"/>
      <c r="F3" s="28"/>
      <c r="G3" s="28"/>
      <c r="H3" s="28"/>
      <c r="I3" s="28"/>
      <c r="J3" s="28"/>
      <c r="K3" s="28"/>
      <c r="L3" s="29"/>
      <c r="M3" s="28"/>
      <c r="N3" s="30"/>
      <c r="O3" s="30"/>
      <c r="P3" s="31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0"/>
      <c r="AP3" s="30"/>
      <c r="AQ3" s="30"/>
      <c r="AR3" s="30"/>
      <c r="AS3" s="30"/>
      <c r="AT3" s="30"/>
      <c r="AU3" s="30"/>
      <c r="AV3" s="30"/>
      <c r="AW3" s="30"/>
      <c r="AX3" s="30"/>
      <c r="AY3" s="30"/>
      <c r="AZ3" s="30"/>
      <c r="BA3" s="30"/>
      <c r="BB3" s="30"/>
      <c r="BC3" s="30"/>
      <c r="BD3" s="30"/>
      <c r="BE3" s="30"/>
      <c r="BF3" s="30"/>
      <c r="BG3" s="30"/>
      <c r="BH3" s="30"/>
      <c r="BI3" s="30"/>
      <c r="BJ3" s="23"/>
      <c r="BK3" s="23"/>
      <c r="BL3" s="23"/>
      <c r="BM3" s="23"/>
    </row>
    <row r="4" spans="1:65" ht="17.25" customHeight="1" x14ac:dyDescent="0.25">
      <c r="A4" s="32" t="s">
        <v>151</v>
      </c>
      <c r="B4" s="33"/>
      <c r="C4" s="33"/>
      <c r="D4" s="34" t="s">
        <v>152</v>
      </c>
      <c r="E4" s="35" t="s">
        <v>153</v>
      </c>
      <c r="F4" s="36" t="s">
        <v>154</v>
      </c>
      <c r="G4" s="37" t="s">
        <v>155</v>
      </c>
      <c r="H4" s="34" t="s">
        <v>152</v>
      </c>
      <c r="I4" s="38" t="s">
        <v>156</v>
      </c>
      <c r="J4" s="38" t="s">
        <v>156</v>
      </c>
      <c r="K4" s="39" t="s">
        <v>157</v>
      </c>
      <c r="L4" s="33"/>
      <c r="M4" s="33"/>
      <c r="N4" s="40"/>
      <c r="O4" s="41"/>
      <c r="P4" s="42" t="s">
        <v>158</v>
      </c>
      <c r="Q4" s="42" t="s">
        <v>158</v>
      </c>
      <c r="R4" s="42" t="s">
        <v>158</v>
      </c>
      <c r="S4" s="42" t="s">
        <v>158</v>
      </c>
      <c r="T4" s="43"/>
      <c r="U4" s="23"/>
      <c r="V4" s="44"/>
      <c r="W4" s="45"/>
      <c r="X4" s="45"/>
      <c r="Y4" s="45"/>
      <c r="Z4" s="45"/>
      <c r="AA4" s="45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46"/>
      <c r="BK4" s="23"/>
      <c r="BL4" s="23"/>
      <c r="BM4" s="23"/>
    </row>
    <row r="5" spans="1:65" ht="17.25" customHeight="1" x14ac:dyDescent="0.25">
      <c r="A5" s="32" t="s">
        <v>151</v>
      </c>
      <c r="B5" s="23"/>
      <c r="C5" s="33"/>
      <c r="D5" s="33"/>
      <c r="E5" s="33"/>
      <c r="F5" s="33"/>
      <c r="G5" s="33"/>
      <c r="H5" s="33"/>
      <c r="I5" s="33"/>
      <c r="J5" s="33"/>
      <c r="K5" s="33"/>
      <c r="L5" s="47"/>
      <c r="M5" s="48"/>
      <c r="N5" s="44" t="s">
        <v>159</v>
      </c>
      <c r="O5" s="49"/>
      <c r="P5" s="50" t="s">
        <v>160</v>
      </c>
      <c r="Q5" s="50" t="s">
        <v>160</v>
      </c>
      <c r="R5" s="50" t="s">
        <v>160</v>
      </c>
      <c r="S5" s="50" t="s">
        <v>160</v>
      </c>
      <c r="T5" s="51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3"/>
      <c r="BD5" s="23"/>
      <c r="BE5" s="23"/>
      <c r="BF5" s="23"/>
      <c r="BG5" s="23"/>
      <c r="BH5" s="23"/>
      <c r="BI5" s="23"/>
      <c r="BJ5" s="46"/>
      <c r="BK5" s="23"/>
      <c r="BL5" s="23"/>
      <c r="BM5" s="23"/>
    </row>
    <row r="6" spans="1:65" ht="17.25" customHeight="1" x14ac:dyDescent="0.25">
      <c r="A6" s="32" t="s">
        <v>151</v>
      </c>
      <c r="B6" s="52" t="s">
        <v>161</v>
      </c>
      <c r="C6" s="33"/>
      <c r="D6" s="53"/>
      <c r="E6" s="53"/>
      <c r="F6" s="53"/>
      <c r="G6" s="53"/>
      <c r="H6" s="53"/>
      <c r="I6" s="53"/>
      <c r="J6" s="53"/>
      <c r="K6" s="53"/>
      <c r="L6" s="53"/>
      <c r="M6" s="48"/>
      <c r="N6" s="23"/>
      <c r="O6" s="23"/>
      <c r="P6" s="54">
        <v>1</v>
      </c>
      <c r="Q6" s="54">
        <v>2</v>
      </c>
      <c r="R6" s="54">
        <v>3</v>
      </c>
      <c r="S6" s="54">
        <v>4</v>
      </c>
      <c r="T6" s="55" t="s">
        <v>162</v>
      </c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3"/>
      <c r="BA6" s="23"/>
      <c r="BB6" s="23"/>
      <c r="BC6" s="23"/>
      <c r="BD6" s="23"/>
      <c r="BE6" s="23"/>
      <c r="BF6" s="23"/>
      <c r="BG6" s="23"/>
      <c r="BH6" s="23"/>
      <c r="BI6" s="23"/>
      <c r="BJ6" s="46"/>
      <c r="BK6" s="23"/>
      <c r="BL6" s="23"/>
      <c r="BM6" s="23"/>
    </row>
    <row r="7" spans="1:65" ht="17.25" customHeight="1" x14ac:dyDescent="0.25">
      <c r="A7" s="32" t="s">
        <v>151</v>
      </c>
      <c r="B7" s="52" t="s">
        <v>161</v>
      </c>
      <c r="C7" s="33"/>
      <c r="D7" s="56"/>
      <c r="E7" s="57">
        <v>1</v>
      </c>
      <c r="F7" s="48">
        <v>2</v>
      </c>
      <c r="G7" s="48">
        <v>3</v>
      </c>
      <c r="H7" s="48"/>
      <c r="I7" s="48"/>
      <c r="J7" s="48"/>
      <c r="K7" s="48"/>
      <c r="L7" s="48"/>
      <c r="M7" s="48"/>
      <c r="N7" s="23"/>
      <c r="O7" s="23"/>
      <c r="P7" s="58"/>
      <c r="Q7" s="31"/>
      <c r="R7" s="59">
        <v>1</v>
      </c>
      <c r="S7" s="50" t="s">
        <v>160</v>
      </c>
      <c r="T7" s="60" t="s">
        <v>4</v>
      </c>
      <c r="U7" s="61" t="s">
        <v>163</v>
      </c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23"/>
      <c r="AY7" s="23"/>
      <c r="AZ7" s="23"/>
      <c r="BA7" s="23"/>
      <c r="BB7" s="23"/>
      <c r="BC7" s="23"/>
      <c r="BD7" s="23"/>
      <c r="BE7" s="23"/>
      <c r="BF7" s="23"/>
      <c r="BG7" s="23"/>
      <c r="BH7" s="23"/>
      <c r="BI7" s="23"/>
      <c r="BJ7" s="46"/>
      <c r="BK7" s="23"/>
      <c r="BL7" s="23"/>
      <c r="BM7" s="23"/>
    </row>
    <row r="8" spans="1:65" ht="17.25" customHeight="1" x14ac:dyDescent="0.25">
      <c r="A8" s="32" t="s">
        <v>151</v>
      </c>
      <c r="B8" s="52" t="s">
        <v>161</v>
      </c>
      <c r="C8" s="33"/>
      <c r="D8" s="62" t="s">
        <v>164</v>
      </c>
      <c r="E8" s="63" t="s">
        <v>165</v>
      </c>
      <c r="F8" s="63" t="s">
        <v>165</v>
      </c>
      <c r="G8" s="63" t="s">
        <v>165</v>
      </c>
      <c r="H8" s="23"/>
      <c r="I8" s="33"/>
      <c r="J8" s="33"/>
      <c r="K8" s="33"/>
      <c r="L8" s="33"/>
      <c r="M8" s="62" t="s">
        <v>164</v>
      </c>
      <c r="N8" s="64" t="s">
        <v>165</v>
      </c>
      <c r="O8" s="64" t="s">
        <v>165</v>
      </c>
      <c r="P8" s="64" t="s">
        <v>165</v>
      </c>
      <c r="Q8" s="64" t="s">
        <v>165</v>
      </c>
      <c r="R8" s="59">
        <v>2</v>
      </c>
      <c r="S8" s="50" t="s">
        <v>160</v>
      </c>
      <c r="T8" s="60" t="s">
        <v>4</v>
      </c>
      <c r="U8" s="23"/>
      <c r="V8" s="23"/>
      <c r="W8" s="23"/>
      <c r="X8" s="23"/>
      <c r="Y8" s="23"/>
      <c r="Z8" s="23"/>
      <c r="AA8" s="23"/>
      <c r="AB8" s="45"/>
      <c r="AC8" s="45"/>
      <c r="AD8" s="45"/>
      <c r="AE8" s="45"/>
      <c r="AF8" s="45"/>
      <c r="AG8" s="45"/>
      <c r="AH8" s="45"/>
      <c r="AI8" s="45"/>
      <c r="AJ8" s="45"/>
      <c r="AK8" s="45"/>
      <c r="AL8" s="45"/>
      <c r="AM8" s="45"/>
      <c r="AN8" s="23"/>
      <c r="AO8" s="23"/>
      <c r="AP8" s="23"/>
      <c r="AQ8" s="23"/>
      <c r="AR8" s="23"/>
      <c r="AS8" s="23"/>
      <c r="AT8" s="23"/>
      <c r="AU8" s="23"/>
      <c r="AV8" s="23"/>
      <c r="AW8" s="23"/>
      <c r="AX8" s="23"/>
      <c r="AY8" s="23"/>
      <c r="AZ8" s="23"/>
      <c r="BA8" s="23"/>
      <c r="BB8" s="23"/>
      <c r="BC8" s="23"/>
      <c r="BD8" s="23"/>
      <c r="BE8" s="23"/>
      <c r="BF8" s="23"/>
      <c r="BG8" s="23"/>
      <c r="BH8" s="23"/>
      <c r="BI8" s="23"/>
      <c r="BJ8" s="46"/>
      <c r="BK8" s="23"/>
      <c r="BL8" s="23"/>
      <c r="BM8" s="23"/>
    </row>
    <row r="9" spans="1:65" ht="17.25" customHeight="1" thickBot="1" x14ac:dyDescent="0.3">
      <c r="A9" s="32" t="s">
        <v>151</v>
      </c>
      <c r="B9" s="52" t="s">
        <v>161</v>
      </c>
      <c r="C9" s="33"/>
      <c r="D9" s="65"/>
      <c r="E9" s="66" t="s">
        <v>48</v>
      </c>
      <c r="F9" s="66" t="s">
        <v>48</v>
      </c>
      <c r="G9" s="66" t="s">
        <v>48</v>
      </c>
      <c r="H9" s="65"/>
      <c r="I9" s="33"/>
      <c r="J9" s="67" t="s">
        <v>166</v>
      </c>
      <c r="K9" s="67" t="s">
        <v>166</v>
      </c>
      <c r="L9" s="67" t="s">
        <v>166</v>
      </c>
      <c r="M9" s="64"/>
      <c r="N9" s="66" t="s">
        <v>48</v>
      </c>
      <c r="O9" s="66" t="s">
        <v>48</v>
      </c>
      <c r="P9" s="66" t="s">
        <v>48</v>
      </c>
      <c r="Q9" s="66" t="s">
        <v>48</v>
      </c>
      <c r="R9" s="59">
        <v>3</v>
      </c>
      <c r="S9" s="50" t="s">
        <v>160</v>
      </c>
      <c r="T9" s="60" t="s">
        <v>4</v>
      </c>
      <c r="U9" s="23"/>
      <c r="V9" s="23"/>
      <c r="W9" s="23"/>
      <c r="X9" s="23"/>
      <c r="Y9" s="23"/>
      <c r="Z9" s="23"/>
      <c r="AA9" s="23"/>
      <c r="AB9" s="45"/>
      <c r="AC9" s="45"/>
      <c r="AD9" s="45"/>
      <c r="AE9" s="45"/>
      <c r="AF9" s="68"/>
      <c r="AG9" s="68"/>
      <c r="AH9" s="45"/>
      <c r="AI9" s="45"/>
      <c r="AJ9" s="45"/>
      <c r="AK9" s="45"/>
      <c r="AL9" s="45"/>
      <c r="AM9" s="45"/>
      <c r="AN9" s="23"/>
      <c r="AO9" s="23"/>
      <c r="AP9" s="23"/>
      <c r="AQ9" s="23"/>
      <c r="AR9" s="23"/>
      <c r="AS9" s="23"/>
      <c r="AT9" s="23"/>
      <c r="AU9" s="23"/>
      <c r="AV9" s="23"/>
      <c r="AW9" s="23"/>
      <c r="AX9" s="23"/>
      <c r="AY9" s="23"/>
      <c r="AZ9" s="23"/>
      <c r="BA9" s="23"/>
      <c r="BB9" s="23"/>
      <c r="BC9" s="23"/>
      <c r="BD9" s="23"/>
      <c r="BE9" s="23"/>
      <c r="BF9" s="23"/>
      <c r="BG9" s="23"/>
      <c r="BH9" s="23"/>
      <c r="BI9" s="23"/>
      <c r="BJ9" s="46"/>
      <c r="BK9" s="23"/>
      <c r="BL9" s="23"/>
      <c r="BM9" s="23"/>
    </row>
    <row r="10" spans="1:65" ht="17.25" customHeight="1" x14ac:dyDescent="0.25">
      <c r="A10" s="69" t="s">
        <v>167</v>
      </c>
      <c r="B10" s="52" t="s">
        <v>161</v>
      </c>
      <c r="C10" s="33"/>
      <c r="D10" s="65"/>
      <c r="E10" s="66" t="s">
        <v>48</v>
      </c>
      <c r="F10" s="66" t="s">
        <v>48</v>
      </c>
      <c r="G10" s="66" t="s">
        <v>48</v>
      </c>
      <c r="H10" s="65"/>
      <c r="I10" s="33"/>
      <c r="J10" s="67" t="s">
        <v>166</v>
      </c>
      <c r="K10" s="67" t="s">
        <v>166</v>
      </c>
      <c r="L10" s="67" t="s">
        <v>166</v>
      </c>
      <c r="M10" s="64"/>
      <c r="N10" s="66" t="s">
        <v>48</v>
      </c>
      <c r="O10" s="66" t="s">
        <v>48</v>
      </c>
      <c r="P10" s="66" t="s">
        <v>48</v>
      </c>
      <c r="Q10" s="66" t="s">
        <v>48</v>
      </c>
      <c r="R10" s="59">
        <v>4</v>
      </c>
      <c r="S10" s="50" t="s">
        <v>160</v>
      </c>
      <c r="T10" s="70" t="s">
        <v>84</v>
      </c>
      <c r="U10" s="1233" t="s">
        <v>168</v>
      </c>
      <c r="V10" s="1234"/>
      <c r="W10" s="1234"/>
      <c r="X10" s="1234"/>
      <c r="Y10" s="1234"/>
      <c r="Z10" s="1234"/>
      <c r="AA10" s="1234"/>
      <c r="AB10" s="1234"/>
      <c r="AC10" s="1234"/>
      <c r="AD10" s="1234"/>
      <c r="AE10" s="1234"/>
      <c r="AF10" s="1234"/>
      <c r="AG10" s="1234"/>
      <c r="AH10" s="1234"/>
      <c r="AI10" s="1234"/>
      <c r="AJ10" s="1234"/>
      <c r="AK10" s="1234"/>
      <c r="AL10" s="1234"/>
      <c r="AM10" s="1234"/>
      <c r="AN10" s="1234"/>
      <c r="AO10" s="1234"/>
      <c r="AP10" s="1234"/>
      <c r="AQ10" s="1234"/>
      <c r="AR10" s="1234"/>
      <c r="AS10" s="1234"/>
      <c r="AT10" s="1234"/>
      <c r="AU10" s="1235"/>
      <c r="AV10" s="23"/>
      <c r="AW10" s="23"/>
      <c r="AX10" s="23"/>
      <c r="AY10" s="23"/>
      <c r="AZ10" s="23"/>
      <c r="BA10" s="23"/>
      <c r="BB10" s="23"/>
      <c r="BC10" s="23"/>
      <c r="BD10" s="23"/>
      <c r="BE10" s="23"/>
      <c r="BF10" s="23"/>
      <c r="BG10" s="23"/>
      <c r="BH10" s="23"/>
      <c r="BI10" s="23"/>
      <c r="BJ10" s="46"/>
      <c r="BK10" s="23"/>
      <c r="BL10" s="23"/>
      <c r="BM10" s="23"/>
    </row>
    <row r="11" spans="1:65" ht="17.25" customHeight="1" x14ac:dyDescent="0.25">
      <c r="A11" s="69" t="s">
        <v>167</v>
      </c>
      <c r="B11" s="72"/>
      <c r="C11" s="33"/>
      <c r="D11" s="61" t="s">
        <v>169</v>
      </c>
      <c r="E11" s="63" t="s">
        <v>165</v>
      </c>
      <c r="F11" s="63" t="s">
        <v>165</v>
      </c>
      <c r="G11" s="63" t="s">
        <v>165</v>
      </c>
      <c r="H11" s="73"/>
      <c r="I11" s="33"/>
      <c r="J11" s="61" t="s">
        <v>170</v>
      </c>
      <c r="K11" s="33"/>
      <c r="L11" s="33"/>
      <c r="M11" s="61" t="s">
        <v>171</v>
      </c>
      <c r="N11" s="64" t="s">
        <v>165</v>
      </c>
      <c r="O11" s="64" t="s">
        <v>165</v>
      </c>
      <c r="P11" s="64" t="s">
        <v>165</v>
      </c>
      <c r="Q11" s="64" t="s">
        <v>165</v>
      </c>
      <c r="R11" s="59">
        <v>5</v>
      </c>
      <c r="S11" s="50" t="s">
        <v>160</v>
      </c>
      <c r="T11" s="74" t="s">
        <v>26</v>
      </c>
      <c r="U11" s="1236"/>
      <c r="V11" s="1237"/>
      <c r="W11" s="1237"/>
      <c r="X11" s="1237"/>
      <c r="Y11" s="1237"/>
      <c r="Z11" s="1237"/>
      <c r="AA11" s="1237"/>
      <c r="AB11" s="1237"/>
      <c r="AC11" s="1237"/>
      <c r="AD11" s="1237"/>
      <c r="AE11" s="1237"/>
      <c r="AF11" s="1237"/>
      <c r="AG11" s="1237"/>
      <c r="AH11" s="1237"/>
      <c r="AI11" s="1237"/>
      <c r="AJ11" s="1237"/>
      <c r="AK11" s="1237"/>
      <c r="AL11" s="1237"/>
      <c r="AM11" s="1237"/>
      <c r="AN11" s="1237"/>
      <c r="AO11" s="1237"/>
      <c r="AP11" s="1237"/>
      <c r="AQ11" s="1237"/>
      <c r="AR11" s="1237"/>
      <c r="AS11" s="1237"/>
      <c r="AT11" s="1237"/>
      <c r="AU11" s="1238"/>
      <c r="AV11" s="23"/>
      <c r="AW11" s="23"/>
      <c r="AX11" s="23"/>
      <c r="AY11" s="23"/>
      <c r="AZ11" s="23"/>
      <c r="BA11" s="23"/>
      <c r="BB11" s="23"/>
      <c r="BC11" s="23"/>
      <c r="BD11" s="23"/>
      <c r="BE11" s="23"/>
      <c r="BF11" s="23"/>
      <c r="BG11" s="23"/>
      <c r="BH11" s="23"/>
      <c r="BI11" s="23"/>
      <c r="BJ11" s="46"/>
      <c r="BK11" s="23"/>
      <c r="BL11" s="23"/>
      <c r="BM11" s="23"/>
    </row>
    <row r="12" spans="1:65" ht="17.25" customHeight="1" x14ac:dyDescent="0.25">
      <c r="A12" s="69" t="s">
        <v>167</v>
      </c>
      <c r="B12" s="52" t="s">
        <v>161</v>
      </c>
      <c r="C12" s="33"/>
      <c r="D12" s="23"/>
      <c r="E12" s="57">
        <v>6</v>
      </c>
      <c r="F12" s="57">
        <v>5</v>
      </c>
      <c r="G12" s="57">
        <v>4</v>
      </c>
      <c r="H12" s="44"/>
      <c r="I12" s="33"/>
      <c r="J12" s="33"/>
      <c r="K12" s="33"/>
      <c r="L12" s="33"/>
      <c r="M12" s="33"/>
      <c r="N12" s="78">
        <v>8</v>
      </c>
      <c r="O12" s="78">
        <v>7</v>
      </c>
      <c r="P12" s="78">
        <v>6</v>
      </c>
      <c r="Q12" s="78">
        <v>5</v>
      </c>
      <c r="R12" s="59">
        <v>6</v>
      </c>
      <c r="S12" s="50" t="s">
        <v>160</v>
      </c>
      <c r="T12" s="79" t="s">
        <v>46</v>
      </c>
      <c r="U12" s="1236"/>
      <c r="V12" s="1237"/>
      <c r="W12" s="1237"/>
      <c r="X12" s="1237"/>
      <c r="Y12" s="1237"/>
      <c r="Z12" s="1237"/>
      <c r="AA12" s="1237"/>
      <c r="AB12" s="1237"/>
      <c r="AC12" s="1237"/>
      <c r="AD12" s="1237"/>
      <c r="AE12" s="1237"/>
      <c r="AF12" s="1237"/>
      <c r="AG12" s="1237"/>
      <c r="AH12" s="1237"/>
      <c r="AI12" s="1237"/>
      <c r="AJ12" s="1237"/>
      <c r="AK12" s="1237"/>
      <c r="AL12" s="1237"/>
      <c r="AM12" s="1237"/>
      <c r="AN12" s="1237"/>
      <c r="AO12" s="1237"/>
      <c r="AP12" s="1237"/>
      <c r="AQ12" s="1237"/>
      <c r="AR12" s="1237"/>
      <c r="AS12" s="1237"/>
      <c r="AT12" s="1237"/>
      <c r="AU12" s="1238"/>
      <c r="AV12" s="23"/>
      <c r="AW12" s="23"/>
      <c r="AX12" s="23"/>
      <c r="AY12" s="23"/>
      <c r="AZ12" s="23"/>
      <c r="BA12" s="23"/>
      <c r="BB12" s="23"/>
      <c r="BC12" s="23"/>
      <c r="BD12" s="23"/>
      <c r="BE12" s="23"/>
      <c r="BF12" s="23"/>
      <c r="BG12" s="23"/>
      <c r="BH12" s="23"/>
      <c r="BI12" s="23"/>
      <c r="BJ12" s="46"/>
      <c r="BK12" s="23"/>
      <c r="BL12" s="23"/>
      <c r="BM12" s="23"/>
    </row>
    <row r="13" spans="1:65" ht="17.25" customHeight="1" x14ac:dyDescent="0.25">
      <c r="A13" s="69" t="s">
        <v>167</v>
      </c>
      <c r="B13" s="52" t="s">
        <v>161</v>
      </c>
      <c r="C13" s="33"/>
      <c r="D13" s="23"/>
      <c r="E13" s="1184" t="s">
        <v>172</v>
      </c>
      <c r="F13" s="1184"/>
      <c r="G13" s="1184"/>
      <c r="H13" s="80"/>
      <c r="I13" s="33"/>
      <c r="J13" s="33"/>
      <c r="K13" s="33"/>
      <c r="L13" s="33"/>
      <c r="M13" s="33"/>
      <c r="N13" s="81"/>
      <c r="O13" s="81"/>
      <c r="P13" s="33"/>
      <c r="Q13" s="33"/>
      <c r="R13" s="59">
        <v>7</v>
      </c>
      <c r="S13" s="50" t="s">
        <v>160</v>
      </c>
      <c r="T13" s="11" t="s">
        <v>25</v>
      </c>
      <c r="U13" s="1236"/>
      <c r="V13" s="1237"/>
      <c r="W13" s="1237"/>
      <c r="X13" s="1237"/>
      <c r="Y13" s="1237"/>
      <c r="Z13" s="1237"/>
      <c r="AA13" s="1237"/>
      <c r="AB13" s="1237"/>
      <c r="AC13" s="1237"/>
      <c r="AD13" s="1237"/>
      <c r="AE13" s="1237"/>
      <c r="AF13" s="1237"/>
      <c r="AG13" s="1237"/>
      <c r="AH13" s="1237"/>
      <c r="AI13" s="1237"/>
      <c r="AJ13" s="1237"/>
      <c r="AK13" s="1237"/>
      <c r="AL13" s="1237"/>
      <c r="AM13" s="1237"/>
      <c r="AN13" s="1237"/>
      <c r="AO13" s="1237"/>
      <c r="AP13" s="1237"/>
      <c r="AQ13" s="1237"/>
      <c r="AR13" s="1237"/>
      <c r="AS13" s="1237"/>
      <c r="AT13" s="1237"/>
      <c r="AU13" s="1238"/>
      <c r="AV13" s="23"/>
      <c r="AW13" s="23"/>
      <c r="AX13" s="23"/>
      <c r="AY13" s="23"/>
      <c r="AZ13" s="23"/>
      <c r="BA13" s="23"/>
      <c r="BB13" s="23"/>
      <c r="BC13" s="23"/>
      <c r="BD13" s="23"/>
      <c r="BE13" s="23"/>
      <c r="BF13" s="23"/>
      <c r="BG13" s="23"/>
      <c r="BH13" s="23"/>
      <c r="BI13" s="23"/>
      <c r="BJ13" s="46"/>
      <c r="BK13" s="23"/>
      <c r="BL13" s="23"/>
      <c r="BM13" s="23"/>
    </row>
    <row r="14" spans="1:65" ht="17.25" customHeight="1" thickBot="1" x14ac:dyDescent="0.3">
      <c r="A14" s="26"/>
      <c r="B14" s="33"/>
      <c r="C14" s="23"/>
      <c r="D14" s="82"/>
      <c r="E14" s="1" t="s">
        <v>173</v>
      </c>
      <c r="F14" s="82"/>
      <c r="G14" s="1" t="s">
        <v>174</v>
      </c>
      <c r="H14" s="33"/>
      <c r="I14" s="33"/>
      <c r="J14" s="33"/>
      <c r="K14" s="83" t="s">
        <v>175</v>
      </c>
      <c r="L14" s="83" t="s">
        <v>175</v>
      </c>
      <c r="M14" s="81"/>
      <c r="N14" s="33"/>
      <c r="O14" s="1213" t="s">
        <v>176</v>
      </c>
      <c r="P14" s="1213"/>
      <c r="Q14" s="81"/>
      <c r="R14" s="59">
        <v>8</v>
      </c>
      <c r="S14" s="50" t="s">
        <v>160</v>
      </c>
      <c r="T14" s="84" t="s">
        <v>71</v>
      </c>
      <c r="U14" s="1236"/>
      <c r="V14" s="1237"/>
      <c r="W14" s="1237"/>
      <c r="X14" s="1237"/>
      <c r="Y14" s="1237"/>
      <c r="Z14" s="1237"/>
      <c r="AA14" s="1237"/>
      <c r="AB14" s="1237"/>
      <c r="AC14" s="1237"/>
      <c r="AD14" s="1237"/>
      <c r="AE14" s="1237"/>
      <c r="AF14" s="1237"/>
      <c r="AG14" s="1237"/>
      <c r="AH14" s="1237"/>
      <c r="AI14" s="1237"/>
      <c r="AJ14" s="1237"/>
      <c r="AK14" s="1237"/>
      <c r="AL14" s="1237"/>
      <c r="AM14" s="1237"/>
      <c r="AN14" s="1237"/>
      <c r="AO14" s="1237"/>
      <c r="AP14" s="1237"/>
      <c r="AQ14" s="1237"/>
      <c r="AR14" s="1237"/>
      <c r="AS14" s="1237"/>
      <c r="AT14" s="1237"/>
      <c r="AU14" s="1238"/>
      <c r="AV14" s="23"/>
      <c r="AW14" s="23"/>
      <c r="AX14" s="23"/>
      <c r="AY14" s="23"/>
      <c r="AZ14" s="23"/>
      <c r="BA14" s="23"/>
      <c r="BB14" s="23"/>
      <c r="BC14" s="23"/>
      <c r="BD14" s="23"/>
      <c r="BE14" s="23"/>
      <c r="BF14" s="23"/>
      <c r="BG14" s="23"/>
      <c r="BH14" s="23"/>
      <c r="BI14" s="23"/>
      <c r="BJ14" s="46"/>
      <c r="BK14" s="23"/>
      <c r="BL14" s="23"/>
      <c r="BM14" s="23"/>
    </row>
    <row r="15" spans="1:65" ht="17.25" customHeight="1" x14ac:dyDescent="0.25">
      <c r="A15" s="85"/>
      <c r="B15" s="33"/>
      <c r="C15" s="33"/>
      <c r="D15" s="33"/>
      <c r="E15" s="69" t="s">
        <v>167</v>
      </c>
      <c r="F15" s="69" t="s">
        <v>167</v>
      </c>
      <c r="G15" s="86" t="s">
        <v>167</v>
      </c>
      <c r="H15" s="33"/>
      <c r="I15" s="33"/>
      <c r="J15" s="33"/>
      <c r="K15" s="83" t="s">
        <v>175</v>
      </c>
      <c r="L15" s="83" t="s">
        <v>175</v>
      </c>
      <c r="M15" s="81"/>
      <c r="N15" s="69" t="s">
        <v>177</v>
      </c>
      <c r="O15" s="69" t="s">
        <v>177</v>
      </c>
      <c r="P15" s="69" t="s">
        <v>177</v>
      </c>
      <c r="Q15" s="69" t="s">
        <v>177</v>
      </c>
      <c r="R15" s="59">
        <v>9</v>
      </c>
      <c r="S15" s="50" t="s">
        <v>160</v>
      </c>
      <c r="T15" s="84" t="s">
        <v>71</v>
      </c>
      <c r="U15" s="1236"/>
      <c r="V15" s="1237"/>
      <c r="W15" s="1237"/>
      <c r="X15" s="1237"/>
      <c r="Y15" s="1237"/>
      <c r="Z15" s="1237"/>
      <c r="AA15" s="1237"/>
      <c r="AB15" s="1237"/>
      <c r="AC15" s="1237"/>
      <c r="AD15" s="1237"/>
      <c r="AE15" s="1237"/>
      <c r="AF15" s="1237"/>
      <c r="AG15" s="1237"/>
      <c r="AH15" s="1237"/>
      <c r="AI15" s="1237"/>
      <c r="AJ15" s="1237"/>
      <c r="AK15" s="1237"/>
      <c r="AL15" s="1237"/>
      <c r="AM15" s="1237"/>
      <c r="AN15" s="1237"/>
      <c r="AO15" s="1237"/>
      <c r="AP15" s="1237"/>
      <c r="AQ15" s="1237"/>
      <c r="AR15" s="1237"/>
      <c r="AS15" s="1237"/>
      <c r="AT15" s="1237"/>
      <c r="AU15" s="1238"/>
      <c r="AV15" s="23"/>
      <c r="AW15" s="23"/>
      <c r="AX15" s="23"/>
      <c r="AY15" s="23"/>
      <c r="AZ15" s="23"/>
      <c r="BA15" s="23"/>
      <c r="BB15" s="23"/>
      <c r="BC15" s="23"/>
      <c r="BD15" s="23"/>
      <c r="BE15" s="23"/>
      <c r="BF15" s="23"/>
      <c r="BG15" s="23"/>
      <c r="BH15" s="23"/>
      <c r="BI15" s="23"/>
      <c r="BJ15" s="46"/>
      <c r="BK15" s="23"/>
      <c r="BL15" s="23"/>
      <c r="BM15" s="23"/>
    </row>
    <row r="16" spans="1:65" ht="17.25" customHeight="1" x14ac:dyDescent="0.25">
      <c r="A16" s="1184" t="s">
        <v>178</v>
      </c>
      <c r="B16" s="1184"/>
      <c r="C16" s="33"/>
      <c r="D16" s="61" t="s">
        <v>179</v>
      </c>
      <c r="E16" s="69" t="s">
        <v>167</v>
      </c>
      <c r="F16" s="69" t="s">
        <v>167</v>
      </c>
      <c r="G16" s="86" t="s">
        <v>167</v>
      </c>
      <c r="H16" s="33"/>
      <c r="I16" s="33"/>
      <c r="J16" s="33"/>
      <c r="K16" s="83" t="s">
        <v>175</v>
      </c>
      <c r="L16" s="83" t="s">
        <v>175</v>
      </c>
      <c r="M16" s="44"/>
      <c r="N16" s="69" t="s">
        <v>177</v>
      </c>
      <c r="O16" s="69" t="s">
        <v>177</v>
      </c>
      <c r="P16" s="69" t="s">
        <v>177</v>
      </c>
      <c r="Q16" s="69" t="s">
        <v>177</v>
      </c>
      <c r="R16" s="59">
        <v>10</v>
      </c>
      <c r="S16" s="50" t="s">
        <v>160</v>
      </c>
      <c r="T16" s="87" t="s">
        <v>84</v>
      </c>
      <c r="U16" s="1236"/>
      <c r="V16" s="1237"/>
      <c r="W16" s="1237"/>
      <c r="X16" s="1237"/>
      <c r="Y16" s="1237"/>
      <c r="Z16" s="1237"/>
      <c r="AA16" s="1237"/>
      <c r="AB16" s="1237"/>
      <c r="AC16" s="1237"/>
      <c r="AD16" s="1237"/>
      <c r="AE16" s="1237"/>
      <c r="AF16" s="1237"/>
      <c r="AG16" s="1237"/>
      <c r="AH16" s="1237"/>
      <c r="AI16" s="1237"/>
      <c r="AJ16" s="1237"/>
      <c r="AK16" s="1237"/>
      <c r="AL16" s="1237"/>
      <c r="AM16" s="1237"/>
      <c r="AN16" s="1237"/>
      <c r="AO16" s="1237"/>
      <c r="AP16" s="1237"/>
      <c r="AQ16" s="1237"/>
      <c r="AR16" s="1237"/>
      <c r="AS16" s="1237"/>
      <c r="AT16" s="1237"/>
      <c r="AU16" s="1238"/>
      <c r="AV16" s="23"/>
      <c r="AW16" s="23"/>
      <c r="AX16" s="23"/>
      <c r="AY16" s="23"/>
      <c r="AZ16" s="23"/>
      <c r="BA16" s="23"/>
      <c r="BB16" s="23"/>
      <c r="BC16" s="23"/>
      <c r="BD16" s="23"/>
      <c r="BE16" s="23"/>
      <c r="BF16" s="23"/>
      <c r="BG16" s="23"/>
      <c r="BH16" s="23"/>
      <c r="BI16" s="23"/>
      <c r="BJ16" s="46"/>
      <c r="BK16" s="23"/>
      <c r="BL16" s="23"/>
      <c r="BM16" s="23"/>
    </row>
    <row r="17" spans="1:65" ht="17.25" customHeight="1" x14ac:dyDescent="0.25">
      <c r="A17" s="66" t="s">
        <v>48</v>
      </c>
      <c r="B17" s="88" t="s">
        <v>165</v>
      </c>
      <c r="C17" s="89">
        <v>1</v>
      </c>
      <c r="D17" s="90"/>
      <c r="E17" s="33"/>
      <c r="F17" s="33"/>
      <c r="G17" s="1" t="s">
        <v>180</v>
      </c>
      <c r="H17" s="33"/>
      <c r="I17" s="33"/>
      <c r="J17" s="33"/>
      <c r="K17" s="33"/>
      <c r="L17" s="61" t="s">
        <v>181</v>
      </c>
      <c r="M17" s="81"/>
      <c r="N17" s="44"/>
      <c r="O17" s="44"/>
      <c r="P17" s="33"/>
      <c r="Q17" s="33"/>
      <c r="R17" s="59">
        <v>11</v>
      </c>
      <c r="S17" s="50" t="s">
        <v>160</v>
      </c>
      <c r="T17" s="91" t="s">
        <v>84</v>
      </c>
      <c r="U17" s="1236"/>
      <c r="V17" s="1237"/>
      <c r="W17" s="1237"/>
      <c r="X17" s="1237"/>
      <c r="Y17" s="1237"/>
      <c r="Z17" s="1237"/>
      <c r="AA17" s="1237"/>
      <c r="AB17" s="1237"/>
      <c r="AC17" s="1237"/>
      <c r="AD17" s="1237"/>
      <c r="AE17" s="1237"/>
      <c r="AF17" s="1237"/>
      <c r="AG17" s="1237"/>
      <c r="AH17" s="1237"/>
      <c r="AI17" s="1237"/>
      <c r="AJ17" s="1237"/>
      <c r="AK17" s="1237"/>
      <c r="AL17" s="1237"/>
      <c r="AM17" s="1237"/>
      <c r="AN17" s="1237"/>
      <c r="AO17" s="1237"/>
      <c r="AP17" s="1237"/>
      <c r="AQ17" s="1237"/>
      <c r="AR17" s="1237"/>
      <c r="AS17" s="1237"/>
      <c r="AT17" s="1237"/>
      <c r="AU17" s="1238"/>
      <c r="AV17" s="23"/>
      <c r="AW17" s="23"/>
      <c r="AX17" s="23"/>
      <c r="AY17" s="23"/>
      <c r="AZ17" s="23"/>
      <c r="BA17" s="23"/>
      <c r="BB17" s="23"/>
      <c r="BC17" s="23"/>
      <c r="BD17" s="23"/>
      <c r="BE17" s="23"/>
      <c r="BF17" s="23"/>
      <c r="BG17" s="23"/>
      <c r="BH17" s="23"/>
      <c r="BI17" s="23"/>
      <c r="BJ17" s="46"/>
      <c r="BK17" s="23"/>
      <c r="BL17" s="23"/>
      <c r="BM17" s="23"/>
    </row>
    <row r="18" spans="1:65" ht="17.25" customHeight="1" thickBot="1" x14ac:dyDescent="0.3">
      <c r="A18" s="66" t="s">
        <v>48</v>
      </c>
      <c r="B18" s="88" t="s">
        <v>165</v>
      </c>
      <c r="C18" s="89">
        <v>2</v>
      </c>
      <c r="D18" s="33"/>
      <c r="E18" s="33"/>
      <c r="F18" s="33"/>
      <c r="G18" s="33"/>
      <c r="H18" s="33"/>
      <c r="I18" s="33"/>
      <c r="J18" s="33"/>
      <c r="K18" s="33"/>
      <c r="L18" s="1184" t="s">
        <v>172</v>
      </c>
      <c r="M18" s="1184"/>
      <c r="N18" s="33"/>
      <c r="O18" s="61" t="s">
        <v>182</v>
      </c>
      <c r="P18" s="92"/>
      <c r="Q18" s="33"/>
      <c r="R18" s="33"/>
      <c r="S18" s="59"/>
      <c r="T18" s="93"/>
      <c r="U18" s="1236"/>
      <c r="V18" s="1237"/>
      <c r="W18" s="1237"/>
      <c r="X18" s="1237"/>
      <c r="Y18" s="1237"/>
      <c r="Z18" s="1237"/>
      <c r="AA18" s="1237"/>
      <c r="AB18" s="1237"/>
      <c r="AC18" s="1237"/>
      <c r="AD18" s="1237"/>
      <c r="AE18" s="1237"/>
      <c r="AF18" s="1237"/>
      <c r="AG18" s="1237"/>
      <c r="AH18" s="1237"/>
      <c r="AI18" s="1237"/>
      <c r="AJ18" s="1237"/>
      <c r="AK18" s="1237"/>
      <c r="AL18" s="1237"/>
      <c r="AM18" s="1237"/>
      <c r="AN18" s="1237"/>
      <c r="AO18" s="1237"/>
      <c r="AP18" s="1237"/>
      <c r="AQ18" s="1237"/>
      <c r="AR18" s="1237"/>
      <c r="AS18" s="1237"/>
      <c r="AT18" s="1237"/>
      <c r="AU18" s="1238"/>
      <c r="AV18" s="23"/>
      <c r="AW18" s="23"/>
      <c r="AX18" s="23"/>
      <c r="AY18" s="23"/>
      <c r="AZ18" s="23"/>
      <c r="BA18" s="23"/>
      <c r="BB18" s="23"/>
      <c r="BC18" s="23"/>
      <c r="BD18" s="23"/>
      <c r="BE18" s="23"/>
      <c r="BF18" s="23"/>
      <c r="BG18" s="23"/>
      <c r="BH18" s="23"/>
      <c r="BI18" s="23"/>
      <c r="BJ18" s="46"/>
      <c r="BK18" s="23"/>
      <c r="BL18" s="23"/>
      <c r="BM18" s="23"/>
    </row>
    <row r="19" spans="1:65" ht="17.25" customHeight="1" x14ac:dyDescent="0.25">
      <c r="A19" s="66" t="s">
        <v>48</v>
      </c>
      <c r="B19" s="88" t="s">
        <v>165</v>
      </c>
      <c r="C19" s="89">
        <v>3</v>
      </c>
      <c r="D19" s="33"/>
      <c r="E19" s="33"/>
      <c r="F19" s="33"/>
      <c r="G19" s="33"/>
      <c r="H19" s="33"/>
      <c r="I19" s="33"/>
      <c r="J19" s="33"/>
      <c r="K19" s="62" t="s">
        <v>183</v>
      </c>
      <c r="L19" s="63"/>
      <c r="M19" s="63"/>
      <c r="N19" s="94"/>
      <c r="O19" s="33"/>
      <c r="P19" s="1165" t="s">
        <v>184</v>
      </c>
      <c r="Q19" s="1165"/>
      <c r="R19" s="1165"/>
      <c r="S19" s="1165"/>
      <c r="T19" s="1166"/>
      <c r="U19" s="1236"/>
      <c r="V19" s="1237"/>
      <c r="W19" s="1237"/>
      <c r="X19" s="1237"/>
      <c r="Y19" s="1237"/>
      <c r="Z19" s="1237"/>
      <c r="AA19" s="1237"/>
      <c r="AB19" s="1237"/>
      <c r="AC19" s="1237"/>
      <c r="AD19" s="1237"/>
      <c r="AE19" s="1237"/>
      <c r="AF19" s="1237"/>
      <c r="AG19" s="1237"/>
      <c r="AH19" s="1237"/>
      <c r="AI19" s="1237"/>
      <c r="AJ19" s="1237"/>
      <c r="AK19" s="1237"/>
      <c r="AL19" s="1237"/>
      <c r="AM19" s="1237"/>
      <c r="AN19" s="1237"/>
      <c r="AO19" s="1237"/>
      <c r="AP19" s="1237"/>
      <c r="AQ19" s="1237"/>
      <c r="AR19" s="1237"/>
      <c r="AS19" s="1237"/>
      <c r="AT19" s="1237"/>
      <c r="AU19" s="1238"/>
      <c r="AV19" s="95"/>
      <c r="AW19" s="95"/>
      <c r="AX19" s="95"/>
      <c r="AY19" s="95"/>
      <c r="AZ19" s="95"/>
      <c r="BA19" s="95"/>
      <c r="BB19" s="95"/>
      <c r="BC19" s="95"/>
      <c r="BD19" s="95"/>
      <c r="BE19" s="96"/>
      <c r="BF19" s="46"/>
      <c r="BG19" s="23"/>
      <c r="BH19" s="23"/>
      <c r="BI19" s="23"/>
      <c r="BJ19" s="46"/>
      <c r="BK19" s="23"/>
      <c r="BL19" s="23"/>
      <c r="BM19" s="23"/>
    </row>
    <row r="20" spans="1:65" ht="17.25" customHeight="1" x14ac:dyDescent="0.25">
      <c r="A20" s="66" t="s">
        <v>48</v>
      </c>
      <c r="B20" s="88" t="s">
        <v>165</v>
      </c>
      <c r="C20" s="89">
        <v>4</v>
      </c>
      <c r="D20" s="33"/>
      <c r="E20" s="33"/>
      <c r="F20" s="33"/>
      <c r="G20" s="33"/>
      <c r="H20" s="33"/>
      <c r="I20" s="33"/>
      <c r="J20" s="97">
        <v>1</v>
      </c>
      <c r="K20" s="63" t="s">
        <v>165</v>
      </c>
      <c r="L20" s="66" t="s">
        <v>48</v>
      </c>
      <c r="M20" s="66" t="s">
        <v>48</v>
      </c>
      <c r="N20" s="63" t="s">
        <v>165</v>
      </c>
      <c r="O20" s="89">
        <v>8</v>
      </c>
      <c r="P20" s="81"/>
      <c r="Q20" s="23"/>
      <c r="R20" s="33"/>
      <c r="S20" s="49" t="s">
        <v>164</v>
      </c>
      <c r="T20" s="98">
        <v>1</v>
      </c>
      <c r="U20" s="1236"/>
      <c r="V20" s="1237"/>
      <c r="W20" s="1237"/>
      <c r="X20" s="1237"/>
      <c r="Y20" s="1237"/>
      <c r="Z20" s="1237"/>
      <c r="AA20" s="1237"/>
      <c r="AB20" s="1237"/>
      <c r="AC20" s="1237"/>
      <c r="AD20" s="1237"/>
      <c r="AE20" s="1237"/>
      <c r="AF20" s="1237"/>
      <c r="AG20" s="1237"/>
      <c r="AH20" s="1237"/>
      <c r="AI20" s="1237"/>
      <c r="AJ20" s="1237"/>
      <c r="AK20" s="1237"/>
      <c r="AL20" s="1237"/>
      <c r="AM20" s="1237"/>
      <c r="AN20" s="1237"/>
      <c r="AO20" s="1237"/>
      <c r="AP20" s="1237"/>
      <c r="AQ20" s="1237"/>
      <c r="AR20" s="1237"/>
      <c r="AS20" s="1237"/>
      <c r="AT20" s="1237"/>
      <c r="AU20" s="1238"/>
      <c r="AV20" s="23"/>
      <c r="AW20" s="23"/>
      <c r="AX20" s="23"/>
      <c r="AY20" s="23"/>
      <c r="AZ20" s="23"/>
      <c r="BA20" s="23"/>
      <c r="BB20" s="23"/>
      <c r="BC20" s="23"/>
      <c r="BD20" s="23"/>
      <c r="BE20" s="99"/>
      <c r="BF20" s="46"/>
      <c r="BG20" s="23"/>
      <c r="BH20" s="23"/>
      <c r="BI20" s="23"/>
      <c r="BJ20" s="46"/>
      <c r="BK20" s="23"/>
      <c r="BL20" s="23"/>
      <c r="BM20" s="23"/>
    </row>
    <row r="21" spans="1:65" ht="17.25" customHeight="1" thickBot="1" x14ac:dyDescent="0.3">
      <c r="A21" s="66" t="s">
        <v>48</v>
      </c>
      <c r="B21" s="88" t="s">
        <v>165</v>
      </c>
      <c r="C21" s="89">
        <v>5</v>
      </c>
      <c r="D21" s="33"/>
      <c r="E21" s="33"/>
      <c r="F21" s="33"/>
      <c r="G21" s="33"/>
      <c r="H21" s="33"/>
      <c r="I21" s="33"/>
      <c r="J21" s="97">
        <v>2</v>
      </c>
      <c r="K21" s="63" t="s">
        <v>165</v>
      </c>
      <c r="L21" s="66" t="s">
        <v>48</v>
      </c>
      <c r="M21" s="66" t="s">
        <v>48</v>
      </c>
      <c r="N21" s="63" t="s">
        <v>165</v>
      </c>
      <c r="O21" s="89">
        <v>7</v>
      </c>
      <c r="P21" s="81"/>
      <c r="Q21" s="23"/>
      <c r="R21" s="61" t="s">
        <v>185</v>
      </c>
      <c r="S21" s="98">
        <v>2</v>
      </c>
      <c r="T21" s="100" t="s">
        <v>160</v>
      </c>
      <c r="U21" s="1239"/>
      <c r="V21" s="1240"/>
      <c r="W21" s="1240"/>
      <c r="X21" s="1240"/>
      <c r="Y21" s="1240"/>
      <c r="Z21" s="1240"/>
      <c r="AA21" s="1240"/>
      <c r="AB21" s="1240"/>
      <c r="AC21" s="1240"/>
      <c r="AD21" s="1240"/>
      <c r="AE21" s="1240"/>
      <c r="AF21" s="1240"/>
      <c r="AG21" s="1240"/>
      <c r="AH21" s="1240"/>
      <c r="AI21" s="1240"/>
      <c r="AJ21" s="1240"/>
      <c r="AK21" s="1240"/>
      <c r="AL21" s="1240"/>
      <c r="AM21" s="1240"/>
      <c r="AN21" s="1240"/>
      <c r="AO21" s="1240"/>
      <c r="AP21" s="1240"/>
      <c r="AQ21" s="1240"/>
      <c r="AR21" s="1240"/>
      <c r="AS21" s="1240"/>
      <c r="AT21" s="1240"/>
      <c r="AU21" s="1241"/>
      <c r="AV21" s="23"/>
      <c r="AW21" s="23"/>
      <c r="AX21" s="23"/>
      <c r="AY21" s="23"/>
      <c r="AZ21" s="23"/>
      <c r="BA21" s="23"/>
      <c r="BB21" s="23"/>
      <c r="BC21" s="23"/>
      <c r="BD21" s="23"/>
      <c r="BE21" s="99"/>
      <c r="BF21" s="46"/>
      <c r="BG21" s="23"/>
      <c r="BH21" s="23"/>
      <c r="BI21" s="23"/>
      <c r="BJ21" s="46"/>
      <c r="BK21" s="23"/>
      <c r="BL21" s="23"/>
      <c r="BM21" s="23"/>
    </row>
    <row r="22" spans="1:65" ht="17.25" customHeight="1" thickBot="1" x14ac:dyDescent="0.3">
      <c r="A22" s="66" t="s">
        <v>48</v>
      </c>
      <c r="B22" s="88" t="s">
        <v>165</v>
      </c>
      <c r="C22" s="89">
        <v>6</v>
      </c>
      <c r="D22" s="33"/>
      <c r="E22" s="69" t="s">
        <v>167</v>
      </c>
      <c r="F22" s="69" t="s">
        <v>167</v>
      </c>
      <c r="G22" s="69" t="s">
        <v>167</v>
      </c>
      <c r="H22" s="23"/>
      <c r="I22" s="23"/>
      <c r="J22" s="97">
        <v>3</v>
      </c>
      <c r="K22" s="63" t="s">
        <v>165</v>
      </c>
      <c r="L22" s="66" t="s">
        <v>48</v>
      </c>
      <c r="M22" s="66" t="s">
        <v>48</v>
      </c>
      <c r="N22" s="63" t="s">
        <v>165</v>
      </c>
      <c r="O22" s="89">
        <v>6</v>
      </c>
      <c r="P22" s="81"/>
      <c r="R22" s="98">
        <v>3</v>
      </c>
      <c r="S22" s="100" t="s">
        <v>160</v>
      </c>
      <c r="T22" s="101" t="s">
        <v>71</v>
      </c>
      <c r="U22" s="71"/>
      <c r="V22" s="76"/>
      <c r="W22" s="76"/>
      <c r="X22" s="76"/>
      <c r="Y22" s="76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76"/>
      <c r="AP22" s="76"/>
      <c r="AQ22" s="76"/>
      <c r="AR22" s="76"/>
      <c r="AS22" s="76"/>
      <c r="AT22" s="76"/>
      <c r="AU22" s="77"/>
      <c r="AV22" s="46"/>
      <c r="AW22" s="23"/>
      <c r="AX22" s="23"/>
      <c r="AY22" s="23"/>
      <c r="AZ22" s="23"/>
      <c r="BA22" s="23"/>
      <c r="BB22" s="23"/>
      <c r="BC22" s="23"/>
      <c r="BD22" s="23"/>
      <c r="BE22" s="99"/>
      <c r="BF22" s="46"/>
      <c r="BG22" s="23"/>
      <c r="BH22" s="23"/>
      <c r="BI22" s="23"/>
      <c r="BJ22" s="46"/>
      <c r="BK22" s="23"/>
      <c r="BL22" s="23"/>
      <c r="BM22" s="23"/>
    </row>
    <row r="23" spans="1:65" ht="17.25" customHeight="1" thickBot="1" x14ac:dyDescent="0.3">
      <c r="A23" s="66" t="s">
        <v>48</v>
      </c>
      <c r="B23" s="88" t="s">
        <v>165</v>
      </c>
      <c r="C23" s="102">
        <v>7</v>
      </c>
      <c r="D23" s="33"/>
      <c r="E23" s="69" t="s">
        <v>167</v>
      </c>
      <c r="F23" s="69" t="s">
        <v>167</v>
      </c>
      <c r="G23" s="69" t="s">
        <v>167</v>
      </c>
      <c r="H23" s="103"/>
      <c r="I23" s="23"/>
      <c r="J23" s="97">
        <v>4</v>
      </c>
      <c r="K23" s="63" t="s">
        <v>165</v>
      </c>
      <c r="L23" s="66" t="s">
        <v>48</v>
      </c>
      <c r="M23" s="66" t="s">
        <v>48</v>
      </c>
      <c r="N23" s="63" t="s">
        <v>165</v>
      </c>
      <c r="O23" s="89">
        <v>5</v>
      </c>
      <c r="P23" s="94" t="s">
        <v>186</v>
      </c>
      <c r="Q23" s="98">
        <v>4</v>
      </c>
      <c r="R23" s="100" t="s">
        <v>160</v>
      </c>
      <c r="S23" s="87" t="s">
        <v>84</v>
      </c>
      <c r="T23" s="104" t="s">
        <v>187</v>
      </c>
      <c r="U23" s="76"/>
      <c r="V23" s="33"/>
      <c r="X23" s="33"/>
      <c r="Y23" s="33"/>
      <c r="Z23" s="33"/>
      <c r="AA23" s="33"/>
      <c r="AB23" s="33"/>
      <c r="AC23" s="33"/>
      <c r="AD23" s="33"/>
      <c r="AE23" s="33"/>
      <c r="AF23" s="33"/>
      <c r="AG23" s="33"/>
      <c r="AH23" s="33"/>
      <c r="AI23" s="33"/>
      <c r="AJ23" s="33"/>
      <c r="AK23" s="33"/>
      <c r="AL23" s="33"/>
      <c r="AM23" s="33"/>
      <c r="AN23" s="33"/>
      <c r="AO23" s="33"/>
      <c r="AP23" s="33"/>
      <c r="AQ23" s="33"/>
      <c r="AR23" s="33"/>
      <c r="AS23" s="33"/>
      <c r="AT23" s="33"/>
      <c r="AU23" s="33"/>
      <c r="AV23" s="46"/>
      <c r="AW23" s="23"/>
      <c r="AX23" s="23"/>
      <c r="AY23" s="23"/>
      <c r="AZ23" s="23"/>
      <c r="BA23" s="23"/>
      <c r="BB23" s="23"/>
      <c r="BC23" s="23"/>
      <c r="BD23" s="23"/>
      <c r="BE23" s="99"/>
      <c r="BF23" s="46"/>
      <c r="BG23" s="23"/>
      <c r="BH23" s="23"/>
      <c r="BI23" s="23"/>
      <c r="BJ23" s="46"/>
      <c r="BK23" s="23"/>
      <c r="BL23" s="23"/>
      <c r="BM23" s="23"/>
    </row>
    <row r="24" spans="1:65" ht="17.25" customHeight="1" thickBot="1" x14ac:dyDescent="0.3">
      <c r="A24" s="66" t="s">
        <v>48</v>
      </c>
      <c r="B24" s="88" t="s">
        <v>165</v>
      </c>
      <c r="C24" s="102">
        <v>8</v>
      </c>
      <c r="D24" s="33"/>
      <c r="E24" s="61" t="s">
        <v>188</v>
      </c>
      <c r="F24" s="90"/>
      <c r="G24" s="90"/>
      <c r="H24" s="78"/>
      <c r="I24" s="23"/>
      <c r="J24" s="23"/>
      <c r="K24" s="105"/>
      <c r="L24" s="63"/>
      <c r="M24" s="63"/>
      <c r="N24" s="105"/>
      <c r="O24" s="81"/>
      <c r="P24" s="98">
        <v>5</v>
      </c>
      <c r="Q24" s="100" t="s">
        <v>160</v>
      </c>
      <c r="R24" s="106" t="s">
        <v>46</v>
      </c>
      <c r="S24" s="104" t="s">
        <v>187</v>
      </c>
      <c r="T24" s="61" t="s">
        <v>189</v>
      </c>
      <c r="U24" s="33"/>
      <c r="V24" s="33"/>
      <c r="W24" s="33"/>
      <c r="X24" s="33"/>
      <c r="AA24" s="33"/>
      <c r="AB24" s="33"/>
      <c r="AC24" s="33"/>
      <c r="AD24" s="33"/>
      <c r="AE24" s="33"/>
      <c r="AF24" s="33"/>
      <c r="AG24" s="33"/>
      <c r="AH24" s="33"/>
      <c r="AI24" s="33"/>
      <c r="AJ24" s="33"/>
      <c r="AK24" s="33"/>
      <c r="AL24" s="33"/>
      <c r="AM24" s="33"/>
      <c r="AN24" s="33"/>
      <c r="AO24" s="33"/>
      <c r="AP24" s="33"/>
      <c r="AQ24" s="33"/>
      <c r="AR24" s="33"/>
      <c r="AS24" s="33"/>
      <c r="AT24" s="33"/>
      <c r="AU24" s="33"/>
      <c r="AV24" s="46"/>
      <c r="AW24" s="23"/>
      <c r="AX24" s="23"/>
      <c r="AY24" s="23"/>
      <c r="AZ24" s="23"/>
      <c r="BA24" s="107" t="s">
        <v>190</v>
      </c>
      <c r="BB24" s="23"/>
      <c r="BC24" s="23"/>
      <c r="BD24" s="23"/>
      <c r="BE24" s="99"/>
      <c r="BF24" s="46"/>
      <c r="BG24" s="108"/>
      <c r="BH24" s="108"/>
      <c r="BI24" s="109"/>
      <c r="BJ24" s="46"/>
      <c r="BK24" s="23"/>
      <c r="BL24" s="23"/>
      <c r="BM24" s="23"/>
    </row>
    <row r="25" spans="1:65" ht="17.25" customHeight="1" thickBot="1" x14ac:dyDescent="0.3">
      <c r="A25" s="66" t="s">
        <v>48</v>
      </c>
      <c r="B25" s="88" t="s">
        <v>165</v>
      </c>
      <c r="C25" s="102">
        <v>9</v>
      </c>
      <c r="D25" s="33"/>
      <c r="E25" s="110"/>
      <c r="F25" s="110"/>
      <c r="G25" s="110"/>
      <c r="H25" s="110"/>
      <c r="I25" s="110"/>
      <c r="J25" s="23"/>
      <c r="K25" s="111"/>
      <c r="L25" s="33"/>
      <c r="M25" s="23"/>
      <c r="N25" s="98">
        <v>7</v>
      </c>
      <c r="O25" s="112">
        <v>6</v>
      </c>
      <c r="P25" s="100" t="s">
        <v>160</v>
      </c>
      <c r="Q25" s="113" t="s">
        <v>24</v>
      </c>
      <c r="R25" s="104" t="s">
        <v>187</v>
      </c>
      <c r="S25" s="1"/>
      <c r="T25" s="23"/>
      <c r="U25" s="33"/>
      <c r="V25" s="33"/>
      <c r="X25" s="33"/>
      <c r="AA25" s="33"/>
      <c r="AB25" s="33"/>
      <c r="AC25" s="33"/>
      <c r="AD25" s="33"/>
      <c r="AE25" s="33"/>
      <c r="AF25" s="33"/>
      <c r="AG25" s="33"/>
      <c r="AH25" s="33"/>
      <c r="AI25" s="33"/>
      <c r="AJ25" s="33"/>
      <c r="AK25" s="33"/>
      <c r="AL25" s="33"/>
      <c r="AM25" s="33"/>
      <c r="AN25" s="33"/>
      <c r="AO25" s="33"/>
      <c r="AP25" s="33"/>
      <c r="AQ25" s="33"/>
      <c r="AR25" s="33"/>
      <c r="AS25" s="33"/>
      <c r="AT25" s="33"/>
      <c r="AU25" s="33"/>
      <c r="AV25" s="46"/>
      <c r="AW25" s="23"/>
      <c r="AX25" s="23"/>
      <c r="AY25" s="23"/>
      <c r="AZ25" s="23"/>
      <c r="BA25" s="23"/>
      <c r="BB25" s="23"/>
      <c r="BC25" s="23"/>
      <c r="BD25" s="23"/>
      <c r="BE25" s="99"/>
      <c r="BF25" s="46"/>
      <c r="BG25" s="23"/>
      <c r="BH25" s="23"/>
      <c r="BI25" s="23"/>
      <c r="BJ25" s="46"/>
      <c r="BK25" s="23"/>
      <c r="BL25" s="23"/>
      <c r="BM25" s="23"/>
    </row>
    <row r="26" spans="1:65" ht="17.25" customHeight="1" thickBot="1" x14ac:dyDescent="0.3">
      <c r="A26" s="66" t="s">
        <v>48</v>
      </c>
      <c r="B26" s="88" t="s">
        <v>165</v>
      </c>
      <c r="C26" s="102">
        <v>10</v>
      </c>
      <c r="D26" s="33"/>
      <c r="E26" s="114" t="s">
        <v>191</v>
      </c>
      <c r="F26" s="78"/>
      <c r="G26" s="78"/>
      <c r="H26" s="78"/>
      <c r="I26" s="78"/>
      <c r="J26" s="115"/>
      <c r="K26" s="116"/>
      <c r="L26" s="33"/>
      <c r="M26" s="98"/>
      <c r="N26" s="100" t="s">
        <v>160</v>
      </c>
      <c r="O26" s="100" t="s">
        <v>160</v>
      </c>
      <c r="P26" s="117" t="s">
        <v>0</v>
      </c>
      <c r="Q26" s="104" t="s">
        <v>187</v>
      </c>
      <c r="R26" s="1"/>
      <c r="S26" s="23"/>
      <c r="T26" s="33"/>
      <c r="U26" s="33"/>
      <c r="V26" s="33"/>
      <c r="W26" s="33"/>
      <c r="X26" s="33"/>
      <c r="AA26" s="33"/>
      <c r="AB26" s="33"/>
      <c r="AC26" s="33"/>
      <c r="AD26" s="33"/>
      <c r="AE26" s="33"/>
      <c r="AF26" s="33"/>
      <c r="AG26" s="33"/>
      <c r="AH26" s="33"/>
      <c r="AI26" s="33"/>
      <c r="AJ26" s="33"/>
      <c r="AK26" s="33"/>
      <c r="AL26" s="33"/>
      <c r="AM26" s="33"/>
      <c r="AN26" s="33"/>
      <c r="AO26" s="1184" t="s">
        <v>192</v>
      </c>
      <c r="AP26" s="1184"/>
      <c r="AQ26" s="1184"/>
      <c r="AR26" s="33"/>
      <c r="AS26" s="33"/>
      <c r="AT26" s="33"/>
      <c r="AU26" s="33"/>
      <c r="AV26" s="46"/>
      <c r="AW26" s="23"/>
      <c r="AX26" s="23"/>
      <c r="AY26" s="23"/>
      <c r="AZ26" s="23"/>
      <c r="BA26" s="23"/>
      <c r="BB26" s="23"/>
      <c r="BC26" s="23"/>
      <c r="BD26" s="23"/>
      <c r="BE26" s="99"/>
      <c r="BF26" s="46"/>
      <c r="BG26" s="23"/>
      <c r="BH26" s="23"/>
      <c r="BI26" s="23"/>
      <c r="BJ26" s="46"/>
      <c r="BK26" s="23"/>
      <c r="BL26" s="23"/>
      <c r="BM26" s="23"/>
    </row>
    <row r="27" spans="1:65" ht="17.25" customHeight="1" thickBot="1" x14ac:dyDescent="0.3">
      <c r="A27" s="62" t="s">
        <v>193</v>
      </c>
      <c r="B27" s="1226" t="s">
        <v>194</v>
      </c>
      <c r="C27" s="1226"/>
      <c r="D27" s="33"/>
      <c r="E27" s="119" t="s">
        <v>195</v>
      </c>
      <c r="F27" s="119" t="s">
        <v>195</v>
      </c>
      <c r="G27" s="119" t="s">
        <v>195</v>
      </c>
      <c r="H27" s="119" t="s">
        <v>195</v>
      </c>
      <c r="I27" s="120"/>
      <c r="J27" s="33"/>
      <c r="K27" s="23"/>
      <c r="L27" s="98"/>
      <c r="M27" s="100"/>
      <c r="N27" s="121" t="s">
        <v>196</v>
      </c>
      <c r="O27" s="122" t="s">
        <v>196</v>
      </c>
      <c r="P27" s="104" t="s">
        <v>187</v>
      </c>
      <c r="Q27" s="1"/>
      <c r="R27" s="1"/>
      <c r="S27" s="23"/>
      <c r="T27" s="33"/>
      <c r="U27" s="33"/>
      <c r="W27" s="33"/>
      <c r="X27" s="33"/>
      <c r="AA27" s="33"/>
      <c r="AB27" s="33"/>
      <c r="AC27" s="33"/>
      <c r="AD27" s="33"/>
      <c r="AE27" s="33"/>
      <c r="AF27" s="33"/>
      <c r="AG27" s="33"/>
      <c r="AH27" s="33"/>
      <c r="AI27" s="33"/>
      <c r="AJ27" s="33"/>
      <c r="AK27" s="33"/>
      <c r="AL27" s="33"/>
      <c r="AM27" s="33"/>
      <c r="AN27" s="33"/>
      <c r="AO27" s="33"/>
      <c r="AP27" s="123">
        <v>1</v>
      </c>
      <c r="AQ27" s="33"/>
      <c r="AR27" s="33"/>
      <c r="AS27" s="33"/>
      <c r="AT27" s="33"/>
      <c r="AU27" s="33"/>
      <c r="AV27" s="46"/>
      <c r="AW27" s="23"/>
      <c r="AX27" s="23"/>
      <c r="AY27" s="23"/>
      <c r="AZ27" s="23"/>
      <c r="BA27" s="23"/>
      <c r="BB27" s="23"/>
      <c r="BC27" s="23"/>
      <c r="BD27" s="23"/>
      <c r="BE27" s="99"/>
      <c r="BF27" s="46"/>
      <c r="BG27" s="23"/>
      <c r="BH27" s="23"/>
      <c r="BI27" s="23"/>
      <c r="BJ27" s="46"/>
      <c r="BK27" s="23"/>
      <c r="BL27" s="23"/>
      <c r="BM27" s="23"/>
    </row>
    <row r="28" spans="1:65" ht="17.25" customHeight="1" x14ac:dyDescent="0.25">
      <c r="A28" s="66" t="s">
        <v>48</v>
      </c>
      <c r="B28" s="88" t="s">
        <v>165</v>
      </c>
      <c r="C28" s="111">
        <v>1</v>
      </c>
      <c r="D28" s="61" t="s">
        <v>197</v>
      </c>
      <c r="E28" s="119" t="s">
        <v>195</v>
      </c>
      <c r="F28" s="119" t="s">
        <v>195</v>
      </c>
      <c r="G28" s="119" t="s">
        <v>195</v>
      </c>
      <c r="H28" s="119" t="s">
        <v>195</v>
      </c>
      <c r="I28" s="124"/>
      <c r="J28" s="33"/>
      <c r="K28" s="125">
        <v>8</v>
      </c>
      <c r="L28" s="100" t="s">
        <v>160</v>
      </c>
      <c r="M28" s="126" t="s">
        <v>196</v>
      </c>
      <c r="N28" s="75"/>
      <c r="O28" s="76"/>
      <c r="P28" s="1"/>
      <c r="Q28" s="81"/>
      <c r="R28" s="1"/>
      <c r="T28" s="33"/>
      <c r="U28" s="33"/>
      <c r="V28" s="33"/>
      <c r="W28" s="33"/>
      <c r="X28" s="33"/>
      <c r="AA28" s="33"/>
      <c r="AB28" s="33"/>
      <c r="AC28" s="1"/>
      <c r="AD28" s="1"/>
      <c r="AE28" s="1"/>
      <c r="AF28" s="33"/>
      <c r="AG28" s="33"/>
      <c r="AH28" s="33"/>
      <c r="AI28" s="1"/>
      <c r="AJ28" s="23"/>
      <c r="AK28" s="23"/>
      <c r="AL28" s="23"/>
      <c r="AM28" s="23"/>
      <c r="AN28" s="23"/>
      <c r="AO28" s="127" t="s">
        <v>198</v>
      </c>
      <c r="AP28" s="128" t="s">
        <v>199</v>
      </c>
      <c r="AQ28" s="33"/>
      <c r="AR28" s="33"/>
      <c r="AS28" s="23"/>
      <c r="AT28" s="23"/>
      <c r="AU28" s="33"/>
      <c r="AV28" s="46"/>
      <c r="AW28" s="23"/>
      <c r="AX28" s="23"/>
      <c r="AY28" s="23"/>
      <c r="AZ28" s="23"/>
      <c r="BA28" s="23"/>
      <c r="BB28" s="23"/>
      <c r="BC28" s="23"/>
      <c r="BD28" s="23"/>
      <c r="BE28" s="99"/>
      <c r="BF28" s="46"/>
      <c r="BG28" s="23"/>
      <c r="BH28" s="23"/>
      <c r="BI28" s="23"/>
      <c r="BJ28" s="46"/>
      <c r="BK28" s="23"/>
      <c r="BL28" s="23"/>
      <c r="BM28" s="23"/>
    </row>
    <row r="29" spans="1:65" ht="17.25" customHeight="1" thickBot="1" x14ac:dyDescent="0.3">
      <c r="A29" s="66" t="s">
        <v>48</v>
      </c>
      <c r="B29" s="88" t="s">
        <v>165</v>
      </c>
      <c r="C29" s="111">
        <v>2</v>
      </c>
      <c r="D29" s="124"/>
      <c r="E29" s="129" t="s">
        <v>191</v>
      </c>
      <c r="F29" s="23"/>
      <c r="G29" s="23"/>
      <c r="H29" s="23"/>
      <c r="I29" s="124"/>
      <c r="J29" s="33"/>
      <c r="K29" s="125">
        <v>9</v>
      </c>
      <c r="L29" s="100" t="s">
        <v>160</v>
      </c>
      <c r="M29" s="126" t="s">
        <v>196</v>
      </c>
      <c r="N29" s="75"/>
      <c r="O29" s="61"/>
      <c r="P29" s="1"/>
      <c r="R29" s="1"/>
      <c r="S29" s="23"/>
      <c r="T29" s="33"/>
      <c r="U29" s="33"/>
      <c r="V29" s="33"/>
      <c r="W29" s="33"/>
      <c r="X29" s="33"/>
      <c r="AA29" s="33"/>
      <c r="AB29" s="33"/>
      <c r="AC29" s="33"/>
      <c r="AD29" s="1"/>
      <c r="AE29" s="1"/>
      <c r="AF29" s="33"/>
      <c r="AG29" s="1"/>
      <c r="AH29" s="33"/>
      <c r="AI29" s="33"/>
      <c r="AJ29" s="130" t="s">
        <v>187</v>
      </c>
      <c r="AK29" s="23"/>
      <c r="AL29" s="23"/>
      <c r="AM29" s="33"/>
      <c r="AN29" s="23"/>
      <c r="AO29" s="131"/>
      <c r="AP29" s="66" t="s">
        <v>48</v>
      </c>
      <c r="AQ29" s="131"/>
      <c r="AR29" s="33"/>
      <c r="AS29" s="23"/>
      <c r="AT29" s="23"/>
      <c r="AU29" s="33"/>
      <c r="AV29" s="132"/>
      <c r="AW29" s="23"/>
      <c r="AX29" s="133"/>
      <c r="AY29" s="133"/>
      <c r="AZ29" s="133"/>
      <c r="BA29" s="133"/>
      <c r="BB29" s="133"/>
      <c r="BC29" s="133"/>
      <c r="BD29" s="133"/>
      <c r="BE29" s="134"/>
      <c r="BF29" s="46"/>
      <c r="BG29" s="133"/>
      <c r="BH29" s="133"/>
      <c r="BI29" s="134"/>
      <c r="BJ29" s="46"/>
      <c r="BK29" s="135"/>
      <c r="BL29" s="135"/>
      <c r="BM29" s="135"/>
    </row>
    <row r="30" spans="1:65" ht="17.25" customHeight="1" x14ac:dyDescent="0.25">
      <c r="A30" s="66" t="s">
        <v>48</v>
      </c>
      <c r="B30" s="88" t="s">
        <v>165</v>
      </c>
      <c r="C30" s="111">
        <v>3</v>
      </c>
      <c r="D30" s="136"/>
      <c r="E30" s="105"/>
      <c r="F30" s="105"/>
      <c r="G30" s="105"/>
      <c r="H30" s="105"/>
      <c r="I30" s="23"/>
      <c r="J30" s="33"/>
      <c r="K30" s="125">
        <v>10</v>
      </c>
      <c r="L30" s="100" t="s">
        <v>160</v>
      </c>
      <c r="M30" s="126" t="s">
        <v>196</v>
      </c>
      <c r="N30" s="75"/>
      <c r="O30" s="137"/>
      <c r="R30" s="1"/>
      <c r="S30" s="23"/>
      <c r="T30" s="33"/>
      <c r="U30" s="33"/>
      <c r="V30" s="33"/>
      <c r="W30" s="33"/>
      <c r="X30" s="33"/>
      <c r="AA30" s="33"/>
      <c r="AB30" s="138" t="s">
        <v>200</v>
      </c>
      <c r="AC30" s="33"/>
      <c r="AD30" s="33"/>
      <c r="AE30" s="23"/>
      <c r="AF30" s="33"/>
      <c r="AG30" s="1"/>
      <c r="AH30" s="33"/>
      <c r="AI30" s="130" t="s">
        <v>187</v>
      </c>
      <c r="AJ30" s="23"/>
      <c r="AK30" s="130" t="s">
        <v>187</v>
      </c>
      <c r="AL30" s="1"/>
      <c r="AM30" s="139">
        <v>4</v>
      </c>
      <c r="AN30" s="128" t="s">
        <v>199</v>
      </c>
      <c r="AO30" s="66" t="s">
        <v>48</v>
      </c>
      <c r="AP30" s="131"/>
      <c r="AQ30" s="66" t="s">
        <v>48</v>
      </c>
      <c r="AR30" s="128" t="s">
        <v>199</v>
      </c>
      <c r="AS30" s="140">
        <v>2</v>
      </c>
      <c r="AT30" s="1"/>
      <c r="AU30" s="33"/>
      <c r="AV30" s="1"/>
      <c r="AW30" s="141"/>
      <c r="AX30" s="69" t="s">
        <v>167</v>
      </c>
      <c r="AY30" s="69" t="s">
        <v>167</v>
      </c>
      <c r="AZ30" s="69" t="s">
        <v>167</v>
      </c>
      <c r="BA30" s="69" t="s">
        <v>167</v>
      </c>
      <c r="BB30" s="69" t="s">
        <v>167</v>
      </c>
      <c r="BC30" s="32" t="s">
        <v>151</v>
      </c>
      <c r="BD30" s="32" t="s">
        <v>151</v>
      </c>
      <c r="BE30" s="32" t="s">
        <v>151</v>
      </c>
      <c r="BF30" s="46"/>
      <c r="BG30" s="23"/>
      <c r="BH30" s="23"/>
      <c r="BI30" s="23"/>
      <c r="BJ30" s="46"/>
      <c r="BK30" s="135"/>
      <c r="BL30" s="142"/>
      <c r="BM30" s="135"/>
    </row>
    <row r="31" spans="1:65" ht="17.25" customHeight="1" x14ac:dyDescent="0.25">
      <c r="A31" s="66" t="s">
        <v>48</v>
      </c>
      <c r="B31" s="88" t="s">
        <v>165</v>
      </c>
      <c r="C31" s="111">
        <v>4</v>
      </c>
      <c r="D31" s="23"/>
      <c r="E31" s="1213" t="s">
        <v>201</v>
      </c>
      <c r="F31" s="1213"/>
      <c r="G31" s="1213"/>
      <c r="H31" s="1213"/>
      <c r="I31" s="33"/>
      <c r="J31" s="33"/>
      <c r="K31" s="125">
        <v>11</v>
      </c>
      <c r="L31" s="100" t="s">
        <v>160</v>
      </c>
      <c r="M31" s="126" t="s">
        <v>196</v>
      </c>
      <c r="N31" s="75"/>
      <c r="O31" s="1"/>
      <c r="P31" s="1"/>
      <c r="Q31" s="81"/>
      <c r="R31" s="1"/>
      <c r="S31" s="23"/>
      <c r="T31" s="33"/>
      <c r="U31" s="33"/>
      <c r="V31" s="83" t="s">
        <v>202</v>
      </c>
      <c r="W31" s="33"/>
      <c r="X31" s="33"/>
      <c r="AA31" s="138" t="s">
        <v>200</v>
      </c>
      <c r="AB31" s="61" t="s">
        <v>203</v>
      </c>
      <c r="AC31" s="138" t="s">
        <v>200</v>
      </c>
      <c r="AD31" s="33"/>
      <c r="AE31" s="23"/>
      <c r="AF31" s="33"/>
      <c r="AG31" s="1"/>
      <c r="AH31" s="33"/>
      <c r="AI31" s="33"/>
      <c r="AJ31" s="130" t="s">
        <v>187</v>
      </c>
      <c r="AK31" s="1"/>
      <c r="AL31" s="1"/>
      <c r="AM31" s="1"/>
      <c r="AN31" s="23"/>
      <c r="AO31" s="131"/>
      <c r="AP31" s="66" t="s">
        <v>48</v>
      </c>
      <c r="AQ31" s="131"/>
      <c r="AR31" s="33"/>
      <c r="AS31" s="81"/>
      <c r="AT31" s="81"/>
      <c r="AU31" s="33"/>
      <c r="AV31" s="81"/>
      <c r="AW31" s="81"/>
      <c r="AX31" s="81"/>
      <c r="AY31" s="81"/>
      <c r="AZ31" s="81"/>
      <c r="BA31" s="81"/>
      <c r="BB31" s="1"/>
      <c r="BC31" s="1"/>
      <c r="BD31" s="1"/>
      <c r="BE31" s="1"/>
      <c r="BF31" s="46"/>
      <c r="BG31" s="23"/>
      <c r="BH31" s="23"/>
      <c r="BI31" s="23"/>
      <c r="BJ31" s="46"/>
      <c r="BK31" s="142"/>
      <c r="BL31" s="135"/>
      <c r="BM31" s="142"/>
    </row>
    <row r="32" spans="1:65" ht="17.25" customHeight="1" thickBot="1" x14ac:dyDescent="0.3">
      <c r="A32" s="88"/>
      <c r="C32" s="111"/>
      <c r="D32" s="23"/>
      <c r="E32" s="119" t="s">
        <v>195</v>
      </c>
      <c r="F32" s="119" t="s">
        <v>195</v>
      </c>
      <c r="G32" s="119" t="s">
        <v>195</v>
      </c>
      <c r="H32" s="119" t="s">
        <v>195</v>
      </c>
      <c r="I32" s="33"/>
      <c r="J32" s="1"/>
      <c r="K32" s="143"/>
      <c r="L32" s="98"/>
      <c r="M32" s="100"/>
      <c r="N32" s="144" t="s">
        <v>204</v>
      </c>
      <c r="O32" s="137"/>
      <c r="P32" s="1"/>
      <c r="Q32" s="81"/>
      <c r="R32" s="1"/>
      <c r="S32" s="23"/>
      <c r="T32" s="33"/>
      <c r="U32" s="83" t="s">
        <v>202</v>
      </c>
      <c r="V32" s="61" t="s">
        <v>205</v>
      </c>
      <c r="W32" s="83" t="s">
        <v>202</v>
      </c>
      <c r="X32" s="33"/>
      <c r="AA32" s="145"/>
      <c r="AB32" s="138" t="s">
        <v>200</v>
      </c>
      <c r="AC32" s="145"/>
      <c r="AD32" s="23"/>
      <c r="AE32" s="23"/>
      <c r="AF32" s="33"/>
      <c r="AG32" s="1"/>
      <c r="AH32" s="1"/>
      <c r="AI32" s="33"/>
      <c r="AJ32" s="23"/>
      <c r="AK32" s="33"/>
      <c r="AL32" s="33"/>
      <c r="AM32" s="33"/>
      <c r="AN32" s="23"/>
      <c r="AO32" s="61" t="s">
        <v>206</v>
      </c>
      <c r="AP32" s="128" t="s">
        <v>199</v>
      </c>
      <c r="AQ32" s="33"/>
      <c r="AR32" s="33"/>
      <c r="AS32" s="33"/>
      <c r="AT32" s="33"/>
      <c r="AU32" s="33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46"/>
      <c r="BG32" s="23"/>
      <c r="BH32" s="23"/>
      <c r="BI32" s="23"/>
      <c r="BJ32" s="46"/>
      <c r="BK32" s="142"/>
      <c r="BL32" s="135"/>
      <c r="BM32" s="142"/>
    </row>
    <row r="33" spans="1:65" ht="17.25" customHeight="1" x14ac:dyDescent="0.25">
      <c r="A33" s="1227" t="s">
        <v>207</v>
      </c>
      <c r="B33" s="33"/>
      <c r="C33" s="111"/>
      <c r="D33" s="61" t="s">
        <v>208</v>
      </c>
      <c r="E33" s="119" t="s">
        <v>195</v>
      </c>
      <c r="F33" s="119" t="s">
        <v>195</v>
      </c>
      <c r="G33" s="119" t="s">
        <v>195</v>
      </c>
      <c r="H33" s="119" t="s">
        <v>195</v>
      </c>
      <c r="I33" s="33"/>
      <c r="J33" s="81"/>
      <c r="K33" s="33"/>
      <c r="L33" s="61" t="s">
        <v>209</v>
      </c>
      <c r="M33" s="146"/>
      <c r="N33" s="144" t="s">
        <v>204</v>
      </c>
      <c r="O33" s="1"/>
      <c r="P33" s="1"/>
      <c r="Q33" s="81"/>
      <c r="R33" s="1"/>
      <c r="S33" s="23"/>
      <c r="T33" s="23"/>
      <c r="U33" s="33"/>
      <c r="V33" s="83" t="s">
        <v>202</v>
      </c>
      <c r="W33" s="33"/>
      <c r="X33" s="33"/>
      <c r="AA33" s="33"/>
      <c r="AB33" s="145"/>
      <c r="AC33" s="145"/>
      <c r="AD33" s="145"/>
      <c r="AE33" s="23"/>
      <c r="AF33" s="33"/>
      <c r="AG33" s="1"/>
      <c r="AH33" s="1"/>
      <c r="AI33" s="23"/>
      <c r="AJ33" s="23"/>
      <c r="AK33" s="33"/>
      <c r="AL33" s="33"/>
      <c r="AM33" s="33"/>
      <c r="AN33" s="23"/>
      <c r="AO33" s="33"/>
      <c r="AP33" s="123">
        <v>3</v>
      </c>
      <c r="AQ33" s="33"/>
      <c r="AR33" s="33"/>
      <c r="AS33" s="1"/>
      <c r="AT33" s="1"/>
      <c r="AU33" s="33"/>
      <c r="AV33" s="33"/>
      <c r="AW33" s="33"/>
      <c r="AX33" s="33"/>
      <c r="AY33" s="1"/>
      <c r="AZ33" s="1"/>
      <c r="BA33" s="1"/>
      <c r="BB33" s="1"/>
      <c r="BC33" s="1"/>
      <c r="BD33" s="1"/>
      <c r="BE33" s="147" t="s">
        <v>177</v>
      </c>
      <c r="BF33" s="46"/>
      <c r="BG33" s="23"/>
      <c r="BH33" s="23"/>
      <c r="BI33" s="99"/>
      <c r="BJ33" s="46"/>
      <c r="BK33" s="135"/>
      <c r="BL33" s="142"/>
      <c r="BM33" s="135"/>
    </row>
    <row r="34" spans="1:65" ht="17.25" customHeight="1" x14ac:dyDescent="0.25">
      <c r="A34" s="1228"/>
      <c r="B34" s="92"/>
      <c r="C34" s="111"/>
      <c r="D34" s="116"/>
      <c r="E34" s="1230" t="s">
        <v>210</v>
      </c>
      <c r="F34" s="1230"/>
      <c r="G34" s="1230"/>
      <c r="H34" s="1230"/>
      <c r="I34" s="148"/>
      <c r="J34" s="23"/>
      <c r="K34" s="143"/>
      <c r="L34" s="149" t="s">
        <v>211</v>
      </c>
      <c r="M34" s="150" t="s">
        <v>195</v>
      </c>
      <c r="N34" s="144" t="s">
        <v>204</v>
      </c>
      <c r="O34" s="33"/>
      <c r="P34" s="33"/>
      <c r="R34" s="81"/>
      <c r="S34" s="23"/>
      <c r="T34" s="23"/>
      <c r="U34" s="33"/>
      <c r="V34" s="33"/>
      <c r="W34" s="33"/>
      <c r="X34" s="1"/>
      <c r="AA34" s="33"/>
      <c r="AB34" s="33"/>
      <c r="AC34" s="33"/>
      <c r="AD34" s="145"/>
      <c r="AE34" s="23"/>
      <c r="AF34" s="1231"/>
      <c r="AG34" s="1231"/>
      <c r="AH34" s="1231"/>
      <c r="AI34" s="23"/>
      <c r="AJ34" s="23"/>
      <c r="AK34" s="33"/>
      <c r="AL34" s="33"/>
      <c r="AM34" s="33"/>
      <c r="AN34" s="33"/>
      <c r="AO34" s="33"/>
      <c r="AP34" s="32" t="s">
        <v>151</v>
      </c>
      <c r="AQ34" s="32" t="s">
        <v>151</v>
      </c>
      <c r="AR34" s="32" t="s">
        <v>151</v>
      </c>
      <c r="AS34" s="32" t="s">
        <v>151</v>
      </c>
      <c r="AT34" s="32" t="s">
        <v>151</v>
      </c>
      <c r="AU34" s="33"/>
      <c r="AV34" s="33"/>
      <c r="AW34" s="69" t="s">
        <v>177</v>
      </c>
      <c r="AX34" s="69" t="s">
        <v>177</v>
      </c>
      <c r="AY34" s="69" t="s">
        <v>177</v>
      </c>
      <c r="AZ34" s="33"/>
      <c r="BA34" s="69" t="s">
        <v>177</v>
      </c>
      <c r="BB34" s="147" t="s">
        <v>177</v>
      </c>
      <c r="BC34" s="147" t="s">
        <v>177</v>
      </c>
      <c r="BD34" s="1"/>
      <c r="BE34" s="69" t="s">
        <v>177</v>
      </c>
      <c r="BF34" s="46"/>
      <c r="BG34" s="23"/>
      <c r="BH34" s="23"/>
      <c r="BI34" s="99"/>
      <c r="BJ34" s="46"/>
      <c r="BK34" s="135"/>
      <c r="BL34" s="135"/>
      <c r="BM34" s="135"/>
    </row>
    <row r="35" spans="1:65" ht="17.25" customHeight="1" x14ac:dyDescent="0.25">
      <c r="A35" s="1228"/>
      <c r="B35" s="33"/>
      <c r="C35" s="33"/>
      <c r="D35" s="116"/>
      <c r="E35" s="78">
        <v>1</v>
      </c>
      <c r="F35" s="78">
        <v>2</v>
      </c>
      <c r="G35" s="78">
        <v>3</v>
      </c>
      <c r="H35" s="78">
        <v>4</v>
      </c>
      <c r="I35" s="114"/>
      <c r="J35" s="23"/>
      <c r="K35" s="143"/>
      <c r="L35" s="149" t="s">
        <v>211</v>
      </c>
      <c r="M35" s="150" t="s">
        <v>195</v>
      </c>
      <c r="N35" s="144" t="s">
        <v>204</v>
      </c>
      <c r="O35" s="33"/>
      <c r="P35" s="33"/>
      <c r="Q35" s="81"/>
      <c r="R35" s="81"/>
      <c r="S35" s="23"/>
      <c r="T35" s="23"/>
      <c r="U35" s="1"/>
      <c r="V35" s="1"/>
      <c r="W35" s="1"/>
      <c r="X35" s="1"/>
      <c r="Y35" s="33"/>
      <c r="Z35" s="145"/>
      <c r="AA35" s="33"/>
      <c r="AB35" s="145"/>
      <c r="AC35" s="145"/>
      <c r="AD35" s="23"/>
      <c r="AE35" s="23"/>
      <c r="AF35" s="33"/>
      <c r="AG35" s="33"/>
      <c r="AH35" s="33"/>
      <c r="AI35" s="23"/>
      <c r="AJ35" s="23"/>
      <c r="AK35" s="33"/>
      <c r="AL35" s="33"/>
      <c r="AM35" s="33"/>
      <c r="AN35" s="33"/>
      <c r="AO35" s="33"/>
      <c r="AP35" s="32" t="s">
        <v>151</v>
      </c>
      <c r="AQ35" s="32" t="s">
        <v>151</v>
      </c>
      <c r="AR35" s="32" t="s">
        <v>151</v>
      </c>
      <c r="AS35" s="32" t="s">
        <v>151</v>
      </c>
      <c r="AT35" s="32" t="s">
        <v>151</v>
      </c>
      <c r="AU35" s="33"/>
      <c r="AV35" s="33"/>
      <c r="AW35" s="69" t="s">
        <v>177</v>
      </c>
      <c r="AX35" s="69" t="s">
        <v>177</v>
      </c>
      <c r="AY35" s="69" t="s">
        <v>177</v>
      </c>
      <c r="AZ35" s="33"/>
      <c r="BA35" s="69" t="s">
        <v>177</v>
      </c>
      <c r="BB35" s="147" t="s">
        <v>177</v>
      </c>
      <c r="BC35" s="147" t="s">
        <v>177</v>
      </c>
      <c r="BD35" s="1"/>
      <c r="BE35" s="69" t="s">
        <v>177</v>
      </c>
      <c r="BF35" s="46"/>
      <c r="BG35" s="23"/>
      <c r="BH35" s="23"/>
      <c r="BI35" s="99"/>
      <c r="BJ35" s="151"/>
      <c r="BK35" s="23"/>
      <c r="BL35" s="23"/>
      <c r="BM35" s="23"/>
    </row>
    <row r="36" spans="1:65" ht="17.25" customHeight="1" thickBot="1" x14ac:dyDescent="0.3">
      <c r="A36" s="1229"/>
      <c r="B36" s="33"/>
      <c r="C36" s="23"/>
      <c r="D36" s="62" t="s">
        <v>212</v>
      </c>
      <c r="E36" s="152" t="s">
        <v>213</v>
      </c>
      <c r="F36" s="152" t="s">
        <v>213</v>
      </c>
      <c r="G36" s="152" t="s">
        <v>213</v>
      </c>
      <c r="H36" s="152" t="s">
        <v>213</v>
      </c>
      <c r="I36" s="94" t="s">
        <v>214</v>
      </c>
      <c r="J36" s="33"/>
      <c r="K36" s="143"/>
      <c r="L36" s="149" t="s">
        <v>211</v>
      </c>
      <c r="M36" s="150" t="s">
        <v>195</v>
      </c>
      <c r="N36" s="75"/>
      <c r="O36" s="33"/>
      <c r="P36" s="33"/>
      <c r="Q36" s="1"/>
      <c r="R36" s="1"/>
      <c r="S36" s="23"/>
      <c r="T36" s="23"/>
      <c r="U36" s="1"/>
      <c r="V36" s="1"/>
      <c r="W36" s="1"/>
      <c r="X36" s="1"/>
      <c r="Y36" s="33"/>
      <c r="Z36" s="23"/>
      <c r="AA36" s="23"/>
      <c r="AB36" s="23"/>
      <c r="AC36" s="1232" t="s">
        <v>215</v>
      </c>
      <c r="AD36" s="1232"/>
      <c r="AE36" s="1232"/>
      <c r="AF36" s="1"/>
      <c r="AG36" s="33"/>
      <c r="AH36" s="33"/>
      <c r="AI36" s="23"/>
      <c r="AJ36" s="33"/>
      <c r="AK36" s="33"/>
      <c r="AL36" s="1"/>
      <c r="AM36" s="33"/>
      <c r="AN36" s="1"/>
      <c r="AO36" s="33"/>
      <c r="AP36" s="1"/>
      <c r="AQ36" s="1"/>
      <c r="AR36" s="1"/>
      <c r="AS36" s="1"/>
      <c r="AT36" s="1"/>
      <c r="AU36" s="33"/>
      <c r="AV36" s="61" t="s">
        <v>216</v>
      </c>
      <c r="AW36" s="33"/>
      <c r="AX36" s="33"/>
      <c r="AY36" s="33"/>
      <c r="AZ36" s="33"/>
      <c r="BA36" s="33"/>
      <c r="BB36" s="33"/>
      <c r="BC36" s="153"/>
      <c r="BD36" s="1"/>
      <c r="BE36" s="69" t="s">
        <v>177</v>
      </c>
      <c r="BF36" s="46"/>
      <c r="BG36" s="23"/>
      <c r="BH36" s="23"/>
      <c r="BI36" s="99"/>
      <c r="BJ36" s="46"/>
      <c r="BK36" s="154"/>
      <c r="BL36" s="23"/>
      <c r="BM36" s="23"/>
    </row>
    <row r="37" spans="1:65" ht="17.25" customHeight="1" x14ac:dyDescent="0.25">
      <c r="A37" s="155" t="s">
        <v>167</v>
      </c>
      <c r="B37" s="23"/>
      <c r="C37" s="1220"/>
      <c r="D37" s="1224"/>
      <c r="E37" s="66" t="s">
        <v>48</v>
      </c>
      <c r="F37" s="66" t="s">
        <v>48</v>
      </c>
      <c r="G37" s="66" t="s">
        <v>48</v>
      </c>
      <c r="H37" s="66" t="s">
        <v>48</v>
      </c>
      <c r="I37" s="1225"/>
      <c r="J37" s="33"/>
      <c r="K37" s="143"/>
      <c r="L37" s="149" t="s">
        <v>211</v>
      </c>
      <c r="M37" s="150" t="s">
        <v>195</v>
      </c>
      <c r="N37" s="75"/>
      <c r="O37" s="62" t="s">
        <v>217</v>
      </c>
      <c r="P37" s="33"/>
      <c r="Q37" s="81"/>
      <c r="R37" s="1"/>
      <c r="S37" s="23"/>
      <c r="T37" s="23"/>
      <c r="U37" s="157"/>
      <c r="V37" s="123">
        <v>1</v>
      </c>
      <c r="W37" s="123">
        <v>2</v>
      </c>
      <c r="X37" s="123">
        <v>3</v>
      </c>
      <c r="Y37" s="33"/>
      <c r="Z37" s="123"/>
      <c r="AA37" s="33"/>
      <c r="AB37" s="23"/>
      <c r="AC37" s="33"/>
      <c r="AD37" s="158">
        <v>1</v>
      </c>
      <c r="AE37" s="33"/>
      <c r="AF37" s="1"/>
      <c r="AG37" s="33"/>
      <c r="AH37" s="33"/>
      <c r="AI37" s="23"/>
      <c r="AJ37" s="33"/>
      <c r="AK37" s="33"/>
      <c r="AL37" s="1"/>
      <c r="AM37" s="158"/>
      <c r="AN37" s="81"/>
      <c r="AO37" s="33"/>
      <c r="AP37" s="81"/>
      <c r="AQ37" s="1"/>
      <c r="AR37" s="1"/>
      <c r="AS37" s="1" t="s">
        <v>173</v>
      </c>
      <c r="AT37" s="1" t="s">
        <v>218</v>
      </c>
      <c r="AU37" s="1" t="s">
        <v>219</v>
      </c>
      <c r="AV37" s="1" t="s">
        <v>161</v>
      </c>
      <c r="AW37" s="33"/>
      <c r="AX37" s="33"/>
      <c r="AY37" s="33"/>
      <c r="AZ37" s="33"/>
      <c r="BA37" s="33"/>
      <c r="BB37" s="33"/>
      <c r="BC37" s="33"/>
      <c r="BD37" s="1"/>
      <c r="BE37" s="69" t="s">
        <v>177</v>
      </c>
      <c r="BF37" s="46"/>
      <c r="BG37" s="107" t="s">
        <v>190</v>
      </c>
      <c r="BH37" s="23"/>
      <c r="BI37" s="99"/>
      <c r="BJ37" s="46"/>
      <c r="BK37" s="154"/>
      <c r="BL37" s="23"/>
      <c r="BM37" s="23"/>
    </row>
    <row r="38" spans="1:65" ht="17.25" customHeight="1" thickBot="1" x14ac:dyDescent="0.3">
      <c r="A38" s="69" t="s">
        <v>167</v>
      </c>
      <c r="B38" s="23"/>
      <c r="C38" s="1220"/>
      <c r="D38" s="1224"/>
      <c r="E38" s="66" t="s">
        <v>48</v>
      </c>
      <c r="F38" s="66" t="s">
        <v>48</v>
      </c>
      <c r="G38" s="66" t="s">
        <v>48</v>
      </c>
      <c r="H38" s="66" t="s">
        <v>48</v>
      </c>
      <c r="I38" s="1225"/>
      <c r="J38" s="33"/>
      <c r="K38" s="143"/>
      <c r="L38" s="149" t="s">
        <v>211</v>
      </c>
      <c r="M38" s="150" t="s">
        <v>195</v>
      </c>
      <c r="N38" s="1183" t="s">
        <v>215</v>
      </c>
      <c r="O38" s="1184"/>
      <c r="P38" s="33"/>
      <c r="Q38" s="33"/>
      <c r="R38" s="1"/>
      <c r="S38" s="23"/>
      <c r="T38" s="23"/>
      <c r="U38" s="127" t="s">
        <v>220</v>
      </c>
      <c r="V38" s="159" t="s">
        <v>165</v>
      </c>
      <c r="W38" s="159" t="s">
        <v>165</v>
      </c>
      <c r="X38" s="159" t="s">
        <v>165</v>
      </c>
      <c r="Y38" s="94" t="s">
        <v>221</v>
      </c>
      <c r="Z38" s="33"/>
      <c r="AA38" s="33"/>
      <c r="AB38" s="23"/>
      <c r="AC38" s="127" t="s">
        <v>217</v>
      </c>
      <c r="AD38" s="160" t="s">
        <v>165</v>
      </c>
      <c r="AE38" s="158"/>
      <c r="AF38" s="81"/>
      <c r="AG38" s="33"/>
      <c r="AH38" s="33"/>
      <c r="AI38" s="80"/>
      <c r="AJ38" s="119" t="s">
        <v>195</v>
      </c>
      <c r="AK38" s="33"/>
      <c r="AL38" s="33"/>
      <c r="AM38" s="33"/>
      <c r="AN38" s="33"/>
      <c r="AO38" s="119" t="s">
        <v>195</v>
      </c>
      <c r="AP38" s="33"/>
      <c r="AQ38" s="161"/>
      <c r="AR38" s="81"/>
      <c r="AS38" s="69" t="s">
        <v>167</v>
      </c>
      <c r="AT38" s="69" t="s">
        <v>167</v>
      </c>
      <c r="AU38" s="69" t="s">
        <v>167</v>
      </c>
      <c r="AV38" s="69" t="s">
        <v>167</v>
      </c>
      <c r="AW38" s="33"/>
      <c r="AX38" s="32" t="s">
        <v>151</v>
      </c>
      <c r="AY38" s="32" t="s">
        <v>151</v>
      </c>
      <c r="AZ38" s="33"/>
      <c r="BA38" s="130" t="s">
        <v>187</v>
      </c>
      <c r="BB38" s="130" t="s">
        <v>187</v>
      </c>
      <c r="BC38" s="130" t="s">
        <v>187</v>
      </c>
      <c r="BD38" s="1"/>
      <c r="BE38" s="61" t="s">
        <v>222</v>
      </c>
      <c r="BF38" s="46"/>
      <c r="BG38" s="23"/>
      <c r="BH38" s="23"/>
      <c r="BI38" s="99"/>
      <c r="BJ38" s="151"/>
      <c r="BK38" s="23"/>
      <c r="BL38" s="23"/>
      <c r="BM38" s="23"/>
    </row>
    <row r="39" spans="1:65" ht="17.25" customHeight="1" x14ac:dyDescent="0.25">
      <c r="A39" s="69" t="s">
        <v>167</v>
      </c>
      <c r="B39" s="23"/>
      <c r="C39" s="162"/>
      <c r="D39" s="61" t="s">
        <v>223</v>
      </c>
      <c r="E39" s="152" t="s">
        <v>213</v>
      </c>
      <c r="F39" s="152" t="s">
        <v>213</v>
      </c>
      <c r="G39" s="152" t="s">
        <v>213</v>
      </c>
      <c r="H39" s="152" t="s">
        <v>213</v>
      </c>
      <c r="I39" s="108"/>
      <c r="J39" s="33"/>
      <c r="K39" s="143"/>
      <c r="L39" s="149" t="s">
        <v>211</v>
      </c>
      <c r="M39" s="163" t="s">
        <v>195</v>
      </c>
      <c r="N39" s="164" t="s">
        <v>48</v>
      </c>
      <c r="O39" s="64" t="s">
        <v>165</v>
      </c>
      <c r="P39" s="165">
        <v>1</v>
      </c>
      <c r="Q39" s="1"/>
      <c r="R39" s="1"/>
      <c r="S39" s="23"/>
      <c r="T39" s="23"/>
      <c r="U39" s="63"/>
      <c r="V39" s="66" t="s">
        <v>48</v>
      </c>
      <c r="W39" s="66" t="s">
        <v>48</v>
      </c>
      <c r="X39" s="66" t="s">
        <v>48</v>
      </c>
      <c r="Y39" s="1101" t="s">
        <v>224</v>
      </c>
      <c r="Z39" s="33"/>
      <c r="AA39" s="33"/>
      <c r="AB39" s="23"/>
      <c r="AC39" s="160"/>
      <c r="AD39" s="66" t="s">
        <v>48</v>
      </c>
      <c r="AE39" s="160"/>
      <c r="AF39" s="33"/>
      <c r="AG39" s="33"/>
      <c r="AH39" s="33"/>
      <c r="AI39" s="119" t="s">
        <v>195</v>
      </c>
      <c r="AJ39" s="166" t="s">
        <v>225</v>
      </c>
      <c r="AK39" s="119" t="s">
        <v>195</v>
      </c>
      <c r="AL39" s="33"/>
      <c r="AM39" s="33"/>
      <c r="AN39" s="119" t="s">
        <v>195</v>
      </c>
      <c r="AO39" s="1" t="s">
        <v>191</v>
      </c>
      <c r="AP39" s="119" t="s">
        <v>195</v>
      </c>
      <c r="AQ39" s="33"/>
      <c r="AR39" s="81"/>
      <c r="AS39" s="69" t="s">
        <v>167</v>
      </c>
      <c r="AT39" s="69" t="s">
        <v>167</v>
      </c>
      <c r="AU39" s="69" t="s">
        <v>167</v>
      </c>
      <c r="AV39" s="69" t="s">
        <v>167</v>
      </c>
      <c r="AW39" s="33"/>
      <c r="AX39" s="32" t="s">
        <v>151</v>
      </c>
      <c r="AY39" s="32" t="s">
        <v>151</v>
      </c>
      <c r="AZ39" s="33"/>
      <c r="BA39" s="130" t="s">
        <v>187</v>
      </c>
      <c r="BB39" s="130" t="s">
        <v>187</v>
      </c>
      <c r="BC39" s="130" t="s">
        <v>187</v>
      </c>
      <c r="BD39" s="1"/>
      <c r="BE39" s="167"/>
      <c r="BF39" s="46"/>
      <c r="BG39" s="23"/>
      <c r="BH39" s="23"/>
      <c r="BI39" s="99"/>
      <c r="BJ39" s="46"/>
      <c r="BK39" s="23"/>
      <c r="BL39" s="23"/>
      <c r="BM39" s="23"/>
    </row>
    <row r="40" spans="1:65" ht="17.25" customHeight="1" thickBot="1" x14ac:dyDescent="0.3">
      <c r="A40" s="168" t="s">
        <v>226</v>
      </c>
      <c r="B40" s="23"/>
      <c r="C40" s="162"/>
      <c r="D40" s="116"/>
      <c r="E40" s="78">
        <v>8</v>
      </c>
      <c r="F40" s="78">
        <v>7</v>
      </c>
      <c r="G40" s="78">
        <v>6</v>
      </c>
      <c r="H40" s="78">
        <v>5</v>
      </c>
      <c r="I40" s="116"/>
      <c r="J40" s="23"/>
      <c r="K40" s="143"/>
      <c r="L40" s="149" t="s">
        <v>227</v>
      </c>
      <c r="M40" s="163" t="s">
        <v>195</v>
      </c>
      <c r="N40" s="164" t="s">
        <v>48</v>
      </c>
      <c r="O40" s="64" t="s">
        <v>165</v>
      </c>
      <c r="P40" s="89">
        <v>2</v>
      </c>
      <c r="Q40" s="81"/>
      <c r="R40" s="81"/>
      <c r="S40" s="23"/>
      <c r="T40" s="23"/>
      <c r="U40" s="63"/>
      <c r="V40" s="66" t="s">
        <v>48</v>
      </c>
      <c r="W40" s="66" t="s">
        <v>48</v>
      </c>
      <c r="X40" s="66" t="s">
        <v>48</v>
      </c>
      <c r="Y40" s="1102"/>
      <c r="Z40" s="33"/>
      <c r="AA40" s="33"/>
      <c r="AB40" s="160" t="s">
        <v>165</v>
      </c>
      <c r="AC40" s="66" t="s">
        <v>48</v>
      </c>
      <c r="AD40" s="160"/>
      <c r="AE40" s="66" t="s">
        <v>48</v>
      </c>
      <c r="AF40" s="160" t="s">
        <v>165</v>
      </c>
      <c r="AG40" s="33"/>
      <c r="AH40" s="33"/>
      <c r="AI40" s="33"/>
      <c r="AJ40" s="119" t="s">
        <v>195</v>
      </c>
      <c r="AK40" s="33"/>
      <c r="AL40" s="33"/>
      <c r="AM40" s="33"/>
      <c r="AN40" s="33"/>
      <c r="AO40" s="119" t="s">
        <v>195</v>
      </c>
      <c r="AP40" s="33"/>
      <c r="AQ40" s="33"/>
      <c r="AR40" s="81"/>
      <c r="AS40" s="1" t="s">
        <v>228</v>
      </c>
      <c r="AT40" s="1"/>
      <c r="AU40" s="1" t="s">
        <v>229</v>
      </c>
      <c r="AV40" s="1"/>
      <c r="AW40" s="33"/>
      <c r="AX40" s="33"/>
      <c r="AY40" s="33"/>
      <c r="AZ40" s="33"/>
      <c r="BA40" s="33"/>
      <c r="BB40" s="33"/>
      <c r="BC40" s="33"/>
      <c r="BD40" s="33"/>
      <c r="BE40" s="167"/>
      <c r="BF40" s="46"/>
      <c r="BG40" s="23"/>
      <c r="BH40" s="23"/>
      <c r="BI40" s="99"/>
      <c r="BJ40" s="46"/>
      <c r="BK40" s="23"/>
      <c r="BL40" s="23"/>
      <c r="BM40" s="23"/>
    </row>
    <row r="41" spans="1:65" ht="17.25" customHeight="1" x14ac:dyDescent="0.25">
      <c r="B41" s="23"/>
      <c r="C41" s="162"/>
      <c r="D41" s="23"/>
      <c r="E41" s="1184" t="s">
        <v>210</v>
      </c>
      <c r="F41" s="1184"/>
      <c r="G41" s="1184"/>
      <c r="H41" s="1184"/>
      <c r="I41" s="1184"/>
      <c r="J41" s="23"/>
      <c r="K41" s="169"/>
      <c r="L41" s="149" t="s">
        <v>227</v>
      </c>
      <c r="M41" s="163" t="s">
        <v>195</v>
      </c>
      <c r="N41" s="164" t="s">
        <v>48</v>
      </c>
      <c r="O41" s="64" t="s">
        <v>165</v>
      </c>
      <c r="P41" s="89">
        <v>3</v>
      </c>
      <c r="Q41" s="1"/>
      <c r="R41" s="1"/>
      <c r="S41" s="23"/>
      <c r="T41" s="23"/>
      <c r="U41" s="61" t="s">
        <v>230</v>
      </c>
      <c r="V41" s="159" t="s">
        <v>165</v>
      </c>
      <c r="W41" s="159" t="s">
        <v>165</v>
      </c>
      <c r="X41" s="159" t="s">
        <v>165</v>
      </c>
      <c r="Y41" s="170"/>
      <c r="Z41" s="33"/>
      <c r="AA41" s="33"/>
      <c r="AB41" s="33"/>
      <c r="AC41" s="160"/>
      <c r="AD41" s="66" t="s">
        <v>48</v>
      </c>
      <c r="AE41" s="160"/>
      <c r="AF41" s="171"/>
      <c r="AG41" s="33"/>
      <c r="AH41" s="33"/>
      <c r="AI41" s="23"/>
      <c r="AJ41" s="33"/>
      <c r="AK41" s="33"/>
      <c r="AL41" s="33"/>
      <c r="AM41" s="33"/>
      <c r="AN41" s="33"/>
      <c r="AO41" s="161"/>
      <c r="AP41" s="33"/>
      <c r="AQ41" s="33"/>
      <c r="AR41" s="81"/>
      <c r="AS41" s="1"/>
      <c r="AT41" s="1"/>
      <c r="AU41" s="1"/>
      <c r="AV41" s="33"/>
      <c r="AW41" s="33"/>
      <c r="AX41" s="33"/>
      <c r="AY41" s="33"/>
      <c r="AZ41" s="33"/>
      <c r="BA41" s="1"/>
      <c r="BB41" s="1"/>
      <c r="BC41" s="1"/>
      <c r="BD41" s="1"/>
      <c r="BE41" s="167"/>
      <c r="BF41" s="46"/>
      <c r="BG41" s="23"/>
      <c r="BH41" s="23"/>
      <c r="BI41" s="99"/>
      <c r="BJ41" s="46"/>
      <c r="BK41" s="23"/>
      <c r="BL41" s="23"/>
      <c r="BM41" s="23"/>
    </row>
    <row r="42" spans="1:65" ht="17.25" customHeight="1" thickBot="1" x14ac:dyDescent="0.3">
      <c r="A42" s="172"/>
      <c r="B42" s="23"/>
      <c r="C42" s="162"/>
      <c r="D42" s="23"/>
      <c r="E42" s="78">
        <v>1</v>
      </c>
      <c r="F42" s="78">
        <v>2</v>
      </c>
      <c r="G42" s="78">
        <v>3</v>
      </c>
      <c r="H42" s="78">
        <v>4</v>
      </c>
      <c r="I42" s="78">
        <v>5</v>
      </c>
      <c r="J42" s="23"/>
      <c r="K42" s="169"/>
      <c r="L42" s="149" t="s">
        <v>227</v>
      </c>
      <c r="M42" s="163" t="s">
        <v>195</v>
      </c>
      <c r="N42" s="173" t="s">
        <v>48</v>
      </c>
      <c r="O42" s="174" t="s">
        <v>165</v>
      </c>
      <c r="P42" s="175">
        <v>4</v>
      </c>
      <c r="Q42" s="1"/>
      <c r="R42" s="1"/>
      <c r="S42" s="23"/>
      <c r="T42" s="23"/>
      <c r="U42" s="123"/>
      <c r="V42" s="123">
        <v>6</v>
      </c>
      <c r="W42" s="123">
        <v>5</v>
      </c>
      <c r="X42" s="123">
        <v>4</v>
      </c>
      <c r="Y42" s="23"/>
      <c r="Z42" s="33"/>
      <c r="AA42" s="33"/>
      <c r="AB42" s="116"/>
      <c r="AC42" s="61" t="s">
        <v>231</v>
      </c>
      <c r="AD42" s="160" t="s">
        <v>165</v>
      </c>
      <c r="AE42" s="33"/>
      <c r="AF42" s="33"/>
      <c r="AG42" s="33"/>
      <c r="AH42" s="33"/>
      <c r="AI42" s="33"/>
      <c r="AJ42" s="116"/>
      <c r="AK42" s="158"/>
      <c r="AL42" s="1"/>
      <c r="AM42" s="33"/>
      <c r="AN42" s="81"/>
      <c r="AO42" s="33"/>
      <c r="AP42" s="33"/>
      <c r="AQ42" s="33"/>
      <c r="AR42" s="33"/>
      <c r="AS42" s="33"/>
      <c r="AT42" s="33"/>
      <c r="AU42" s="33"/>
      <c r="AV42" s="81"/>
      <c r="AW42" s="81"/>
      <c r="AX42" s="33"/>
      <c r="AY42" s="33"/>
      <c r="AZ42" s="33"/>
      <c r="BA42" s="33"/>
      <c r="BB42" s="33"/>
      <c r="BC42" s="33"/>
      <c r="BD42" s="90"/>
      <c r="BE42" s="167"/>
      <c r="BF42" s="46"/>
      <c r="BG42" s="23"/>
      <c r="BH42" s="23"/>
      <c r="BI42" s="99"/>
      <c r="BJ42" s="46"/>
      <c r="BK42" s="23"/>
      <c r="BL42" s="23"/>
      <c r="BM42" s="23"/>
    </row>
    <row r="43" spans="1:65" ht="17.25" customHeight="1" x14ac:dyDescent="0.25">
      <c r="A43" s="62"/>
      <c r="B43" s="33"/>
      <c r="C43" s="162"/>
      <c r="D43" s="62" t="s">
        <v>232</v>
      </c>
      <c r="E43" s="152" t="s">
        <v>213</v>
      </c>
      <c r="F43" s="152" t="s">
        <v>213</v>
      </c>
      <c r="G43" s="152" t="s">
        <v>213</v>
      </c>
      <c r="H43" s="152" t="s">
        <v>213</v>
      </c>
      <c r="I43" s="152" t="s">
        <v>213</v>
      </c>
      <c r="J43" s="94" t="s">
        <v>233</v>
      </c>
      <c r="K43" s="169"/>
      <c r="L43" s="1"/>
      <c r="M43" s="1"/>
      <c r="N43" s="1"/>
      <c r="O43" s="76"/>
      <c r="P43" s="76"/>
      <c r="Q43" s="1214" t="s">
        <v>234</v>
      </c>
      <c r="R43" s="1215"/>
      <c r="S43" s="23"/>
      <c r="T43" s="176"/>
      <c r="U43" s="1"/>
      <c r="V43" s="1187" t="s">
        <v>172</v>
      </c>
      <c r="W43" s="1187"/>
      <c r="X43" s="1187"/>
      <c r="Y43" s="177"/>
      <c r="Z43" s="33"/>
      <c r="AA43" s="33"/>
      <c r="AB43" s="116"/>
      <c r="AC43" s="158"/>
      <c r="AD43" s="158">
        <v>3</v>
      </c>
      <c r="AE43" s="33"/>
      <c r="AF43" s="81"/>
      <c r="AG43" s="123"/>
      <c r="AH43" s="33"/>
      <c r="AI43" s="33"/>
      <c r="AJ43" s="116"/>
      <c r="AK43" s="1"/>
      <c r="AL43" s="1"/>
      <c r="AM43" s="1"/>
      <c r="AN43" s="116"/>
      <c r="AP43" s="33"/>
      <c r="AQ43" s="116"/>
      <c r="AR43" s="116"/>
      <c r="AS43" s="116"/>
      <c r="AT43" s="116"/>
      <c r="AU43" s="23"/>
      <c r="AV43" s="23"/>
      <c r="AW43" s="23"/>
      <c r="AX43" s="23"/>
      <c r="AY43" s="23"/>
      <c r="AZ43" s="23"/>
      <c r="BA43" s="23"/>
      <c r="BB43" s="23"/>
      <c r="BC43" s="23"/>
      <c r="BD43" s="23"/>
      <c r="BE43" s="167"/>
      <c r="BF43" s="46"/>
      <c r="BG43" s="23"/>
      <c r="BH43" s="23"/>
      <c r="BI43" s="99"/>
      <c r="BJ43" s="46"/>
      <c r="BK43" s="23"/>
      <c r="BL43" s="23"/>
      <c r="BM43" s="23"/>
    </row>
    <row r="44" spans="1:65" ht="17.25" customHeight="1" x14ac:dyDescent="0.25">
      <c r="A44" s="1183" t="s">
        <v>215</v>
      </c>
      <c r="B44" s="1184"/>
      <c r="C44" s="1220"/>
      <c r="D44" s="1221"/>
      <c r="E44" s="66" t="s">
        <v>48</v>
      </c>
      <c r="F44" s="66" t="s">
        <v>48</v>
      </c>
      <c r="G44" s="66" t="s">
        <v>48</v>
      </c>
      <c r="H44" s="66" t="s">
        <v>48</v>
      </c>
      <c r="I44" s="66" t="s">
        <v>48</v>
      </c>
      <c r="J44" s="1222"/>
      <c r="K44" s="1223"/>
      <c r="L44" s="23"/>
      <c r="M44" s="23"/>
      <c r="N44" s="116"/>
      <c r="O44" s="33"/>
      <c r="P44" s="33"/>
      <c r="Q44" s="1216"/>
      <c r="R44" s="1217"/>
      <c r="S44" s="176"/>
      <c r="T44" s="23"/>
      <c r="U44" s="23"/>
      <c r="V44" s="116"/>
      <c r="W44" s="1184" t="s">
        <v>210</v>
      </c>
      <c r="X44" s="1184"/>
      <c r="Y44" s="1184"/>
      <c r="Z44" s="1184"/>
      <c r="AA44" s="116"/>
      <c r="AB44" s="1200" t="s">
        <v>194</v>
      </c>
      <c r="AC44" s="1200"/>
      <c r="AD44" s="1200"/>
      <c r="AE44" s="1200"/>
      <c r="AF44" s="116"/>
      <c r="AG44" s="116"/>
      <c r="AH44" s="116"/>
      <c r="AI44" s="116"/>
      <c r="AJ44" s="116"/>
      <c r="AK44" s="23"/>
      <c r="AL44" s="116"/>
      <c r="AM44" s="116"/>
      <c r="AN44" s="1118"/>
      <c r="AO44" s="1118"/>
      <c r="AP44" s="1118"/>
      <c r="AQ44" s="33"/>
      <c r="AR44" s="33"/>
      <c r="AS44" s="33"/>
      <c r="AT44" s="23"/>
      <c r="AU44" s="23"/>
      <c r="AV44" s="1201" t="s">
        <v>194</v>
      </c>
      <c r="AW44" s="1201"/>
      <c r="AX44" s="1201"/>
      <c r="AY44" s="23"/>
      <c r="AZ44" s="23"/>
      <c r="BA44" s="23"/>
      <c r="BB44" s="23"/>
      <c r="BC44" s="23"/>
      <c r="BD44" s="23"/>
      <c r="BE44" s="167"/>
      <c r="BF44" s="46"/>
      <c r="BG44" s="23"/>
      <c r="BH44" s="23"/>
      <c r="BI44" s="99"/>
      <c r="BJ44" s="46"/>
      <c r="BK44" s="23"/>
      <c r="BL44" s="23"/>
      <c r="BM44" s="23"/>
    </row>
    <row r="45" spans="1:65" ht="17.25" customHeight="1" thickBot="1" x14ac:dyDescent="0.3">
      <c r="A45" s="160"/>
      <c r="B45" s="62" t="s">
        <v>235</v>
      </c>
      <c r="C45" s="1220"/>
      <c r="D45" s="1221"/>
      <c r="E45" s="66" t="s">
        <v>48</v>
      </c>
      <c r="F45" s="66" t="s">
        <v>48</v>
      </c>
      <c r="G45" s="66" t="s">
        <v>48</v>
      </c>
      <c r="H45" s="66" t="s">
        <v>48</v>
      </c>
      <c r="I45" s="66" t="s">
        <v>48</v>
      </c>
      <c r="J45" s="1222"/>
      <c r="K45" s="1223"/>
      <c r="L45" s="23"/>
      <c r="M45" s="23"/>
      <c r="N45" s="116"/>
      <c r="O45" s="23"/>
      <c r="P45" s="81"/>
      <c r="Q45" s="1218"/>
      <c r="R45" s="1219"/>
      <c r="S45" s="176"/>
      <c r="T45" s="23"/>
      <c r="U45" s="23"/>
      <c r="V45" s="33"/>
      <c r="W45" s="78">
        <v>1</v>
      </c>
      <c r="X45" s="78">
        <v>2</v>
      </c>
      <c r="Y45" s="78">
        <v>3</v>
      </c>
      <c r="Z45" s="78">
        <v>4</v>
      </c>
      <c r="AA45" s="178"/>
      <c r="AB45" s="78">
        <v>1</v>
      </c>
      <c r="AC45" s="78">
        <v>2</v>
      </c>
      <c r="AD45" s="78">
        <v>3</v>
      </c>
      <c r="AE45" s="78">
        <v>4</v>
      </c>
      <c r="AF45" s="115"/>
      <c r="AG45" s="81"/>
      <c r="AH45" s="81"/>
      <c r="AI45" s="81"/>
      <c r="AJ45" s="81"/>
      <c r="AK45" s="33"/>
      <c r="AL45" s="33"/>
      <c r="AM45" s="33"/>
      <c r="AN45" s="33"/>
      <c r="AO45" s="33"/>
      <c r="AP45" s="33"/>
      <c r="AQ45" s="33"/>
      <c r="AR45" s="33"/>
      <c r="AS45" s="33"/>
      <c r="AT45" s="33"/>
      <c r="AU45" s="33"/>
      <c r="AV45" s="179">
        <v>1</v>
      </c>
      <c r="AW45" s="180">
        <v>2</v>
      </c>
      <c r="AX45" s="179">
        <v>3</v>
      </c>
      <c r="AY45" s="1"/>
      <c r="AZ45" s="23"/>
      <c r="BA45" s="23"/>
      <c r="BB45" s="23"/>
      <c r="BC45" s="23"/>
      <c r="BD45" s="23"/>
      <c r="BE45" s="181"/>
      <c r="BF45" s="132"/>
      <c r="BG45" s="133"/>
      <c r="BH45" s="133"/>
      <c r="BI45" s="134"/>
      <c r="BJ45" s="46"/>
      <c r="BK45" s="23"/>
      <c r="BL45" s="23"/>
      <c r="BM45" s="23"/>
    </row>
    <row r="46" spans="1:65" ht="17.25" customHeight="1" thickBot="1" x14ac:dyDescent="0.3">
      <c r="A46" s="66" t="s">
        <v>48</v>
      </c>
      <c r="B46" s="64" t="s">
        <v>165</v>
      </c>
      <c r="C46" s="165">
        <v>1</v>
      </c>
      <c r="D46" s="61" t="s">
        <v>236</v>
      </c>
      <c r="E46" s="152" t="s">
        <v>213</v>
      </c>
      <c r="F46" s="152" t="s">
        <v>213</v>
      </c>
      <c r="G46" s="152" t="s">
        <v>213</v>
      </c>
      <c r="H46" s="152" t="s">
        <v>213</v>
      </c>
      <c r="I46" s="152" t="s">
        <v>213</v>
      </c>
      <c r="J46" s="116"/>
      <c r="K46" s="182"/>
      <c r="L46" s="23"/>
      <c r="M46" s="23"/>
      <c r="N46" s="116"/>
      <c r="O46" s="23"/>
      <c r="P46" s="81"/>
      <c r="Q46" s="183"/>
      <c r="R46" s="33"/>
      <c r="S46" s="176"/>
      <c r="T46" s="23"/>
      <c r="U46" s="23"/>
      <c r="V46" s="62" t="s">
        <v>237</v>
      </c>
      <c r="W46" s="156" t="s">
        <v>213</v>
      </c>
      <c r="X46" s="156" t="s">
        <v>213</v>
      </c>
      <c r="Y46" s="156" t="s">
        <v>213</v>
      </c>
      <c r="Z46" s="156" t="s">
        <v>213</v>
      </c>
      <c r="AA46" s="62" t="s">
        <v>238</v>
      </c>
      <c r="AB46" s="184" t="s">
        <v>165</v>
      </c>
      <c r="AC46" s="184" t="s">
        <v>165</v>
      </c>
      <c r="AD46" s="184" t="s">
        <v>165</v>
      </c>
      <c r="AE46" s="184" t="s">
        <v>165</v>
      </c>
      <c r="AF46" s="94" t="s">
        <v>239</v>
      </c>
      <c r="AG46" s="81"/>
      <c r="AH46" s="1"/>
      <c r="AI46" s="1202" t="s">
        <v>240</v>
      </c>
      <c r="AJ46" s="1202"/>
      <c r="AK46" s="1202"/>
      <c r="AL46" s="33"/>
      <c r="AM46" s="33"/>
      <c r="AN46" s="33"/>
      <c r="AO46" s="33"/>
      <c r="AP46" s="33"/>
      <c r="AQ46" s="33"/>
      <c r="AR46" s="33"/>
      <c r="AS46" s="33"/>
      <c r="AT46" s="33"/>
      <c r="AU46" s="94" t="s">
        <v>241</v>
      </c>
      <c r="AV46" s="63" t="s">
        <v>165</v>
      </c>
      <c r="AW46" s="63" t="s">
        <v>165</v>
      </c>
      <c r="AX46" s="63" t="s">
        <v>165</v>
      </c>
      <c r="AY46" s="62" t="s">
        <v>242</v>
      </c>
      <c r="AZ46" s="23"/>
      <c r="BA46" s="23"/>
      <c r="BB46" s="23"/>
      <c r="BC46" s="23"/>
      <c r="BD46" s="23"/>
      <c r="BE46" s="33"/>
      <c r="BF46" s="1203" t="s">
        <v>243</v>
      </c>
      <c r="BG46" s="1204"/>
      <c r="BH46" s="1204"/>
      <c r="BI46" s="1205"/>
      <c r="BJ46" s="46"/>
      <c r="BK46" s="23"/>
      <c r="BL46" s="23"/>
      <c r="BM46" s="23"/>
    </row>
    <row r="47" spans="1:65" ht="17.25" customHeight="1" thickBot="1" x14ac:dyDescent="0.3">
      <c r="A47" s="66" t="s">
        <v>48</v>
      </c>
      <c r="B47" s="64" t="s">
        <v>165</v>
      </c>
      <c r="C47" s="89">
        <v>2</v>
      </c>
      <c r="D47" s="181"/>
      <c r="E47" s="78">
        <v>10</v>
      </c>
      <c r="F47" s="78">
        <v>9</v>
      </c>
      <c r="G47" s="78">
        <v>8</v>
      </c>
      <c r="H47" s="78">
        <v>7</v>
      </c>
      <c r="I47" s="78">
        <v>6</v>
      </c>
      <c r="J47" s="23"/>
      <c r="K47" s="23"/>
      <c r="L47" s="23"/>
      <c r="M47" s="23"/>
      <c r="N47" s="23"/>
      <c r="O47" s="1"/>
      <c r="P47" s="185"/>
      <c r="Q47" s="186" t="s">
        <v>204</v>
      </c>
      <c r="R47" s="33"/>
      <c r="S47" s="176"/>
      <c r="T47" s="23"/>
      <c r="U47" s="23"/>
      <c r="V47" s="187"/>
      <c r="W47" s="66" t="s">
        <v>48</v>
      </c>
      <c r="X47" s="66" t="s">
        <v>48</v>
      </c>
      <c r="Y47" s="66" t="s">
        <v>48</v>
      </c>
      <c r="Z47" s="66" t="s">
        <v>48</v>
      </c>
      <c r="AA47" s="188"/>
      <c r="AB47" s="66" t="s">
        <v>48</v>
      </c>
      <c r="AC47" s="66" t="s">
        <v>48</v>
      </c>
      <c r="AD47" s="66" t="s">
        <v>48</v>
      </c>
      <c r="AE47" s="66" t="s">
        <v>48</v>
      </c>
      <c r="AF47" s="188"/>
      <c r="AG47" s="33"/>
      <c r="AH47" s="33"/>
      <c r="AI47" s="119" t="s">
        <v>195</v>
      </c>
      <c r="AJ47" s="119" t="s">
        <v>195</v>
      </c>
      <c r="AK47" s="119" t="s">
        <v>195</v>
      </c>
      <c r="AL47" s="33"/>
      <c r="AM47" s="33"/>
      <c r="AN47" s="33"/>
      <c r="AO47" s="33"/>
      <c r="AP47" s="119" t="s">
        <v>195</v>
      </c>
      <c r="AQ47" s="33"/>
      <c r="AR47" s="33"/>
      <c r="AS47" s="33"/>
      <c r="AT47" s="33"/>
      <c r="AU47" s="63"/>
      <c r="AV47" s="66" t="s">
        <v>48</v>
      </c>
      <c r="AW47" s="66" t="s">
        <v>48</v>
      </c>
      <c r="AX47" s="66" t="s">
        <v>48</v>
      </c>
      <c r="AY47" s="63"/>
      <c r="AZ47" s="23"/>
      <c r="BA47" s="23"/>
      <c r="BB47" s="23"/>
      <c r="BC47" s="23"/>
      <c r="BD47" s="23"/>
      <c r="BE47" s="181"/>
      <c r="BF47" s="1206"/>
      <c r="BG47" s="1207"/>
      <c r="BH47" s="1207"/>
      <c r="BI47" s="1208"/>
      <c r="BJ47" s="46"/>
      <c r="BK47" s="23"/>
      <c r="BL47" s="23"/>
      <c r="BM47" s="23"/>
    </row>
    <row r="48" spans="1:65" ht="17.25" customHeight="1" x14ac:dyDescent="0.25">
      <c r="A48" s="66" t="s">
        <v>48</v>
      </c>
      <c r="B48" s="64" t="s">
        <v>165</v>
      </c>
      <c r="C48" s="89">
        <v>3</v>
      </c>
      <c r="D48" s="177"/>
      <c r="E48" s="1212" t="s">
        <v>172</v>
      </c>
      <c r="F48" s="1212"/>
      <c r="G48" s="1212"/>
      <c r="H48" s="1212"/>
      <c r="I48" s="157"/>
      <c r="J48" s="157"/>
      <c r="K48" s="23"/>
      <c r="L48" s="23"/>
      <c r="M48" s="23"/>
      <c r="N48" s="23"/>
      <c r="O48" s="189"/>
      <c r="P48" s="186" t="s">
        <v>204</v>
      </c>
      <c r="Q48" s="190"/>
      <c r="R48" s="33"/>
      <c r="S48" s="176"/>
      <c r="T48" s="23"/>
      <c r="U48" s="23"/>
      <c r="V48" s="187"/>
      <c r="W48" s="66" t="s">
        <v>48</v>
      </c>
      <c r="X48" s="66" t="s">
        <v>48</v>
      </c>
      <c r="Y48" s="66" t="s">
        <v>48</v>
      </c>
      <c r="Z48" s="66" t="s">
        <v>48</v>
      </c>
      <c r="AA48" s="188"/>
      <c r="AB48" s="66" t="s">
        <v>48</v>
      </c>
      <c r="AC48" s="66" t="s">
        <v>48</v>
      </c>
      <c r="AD48" s="66" t="s">
        <v>48</v>
      </c>
      <c r="AE48" s="66" t="s">
        <v>48</v>
      </c>
      <c r="AF48" s="188"/>
      <c r="AG48" s="33"/>
      <c r="AH48" s="33"/>
      <c r="AI48" s="119" t="s">
        <v>195</v>
      </c>
      <c r="AJ48" s="119" t="s">
        <v>195</v>
      </c>
      <c r="AK48" s="119" t="s">
        <v>195</v>
      </c>
      <c r="AL48" s="33"/>
      <c r="AM48" s="33"/>
      <c r="AN48" s="61"/>
      <c r="AO48" s="119" t="s">
        <v>195</v>
      </c>
      <c r="AP48" s="33"/>
      <c r="AQ48" s="119" t="s">
        <v>195</v>
      </c>
      <c r="AR48" s="33"/>
      <c r="AS48" s="33"/>
      <c r="AT48" s="33"/>
      <c r="AU48" s="63"/>
      <c r="AV48" s="66" t="s">
        <v>48</v>
      </c>
      <c r="AW48" s="66" t="s">
        <v>48</v>
      </c>
      <c r="AX48" s="66" t="s">
        <v>48</v>
      </c>
      <c r="AY48" s="63"/>
      <c r="AZ48" s="23"/>
      <c r="BA48" s="23"/>
      <c r="BB48" s="23"/>
      <c r="BC48" s="23"/>
      <c r="BD48" s="23"/>
      <c r="BE48" s="181"/>
      <c r="BF48" s="1206"/>
      <c r="BG48" s="1207"/>
      <c r="BH48" s="1207"/>
      <c r="BI48" s="1208"/>
      <c r="BJ48" s="46"/>
      <c r="BK48" s="23"/>
      <c r="BL48" s="23"/>
      <c r="BM48" s="23"/>
    </row>
    <row r="49" spans="1:65" ht="17.25" customHeight="1" x14ac:dyDescent="0.25">
      <c r="A49" s="66" t="s">
        <v>48</v>
      </c>
      <c r="B49" s="64" t="s">
        <v>165</v>
      </c>
      <c r="C49" s="89">
        <v>4</v>
      </c>
      <c r="D49" s="31"/>
      <c r="E49" s="78">
        <v>1</v>
      </c>
      <c r="F49" s="78">
        <v>2</v>
      </c>
      <c r="G49" s="78">
        <v>3</v>
      </c>
      <c r="H49" s="78">
        <v>4</v>
      </c>
      <c r="I49" s="78"/>
      <c r="J49" s="157"/>
      <c r="K49" s="23"/>
      <c r="L49" s="23"/>
      <c r="M49" s="23"/>
      <c r="N49" s="33"/>
      <c r="O49" s="189"/>
      <c r="P49" s="186" t="s">
        <v>204</v>
      </c>
      <c r="Q49" s="33"/>
      <c r="R49" s="176"/>
      <c r="S49" s="176"/>
      <c r="T49" s="23"/>
      <c r="U49" s="23"/>
      <c r="V49" s="94" t="s">
        <v>233</v>
      </c>
      <c r="W49" s="156" t="s">
        <v>213</v>
      </c>
      <c r="X49" s="156" t="s">
        <v>213</v>
      </c>
      <c r="Y49" s="156" t="s">
        <v>213</v>
      </c>
      <c r="Z49" s="156" t="s">
        <v>213</v>
      </c>
      <c r="AA49" s="61" t="s">
        <v>244</v>
      </c>
      <c r="AB49" s="184" t="s">
        <v>165</v>
      </c>
      <c r="AC49" s="184" t="s">
        <v>165</v>
      </c>
      <c r="AD49" s="184" t="s">
        <v>165</v>
      </c>
      <c r="AE49" s="184" t="s">
        <v>165</v>
      </c>
      <c r="AF49" s="61" t="s">
        <v>245</v>
      </c>
      <c r="AG49" s="1"/>
      <c r="AH49" s="1"/>
      <c r="AI49" s="61" t="s">
        <v>246</v>
      </c>
      <c r="AJ49" s="33"/>
      <c r="AK49" s="33"/>
      <c r="AL49" s="33"/>
      <c r="AM49" s="33"/>
      <c r="AN49" s="33"/>
      <c r="AO49" s="33"/>
      <c r="AP49" s="119" t="s">
        <v>195</v>
      </c>
      <c r="AQ49" s="33"/>
      <c r="AR49" s="33"/>
      <c r="AS49" s="33"/>
      <c r="AT49" s="33"/>
      <c r="AU49" s="33"/>
      <c r="AV49" s="63" t="s">
        <v>165</v>
      </c>
      <c r="AW49" s="63" t="s">
        <v>165</v>
      </c>
      <c r="AX49" s="63" t="s">
        <v>165</v>
      </c>
      <c r="AY49" s="1"/>
      <c r="AZ49" s="23"/>
      <c r="BB49" s="23"/>
      <c r="BC49" s="23"/>
      <c r="BD49" s="191"/>
      <c r="BE49" s="192"/>
      <c r="BF49" s="1207"/>
      <c r="BG49" s="1207"/>
      <c r="BH49" s="1207"/>
      <c r="BI49" s="1208"/>
      <c r="BJ49" s="46"/>
      <c r="BK49" s="23"/>
      <c r="BL49" s="23"/>
      <c r="BM49" s="23"/>
    </row>
    <row r="50" spans="1:65" ht="17.25" customHeight="1" x14ac:dyDescent="0.25">
      <c r="A50" s="160"/>
      <c r="B50" s="168" t="s">
        <v>247</v>
      </c>
      <c r="C50" s="89"/>
      <c r="D50" s="62" t="s">
        <v>248</v>
      </c>
      <c r="E50" s="193" t="s">
        <v>165</v>
      </c>
      <c r="F50" s="193" t="s">
        <v>165</v>
      </c>
      <c r="G50" s="193" t="s">
        <v>165</v>
      </c>
      <c r="H50" s="193" t="s">
        <v>165</v>
      </c>
      <c r="I50" s="78"/>
      <c r="J50" s="157"/>
      <c r="K50" s="23"/>
      <c r="L50" s="23"/>
      <c r="M50" s="23"/>
      <c r="N50" s="33"/>
      <c r="O50" s="189"/>
      <c r="P50" s="186" t="s">
        <v>204</v>
      </c>
      <c r="Q50" s="176"/>
      <c r="R50" s="176"/>
      <c r="S50" s="81"/>
      <c r="T50" s="23"/>
      <c r="U50" s="23"/>
      <c r="V50" s="23"/>
      <c r="W50" s="78">
        <v>8</v>
      </c>
      <c r="X50" s="78">
        <v>7</v>
      </c>
      <c r="Y50" s="78">
        <v>6</v>
      </c>
      <c r="Z50" s="78">
        <v>5</v>
      </c>
      <c r="AA50" s="33"/>
      <c r="AB50" s="78">
        <v>8</v>
      </c>
      <c r="AC50" s="78">
        <v>7</v>
      </c>
      <c r="AD50" s="78">
        <v>6</v>
      </c>
      <c r="AE50" s="78">
        <v>5</v>
      </c>
      <c r="AF50" s="23"/>
      <c r="AG50" s="1"/>
      <c r="AH50" s="1"/>
      <c r="AI50" s="180"/>
      <c r="AJ50" s="1"/>
      <c r="AK50" s="1"/>
      <c r="AL50" s="33"/>
      <c r="AM50" s="33"/>
      <c r="AN50" s="33"/>
      <c r="AO50" s="33"/>
      <c r="AP50" s="33"/>
      <c r="AQ50" s="33"/>
      <c r="AR50" s="33"/>
      <c r="AS50" s="33"/>
      <c r="AT50" s="33"/>
      <c r="AU50" s="33"/>
      <c r="AV50" s="179">
        <v>6</v>
      </c>
      <c r="AW50" s="158">
        <v>5</v>
      </c>
      <c r="AX50" s="179">
        <v>4</v>
      </c>
      <c r="AY50" s="33"/>
      <c r="AZ50" s="23"/>
      <c r="BB50" s="191"/>
      <c r="BC50" s="194"/>
      <c r="BD50" s="157"/>
      <c r="BE50" s="191"/>
      <c r="BF50" s="1207"/>
      <c r="BG50" s="1207"/>
      <c r="BH50" s="1207"/>
      <c r="BI50" s="1208"/>
      <c r="BJ50" s="46"/>
      <c r="BK50" s="23"/>
      <c r="BL50" s="23"/>
      <c r="BM50" s="23"/>
    </row>
    <row r="51" spans="1:65" ht="17.25" customHeight="1" x14ac:dyDescent="0.25">
      <c r="A51" s="85"/>
      <c r="B51" s="62"/>
      <c r="C51" s="89"/>
      <c r="D51" s="195"/>
      <c r="E51" s="66" t="s">
        <v>48</v>
      </c>
      <c r="F51" s="66" t="s">
        <v>48</v>
      </c>
      <c r="G51" s="66" t="s">
        <v>48</v>
      </c>
      <c r="H51" s="66" t="s">
        <v>48</v>
      </c>
      <c r="I51" s="195"/>
      <c r="J51" s="1"/>
      <c r="K51" s="23"/>
      <c r="L51" s="23"/>
      <c r="M51" s="23"/>
      <c r="N51" s="33"/>
      <c r="O51" s="189"/>
      <c r="P51" s="196"/>
      <c r="Q51" s="176"/>
      <c r="R51" s="176"/>
      <c r="S51" s="81"/>
      <c r="T51" s="23"/>
      <c r="U51" s="23"/>
      <c r="V51" s="23"/>
      <c r="W51" s="23"/>
      <c r="X51" s="109"/>
      <c r="Y51" s="109"/>
      <c r="Z51" s="109"/>
      <c r="AA51" s="33"/>
      <c r="AB51" s="23"/>
      <c r="AC51" s="23"/>
      <c r="AD51" s="23"/>
      <c r="AE51" s="23"/>
      <c r="AF51" s="23"/>
      <c r="AG51" s="1"/>
      <c r="AH51" s="1"/>
      <c r="AI51" s="197">
        <v>1</v>
      </c>
      <c r="AJ51" s="197">
        <v>2</v>
      </c>
      <c r="AK51" s="197">
        <v>3</v>
      </c>
      <c r="AL51" s="33"/>
      <c r="AM51" s="33"/>
      <c r="AN51" s="33"/>
      <c r="AO51" s="1"/>
      <c r="AP51" s="197">
        <v>1</v>
      </c>
      <c r="AQ51" s="197">
        <v>2</v>
      </c>
      <c r="AR51" s="197">
        <v>3</v>
      </c>
      <c r="AS51" s="33"/>
      <c r="AT51" s="33"/>
      <c r="AV51" s="198"/>
      <c r="AW51" s="198"/>
      <c r="AX51" s="198"/>
      <c r="AY51" s="33"/>
      <c r="AZ51" s="23"/>
      <c r="BB51" s="194"/>
      <c r="BC51" s="191"/>
      <c r="BD51" s="191"/>
      <c r="BE51" s="199"/>
      <c r="BF51" s="1207"/>
      <c r="BG51" s="1207"/>
      <c r="BH51" s="1207"/>
      <c r="BI51" s="1208"/>
      <c r="BJ51" s="46"/>
      <c r="BK51" s="23"/>
      <c r="BL51" s="23"/>
      <c r="BM51" s="23"/>
    </row>
    <row r="52" spans="1:65" ht="17.25" customHeight="1" thickBot="1" x14ac:dyDescent="0.3">
      <c r="A52" s="62"/>
      <c r="B52" s="33"/>
      <c r="C52" s="33"/>
      <c r="D52" s="195"/>
      <c r="E52" s="66" t="s">
        <v>48</v>
      </c>
      <c r="F52" s="66" t="s">
        <v>48</v>
      </c>
      <c r="G52" s="66" t="s">
        <v>48</v>
      </c>
      <c r="H52" s="66" t="s">
        <v>48</v>
      </c>
      <c r="I52" s="195"/>
      <c r="J52" s="1"/>
      <c r="K52" s="23"/>
      <c r="L52" s="23"/>
      <c r="M52" s="23"/>
      <c r="N52" s="33"/>
      <c r="O52" s="189"/>
      <c r="P52" s="196"/>
      <c r="Q52" s="176"/>
      <c r="R52" s="176"/>
      <c r="S52" s="81"/>
      <c r="T52" s="23"/>
      <c r="U52" s="23"/>
      <c r="V52" s="23"/>
      <c r="W52" s="61" t="s">
        <v>249</v>
      </c>
      <c r="X52" s="1"/>
      <c r="Y52" s="1"/>
      <c r="Z52" s="1"/>
      <c r="AA52" s="33"/>
      <c r="AB52" s="1213"/>
      <c r="AC52" s="1213"/>
      <c r="AD52" s="1213"/>
      <c r="AE52" s="1213"/>
      <c r="AF52" s="23"/>
      <c r="AG52" s="200"/>
      <c r="AH52" s="146" t="s">
        <v>183</v>
      </c>
      <c r="AI52" s="100" t="s">
        <v>160</v>
      </c>
      <c r="AJ52" s="100" t="s">
        <v>160</v>
      </c>
      <c r="AK52" s="100" t="s">
        <v>160</v>
      </c>
      <c r="AL52" s="118" t="s">
        <v>250</v>
      </c>
      <c r="AM52" s="33"/>
      <c r="AN52" s="33"/>
      <c r="AO52" s="49" t="s">
        <v>251</v>
      </c>
      <c r="AP52" s="50" t="s">
        <v>160</v>
      </c>
      <c r="AQ52" s="50" t="s">
        <v>160</v>
      </c>
      <c r="AR52" s="50" t="s">
        <v>160</v>
      </c>
      <c r="AS52" s="146"/>
      <c r="AT52" s="33"/>
      <c r="AU52" s="201"/>
      <c r="AY52" s="201"/>
      <c r="AZ52" s="23"/>
      <c r="BB52" s="157"/>
      <c r="BC52" s="153"/>
      <c r="BD52" s="157"/>
      <c r="BE52" s="153"/>
      <c r="BF52" s="1207"/>
      <c r="BG52" s="1207"/>
      <c r="BH52" s="1207"/>
      <c r="BI52" s="1208"/>
      <c r="BJ52" s="46"/>
      <c r="BK52" s="23"/>
      <c r="BL52" s="23"/>
      <c r="BM52" s="23"/>
    </row>
    <row r="53" spans="1:65" ht="17.25" customHeight="1" x14ac:dyDescent="0.25">
      <c r="A53" s="1184" t="s">
        <v>172</v>
      </c>
      <c r="B53" s="1184"/>
      <c r="C53" s="23"/>
      <c r="D53" s="61" t="s">
        <v>252</v>
      </c>
      <c r="E53" s="193" t="s">
        <v>165</v>
      </c>
      <c r="F53" s="193" t="s">
        <v>165</v>
      </c>
      <c r="G53" s="193" t="s">
        <v>165</v>
      </c>
      <c r="H53" s="193" t="s">
        <v>165</v>
      </c>
      <c r="I53" s="202"/>
      <c r="J53" s="1"/>
      <c r="K53" s="23"/>
      <c r="L53" s="23"/>
      <c r="M53" s="23"/>
      <c r="N53" s="33"/>
      <c r="O53" s="189"/>
      <c r="P53" s="196"/>
      <c r="Q53" s="176"/>
      <c r="R53" s="176"/>
      <c r="S53" s="81"/>
      <c r="T53" s="23"/>
      <c r="U53" s="23"/>
      <c r="V53" s="23"/>
      <c r="W53" s="130" t="s">
        <v>187</v>
      </c>
      <c r="X53" s="130" t="s">
        <v>187</v>
      </c>
      <c r="Y53" s="130" t="s">
        <v>187</v>
      </c>
      <c r="Z53" s="1"/>
      <c r="AA53" s="33"/>
      <c r="AB53" s="186" t="s">
        <v>204</v>
      </c>
      <c r="AC53" s="186" t="s">
        <v>204</v>
      </c>
      <c r="AD53" s="186" t="s">
        <v>204</v>
      </c>
      <c r="AE53" s="186" t="s">
        <v>204</v>
      </c>
      <c r="AF53" s="23"/>
      <c r="AG53" s="197"/>
      <c r="AH53" s="1101" t="s">
        <v>253</v>
      </c>
      <c r="AI53" s="203" t="s">
        <v>4</v>
      </c>
      <c r="AJ53" s="204" t="s">
        <v>71</v>
      </c>
      <c r="AK53" s="203" t="s">
        <v>4</v>
      </c>
      <c r="AL53" s="100"/>
      <c r="AM53" s="197"/>
      <c r="AN53" s="197"/>
      <c r="AO53" s="50"/>
      <c r="AP53" s="205" t="s">
        <v>31</v>
      </c>
      <c r="AQ53" s="206" t="s">
        <v>9</v>
      </c>
      <c r="AR53" s="205" t="s">
        <v>31</v>
      </c>
      <c r="AS53" s="50"/>
      <c r="AT53" s="197"/>
      <c r="AU53" s="207"/>
      <c r="AV53" s="208"/>
      <c r="AW53" s="208"/>
      <c r="AX53" s="209"/>
      <c r="AZ53" s="201"/>
      <c r="BA53" s="23"/>
      <c r="BB53" s="194"/>
      <c r="BC53" s="194"/>
      <c r="BD53" s="33"/>
      <c r="BE53" s="1"/>
      <c r="BF53" s="1206"/>
      <c r="BG53" s="1207"/>
      <c r="BH53" s="1207"/>
      <c r="BI53" s="1208"/>
      <c r="BJ53" s="46"/>
      <c r="BK53" s="23"/>
      <c r="BL53" s="23"/>
      <c r="BM53" s="23"/>
    </row>
    <row r="54" spans="1:65" ht="17.25" customHeight="1" thickBot="1" x14ac:dyDescent="0.3">
      <c r="A54" s="193"/>
      <c r="B54" s="62" t="s">
        <v>254</v>
      </c>
      <c r="C54" s="23"/>
      <c r="D54" s="210"/>
      <c r="E54" s="78">
        <v>8</v>
      </c>
      <c r="F54" s="78">
        <v>7</v>
      </c>
      <c r="G54" s="78">
        <v>6</v>
      </c>
      <c r="H54" s="78">
        <v>5</v>
      </c>
      <c r="I54" s="33"/>
      <c r="J54" s="1"/>
      <c r="K54" s="23"/>
      <c r="L54" s="23"/>
      <c r="M54" s="23"/>
      <c r="N54" s="23"/>
      <c r="O54" s="211" t="s">
        <v>204</v>
      </c>
      <c r="P54" s="196"/>
      <c r="Q54" s="176"/>
      <c r="R54" s="176"/>
      <c r="S54" s="81"/>
      <c r="T54" s="23"/>
      <c r="U54" s="23"/>
      <c r="V54" s="23"/>
      <c r="W54" s="130" t="s">
        <v>187</v>
      </c>
      <c r="X54" s="130" t="s">
        <v>187</v>
      </c>
      <c r="Y54" s="130" t="s">
        <v>187</v>
      </c>
      <c r="Z54" s="1"/>
      <c r="AA54" s="33"/>
      <c r="AB54" s="186" t="s">
        <v>204</v>
      </c>
      <c r="AC54" s="186" t="s">
        <v>204</v>
      </c>
      <c r="AD54" s="186" t="s">
        <v>204</v>
      </c>
      <c r="AE54" s="186" t="s">
        <v>204</v>
      </c>
      <c r="AF54" s="23"/>
      <c r="AG54" s="197"/>
      <c r="AH54" s="1102"/>
      <c r="AI54" s="212" t="s">
        <v>84</v>
      </c>
      <c r="AJ54" s="212" t="s">
        <v>84</v>
      </c>
      <c r="AK54" s="212" t="s">
        <v>84</v>
      </c>
      <c r="AL54" s="100"/>
      <c r="AM54" s="197"/>
      <c r="AN54" s="197"/>
      <c r="AO54" s="50"/>
      <c r="AP54" s="11" t="s">
        <v>25</v>
      </c>
      <c r="AQ54" s="11" t="s">
        <v>25</v>
      </c>
      <c r="AR54" s="213" t="s">
        <v>71</v>
      </c>
      <c r="AS54" s="50"/>
      <c r="AT54" s="197"/>
      <c r="AU54" s="207"/>
      <c r="AV54" s="209"/>
      <c r="AW54" s="214"/>
      <c r="AX54" s="214"/>
      <c r="AZ54" s="201"/>
      <c r="BA54" s="23"/>
      <c r="BB54" s="194"/>
      <c r="BC54" s="33"/>
      <c r="BD54" s="33"/>
      <c r="BE54" s="33"/>
      <c r="BF54" s="1206"/>
      <c r="BG54" s="1207"/>
      <c r="BH54" s="1207"/>
      <c r="BI54" s="1208"/>
      <c r="BJ54" s="46"/>
      <c r="BK54" s="23"/>
      <c r="BL54" s="23"/>
      <c r="BM54" s="23"/>
    </row>
    <row r="55" spans="1:65" ht="17.25" customHeight="1" x14ac:dyDescent="0.25">
      <c r="A55" s="66" t="s">
        <v>48</v>
      </c>
      <c r="B55" s="193" t="s">
        <v>165</v>
      </c>
      <c r="C55" s="165">
        <v>1</v>
      </c>
      <c r="D55" s="215"/>
      <c r="E55" s="130" t="s">
        <v>187</v>
      </c>
      <c r="F55" s="130" t="s">
        <v>187</v>
      </c>
      <c r="G55" s="130" t="s">
        <v>187</v>
      </c>
      <c r="H55" s="130" t="s">
        <v>187</v>
      </c>
      <c r="I55" s="33" t="s">
        <v>255</v>
      </c>
      <c r="J55" s="1"/>
      <c r="K55" s="23"/>
      <c r="L55" s="23"/>
      <c r="M55" s="23"/>
      <c r="N55" s="33"/>
      <c r="O55" s="211" t="s">
        <v>204</v>
      </c>
      <c r="P55" s="196"/>
      <c r="Q55" s="176"/>
      <c r="R55" s="176"/>
      <c r="S55" s="81"/>
      <c r="T55" s="23"/>
      <c r="U55" s="23"/>
      <c r="V55" s="23"/>
      <c r="W55" s="1186" t="s">
        <v>256</v>
      </c>
      <c r="X55" s="1186"/>
      <c r="Y55" s="1186"/>
      <c r="Z55" s="1"/>
      <c r="AA55" s="33"/>
      <c r="AB55" s="61" t="s">
        <v>257</v>
      </c>
      <c r="AC55" s="216"/>
      <c r="AD55" s="216"/>
      <c r="AE55" s="1"/>
      <c r="AF55" s="23"/>
      <c r="AG55" s="1"/>
      <c r="AH55" s="197"/>
      <c r="AI55" s="100" t="s">
        <v>160</v>
      </c>
      <c r="AJ55" s="100" t="s">
        <v>160</v>
      </c>
      <c r="AK55" s="100" t="s">
        <v>160</v>
      </c>
      <c r="AL55" s="197"/>
      <c r="AM55" s="33"/>
      <c r="AN55" s="33"/>
      <c r="AO55" s="197"/>
      <c r="AP55" s="50" t="s">
        <v>160</v>
      </c>
      <c r="AQ55" s="50" t="s">
        <v>160</v>
      </c>
      <c r="AR55" s="50" t="s">
        <v>160</v>
      </c>
      <c r="AS55" s="197"/>
      <c r="AT55" s="81"/>
      <c r="AU55" s="201"/>
      <c r="AV55" s="158" t="s">
        <v>258</v>
      </c>
      <c r="AY55" s="201"/>
      <c r="AZ55" s="23"/>
      <c r="BA55" s="23"/>
      <c r="BB55" s="194"/>
      <c r="BC55" s="181"/>
      <c r="BD55" s="23"/>
      <c r="BE55" s="23"/>
      <c r="BF55" s="1206"/>
      <c r="BG55" s="1207"/>
      <c r="BH55" s="1207"/>
      <c r="BI55" s="1208"/>
      <c r="BJ55" s="46"/>
      <c r="BK55" s="23"/>
      <c r="BL55" s="23"/>
      <c r="BM55" s="23"/>
    </row>
    <row r="56" spans="1:65" ht="17.25" customHeight="1" thickBot="1" x14ac:dyDescent="0.3">
      <c r="A56" s="66" t="s">
        <v>48</v>
      </c>
      <c r="B56" s="193" t="s">
        <v>165</v>
      </c>
      <c r="C56" s="89">
        <v>2</v>
      </c>
      <c r="D56" s="61" t="s">
        <v>259</v>
      </c>
      <c r="E56" s="130" t="s">
        <v>187</v>
      </c>
      <c r="F56" s="130" t="s">
        <v>187</v>
      </c>
      <c r="G56" s="130" t="s">
        <v>187</v>
      </c>
      <c r="H56" s="130" t="s">
        <v>187</v>
      </c>
      <c r="I56" s="23"/>
      <c r="J56" s="23"/>
      <c r="K56" s="23"/>
      <c r="L56" s="23"/>
      <c r="M56" s="23"/>
      <c r="N56" s="33"/>
      <c r="O56" s="217" t="s">
        <v>260</v>
      </c>
      <c r="P56" s="218" t="s">
        <v>151</v>
      </c>
      <c r="Q56" s="176"/>
      <c r="R56" s="176"/>
      <c r="S56" s="81"/>
      <c r="T56" s="23"/>
      <c r="U56" s="23"/>
      <c r="V56" s="23"/>
      <c r="W56" s="33"/>
      <c r="X56" s="33"/>
      <c r="Y56" s="33"/>
      <c r="Z56" s="33"/>
      <c r="AA56" s="33"/>
      <c r="AB56" s="33"/>
      <c r="AC56" s="1187" t="s">
        <v>172</v>
      </c>
      <c r="AD56" s="1187"/>
      <c r="AE56" s="1187"/>
      <c r="AF56" s="33"/>
      <c r="AG56" s="33"/>
      <c r="AH56" s="158" t="s">
        <v>261</v>
      </c>
      <c r="AI56" s="197">
        <v>6</v>
      </c>
      <c r="AJ56" s="197">
        <v>5</v>
      </c>
      <c r="AK56" s="197">
        <v>4</v>
      </c>
      <c r="AL56" s="1"/>
      <c r="AM56" s="33"/>
      <c r="AN56" s="33"/>
      <c r="AO56" s="158" t="s">
        <v>262</v>
      </c>
      <c r="AP56" s="197">
        <v>6</v>
      </c>
      <c r="AQ56" s="197">
        <v>5</v>
      </c>
      <c r="AR56" s="197">
        <v>4</v>
      </c>
      <c r="AS56" s="33"/>
      <c r="AT56" s="1"/>
      <c r="AV56" s="198"/>
      <c r="AW56" s="198"/>
      <c r="AX56" s="198"/>
      <c r="AY56" s="33"/>
      <c r="AZ56" s="23"/>
      <c r="BA56" s="23"/>
      <c r="BB56" s="194"/>
      <c r="BC56" s="181"/>
      <c r="BD56" s="23"/>
      <c r="BE56" s="23"/>
      <c r="BF56" s="1209"/>
      <c r="BG56" s="1210"/>
      <c r="BH56" s="1210"/>
      <c r="BI56" s="1211"/>
      <c r="BJ56" s="46"/>
      <c r="BK56" s="23"/>
      <c r="BL56" s="23"/>
      <c r="BM56" s="23"/>
    </row>
    <row r="57" spans="1:65" ht="17.25" customHeight="1" thickBot="1" x14ac:dyDescent="0.3">
      <c r="A57" s="66" t="s">
        <v>48</v>
      </c>
      <c r="B57" s="193" t="s">
        <v>165</v>
      </c>
      <c r="C57" s="89">
        <v>3</v>
      </c>
      <c r="D57" s="33"/>
      <c r="E57" s="33"/>
      <c r="F57" s="33"/>
      <c r="G57" s="33"/>
      <c r="H57" s="33"/>
      <c r="I57" s="33"/>
      <c r="J57" s="33"/>
      <c r="K57" s="33"/>
      <c r="L57" s="33"/>
      <c r="M57" s="33"/>
      <c r="N57" s="33"/>
      <c r="O57" s="217" t="s">
        <v>260</v>
      </c>
      <c r="P57" s="218" t="s">
        <v>151</v>
      </c>
      <c r="Q57" s="137"/>
      <c r="R57" s="81"/>
      <c r="S57" s="81"/>
      <c r="T57" s="23"/>
      <c r="U57" s="23"/>
      <c r="V57" s="23"/>
      <c r="W57" s="1"/>
      <c r="X57" s="1"/>
      <c r="Y57" s="1"/>
      <c r="Z57" s="1"/>
      <c r="AA57" s="1"/>
      <c r="AB57" s="33"/>
      <c r="AC57" s="123">
        <v>1</v>
      </c>
      <c r="AD57" s="123">
        <v>2</v>
      </c>
      <c r="AE57" s="123">
        <v>3</v>
      </c>
      <c r="AF57" s="33"/>
      <c r="AG57" s="33"/>
      <c r="AH57" s="33"/>
      <c r="AI57" s="219"/>
      <c r="AJ57" s="219"/>
      <c r="AK57" s="219"/>
      <c r="AL57" s="23"/>
      <c r="AM57" s="23"/>
      <c r="AN57" s="33"/>
      <c r="AO57" s="33"/>
      <c r="AP57" s="33"/>
      <c r="AQ57" s="33"/>
      <c r="AR57" s="33"/>
      <c r="AS57" s="33"/>
      <c r="AT57" s="33"/>
      <c r="AZ57" s="181"/>
      <c r="BA57" s="181"/>
      <c r="BB57" s="181"/>
      <c r="BC57" s="181"/>
      <c r="BD57" s="23"/>
      <c r="BE57" s="23"/>
      <c r="BF57" s="23"/>
      <c r="BG57" s="23"/>
      <c r="BH57" s="23"/>
      <c r="BI57" s="1188" t="s">
        <v>207</v>
      </c>
      <c r="BJ57" s="46"/>
      <c r="BK57" s="23"/>
      <c r="BL57" s="23"/>
      <c r="BM57" s="23"/>
    </row>
    <row r="58" spans="1:65" ht="17.25" customHeight="1" x14ac:dyDescent="0.25">
      <c r="A58" s="66" t="s">
        <v>48</v>
      </c>
      <c r="B58" s="193" t="s">
        <v>165</v>
      </c>
      <c r="C58" s="89">
        <v>4</v>
      </c>
      <c r="D58" s="33"/>
      <c r="E58" s="32" t="s">
        <v>151</v>
      </c>
      <c r="F58" s="32" t="s">
        <v>151</v>
      </c>
      <c r="G58" s="32" t="s">
        <v>151</v>
      </c>
      <c r="H58" s="33" t="s">
        <v>263</v>
      </c>
      <c r="I58" s="33"/>
      <c r="J58" s="33"/>
      <c r="K58" s="33"/>
      <c r="L58" s="33"/>
      <c r="M58" s="33"/>
      <c r="N58" s="33"/>
      <c r="O58" s="217" t="s">
        <v>260</v>
      </c>
      <c r="P58" s="218" t="s">
        <v>151</v>
      </c>
      <c r="Q58" s="137"/>
      <c r="R58" s="81"/>
      <c r="S58" s="81"/>
      <c r="T58" s="23"/>
      <c r="U58" s="23"/>
      <c r="V58" s="23"/>
      <c r="W58" s="67" t="s">
        <v>166</v>
      </c>
      <c r="X58" s="67" t="s">
        <v>166</v>
      </c>
      <c r="Y58" s="67" t="s">
        <v>166</v>
      </c>
      <c r="Z58" s="67" t="s">
        <v>166</v>
      </c>
      <c r="AA58" s="33"/>
      <c r="AB58" s="127" t="s">
        <v>264</v>
      </c>
      <c r="AC58" s="159" t="s">
        <v>165</v>
      </c>
      <c r="AD58" s="159" t="s">
        <v>165</v>
      </c>
      <c r="AE58" s="159" t="s">
        <v>165</v>
      </c>
      <c r="AF58" s="94" t="s">
        <v>265</v>
      </c>
      <c r="AG58" s="23"/>
      <c r="AH58" s="33"/>
      <c r="AI58" s="1"/>
      <c r="AJ58" s="1"/>
      <c r="AK58" s="33"/>
      <c r="AL58" s="33"/>
      <c r="AM58" s="33"/>
      <c r="AN58" s="219"/>
      <c r="AO58" s="33"/>
      <c r="AP58" s="33"/>
      <c r="AQ58" s="33"/>
      <c r="AR58" s="33"/>
      <c r="AS58" s="33"/>
      <c r="AT58" s="33"/>
      <c r="AU58" s="1"/>
      <c r="AV58" s="23"/>
      <c r="AW58" s="23"/>
      <c r="AX58" s="1190" t="s">
        <v>266</v>
      </c>
      <c r="AY58" s="1191"/>
      <c r="AZ58" s="1191"/>
      <c r="BA58" s="1191"/>
      <c r="BB58" s="1191"/>
      <c r="BC58" s="1192"/>
      <c r="BD58" s="23"/>
      <c r="BE58" s="23"/>
      <c r="BF58" s="23"/>
      <c r="BG58" s="23"/>
      <c r="BH58" s="23"/>
      <c r="BI58" s="1188"/>
      <c r="BJ58" s="46"/>
      <c r="BK58" s="23"/>
      <c r="BL58" s="23"/>
      <c r="BM58" s="23"/>
    </row>
    <row r="59" spans="1:65" ht="17.25" customHeight="1" thickBot="1" x14ac:dyDescent="0.3">
      <c r="A59" s="85" t="s">
        <v>267</v>
      </c>
      <c r="B59" s="61" t="s">
        <v>268</v>
      </c>
      <c r="C59" s="33"/>
      <c r="D59" s="33"/>
      <c r="E59" s="32" t="s">
        <v>151</v>
      </c>
      <c r="F59" s="32" t="s">
        <v>151</v>
      </c>
      <c r="G59" s="32" t="s">
        <v>151</v>
      </c>
      <c r="H59" s="33"/>
      <c r="I59" s="33"/>
      <c r="J59" s="33"/>
      <c r="K59" s="33"/>
      <c r="L59" s="33"/>
      <c r="M59" s="33"/>
      <c r="N59" s="33"/>
      <c r="O59" s="217" t="s">
        <v>260</v>
      </c>
      <c r="P59" s="218" t="s">
        <v>151</v>
      </c>
      <c r="Q59" s="137"/>
      <c r="R59" s="81"/>
      <c r="S59" s="81"/>
      <c r="T59" s="23"/>
      <c r="U59" s="23"/>
      <c r="V59" s="23"/>
      <c r="W59" s="67" t="s">
        <v>166</v>
      </c>
      <c r="X59" s="67" t="s">
        <v>166</v>
      </c>
      <c r="Y59" s="67" t="s">
        <v>166</v>
      </c>
      <c r="Z59" s="67" t="s">
        <v>166</v>
      </c>
      <c r="AA59" s="33"/>
      <c r="AB59" s="159"/>
      <c r="AC59" s="66" t="s">
        <v>48</v>
      </c>
      <c r="AD59" s="66" t="s">
        <v>48</v>
      </c>
      <c r="AE59" s="66" t="s">
        <v>48</v>
      </c>
      <c r="AF59" s="159"/>
      <c r="AG59" s="33"/>
      <c r="AH59" s="33"/>
      <c r="AI59" s="33"/>
      <c r="AJ59" s="33"/>
      <c r="AK59" s="33"/>
      <c r="AL59" s="33"/>
      <c r="AM59" s="33"/>
      <c r="AN59" s="33"/>
      <c r="AO59" s="220"/>
      <c r="AP59" s="221">
        <v>1</v>
      </c>
      <c r="AQ59" s="221">
        <v>2</v>
      </c>
      <c r="AR59" s="221">
        <v>3</v>
      </c>
      <c r="AS59" s="222"/>
      <c r="AT59" s="33"/>
      <c r="AU59" s="33"/>
      <c r="AV59" s="33"/>
      <c r="AW59" s="23"/>
      <c r="AX59" s="1193"/>
      <c r="AY59" s="1194"/>
      <c r="AZ59" s="1194"/>
      <c r="BA59" s="1194"/>
      <c r="BB59" s="1194"/>
      <c r="BC59" s="1195"/>
      <c r="BD59" s="132"/>
      <c r="BE59" s="133"/>
      <c r="BF59" s="133"/>
      <c r="BG59" s="133"/>
      <c r="BH59" s="134"/>
      <c r="BI59" s="1189"/>
      <c r="BJ59" s="46"/>
      <c r="BK59" s="23"/>
      <c r="BL59" s="23"/>
      <c r="BM59" s="23"/>
    </row>
    <row r="60" spans="1:65" ht="17.25" customHeight="1" x14ac:dyDescent="0.25">
      <c r="A60" s="223" t="s">
        <v>167</v>
      </c>
      <c r="B60" s="33"/>
      <c r="C60" s="33"/>
      <c r="D60" s="23"/>
      <c r="E60" s="1199" t="s">
        <v>194</v>
      </c>
      <c r="F60" s="1199"/>
      <c r="G60" s="1199"/>
      <c r="H60" s="1199"/>
      <c r="I60" s="23"/>
      <c r="J60" s="23"/>
      <c r="K60" s="23"/>
      <c r="L60" s="23"/>
      <c r="M60" s="23"/>
      <c r="N60" s="33"/>
      <c r="O60" s="217" t="s">
        <v>260</v>
      </c>
      <c r="P60" s="218" t="s">
        <v>151</v>
      </c>
      <c r="Q60" s="137"/>
      <c r="R60" s="81"/>
      <c r="S60" s="81"/>
      <c r="T60" s="23"/>
      <c r="U60" s="23"/>
      <c r="V60" s="23"/>
      <c r="W60" s="61" t="s">
        <v>269</v>
      </c>
      <c r="X60" s="33"/>
      <c r="Y60" s="33"/>
      <c r="Z60" s="33"/>
      <c r="AA60" s="33"/>
      <c r="AB60" s="159"/>
      <c r="AC60" s="66" t="s">
        <v>48</v>
      </c>
      <c r="AD60" s="66" t="s">
        <v>48</v>
      </c>
      <c r="AE60" s="66" t="s">
        <v>48</v>
      </c>
      <c r="AF60" s="159"/>
      <c r="AG60" s="33"/>
      <c r="AH60" s="33"/>
      <c r="AI60" s="1" t="s">
        <v>270</v>
      </c>
      <c r="AJ60" s="1" t="s">
        <v>271</v>
      </c>
      <c r="AK60" s="1" t="s">
        <v>271</v>
      </c>
      <c r="AL60" s="33"/>
      <c r="AM60" s="33"/>
      <c r="AN60" s="33"/>
      <c r="AO60" s="146" t="s">
        <v>193</v>
      </c>
      <c r="AP60" s="100" t="s">
        <v>160</v>
      </c>
      <c r="AQ60" s="100" t="s">
        <v>160</v>
      </c>
      <c r="AR60" s="100" t="s">
        <v>160</v>
      </c>
      <c r="AS60" s="146"/>
      <c r="AT60" s="33"/>
      <c r="AU60" s="33"/>
      <c r="AV60" s="33"/>
      <c r="AW60" s="23"/>
      <c r="AX60" s="1193"/>
      <c r="AY60" s="1194"/>
      <c r="AZ60" s="1194"/>
      <c r="BA60" s="1194"/>
      <c r="BB60" s="1194"/>
      <c r="BC60" s="1195"/>
      <c r="BD60" s="23"/>
      <c r="BE60" s="23"/>
      <c r="BF60" s="23"/>
      <c r="BG60" s="23"/>
      <c r="BH60" s="23"/>
      <c r="BI60" s="23"/>
      <c r="BJ60" s="46"/>
      <c r="BK60" s="23"/>
      <c r="BL60" s="23"/>
      <c r="BM60" s="23"/>
    </row>
    <row r="61" spans="1:65" ht="17.25" customHeight="1" x14ac:dyDescent="0.25">
      <c r="A61" s="223" t="s">
        <v>167</v>
      </c>
      <c r="B61" s="33"/>
      <c r="C61" s="33"/>
      <c r="D61" s="33"/>
      <c r="E61" s="178">
        <v>1</v>
      </c>
      <c r="F61" s="178">
        <v>2</v>
      </c>
      <c r="G61" s="178">
        <v>3</v>
      </c>
      <c r="H61" s="178">
        <v>4</v>
      </c>
      <c r="I61" s="33"/>
      <c r="J61" s="33"/>
      <c r="K61" s="33"/>
      <c r="L61" s="23"/>
      <c r="M61" s="23"/>
      <c r="N61" s="33"/>
      <c r="O61" s="217" t="s">
        <v>260</v>
      </c>
      <c r="P61" s="218" t="s">
        <v>151</v>
      </c>
      <c r="Q61" s="1"/>
      <c r="R61" s="81"/>
      <c r="S61" s="81"/>
      <c r="T61" s="23"/>
      <c r="U61" s="23"/>
      <c r="V61" s="23"/>
      <c r="W61" s="1"/>
      <c r="X61" s="1"/>
      <c r="Y61" s="23"/>
      <c r="Z61" s="1"/>
      <c r="AA61" s="1"/>
      <c r="AB61" s="61" t="s">
        <v>272</v>
      </c>
      <c r="AC61" s="159" t="s">
        <v>165</v>
      </c>
      <c r="AD61" s="159" t="s">
        <v>165</v>
      </c>
      <c r="AE61" s="159" t="s">
        <v>165</v>
      </c>
      <c r="AF61" s="23"/>
      <c r="AG61" s="23"/>
      <c r="AH61" s="33"/>
      <c r="AI61" s="224" t="s">
        <v>153</v>
      </c>
      <c r="AJ61" s="225" t="s">
        <v>152</v>
      </c>
      <c r="AK61" s="225" t="s">
        <v>152</v>
      </c>
      <c r="AL61" s="33"/>
      <c r="AM61" s="33"/>
      <c r="AN61" s="221"/>
      <c r="AO61" s="100"/>
      <c r="AP61" s="12" t="s">
        <v>11</v>
      </c>
      <c r="AQ61" s="12" t="s">
        <v>11</v>
      </c>
      <c r="AR61" s="226" t="s">
        <v>46</v>
      </c>
      <c r="AS61" s="100"/>
      <c r="AT61" s="146"/>
      <c r="AU61" s="33"/>
      <c r="AV61" s="33"/>
      <c r="AW61" s="23"/>
      <c r="AX61" s="1193"/>
      <c r="AY61" s="1194"/>
      <c r="AZ61" s="1194"/>
      <c r="BA61" s="1194"/>
      <c r="BB61" s="1194"/>
      <c r="BC61" s="1195"/>
      <c r="BD61" s="23"/>
      <c r="BE61" s="23"/>
      <c r="BF61" s="23"/>
      <c r="BG61" s="23"/>
      <c r="BH61" s="23"/>
      <c r="BI61" s="23"/>
      <c r="BJ61" s="46"/>
      <c r="BK61" s="23"/>
      <c r="BL61" s="23"/>
      <c r="BM61" s="23"/>
    </row>
    <row r="62" spans="1:65" ht="17.25" customHeight="1" thickBot="1" x14ac:dyDescent="0.3">
      <c r="A62" s="223" t="s">
        <v>167</v>
      </c>
      <c r="B62" s="31"/>
      <c r="C62" s="33"/>
      <c r="D62" s="62" t="s">
        <v>273</v>
      </c>
      <c r="E62" s="156" t="s">
        <v>165</v>
      </c>
      <c r="F62" s="156" t="s">
        <v>165</v>
      </c>
      <c r="G62" s="156" t="s">
        <v>165</v>
      </c>
      <c r="H62" s="156" t="s">
        <v>165</v>
      </c>
      <c r="I62" s="94" t="s">
        <v>274</v>
      </c>
      <c r="J62" s="33"/>
      <c r="K62" s="33"/>
      <c r="L62" s="23"/>
      <c r="M62" s="23"/>
      <c r="N62" s="33"/>
      <c r="O62" s="33"/>
      <c r="P62" s="218" t="s">
        <v>151</v>
      </c>
      <c r="Q62" s="1"/>
      <c r="R62" s="81"/>
      <c r="S62" s="81"/>
      <c r="T62" s="23"/>
      <c r="U62" s="23"/>
      <c r="V62" s="23"/>
      <c r="W62" s="1"/>
      <c r="X62" s="1"/>
      <c r="Y62" s="23"/>
      <c r="Z62" s="1"/>
      <c r="AA62" s="1"/>
      <c r="AB62" s="1"/>
      <c r="AC62" s="123">
        <v>6</v>
      </c>
      <c r="AD62" s="123">
        <v>5</v>
      </c>
      <c r="AE62" s="123">
        <v>4</v>
      </c>
      <c r="AF62" s="33"/>
      <c r="AG62" s="33"/>
      <c r="AH62" s="33"/>
      <c r="AI62" s="225" t="s">
        <v>152</v>
      </c>
      <c r="AJ62" s="227" t="s">
        <v>156</v>
      </c>
      <c r="AK62" s="227" t="s">
        <v>156</v>
      </c>
      <c r="AL62" s="33"/>
      <c r="AM62" s="33"/>
      <c r="AN62" s="221"/>
      <c r="AO62" s="100"/>
      <c r="AP62" s="14" t="s">
        <v>34</v>
      </c>
      <c r="AQ62" s="14" t="s">
        <v>34</v>
      </c>
      <c r="AR62" s="228" t="s">
        <v>31</v>
      </c>
      <c r="AS62" s="100"/>
      <c r="AT62" s="146"/>
      <c r="AU62" s="33"/>
      <c r="AV62" s="33"/>
      <c r="AW62" s="23"/>
      <c r="AX62" s="1196"/>
      <c r="AY62" s="1197"/>
      <c r="AZ62" s="1197"/>
      <c r="BA62" s="1197"/>
      <c r="BB62" s="1197"/>
      <c r="BC62" s="1198"/>
      <c r="BD62" s="23"/>
      <c r="BE62" s="23"/>
      <c r="BF62" s="23"/>
      <c r="BG62" s="23"/>
      <c r="BH62" s="23"/>
      <c r="BI62" s="23"/>
      <c r="BJ62" s="46"/>
      <c r="BK62" s="23"/>
      <c r="BL62" s="23"/>
      <c r="BM62" s="23"/>
    </row>
    <row r="63" spans="1:65" ht="17.25" customHeight="1" x14ac:dyDescent="0.25">
      <c r="A63" s="223" t="s">
        <v>167</v>
      </c>
      <c r="B63" s="31"/>
      <c r="C63" s="33"/>
      <c r="D63" s="156"/>
      <c r="E63" s="66" t="s">
        <v>48</v>
      </c>
      <c r="F63" s="66" t="s">
        <v>48</v>
      </c>
      <c r="G63" s="66" t="s">
        <v>48</v>
      </c>
      <c r="H63" s="66" t="s">
        <v>48</v>
      </c>
      <c r="I63" s="156"/>
      <c r="J63" s="33"/>
      <c r="K63" s="33"/>
      <c r="L63" s="23"/>
      <c r="M63" s="23"/>
      <c r="N63" s="33"/>
      <c r="O63" s="33"/>
      <c r="P63" s="218" t="s">
        <v>151</v>
      </c>
      <c r="Q63" s="1"/>
      <c r="R63" s="31"/>
      <c r="S63" s="33"/>
      <c r="T63" s="23"/>
      <c r="U63" s="23"/>
      <c r="V63" s="23"/>
      <c r="W63" s="1"/>
      <c r="X63" s="33"/>
      <c r="Y63" s="23"/>
      <c r="Z63" s="1"/>
      <c r="AA63" s="33"/>
      <c r="AB63" s="33"/>
      <c r="AC63" s="33"/>
      <c r="AD63" s="1"/>
      <c r="AE63" s="1"/>
      <c r="AF63" s="33"/>
      <c r="AG63" s="33"/>
      <c r="AH63" s="33"/>
      <c r="AI63" s="1" t="s">
        <v>270</v>
      </c>
      <c r="AJ63" s="1" t="s">
        <v>271</v>
      </c>
      <c r="AK63" s="1" t="s">
        <v>271</v>
      </c>
      <c r="AL63" s="33"/>
      <c r="AM63" s="33"/>
      <c r="AN63" s="33"/>
      <c r="AO63" s="221"/>
      <c r="AP63" s="100" t="s">
        <v>160</v>
      </c>
      <c r="AQ63" s="100" t="s">
        <v>160</v>
      </c>
      <c r="AR63" s="100" t="s">
        <v>160</v>
      </c>
      <c r="AS63" s="221"/>
      <c r="AT63" s="33"/>
      <c r="AU63" s="33"/>
      <c r="AV63" s="33"/>
      <c r="AW63" s="23"/>
      <c r="AX63" s="229"/>
      <c r="AY63" s="181"/>
      <c r="AZ63" s="23"/>
      <c r="BA63" s="230"/>
      <c r="BB63" s="230"/>
      <c r="BC63" s="23"/>
      <c r="BD63" s="23"/>
      <c r="BE63" s="23"/>
      <c r="BF63" s="23"/>
      <c r="BG63" s="23"/>
      <c r="BH63" s="23"/>
      <c r="BI63" s="23"/>
      <c r="BJ63" s="46"/>
      <c r="BK63" s="23"/>
      <c r="BL63" s="23"/>
      <c r="BM63" s="23"/>
    </row>
    <row r="64" spans="1:65" ht="17.25" customHeight="1" x14ac:dyDescent="0.25">
      <c r="A64" s="223" t="s">
        <v>167</v>
      </c>
      <c r="B64" s="31"/>
      <c r="C64" s="33"/>
      <c r="D64" s="156"/>
      <c r="E64" s="66" t="s">
        <v>48</v>
      </c>
      <c r="F64" s="66" t="s">
        <v>48</v>
      </c>
      <c r="G64" s="66" t="s">
        <v>48</v>
      </c>
      <c r="H64" s="66" t="s">
        <v>48</v>
      </c>
      <c r="I64" s="156"/>
      <c r="J64" s="33"/>
      <c r="K64" s="33"/>
      <c r="L64" s="23"/>
      <c r="M64" s="33"/>
      <c r="N64" s="33"/>
      <c r="O64" s="33"/>
      <c r="P64" s="218" t="s">
        <v>151</v>
      </c>
      <c r="Q64" s="137"/>
      <c r="R64" s="31"/>
      <c r="S64" s="33"/>
      <c r="T64" s="23"/>
      <c r="U64" s="23"/>
      <c r="V64" s="23"/>
      <c r="W64" s="231"/>
      <c r="X64" s="33"/>
      <c r="Y64" s="33"/>
      <c r="Z64" s="33"/>
      <c r="AA64" s="33"/>
      <c r="AB64" s="33"/>
      <c r="AC64" s="1"/>
      <c r="AD64" s="1"/>
      <c r="AE64" s="1"/>
      <c r="AF64" s="33"/>
      <c r="AG64" s="33"/>
      <c r="AH64" s="33"/>
      <c r="AI64" s="1"/>
      <c r="AJ64" s="1"/>
      <c r="AK64" s="1"/>
      <c r="AO64" s="158" t="s">
        <v>275</v>
      </c>
      <c r="AP64" s="221">
        <v>6</v>
      </c>
      <c r="AQ64" s="221">
        <v>5</v>
      </c>
      <c r="AR64" s="221">
        <v>4</v>
      </c>
      <c r="AS64" s="220"/>
      <c r="AT64" s="33"/>
      <c r="AU64" s="33"/>
      <c r="AV64" s="33"/>
      <c r="AW64" s="23"/>
      <c r="AX64" s="232"/>
      <c r="AY64" s="181"/>
      <c r="AZ64" s="230"/>
      <c r="BA64" s="230"/>
      <c r="BB64" s="230"/>
      <c r="BC64" s="23"/>
      <c r="BD64" s="23"/>
      <c r="BE64" s="23"/>
      <c r="BF64" s="23"/>
      <c r="BG64" s="23"/>
      <c r="BH64" s="23"/>
      <c r="BI64" s="23"/>
      <c r="BJ64" s="46"/>
      <c r="BK64" s="23"/>
      <c r="BL64" s="23"/>
      <c r="BM64" s="23"/>
    </row>
    <row r="65" spans="1:65" ht="17.25" customHeight="1" x14ac:dyDescent="0.25">
      <c r="A65" s="223" t="s">
        <v>167</v>
      </c>
      <c r="B65" s="33"/>
      <c r="C65" s="33"/>
      <c r="D65" s="61" t="s">
        <v>276</v>
      </c>
      <c r="E65" s="156" t="s">
        <v>165</v>
      </c>
      <c r="F65" s="156" t="s">
        <v>165</v>
      </c>
      <c r="G65" s="156" t="s">
        <v>165</v>
      </c>
      <c r="H65" s="156" t="s">
        <v>165</v>
      </c>
      <c r="I65" s="33"/>
      <c r="J65" s="33"/>
      <c r="K65" s="33"/>
      <c r="L65" s="23"/>
      <c r="M65" s="33"/>
      <c r="N65" s="33"/>
      <c r="O65" s="33"/>
      <c r="P65" s="218" t="s">
        <v>151</v>
      </c>
      <c r="Q65" s="137"/>
      <c r="R65" s="31"/>
      <c r="S65" s="81"/>
      <c r="T65" s="23"/>
      <c r="U65" s="23"/>
      <c r="V65" s="23"/>
      <c r="W65" s="1"/>
      <c r="X65" s="1"/>
      <c r="Y65" s="33"/>
      <c r="Z65" s="33"/>
      <c r="AA65" s="33"/>
      <c r="AB65" s="1"/>
      <c r="AC65" s="1"/>
      <c r="AD65" s="1"/>
      <c r="AE65" s="1"/>
      <c r="AF65" s="23"/>
      <c r="AG65" s="23"/>
      <c r="AH65" s="23"/>
      <c r="AI65" s="1"/>
      <c r="AJ65" s="1"/>
      <c r="AK65" s="1"/>
      <c r="AO65" s="233"/>
      <c r="AP65" s="1"/>
      <c r="AQ65" s="33"/>
      <c r="AR65" s="33"/>
      <c r="AS65" s="33"/>
      <c r="AT65" s="33"/>
      <c r="AU65" s="33"/>
      <c r="AV65" s="181"/>
      <c r="AW65" s="181"/>
      <c r="AX65" s="232"/>
      <c r="AY65" s="230"/>
      <c r="AZ65" s="230"/>
      <c r="BA65" s="234"/>
      <c r="BB65" s="230"/>
      <c r="BC65" s="23"/>
      <c r="BD65" s="23"/>
      <c r="BE65" s="23"/>
      <c r="BF65" s="23"/>
      <c r="BG65" s="23"/>
      <c r="BH65" s="23"/>
      <c r="BI65" s="23"/>
      <c r="BJ65" s="46"/>
      <c r="BK65" s="23"/>
      <c r="BL65" s="23"/>
      <c r="BM65" s="23"/>
    </row>
    <row r="66" spans="1:65" ht="17.25" customHeight="1" x14ac:dyDescent="0.25">
      <c r="A66" s="223" t="s">
        <v>167</v>
      </c>
      <c r="B66" s="33"/>
      <c r="C66" s="33"/>
      <c r="D66" s="23"/>
      <c r="E66" s="178">
        <v>8</v>
      </c>
      <c r="F66" s="178">
        <v>7</v>
      </c>
      <c r="G66" s="178">
        <v>6</v>
      </c>
      <c r="H66" s="178">
        <v>5</v>
      </c>
      <c r="I66" s="23"/>
      <c r="J66" s="33"/>
      <c r="K66" s="33"/>
      <c r="L66" s="23"/>
      <c r="M66" s="33"/>
      <c r="N66" s="33"/>
      <c r="O66" s="235" t="s">
        <v>204</v>
      </c>
      <c r="P66" s="218" t="s">
        <v>151</v>
      </c>
      <c r="Q66" s="137"/>
      <c r="R66" s="1"/>
      <c r="S66" s="1"/>
      <c r="T66" s="23"/>
      <c r="U66" s="23"/>
      <c r="V66" s="23"/>
      <c r="W66" s="1"/>
      <c r="X66" s="1"/>
      <c r="Y66" s="23"/>
      <c r="Z66" s="33"/>
      <c r="AA66" s="33"/>
      <c r="AB66" s="33"/>
      <c r="AC66" s="33"/>
      <c r="AD66" s="33"/>
      <c r="AE66" s="33"/>
      <c r="AF66" s="33"/>
      <c r="AG66" s="23"/>
      <c r="AH66" s="236"/>
      <c r="AI66" s="1"/>
      <c r="AJ66" s="1"/>
      <c r="AK66" s="1"/>
      <c r="AL66" s="33"/>
      <c r="AM66" s="237"/>
      <c r="AN66" s="33"/>
      <c r="AO66" s="237"/>
      <c r="AP66" s="238"/>
      <c r="AQ66" s="33"/>
      <c r="AR66" s="33"/>
      <c r="AS66" s="33"/>
      <c r="AT66" s="33"/>
      <c r="AU66" s="33"/>
      <c r="AV66" s="181"/>
      <c r="AW66" s="239"/>
      <c r="AX66" s="181"/>
      <c r="AY66" s="230"/>
      <c r="AZ66" s="230"/>
      <c r="BA66" s="73"/>
      <c r="BB66" s="230"/>
      <c r="BC66" s="23"/>
      <c r="BD66" s="23"/>
      <c r="BE66" s="23"/>
      <c r="BF66" s="23"/>
      <c r="BG66" s="23"/>
      <c r="BH66" s="23"/>
      <c r="BI66" s="23"/>
      <c r="BJ66" s="46"/>
      <c r="BK66" s="23"/>
      <c r="BL66" s="23"/>
      <c r="BM66" s="23"/>
    </row>
    <row r="67" spans="1:65" ht="17.25" customHeight="1" thickBot="1" x14ac:dyDescent="0.3">
      <c r="A67" s="223" t="s">
        <v>167</v>
      </c>
      <c r="B67" s="33"/>
      <c r="C67" s="33"/>
      <c r="D67" s="23"/>
      <c r="E67" s="1167" t="s">
        <v>194</v>
      </c>
      <c r="F67" s="1167"/>
      <c r="G67" s="1167"/>
      <c r="H67" s="1167"/>
      <c r="I67" s="23"/>
      <c r="J67" s="33"/>
      <c r="K67" s="33"/>
      <c r="L67" s="23"/>
      <c r="M67" s="33"/>
      <c r="N67" s="33"/>
      <c r="O67" s="235" t="s">
        <v>204</v>
      </c>
      <c r="P67" s="218" t="s">
        <v>151</v>
      </c>
      <c r="Q67" s="1"/>
      <c r="R67" s="1"/>
      <c r="S67" s="1"/>
      <c r="T67" s="1"/>
      <c r="U67" s="23"/>
      <c r="V67" s="23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33"/>
      <c r="AH67" s="240"/>
      <c r="AI67" s="237"/>
      <c r="AJ67" s="33"/>
      <c r="AK67" s="237"/>
      <c r="AL67" s="233"/>
      <c r="AM67" s="241"/>
      <c r="AN67" s="33"/>
      <c r="AO67" s="33"/>
      <c r="AS67" s="33"/>
      <c r="AT67" s="33"/>
      <c r="AU67" s="33"/>
      <c r="AV67" s="33"/>
      <c r="AW67" s="239"/>
      <c r="AX67" s="23"/>
      <c r="AY67" s="23"/>
      <c r="AZ67" s="23"/>
      <c r="BA67" s="23"/>
      <c r="BB67" s="23"/>
      <c r="BC67" s="23"/>
      <c r="BD67" s="23"/>
      <c r="BE67" s="23"/>
      <c r="BF67" s="23"/>
      <c r="BG67" s="23"/>
      <c r="BH67" s="23"/>
      <c r="BI67" s="23"/>
      <c r="BJ67" s="46"/>
      <c r="BK67" s="23"/>
      <c r="BL67" s="23"/>
      <c r="BM67" s="23"/>
    </row>
    <row r="68" spans="1:65" ht="17.25" customHeight="1" thickBot="1" x14ac:dyDescent="0.3">
      <c r="A68" s="242" t="s">
        <v>207</v>
      </c>
      <c r="B68" s="33"/>
      <c r="C68" s="33"/>
      <c r="D68" s="23"/>
      <c r="E68" s="178">
        <v>1</v>
      </c>
      <c r="F68" s="178">
        <v>2</v>
      </c>
      <c r="G68" s="178">
        <v>3</v>
      </c>
      <c r="H68" s="178">
        <v>4</v>
      </c>
      <c r="I68" s="23"/>
      <c r="J68" s="33"/>
      <c r="K68" s="23"/>
      <c r="L68" s="23"/>
      <c r="M68" s="33"/>
      <c r="N68" s="33"/>
      <c r="O68" s="235" t="s">
        <v>204</v>
      </c>
      <c r="P68" s="243"/>
      <c r="Q68" s="1"/>
      <c r="R68" s="1"/>
      <c r="S68" s="1"/>
      <c r="T68" s="1"/>
      <c r="U68" s="33"/>
      <c r="V68" s="33"/>
      <c r="W68" s="23"/>
      <c r="X68" s="23"/>
      <c r="Y68" s="23"/>
      <c r="Z68" s="23"/>
      <c r="AA68" s="23"/>
      <c r="AB68" s="33"/>
      <c r="AC68" s="33"/>
      <c r="AD68" s="33"/>
      <c r="AE68" s="33"/>
      <c r="AF68" s="33"/>
      <c r="AG68" s="33"/>
      <c r="AH68" s="240"/>
      <c r="AI68" s="1"/>
      <c r="AJ68" s="237"/>
      <c r="AK68" s="1"/>
      <c r="AL68" s="1"/>
      <c r="AM68" s="33"/>
      <c r="AN68" s="33"/>
      <c r="AO68" s="33"/>
      <c r="AS68" s="33"/>
      <c r="AT68" s="33"/>
      <c r="AU68" s="33"/>
      <c r="AV68" s="33"/>
      <c r="AW68" s="244"/>
      <c r="AX68" s="23"/>
      <c r="AY68" s="23"/>
      <c r="AZ68" s="23"/>
      <c r="BA68" s="23"/>
      <c r="BB68" s="23"/>
      <c r="BC68" s="23"/>
      <c r="BD68" s="23"/>
      <c r="BE68" s="23"/>
      <c r="BF68" s="23"/>
      <c r="BG68" s="23"/>
      <c r="BH68" s="23"/>
      <c r="BI68" s="23"/>
      <c r="BJ68" s="46"/>
      <c r="BK68" s="23"/>
      <c r="BL68" s="23"/>
      <c r="BM68" s="23"/>
    </row>
    <row r="69" spans="1:65" ht="17.25" customHeight="1" thickBot="1" x14ac:dyDescent="0.3">
      <c r="A69" s="160"/>
      <c r="B69" s="62" t="s">
        <v>277</v>
      </c>
      <c r="C69" s="33"/>
      <c r="D69" s="62" t="s">
        <v>278</v>
      </c>
      <c r="E69" s="156" t="s">
        <v>165</v>
      </c>
      <c r="F69" s="156" t="s">
        <v>165</v>
      </c>
      <c r="G69" s="156" t="s">
        <v>165</v>
      </c>
      <c r="H69" s="156" t="s">
        <v>165</v>
      </c>
      <c r="I69" s="94" t="s">
        <v>279</v>
      </c>
      <c r="J69" s="33"/>
      <c r="K69" s="23"/>
      <c r="L69" s="23"/>
      <c r="M69" s="23"/>
      <c r="N69" s="33"/>
      <c r="O69" s="235" t="s">
        <v>204</v>
      </c>
      <c r="P69" s="196"/>
      <c r="Q69" s="1"/>
      <c r="R69" s="1"/>
      <c r="S69" s="1"/>
      <c r="T69" s="1"/>
      <c r="U69" s="245"/>
      <c r="V69" s="245"/>
      <c r="W69" s="245"/>
      <c r="X69" s="133"/>
      <c r="Y69" s="133"/>
      <c r="Z69" s="133"/>
      <c r="AA69" s="133"/>
      <c r="AB69" s="133"/>
      <c r="AC69" s="133"/>
      <c r="AD69" s="133"/>
      <c r="AE69" s="133"/>
      <c r="AF69" s="33"/>
      <c r="AG69" s="33"/>
      <c r="AH69" s="1"/>
      <c r="AI69" s="1"/>
      <c r="AJ69" s="246"/>
      <c r="AK69" s="246"/>
      <c r="AL69" s="246"/>
      <c r="AM69" s="246"/>
      <c r="AN69" s="246"/>
      <c r="AO69" s="247"/>
      <c r="AP69" s="247"/>
      <c r="AQ69" s="248" t="s">
        <v>204</v>
      </c>
      <c r="AR69" s="247"/>
      <c r="AS69" s="247"/>
      <c r="AT69" s="247"/>
      <c r="AU69" s="247"/>
      <c r="AV69" s="247"/>
      <c r="AW69" s="249"/>
      <c r="AX69" s="31"/>
      <c r="AY69" s="31"/>
      <c r="AZ69" s="31"/>
      <c r="BA69" s="31"/>
      <c r="BB69" s="31"/>
      <c r="BC69" s="23"/>
      <c r="BD69" s="23"/>
      <c r="BE69" s="23"/>
      <c r="BF69" s="23"/>
      <c r="BG69" s="23"/>
      <c r="BH69" s="23"/>
      <c r="BI69" s="23"/>
      <c r="BJ69" s="46"/>
      <c r="BK69" s="23"/>
      <c r="BL69" s="23"/>
      <c r="BM69" s="23"/>
    </row>
    <row r="70" spans="1:65" ht="17.25" customHeight="1" x14ac:dyDescent="0.25">
      <c r="A70" s="66" t="s">
        <v>48</v>
      </c>
      <c r="B70" s="160" t="s">
        <v>165</v>
      </c>
      <c r="C70" s="165">
        <v>1</v>
      </c>
      <c r="D70" s="156"/>
      <c r="E70" s="66" t="s">
        <v>48</v>
      </c>
      <c r="F70" s="66" t="s">
        <v>48</v>
      </c>
      <c r="G70" s="66" t="s">
        <v>48</v>
      </c>
      <c r="H70" s="66" t="s">
        <v>48</v>
      </c>
      <c r="I70" s="156"/>
      <c r="J70" s="33"/>
      <c r="K70" s="69" t="s">
        <v>167</v>
      </c>
      <c r="L70" s="223" t="s">
        <v>167</v>
      </c>
      <c r="M70" s="223" t="s">
        <v>167</v>
      </c>
      <c r="N70" s="33"/>
      <c r="O70" s="235" t="s">
        <v>204</v>
      </c>
      <c r="P70" s="196"/>
      <c r="Q70" s="1"/>
      <c r="R70" s="1"/>
      <c r="S70" s="1"/>
      <c r="T70" s="1"/>
      <c r="U70" s="250"/>
      <c r="V70" s="177"/>
      <c r="W70" s="251"/>
      <c r="X70" s="251"/>
      <c r="Y70" s="251"/>
      <c r="Z70" s="251"/>
      <c r="AA70" s="251"/>
      <c r="AB70" s="251"/>
      <c r="AC70" s="1168" t="s">
        <v>280</v>
      </c>
      <c r="AD70" s="1169"/>
      <c r="AE70" s="251"/>
      <c r="AF70" s="1174" t="s">
        <v>281</v>
      </c>
      <c r="AG70" s="1175"/>
      <c r="AH70" s="1175"/>
      <c r="AI70" s="1176"/>
      <c r="AJ70" s="1"/>
      <c r="AK70" s="1"/>
      <c r="AL70" s="1"/>
      <c r="AM70" s="1"/>
      <c r="AN70" s="1"/>
      <c r="AO70" s="33"/>
      <c r="AP70" s="1"/>
      <c r="AQ70" s="1"/>
      <c r="AR70" s="1"/>
      <c r="AS70" s="1"/>
      <c r="AT70" s="31"/>
      <c r="AU70" s="31"/>
      <c r="AV70" s="31"/>
      <c r="AW70" s="31"/>
      <c r="AX70" s="31"/>
      <c r="AY70" s="31"/>
      <c r="AZ70" s="31"/>
      <c r="BA70" s="31"/>
      <c r="BB70" s="31"/>
      <c r="BC70" s="23"/>
      <c r="BD70" s="23"/>
      <c r="BE70" s="23"/>
      <c r="BF70" s="23"/>
      <c r="BG70" s="23"/>
      <c r="BH70" s="23"/>
      <c r="BI70" s="23"/>
      <c r="BJ70" s="46"/>
      <c r="BK70" s="23"/>
      <c r="BL70" s="23"/>
      <c r="BM70" s="23"/>
    </row>
    <row r="71" spans="1:65" ht="17.25" customHeight="1" x14ac:dyDescent="0.25">
      <c r="A71" s="66" t="s">
        <v>48</v>
      </c>
      <c r="B71" s="160" t="s">
        <v>165</v>
      </c>
      <c r="C71" s="89">
        <v>2</v>
      </c>
      <c r="D71" s="156"/>
      <c r="E71" s="66" t="s">
        <v>48</v>
      </c>
      <c r="F71" s="66" t="s">
        <v>48</v>
      </c>
      <c r="G71" s="66" t="s">
        <v>48</v>
      </c>
      <c r="H71" s="66" t="s">
        <v>48</v>
      </c>
      <c r="I71" s="156"/>
      <c r="J71" s="33"/>
      <c r="K71" s="69" t="s">
        <v>167</v>
      </c>
      <c r="L71" s="223" t="s">
        <v>167</v>
      </c>
      <c r="M71" s="223" t="s">
        <v>167</v>
      </c>
      <c r="N71" s="252"/>
      <c r="O71" s="235" t="s">
        <v>204</v>
      </c>
      <c r="P71" s="253"/>
      <c r="Q71" s="1"/>
      <c r="R71" s="1"/>
      <c r="S71" s="1"/>
      <c r="T71" s="1"/>
      <c r="U71" s="1"/>
      <c r="V71" s="251"/>
      <c r="W71" s="251"/>
      <c r="X71" s="254" t="s">
        <v>190</v>
      </c>
      <c r="Y71" s="255"/>
      <c r="Z71" s="255"/>
      <c r="AA71" s="255"/>
      <c r="AB71" s="255"/>
      <c r="AC71" s="1170"/>
      <c r="AD71" s="1171"/>
      <c r="AE71" s="256"/>
      <c r="AF71" s="1177"/>
      <c r="AG71" s="1178"/>
      <c r="AH71" s="1178"/>
      <c r="AI71" s="1179"/>
      <c r="AJ71" s="1"/>
      <c r="AK71" s="1"/>
      <c r="AL71" s="1"/>
      <c r="AM71" s="194"/>
      <c r="AN71" s="31"/>
      <c r="AO71" s="1"/>
      <c r="AP71" s="1"/>
      <c r="AQ71" s="1"/>
      <c r="AR71" s="1"/>
      <c r="AS71" s="1"/>
      <c r="AT71" s="1"/>
      <c r="AU71" s="1"/>
      <c r="AV71" s="1"/>
      <c r="AW71" s="1"/>
      <c r="AX71" s="23"/>
      <c r="AY71" s="23"/>
      <c r="AZ71" s="23"/>
      <c r="BA71" s="23"/>
      <c r="BB71" s="23"/>
      <c r="BC71" s="23"/>
      <c r="BD71" s="23"/>
      <c r="BE71" s="23"/>
      <c r="BF71" s="23"/>
      <c r="BG71" s="23"/>
      <c r="BH71" s="23"/>
      <c r="BI71" s="23"/>
      <c r="BJ71" s="46"/>
      <c r="BK71" s="23"/>
      <c r="BL71" s="23"/>
      <c r="BM71" s="23"/>
    </row>
    <row r="72" spans="1:65" ht="17.25" customHeight="1" x14ac:dyDescent="0.25">
      <c r="A72" s="66" t="s">
        <v>48</v>
      </c>
      <c r="B72" s="160" t="s">
        <v>165</v>
      </c>
      <c r="C72" s="89">
        <v>3</v>
      </c>
      <c r="D72" s="61" t="s">
        <v>282</v>
      </c>
      <c r="E72" s="156" t="s">
        <v>165</v>
      </c>
      <c r="F72" s="156" t="s">
        <v>165</v>
      </c>
      <c r="G72" s="156" t="s">
        <v>165</v>
      </c>
      <c r="H72" s="156" t="s">
        <v>165</v>
      </c>
      <c r="I72" s="33"/>
      <c r="J72" s="33"/>
      <c r="K72" s="61" t="s">
        <v>283</v>
      </c>
      <c r="L72" s="23"/>
      <c r="M72" s="23"/>
      <c r="N72" s="252"/>
      <c r="O72" s="23"/>
      <c r="P72" s="257"/>
      <c r="Q72" s="258"/>
      <c r="R72" s="258"/>
      <c r="S72" s="1"/>
      <c r="T72" s="1"/>
      <c r="U72" s="1"/>
      <c r="V72" s="251"/>
      <c r="W72" s="251"/>
      <c r="X72" s="251"/>
      <c r="Y72" s="251"/>
      <c r="Z72" s="251"/>
      <c r="AA72" s="251"/>
      <c r="AB72" s="251"/>
      <c r="AC72" s="1170"/>
      <c r="AD72" s="1171"/>
      <c r="AE72" s="251"/>
      <c r="AF72" s="1177"/>
      <c r="AG72" s="1178"/>
      <c r="AH72" s="1178"/>
      <c r="AI72" s="1179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23"/>
      <c r="AY72" s="23"/>
      <c r="AZ72" s="23"/>
      <c r="BA72" s="23"/>
      <c r="BB72" s="23"/>
      <c r="BC72" s="23"/>
      <c r="BD72" s="23"/>
      <c r="BE72" s="23"/>
      <c r="BF72" s="23"/>
      <c r="BG72" s="23"/>
      <c r="BH72" s="23"/>
      <c r="BI72" s="23"/>
      <c r="BJ72" s="46"/>
      <c r="BK72" s="23"/>
      <c r="BL72" s="23"/>
      <c r="BM72" s="23"/>
    </row>
    <row r="73" spans="1:65" ht="17.25" customHeight="1" thickBot="1" x14ac:dyDescent="0.3">
      <c r="A73" s="66" t="s">
        <v>48</v>
      </c>
      <c r="B73" s="160" t="s">
        <v>165</v>
      </c>
      <c r="C73" s="89">
        <v>4</v>
      </c>
      <c r="D73" s="33"/>
      <c r="E73" s="1167" t="s">
        <v>194</v>
      </c>
      <c r="F73" s="1167"/>
      <c r="G73" s="1167"/>
      <c r="H73" s="1167"/>
      <c r="I73" s="33"/>
      <c r="J73" s="33"/>
      <c r="K73" s="23"/>
      <c r="L73" s="23"/>
      <c r="M73" s="23"/>
      <c r="N73" s="252"/>
      <c r="O73" s="259"/>
      <c r="P73" s="260"/>
      <c r="Q73" s="259"/>
      <c r="R73" s="258"/>
      <c r="S73" s="33"/>
      <c r="T73" s="261"/>
      <c r="U73" s="259"/>
      <c r="V73" s="259"/>
      <c r="W73" s="259"/>
      <c r="X73" s="262"/>
      <c r="Y73" s="262"/>
      <c r="Z73" s="262"/>
      <c r="AA73" s="262"/>
      <c r="AB73" s="262"/>
      <c r="AC73" s="1172"/>
      <c r="AD73" s="1173"/>
      <c r="AE73" s="262"/>
      <c r="AF73" s="1180"/>
      <c r="AG73" s="1181"/>
      <c r="AH73" s="1181"/>
      <c r="AI73" s="1182"/>
      <c r="AJ73" s="246"/>
      <c r="AK73" s="246"/>
      <c r="AL73" s="246"/>
      <c r="AM73" s="246"/>
      <c r="AN73" s="246"/>
      <c r="AO73" s="246"/>
      <c r="AP73" s="246"/>
      <c r="AQ73" s="246"/>
      <c r="AR73" s="246"/>
      <c r="AS73" s="246"/>
      <c r="AT73" s="246"/>
      <c r="AU73" s="246"/>
      <c r="AV73" s="246"/>
      <c r="AW73" s="246"/>
      <c r="AX73" s="133"/>
      <c r="AY73" s="133"/>
      <c r="AZ73" s="133"/>
      <c r="BA73" s="133"/>
      <c r="BB73" s="133"/>
      <c r="BC73" s="133"/>
      <c r="BD73" s="133"/>
      <c r="BE73" s="133"/>
      <c r="BF73" s="133"/>
      <c r="BG73" s="133"/>
      <c r="BH73" s="133"/>
      <c r="BI73" s="133"/>
      <c r="BJ73" s="46"/>
      <c r="BK73" s="23"/>
      <c r="BL73" s="23"/>
      <c r="BM73" s="23"/>
    </row>
    <row r="74" spans="1:65" ht="17.25" customHeight="1" x14ac:dyDescent="0.25">
      <c r="A74" s="160"/>
      <c r="B74" s="61" t="s">
        <v>275</v>
      </c>
      <c r="C74" s="33"/>
      <c r="D74" s="33"/>
      <c r="E74" s="178">
        <v>8</v>
      </c>
      <c r="F74" s="178">
        <v>7</v>
      </c>
      <c r="G74" s="178">
        <v>6</v>
      </c>
      <c r="H74" s="178">
        <v>5</v>
      </c>
      <c r="I74" s="252"/>
      <c r="J74" s="33"/>
      <c r="K74" s="252"/>
      <c r="L74" s="252"/>
      <c r="M74" s="33"/>
      <c r="N74" s="33"/>
      <c r="O74" s="263"/>
      <c r="P74" s="210"/>
      <c r="Q74" s="210"/>
      <c r="R74" s="264"/>
      <c r="S74" s="264"/>
      <c r="T74" s="31"/>
      <c r="U74" s="31"/>
      <c r="V74" s="31"/>
      <c r="W74" s="31"/>
      <c r="X74" s="177"/>
      <c r="Y74" s="177"/>
      <c r="Z74" s="177"/>
      <c r="AA74" s="177"/>
      <c r="AB74" s="31"/>
      <c r="AC74" s="31"/>
      <c r="AD74" s="31"/>
      <c r="AE74" s="31"/>
      <c r="AF74" s="31"/>
      <c r="AG74" s="31"/>
      <c r="AH74" s="31"/>
      <c r="AI74" s="31"/>
      <c r="AJ74" s="23"/>
      <c r="AK74" s="23"/>
      <c r="AL74" s="23"/>
      <c r="AM74" s="23"/>
      <c r="AN74" s="23"/>
      <c r="AO74" s="23"/>
      <c r="AP74" s="23"/>
      <c r="AQ74" s="23"/>
      <c r="AR74" s="23"/>
      <c r="AS74" s="23"/>
      <c r="AT74" s="23"/>
      <c r="AU74" s="23"/>
      <c r="AV74" s="23"/>
      <c r="AW74" s="23"/>
      <c r="AX74" s="23"/>
      <c r="AY74" s="23"/>
      <c r="AZ74" s="23"/>
      <c r="BA74" s="31"/>
      <c r="BB74" s="31"/>
      <c r="BC74" s="31"/>
      <c r="BD74" s="31"/>
      <c r="BE74" s="23"/>
      <c r="BF74" s="23"/>
      <c r="BG74" s="23"/>
      <c r="BH74" s="23"/>
      <c r="BI74" s="23"/>
      <c r="BJ74" s="23"/>
      <c r="BK74" s="23"/>
      <c r="BL74" s="23"/>
      <c r="BM74" s="23"/>
    </row>
    <row r="75" spans="1:65" ht="17.25" customHeight="1" x14ac:dyDescent="0.25">
      <c r="A75" s="1183" t="s">
        <v>284</v>
      </c>
      <c r="B75" s="1184"/>
      <c r="C75" s="33"/>
      <c r="D75" s="33"/>
      <c r="E75" s="33"/>
      <c r="F75" s="33"/>
      <c r="G75" s="33"/>
      <c r="H75" s="33"/>
      <c r="I75" s="252"/>
      <c r="J75" s="33"/>
      <c r="K75" s="252"/>
      <c r="L75" s="33"/>
      <c r="M75" s="33"/>
      <c r="N75" s="33"/>
      <c r="O75" s="263"/>
      <c r="P75" s="265"/>
      <c r="Q75" s="265"/>
      <c r="R75" s="265"/>
      <c r="S75" s="265"/>
      <c r="T75" s="31"/>
      <c r="U75" s="31"/>
      <c r="V75" s="31"/>
      <c r="W75" s="31"/>
      <c r="X75" s="31"/>
      <c r="Y75" s="31"/>
      <c r="Z75" s="31"/>
      <c r="AA75" s="31"/>
      <c r="AB75" s="31"/>
      <c r="AC75" s="31"/>
      <c r="AD75" s="31"/>
      <c r="AE75" s="31"/>
      <c r="AF75" s="31"/>
      <c r="AG75" s="31"/>
      <c r="AH75" s="31"/>
      <c r="AI75" s="31"/>
      <c r="AJ75" s="31"/>
      <c r="AK75" s="31"/>
      <c r="AL75" s="31"/>
      <c r="AM75" s="31"/>
      <c r="AN75" s="266"/>
      <c r="AO75" s="266"/>
      <c r="AP75" s="266"/>
      <c r="AQ75" s="266"/>
      <c r="AR75" s="266"/>
      <c r="AS75" s="266"/>
      <c r="AT75" s="266"/>
      <c r="AU75" s="266"/>
      <c r="AV75" s="266"/>
      <c r="AW75" s="266"/>
      <c r="AX75" s="108"/>
      <c r="AY75" s="108"/>
      <c r="AZ75" s="108"/>
      <c r="BA75" s="108"/>
      <c r="BB75" s="108"/>
      <c r="BC75" s="108"/>
      <c r="BD75" s="108"/>
      <c r="BE75" s="108"/>
      <c r="BF75" s="108"/>
      <c r="BG75" s="108"/>
      <c r="BH75" s="108"/>
      <c r="BI75" s="108"/>
      <c r="BJ75" s="108"/>
      <c r="BK75" s="108"/>
      <c r="BL75" s="108"/>
      <c r="BM75" s="108"/>
    </row>
    <row r="76" spans="1:65" ht="17.25" customHeight="1" x14ac:dyDescent="0.25">
      <c r="A76" s="223" t="s">
        <v>167</v>
      </c>
      <c r="B76" s="210"/>
      <c r="C76" s="33"/>
      <c r="D76" s="33"/>
      <c r="E76" s="33"/>
      <c r="F76" s="33"/>
      <c r="G76" s="33"/>
      <c r="H76" s="33"/>
      <c r="I76" s="1185" t="s">
        <v>285</v>
      </c>
      <c r="J76" s="1185"/>
      <c r="K76" s="1185"/>
      <c r="L76" s="33"/>
      <c r="M76" s="33"/>
      <c r="N76" s="69" t="s">
        <v>167</v>
      </c>
      <c r="O76" s="26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  <c r="AA76" s="33"/>
      <c r="AB76" s="33"/>
      <c r="AC76" s="33"/>
      <c r="AD76" s="33"/>
      <c r="AE76" s="33"/>
      <c r="AF76" s="33"/>
      <c r="AG76" s="33"/>
      <c r="AH76" s="33"/>
      <c r="AI76" s="33"/>
      <c r="AJ76" s="33"/>
      <c r="AK76" s="33"/>
      <c r="AL76" s="33"/>
      <c r="AM76" s="33"/>
      <c r="AN76" s="33"/>
      <c r="AO76" s="33"/>
      <c r="AP76" s="33"/>
      <c r="AQ76" s="33"/>
      <c r="AR76" s="33"/>
      <c r="AS76" s="33"/>
      <c r="AT76" s="33"/>
      <c r="AU76" s="33"/>
      <c r="AV76" s="33"/>
      <c r="AW76" s="33"/>
      <c r="AX76" s="33"/>
      <c r="AY76" s="33"/>
      <c r="AZ76" s="33"/>
      <c r="BA76" s="33"/>
      <c r="BB76" s="33"/>
      <c r="BC76" s="33"/>
      <c r="BD76" s="33"/>
      <c r="BE76" s="33"/>
      <c r="BF76" s="33"/>
      <c r="BG76" s="33"/>
      <c r="BH76" s="33"/>
      <c r="BI76" s="33"/>
      <c r="BJ76" s="33"/>
      <c r="BK76" s="33"/>
      <c r="BL76" s="33"/>
      <c r="BM76" s="33"/>
    </row>
    <row r="77" spans="1:65" ht="17.25" customHeight="1" x14ac:dyDescent="0.25">
      <c r="A77" s="223" t="s">
        <v>167</v>
      </c>
      <c r="B77" s="267"/>
      <c r="C77" s="267"/>
      <c r="D77" s="33"/>
      <c r="E77" s="211" t="s">
        <v>204</v>
      </c>
      <c r="F77" s="211" t="s">
        <v>204</v>
      </c>
      <c r="G77" s="211" t="s">
        <v>204</v>
      </c>
      <c r="H77" s="23"/>
      <c r="I77" s="130" t="s">
        <v>187</v>
      </c>
      <c r="J77" s="130" t="s">
        <v>187</v>
      </c>
      <c r="K77" s="130" t="s">
        <v>187</v>
      </c>
      <c r="L77" s="33"/>
      <c r="M77" s="33"/>
      <c r="N77" s="69" t="s">
        <v>167</v>
      </c>
      <c r="O77" s="26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  <c r="AA77" s="33"/>
      <c r="AB77" s="33"/>
      <c r="AC77" s="33"/>
      <c r="AD77" s="33"/>
      <c r="AE77" s="33"/>
      <c r="AF77" s="33"/>
      <c r="AG77" s="33"/>
      <c r="AH77" s="33"/>
      <c r="AI77" s="33"/>
      <c r="AJ77" s="33"/>
      <c r="AK77" s="33"/>
      <c r="AL77" s="33"/>
      <c r="AM77" s="33"/>
      <c r="AN77" s="33"/>
      <c r="AO77" s="33"/>
      <c r="AP77" s="33"/>
      <c r="AQ77" s="33"/>
      <c r="AR77" s="33"/>
      <c r="AS77" s="33"/>
      <c r="AT77" s="33"/>
      <c r="AU77" s="33"/>
      <c r="AV77" s="33"/>
      <c r="AW77" s="33"/>
      <c r="AX77" s="33"/>
      <c r="AY77" s="33"/>
      <c r="AZ77" s="33"/>
      <c r="BA77" s="33"/>
      <c r="BB77" s="33"/>
      <c r="BC77" s="33"/>
      <c r="BD77" s="33"/>
      <c r="BE77" s="33"/>
      <c r="BF77" s="33"/>
      <c r="BG77" s="33"/>
      <c r="BH77" s="33"/>
      <c r="BI77" s="33"/>
      <c r="BJ77" s="33"/>
      <c r="BK77" s="33"/>
      <c r="BL77" s="33"/>
      <c r="BM77" s="33"/>
    </row>
    <row r="78" spans="1:65" ht="17.25" customHeight="1" x14ac:dyDescent="0.25">
      <c r="A78" s="223" t="s">
        <v>167</v>
      </c>
      <c r="B78" s="33"/>
      <c r="C78" s="33"/>
      <c r="D78" s="33"/>
      <c r="E78" s="211" t="s">
        <v>204</v>
      </c>
      <c r="F78" s="211" t="s">
        <v>204</v>
      </c>
      <c r="G78" s="211" t="s">
        <v>204</v>
      </c>
      <c r="H78" s="23"/>
      <c r="I78" s="130" t="s">
        <v>187</v>
      </c>
      <c r="J78" s="130" t="s">
        <v>187</v>
      </c>
      <c r="K78" s="130" t="s">
        <v>187</v>
      </c>
      <c r="L78" s="33"/>
      <c r="M78" s="33"/>
      <c r="N78" s="69" t="s">
        <v>167</v>
      </c>
      <c r="O78" s="26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  <c r="AA78" s="33"/>
      <c r="AB78" s="33"/>
      <c r="AC78" s="33"/>
      <c r="AD78" s="33"/>
      <c r="AE78" s="33"/>
      <c r="AF78" s="33"/>
      <c r="AG78" s="33"/>
      <c r="AH78" s="33"/>
      <c r="AI78" s="33"/>
      <c r="AJ78" s="33"/>
      <c r="AK78" s="33"/>
      <c r="AL78" s="33"/>
      <c r="AM78" s="33"/>
      <c r="AN78" s="33"/>
      <c r="AO78" s="33"/>
      <c r="AP78" s="33"/>
      <c r="AQ78" s="33"/>
      <c r="AR78" s="33"/>
      <c r="AS78" s="33"/>
      <c r="AT78" s="33"/>
      <c r="AU78" s="33"/>
      <c r="AV78" s="33"/>
      <c r="AW78" s="33"/>
      <c r="AX78" s="33"/>
      <c r="AY78" s="33"/>
      <c r="AZ78" s="33"/>
      <c r="BA78" s="33"/>
      <c r="BB78" s="33"/>
      <c r="BC78" s="33"/>
      <c r="BD78" s="33"/>
      <c r="BE78" s="33"/>
      <c r="BF78" s="33"/>
      <c r="BG78" s="33"/>
      <c r="BH78" s="33"/>
      <c r="BI78" s="33"/>
      <c r="BJ78" s="33"/>
      <c r="BK78" s="33"/>
      <c r="BL78" s="33"/>
      <c r="BM78" s="33"/>
    </row>
    <row r="79" spans="1:65" ht="17.25" customHeight="1" x14ac:dyDescent="0.25">
      <c r="A79" s="61" t="s">
        <v>286</v>
      </c>
      <c r="B79" s="33"/>
      <c r="C79" s="33"/>
      <c r="D79" s="33"/>
      <c r="E79" s="61" t="s">
        <v>287</v>
      </c>
      <c r="F79" s="33"/>
      <c r="G79" s="33"/>
      <c r="H79" s="33"/>
      <c r="I79" s="33"/>
      <c r="J79" s="33"/>
      <c r="K79" s="61" t="s">
        <v>288</v>
      </c>
      <c r="L79" s="33"/>
      <c r="M79" s="33"/>
      <c r="N79" s="69" t="s">
        <v>167</v>
      </c>
      <c r="O79" s="26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  <c r="AA79" s="33"/>
      <c r="AB79" s="33"/>
      <c r="AC79" s="33"/>
      <c r="AD79" s="33"/>
      <c r="AE79" s="33"/>
      <c r="AF79" s="33"/>
      <c r="AG79" s="33"/>
      <c r="AH79" s="33"/>
      <c r="AI79" s="33"/>
      <c r="AJ79" s="33"/>
      <c r="AK79" s="33"/>
      <c r="AL79" s="33"/>
      <c r="AM79" s="33"/>
      <c r="AN79" s="33"/>
      <c r="AO79" s="33"/>
      <c r="AP79" s="33"/>
      <c r="AQ79" s="33"/>
      <c r="AR79" s="33"/>
      <c r="AS79" s="33"/>
      <c r="AT79" s="33"/>
      <c r="AU79" s="33"/>
      <c r="AV79" s="33"/>
      <c r="AW79" s="33"/>
      <c r="AX79" s="33"/>
      <c r="AY79" s="33"/>
      <c r="AZ79" s="33"/>
      <c r="BA79" s="33"/>
      <c r="BB79" s="33"/>
      <c r="BC79" s="33"/>
      <c r="BD79" s="33"/>
      <c r="BE79" s="33"/>
      <c r="BF79" s="33"/>
      <c r="BG79" s="33"/>
      <c r="BH79" s="33"/>
      <c r="BI79" s="33"/>
      <c r="BJ79" s="33"/>
      <c r="BK79" s="33"/>
      <c r="BL79" s="33"/>
      <c r="BM79" s="33"/>
    </row>
    <row r="80" spans="1:65" ht="17.25" customHeight="1" x14ac:dyDescent="0.25">
      <c r="A80" s="33"/>
      <c r="B80" s="33"/>
      <c r="C80" s="33"/>
      <c r="D80" s="33"/>
      <c r="E80" s="33"/>
      <c r="F80" s="33"/>
      <c r="G80" s="33"/>
      <c r="H80" s="33"/>
      <c r="I80" s="33"/>
      <c r="J80" s="33"/>
      <c r="K80" s="23"/>
      <c r="L80" s="33"/>
      <c r="M80" s="33"/>
      <c r="N80" s="33"/>
      <c r="O80" s="26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  <c r="AA80" s="33"/>
      <c r="AB80" s="33"/>
      <c r="AC80" s="33"/>
      <c r="AD80" s="33"/>
      <c r="AE80" s="33"/>
      <c r="AF80" s="33"/>
      <c r="AG80" s="33"/>
      <c r="AH80" s="33"/>
      <c r="AI80" s="33"/>
      <c r="AJ80" s="33"/>
      <c r="AK80" s="33"/>
      <c r="AL80" s="33"/>
      <c r="AM80" s="33"/>
      <c r="AN80" s="33"/>
      <c r="AO80" s="33"/>
      <c r="AP80" s="33"/>
      <c r="AQ80" s="33"/>
      <c r="AR80" s="33"/>
      <c r="AS80" s="33"/>
      <c r="AT80" s="33"/>
      <c r="AU80" s="33"/>
      <c r="AV80" s="33"/>
      <c r="AW80" s="33"/>
      <c r="AX80" s="33"/>
      <c r="AY80" s="33"/>
      <c r="AZ80" s="33"/>
      <c r="BA80" s="33"/>
      <c r="BB80" s="33"/>
      <c r="BC80" s="33"/>
      <c r="BD80" s="33"/>
      <c r="BE80" s="33"/>
      <c r="BF80" s="33"/>
      <c r="BG80" s="33"/>
      <c r="BH80" s="33"/>
      <c r="BI80" s="33"/>
      <c r="BJ80" s="33"/>
      <c r="BK80" s="33"/>
      <c r="BL80" s="33"/>
      <c r="BM80" s="33"/>
    </row>
    <row r="81" spans="1:79" ht="17.25" customHeight="1" thickBot="1" x14ac:dyDescent="0.3">
      <c r="A81" s="28"/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134"/>
      <c r="O81" s="26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  <c r="AA81" s="33"/>
      <c r="AB81" s="33"/>
      <c r="AC81" s="33"/>
      <c r="AD81" s="33"/>
      <c r="AE81" s="33"/>
      <c r="AF81" s="33"/>
      <c r="AG81" s="33"/>
      <c r="AH81" s="33"/>
      <c r="AI81" s="33"/>
      <c r="AJ81" s="33"/>
      <c r="AK81" s="33"/>
      <c r="AL81" s="33"/>
      <c r="AM81" s="33"/>
      <c r="AN81" s="33"/>
      <c r="AO81" s="33"/>
      <c r="AP81" s="33"/>
      <c r="AQ81" s="33"/>
      <c r="AR81" s="33"/>
      <c r="AS81" s="33"/>
      <c r="AT81" s="33"/>
      <c r="AU81" s="33"/>
      <c r="AV81" s="33"/>
      <c r="AW81" s="33"/>
      <c r="AX81" s="33"/>
      <c r="AY81" s="33"/>
      <c r="AZ81" s="33"/>
      <c r="BA81" s="33"/>
      <c r="BB81" s="33"/>
      <c r="BC81" s="33"/>
      <c r="BD81" s="33"/>
      <c r="BE81" s="33"/>
      <c r="BF81" s="33"/>
      <c r="BG81" s="33"/>
      <c r="BH81" s="33"/>
      <c r="BI81" s="33"/>
      <c r="BJ81" s="33"/>
      <c r="BK81" s="33"/>
      <c r="BL81" s="33"/>
      <c r="BM81" s="33"/>
    </row>
    <row r="82" spans="1:79" ht="17.25" customHeight="1" x14ac:dyDescent="0.25">
      <c r="A82" s="33"/>
      <c r="B82" s="33"/>
      <c r="C82" s="33"/>
      <c r="D82" s="33"/>
      <c r="E82" s="33"/>
      <c r="F82" s="33"/>
      <c r="G82" s="33"/>
      <c r="H82" s="33"/>
      <c r="I82" s="33"/>
      <c r="J82" s="33"/>
      <c r="K82" s="33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  <c r="AA82" s="33"/>
      <c r="AB82" s="33"/>
      <c r="AC82" s="33"/>
      <c r="AD82" s="33"/>
      <c r="AE82" s="33"/>
      <c r="AF82" s="33"/>
      <c r="AG82" s="33"/>
      <c r="AH82" s="33"/>
      <c r="AI82" s="33"/>
      <c r="AJ82" s="33"/>
      <c r="AK82" s="33"/>
      <c r="AL82" s="33"/>
      <c r="AM82" s="33"/>
      <c r="AN82" s="33"/>
      <c r="AO82" s="33"/>
      <c r="AP82" s="33"/>
      <c r="AQ82" s="33"/>
      <c r="AR82" s="33"/>
      <c r="AS82" s="33"/>
      <c r="AT82" s="33"/>
      <c r="AU82" s="33"/>
      <c r="AV82" s="33"/>
      <c r="AW82" s="33"/>
      <c r="AX82" s="33"/>
      <c r="AY82" s="33"/>
      <c r="AZ82" s="33"/>
      <c r="BA82" s="33"/>
      <c r="BB82" s="33"/>
      <c r="BC82" s="33"/>
      <c r="BD82" s="33"/>
      <c r="BE82" s="33"/>
      <c r="BF82" s="33"/>
      <c r="BG82" s="33"/>
      <c r="BH82" s="33"/>
      <c r="BI82" s="33"/>
      <c r="BJ82" s="33"/>
      <c r="BK82" s="33"/>
      <c r="BL82" s="33"/>
      <c r="BM82" s="33"/>
    </row>
    <row r="83" spans="1:79" ht="17.25" customHeight="1" x14ac:dyDescent="0.25">
      <c r="A83" s="33"/>
      <c r="B83" s="33"/>
      <c r="C83" s="33"/>
      <c r="D83" s="33"/>
      <c r="E83" s="33"/>
      <c r="F83" s="33"/>
      <c r="G83" s="33"/>
      <c r="H83" s="33"/>
      <c r="I83" s="33"/>
      <c r="J83" s="33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  <c r="AA83" s="33"/>
      <c r="AB83" s="33"/>
      <c r="AC83" s="33"/>
      <c r="AD83" s="33"/>
      <c r="AE83" s="33"/>
      <c r="AF83" s="33"/>
      <c r="AG83" s="33"/>
      <c r="AH83" s="33"/>
      <c r="AI83" s="33"/>
      <c r="AJ83" s="33"/>
      <c r="AK83" s="33"/>
      <c r="AL83" s="33"/>
      <c r="AM83" s="33"/>
      <c r="AN83" s="33"/>
      <c r="AO83" s="33"/>
      <c r="AP83" s="33"/>
      <c r="AQ83" s="33"/>
      <c r="AR83" s="33"/>
      <c r="AS83" s="33"/>
      <c r="AT83" s="33"/>
      <c r="AU83" s="33"/>
      <c r="AV83" s="33"/>
      <c r="AW83" s="33"/>
      <c r="AX83" s="33"/>
      <c r="AY83" s="33"/>
      <c r="AZ83" s="33"/>
      <c r="BA83" s="33"/>
      <c r="BB83" s="33"/>
      <c r="BC83" s="33"/>
      <c r="BD83" s="33"/>
      <c r="BE83" s="33"/>
      <c r="BF83" s="33"/>
      <c r="BG83" s="33"/>
      <c r="BH83" s="33"/>
      <c r="BI83" s="33"/>
      <c r="BJ83" s="33"/>
      <c r="BK83" s="33"/>
      <c r="BL83" s="33"/>
      <c r="BM83" s="33"/>
    </row>
    <row r="84" spans="1:79" ht="17.25" customHeight="1" x14ac:dyDescent="0.25">
      <c r="A84" s="220"/>
      <c r="B84" s="220"/>
      <c r="C84" s="220"/>
      <c r="D84" s="220"/>
      <c r="E84" s="220"/>
      <c r="F84" s="220"/>
      <c r="G84" s="220"/>
      <c r="H84" s="220"/>
      <c r="I84" s="220"/>
      <c r="J84" s="220"/>
      <c r="K84" s="220"/>
      <c r="L84" s="220"/>
      <c r="M84" s="220"/>
      <c r="N84" s="220"/>
      <c r="O84" s="220"/>
      <c r="P84" s="220"/>
      <c r="Q84" s="220"/>
      <c r="R84" s="220"/>
      <c r="S84" s="220"/>
      <c r="T84" s="220"/>
      <c r="U84" s="220"/>
      <c r="V84" s="220"/>
      <c r="W84" s="220"/>
      <c r="X84" s="220"/>
      <c r="Y84" s="220"/>
      <c r="Z84" s="220"/>
      <c r="AA84" s="220"/>
      <c r="AB84" s="220"/>
      <c r="AC84" s="220"/>
      <c r="AD84" s="220"/>
      <c r="AE84" s="220"/>
      <c r="AF84" s="220"/>
      <c r="AG84" s="220"/>
      <c r="AH84" s="220"/>
      <c r="AI84" s="220"/>
      <c r="AJ84" s="220"/>
      <c r="AK84" s="220"/>
      <c r="AL84" s="220"/>
      <c r="AM84" s="220"/>
      <c r="AN84" s="220"/>
      <c r="AO84" s="220"/>
      <c r="AP84" s="220"/>
      <c r="AQ84" s="220"/>
      <c r="AR84" s="220"/>
      <c r="AS84" s="220"/>
      <c r="AT84" s="220"/>
      <c r="AU84" s="220"/>
      <c r="AV84" s="220"/>
      <c r="AW84" s="220"/>
      <c r="AX84" s="220"/>
      <c r="AY84" s="220"/>
      <c r="AZ84" s="220"/>
      <c r="BA84" s="220"/>
      <c r="BB84" s="220"/>
      <c r="BC84" s="220"/>
      <c r="BD84" s="220"/>
      <c r="BE84" s="220"/>
      <c r="BF84" s="220"/>
      <c r="BG84" s="220"/>
      <c r="BH84" s="220"/>
      <c r="BI84" s="220"/>
      <c r="BJ84" s="220"/>
      <c r="BK84" s="220"/>
      <c r="BL84" s="220"/>
      <c r="BM84" s="220"/>
      <c r="BN84" s="220"/>
      <c r="BO84" s="220"/>
      <c r="BP84" s="220"/>
      <c r="BQ84" s="220"/>
      <c r="BR84" s="220"/>
      <c r="BS84" s="220"/>
      <c r="BT84" s="220"/>
      <c r="BU84" s="220"/>
      <c r="BV84" s="220"/>
      <c r="BW84" s="220"/>
      <c r="BX84" s="220"/>
      <c r="BY84" s="220"/>
      <c r="BZ84" s="220"/>
      <c r="CA84" s="220"/>
    </row>
    <row r="85" spans="1:79" ht="17.25" customHeight="1" x14ac:dyDescent="0.25">
      <c r="A85" s="220"/>
      <c r="B85" s="220"/>
      <c r="C85" s="220"/>
      <c r="D85" s="220"/>
      <c r="E85" s="220"/>
      <c r="F85" s="220"/>
      <c r="G85" s="220"/>
      <c r="H85" s="220"/>
      <c r="I85" s="220"/>
      <c r="J85" s="220"/>
      <c r="K85" s="220"/>
      <c r="L85" s="220"/>
      <c r="M85" s="220"/>
      <c r="N85" s="220"/>
      <c r="O85" s="220"/>
      <c r="P85" s="220"/>
      <c r="Q85" s="220"/>
      <c r="R85" s="220"/>
      <c r="S85" s="220"/>
      <c r="T85" s="220"/>
      <c r="U85" s="220"/>
      <c r="V85" s="220"/>
      <c r="W85" s="220"/>
      <c r="X85" s="220"/>
      <c r="Y85" s="220"/>
      <c r="Z85" s="220"/>
      <c r="AA85" s="220"/>
      <c r="AB85" s="220"/>
      <c r="AC85" s="220"/>
      <c r="AD85" s="220"/>
      <c r="AE85" s="220"/>
      <c r="AF85" s="220"/>
      <c r="AG85" s="220"/>
      <c r="AH85" s="220"/>
      <c r="AI85" s="220"/>
      <c r="AJ85" s="220"/>
      <c r="AK85" s="220"/>
      <c r="AL85" s="220"/>
      <c r="AM85" s="220"/>
      <c r="AN85" s="220"/>
      <c r="AO85" s="220"/>
      <c r="AP85" s="220"/>
      <c r="AQ85" s="220"/>
      <c r="AR85" s="220"/>
      <c r="AS85" s="220"/>
      <c r="AT85" s="220"/>
      <c r="AU85" s="220"/>
      <c r="AV85" s="220"/>
      <c r="AW85" s="220"/>
      <c r="AX85" s="220"/>
      <c r="AY85" s="220"/>
      <c r="AZ85" s="220"/>
      <c r="BA85" s="220"/>
      <c r="BB85" s="220"/>
      <c r="BC85" s="220"/>
      <c r="BD85" s="220"/>
      <c r="BE85" s="220"/>
      <c r="BF85" s="220"/>
      <c r="BG85" s="220"/>
      <c r="BH85" s="220"/>
      <c r="BI85" s="220"/>
      <c r="BJ85" s="220"/>
      <c r="BK85" s="220"/>
      <c r="BL85" s="220"/>
      <c r="BM85" s="220"/>
      <c r="BN85" s="220"/>
      <c r="BO85" s="220"/>
      <c r="BP85" s="220"/>
      <c r="BQ85" s="220"/>
      <c r="BR85" s="220"/>
      <c r="BS85" s="220"/>
      <c r="BT85" s="220"/>
      <c r="BU85" s="220"/>
      <c r="BV85" s="220"/>
      <c r="BW85" s="220"/>
      <c r="BX85" s="220"/>
      <c r="BY85" s="220"/>
      <c r="BZ85" s="220"/>
      <c r="CA85" s="220"/>
    </row>
    <row r="86" spans="1:79" ht="17.25" customHeight="1" x14ac:dyDescent="0.25">
      <c r="A86" s="220"/>
      <c r="B86" s="220"/>
      <c r="C86" s="220"/>
      <c r="D86" s="220"/>
      <c r="E86" s="220"/>
      <c r="F86" s="220"/>
      <c r="G86" s="220"/>
      <c r="H86" s="220"/>
      <c r="I86" s="220"/>
      <c r="J86" s="220"/>
      <c r="K86" s="220"/>
      <c r="L86" s="220"/>
      <c r="M86" s="220"/>
      <c r="N86" s="220"/>
      <c r="O86" s="220"/>
      <c r="P86" s="220"/>
      <c r="Q86" s="220"/>
      <c r="R86" s="220"/>
      <c r="S86" s="220"/>
      <c r="T86" s="220"/>
      <c r="U86" s="220"/>
      <c r="V86" s="220"/>
      <c r="W86" s="220"/>
      <c r="X86" s="220"/>
      <c r="Y86" s="220"/>
      <c r="Z86" s="220"/>
      <c r="AA86" s="220"/>
      <c r="AB86" s="220"/>
      <c r="AC86" s="220"/>
      <c r="AD86" s="220"/>
      <c r="AE86" s="220"/>
      <c r="AF86" s="220"/>
      <c r="AG86" s="220"/>
      <c r="AH86" s="220"/>
      <c r="AI86" s="220"/>
      <c r="AJ86" s="220"/>
      <c r="AK86" s="220"/>
      <c r="AL86" s="220"/>
      <c r="AM86" s="220"/>
      <c r="AN86" s="220"/>
      <c r="AO86" s="220"/>
      <c r="AP86" s="220"/>
      <c r="AQ86" s="220"/>
      <c r="AR86" s="220"/>
      <c r="AS86" s="220"/>
      <c r="AT86" s="220"/>
      <c r="AU86" s="220"/>
      <c r="AV86" s="220"/>
      <c r="AW86" s="220"/>
      <c r="AX86" s="220"/>
      <c r="AY86" s="220"/>
      <c r="AZ86" s="220"/>
      <c r="BA86" s="220"/>
      <c r="BB86" s="220"/>
      <c r="BC86" s="220"/>
      <c r="BD86" s="220"/>
      <c r="BE86" s="220"/>
      <c r="BF86" s="220"/>
      <c r="BG86" s="220"/>
      <c r="BH86" s="220"/>
      <c r="BI86" s="220"/>
      <c r="BJ86" s="220"/>
      <c r="BK86" s="220"/>
      <c r="BL86" s="220"/>
      <c r="BM86" s="220"/>
      <c r="BN86" s="220"/>
      <c r="BO86" s="220"/>
      <c r="BP86" s="220"/>
      <c r="BQ86" s="220"/>
      <c r="BR86" s="220"/>
      <c r="BS86" s="220"/>
      <c r="BT86" s="220"/>
      <c r="BU86" s="220"/>
      <c r="BV86" s="220"/>
      <c r="BW86" s="220"/>
      <c r="BX86" s="220"/>
      <c r="BY86" s="220"/>
      <c r="BZ86" s="220"/>
      <c r="CA86" s="220"/>
    </row>
    <row r="87" spans="1:79" ht="17.25" customHeight="1" x14ac:dyDescent="0.25">
      <c r="A87" s="220"/>
      <c r="B87" s="220"/>
      <c r="C87" s="220"/>
      <c r="D87" s="220"/>
      <c r="E87" s="220"/>
      <c r="F87" s="220"/>
      <c r="G87" s="220"/>
      <c r="H87" s="220"/>
      <c r="I87" s="220"/>
      <c r="J87" s="220"/>
      <c r="K87" s="220"/>
      <c r="L87" s="220"/>
      <c r="M87" s="220"/>
      <c r="N87" s="220"/>
      <c r="O87" s="220"/>
      <c r="P87" s="220"/>
      <c r="Q87" s="220"/>
      <c r="R87" s="220"/>
      <c r="S87" s="220"/>
      <c r="T87" s="220"/>
      <c r="U87" s="220"/>
      <c r="V87" s="220"/>
      <c r="W87" s="220"/>
      <c r="X87" s="220"/>
      <c r="Y87" s="220"/>
      <c r="Z87" s="220"/>
      <c r="AA87" s="220"/>
      <c r="AB87" s="220"/>
      <c r="AC87" s="220"/>
      <c r="AD87" s="220"/>
      <c r="AE87" s="220"/>
      <c r="AF87" s="220"/>
      <c r="AG87" s="220"/>
      <c r="AH87" s="220"/>
      <c r="AI87" s="220"/>
      <c r="AJ87" s="220"/>
      <c r="AK87" s="220"/>
      <c r="AL87" s="220"/>
      <c r="AM87" s="220"/>
      <c r="AN87" s="220"/>
      <c r="AO87" s="220"/>
      <c r="AP87" s="220"/>
      <c r="AQ87" s="220"/>
      <c r="AR87" s="220"/>
      <c r="AS87" s="220"/>
      <c r="AT87" s="220"/>
      <c r="AU87" s="220"/>
      <c r="AV87" s="220"/>
      <c r="AW87" s="220"/>
      <c r="AX87" s="220"/>
      <c r="AY87" s="220"/>
      <c r="AZ87" s="220"/>
      <c r="BA87" s="220"/>
      <c r="BB87" s="220"/>
      <c r="BC87" s="220"/>
      <c r="BD87" s="220"/>
      <c r="BE87" s="220"/>
      <c r="BF87" s="220"/>
      <c r="BG87" s="220"/>
      <c r="BH87" s="220"/>
      <c r="BI87" s="220"/>
      <c r="BJ87" s="220"/>
      <c r="BK87" s="220"/>
      <c r="BL87" s="220"/>
      <c r="BM87" s="220"/>
      <c r="BN87" s="220"/>
      <c r="BO87" s="220"/>
      <c r="BP87" s="220"/>
      <c r="BQ87" s="220"/>
      <c r="BR87" s="220"/>
      <c r="BS87" s="220"/>
      <c r="BT87" s="220"/>
      <c r="BU87" s="220"/>
      <c r="BV87" s="220"/>
      <c r="BW87" s="220"/>
      <c r="BX87" s="220"/>
      <c r="BY87" s="220"/>
      <c r="BZ87" s="220"/>
      <c r="CA87" s="220"/>
    </row>
    <row r="88" spans="1:79" ht="17.25" customHeight="1" x14ac:dyDescent="0.25">
      <c r="A88" s="220"/>
      <c r="B88" s="220"/>
      <c r="C88" s="220"/>
      <c r="D88" s="220"/>
      <c r="E88" s="220"/>
      <c r="F88" s="220"/>
      <c r="G88" s="220"/>
      <c r="H88" s="220"/>
      <c r="I88" s="220"/>
      <c r="J88" s="220"/>
      <c r="K88" s="220"/>
      <c r="L88" s="220"/>
      <c r="M88" s="220"/>
      <c r="N88" s="220"/>
      <c r="O88" s="220"/>
      <c r="P88" s="220"/>
      <c r="Q88" s="220"/>
      <c r="R88" s="220"/>
      <c r="S88" s="220"/>
      <c r="T88" s="220"/>
      <c r="U88" s="220"/>
      <c r="V88" s="220"/>
      <c r="W88" s="220"/>
      <c r="X88" s="220"/>
      <c r="Y88" s="220"/>
      <c r="Z88" s="220"/>
      <c r="AA88" s="220"/>
      <c r="AB88" s="220"/>
      <c r="AC88" s="220"/>
      <c r="AD88" s="220"/>
      <c r="AE88" s="220"/>
      <c r="AF88" s="220"/>
      <c r="AG88" s="220"/>
      <c r="AH88" s="220"/>
      <c r="AI88" s="220"/>
      <c r="AJ88" s="220"/>
      <c r="AK88" s="220"/>
      <c r="AL88" s="220"/>
      <c r="AM88" s="220"/>
      <c r="AN88" s="220"/>
      <c r="AO88" s="220"/>
      <c r="AP88" s="220"/>
      <c r="AQ88" s="220"/>
      <c r="AR88" s="220"/>
      <c r="AS88" s="220"/>
      <c r="AT88" s="220"/>
      <c r="AU88" s="220"/>
      <c r="AV88" s="220"/>
      <c r="AW88" s="220"/>
      <c r="AX88" s="220"/>
      <c r="AY88" s="220"/>
      <c r="AZ88" s="220"/>
      <c r="BA88" s="220"/>
      <c r="BB88" s="220"/>
      <c r="BC88" s="220"/>
      <c r="BD88" s="220"/>
      <c r="BE88" s="220"/>
      <c r="BF88" s="220"/>
      <c r="BG88" s="220"/>
      <c r="BH88" s="220"/>
      <c r="BI88" s="220"/>
      <c r="BJ88" s="220"/>
      <c r="BK88" s="220"/>
      <c r="BL88" s="220"/>
      <c r="BM88" s="220"/>
      <c r="BN88" s="220"/>
      <c r="BO88" s="220"/>
      <c r="BP88" s="220"/>
      <c r="BQ88" s="220"/>
      <c r="BR88" s="220"/>
      <c r="BS88" s="220"/>
      <c r="BT88" s="220"/>
      <c r="BU88" s="220"/>
      <c r="BV88" s="220"/>
      <c r="BW88" s="220"/>
      <c r="BX88" s="220"/>
      <c r="BY88" s="220"/>
      <c r="BZ88" s="220"/>
      <c r="CA88" s="220"/>
    </row>
    <row r="89" spans="1:79" ht="17.25" customHeight="1" x14ac:dyDescent="0.25">
      <c r="A89" s="220"/>
      <c r="B89" s="220"/>
      <c r="C89" s="220"/>
      <c r="D89" s="220"/>
      <c r="E89" s="220"/>
      <c r="F89" s="220"/>
      <c r="G89" s="220"/>
      <c r="H89" s="220"/>
      <c r="I89" s="220"/>
      <c r="J89" s="220"/>
      <c r="K89" s="220"/>
      <c r="L89" s="220"/>
      <c r="M89" s="220"/>
      <c r="N89" s="220"/>
      <c r="O89" s="220"/>
      <c r="P89" s="220"/>
      <c r="Q89" s="220"/>
      <c r="R89" s="220"/>
      <c r="S89" s="220"/>
      <c r="T89" s="220"/>
      <c r="U89" s="220"/>
      <c r="V89" s="220"/>
      <c r="W89" s="220"/>
      <c r="X89" s="220"/>
      <c r="Y89" s="220"/>
      <c r="Z89" s="220"/>
      <c r="AA89" s="220"/>
      <c r="AB89" s="220"/>
      <c r="AC89" s="220"/>
      <c r="AD89" s="220"/>
      <c r="AE89" s="220"/>
      <c r="AF89" s="220"/>
      <c r="AG89" s="220"/>
      <c r="AH89" s="220"/>
      <c r="AI89" s="220"/>
      <c r="AJ89" s="220"/>
      <c r="AK89" s="220"/>
      <c r="AL89" s="220"/>
      <c r="AM89" s="220"/>
      <c r="AN89" s="220"/>
      <c r="AO89" s="220"/>
      <c r="AP89" s="220"/>
      <c r="AQ89" s="220"/>
      <c r="AR89" s="220"/>
      <c r="AS89" s="220"/>
      <c r="AT89" s="220"/>
      <c r="AU89" s="220"/>
      <c r="AV89" s="220"/>
      <c r="AW89" s="220"/>
      <c r="AX89" s="220"/>
      <c r="AY89" s="220"/>
      <c r="AZ89" s="220"/>
      <c r="BA89" s="220"/>
      <c r="BB89" s="220"/>
      <c r="BC89" s="220"/>
      <c r="BD89" s="220"/>
      <c r="BE89" s="220"/>
      <c r="BF89" s="220"/>
      <c r="BG89" s="220"/>
      <c r="BH89" s="220"/>
      <c r="BI89" s="220"/>
      <c r="BJ89" s="220"/>
      <c r="BK89" s="220"/>
      <c r="BL89" s="220"/>
      <c r="BM89" s="220"/>
      <c r="BN89" s="220"/>
      <c r="BO89" s="220"/>
      <c r="BP89" s="220"/>
      <c r="BQ89" s="220"/>
      <c r="BR89" s="220"/>
      <c r="BS89" s="220"/>
      <c r="BT89" s="220"/>
      <c r="BU89" s="220"/>
      <c r="BV89" s="220"/>
      <c r="BW89" s="220"/>
      <c r="BX89" s="220"/>
      <c r="BY89" s="220"/>
      <c r="BZ89" s="220"/>
      <c r="CA89" s="220"/>
    </row>
    <row r="94" spans="1:79" ht="17.25" customHeight="1" x14ac:dyDescent="0.25">
      <c r="M94" s="268"/>
    </row>
    <row r="95" spans="1:79" ht="17.25" customHeight="1" x14ac:dyDescent="0.25">
      <c r="M95" s="268"/>
    </row>
    <row r="96" spans="1:79" ht="17.25" customHeight="1" x14ac:dyDescent="0.25">
      <c r="M96" s="268"/>
    </row>
    <row r="101" spans="1:33" ht="17.25" customHeight="1" x14ac:dyDescent="0.25">
      <c r="M101" s="268"/>
    </row>
    <row r="102" spans="1:33" ht="17.25" customHeight="1" x14ac:dyDescent="0.25">
      <c r="M102" s="268"/>
    </row>
    <row r="103" spans="1:33" ht="17.25" customHeight="1" x14ac:dyDescent="0.25">
      <c r="M103" s="268"/>
    </row>
    <row r="108" spans="1:33" ht="17.25" customHeight="1" x14ac:dyDescent="0.25">
      <c r="M108" s="268"/>
    </row>
    <row r="109" spans="1:33" ht="17.25" customHeight="1" x14ac:dyDescent="0.25">
      <c r="M109" s="268"/>
    </row>
    <row r="110" spans="1:33" ht="17.25" customHeight="1" thickBot="1" x14ac:dyDescent="0.3">
      <c r="M110" s="268"/>
    </row>
    <row r="111" spans="1:33" ht="17.25" customHeight="1" thickBot="1" x14ac:dyDescent="0.3">
      <c r="A111" s="1074" t="s">
        <v>289</v>
      </c>
      <c r="B111" s="1075"/>
      <c r="C111" s="1075"/>
      <c r="D111" s="1075"/>
      <c r="E111" s="1075"/>
      <c r="F111" s="1075"/>
      <c r="G111" s="1075"/>
      <c r="H111" s="1075"/>
      <c r="I111" s="1076"/>
      <c r="J111" s="1077">
        <f>IFERROR(SUM(AE128:AE244)+G113,"")</f>
        <v>446</v>
      </c>
      <c r="K111" s="1078"/>
      <c r="L111" s="1078"/>
      <c r="M111" s="1079"/>
      <c r="Q111" s="1080" t="s">
        <v>290</v>
      </c>
      <c r="R111" s="1080"/>
      <c r="S111" s="1080"/>
      <c r="T111" s="1080"/>
      <c r="W111" s="1080" t="s">
        <v>291</v>
      </c>
      <c r="X111" s="1080"/>
      <c r="Y111" s="1080"/>
      <c r="Z111" s="1080"/>
      <c r="AB111" s="269"/>
      <c r="AC111" s="269"/>
      <c r="AD111" s="269"/>
      <c r="AE111" s="269"/>
      <c r="AF111" s="269"/>
      <c r="AG111" s="269"/>
    </row>
    <row r="112" spans="1:33" ht="17.25" customHeight="1" thickBot="1" x14ac:dyDescent="0.35">
      <c r="A112" s="270" t="s">
        <v>292</v>
      </c>
      <c r="B112" s="271"/>
      <c r="C112" s="271"/>
      <c r="D112" s="271"/>
      <c r="E112" s="271"/>
      <c r="F112" s="271"/>
      <c r="G112" s="271"/>
      <c r="H112" s="271"/>
      <c r="I112" s="271"/>
      <c r="J112" s="271"/>
      <c r="K112" s="271"/>
      <c r="L112" s="271"/>
      <c r="M112" s="272"/>
      <c r="Q112" s="1081" t="s">
        <v>293</v>
      </c>
      <c r="R112" s="1081"/>
      <c r="S112" s="1081" t="s">
        <v>294</v>
      </c>
      <c r="T112" s="1081"/>
      <c r="W112" s="1081" t="s">
        <v>293</v>
      </c>
      <c r="X112" s="1081"/>
      <c r="Y112" s="1081" t="s">
        <v>294</v>
      </c>
      <c r="Z112" s="1081"/>
      <c r="AB112" s="273"/>
      <c r="AC112" s="273"/>
      <c r="AD112" s="273"/>
      <c r="AE112" s="273"/>
      <c r="AF112" s="273"/>
      <c r="AG112" s="273"/>
    </row>
    <row r="113" spans="1:58" ht="17.25" customHeight="1" thickBot="1" x14ac:dyDescent="0.35">
      <c r="A113" s="1066" t="s">
        <v>295</v>
      </c>
      <c r="B113" s="1067"/>
      <c r="C113" s="1067"/>
      <c r="D113" s="1067"/>
      <c r="E113" s="1067"/>
      <c r="F113" s="1068"/>
      <c r="G113" s="1069">
        <f>I128+V128</f>
        <v>34</v>
      </c>
      <c r="H113" s="1070"/>
      <c r="I113" s="1071"/>
      <c r="Q113" s="1072">
        <v>45041</v>
      </c>
      <c r="R113" s="1072"/>
      <c r="S113" s="1073" t="s">
        <v>296</v>
      </c>
      <c r="T113" s="1073"/>
      <c r="W113" s="1072">
        <v>45182</v>
      </c>
      <c r="X113" s="1072"/>
      <c r="Y113" s="1073" t="s">
        <v>297</v>
      </c>
      <c r="Z113" s="1073"/>
      <c r="AB113" s="273"/>
      <c r="AC113" s="273"/>
      <c r="AD113" s="273"/>
      <c r="AE113" s="273"/>
      <c r="AF113" s="273"/>
      <c r="AG113" s="273"/>
    </row>
    <row r="114" spans="1:58" ht="17.25" customHeight="1" thickBot="1" x14ac:dyDescent="0.4">
      <c r="A114" s="274"/>
      <c r="B114" s="274"/>
      <c r="C114" s="274"/>
      <c r="D114" s="274"/>
      <c r="E114" s="274"/>
      <c r="F114" s="274"/>
      <c r="G114" s="274"/>
      <c r="H114" s="274"/>
      <c r="I114" s="274"/>
      <c r="Q114" s="275" t="s">
        <v>298</v>
      </c>
      <c r="R114" s="276" t="s">
        <v>299</v>
      </c>
      <c r="S114" s="277" t="s">
        <v>300</v>
      </c>
      <c r="T114" s="277" t="s">
        <v>301</v>
      </c>
      <c r="U114" s="1059" t="s">
        <v>302</v>
      </c>
      <c r="V114" s="1060"/>
      <c r="W114" s="275" t="s">
        <v>298</v>
      </c>
      <c r="X114" s="276" t="s">
        <v>299</v>
      </c>
      <c r="Y114" s="277" t="s">
        <v>300</v>
      </c>
      <c r="Z114" s="277" t="s">
        <v>301</v>
      </c>
      <c r="AF114" s="278"/>
      <c r="AG114" s="278"/>
    </row>
    <row r="115" spans="1:58" ht="17.25" customHeight="1" thickTop="1" thickBot="1" x14ac:dyDescent="0.3">
      <c r="A115" s="1061" t="s">
        <v>303</v>
      </c>
      <c r="B115" s="1062"/>
      <c r="C115" s="1062"/>
      <c r="D115" s="1062"/>
      <c r="E115" s="279">
        <f>I124+V124</f>
        <v>0</v>
      </c>
      <c r="F115" s="274"/>
      <c r="G115" s="274"/>
      <c r="H115" s="274"/>
      <c r="I115" s="274"/>
      <c r="Q115" s="280" t="s">
        <v>304</v>
      </c>
      <c r="R115" s="281" t="str">
        <f>IF(ISBLANK(Q114)," ",IFERROR(VLOOKUP("TOTAL",#REF!,13,0),""))</f>
        <v/>
      </c>
      <c r="S115" s="281" t="str">
        <f>IF(ISBLANK(Q114)," ",IFERROR(VLOOKUP("TOTAL F POWER",#REF!,13,0),""))</f>
        <v/>
      </c>
      <c r="T115" s="281" t="str">
        <f>IF(ISBLANK(Q114)," ",IFERROR(VLOOKUP("TOTAL SIN F POWER",#REF!,13,0),""))</f>
        <v/>
      </c>
      <c r="W115" s="280" t="s">
        <v>304</v>
      </c>
      <c r="X115" s="281" t="str">
        <f>IF(ISBLANK(W114)," ",IFERROR(VLOOKUP("TOTAL",#REF!,13,0),""))</f>
        <v/>
      </c>
      <c r="Y115" s="281" t="str">
        <f>IF(ISBLANK(W114)," ",IFERROR(VLOOKUP("TOTAL F POWER",#REF!,13,0),""))</f>
        <v/>
      </c>
      <c r="Z115" s="281" t="str">
        <f>IF(ISBLANK(W114)," ",IFERROR(VLOOKUP("TOTAL SIN F POWER",#REF!,13,0),""))</f>
        <v/>
      </c>
      <c r="AF115" s="282"/>
      <c r="AG115" s="282"/>
    </row>
    <row r="116" spans="1:58" ht="17.25" customHeight="1" thickTop="1" thickBot="1" x14ac:dyDescent="0.3">
      <c r="A116" s="1061" t="s">
        <v>305</v>
      </c>
      <c r="B116" s="1062"/>
      <c r="C116" s="1062"/>
      <c r="D116" s="1062"/>
      <c r="E116" s="279">
        <f>I125+V125</f>
        <v>44</v>
      </c>
      <c r="F116" s="274"/>
      <c r="G116" s="274"/>
      <c r="H116" s="274"/>
      <c r="I116" s="283"/>
      <c r="Q116" s="284" t="s">
        <v>306</v>
      </c>
      <c r="R116" s="285" t="str">
        <f>IF(ISBLANK(Q114)," ",IFERROR(VLOOKUP("TOTAL",#REF!,4,0),""))</f>
        <v/>
      </c>
      <c r="S116" s="285" t="str">
        <f>IF(ISBLANK(Q114)," ",IFERROR(VLOOKUP("TOTAL F POWER",#REF!,4,0),""))</f>
        <v/>
      </c>
      <c r="T116" s="285" t="str">
        <f>IF(ISBLANK(Q114)," ",IFERROR(VLOOKUP("TOTAL SIN F POWER",#REF!,4,0),""))</f>
        <v/>
      </c>
      <c r="W116" s="284" t="s">
        <v>306</v>
      </c>
      <c r="X116" s="286" t="str">
        <f>IF(ISBLANK(W114)," ",IFERROR(VLOOKUP("TOTAL",#REF!,4,0),""))</f>
        <v/>
      </c>
      <c r="Y116" s="286" t="str">
        <f>IF(ISBLANK(W114)," ",IFERROR(VLOOKUP("TOTAL F POWER",#REF!,4,0),""))</f>
        <v/>
      </c>
      <c r="Z116" s="286" t="str">
        <f>IF(ISBLANK(W114)," ",IFERROR(VLOOKUP("TOTAL SIN F POWER",#REF!,4,0),""))</f>
        <v/>
      </c>
      <c r="AF116" s="282"/>
      <c r="AG116" s="282"/>
    </row>
    <row r="117" spans="1:58" ht="17.25" customHeight="1" thickBot="1" x14ac:dyDescent="0.3">
      <c r="F117" s="287"/>
      <c r="G117" s="274"/>
      <c r="H117" s="274"/>
      <c r="I117" s="274"/>
      <c r="Q117" s="288" t="s">
        <v>307</v>
      </c>
      <c r="R117" s="289" t="str">
        <f>IF(ISBLANK(Q115)," ",IFERROR(VLOOKUP("TOTAL",#REF!,14,0),""))</f>
        <v/>
      </c>
      <c r="S117" s="289" t="str">
        <f>IF(ISBLANK(Q115)," ",IFERROR(VLOOKUP("TOTAL F POWER",#REF!,14,0),""))</f>
        <v/>
      </c>
      <c r="T117" s="289" t="str">
        <f>IF(ISBLANK(Q115)," ",IFERROR(VLOOKUP("TOTAL SIN F POWER",#REF!,14,0),""))</f>
        <v/>
      </c>
      <c r="W117" s="288" t="s">
        <v>307</v>
      </c>
      <c r="X117" s="289" t="str">
        <f>IF(ISBLANK(W114)," ",IFERROR(VLOOKUP("TOTAL",#REF!,14,0),""))</f>
        <v/>
      </c>
      <c r="Y117" s="289" t="str">
        <f>IF(ISBLANK(W114)," ",IFERROR(VLOOKUP("TOTAL F POWER",#REF!,14,0),""))</f>
        <v/>
      </c>
      <c r="Z117" s="289" t="str">
        <f>IF(ISBLANK(W114)," ",IFERROR(VLOOKUP("TOTAL SIN F POWER",#REF!,14,0),""))</f>
        <v/>
      </c>
      <c r="AF117" s="290"/>
      <c r="AG117" s="290"/>
    </row>
    <row r="118" spans="1:58" ht="17.25" customHeight="1" thickBot="1" x14ac:dyDescent="0.3">
      <c r="A118" s="1063" t="s">
        <v>308</v>
      </c>
      <c r="B118" s="1064"/>
      <c r="C118" s="1064"/>
      <c r="D118" s="1065"/>
      <c r="E118" s="291">
        <f>K228+X228</f>
        <v>0</v>
      </c>
      <c r="F118" s="274"/>
      <c r="G118" s="274"/>
      <c r="H118" s="274"/>
      <c r="I118" s="274"/>
      <c r="Q118" s="292" t="s">
        <v>309</v>
      </c>
      <c r="R118" s="293" t="str">
        <f>IF(ISBLANK(Q114)," ",IFERROR(VLOOKUP("TOTAL",#REF!,11,0),""))</f>
        <v/>
      </c>
      <c r="S118" s="293" t="str">
        <f>IF(ISBLANK(Q114)," ",IFERROR(VLOOKUP("TOTAL F POWER",#REF!,11,0),""))</f>
        <v/>
      </c>
      <c r="T118" s="293" t="str">
        <f>IF(ISBLANK(Q114)," ",IFERROR(VLOOKUP("TOTAL SIN F POWER",#REF!,11,0),""))</f>
        <v/>
      </c>
      <c r="W118" s="292" t="s">
        <v>309</v>
      </c>
      <c r="X118" s="294" t="str">
        <f>IF(ISBLANK(W114)," ",IFERROR(VLOOKUP("TOTAL",#REF!,11,0),""))</f>
        <v/>
      </c>
      <c r="Y118" s="294" t="str">
        <f>IF(ISBLANK(W114)," ",IFERROR(VLOOKUP("TOTAL F POWER",#REF!,11,0),""))</f>
        <v/>
      </c>
      <c r="Z118" s="294" t="str">
        <f>IF(ISBLANK(W114)," ",IFERROR(VLOOKUP("TOTAL SIN F POWER",#REF!,11,0),""))</f>
        <v/>
      </c>
    </row>
    <row r="119" spans="1:58" ht="17.25" customHeight="1" thickBot="1" x14ac:dyDescent="0.3">
      <c r="A119" s="1063" t="s">
        <v>310</v>
      </c>
      <c r="B119" s="1064"/>
      <c r="C119" s="1064"/>
      <c r="D119" s="1065"/>
      <c r="E119" s="295">
        <f>L228+Y228</f>
        <v>34</v>
      </c>
      <c r="F119" s="274"/>
      <c r="G119" s="274"/>
      <c r="H119" s="274"/>
      <c r="I119" s="274"/>
      <c r="Q119" s="296" t="s">
        <v>311</v>
      </c>
      <c r="R119" s="297" t="str">
        <f>IF(ISBLANK(Q114)," ",IFERROR(VLOOKUP("TOTAL",#REF!,15,0),""))</f>
        <v/>
      </c>
      <c r="S119" s="297" t="str">
        <f>IF(ISBLANK(Q114)," ",IFERROR(VLOOKUP("TOTAL F POWER",#REF!,15,0),""))</f>
        <v/>
      </c>
      <c r="T119" s="297" t="str">
        <f>IF(ISBLANK(Q114)," ",IFERROR(VLOOKUP("TOTAL SIN F POWER",#REF!,15,0),""))</f>
        <v/>
      </c>
      <c r="W119" s="296" t="s">
        <v>311</v>
      </c>
      <c r="X119" s="298" t="str">
        <f>IF(ISBLANK(W114)," ",IFERROR(VLOOKUP("TOTAL",#REF!,15,0),""))</f>
        <v/>
      </c>
      <c r="Y119" s="298" t="str">
        <f>IF(ISBLANK(W114)," ",IFERROR(VLOOKUP("TOTAL F POWER",#REF!,15,0),""))</f>
        <v/>
      </c>
      <c r="Z119" s="298" t="str">
        <f>IF(ISBLANK(W114)," ",IFERROR(VLOOKUP("TOTAL SIN F POWER",#REF!,15,0),""))</f>
        <v/>
      </c>
    </row>
    <row r="120" spans="1:58" ht="17.25" customHeight="1" thickBot="1" x14ac:dyDescent="0.3">
      <c r="A120" s="1063" t="s">
        <v>312</v>
      </c>
      <c r="B120" s="1064"/>
      <c r="C120" s="1064"/>
      <c r="D120" s="1065"/>
      <c r="E120" s="299">
        <f>J228+W228</f>
        <v>0</v>
      </c>
      <c r="Q120" s="300" t="s">
        <v>313</v>
      </c>
      <c r="R120" s="301" t="str">
        <f>IF(ISBLANK(Q114)," ",IFERROR(VLOOKUP("TOTAL",#REF!,16,0),""))</f>
        <v/>
      </c>
      <c r="S120" s="301" t="str">
        <f>IF(ISBLANK(Q114)," ",IFERROR(VLOOKUP("TOTAL F POWER",#REF!,16,0),""))</f>
        <v/>
      </c>
      <c r="T120" s="301" t="str">
        <f>IF(ISBLANK(Q114)," ",IFERROR(VLOOKUP("TOTAL SIN F POWER",#REF!,16,0),""))</f>
        <v/>
      </c>
      <c r="W120" s="300" t="s">
        <v>313</v>
      </c>
      <c r="X120" s="302" t="str">
        <f>IF(ISBLANK(W114)," ",IFERROR(VLOOKUP("TOTAL",#REF!,16,0),""))</f>
        <v/>
      </c>
      <c r="Y120" s="302" t="str">
        <f>IF(ISBLANK(W114)," ",IFERROR(VLOOKUP("TOTAL F POWER",#REF!,16,0),""))</f>
        <v/>
      </c>
      <c r="Z120" s="302" t="str">
        <f>IF(ISBLANK(W114)," ",IFERROR(VLOOKUP("TOTAL SIN F POWER",#REF!,16,0),""))</f>
        <v/>
      </c>
    </row>
    <row r="123" spans="1:58" ht="17.25" customHeight="1" thickBot="1" x14ac:dyDescent="0.75">
      <c r="A123" s="1049" t="s">
        <v>314</v>
      </c>
      <c r="B123" s="1050"/>
      <c r="C123" s="1050"/>
      <c r="D123" s="1050"/>
      <c r="E123" s="1050"/>
      <c r="F123" s="1050"/>
      <c r="G123" s="1050"/>
      <c r="H123" s="1050"/>
      <c r="I123" s="1050"/>
      <c r="J123" s="1050"/>
      <c r="K123" s="1050"/>
      <c r="L123" s="1050"/>
      <c r="M123" s="1050"/>
      <c r="N123" s="1050"/>
      <c r="O123" s="1050"/>
      <c r="P123" s="1050"/>
      <c r="Q123" s="1050"/>
      <c r="R123" s="1050"/>
      <c r="S123" s="1050"/>
      <c r="T123" s="1050"/>
      <c r="U123" s="1050"/>
      <c r="V123" s="1050"/>
      <c r="W123" s="1050"/>
      <c r="X123" s="1050"/>
      <c r="Y123" s="1050"/>
      <c r="Z123" s="1050"/>
      <c r="AA123" s="272"/>
    </row>
    <row r="124" spans="1:58" ht="17.25" customHeight="1" thickTop="1" thickBot="1" x14ac:dyDescent="0.45">
      <c r="D124" s="1037" t="s">
        <v>315</v>
      </c>
      <c r="E124" s="1038"/>
      <c r="F124" s="1038"/>
      <c r="G124" s="1039"/>
      <c r="H124" s="1039"/>
      <c r="I124" s="1051">
        <f>COUNTIF($A$4:$M$42,"25C")+COUNTIF($A$43:$O$81,"25C")+COUNTIF($N$4:$T$19,"25C")+COUNTIF($O$20:$S$23,"25C")+COUNTIF($N$24:$Q$25,"25C")+COUNTIF($N$26:$P$26,"25C")+COUNTIF($P$42,"25C")+COUNTIF($T$21:$T$22,"25C")+COUNTIF($R$24,"25C")+COUNTIF($N$27:$O$28,"25C")</f>
        <v>0</v>
      </c>
      <c r="J124" s="1052"/>
      <c r="M124" s="268"/>
      <c r="Q124" s="1037" t="s">
        <v>316</v>
      </c>
      <c r="R124" s="1038"/>
      <c r="S124" s="1038"/>
      <c r="T124" s="1039"/>
      <c r="U124" s="1039"/>
      <c r="V124" s="1051">
        <f>COUNTIF($T$23:$BI$73,"25C")+COUNTIF($N$29:$S$39,"25C")+COUNTIF($P$47:$S$68,"25C")+COUNTIF($Q$40:$S$42,"25C")+COUNTIF($P$27:$S$28,"25C")+COUNTIF($R$25:$S$25,"25C")+COUNTIF($S$24:$S$24,"25C")</f>
        <v>0</v>
      </c>
      <c r="W124" s="1052"/>
      <c r="AA124" s="303"/>
      <c r="AB124" s="304"/>
      <c r="AC124" s="1053" t="s">
        <v>317</v>
      </c>
      <c r="AD124" s="1054"/>
      <c r="AE124" s="1054"/>
      <c r="AF124" s="1055"/>
      <c r="AG124" s="304"/>
      <c r="AI124" s="305"/>
      <c r="AJ124" s="306"/>
      <c r="AK124" s="306"/>
      <c r="AL124" s="306"/>
      <c r="AM124" s="306"/>
      <c r="AN124" s="306"/>
      <c r="AO124" s="306"/>
      <c r="AP124" s="306"/>
      <c r="AQ124" s="306"/>
      <c r="AR124" s="306"/>
      <c r="AS124" s="306"/>
      <c r="AT124" s="306"/>
      <c r="AU124" s="306"/>
      <c r="AV124" s="306"/>
      <c r="AW124" s="306"/>
      <c r="AX124" s="306"/>
      <c r="AY124" s="306"/>
      <c r="AZ124" s="306"/>
      <c r="BA124" s="307"/>
    </row>
    <row r="125" spans="1:58" ht="17.25" customHeight="1" thickTop="1" thickBot="1" x14ac:dyDescent="0.4">
      <c r="D125" s="1037" t="s">
        <v>318</v>
      </c>
      <c r="E125" s="1038"/>
      <c r="F125" s="1038"/>
      <c r="G125" s="1039"/>
      <c r="H125" s="1039"/>
      <c r="I125" s="1051">
        <f>COUNTIF($A$4:$M$42,"50C")+COUNTIF($A$43:$O$81,"50C")+COUNTIF($N$4:$T$19,"50C")+COUNTIF($O$20:$S$23,"50C")+COUNTIF($N$24:$Q$25,"50C")+COUNTIF($N$26:$P$26,"50C")+COUNTIF($P$42,"50C")+COUNTIF($T$21:$T$22,"50C")+COUNTIF($R$24,"50C")+COUNTIF($N$27:$O$28,"50C")</f>
        <v>26</v>
      </c>
      <c r="J125" s="1052"/>
      <c r="M125" s="268"/>
      <c r="Q125" s="1037" t="s">
        <v>319</v>
      </c>
      <c r="R125" s="1038"/>
      <c r="S125" s="1038"/>
      <c r="T125" s="1039"/>
      <c r="U125" s="1039"/>
      <c r="V125" s="1051">
        <f>COUNTIF($T$23:$BI$73,"50C")+COUNTIF($N$29:$S$39,"50C")+COUNTIF($P$47:$S$68,"50C")+COUNTIF($Q$40:$S$42,"50C")+COUNTIF($P$27:$S$28,"50C")+COUNTIF($R$25:$S$25,"50C")+COUNTIF($S$24:$S$24,"50C")</f>
        <v>18</v>
      </c>
      <c r="W125" s="1052"/>
      <c r="AA125" s="303"/>
      <c r="AC125" s="1056"/>
      <c r="AD125" s="1057"/>
      <c r="AE125" s="1057"/>
      <c r="AF125" s="1058"/>
      <c r="AH125" s="308"/>
      <c r="AI125" s="1044" t="s">
        <v>320</v>
      </c>
      <c r="AJ125" s="1045"/>
      <c r="AK125" s="1045"/>
      <c r="AL125" s="1045"/>
      <c r="AM125" s="1045"/>
      <c r="AN125" s="1046"/>
      <c r="AO125" s="309" t="s">
        <v>299</v>
      </c>
      <c r="AP125" s="310"/>
      <c r="AQ125" s="308"/>
      <c r="AR125" s="907" t="s">
        <v>321</v>
      </c>
      <c r="AS125" s="908"/>
      <c r="AT125" s="908"/>
      <c r="AU125" s="908"/>
      <c r="AV125" s="908"/>
      <c r="AW125" s="904"/>
      <c r="AX125" s="309" t="s">
        <v>299</v>
      </c>
      <c r="AY125" s="310"/>
      <c r="AZ125" s="308"/>
      <c r="BA125" s="311"/>
    </row>
    <row r="126" spans="1:58" ht="17.25" customHeight="1" thickBot="1" x14ac:dyDescent="0.45">
      <c r="A126" s="271"/>
      <c r="B126" s="271"/>
      <c r="C126" s="271"/>
      <c r="D126" s="1037" t="s">
        <v>322</v>
      </c>
      <c r="E126" s="1038"/>
      <c r="F126" s="1038"/>
      <c r="G126" s="1039"/>
      <c r="H126" s="1040"/>
      <c r="I126" s="1041">
        <f>G152</f>
        <v>11</v>
      </c>
      <c r="J126" s="1042"/>
      <c r="K126" s="271"/>
      <c r="L126" s="158"/>
      <c r="M126" s="303"/>
      <c r="N126" s="303"/>
      <c r="O126" s="312"/>
      <c r="P126" s="312"/>
      <c r="Q126" s="1037" t="s">
        <v>323</v>
      </c>
      <c r="R126" s="1038"/>
      <c r="S126" s="1038"/>
      <c r="T126" s="1038"/>
      <c r="U126" s="1043"/>
      <c r="V126" s="1041">
        <f>T152</f>
        <v>11</v>
      </c>
      <c r="W126" s="1042"/>
      <c r="X126" s="312"/>
      <c r="Y126" s="312"/>
      <c r="Z126" s="313"/>
      <c r="AA126" s="303"/>
      <c r="AC126" s="1047" t="s">
        <v>324</v>
      </c>
      <c r="AD126" s="1048"/>
      <c r="AE126" s="314" t="s">
        <v>325</v>
      </c>
      <c r="AF126" s="315" t="s">
        <v>326</v>
      </c>
      <c r="AH126" s="308"/>
      <c r="AI126" s="896" t="s">
        <v>327</v>
      </c>
      <c r="AJ126" s="897"/>
      <c r="AK126" s="897"/>
      <c r="AL126" s="897"/>
      <c r="AM126" s="897"/>
      <c r="AN126" s="316" t="s">
        <v>328</v>
      </c>
      <c r="AO126" s="317">
        <f t="shared" ref="AO126:AO189" si="0">COUNTIF($A$1:$GO$103,AN126)</f>
        <v>0</v>
      </c>
      <c r="AP126" s="318"/>
      <c r="AQ126" s="308"/>
      <c r="AR126" s="911" t="s">
        <v>329</v>
      </c>
      <c r="AS126" s="912"/>
      <c r="AT126" s="912"/>
      <c r="AU126" s="912"/>
      <c r="AV126" s="912"/>
      <c r="AW126" s="321" t="s">
        <v>330</v>
      </c>
      <c r="AX126" s="317">
        <f t="shared" ref="AX126:AX166" si="1">COUNTIF($A$1:$GO$103,AW126)</f>
        <v>0</v>
      </c>
      <c r="AY126" s="322"/>
      <c r="AZ126" s="308"/>
      <c r="BA126" s="311"/>
      <c r="BC126" s="323"/>
      <c r="BD126" s="323"/>
      <c r="BE126" s="323"/>
      <c r="BF126" s="323"/>
    </row>
    <row r="127" spans="1:58" ht="17.25" customHeight="1" thickBot="1" x14ac:dyDescent="0.4">
      <c r="C127" s="324" t="b">
        <v>0</v>
      </c>
      <c r="D127" s="1037" t="s">
        <v>331</v>
      </c>
      <c r="E127" s="1038"/>
      <c r="F127" s="1038"/>
      <c r="G127" s="1039"/>
      <c r="H127" s="1040"/>
      <c r="I127" s="1041">
        <f>G176</f>
        <v>0</v>
      </c>
      <c r="J127" s="1042"/>
      <c r="M127" s="268"/>
      <c r="Q127" s="1037" t="s">
        <v>332</v>
      </c>
      <c r="R127" s="1038"/>
      <c r="S127" s="1038"/>
      <c r="T127" s="1038"/>
      <c r="U127" s="1043"/>
      <c r="V127" s="1041">
        <f>T176</f>
        <v>0</v>
      </c>
      <c r="W127" s="1042"/>
      <c r="AA127" s="324"/>
      <c r="AC127" s="1027" t="s">
        <v>333</v>
      </c>
      <c r="AD127" s="1028"/>
      <c r="AE127" s="1028"/>
      <c r="AF127" s="1028"/>
      <c r="AH127" s="308"/>
      <c r="AI127" s="896" t="s">
        <v>334</v>
      </c>
      <c r="AJ127" s="897"/>
      <c r="AK127" s="897"/>
      <c r="AL127" s="897"/>
      <c r="AM127" s="897"/>
      <c r="AN127" s="325" t="s">
        <v>335</v>
      </c>
      <c r="AO127" s="317">
        <f t="shared" si="0"/>
        <v>0</v>
      </c>
      <c r="AP127" s="318"/>
      <c r="AQ127" s="308"/>
      <c r="AR127" s="911" t="s">
        <v>336</v>
      </c>
      <c r="AS127" s="912"/>
      <c r="AT127" s="912"/>
      <c r="AU127" s="912"/>
      <c r="AV127" s="912"/>
      <c r="AW127" s="326" t="s">
        <v>337</v>
      </c>
      <c r="AX127" s="317">
        <f t="shared" si="1"/>
        <v>0</v>
      </c>
      <c r="AY127" s="327"/>
      <c r="AZ127" s="308"/>
      <c r="BA127" s="311"/>
      <c r="BC127" s="328"/>
      <c r="BD127" s="328"/>
      <c r="BE127" s="329"/>
      <c r="BF127" s="329"/>
    </row>
    <row r="128" spans="1:58" ht="17.25" customHeight="1" thickBot="1" x14ac:dyDescent="0.4">
      <c r="C128" s="324" t="b">
        <v>0</v>
      </c>
      <c r="D128" s="1032" t="s">
        <v>338</v>
      </c>
      <c r="E128" s="1033"/>
      <c r="F128" s="1033"/>
      <c r="G128" s="1033"/>
      <c r="H128" s="1034"/>
      <c r="I128" s="1035">
        <f>G228</f>
        <v>16</v>
      </c>
      <c r="J128" s="1036"/>
      <c r="M128" s="268"/>
      <c r="Q128" s="1032" t="s">
        <v>339</v>
      </c>
      <c r="R128" s="1033"/>
      <c r="S128" s="1033"/>
      <c r="T128" s="1033"/>
      <c r="U128" s="1034"/>
      <c r="V128" s="1035">
        <f>T228</f>
        <v>18</v>
      </c>
      <c r="W128" s="1036"/>
      <c r="AA128" s="268"/>
      <c r="AC128" s="330" t="s">
        <v>320</v>
      </c>
      <c r="AD128" s="331" t="s">
        <v>320</v>
      </c>
      <c r="AE128" s="332">
        <f>AO202</f>
        <v>0</v>
      </c>
      <c r="AF128" s="333" t="str">
        <f>IFERROR(AE128/$J$4,"")</f>
        <v/>
      </c>
      <c r="AH128" s="308"/>
      <c r="AI128" s="896" t="s">
        <v>340</v>
      </c>
      <c r="AJ128" s="897"/>
      <c r="AK128" s="897"/>
      <c r="AL128" s="897"/>
      <c r="AM128" s="897"/>
      <c r="AN128" s="334" t="s">
        <v>341</v>
      </c>
      <c r="AO128" s="317">
        <f t="shared" si="0"/>
        <v>0</v>
      </c>
      <c r="AP128" s="318"/>
      <c r="AQ128" s="308"/>
      <c r="AR128" s="911" t="s">
        <v>342</v>
      </c>
      <c r="AS128" s="912"/>
      <c r="AT128" s="912"/>
      <c r="AU128" s="912"/>
      <c r="AV128" s="912"/>
      <c r="AW128" s="335" t="s">
        <v>343</v>
      </c>
      <c r="AX128" s="317">
        <f t="shared" si="1"/>
        <v>0</v>
      </c>
      <c r="AY128" s="327"/>
      <c r="AZ128" s="308"/>
      <c r="BA128" s="311"/>
      <c r="BC128" s="328"/>
      <c r="BD128" s="328"/>
      <c r="BE128" s="329"/>
      <c r="BF128" s="329"/>
    </row>
    <row r="129" spans="1:58" ht="17.25" customHeight="1" x14ac:dyDescent="0.35">
      <c r="A129" s="336"/>
      <c r="B129" s="336"/>
      <c r="C129" s="337"/>
      <c r="D129" s="338"/>
      <c r="E129" s="338"/>
      <c r="F129" s="338"/>
      <c r="G129" s="338"/>
      <c r="H129" s="338"/>
      <c r="I129" s="339"/>
      <c r="J129" s="339"/>
      <c r="K129" s="336"/>
      <c r="L129" s="336"/>
      <c r="M129" s="340"/>
      <c r="N129" s="336"/>
      <c r="O129" s="336"/>
      <c r="P129" s="336"/>
      <c r="Q129" s="338"/>
      <c r="R129" s="338"/>
      <c r="S129" s="338"/>
      <c r="T129" s="338"/>
      <c r="U129" s="338"/>
      <c r="V129" s="339"/>
      <c r="W129" s="339"/>
      <c r="X129" s="336"/>
      <c r="Y129" s="336"/>
      <c r="Z129" s="336"/>
      <c r="AA129" s="324"/>
      <c r="AC129" s="330" t="s">
        <v>344</v>
      </c>
      <c r="AD129" s="341" t="s">
        <v>345</v>
      </c>
      <c r="AE129" s="332">
        <f>AX302</f>
        <v>0</v>
      </c>
      <c r="AF129" s="333" t="str">
        <f t="shared" ref="AF129:AF150" si="2">IFERROR(AE129/$J$4,"")</f>
        <v/>
      </c>
      <c r="AH129" s="308"/>
      <c r="AI129" s="896" t="s">
        <v>346</v>
      </c>
      <c r="AJ129" s="897"/>
      <c r="AK129" s="897"/>
      <c r="AL129" s="897"/>
      <c r="AM129" s="897"/>
      <c r="AN129" s="342" t="s">
        <v>347</v>
      </c>
      <c r="AO129" s="317">
        <f t="shared" si="0"/>
        <v>0</v>
      </c>
      <c r="AP129" s="318"/>
      <c r="AQ129" s="308"/>
      <c r="AR129" s="911" t="s">
        <v>348</v>
      </c>
      <c r="AS129" s="912"/>
      <c r="AT129" s="912"/>
      <c r="AU129" s="912"/>
      <c r="AV129" s="912"/>
      <c r="AW129" s="343" t="s">
        <v>349</v>
      </c>
      <c r="AX129" s="317">
        <f t="shared" si="1"/>
        <v>0</v>
      </c>
      <c r="AY129" s="327"/>
      <c r="AZ129" s="308"/>
      <c r="BA129" s="311"/>
      <c r="BC129" s="344"/>
      <c r="BD129" s="344"/>
      <c r="BE129" s="345"/>
      <c r="BF129" s="345"/>
    </row>
    <row r="130" spans="1:58" ht="17.25" customHeight="1" thickBot="1" x14ac:dyDescent="0.3">
      <c r="A130" s="1029" t="s">
        <v>350</v>
      </c>
      <c r="B130" s="1030"/>
      <c r="C130" s="1030"/>
      <c r="D130" s="1030"/>
      <c r="E130" s="1030"/>
      <c r="F130" s="1030"/>
      <c r="G130" s="1030"/>
      <c r="H130" s="1030"/>
      <c r="I130" s="1031"/>
      <c r="J130" s="346" t="s">
        <v>351</v>
      </c>
      <c r="K130" s="346" t="s">
        <v>352</v>
      </c>
      <c r="L130" s="346" t="s">
        <v>353</v>
      </c>
      <c r="M130" s="324"/>
      <c r="N130" s="1029" t="s">
        <v>350</v>
      </c>
      <c r="O130" s="1030"/>
      <c r="P130" s="1030"/>
      <c r="Q130" s="1030"/>
      <c r="R130" s="1030"/>
      <c r="S130" s="1030"/>
      <c r="T130" s="1030"/>
      <c r="U130" s="1030"/>
      <c r="V130" s="1031"/>
      <c r="W130" s="347" t="s">
        <v>351</v>
      </c>
      <c r="X130" s="347" t="s">
        <v>352</v>
      </c>
      <c r="Y130" s="347" t="s">
        <v>353</v>
      </c>
      <c r="Z130" s="347" t="s">
        <v>354</v>
      </c>
      <c r="AA130" s="324"/>
      <c r="AC130" s="330" t="s">
        <v>355</v>
      </c>
      <c r="AD130" s="348" t="s">
        <v>356</v>
      </c>
      <c r="AE130" s="332">
        <f>AO235</f>
        <v>0</v>
      </c>
      <c r="AF130" s="333" t="str">
        <f t="shared" si="2"/>
        <v/>
      </c>
      <c r="AH130" s="308"/>
      <c r="AI130" s="896" t="s">
        <v>357</v>
      </c>
      <c r="AJ130" s="897"/>
      <c r="AK130" s="897"/>
      <c r="AL130" s="897"/>
      <c r="AM130" s="897"/>
      <c r="AN130" s="349" t="s">
        <v>358</v>
      </c>
      <c r="AO130" s="317">
        <f t="shared" si="0"/>
        <v>0</v>
      </c>
      <c r="AP130" s="318"/>
      <c r="AQ130" s="308"/>
      <c r="AR130" s="911" t="s">
        <v>359</v>
      </c>
      <c r="AS130" s="912"/>
      <c r="AT130" s="912"/>
      <c r="AU130" s="912"/>
      <c r="AV130" s="912"/>
      <c r="AW130" s="343" t="s">
        <v>360</v>
      </c>
      <c r="AX130" s="317">
        <f t="shared" si="1"/>
        <v>0</v>
      </c>
      <c r="AY130" s="327"/>
      <c r="AZ130" s="308"/>
      <c r="BA130" s="311"/>
      <c r="BC130" s="328"/>
      <c r="BD130" s="328"/>
      <c r="BE130" s="350"/>
      <c r="BF130" s="350"/>
    </row>
    <row r="131" spans="1:58" ht="17.25" customHeight="1" thickBot="1" x14ac:dyDescent="0.3">
      <c r="A131" s="978" t="s">
        <v>70</v>
      </c>
      <c r="B131" s="979"/>
      <c r="C131" s="980"/>
      <c r="D131" s="351" t="s">
        <v>25</v>
      </c>
      <c r="E131" s="352"/>
      <c r="F131" s="353" t="s">
        <v>69</v>
      </c>
      <c r="G131" s="926">
        <f t="shared" ref="G131:G151" si="3">COUNTIF($A$4:$M$42,F131)+COUNTIF($A$43:$O$81,F131)+COUNTIF($N$4:$T$19,F131)+COUNTIF($O$20:$S$23,F131)+COUNTIF($N$24:$Q$25,F131)+COUNTIF($N$26:$P$26,F131)+COUNTIF($P$42,F131)+COUNTIF($T$21:$T$22,F131)+COUNTIF($R$24,F131)+COUNTIF($N$27:$O$28,F131)</f>
        <v>0</v>
      </c>
      <c r="H131" s="927"/>
      <c r="I131" s="928"/>
      <c r="J131" s="354">
        <v>0</v>
      </c>
      <c r="K131" s="355">
        <v>0</v>
      </c>
      <c r="L131" s="356">
        <f>G131-K131-J131</f>
        <v>0</v>
      </c>
      <c r="M131" s="324"/>
      <c r="N131" s="978" t="s">
        <v>70</v>
      </c>
      <c r="O131" s="979"/>
      <c r="P131" s="980"/>
      <c r="Q131" s="351" t="s">
        <v>25</v>
      </c>
      <c r="R131" s="352"/>
      <c r="S131" s="353" t="s">
        <v>69</v>
      </c>
      <c r="T131" s="929">
        <f t="shared" ref="T131:T151" si="4">COUNTIF($T$23:$BI$73,S131)+COUNTIF($N$29:$S$39,S131)+COUNTIF($P$47:$S$68,S131)+COUNTIF($Q$40:$S$42,S131)+COUNTIF($P$27:$S$28,S131)+COUNTIF($R$25:$S$25,S131)+COUNTIF($S$24:$S$24,S131)</f>
        <v>0</v>
      </c>
      <c r="U131" s="929"/>
      <c r="V131" s="929"/>
      <c r="W131" s="354">
        <v>0</v>
      </c>
      <c r="X131" s="355">
        <v>0</v>
      </c>
      <c r="Y131" s="356">
        <f t="shared" ref="Y131:Y151" si="5">T131-X131-W131</f>
        <v>0</v>
      </c>
      <c r="Z131" s="357">
        <f t="shared" ref="Z131:Z195" si="6">T131+G131</f>
        <v>0</v>
      </c>
      <c r="AA131" s="324"/>
      <c r="AC131" s="330" t="s">
        <v>361</v>
      </c>
      <c r="AD131" s="358" t="s">
        <v>362</v>
      </c>
      <c r="AE131" s="332">
        <f>AX279</f>
        <v>0</v>
      </c>
      <c r="AF131" s="333" t="str">
        <f t="shared" si="2"/>
        <v/>
      </c>
      <c r="AH131" s="308"/>
      <c r="AI131" s="896" t="s">
        <v>363</v>
      </c>
      <c r="AJ131" s="897"/>
      <c r="AK131" s="897"/>
      <c r="AL131" s="897"/>
      <c r="AM131" s="897"/>
      <c r="AN131" s="359" t="s">
        <v>364</v>
      </c>
      <c r="AO131" s="317">
        <f t="shared" si="0"/>
        <v>0</v>
      </c>
      <c r="AP131" s="318"/>
      <c r="AQ131" s="308"/>
      <c r="AR131" s="911" t="s">
        <v>365</v>
      </c>
      <c r="AS131" s="912"/>
      <c r="AT131" s="912"/>
      <c r="AU131" s="912"/>
      <c r="AV131" s="912"/>
      <c r="AW131" s="360" t="s">
        <v>366</v>
      </c>
      <c r="AX131" s="317">
        <f t="shared" si="1"/>
        <v>0</v>
      </c>
      <c r="AY131" s="327"/>
      <c r="AZ131" s="308"/>
      <c r="BA131" s="311"/>
      <c r="BC131" s="328"/>
      <c r="BD131" s="328"/>
      <c r="BE131" s="328"/>
      <c r="BF131" s="328"/>
    </row>
    <row r="132" spans="1:58" ht="17.25" customHeight="1" thickBot="1" x14ac:dyDescent="0.3">
      <c r="A132" s="978" t="s">
        <v>28</v>
      </c>
      <c r="B132" s="979"/>
      <c r="C132" s="980"/>
      <c r="D132" s="351"/>
      <c r="E132" s="352" t="s">
        <v>367</v>
      </c>
      <c r="F132" s="361" t="s">
        <v>25</v>
      </c>
      <c r="G132" s="926">
        <f t="shared" si="3"/>
        <v>1</v>
      </c>
      <c r="H132" s="927"/>
      <c r="I132" s="928"/>
      <c r="J132" s="354">
        <v>0</v>
      </c>
      <c r="K132" s="355">
        <v>0</v>
      </c>
      <c r="L132" s="356">
        <f t="shared" ref="L132:L151" si="7">G132-K132-J132</f>
        <v>1</v>
      </c>
      <c r="M132" s="324"/>
      <c r="N132" s="978" t="s">
        <v>28</v>
      </c>
      <c r="O132" s="979"/>
      <c r="P132" s="980"/>
      <c r="Q132" s="351"/>
      <c r="R132" s="352" t="s">
        <v>367</v>
      </c>
      <c r="S132" s="361" t="s">
        <v>25</v>
      </c>
      <c r="T132" s="929">
        <f t="shared" si="4"/>
        <v>2</v>
      </c>
      <c r="U132" s="929"/>
      <c r="V132" s="929"/>
      <c r="W132" s="354">
        <v>0</v>
      </c>
      <c r="X132" s="355">
        <v>0</v>
      </c>
      <c r="Y132" s="356">
        <f t="shared" si="5"/>
        <v>2</v>
      </c>
      <c r="Z132" s="357">
        <f t="shared" si="6"/>
        <v>3</v>
      </c>
      <c r="AA132" s="324"/>
      <c r="AC132" s="330" t="s">
        <v>368</v>
      </c>
      <c r="AD132" s="362" t="s">
        <v>368</v>
      </c>
      <c r="AE132" s="332">
        <f>AX224</f>
        <v>14</v>
      </c>
      <c r="AF132" s="333" t="str">
        <f t="shared" si="2"/>
        <v/>
      </c>
      <c r="AH132" s="308"/>
      <c r="AI132" s="896" t="s">
        <v>369</v>
      </c>
      <c r="AJ132" s="897"/>
      <c r="AK132" s="897"/>
      <c r="AL132" s="897"/>
      <c r="AM132" s="897"/>
      <c r="AN132" s="363" t="s">
        <v>370</v>
      </c>
      <c r="AO132" s="317">
        <f t="shared" si="0"/>
        <v>0</v>
      </c>
      <c r="AP132" s="318"/>
      <c r="AQ132" s="308"/>
      <c r="AR132" s="911" t="s">
        <v>371</v>
      </c>
      <c r="AS132" s="912"/>
      <c r="AT132" s="912"/>
      <c r="AU132" s="912"/>
      <c r="AV132" s="912"/>
      <c r="AW132" s="364" t="s">
        <v>372</v>
      </c>
      <c r="AX132" s="317">
        <f t="shared" si="1"/>
        <v>0</v>
      </c>
      <c r="AY132" s="327"/>
      <c r="AZ132" s="308"/>
      <c r="BA132" s="311"/>
      <c r="BC132" s="328"/>
      <c r="BD132" s="328"/>
      <c r="BE132" s="329"/>
      <c r="BF132" s="329"/>
    </row>
    <row r="133" spans="1:58" ht="17.25" customHeight="1" thickBot="1" x14ac:dyDescent="0.3">
      <c r="A133" s="978" t="s">
        <v>22</v>
      </c>
      <c r="B133" s="979"/>
      <c r="C133" s="980"/>
      <c r="D133" s="351"/>
      <c r="E133" s="352" t="s">
        <v>367</v>
      </c>
      <c r="F133" s="365" t="s">
        <v>71</v>
      </c>
      <c r="G133" s="926">
        <f t="shared" si="3"/>
        <v>3</v>
      </c>
      <c r="H133" s="927"/>
      <c r="I133" s="928"/>
      <c r="J133" s="354">
        <v>0</v>
      </c>
      <c r="K133" s="355">
        <v>0</v>
      </c>
      <c r="L133" s="356">
        <f t="shared" si="7"/>
        <v>3</v>
      </c>
      <c r="M133" s="324"/>
      <c r="N133" s="978" t="s">
        <v>22</v>
      </c>
      <c r="O133" s="979"/>
      <c r="P133" s="980"/>
      <c r="Q133" s="351"/>
      <c r="R133" s="352" t="s">
        <v>367</v>
      </c>
      <c r="S133" s="365" t="s">
        <v>71</v>
      </c>
      <c r="T133" s="929">
        <f t="shared" si="4"/>
        <v>2</v>
      </c>
      <c r="U133" s="929"/>
      <c r="V133" s="929"/>
      <c r="W133" s="354">
        <v>0</v>
      </c>
      <c r="X133" s="355">
        <v>0</v>
      </c>
      <c r="Y133" s="356">
        <f t="shared" si="5"/>
        <v>2</v>
      </c>
      <c r="Z133" s="357">
        <f t="shared" si="6"/>
        <v>5</v>
      </c>
      <c r="AA133" s="324"/>
      <c r="AC133" s="330" t="s">
        <v>373</v>
      </c>
      <c r="AD133" s="366" t="s">
        <v>373</v>
      </c>
      <c r="AE133" s="332">
        <f>AO241</f>
        <v>0</v>
      </c>
      <c r="AF133" s="333" t="str">
        <f t="shared" si="2"/>
        <v/>
      </c>
      <c r="AH133" s="308"/>
      <c r="AI133" s="896" t="s">
        <v>374</v>
      </c>
      <c r="AJ133" s="897"/>
      <c r="AK133" s="897"/>
      <c r="AL133" s="897"/>
      <c r="AM133" s="897"/>
      <c r="AN133" s="367" t="s">
        <v>375</v>
      </c>
      <c r="AO133" s="317">
        <f t="shared" si="0"/>
        <v>0</v>
      </c>
      <c r="AP133" s="318"/>
      <c r="AQ133" s="308"/>
      <c r="AR133" s="911" t="s">
        <v>376</v>
      </c>
      <c r="AS133" s="912"/>
      <c r="AT133" s="912"/>
      <c r="AU133" s="912"/>
      <c r="AV133" s="912"/>
      <c r="AW133" s="368" t="s">
        <v>377</v>
      </c>
      <c r="AX133" s="317">
        <f t="shared" si="1"/>
        <v>0</v>
      </c>
      <c r="AY133" s="327"/>
      <c r="AZ133" s="308"/>
      <c r="BA133" s="311"/>
      <c r="BC133" s="344"/>
      <c r="BD133" s="344"/>
      <c r="BE133" s="369"/>
      <c r="BF133" s="369"/>
    </row>
    <row r="134" spans="1:58" ht="17.25" customHeight="1" thickBot="1" x14ac:dyDescent="0.3">
      <c r="A134" s="978" t="s">
        <v>73</v>
      </c>
      <c r="B134" s="979"/>
      <c r="C134" s="980"/>
      <c r="D134" s="351" t="s">
        <v>378</v>
      </c>
      <c r="E134" s="352" t="s">
        <v>367</v>
      </c>
      <c r="F134" s="370" t="s">
        <v>72</v>
      </c>
      <c r="G134" s="926">
        <f t="shared" si="3"/>
        <v>0</v>
      </c>
      <c r="H134" s="927"/>
      <c r="I134" s="928"/>
      <c r="J134" s="354">
        <v>0</v>
      </c>
      <c r="K134" s="355">
        <v>0</v>
      </c>
      <c r="L134" s="356">
        <f t="shared" si="7"/>
        <v>0</v>
      </c>
      <c r="M134" s="324"/>
      <c r="N134" s="978" t="s">
        <v>73</v>
      </c>
      <c r="O134" s="979"/>
      <c r="P134" s="980"/>
      <c r="Q134" s="351" t="s">
        <v>378</v>
      </c>
      <c r="R134" s="352" t="s">
        <v>367</v>
      </c>
      <c r="S134" s="370" t="s">
        <v>72</v>
      </c>
      <c r="T134" s="929">
        <f t="shared" si="4"/>
        <v>0</v>
      </c>
      <c r="U134" s="929"/>
      <c r="V134" s="929"/>
      <c r="W134" s="354">
        <v>0</v>
      </c>
      <c r="X134" s="355">
        <v>0</v>
      </c>
      <c r="Y134" s="356">
        <f t="shared" si="5"/>
        <v>0</v>
      </c>
      <c r="Z134" s="357">
        <f t="shared" si="6"/>
        <v>0</v>
      </c>
      <c r="AA134" s="324"/>
      <c r="AC134" s="330" t="s">
        <v>379</v>
      </c>
      <c r="AD134" s="371" t="s">
        <v>380</v>
      </c>
      <c r="AE134" s="332">
        <f>AO252</f>
        <v>0</v>
      </c>
      <c r="AF134" s="333" t="str">
        <f t="shared" si="2"/>
        <v/>
      </c>
      <c r="AH134" s="308"/>
      <c r="AI134" s="896" t="s">
        <v>381</v>
      </c>
      <c r="AJ134" s="897"/>
      <c r="AK134" s="897"/>
      <c r="AL134" s="897"/>
      <c r="AM134" s="897"/>
      <c r="AN134" s="372" t="s">
        <v>382</v>
      </c>
      <c r="AO134" s="317">
        <f t="shared" si="0"/>
        <v>0</v>
      </c>
      <c r="AP134" s="318"/>
      <c r="AQ134" s="308"/>
      <c r="AR134" s="911" t="s">
        <v>383</v>
      </c>
      <c r="AS134" s="912"/>
      <c r="AT134" s="912"/>
      <c r="AU134" s="912"/>
      <c r="AV134" s="912"/>
      <c r="AW134" s="373" t="s">
        <v>384</v>
      </c>
      <c r="AX134" s="317">
        <f t="shared" si="1"/>
        <v>0</v>
      </c>
      <c r="AY134" s="327"/>
      <c r="AZ134" s="308"/>
      <c r="BA134" s="311"/>
    </row>
    <row r="135" spans="1:58" ht="17.25" customHeight="1" thickBot="1" x14ac:dyDescent="0.3">
      <c r="A135" s="978" t="s">
        <v>45</v>
      </c>
      <c r="B135" s="979"/>
      <c r="C135" s="980"/>
      <c r="D135" s="351"/>
      <c r="E135" s="352" t="s">
        <v>367</v>
      </c>
      <c r="F135" s="374" t="s">
        <v>46</v>
      </c>
      <c r="G135" s="926">
        <f t="shared" si="3"/>
        <v>2</v>
      </c>
      <c r="H135" s="927"/>
      <c r="I135" s="928"/>
      <c r="J135" s="354">
        <v>0</v>
      </c>
      <c r="K135" s="355">
        <v>0</v>
      </c>
      <c r="L135" s="356">
        <f t="shared" si="7"/>
        <v>2</v>
      </c>
      <c r="M135" s="324"/>
      <c r="N135" s="978" t="s">
        <v>45</v>
      </c>
      <c r="O135" s="979"/>
      <c r="P135" s="980"/>
      <c r="Q135" s="351"/>
      <c r="R135" s="352" t="s">
        <v>367</v>
      </c>
      <c r="S135" s="374" t="s">
        <v>46</v>
      </c>
      <c r="T135" s="929">
        <f t="shared" si="4"/>
        <v>1</v>
      </c>
      <c r="U135" s="929"/>
      <c r="V135" s="929"/>
      <c r="W135" s="354">
        <v>0</v>
      </c>
      <c r="X135" s="355">
        <v>0</v>
      </c>
      <c r="Y135" s="356">
        <f t="shared" si="5"/>
        <v>1</v>
      </c>
      <c r="Z135" s="357">
        <f t="shared" si="6"/>
        <v>3</v>
      </c>
      <c r="AA135" s="324" t="b">
        <f>IFERROR(T137&gt;0.5,FALSE)</f>
        <v>1</v>
      </c>
      <c r="AC135" s="330" t="s">
        <v>385</v>
      </c>
      <c r="AD135" s="375" t="s">
        <v>386</v>
      </c>
      <c r="AE135" s="332">
        <f>AO308</f>
        <v>0</v>
      </c>
      <c r="AF135" s="333" t="str">
        <f t="shared" si="2"/>
        <v/>
      </c>
      <c r="AH135" s="308"/>
      <c r="AI135" s="896" t="s">
        <v>387</v>
      </c>
      <c r="AJ135" s="897"/>
      <c r="AK135" s="897"/>
      <c r="AL135" s="897"/>
      <c r="AM135" s="897"/>
      <c r="AN135" s="376" t="s">
        <v>388</v>
      </c>
      <c r="AO135" s="317">
        <f t="shared" si="0"/>
        <v>0</v>
      </c>
      <c r="AP135" s="318"/>
      <c r="AQ135" s="308"/>
      <c r="AR135" s="911" t="s">
        <v>389</v>
      </c>
      <c r="AS135" s="912"/>
      <c r="AT135" s="912"/>
      <c r="AU135" s="912"/>
      <c r="AV135" s="912"/>
      <c r="AW135" s="377" t="s">
        <v>390</v>
      </c>
      <c r="AX135" s="317">
        <f t="shared" si="1"/>
        <v>0</v>
      </c>
      <c r="AY135" s="327"/>
      <c r="AZ135" s="308"/>
      <c r="BA135" s="311"/>
    </row>
    <row r="136" spans="1:58" ht="17.25" customHeight="1" thickBot="1" x14ac:dyDescent="0.3">
      <c r="A136" s="978" t="s">
        <v>75</v>
      </c>
      <c r="B136" s="979"/>
      <c r="C136" s="980"/>
      <c r="D136" s="351" t="s">
        <v>137</v>
      </c>
      <c r="E136" s="352" t="s">
        <v>367</v>
      </c>
      <c r="F136" s="378" t="s">
        <v>74</v>
      </c>
      <c r="G136" s="926">
        <f t="shared" si="3"/>
        <v>0</v>
      </c>
      <c r="H136" s="927"/>
      <c r="I136" s="928"/>
      <c r="J136" s="354">
        <v>0</v>
      </c>
      <c r="K136" s="355">
        <v>0</v>
      </c>
      <c r="L136" s="356">
        <f t="shared" si="7"/>
        <v>0</v>
      </c>
      <c r="M136" s="324"/>
      <c r="N136" s="978" t="s">
        <v>75</v>
      </c>
      <c r="O136" s="979"/>
      <c r="P136" s="980"/>
      <c r="Q136" s="351" t="s">
        <v>137</v>
      </c>
      <c r="R136" s="352" t="s">
        <v>367</v>
      </c>
      <c r="S136" s="378" t="s">
        <v>74</v>
      </c>
      <c r="T136" s="929">
        <f t="shared" si="4"/>
        <v>0</v>
      </c>
      <c r="U136" s="929"/>
      <c r="V136" s="929"/>
      <c r="W136" s="354">
        <v>0</v>
      </c>
      <c r="X136" s="355">
        <v>0</v>
      </c>
      <c r="Y136" s="356">
        <f t="shared" si="5"/>
        <v>0</v>
      </c>
      <c r="Z136" s="357">
        <f t="shared" si="6"/>
        <v>0</v>
      </c>
      <c r="AA136" s="324" t="b">
        <f>IFERROR(T138&gt;0.5,FALSE)</f>
        <v>0</v>
      </c>
      <c r="AC136" s="330" t="s">
        <v>391</v>
      </c>
      <c r="AD136" s="379" t="s">
        <v>392</v>
      </c>
      <c r="AE136" s="332">
        <f>AO272</f>
        <v>0</v>
      </c>
      <c r="AF136" s="333" t="str">
        <f t="shared" si="2"/>
        <v/>
      </c>
      <c r="AH136" s="308"/>
      <c r="AI136" s="896" t="s">
        <v>393</v>
      </c>
      <c r="AJ136" s="897"/>
      <c r="AK136" s="897"/>
      <c r="AL136" s="897"/>
      <c r="AM136" s="897"/>
      <c r="AN136" s="380" t="s">
        <v>394</v>
      </c>
      <c r="AO136" s="317">
        <f t="shared" si="0"/>
        <v>0</v>
      </c>
      <c r="AP136" s="318"/>
      <c r="AQ136" s="308"/>
      <c r="AR136" s="911" t="s">
        <v>395</v>
      </c>
      <c r="AS136" s="912"/>
      <c r="AT136" s="912"/>
      <c r="AU136" s="912"/>
      <c r="AV136" s="912"/>
      <c r="AW136" s="381" t="s">
        <v>396</v>
      </c>
      <c r="AX136" s="317">
        <f t="shared" si="1"/>
        <v>0</v>
      </c>
      <c r="AY136" s="327"/>
      <c r="AZ136" s="308"/>
      <c r="BA136" s="311"/>
    </row>
    <row r="137" spans="1:58" ht="17.25" customHeight="1" thickBot="1" x14ac:dyDescent="0.3">
      <c r="A137" s="978" t="s">
        <v>8</v>
      </c>
      <c r="B137" s="979"/>
      <c r="C137" s="980"/>
      <c r="D137" s="351"/>
      <c r="E137" s="352" t="s">
        <v>367</v>
      </c>
      <c r="F137" s="382" t="s">
        <v>9</v>
      </c>
      <c r="G137" s="926">
        <f t="shared" si="3"/>
        <v>0</v>
      </c>
      <c r="H137" s="927"/>
      <c r="I137" s="928"/>
      <c r="J137" s="354">
        <v>0</v>
      </c>
      <c r="K137" s="355">
        <v>0</v>
      </c>
      <c r="L137" s="356">
        <f t="shared" si="7"/>
        <v>0</v>
      </c>
      <c r="M137" s="324"/>
      <c r="N137" s="978" t="s">
        <v>8</v>
      </c>
      <c r="O137" s="979"/>
      <c r="P137" s="980"/>
      <c r="Q137" s="351"/>
      <c r="R137" s="352" t="s">
        <v>367</v>
      </c>
      <c r="S137" s="382" t="s">
        <v>9</v>
      </c>
      <c r="T137" s="929">
        <f t="shared" si="4"/>
        <v>1</v>
      </c>
      <c r="U137" s="929"/>
      <c r="V137" s="929"/>
      <c r="W137" s="354">
        <v>0</v>
      </c>
      <c r="X137" s="355">
        <v>0</v>
      </c>
      <c r="Y137" s="356">
        <f t="shared" si="5"/>
        <v>1</v>
      </c>
      <c r="Z137" s="357">
        <f t="shared" si="6"/>
        <v>1</v>
      </c>
      <c r="AA137" s="324"/>
      <c r="AC137" s="330" t="s">
        <v>397</v>
      </c>
      <c r="AD137" s="383" t="s">
        <v>57</v>
      </c>
      <c r="AE137" s="332">
        <f>AX265</f>
        <v>0</v>
      </c>
      <c r="AF137" s="333" t="str">
        <f t="shared" si="2"/>
        <v/>
      </c>
      <c r="AH137" s="308"/>
      <c r="AI137" s="896" t="s">
        <v>398</v>
      </c>
      <c r="AJ137" s="897"/>
      <c r="AK137" s="897"/>
      <c r="AL137" s="897"/>
      <c r="AM137" s="897"/>
      <c r="AN137" s="384" t="s">
        <v>399</v>
      </c>
      <c r="AO137" s="317">
        <f t="shared" si="0"/>
        <v>0</v>
      </c>
      <c r="AP137" s="318"/>
      <c r="AQ137" s="308"/>
      <c r="AR137" s="911" t="s">
        <v>400</v>
      </c>
      <c r="AS137" s="912"/>
      <c r="AT137" s="912"/>
      <c r="AU137" s="912"/>
      <c r="AV137" s="912"/>
      <c r="AW137" s="385" t="s">
        <v>401</v>
      </c>
      <c r="AX137" s="317">
        <f t="shared" si="1"/>
        <v>0</v>
      </c>
      <c r="AY137" s="327"/>
      <c r="AZ137" s="308"/>
      <c r="BA137" s="311"/>
    </row>
    <row r="138" spans="1:58" ht="17.25" customHeight="1" thickBot="1" x14ac:dyDescent="0.3">
      <c r="A138" s="978" t="s">
        <v>15</v>
      </c>
      <c r="B138" s="979"/>
      <c r="C138" s="980"/>
      <c r="D138" s="351"/>
      <c r="E138" s="352"/>
      <c r="F138" s="386" t="s">
        <v>14</v>
      </c>
      <c r="G138" s="926">
        <f t="shared" si="3"/>
        <v>0</v>
      </c>
      <c r="H138" s="927"/>
      <c r="I138" s="928"/>
      <c r="J138" s="354">
        <v>0</v>
      </c>
      <c r="K138" s="355">
        <v>0</v>
      </c>
      <c r="L138" s="356">
        <f t="shared" si="7"/>
        <v>0</v>
      </c>
      <c r="M138" s="324"/>
      <c r="N138" s="978" t="s">
        <v>15</v>
      </c>
      <c r="O138" s="979"/>
      <c r="P138" s="980"/>
      <c r="Q138" s="351"/>
      <c r="R138" s="352"/>
      <c r="S138" s="386" t="s">
        <v>14</v>
      </c>
      <c r="T138" s="929">
        <f t="shared" si="4"/>
        <v>0</v>
      </c>
      <c r="U138" s="929"/>
      <c r="V138" s="929"/>
      <c r="W138" s="354">
        <v>0</v>
      </c>
      <c r="X138" s="355">
        <v>0</v>
      </c>
      <c r="Y138" s="356">
        <f t="shared" si="5"/>
        <v>0</v>
      </c>
      <c r="Z138" s="357">
        <f t="shared" si="6"/>
        <v>0</v>
      </c>
      <c r="AA138" s="324"/>
      <c r="AC138" s="330" t="s">
        <v>402</v>
      </c>
      <c r="AD138" s="387" t="s">
        <v>402</v>
      </c>
      <c r="AE138" s="332">
        <f>AX270</f>
        <v>0</v>
      </c>
      <c r="AF138" s="333" t="str">
        <f t="shared" si="2"/>
        <v/>
      </c>
      <c r="AH138" s="308"/>
      <c r="AI138" s="896" t="s">
        <v>403</v>
      </c>
      <c r="AJ138" s="897"/>
      <c r="AK138" s="897"/>
      <c r="AL138" s="897"/>
      <c r="AM138" s="897"/>
      <c r="AN138" s="384" t="s">
        <v>404</v>
      </c>
      <c r="AO138" s="317">
        <f t="shared" si="0"/>
        <v>0</v>
      </c>
      <c r="AP138" s="318"/>
      <c r="AQ138" s="308"/>
      <c r="AR138" s="911" t="s">
        <v>405</v>
      </c>
      <c r="AS138" s="912"/>
      <c r="AT138" s="912"/>
      <c r="AU138" s="912"/>
      <c r="AV138" s="912"/>
      <c r="AW138" s="388" t="s">
        <v>406</v>
      </c>
      <c r="AX138" s="317">
        <f t="shared" si="1"/>
        <v>0</v>
      </c>
      <c r="AY138" s="327"/>
      <c r="AZ138" s="308"/>
      <c r="BA138" s="311"/>
    </row>
    <row r="139" spans="1:58" ht="17.25" customHeight="1" thickBot="1" x14ac:dyDescent="0.3">
      <c r="A139" s="978" t="s">
        <v>29</v>
      </c>
      <c r="B139" s="979"/>
      <c r="C139" s="980"/>
      <c r="D139" s="351"/>
      <c r="E139" s="352"/>
      <c r="F139" s="389" t="s">
        <v>26</v>
      </c>
      <c r="G139" s="926">
        <f t="shared" si="3"/>
        <v>1</v>
      </c>
      <c r="H139" s="927"/>
      <c r="I139" s="928"/>
      <c r="J139" s="354">
        <v>0</v>
      </c>
      <c r="K139" s="355">
        <v>0</v>
      </c>
      <c r="L139" s="356">
        <f t="shared" si="7"/>
        <v>1</v>
      </c>
      <c r="M139" s="324"/>
      <c r="N139" s="978" t="s">
        <v>29</v>
      </c>
      <c r="O139" s="979"/>
      <c r="P139" s="980"/>
      <c r="Q139" s="351"/>
      <c r="R139" s="352"/>
      <c r="S139" s="389" t="s">
        <v>26</v>
      </c>
      <c r="T139" s="929">
        <f t="shared" si="4"/>
        <v>0</v>
      </c>
      <c r="U139" s="929"/>
      <c r="V139" s="929"/>
      <c r="W139" s="354">
        <v>0</v>
      </c>
      <c r="X139" s="355">
        <v>0</v>
      </c>
      <c r="Y139" s="356">
        <f t="shared" si="5"/>
        <v>0</v>
      </c>
      <c r="Z139" s="357">
        <f t="shared" si="6"/>
        <v>1</v>
      </c>
      <c r="AA139" s="324"/>
      <c r="AC139" s="390" t="s">
        <v>407</v>
      </c>
      <c r="AD139" s="391" t="s">
        <v>408</v>
      </c>
      <c r="AE139" s="332">
        <f>AX283</f>
        <v>0</v>
      </c>
      <c r="AF139" s="333" t="str">
        <f t="shared" si="2"/>
        <v/>
      </c>
      <c r="AH139" s="308"/>
      <c r="AI139" s="896" t="s">
        <v>409</v>
      </c>
      <c r="AJ139" s="897"/>
      <c r="AK139" s="897"/>
      <c r="AL139" s="897"/>
      <c r="AM139" s="897"/>
      <c r="AN139" s="392" t="s">
        <v>410</v>
      </c>
      <c r="AO139" s="317">
        <f t="shared" si="0"/>
        <v>0</v>
      </c>
      <c r="AP139" s="318"/>
      <c r="AQ139" s="308"/>
      <c r="AR139" s="911" t="s">
        <v>411</v>
      </c>
      <c r="AS139" s="912"/>
      <c r="AT139" s="912"/>
      <c r="AU139" s="912"/>
      <c r="AV139" s="912"/>
      <c r="AW139" s="393" t="s">
        <v>412</v>
      </c>
      <c r="AX139" s="317">
        <f t="shared" si="1"/>
        <v>0</v>
      </c>
      <c r="AY139" s="327"/>
      <c r="AZ139" s="308"/>
      <c r="BA139" s="311"/>
    </row>
    <row r="140" spans="1:58" ht="17.25" customHeight="1" x14ac:dyDescent="0.25">
      <c r="A140" s="978" t="s">
        <v>77</v>
      </c>
      <c r="B140" s="979"/>
      <c r="C140" s="980"/>
      <c r="D140" s="351"/>
      <c r="E140" s="352" t="s">
        <v>367</v>
      </c>
      <c r="F140" s="2" t="s">
        <v>76</v>
      </c>
      <c r="G140" s="926">
        <f t="shared" si="3"/>
        <v>0</v>
      </c>
      <c r="H140" s="927"/>
      <c r="I140" s="928"/>
      <c r="J140" s="354">
        <v>0</v>
      </c>
      <c r="K140" s="355">
        <v>0</v>
      </c>
      <c r="L140" s="356">
        <f t="shared" si="7"/>
        <v>0</v>
      </c>
      <c r="M140" s="324"/>
      <c r="N140" s="978" t="s">
        <v>77</v>
      </c>
      <c r="O140" s="979"/>
      <c r="P140" s="980"/>
      <c r="Q140" s="351"/>
      <c r="R140" s="352" t="s">
        <v>367</v>
      </c>
      <c r="S140" s="2" t="s">
        <v>76</v>
      </c>
      <c r="T140" s="929">
        <f t="shared" si="4"/>
        <v>0</v>
      </c>
      <c r="U140" s="929"/>
      <c r="V140" s="929"/>
      <c r="W140" s="354">
        <v>0</v>
      </c>
      <c r="X140" s="355">
        <v>0</v>
      </c>
      <c r="Y140" s="356">
        <f t="shared" si="5"/>
        <v>0</v>
      </c>
      <c r="Z140" s="357">
        <f t="shared" si="6"/>
        <v>0</v>
      </c>
      <c r="AA140" s="324"/>
      <c r="AC140" s="390" t="s">
        <v>413</v>
      </c>
      <c r="AD140" s="394" t="s">
        <v>414</v>
      </c>
      <c r="AE140" s="332" t="s">
        <v>415</v>
      </c>
      <c r="AF140" s="333" t="str">
        <f t="shared" si="2"/>
        <v/>
      </c>
      <c r="AH140" s="308"/>
      <c r="AI140" s="896" t="s">
        <v>416</v>
      </c>
      <c r="AJ140" s="897"/>
      <c r="AK140" s="897"/>
      <c r="AL140" s="897"/>
      <c r="AM140" s="897"/>
      <c r="AN140" s="395" t="s">
        <v>417</v>
      </c>
      <c r="AO140" s="317">
        <f t="shared" si="0"/>
        <v>0</v>
      </c>
      <c r="AP140" s="318"/>
      <c r="AQ140" s="308"/>
      <c r="AR140" s="911" t="s">
        <v>418</v>
      </c>
      <c r="AS140" s="912"/>
      <c r="AT140" s="912"/>
      <c r="AU140" s="912"/>
      <c r="AV140" s="912"/>
      <c r="AW140" s="396" t="s">
        <v>419</v>
      </c>
      <c r="AX140" s="317">
        <f t="shared" si="1"/>
        <v>0</v>
      </c>
      <c r="AY140" s="327"/>
      <c r="AZ140" s="308"/>
      <c r="BA140" s="311"/>
    </row>
    <row r="141" spans="1:58" ht="17.25" customHeight="1" thickBot="1" x14ac:dyDescent="0.3">
      <c r="A141" s="978" t="s">
        <v>79</v>
      </c>
      <c r="B141" s="979"/>
      <c r="C141" s="980"/>
      <c r="D141" s="351"/>
      <c r="E141" s="352" t="s">
        <v>367</v>
      </c>
      <c r="F141" s="397" t="s">
        <v>78</v>
      </c>
      <c r="G141" s="926">
        <f t="shared" si="3"/>
        <v>0</v>
      </c>
      <c r="H141" s="927"/>
      <c r="I141" s="928"/>
      <c r="J141" s="354">
        <v>0</v>
      </c>
      <c r="K141" s="355">
        <v>0</v>
      </c>
      <c r="L141" s="356">
        <f t="shared" si="7"/>
        <v>0</v>
      </c>
      <c r="M141" s="324"/>
      <c r="N141" s="978" t="s">
        <v>79</v>
      </c>
      <c r="O141" s="979"/>
      <c r="P141" s="980"/>
      <c r="Q141" s="351"/>
      <c r="R141" s="352" t="s">
        <v>367</v>
      </c>
      <c r="S141" s="397" t="s">
        <v>78</v>
      </c>
      <c r="T141" s="929">
        <f t="shared" si="4"/>
        <v>0</v>
      </c>
      <c r="U141" s="929"/>
      <c r="V141" s="929"/>
      <c r="W141" s="354">
        <v>0</v>
      </c>
      <c r="X141" s="355">
        <v>0</v>
      </c>
      <c r="Y141" s="356">
        <f t="shared" si="5"/>
        <v>0</v>
      </c>
      <c r="Z141" s="357">
        <f t="shared" si="6"/>
        <v>0</v>
      </c>
      <c r="AA141" s="324"/>
      <c r="AC141" s="390" t="s">
        <v>420</v>
      </c>
      <c r="AD141" s="398" t="s">
        <v>421</v>
      </c>
      <c r="AE141" s="332">
        <f>AX287</f>
        <v>0</v>
      </c>
      <c r="AF141" s="333" t="str">
        <f t="shared" si="2"/>
        <v/>
      </c>
      <c r="AH141" s="308"/>
      <c r="AI141" s="896" t="s">
        <v>422</v>
      </c>
      <c r="AJ141" s="897"/>
      <c r="AK141" s="897"/>
      <c r="AL141" s="897"/>
      <c r="AM141" s="897"/>
      <c r="AN141" s="399" t="s">
        <v>423</v>
      </c>
      <c r="AO141" s="317">
        <f t="shared" si="0"/>
        <v>0</v>
      </c>
      <c r="AP141" s="318"/>
      <c r="AQ141" s="308"/>
      <c r="AR141" s="911" t="s">
        <v>424</v>
      </c>
      <c r="AS141" s="912"/>
      <c r="AT141" s="912"/>
      <c r="AU141" s="912"/>
      <c r="AV141" s="912"/>
      <c r="AW141" s="400" t="s">
        <v>425</v>
      </c>
      <c r="AX141" s="317">
        <f t="shared" si="1"/>
        <v>0</v>
      </c>
      <c r="AY141" s="327"/>
      <c r="AZ141" s="308"/>
      <c r="BA141" s="311"/>
    </row>
    <row r="142" spans="1:58" ht="17.25" customHeight="1" thickBot="1" x14ac:dyDescent="0.3">
      <c r="A142" s="978" t="s">
        <v>80</v>
      </c>
      <c r="B142" s="979"/>
      <c r="C142" s="980"/>
      <c r="D142" s="351"/>
      <c r="E142" s="352"/>
      <c r="F142" s="401" t="s">
        <v>115</v>
      </c>
      <c r="G142" s="926">
        <f t="shared" si="3"/>
        <v>0</v>
      </c>
      <c r="H142" s="927"/>
      <c r="I142" s="928"/>
      <c r="J142" s="354">
        <v>0</v>
      </c>
      <c r="K142" s="355">
        <v>0</v>
      </c>
      <c r="L142" s="356">
        <f t="shared" si="7"/>
        <v>0</v>
      </c>
      <c r="M142" s="324"/>
      <c r="N142" s="978" t="s">
        <v>80</v>
      </c>
      <c r="O142" s="979"/>
      <c r="P142" s="980"/>
      <c r="Q142" s="351"/>
      <c r="R142" s="352"/>
      <c r="S142" s="401" t="s">
        <v>115</v>
      </c>
      <c r="T142" s="929">
        <f t="shared" si="4"/>
        <v>0</v>
      </c>
      <c r="U142" s="929"/>
      <c r="V142" s="929"/>
      <c r="W142" s="354">
        <v>0</v>
      </c>
      <c r="X142" s="355">
        <v>0</v>
      </c>
      <c r="Y142" s="356">
        <f t="shared" si="5"/>
        <v>0</v>
      </c>
      <c r="Z142" s="357">
        <f t="shared" si="6"/>
        <v>0</v>
      </c>
      <c r="AA142" s="324"/>
      <c r="AC142" s="390" t="s">
        <v>426</v>
      </c>
      <c r="AD142" s="402" t="s">
        <v>427</v>
      </c>
      <c r="AE142" s="332">
        <f>AO290</f>
        <v>0</v>
      </c>
      <c r="AF142" s="333" t="str">
        <f t="shared" si="2"/>
        <v/>
      </c>
      <c r="AH142" s="308"/>
      <c r="AI142" s="896" t="s">
        <v>428</v>
      </c>
      <c r="AJ142" s="897"/>
      <c r="AK142" s="897"/>
      <c r="AL142" s="897"/>
      <c r="AM142" s="897"/>
      <c r="AN142" s="403" t="s">
        <v>429</v>
      </c>
      <c r="AO142" s="317">
        <f t="shared" si="0"/>
        <v>0</v>
      </c>
      <c r="AP142" s="318"/>
      <c r="AQ142" s="308"/>
      <c r="AR142" s="911" t="s">
        <v>430</v>
      </c>
      <c r="AS142" s="912"/>
      <c r="AT142" s="912"/>
      <c r="AU142" s="912"/>
      <c r="AV142" s="912"/>
      <c r="AW142" s="404" t="s">
        <v>431</v>
      </c>
      <c r="AX142" s="317">
        <f t="shared" si="1"/>
        <v>0</v>
      </c>
      <c r="AY142" s="327"/>
      <c r="AZ142" s="308"/>
      <c r="BA142" s="311"/>
    </row>
    <row r="143" spans="1:58" ht="17.25" customHeight="1" thickBot="1" x14ac:dyDescent="0.3">
      <c r="A143" s="978" t="s">
        <v>36</v>
      </c>
      <c r="B143" s="979"/>
      <c r="C143" s="980"/>
      <c r="D143" s="351"/>
      <c r="E143" s="352" t="s">
        <v>367</v>
      </c>
      <c r="F143" s="405" t="s">
        <v>37</v>
      </c>
      <c r="G143" s="926">
        <f t="shared" si="3"/>
        <v>0</v>
      </c>
      <c r="H143" s="927"/>
      <c r="I143" s="928"/>
      <c r="J143" s="354">
        <v>0</v>
      </c>
      <c r="K143" s="355">
        <v>0</v>
      </c>
      <c r="L143" s="356">
        <f t="shared" si="7"/>
        <v>0</v>
      </c>
      <c r="M143" s="324"/>
      <c r="N143" s="978" t="s">
        <v>36</v>
      </c>
      <c r="O143" s="979"/>
      <c r="P143" s="980"/>
      <c r="Q143" s="351"/>
      <c r="R143" s="352" t="s">
        <v>367</v>
      </c>
      <c r="S143" s="405" t="s">
        <v>37</v>
      </c>
      <c r="T143" s="929">
        <f t="shared" si="4"/>
        <v>0</v>
      </c>
      <c r="U143" s="929"/>
      <c r="V143" s="929"/>
      <c r="W143" s="354">
        <v>0</v>
      </c>
      <c r="X143" s="355">
        <v>0</v>
      </c>
      <c r="Y143" s="356">
        <f t="shared" si="5"/>
        <v>0</v>
      </c>
      <c r="Z143" s="357">
        <f t="shared" si="6"/>
        <v>0</v>
      </c>
      <c r="AA143" s="324"/>
      <c r="AC143" s="390" t="s">
        <v>321</v>
      </c>
      <c r="AD143" s="406" t="s">
        <v>432</v>
      </c>
      <c r="AE143" s="332">
        <f>AX167</f>
        <v>0</v>
      </c>
      <c r="AF143" s="333" t="str">
        <f t="shared" si="2"/>
        <v/>
      </c>
      <c r="AH143" s="308"/>
      <c r="AI143" s="896" t="s">
        <v>433</v>
      </c>
      <c r="AJ143" s="897"/>
      <c r="AK143" s="897"/>
      <c r="AL143" s="897"/>
      <c r="AM143" s="897"/>
      <c r="AN143" s="407" t="s">
        <v>434</v>
      </c>
      <c r="AO143" s="317">
        <f t="shared" si="0"/>
        <v>0</v>
      </c>
      <c r="AP143" s="318"/>
      <c r="AQ143" s="308"/>
      <c r="AR143" s="911" t="s">
        <v>435</v>
      </c>
      <c r="AS143" s="912"/>
      <c r="AT143" s="912"/>
      <c r="AU143" s="912"/>
      <c r="AV143" s="912"/>
      <c r="AW143" s="404" t="s">
        <v>436</v>
      </c>
      <c r="AX143" s="317">
        <f t="shared" si="1"/>
        <v>0</v>
      </c>
      <c r="AY143" s="327"/>
      <c r="AZ143" s="308"/>
      <c r="BA143" s="311"/>
    </row>
    <row r="144" spans="1:58" ht="17.25" customHeight="1" x14ac:dyDescent="0.25">
      <c r="A144" s="978" t="s">
        <v>43</v>
      </c>
      <c r="B144" s="979"/>
      <c r="C144" s="980"/>
      <c r="D144" s="351"/>
      <c r="E144" s="352"/>
      <c r="F144" s="408" t="s">
        <v>44</v>
      </c>
      <c r="G144" s="926">
        <f t="shared" si="3"/>
        <v>0</v>
      </c>
      <c r="H144" s="927"/>
      <c r="I144" s="928"/>
      <c r="J144" s="354">
        <v>0</v>
      </c>
      <c r="K144" s="355">
        <v>0</v>
      </c>
      <c r="L144" s="356">
        <f t="shared" si="7"/>
        <v>0</v>
      </c>
      <c r="M144" s="324"/>
      <c r="N144" s="978" t="s">
        <v>43</v>
      </c>
      <c r="O144" s="979"/>
      <c r="P144" s="980"/>
      <c r="Q144" s="351"/>
      <c r="R144" s="352"/>
      <c r="S144" s="408" t="s">
        <v>44</v>
      </c>
      <c r="T144" s="929">
        <f t="shared" si="4"/>
        <v>0</v>
      </c>
      <c r="U144" s="929"/>
      <c r="V144" s="929"/>
      <c r="W144" s="354">
        <v>0</v>
      </c>
      <c r="X144" s="355">
        <v>0</v>
      </c>
      <c r="Y144" s="356">
        <f t="shared" si="5"/>
        <v>0</v>
      </c>
      <c r="Z144" s="357">
        <f t="shared" si="6"/>
        <v>0</v>
      </c>
      <c r="AA144" s="324"/>
      <c r="AC144" s="409" t="s">
        <v>166</v>
      </c>
      <c r="AD144" s="410" t="s">
        <v>437</v>
      </c>
      <c r="AE144" s="332">
        <f t="shared" ref="AE144" si="8">COUNTIF($P$1:$Q$1,AD144)</f>
        <v>0</v>
      </c>
      <c r="AF144" s="333" t="str">
        <f t="shared" si="2"/>
        <v/>
      </c>
      <c r="AH144" s="308"/>
      <c r="AI144" s="896" t="s">
        <v>438</v>
      </c>
      <c r="AJ144" s="897"/>
      <c r="AK144" s="897"/>
      <c r="AL144" s="897"/>
      <c r="AM144" s="897"/>
      <c r="AN144" s="411" t="s">
        <v>439</v>
      </c>
      <c r="AO144" s="317">
        <f t="shared" si="0"/>
        <v>0</v>
      </c>
      <c r="AP144" s="318"/>
      <c r="AQ144" s="308"/>
      <c r="AR144" s="911" t="s">
        <v>440</v>
      </c>
      <c r="AS144" s="912"/>
      <c r="AT144" s="912"/>
      <c r="AU144" s="912"/>
      <c r="AV144" s="912"/>
      <c r="AW144" s="412" t="s">
        <v>441</v>
      </c>
      <c r="AX144" s="317">
        <f t="shared" si="1"/>
        <v>0</v>
      </c>
      <c r="AY144" s="327"/>
      <c r="AZ144" s="308"/>
      <c r="BA144" s="311"/>
      <c r="BB144" s="308"/>
      <c r="BC144" s="308"/>
      <c r="BD144" s="308"/>
      <c r="BE144" s="308"/>
      <c r="BF144" s="308"/>
    </row>
    <row r="145" spans="1:58" ht="17.25" customHeight="1" thickBot="1" x14ac:dyDescent="0.3">
      <c r="A145" s="978" t="s">
        <v>16</v>
      </c>
      <c r="B145" s="979"/>
      <c r="C145" s="980"/>
      <c r="D145" s="351"/>
      <c r="E145" s="352"/>
      <c r="F145" s="413" t="s">
        <v>7</v>
      </c>
      <c r="G145" s="926">
        <f t="shared" si="3"/>
        <v>0</v>
      </c>
      <c r="H145" s="927"/>
      <c r="I145" s="928"/>
      <c r="J145" s="354">
        <v>0</v>
      </c>
      <c r="K145" s="355">
        <v>0</v>
      </c>
      <c r="L145" s="356">
        <f t="shared" si="7"/>
        <v>0</v>
      </c>
      <c r="M145" s="324"/>
      <c r="N145" s="978" t="s">
        <v>16</v>
      </c>
      <c r="O145" s="979"/>
      <c r="P145" s="980"/>
      <c r="Q145" s="351"/>
      <c r="R145" s="352"/>
      <c r="S145" s="413" t="s">
        <v>7</v>
      </c>
      <c r="T145" s="929">
        <f t="shared" si="4"/>
        <v>0</v>
      </c>
      <c r="U145" s="929"/>
      <c r="V145" s="929"/>
      <c r="W145" s="354">
        <v>0</v>
      </c>
      <c r="X145" s="355">
        <v>0</v>
      </c>
      <c r="Y145" s="356">
        <f t="shared" si="5"/>
        <v>0</v>
      </c>
      <c r="Z145" s="357">
        <f t="shared" si="6"/>
        <v>0</v>
      </c>
      <c r="AA145" s="324"/>
      <c r="AC145" s="390" t="s">
        <v>442</v>
      </c>
      <c r="AD145" s="414" t="s">
        <v>443</v>
      </c>
      <c r="AE145" s="332">
        <f>COUNTIF($P$1:$Q$1,AD145)</f>
        <v>0</v>
      </c>
      <c r="AF145" s="333" t="str">
        <f t="shared" si="2"/>
        <v/>
      </c>
      <c r="AH145" s="308"/>
      <c r="AI145" s="896" t="s">
        <v>444</v>
      </c>
      <c r="AJ145" s="897"/>
      <c r="AK145" s="897"/>
      <c r="AL145" s="897"/>
      <c r="AM145" s="897"/>
      <c r="AN145" s="415" t="s">
        <v>445</v>
      </c>
      <c r="AO145" s="317">
        <f t="shared" si="0"/>
        <v>0</v>
      </c>
      <c r="AP145" s="318"/>
      <c r="AQ145" s="308"/>
      <c r="AR145" s="911" t="s">
        <v>446</v>
      </c>
      <c r="AS145" s="912"/>
      <c r="AT145" s="912"/>
      <c r="AU145" s="912"/>
      <c r="AV145" s="912"/>
      <c r="AW145" s="416" t="s">
        <v>447</v>
      </c>
      <c r="AX145" s="317">
        <f t="shared" si="1"/>
        <v>0</v>
      </c>
      <c r="AY145" s="327"/>
      <c r="AZ145" s="308"/>
      <c r="BA145" s="311"/>
      <c r="BB145" s="308"/>
      <c r="BC145" s="308"/>
      <c r="BD145" s="308"/>
      <c r="BE145" s="308"/>
      <c r="BF145" s="308"/>
    </row>
    <row r="146" spans="1:58" ht="17.25" customHeight="1" thickBot="1" x14ac:dyDescent="0.3">
      <c r="A146" s="978" t="s">
        <v>21</v>
      </c>
      <c r="B146" s="979"/>
      <c r="C146" s="980"/>
      <c r="D146" s="351"/>
      <c r="E146" s="352"/>
      <c r="F146" s="417" t="s">
        <v>11</v>
      </c>
      <c r="G146" s="926">
        <f t="shared" si="3"/>
        <v>0</v>
      </c>
      <c r="H146" s="927"/>
      <c r="I146" s="928"/>
      <c r="J146" s="354">
        <v>0</v>
      </c>
      <c r="K146" s="355">
        <v>0</v>
      </c>
      <c r="L146" s="356">
        <f t="shared" si="7"/>
        <v>0</v>
      </c>
      <c r="M146" s="324"/>
      <c r="N146" s="978" t="s">
        <v>21</v>
      </c>
      <c r="O146" s="979"/>
      <c r="P146" s="980"/>
      <c r="Q146" s="351"/>
      <c r="R146" s="352"/>
      <c r="S146" s="417" t="s">
        <v>11</v>
      </c>
      <c r="T146" s="929">
        <f t="shared" si="4"/>
        <v>2</v>
      </c>
      <c r="U146" s="929"/>
      <c r="V146" s="929"/>
      <c r="W146" s="354">
        <v>0</v>
      </c>
      <c r="X146" s="355">
        <v>0</v>
      </c>
      <c r="Y146" s="356">
        <f t="shared" si="5"/>
        <v>2</v>
      </c>
      <c r="Z146" s="357">
        <f t="shared" si="6"/>
        <v>2</v>
      </c>
      <c r="AA146" s="324"/>
      <c r="AC146" s="390" t="s">
        <v>448</v>
      </c>
      <c r="AD146" s="418" t="s">
        <v>449</v>
      </c>
      <c r="AE146" s="332">
        <f>AO303</f>
        <v>0</v>
      </c>
      <c r="AF146" s="333" t="str">
        <f t="shared" si="2"/>
        <v/>
      </c>
      <c r="AH146" s="308"/>
      <c r="AI146" s="896" t="s">
        <v>450</v>
      </c>
      <c r="AJ146" s="897"/>
      <c r="AK146" s="897"/>
      <c r="AL146" s="897"/>
      <c r="AM146" s="897"/>
      <c r="AN146" s="419" t="s">
        <v>451</v>
      </c>
      <c r="AO146" s="317">
        <f t="shared" si="0"/>
        <v>0</v>
      </c>
      <c r="AP146" s="318"/>
      <c r="AQ146" s="308"/>
      <c r="AR146" s="911" t="s">
        <v>452</v>
      </c>
      <c r="AS146" s="912"/>
      <c r="AT146" s="912"/>
      <c r="AU146" s="912"/>
      <c r="AV146" s="912"/>
      <c r="AW146" s="420" t="s">
        <v>453</v>
      </c>
      <c r="AX146" s="317">
        <f t="shared" si="1"/>
        <v>0</v>
      </c>
      <c r="AY146" s="327"/>
      <c r="AZ146" s="308"/>
      <c r="BA146" s="311"/>
    </row>
    <row r="147" spans="1:58" ht="17.25" customHeight="1" thickBot="1" x14ac:dyDescent="0.3">
      <c r="A147" s="978" t="s">
        <v>81</v>
      </c>
      <c r="B147" s="979"/>
      <c r="C147" s="980"/>
      <c r="D147" s="351"/>
      <c r="E147" s="352" t="s">
        <v>367</v>
      </c>
      <c r="F147" s="421" t="s">
        <v>35</v>
      </c>
      <c r="G147" s="926">
        <f t="shared" si="3"/>
        <v>0</v>
      </c>
      <c r="H147" s="927"/>
      <c r="I147" s="928"/>
      <c r="J147" s="354">
        <v>0</v>
      </c>
      <c r="K147" s="355">
        <v>0</v>
      </c>
      <c r="L147" s="356">
        <f t="shared" si="7"/>
        <v>0</v>
      </c>
      <c r="M147" s="324"/>
      <c r="N147" s="978" t="s">
        <v>81</v>
      </c>
      <c r="O147" s="979"/>
      <c r="P147" s="980"/>
      <c r="Q147" s="351"/>
      <c r="R147" s="352" t="s">
        <v>367</v>
      </c>
      <c r="S147" s="421" t="s">
        <v>35</v>
      </c>
      <c r="T147" s="929">
        <f t="shared" si="4"/>
        <v>0</v>
      </c>
      <c r="U147" s="929"/>
      <c r="V147" s="929"/>
      <c r="W147" s="354">
        <v>0</v>
      </c>
      <c r="X147" s="355">
        <v>0</v>
      </c>
      <c r="Y147" s="356">
        <f t="shared" si="5"/>
        <v>0</v>
      </c>
      <c r="Z147" s="357">
        <f t="shared" si="6"/>
        <v>0</v>
      </c>
      <c r="AA147" s="324"/>
      <c r="AC147" s="390" t="s">
        <v>454</v>
      </c>
      <c r="AD147" s="422" t="s">
        <v>455</v>
      </c>
      <c r="AE147" s="332">
        <f>AX295</f>
        <v>0</v>
      </c>
      <c r="AF147" s="333" t="str">
        <f t="shared" si="2"/>
        <v/>
      </c>
      <c r="AH147" s="308"/>
      <c r="AI147" s="896" t="s">
        <v>456</v>
      </c>
      <c r="AJ147" s="897"/>
      <c r="AK147" s="897"/>
      <c r="AL147" s="897"/>
      <c r="AM147" s="897"/>
      <c r="AN147" s="423" t="s">
        <v>457</v>
      </c>
      <c r="AO147" s="317">
        <f t="shared" si="0"/>
        <v>0</v>
      </c>
      <c r="AP147" s="318"/>
      <c r="AQ147" s="308"/>
      <c r="AR147" s="911" t="s">
        <v>458</v>
      </c>
      <c r="AS147" s="912"/>
      <c r="AT147" s="912"/>
      <c r="AU147" s="912"/>
      <c r="AV147" s="912"/>
      <c r="AW147" s="381" t="s">
        <v>459</v>
      </c>
      <c r="AX147" s="317">
        <f t="shared" si="1"/>
        <v>0</v>
      </c>
      <c r="AY147" s="327"/>
      <c r="AZ147" s="308"/>
      <c r="BA147" s="311"/>
    </row>
    <row r="148" spans="1:58" ht="17.25" customHeight="1" thickBot="1" x14ac:dyDescent="0.3">
      <c r="A148" s="978" t="s">
        <v>12</v>
      </c>
      <c r="B148" s="979"/>
      <c r="C148" s="980"/>
      <c r="D148" s="351"/>
      <c r="E148" s="352"/>
      <c r="F148" s="424" t="s">
        <v>13</v>
      </c>
      <c r="G148" s="926">
        <f t="shared" si="3"/>
        <v>0</v>
      </c>
      <c r="H148" s="927"/>
      <c r="I148" s="928"/>
      <c r="J148" s="354">
        <v>0</v>
      </c>
      <c r="K148" s="355">
        <v>0</v>
      </c>
      <c r="L148" s="356">
        <f t="shared" si="7"/>
        <v>0</v>
      </c>
      <c r="M148" s="324"/>
      <c r="N148" s="978" t="s">
        <v>12</v>
      </c>
      <c r="O148" s="979"/>
      <c r="P148" s="980"/>
      <c r="Q148" s="351"/>
      <c r="R148" s="352"/>
      <c r="S148" s="424" t="s">
        <v>13</v>
      </c>
      <c r="T148" s="929">
        <f t="shared" si="4"/>
        <v>0</v>
      </c>
      <c r="U148" s="929"/>
      <c r="V148" s="929"/>
      <c r="W148" s="354">
        <v>0</v>
      </c>
      <c r="X148" s="355">
        <v>0</v>
      </c>
      <c r="Y148" s="356">
        <f t="shared" si="5"/>
        <v>0</v>
      </c>
      <c r="Z148" s="357">
        <f t="shared" si="6"/>
        <v>0</v>
      </c>
      <c r="AA148" s="324"/>
      <c r="AC148" s="390" t="s">
        <v>460</v>
      </c>
      <c r="AD148" s="425" t="s">
        <v>461</v>
      </c>
      <c r="AE148" s="332">
        <f>AO285</f>
        <v>0</v>
      </c>
      <c r="AF148" s="333" t="str">
        <f t="shared" si="2"/>
        <v/>
      </c>
      <c r="AH148" s="308"/>
      <c r="AI148" s="896" t="s">
        <v>462</v>
      </c>
      <c r="AJ148" s="897"/>
      <c r="AK148" s="897"/>
      <c r="AL148" s="897"/>
      <c r="AM148" s="897"/>
      <c r="AN148" s="415" t="s">
        <v>463</v>
      </c>
      <c r="AO148" s="317">
        <f t="shared" si="0"/>
        <v>0</v>
      </c>
      <c r="AP148" s="318"/>
      <c r="AQ148" s="308"/>
      <c r="AR148" s="911" t="s">
        <v>464</v>
      </c>
      <c r="AS148" s="912"/>
      <c r="AT148" s="912"/>
      <c r="AU148" s="912"/>
      <c r="AV148" s="912"/>
      <c r="AW148" s="426" t="s">
        <v>465</v>
      </c>
      <c r="AX148" s="317">
        <f t="shared" si="1"/>
        <v>0</v>
      </c>
      <c r="AY148" s="327"/>
      <c r="AZ148" s="308"/>
      <c r="BA148" s="311"/>
    </row>
    <row r="149" spans="1:58" ht="17.25" customHeight="1" thickBot="1" x14ac:dyDescent="0.3">
      <c r="A149" s="978" t="s">
        <v>83</v>
      </c>
      <c r="B149" s="979"/>
      <c r="C149" s="980"/>
      <c r="D149" s="351" t="s">
        <v>46</v>
      </c>
      <c r="E149" s="352"/>
      <c r="F149" s="427" t="s">
        <v>82</v>
      </c>
      <c r="G149" s="926">
        <f t="shared" si="3"/>
        <v>0</v>
      </c>
      <c r="H149" s="927"/>
      <c r="I149" s="928"/>
      <c r="J149" s="354">
        <v>0</v>
      </c>
      <c r="K149" s="355">
        <v>0</v>
      </c>
      <c r="L149" s="356">
        <f t="shared" si="7"/>
        <v>0</v>
      </c>
      <c r="M149" s="324"/>
      <c r="N149" s="978" t="s">
        <v>83</v>
      </c>
      <c r="O149" s="979"/>
      <c r="P149" s="980"/>
      <c r="Q149" s="351" t="s">
        <v>46</v>
      </c>
      <c r="R149" s="352"/>
      <c r="S149" s="427" t="s">
        <v>82</v>
      </c>
      <c r="T149" s="929">
        <f t="shared" si="4"/>
        <v>0</v>
      </c>
      <c r="U149" s="929"/>
      <c r="V149" s="929"/>
      <c r="W149" s="354">
        <v>0</v>
      </c>
      <c r="X149" s="355">
        <v>0</v>
      </c>
      <c r="Y149" s="356">
        <f t="shared" si="5"/>
        <v>0</v>
      </c>
      <c r="Z149" s="357">
        <f t="shared" si="6"/>
        <v>0</v>
      </c>
      <c r="AA149" s="324"/>
      <c r="AC149" s="409" t="s">
        <v>466</v>
      </c>
      <c r="AD149" s="428" t="s">
        <v>467</v>
      </c>
      <c r="AE149" s="332">
        <f>AX291</f>
        <v>0</v>
      </c>
      <c r="AF149" s="333" t="str">
        <f t="shared" si="2"/>
        <v/>
      </c>
      <c r="AH149" s="308"/>
      <c r="AI149" s="896" t="s">
        <v>468</v>
      </c>
      <c r="AJ149" s="897"/>
      <c r="AK149" s="897"/>
      <c r="AL149" s="897"/>
      <c r="AM149" s="897"/>
      <c r="AN149" s="429" t="s">
        <v>469</v>
      </c>
      <c r="AO149" s="317">
        <f t="shared" si="0"/>
        <v>0</v>
      </c>
      <c r="AP149" s="318"/>
      <c r="AQ149" s="308"/>
      <c r="AR149" s="911" t="s">
        <v>470</v>
      </c>
      <c r="AS149" s="912"/>
      <c r="AT149" s="912"/>
      <c r="AU149" s="912"/>
      <c r="AV149" s="912"/>
      <c r="AW149" s="430" t="s">
        <v>471</v>
      </c>
      <c r="AX149" s="317">
        <f t="shared" si="1"/>
        <v>0</v>
      </c>
      <c r="AY149" s="327"/>
      <c r="AZ149" s="308"/>
      <c r="BA149" s="311"/>
    </row>
    <row r="150" spans="1:58" ht="17.25" customHeight="1" thickBot="1" x14ac:dyDescent="0.3">
      <c r="A150" s="978" t="s">
        <v>85</v>
      </c>
      <c r="B150" s="979"/>
      <c r="C150" s="980"/>
      <c r="D150" s="351"/>
      <c r="E150" s="352" t="s">
        <v>367</v>
      </c>
      <c r="F150" s="431" t="s">
        <v>84</v>
      </c>
      <c r="G150" s="926">
        <f t="shared" si="3"/>
        <v>4</v>
      </c>
      <c r="H150" s="927"/>
      <c r="I150" s="928"/>
      <c r="J150" s="354">
        <v>0</v>
      </c>
      <c r="K150" s="355">
        <v>0</v>
      </c>
      <c r="L150" s="356">
        <f t="shared" si="7"/>
        <v>4</v>
      </c>
      <c r="M150" s="324"/>
      <c r="N150" s="978" t="s">
        <v>85</v>
      </c>
      <c r="O150" s="979"/>
      <c r="P150" s="980"/>
      <c r="Q150" s="351"/>
      <c r="R150" s="352" t="s">
        <v>367</v>
      </c>
      <c r="S150" s="431" t="s">
        <v>84</v>
      </c>
      <c r="T150" s="929">
        <f t="shared" si="4"/>
        <v>3</v>
      </c>
      <c r="U150" s="929"/>
      <c r="V150" s="929"/>
      <c r="W150" s="354">
        <v>0</v>
      </c>
      <c r="X150" s="355">
        <v>0</v>
      </c>
      <c r="Y150" s="356">
        <f t="shared" si="5"/>
        <v>3</v>
      </c>
      <c r="Z150" s="357">
        <f t="shared" si="6"/>
        <v>7</v>
      </c>
      <c r="AA150" s="324"/>
      <c r="AC150" s="390" t="s">
        <v>472</v>
      </c>
      <c r="AD150" s="425" t="s">
        <v>473</v>
      </c>
      <c r="AE150" s="332">
        <f>COUNTIF($A$1:$GO$103,AD150)</f>
        <v>0</v>
      </c>
      <c r="AF150" s="333" t="str">
        <f t="shared" si="2"/>
        <v/>
      </c>
      <c r="AH150" s="308"/>
      <c r="AI150" s="896" t="s">
        <v>474</v>
      </c>
      <c r="AJ150" s="897"/>
      <c r="AK150" s="897"/>
      <c r="AL150" s="897"/>
      <c r="AM150" s="897"/>
      <c r="AN150" s="432" t="s">
        <v>475</v>
      </c>
      <c r="AO150" s="317">
        <f t="shared" si="0"/>
        <v>0</v>
      </c>
      <c r="AP150" s="318"/>
      <c r="AQ150" s="308"/>
      <c r="AR150" s="911" t="s">
        <v>476</v>
      </c>
      <c r="AS150" s="912"/>
      <c r="AT150" s="912"/>
      <c r="AU150" s="912"/>
      <c r="AV150" s="912"/>
      <c r="AW150" s="433" t="s">
        <v>477</v>
      </c>
      <c r="AX150" s="317">
        <f t="shared" si="1"/>
        <v>0</v>
      </c>
      <c r="AY150" s="327"/>
      <c r="AZ150" s="308"/>
      <c r="BA150" s="311"/>
    </row>
    <row r="151" spans="1:58" ht="17.25" customHeight="1" thickBot="1" x14ac:dyDescent="0.3">
      <c r="A151" s="978" t="s">
        <v>87</v>
      </c>
      <c r="B151" s="979"/>
      <c r="C151" s="980"/>
      <c r="D151" s="351" t="s">
        <v>9</v>
      </c>
      <c r="E151" s="352" t="s">
        <v>367</v>
      </c>
      <c r="F151" s="434" t="s">
        <v>86</v>
      </c>
      <c r="G151" s="926">
        <f t="shared" si="3"/>
        <v>0</v>
      </c>
      <c r="H151" s="927"/>
      <c r="I151" s="928"/>
      <c r="J151" s="354">
        <v>0</v>
      </c>
      <c r="K151" s="355">
        <v>0</v>
      </c>
      <c r="L151" s="356">
        <f t="shared" si="7"/>
        <v>0</v>
      </c>
      <c r="M151" s="324"/>
      <c r="N151" s="978" t="s">
        <v>87</v>
      </c>
      <c r="O151" s="979"/>
      <c r="P151" s="980"/>
      <c r="Q151" s="351" t="s">
        <v>9</v>
      </c>
      <c r="R151" s="352" t="s">
        <v>367</v>
      </c>
      <c r="S151" s="434" t="s">
        <v>86</v>
      </c>
      <c r="T151" s="926">
        <f t="shared" si="4"/>
        <v>0</v>
      </c>
      <c r="U151" s="927"/>
      <c r="V151" s="928"/>
      <c r="W151" s="354">
        <v>0</v>
      </c>
      <c r="X151" s="355">
        <v>0</v>
      </c>
      <c r="Y151" s="356">
        <f t="shared" si="5"/>
        <v>0</v>
      </c>
      <c r="Z151" s="357">
        <f t="shared" si="6"/>
        <v>0</v>
      </c>
      <c r="AA151" s="324"/>
      <c r="AC151" s="1027" t="s">
        <v>478</v>
      </c>
      <c r="AD151" s="1028"/>
      <c r="AE151" s="1028"/>
      <c r="AF151" s="1028"/>
      <c r="AH151" s="308"/>
      <c r="AI151" s="896" t="s">
        <v>479</v>
      </c>
      <c r="AJ151" s="897"/>
      <c r="AK151" s="897"/>
      <c r="AL151" s="897"/>
      <c r="AM151" s="897"/>
      <c r="AN151" s="435" t="s">
        <v>480</v>
      </c>
      <c r="AO151" s="317">
        <f t="shared" si="0"/>
        <v>0</v>
      </c>
      <c r="AP151" s="318"/>
      <c r="AQ151" s="308"/>
      <c r="AR151" s="911" t="s">
        <v>481</v>
      </c>
      <c r="AS151" s="912"/>
      <c r="AT151" s="912"/>
      <c r="AU151" s="912"/>
      <c r="AV151" s="912"/>
      <c r="AW151" s="436" t="s">
        <v>482</v>
      </c>
      <c r="AX151" s="317">
        <f t="shared" si="1"/>
        <v>0</v>
      </c>
      <c r="AY151" s="327"/>
      <c r="AZ151" s="308"/>
      <c r="BA151" s="437"/>
    </row>
    <row r="152" spans="1:58" ht="17.25" customHeight="1" x14ac:dyDescent="0.25">
      <c r="A152" s="1024" t="s">
        <v>299</v>
      </c>
      <c r="B152" s="1025"/>
      <c r="C152" s="1025"/>
      <c r="D152" s="1025"/>
      <c r="E152" s="1025"/>
      <c r="F152" s="438"/>
      <c r="G152" s="1026">
        <f>SUM(G131:I151)</f>
        <v>11</v>
      </c>
      <c r="H152" s="1026"/>
      <c r="I152" s="1026"/>
      <c r="J152" s="439">
        <f>SUM(J131:J151)</f>
        <v>0</v>
      </c>
      <c r="K152" s="440">
        <f>SUM(K131:K151)</f>
        <v>0</v>
      </c>
      <c r="L152" s="356">
        <f>SUM(L131:L151)</f>
        <v>11</v>
      </c>
      <c r="M152" s="324"/>
      <c r="N152" s="1001" t="s">
        <v>299</v>
      </c>
      <c r="O152" s="1002"/>
      <c r="P152" s="1002"/>
      <c r="Q152" s="1002"/>
      <c r="R152" s="1002"/>
      <c r="S152" s="441"/>
      <c r="T152" s="1000">
        <f>SUM(T131:V151)</f>
        <v>11</v>
      </c>
      <c r="U152" s="1000"/>
      <c r="V152" s="1000"/>
      <c r="W152" s="439">
        <f>SUM(W131:W151)</f>
        <v>0</v>
      </c>
      <c r="X152" s="440">
        <f>SUM(X131:X151)</f>
        <v>0</v>
      </c>
      <c r="Y152" s="356">
        <f>SUM(Y131:Y151)</f>
        <v>11</v>
      </c>
      <c r="Z152" s="357">
        <f t="shared" si="6"/>
        <v>22</v>
      </c>
      <c r="AA152" s="324"/>
      <c r="AC152" s="442" t="s">
        <v>483</v>
      </c>
      <c r="AD152" s="443" t="s">
        <v>167</v>
      </c>
      <c r="AE152" s="332">
        <f t="shared" ref="AE152:AE215" si="9">COUNTIF($A$1:$GO$103,AD152)</f>
        <v>53</v>
      </c>
      <c r="AF152" s="333" t="str">
        <f>IFERROR(AE152/$J$4,"")</f>
        <v/>
      </c>
      <c r="AH152" s="308"/>
      <c r="AI152" s="896" t="s">
        <v>484</v>
      </c>
      <c r="AJ152" s="897"/>
      <c r="AK152" s="897"/>
      <c r="AL152" s="897"/>
      <c r="AM152" s="897"/>
      <c r="AN152" s="444" t="s">
        <v>485</v>
      </c>
      <c r="AO152" s="317">
        <f t="shared" si="0"/>
        <v>0</v>
      </c>
      <c r="AP152" s="318"/>
      <c r="AQ152" s="308"/>
      <c r="AR152" s="911" t="s">
        <v>486</v>
      </c>
      <c r="AS152" s="912"/>
      <c r="AT152" s="912"/>
      <c r="AU152" s="912"/>
      <c r="AV152" s="912"/>
      <c r="AW152" s="445" t="s">
        <v>487</v>
      </c>
      <c r="AX152" s="317">
        <f t="shared" si="1"/>
        <v>0</v>
      </c>
      <c r="AY152" s="327"/>
      <c r="AZ152" s="308"/>
      <c r="BA152" s="437"/>
    </row>
    <row r="153" spans="1:58" ht="17.25" customHeight="1" x14ac:dyDescent="0.25">
      <c r="A153" s="1021" t="s">
        <v>488</v>
      </c>
      <c r="B153" s="1022"/>
      <c r="C153" s="1022"/>
      <c r="D153" s="1022"/>
      <c r="E153" s="1022"/>
      <c r="F153" s="1022"/>
      <c r="G153" s="1022"/>
      <c r="H153" s="1022"/>
      <c r="I153" s="1023"/>
      <c r="J153" s="346" t="s">
        <v>351</v>
      </c>
      <c r="K153" s="346" t="s">
        <v>352</v>
      </c>
      <c r="L153" s="346" t="s">
        <v>353</v>
      </c>
      <c r="M153" s="324"/>
      <c r="N153" s="1021" t="s">
        <v>488</v>
      </c>
      <c r="O153" s="1022"/>
      <c r="P153" s="1022"/>
      <c r="Q153" s="1022"/>
      <c r="R153" s="1022"/>
      <c r="S153" s="1022"/>
      <c r="T153" s="1022"/>
      <c r="U153" s="1022"/>
      <c r="V153" s="1023"/>
      <c r="W153" s="347" t="s">
        <v>351</v>
      </c>
      <c r="X153" s="347" t="s">
        <v>352</v>
      </c>
      <c r="Y153" s="347" t="s">
        <v>353</v>
      </c>
      <c r="Z153" s="446"/>
      <c r="AA153" s="324"/>
      <c r="AC153" s="442" t="s">
        <v>489</v>
      </c>
      <c r="AD153" s="447" t="s">
        <v>490</v>
      </c>
      <c r="AE153" s="332">
        <f t="shared" si="9"/>
        <v>0</v>
      </c>
      <c r="AF153" s="333" t="str">
        <f t="shared" ref="AF153:AF216" si="10">IFERROR(AE153/$J$4,"")</f>
        <v/>
      </c>
      <c r="AH153" s="308"/>
      <c r="AI153" s="896" t="s">
        <v>491</v>
      </c>
      <c r="AJ153" s="897"/>
      <c r="AK153" s="897"/>
      <c r="AL153" s="897"/>
      <c r="AM153" s="897"/>
      <c r="AN153" s="448" t="s">
        <v>492</v>
      </c>
      <c r="AO153" s="317">
        <f t="shared" si="0"/>
        <v>0</v>
      </c>
      <c r="AP153" s="318"/>
      <c r="AQ153" s="308"/>
      <c r="AR153" s="911" t="s">
        <v>493</v>
      </c>
      <c r="AS153" s="912"/>
      <c r="AT153" s="912"/>
      <c r="AU153" s="912"/>
      <c r="AV153" s="912"/>
      <c r="AW153" s="449" t="s">
        <v>494</v>
      </c>
      <c r="AX153" s="317">
        <f t="shared" si="1"/>
        <v>0</v>
      </c>
      <c r="AY153" s="327"/>
      <c r="AZ153" s="308"/>
      <c r="BA153" s="311"/>
    </row>
    <row r="154" spans="1:58" ht="17.25" customHeight="1" x14ac:dyDescent="0.25">
      <c r="A154" s="1016" t="s">
        <v>17</v>
      </c>
      <c r="B154" s="1017"/>
      <c r="C154" s="1018"/>
      <c r="D154" s="450"/>
      <c r="E154" s="451" t="s">
        <v>367</v>
      </c>
      <c r="F154" s="452" t="s">
        <v>6</v>
      </c>
      <c r="G154" s="1019">
        <f t="shared" ref="G154:G171" si="11">COUNTIF($A$4:$M$42,F154)+COUNTIF($A$43:$O$81,F154)+COUNTIF($N$4:$T$19,F154)+COUNTIF($O$20:$S$23,F154)+COUNTIF($N$24:$Q$25,F154)+COUNTIF($N$26:$P$26,F154)+COUNTIF($P$42,F154)+COUNTIF($T$21:$T$22,F154)+COUNTIF($R$24,F154)+COUNTIF($N$27:$O$28,F154)</f>
        <v>0</v>
      </c>
      <c r="H154" s="986"/>
      <c r="I154" s="987"/>
      <c r="J154" s="354">
        <v>0</v>
      </c>
      <c r="K154" s="355">
        <v>0</v>
      </c>
      <c r="L154" s="356">
        <f t="shared" ref="L154:L171" si="12">G154-K154-J154</f>
        <v>0</v>
      </c>
      <c r="M154" s="324"/>
      <c r="N154" s="1016" t="s">
        <v>17</v>
      </c>
      <c r="O154" s="1017"/>
      <c r="P154" s="1018"/>
      <c r="Q154" s="450"/>
      <c r="R154" s="451" t="s">
        <v>367</v>
      </c>
      <c r="S154" s="452" t="s">
        <v>6</v>
      </c>
      <c r="T154" s="929">
        <f t="shared" ref="T154:T171" si="13">COUNTIF($T$23:$BI$73,S154)+COUNTIF($N$29:$S$39,S154)+COUNTIF($P$47:$S$68,S154)+COUNTIF($Q$40:$S$42,S154)+COUNTIF($P$27:$S$28,S154)+COUNTIF($R$25:$S$25,S154)+COUNTIF($S$24:$S$24,S154)</f>
        <v>0</v>
      </c>
      <c r="U154" s="929"/>
      <c r="V154" s="929"/>
      <c r="W154" s="354">
        <v>0</v>
      </c>
      <c r="X154" s="355">
        <v>0</v>
      </c>
      <c r="Y154" s="356">
        <f t="shared" ref="Y154:Y171" si="14">T154-X154-W154</f>
        <v>0</v>
      </c>
      <c r="Z154" s="357">
        <f t="shared" ref="Z154:Z172" si="15">T154+G154</f>
        <v>0</v>
      </c>
      <c r="AA154" s="324"/>
      <c r="AC154" s="442" t="s">
        <v>495</v>
      </c>
      <c r="AD154" s="453" t="s">
        <v>496</v>
      </c>
      <c r="AE154" s="332">
        <f t="shared" si="9"/>
        <v>0</v>
      </c>
      <c r="AF154" s="333" t="str">
        <f t="shared" si="10"/>
        <v/>
      </c>
      <c r="AH154" s="308"/>
      <c r="AI154" s="896" t="s">
        <v>497</v>
      </c>
      <c r="AJ154" s="897"/>
      <c r="AK154" s="897"/>
      <c r="AL154" s="897"/>
      <c r="AM154" s="897"/>
      <c r="AN154" s="454" t="s">
        <v>498</v>
      </c>
      <c r="AO154" s="317">
        <f t="shared" si="0"/>
        <v>0</v>
      </c>
      <c r="AP154" s="318"/>
      <c r="AQ154" s="308"/>
      <c r="AR154" s="911" t="s">
        <v>499</v>
      </c>
      <c r="AS154" s="912"/>
      <c r="AT154" s="912"/>
      <c r="AU154" s="912"/>
      <c r="AV154" s="912"/>
      <c r="AW154" s="455" t="s">
        <v>500</v>
      </c>
      <c r="AX154" s="317">
        <f t="shared" si="1"/>
        <v>0</v>
      </c>
      <c r="AY154" s="327"/>
      <c r="AZ154" s="308"/>
      <c r="BA154" s="311"/>
    </row>
    <row r="155" spans="1:58" ht="17.25" customHeight="1" thickBot="1" x14ac:dyDescent="0.3">
      <c r="A155" s="1010" t="s">
        <v>89</v>
      </c>
      <c r="B155" s="1011"/>
      <c r="C155" s="1012"/>
      <c r="D155" s="351" t="s">
        <v>31</v>
      </c>
      <c r="E155" s="456"/>
      <c r="F155" s="13" t="s">
        <v>88</v>
      </c>
      <c r="G155" s="926">
        <f t="shared" si="11"/>
        <v>0</v>
      </c>
      <c r="H155" s="927"/>
      <c r="I155" s="928"/>
      <c r="J155" s="354">
        <v>0</v>
      </c>
      <c r="K155" s="355">
        <v>0</v>
      </c>
      <c r="L155" s="356">
        <f t="shared" si="12"/>
        <v>0</v>
      </c>
      <c r="M155" s="324"/>
      <c r="N155" s="1010" t="s">
        <v>89</v>
      </c>
      <c r="O155" s="1011"/>
      <c r="P155" s="1012"/>
      <c r="Q155" s="351" t="s">
        <v>31</v>
      </c>
      <c r="R155" s="352"/>
      <c r="S155" s="457" t="s">
        <v>88</v>
      </c>
      <c r="T155" s="929">
        <f t="shared" si="13"/>
        <v>0</v>
      </c>
      <c r="U155" s="929"/>
      <c r="V155" s="929"/>
      <c r="W155" s="354">
        <v>0</v>
      </c>
      <c r="X155" s="355">
        <v>0</v>
      </c>
      <c r="Y155" s="356">
        <f t="shared" si="14"/>
        <v>0</v>
      </c>
      <c r="Z155" s="357">
        <f t="shared" si="15"/>
        <v>0</v>
      </c>
      <c r="AA155" s="324"/>
      <c r="AC155" s="442" t="s">
        <v>501</v>
      </c>
      <c r="AD155" s="458" t="s">
        <v>502</v>
      </c>
      <c r="AE155" s="332">
        <f t="shared" si="9"/>
        <v>0</v>
      </c>
      <c r="AF155" s="333" t="str">
        <f t="shared" si="10"/>
        <v/>
      </c>
      <c r="AH155" s="308"/>
      <c r="AI155" s="896" t="s">
        <v>503</v>
      </c>
      <c r="AJ155" s="897"/>
      <c r="AK155" s="897"/>
      <c r="AL155" s="897"/>
      <c r="AM155" s="897"/>
      <c r="AN155" s="459" t="s">
        <v>504</v>
      </c>
      <c r="AO155" s="317">
        <f t="shared" si="0"/>
        <v>0</v>
      </c>
      <c r="AP155" s="318"/>
      <c r="AQ155" s="308"/>
      <c r="AR155" s="911" t="s">
        <v>505</v>
      </c>
      <c r="AS155" s="912"/>
      <c r="AT155" s="912"/>
      <c r="AU155" s="912"/>
      <c r="AV155" s="912"/>
      <c r="AW155" s="455" t="s">
        <v>506</v>
      </c>
      <c r="AX155" s="317">
        <f t="shared" si="1"/>
        <v>0</v>
      </c>
      <c r="AY155" s="327"/>
      <c r="AZ155" s="308"/>
      <c r="BA155" s="311"/>
    </row>
    <row r="156" spans="1:58" ht="17.25" customHeight="1" x14ac:dyDescent="0.25">
      <c r="A156" s="1010" t="s">
        <v>138</v>
      </c>
      <c r="B156" s="1011"/>
      <c r="C156" s="1012"/>
      <c r="D156" s="351"/>
      <c r="E156" s="352"/>
      <c r="F156" s="460" t="s">
        <v>133</v>
      </c>
      <c r="G156" s="926">
        <f t="shared" si="11"/>
        <v>0</v>
      </c>
      <c r="H156" s="927"/>
      <c r="I156" s="928"/>
      <c r="J156" s="354">
        <v>0</v>
      </c>
      <c r="K156" s="355">
        <v>0</v>
      </c>
      <c r="L156" s="356">
        <f t="shared" si="12"/>
        <v>0</v>
      </c>
      <c r="M156" s="324"/>
      <c r="N156" s="1010" t="s">
        <v>138</v>
      </c>
      <c r="O156" s="1011"/>
      <c r="P156" s="1012"/>
      <c r="Q156" s="351"/>
      <c r="R156" s="352"/>
      <c r="S156" s="460" t="s">
        <v>133</v>
      </c>
      <c r="T156" s="929">
        <f t="shared" si="13"/>
        <v>0</v>
      </c>
      <c r="U156" s="929"/>
      <c r="V156" s="929"/>
      <c r="W156" s="354">
        <v>0</v>
      </c>
      <c r="X156" s="355">
        <v>0</v>
      </c>
      <c r="Y156" s="356">
        <f t="shared" si="14"/>
        <v>0</v>
      </c>
      <c r="Z156" s="357">
        <f t="shared" si="15"/>
        <v>0</v>
      </c>
      <c r="AA156" s="324"/>
      <c r="AC156" s="442" t="s">
        <v>166</v>
      </c>
      <c r="AD156" s="410" t="s">
        <v>166</v>
      </c>
      <c r="AE156" s="332">
        <f t="shared" si="9"/>
        <v>14</v>
      </c>
      <c r="AF156" s="333" t="str">
        <f t="shared" si="10"/>
        <v/>
      </c>
      <c r="AH156" s="308"/>
      <c r="AI156" s="896" t="s">
        <v>507</v>
      </c>
      <c r="AJ156" s="897"/>
      <c r="AK156" s="897"/>
      <c r="AL156" s="897"/>
      <c r="AM156" s="897"/>
      <c r="AN156" s="419" t="s">
        <v>508</v>
      </c>
      <c r="AO156" s="317">
        <f t="shared" si="0"/>
        <v>0</v>
      </c>
      <c r="AP156" s="318"/>
      <c r="AQ156" s="308"/>
      <c r="AR156" s="911" t="s">
        <v>509</v>
      </c>
      <c r="AS156" s="912"/>
      <c r="AT156" s="912"/>
      <c r="AU156" s="912"/>
      <c r="AV156" s="912"/>
      <c r="AW156" s="461" t="s">
        <v>510</v>
      </c>
      <c r="AX156" s="317">
        <f t="shared" si="1"/>
        <v>0</v>
      </c>
      <c r="AY156" s="327"/>
      <c r="AZ156" s="308"/>
      <c r="BA156" s="311"/>
    </row>
    <row r="157" spans="1:58" ht="17.25" customHeight="1" thickBot="1" x14ac:dyDescent="0.3">
      <c r="A157" s="1010" t="s">
        <v>139</v>
      </c>
      <c r="B157" s="1011"/>
      <c r="C157" s="1012"/>
      <c r="D157" s="351"/>
      <c r="E157" s="352"/>
      <c r="F157" s="462" t="s">
        <v>135</v>
      </c>
      <c r="G157" s="926">
        <f t="shared" si="11"/>
        <v>0</v>
      </c>
      <c r="H157" s="927"/>
      <c r="I157" s="928"/>
      <c r="J157" s="354">
        <v>0</v>
      </c>
      <c r="K157" s="355">
        <v>0</v>
      </c>
      <c r="L157" s="356">
        <f t="shared" si="12"/>
        <v>0</v>
      </c>
      <c r="M157" s="324"/>
      <c r="N157" s="1010" t="s">
        <v>139</v>
      </c>
      <c r="O157" s="1011"/>
      <c r="P157" s="1012"/>
      <c r="Q157" s="351"/>
      <c r="R157" s="352"/>
      <c r="S157" s="462" t="s">
        <v>135</v>
      </c>
      <c r="T157" s="929">
        <f t="shared" si="13"/>
        <v>0</v>
      </c>
      <c r="U157" s="929"/>
      <c r="V157" s="929"/>
      <c r="W157" s="354">
        <v>0</v>
      </c>
      <c r="X157" s="355">
        <v>0</v>
      </c>
      <c r="Y157" s="356">
        <f t="shared" si="14"/>
        <v>0</v>
      </c>
      <c r="Z157" s="357">
        <f t="shared" si="15"/>
        <v>0</v>
      </c>
      <c r="AA157" s="324"/>
      <c r="AC157" s="442" t="s">
        <v>511</v>
      </c>
      <c r="AD157" s="463" t="s">
        <v>177</v>
      </c>
      <c r="AE157" s="332">
        <f t="shared" si="9"/>
        <v>25</v>
      </c>
      <c r="AF157" s="333" t="str">
        <f t="shared" si="10"/>
        <v/>
      </c>
      <c r="AH157" s="308"/>
      <c r="AI157" s="896" t="s">
        <v>512</v>
      </c>
      <c r="AJ157" s="897"/>
      <c r="AK157" s="897"/>
      <c r="AL157" s="897"/>
      <c r="AM157" s="897"/>
      <c r="AN157" s="464" t="s">
        <v>513</v>
      </c>
      <c r="AO157" s="317">
        <f t="shared" si="0"/>
        <v>0</v>
      </c>
      <c r="AP157" s="318"/>
      <c r="AQ157" s="308"/>
      <c r="AR157" s="911" t="s">
        <v>514</v>
      </c>
      <c r="AS157" s="912"/>
      <c r="AT157" s="912"/>
      <c r="AU157" s="912"/>
      <c r="AV157" s="912"/>
      <c r="AW157" s="465" t="s">
        <v>515</v>
      </c>
      <c r="AX157" s="317">
        <f t="shared" si="1"/>
        <v>0</v>
      </c>
      <c r="AY157" s="327"/>
      <c r="AZ157" s="308"/>
      <c r="BA157" s="311"/>
    </row>
    <row r="158" spans="1:58" ht="17.25" customHeight="1" thickBot="1" x14ac:dyDescent="0.3">
      <c r="A158" s="1010" t="s">
        <v>30</v>
      </c>
      <c r="B158" s="1011"/>
      <c r="C158" s="1012"/>
      <c r="D158" s="351"/>
      <c r="E158" s="352" t="s">
        <v>367</v>
      </c>
      <c r="F158" s="466" t="s">
        <v>31</v>
      </c>
      <c r="G158" s="926">
        <f t="shared" si="11"/>
        <v>0</v>
      </c>
      <c r="H158" s="927"/>
      <c r="I158" s="928"/>
      <c r="J158" s="354">
        <v>0</v>
      </c>
      <c r="K158" s="355">
        <v>0</v>
      </c>
      <c r="L158" s="356">
        <f t="shared" si="12"/>
        <v>0</v>
      </c>
      <c r="M158" s="324"/>
      <c r="N158" s="1010" t="s">
        <v>30</v>
      </c>
      <c r="O158" s="1011"/>
      <c r="P158" s="1012"/>
      <c r="Q158" s="351"/>
      <c r="R158" s="352" t="s">
        <v>367</v>
      </c>
      <c r="S158" s="466" t="s">
        <v>31</v>
      </c>
      <c r="T158" s="929">
        <f t="shared" si="13"/>
        <v>3</v>
      </c>
      <c r="U158" s="929"/>
      <c r="V158" s="929"/>
      <c r="W158" s="354">
        <v>0</v>
      </c>
      <c r="X158" s="355">
        <v>0</v>
      </c>
      <c r="Y158" s="356">
        <f t="shared" si="14"/>
        <v>3</v>
      </c>
      <c r="Z158" s="357">
        <f t="shared" si="15"/>
        <v>3</v>
      </c>
      <c r="AA158" s="324"/>
      <c r="AC158" s="442" t="s">
        <v>516</v>
      </c>
      <c r="AD158" s="467" t="s">
        <v>517</v>
      </c>
      <c r="AE158" s="332">
        <f t="shared" si="9"/>
        <v>0</v>
      </c>
      <c r="AF158" s="333" t="str">
        <f t="shared" si="10"/>
        <v/>
      </c>
      <c r="AH158" s="308"/>
      <c r="AI158" s="896" t="s">
        <v>518</v>
      </c>
      <c r="AJ158" s="897"/>
      <c r="AK158" s="897"/>
      <c r="AL158" s="897"/>
      <c r="AM158" s="897"/>
      <c r="AN158" s="468" t="s">
        <v>519</v>
      </c>
      <c r="AO158" s="317">
        <f t="shared" si="0"/>
        <v>0</v>
      </c>
      <c r="AP158" s="318"/>
      <c r="AQ158" s="308"/>
      <c r="AR158" s="911" t="s">
        <v>520</v>
      </c>
      <c r="AS158" s="912"/>
      <c r="AT158" s="912"/>
      <c r="AU158" s="912"/>
      <c r="AV158" s="912"/>
      <c r="AW158" s="469" t="s">
        <v>521</v>
      </c>
      <c r="AX158" s="317">
        <f t="shared" si="1"/>
        <v>0</v>
      </c>
      <c r="AY158" s="327"/>
      <c r="AZ158" s="308"/>
      <c r="BA158" s="311"/>
    </row>
    <row r="159" spans="1:58" ht="17.25" customHeight="1" thickBot="1" x14ac:dyDescent="0.3">
      <c r="A159" s="1010" t="s">
        <v>27</v>
      </c>
      <c r="B159" s="1011"/>
      <c r="C159" s="1012"/>
      <c r="D159" s="351"/>
      <c r="E159" s="352"/>
      <c r="F159" s="470" t="s">
        <v>24</v>
      </c>
      <c r="G159" s="926">
        <f t="shared" si="11"/>
        <v>1</v>
      </c>
      <c r="H159" s="927"/>
      <c r="I159" s="928"/>
      <c r="J159" s="354">
        <v>0</v>
      </c>
      <c r="K159" s="355">
        <v>0</v>
      </c>
      <c r="L159" s="356">
        <f t="shared" si="12"/>
        <v>1</v>
      </c>
      <c r="M159" s="324"/>
      <c r="N159" s="1010" t="s">
        <v>27</v>
      </c>
      <c r="O159" s="1011"/>
      <c r="P159" s="1012"/>
      <c r="Q159" s="351"/>
      <c r="R159" s="352"/>
      <c r="S159" s="470" t="s">
        <v>24</v>
      </c>
      <c r="T159" s="929">
        <f t="shared" si="13"/>
        <v>0</v>
      </c>
      <c r="U159" s="929"/>
      <c r="V159" s="929"/>
      <c r="W159" s="354">
        <v>0</v>
      </c>
      <c r="X159" s="355">
        <v>0</v>
      </c>
      <c r="Y159" s="356">
        <f t="shared" si="14"/>
        <v>0</v>
      </c>
      <c r="Z159" s="357">
        <f t="shared" si="15"/>
        <v>1</v>
      </c>
      <c r="AA159" s="324"/>
      <c r="AC159" s="442" t="s">
        <v>522</v>
      </c>
      <c r="AD159" s="471" t="s">
        <v>522</v>
      </c>
      <c r="AE159" s="332">
        <f t="shared" si="9"/>
        <v>0</v>
      </c>
      <c r="AF159" s="333" t="str">
        <f t="shared" si="10"/>
        <v/>
      </c>
      <c r="AH159" s="308"/>
      <c r="AI159" s="896" t="s">
        <v>523</v>
      </c>
      <c r="AJ159" s="897"/>
      <c r="AK159" s="897"/>
      <c r="AL159" s="897"/>
      <c r="AM159" s="897"/>
      <c r="AN159" s="472" t="s">
        <v>524</v>
      </c>
      <c r="AO159" s="317">
        <f t="shared" si="0"/>
        <v>0</v>
      </c>
      <c r="AP159" s="318"/>
      <c r="AQ159" s="308"/>
      <c r="AR159" s="911" t="s">
        <v>525</v>
      </c>
      <c r="AS159" s="912"/>
      <c r="AT159" s="912"/>
      <c r="AU159" s="912"/>
      <c r="AV159" s="912"/>
      <c r="AW159" s="473" t="s">
        <v>526</v>
      </c>
      <c r="AX159" s="317">
        <f t="shared" si="1"/>
        <v>0</v>
      </c>
      <c r="AY159" s="474"/>
      <c r="AZ159" s="308"/>
      <c r="BA159" s="311"/>
    </row>
    <row r="160" spans="1:58" ht="17.25" customHeight="1" x14ac:dyDescent="0.25">
      <c r="A160" s="1010" t="s">
        <v>114</v>
      </c>
      <c r="B160" s="1011"/>
      <c r="C160" s="1012"/>
      <c r="D160" s="351"/>
      <c r="E160" s="352"/>
      <c r="F160" s="475" t="s">
        <v>113</v>
      </c>
      <c r="G160" s="926">
        <f t="shared" si="11"/>
        <v>0</v>
      </c>
      <c r="H160" s="927"/>
      <c r="I160" s="928"/>
      <c r="J160" s="354">
        <v>0</v>
      </c>
      <c r="K160" s="355">
        <v>0</v>
      </c>
      <c r="L160" s="356">
        <f t="shared" si="12"/>
        <v>0</v>
      </c>
      <c r="M160" s="324"/>
      <c r="N160" s="1010" t="s">
        <v>114</v>
      </c>
      <c r="O160" s="1011"/>
      <c r="P160" s="1012"/>
      <c r="Q160" s="351"/>
      <c r="R160" s="352"/>
      <c r="S160" s="475" t="s">
        <v>113</v>
      </c>
      <c r="T160" s="929">
        <f t="shared" si="13"/>
        <v>0</v>
      </c>
      <c r="U160" s="929"/>
      <c r="V160" s="929"/>
      <c r="W160" s="354">
        <v>0</v>
      </c>
      <c r="X160" s="355">
        <v>0</v>
      </c>
      <c r="Y160" s="356">
        <f t="shared" si="14"/>
        <v>0</v>
      </c>
      <c r="Z160" s="357">
        <f t="shared" si="15"/>
        <v>0</v>
      </c>
      <c r="AA160" s="324"/>
      <c r="AC160" s="442" t="s">
        <v>527</v>
      </c>
      <c r="AD160" s="476" t="s">
        <v>528</v>
      </c>
      <c r="AE160" s="332">
        <f t="shared" si="9"/>
        <v>0</v>
      </c>
      <c r="AF160" s="333" t="str">
        <f t="shared" si="10"/>
        <v/>
      </c>
      <c r="AH160" s="308"/>
      <c r="AI160" s="896" t="s">
        <v>529</v>
      </c>
      <c r="AJ160" s="897"/>
      <c r="AK160" s="897"/>
      <c r="AL160" s="897"/>
      <c r="AM160" s="897"/>
      <c r="AN160" s="477" t="s">
        <v>530</v>
      </c>
      <c r="AO160" s="317">
        <f t="shared" si="0"/>
        <v>0</v>
      </c>
      <c r="AP160" s="318"/>
      <c r="AQ160" s="308"/>
      <c r="AR160" s="911" t="s">
        <v>531</v>
      </c>
      <c r="AS160" s="912"/>
      <c r="AT160" s="912"/>
      <c r="AU160" s="912"/>
      <c r="AV160" s="912"/>
      <c r="AW160" s="478" t="s">
        <v>532</v>
      </c>
      <c r="AX160" s="317">
        <f t="shared" si="1"/>
        <v>0</v>
      </c>
      <c r="AY160" s="474"/>
      <c r="AZ160" s="308"/>
      <c r="BA160" s="311"/>
    </row>
    <row r="161" spans="1:58" ht="17.25" customHeight="1" thickBot="1" x14ac:dyDescent="0.3">
      <c r="A161" s="1010" t="s">
        <v>112</v>
      </c>
      <c r="B161" s="1011"/>
      <c r="C161" s="1012"/>
      <c r="D161" s="351"/>
      <c r="E161" s="352"/>
      <c r="F161" s="479" t="s">
        <v>111</v>
      </c>
      <c r="G161" s="926">
        <f t="shared" si="11"/>
        <v>0</v>
      </c>
      <c r="H161" s="927"/>
      <c r="I161" s="928"/>
      <c r="J161" s="354">
        <v>0</v>
      </c>
      <c r="K161" s="355">
        <v>0</v>
      </c>
      <c r="L161" s="356">
        <f t="shared" si="12"/>
        <v>0</v>
      </c>
      <c r="M161" s="324"/>
      <c r="N161" s="1010" t="s">
        <v>112</v>
      </c>
      <c r="O161" s="1011"/>
      <c r="P161" s="1012"/>
      <c r="Q161" s="351"/>
      <c r="R161" s="352"/>
      <c r="S161" s="480" t="s">
        <v>111</v>
      </c>
      <c r="T161" s="929">
        <f t="shared" si="13"/>
        <v>0</v>
      </c>
      <c r="U161" s="929"/>
      <c r="V161" s="929"/>
      <c r="W161" s="354">
        <v>0</v>
      </c>
      <c r="X161" s="355">
        <v>0</v>
      </c>
      <c r="Y161" s="356">
        <f t="shared" si="14"/>
        <v>0</v>
      </c>
      <c r="Z161" s="357">
        <f t="shared" si="15"/>
        <v>0</v>
      </c>
      <c r="AA161" s="324"/>
      <c r="AC161" s="442" t="s">
        <v>533</v>
      </c>
      <c r="AD161" s="481" t="s">
        <v>534</v>
      </c>
      <c r="AE161" s="332">
        <f t="shared" si="9"/>
        <v>0</v>
      </c>
      <c r="AF161" s="333" t="str">
        <f t="shared" si="10"/>
        <v/>
      </c>
      <c r="AH161" s="308"/>
      <c r="AI161" s="896" t="s">
        <v>535</v>
      </c>
      <c r="AJ161" s="897"/>
      <c r="AK161" s="897"/>
      <c r="AL161" s="897"/>
      <c r="AM161" s="897"/>
      <c r="AN161" s="360" t="s">
        <v>536</v>
      </c>
      <c r="AO161" s="317">
        <f t="shared" si="0"/>
        <v>0</v>
      </c>
      <c r="AP161" s="318"/>
      <c r="AQ161" s="308"/>
      <c r="AR161" s="911" t="s">
        <v>537</v>
      </c>
      <c r="AS161" s="912"/>
      <c r="AT161" s="912"/>
      <c r="AU161" s="912"/>
      <c r="AV161" s="912"/>
      <c r="AW161" s="482" t="s">
        <v>538</v>
      </c>
      <c r="AX161" s="317">
        <f t="shared" si="1"/>
        <v>0</v>
      </c>
      <c r="AY161" s="327"/>
      <c r="AZ161" s="308"/>
      <c r="BA161" s="311"/>
    </row>
    <row r="162" spans="1:58" ht="17.25" customHeight="1" x14ac:dyDescent="0.25">
      <c r="A162" s="1010" t="s">
        <v>140</v>
      </c>
      <c r="B162" s="1011"/>
      <c r="C162" s="1012"/>
      <c r="D162" s="351"/>
      <c r="E162" s="352"/>
      <c r="F162" s="483" t="s">
        <v>134</v>
      </c>
      <c r="G162" s="926">
        <f t="shared" si="11"/>
        <v>0</v>
      </c>
      <c r="H162" s="927"/>
      <c r="I162" s="928"/>
      <c r="J162" s="484"/>
      <c r="K162" s="485"/>
      <c r="L162" s="356"/>
      <c r="M162" s="324"/>
      <c r="N162" s="1010" t="s">
        <v>140</v>
      </c>
      <c r="O162" s="1011"/>
      <c r="P162" s="1012"/>
      <c r="Q162" s="351"/>
      <c r="R162" s="352"/>
      <c r="S162" s="483" t="s">
        <v>134</v>
      </c>
      <c r="T162" s="929">
        <f t="shared" si="13"/>
        <v>0</v>
      </c>
      <c r="U162" s="929"/>
      <c r="V162" s="929"/>
      <c r="W162" s="354">
        <v>0</v>
      </c>
      <c r="X162" s="355">
        <v>0</v>
      </c>
      <c r="Y162" s="356">
        <f t="shared" si="14"/>
        <v>0</v>
      </c>
      <c r="Z162" s="357">
        <f t="shared" si="15"/>
        <v>0</v>
      </c>
      <c r="AA162" s="324"/>
      <c r="AC162" s="442" t="s">
        <v>539</v>
      </c>
      <c r="AD162" s="486" t="s">
        <v>539</v>
      </c>
      <c r="AE162" s="332">
        <f t="shared" si="9"/>
        <v>0</v>
      </c>
      <c r="AF162" s="333" t="str">
        <f t="shared" si="10"/>
        <v/>
      </c>
      <c r="AH162" s="308"/>
      <c r="AI162" s="896" t="s">
        <v>540</v>
      </c>
      <c r="AJ162" s="897"/>
      <c r="AK162" s="897"/>
      <c r="AL162" s="897"/>
      <c r="AM162" s="897"/>
      <c r="AN162" s="468" t="s">
        <v>541</v>
      </c>
      <c r="AO162" s="317">
        <f t="shared" si="0"/>
        <v>0</v>
      </c>
      <c r="AP162" s="318"/>
      <c r="AQ162" s="308"/>
      <c r="AR162" s="911" t="s">
        <v>542</v>
      </c>
      <c r="AS162" s="912"/>
      <c r="AT162" s="912"/>
      <c r="AU162" s="912"/>
      <c r="AV162" s="912"/>
      <c r="AW162" s="487" t="s">
        <v>543</v>
      </c>
      <c r="AX162" s="317">
        <f t="shared" si="1"/>
        <v>0</v>
      </c>
      <c r="AY162" s="327"/>
      <c r="AZ162" s="308"/>
      <c r="BA162" s="311"/>
      <c r="BC162" s="308"/>
      <c r="BD162" s="308"/>
      <c r="BE162" s="308"/>
      <c r="BF162" s="308"/>
    </row>
    <row r="163" spans="1:58" ht="17.25" customHeight="1" thickBot="1" x14ac:dyDescent="0.3">
      <c r="A163" s="1010" t="s">
        <v>42</v>
      </c>
      <c r="B163" s="1011"/>
      <c r="C163" s="1012"/>
      <c r="D163" s="351"/>
      <c r="E163" s="352"/>
      <c r="F163" s="488" t="s">
        <v>42</v>
      </c>
      <c r="G163" s="926">
        <f t="shared" si="11"/>
        <v>0</v>
      </c>
      <c r="H163" s="927"/>
      <c r="I163" s="928"/>
      <c r="J163" s="354">
        <v>0</v>
      </c>
      <c r="K163" s="355">
        <v>0</v>
      </c>
      <c r="L163" s="356">
        <f t="shared" si="12"/>
        <v>0</v>
      </c>
      <c r="M163" s="324"/>
      <c r="N163" s="1010" t="s">
        <v>42</v>
      </c>
      <c r="O163" s="1011"/>
      <c r="P163" s="1012"/>
      <c r="Q163" s="351"/>
      <c r="R163" s="352"/>
      <c r="S163" s="489" t="s">
        <v>42</v>
      </c>
      <c r="T163" s="929">
        <f t="shared" si="13"/>
        <v>0</v>
      </c>
      <c r="U163" s="929"/>
      <c r="V163" s="929"/>
      <c r="W163" s="354">
        <v>0</v>
      </c>
      <c r="X163" s="355">
        <v>0</v>
      </c>
      <c r="Y163" s="356">
        <f t="shared" si="14"/>
        <v>0</v>
      </c>
      <c r="Z163" s="357">
        <f t="shared" si="15"/>
        <v>0</v>
      </c>
      <c r="AA163" s="324"/>
      <c r="AC163" s="442" t="s">
        <v>544</v>
      </c>
      <c r="AD163" s="316" t="s">
        <v>175</v>
      </c>
      <c r="AE163" s="332">
        <f t="shared" si="9"/>
        <v>6</v>
      </c>
      <c r="AF163" s="333" t="str">
        <f t="shared" si="10"/>
        <v/>
      </c>
      <c r="AH163" s="308"/>
      <c r="AI163" s="896" t="s">
        <v>545</v>
      </c>
      <c r="AJ163" s="897"/>
      <c r="AK163" s="897"/>
      <c r="AL163" s="897"/>
      <c r="AM163" s="897"/>
      <c r="AN163" s="423" t="s">
        <v>546</v>
      </c>
      <c r="AO163" s="317">
        <f t="shared" si="0"/>
        <v>0</v>
      </c>
      <c r="AP163" s="318"/>
      <c r="AQ163" s="308"/>
      <c r="AR163" s="319" t="s">
        <v>547</v>
      </c>
      <c r="AS163" s="320"/>
      <c r="AT163" s="320"/>
      <c r="AU163" s="320"/>
      <c r="AV163" s="320"/>
      <c r="AW163" s="490" t="s">
        <v>548</v>
      </c>
      <c r="AX163" s="317">
        <f t="shared" si="1"/>
        <v>0</v>
      </c>
      <c r="AY163" s="474"/>
      <c r="AZ163" s="308"/>
      <c r="BA163" s="311"/>
      <c r="BB163" s="308"/>
      <c r="BC163" s="308"/>
      <c r="BD163" s="308"/>
      <c r="BE163" s="308"/>
      <c r="BF163" s="308"/>
    </row>
    <row r="164" spans="1:58" ht="17.25" customHeight="1" x14ac:dyDescent="0.25">
      <c r="A164" s="1010" t="s">
        <v>141</v>
      </c>
      <c r="B164" s="1011"/>
      <c r="C164" s="1012"/>
      <c r="D164" s="351"/>
      <c r="E164" s="352"/>
      <c r="F164" s="22" t="s">
        <v>119</v>
      </c>
      <c r="G164" s="926">
        <f t="shared" si="11"/>
        <v>0</v>
      </c>
      <c r="H164" s="927"/>
      <c r="I164" s="928"/>
      <c r="J164" s="354">
        <v>0</v>
      </c>
      <c r="K164" s="355">
        <v>0</v>
      </c>
      <c r="L164" s="356">
        <f t="shared" si="12"/>
        <v>0</v>
      </c>
      <c r="M164" s="324"/>
      <c r="N164" s="1010" t="s">
        <v>141</v>
      </c>
      <c r="O164" s="1011"/>
      <c r="P164" s="1012"/>
      <c r="Q164" s="351"/>
      <c r="R164" s="352"/>
      <c r="S164" s="22" t="s">
        <v>119</v>
      </c>
      <c r="T164" s="929">
        <f t="shared" si="13"/>
        <v>0</v>
      </c>
      <c r="U164" s="929"/>
      <c r="V164" s="929"/>
      <c r="W164" s="354">
        <v>0</v>
      </c>
      <c r="X164" s="355">
        <v>0</v>
      </c>
      <c r="Y164" s="356">
        <f t="shared" si="14"/>
        <v>0</v>
      </c>
      <c r="Z164" s="357">
        <f t="shared" si="15"/>
        <v>0</v>
      </c>
      <c r="AA164" s="324"/>
      <c r="AC164" s="442" t="s">
        <v>549</v>
      </c>
      <c r="AD164" s="491" t="s">
        <v>550</v>
      </c>
      <c r="AE164" s="332">
        <f t="shared" si="9"/>
        <v>0</v>
      </c>
      <c r="AF164" s="333" t="str">
        <f t="shared" si="10"/>
        <v/>
      </c>
      <c r="AH164" s="308"/>
      <c r="AI164" s="896" t="s">
        <v>551</v>
      </c>
      <c r="AJ164" s="897"/>
      <c r="AK164" s="897"/>
      <c r="AL164" s="897"/>
      <c r="AM164" s="897"/>
      <c r="AN164" s="468" t="s">
        <v>552</v>
      </c>
      <c r="AO164" s="317">
        <f t="shared" si="0"/>
        <v>0</v>
      </c>
      <c r="AP164" s="318"/>
      <c r="AQ164" s="308"/>
      <c r="AR164" s="319" t="s">
        <v>553</v>
      </c>
      <c r="AS164" s="320"/>
      <c r="AT164" s="320"/>
      <c r="AU164" s="320"/>
      <c r="AV164" s="320"/>
      <c r="AW164" s="404" t="s">
        <v>554</v>
      </c>
      <c r="AX164" s="317">
        <f t="shared" si="1"/>
        <v>0</v>
      </c>
      <c r="AY164" s="474"/>
      <c r="AZ164" s="308"/>
      <c r="BA164" s="311"/>
      <c r="BB164" s="308"/>
      <c r="BC164" s="308"/>
      <c r="BD164" s="308"/>
      <c r="BE164" s="308"/>
      <c r="BF164" s="308"/>
    </row>
    <row r="165" spans="1:58" ht="17.25" customHeight="1" thickBot="1" x14ac:dyDescent="0.3">
      <c r="A165" s="978" t="s">
        <v>91</v>
      </c>
      <c r="B165" s="979"/>
      <c r="C165" s="980"/>
      <c r="D165" s="351"/>
      <c r="E165" s="352" t="s">
        <v>367</v>
      </c>
      <c r="F165" s="492" t="s">
        <v>90</v>
      </c>
      <c r="G165" s="926">
        <f t="shared" si="11"/>
        <v>0</v>
      </c>
      <c r="H165" s="927"/>
      <c r="I165" s="928"/>
      <c r="J165" s="354">
        <v>0</v>
      </c>
      <c r="K165" s="355">
        <v>0</v>
      </c>
      <c r="L165" s="356">
        <f t="shared" si="12"/>
        <v>0</v>
      </c>
      <c r="M165" s="324"/>
      <c r="N165" s="978" t="s">
        <v>91</v>
      </c>
      <c r="O165" s="979"/>
      <c r="P165" s="980"/>
      <c r="Q165" s="351"/>
      <c r="R165" s="352" t="s">
        <v>367</v>
      </c>
      <c r="S165" s="492" t="s">
        <v>90</v>
      </c>
      <c r="T165" s="929">
        <f t="shared" si="13"/>
        <v>0</v>
      </c>
      <c r="U165" s="929"/>
      <c r="V165" s="929"/>
      <c r="W165" s="354">
        <v>0</v>
      </c>
      <c r="X165" s="355">
        <v>0</v>
      </c>
      <c r="Y165" s="356">
        <f t="shared" si="14"/>
        <v>0</v>
      </c>
      <c r="Z165" s="357">
        <f t="shared" si="15"/>
        <v>0</v>
      </c>
      <c r="AA165" s="324"/>
      <c r="AC165" s="442" t="s">
        <v>555</v>
      </c>
      <c r="AD165" s="447" t="s">
        <v>556</v>
      </c>
      <c r="AE165" s="332">
        <f t="shared" si="9"/>
        <v>0</v>
      </c>
      <c r="AF165" s="333" t="str">
        <f t="shared" si="10"/>
        <v/>
      </c>
      <c r="AH165" s="308"/>
      <c r="AI165" s="896" t="s">
        <v>557</v>
      </c>
      <c r="AJ165" s="897"/>
      <c r="AK165" s="897"/>
      <c r="AL165" s="897"/>
      <c r="AM165" s="897"/>
      <c r="AN165" s="493" t="s">
        <v>558</v>
      </c>
      <c r="AO165" s="317">
        <f t="shared" si="0"/>
        <v>0</v>
      </c>
      <c r="AP165" s="318"/>
      <c r="AQ165" s="308"/>
      <c r="AR165" s="948" t="s">
        <v>559</v>
      </c>
      <c r="AS165" s="949"/>
      <c r="AT165" s="949"/>
      <c r="AU165" s="949"/>
      <c r="AV165" s="1020"/>
      <c r="AW165" s="494" t="s">
        <v>560</v>
      </c>
      <c r="AX165" s="317">
        <f t="shared" si="1"/>
        <v>0</v>
      </c>
      <c r="AY165" s="327"/>
      <c r="AZ165" s="308"/>
      <c r="BA165" s="311"/>
      <c r="BB165" s="308"/>
      <c r="BC165" s="308"/>
      <c r="BD165" s="308"/>
      <c r="BE165" s="308"/>
      <c r="BF165" s="308"/>
    </row>
    <row r="166" spans="1:58" ht="17.25" customHeight="1" thickBot="1" x14ac:dyDescent="0.3">
      <c r="A166" s="1010" t="s">
        <v>93</v>
      </c>
      <c r="B166" s="1011"/>
      <c r="C166" s="1012"/>
      <c r="D166" s="351"/>
      <c r="E166" s="352" t="s">
        <v>367</v>
      </c>
      <c r="F166" s="495" t="s">
        <v>92</v>
      </c>
      <c r="G166" s="926">
        <f t="shared" si="11"/>
        <v>0</v>
      </c>
      <c r="H166" s="927"/>
      <c r="I166" s="928"/>
      <c r="J166" s="354">
        <v>0</v>
      </c>
      <c r="K166" s="355">
        <v>0</v>
      </c>
      <c r="L166" s="356">
        <f t="shared" si="12"/>
        <v>0</v>
      </c>
      <c r="M166" s="324"/>
      <c r="N166" s="1010" t="s">
        <v>93</v>
      </c>
      <c r="O166" s="1011"/>
      <c r="P166" s="1012"/>
      <c r="Q166" s="351"/>
      <c r="R166" s="352" t="s">
        <v>367</v>
      </c>
      <c r="S166" s="495" t="s">
        <v>92</v>
      </c>
      <c r="T166" s="929">
        <f t="shared" si="13"/>
        <v>0</v>
      </c>
      <c r="U166" s="929"/>
      <c r="V166" s="929"/>
      <c r="W166" s="354">
        <v>0</v>
      </c>
      <c r="X166" s="355">
        <v>0</v>
      </c>
      <c r="Y166" s="356">
        <f t="shared" si="14"/>
        <v>0</v>
      </c>
      <c r="Z166" s="357">
        <f t="shared" si="15"/>
        <v>0</v>
      </c>
      <c r="AA166" s="324"/>
      <c r="AC166" s="442" t="s">
        <v>561</v>
      </c>
      <c r="AD166" s="496" t="s">
        <v>562</v>
      </c>
      <c r="AE166" s="332">
        <f t="shared" si="9"/>
        <v>0</v>
      </c>
      <c r="AF166" s="333" t="str">
        <f t="shared" si="10"/>
        <v/>
      </c>
      <c r="AH166" s="308"/>
      <c r="AI166" s="896" t="s">
        <v>563</v>
      </c>
      <c r="AJ166" s="897"/>
      <c r="AK166" s="897"/>
      <c r="AL166" s="897"/>
      <c r="AM166" s="897"/>
      <c r="AN166" s="468" t="s">
        <v>564</v>
      </c>
      <c r="AO166" s="317">
        <f t="shared" si="0"/>
        <v>0</v>
      </c>
      <c r="AP166" s="318"/>
      <c r="AQ166" s="308"/>
      <c r="AR166" s="914" t="s">
        <v>565</v>
      </c>
      <c r="AS166" s="915"/>
      <c r="AT166" s="915"/>
      <c r="AU166" s="915"/>
      <c r="AV166" s="915"/>
      <c r="AW166" s="497" t="s">
        <v>566</v>
      </c>
      <c r="AX166" s="317">
        <f t="shared" si="1"/>
        <v>0</v>
      </c>
      <c r="AY166" s="498"/>
      <c r="AZ166" s="308"/>
      <c r="BA166" s="311"/>
      <c r="BB166" s="308"/>
      <c r="BC166" s="308"/>
      <c r="BD166" s="308"/>
      <c r="BE166" s="308"/>
      <c r="BF166" s="308"/>
    </row>
    <row r="167" spans="1:58" ht="17.25" customHeight="1" thickBot="1" x14ac:dyDescent="0.3">
      <c r="A167" s="1010" t="s">
        <v>116</v>
      </c>
      <c r="B167" s="1011"/>
      <c r="C167" s="1012"/>
      <c r="D167" s="351" t="s">
        <v>6</v>
      </c>
      <c r="E167" s="352" t="s">
        <v>367</v>
      </c>
      <c r="F167" s="499" t="s">
        <v>117</v>
      </c>
      <c r="G167" s="926">
        <f t="shared" si="11"/>
        <v>0</v>
      </c>
      <c r="H167" s="927"/>
      <c r="I167" s="928"/>
      <c r="J167" s="354">
        <v>0</v>
      </c>
      <c r="K167" s="355">
        <v>0</v>
      </c>
      <c r="L167" s="356">
        <f t="shared" si="12"/>
        <v>0</v>
      </c>
      <c r="M167" s="324"/>
      <c r="N167" s="1010" t="s">
        <v>116</v>
      </c>
      <c r="O167" s="1011"/>
      <c r="P167" s="1012"/>
      <c r="Q167" s="351" t="s">
        <v>6</v>
      </c>
      <c r="R167" s="352" t="s">
        <v>367</v>
      </c>
      <c r="S167" s="499" t="s">
        <v>117</v>
      </c>
      <c r="T167" s="929">
        <f t="shared" si="13"/>
        <v>0</v>
      </c>
      <c r="U167" s="929"/>
      <c r="V167" s="929"/>
      <c r="W167" s="354">
        <v>0</v>
      </c>
      <c r="X167" s="355">
        <v>0</v>
      </c>
      <c r="Y167" s="356">
        <f t="shared" si="14"/>
        <v>0</v>
      </c>
      <c r="Z167" s="357">
        <f t="shared" si="15"/>
        <v>0</v>
      </c>
      <c r="AA167" s="324"/>
      <c r="AC167" s="442" t="s">
        <v>567</v>
      </c>
      <c r="AD167" s="394" t="s">
        <v>568</v>
      </c>
      <c r="AE167" s="332">
        <f t="shared" si="9"/>
        <v>0</v>
      </c>
      <c r="AF167" s="333" t="str">
        <f t="shared" si="10"/>
        <v/>
      </c>
      <c r="AH167" s="308"/>
      <c r="AI167" s="896" t="s">
        <v>569</v>
      </c>
      <c r="AJ167" s="897"/>
      <c r="AK167" s="897"/>
      <c r="AL167" s="897"/>
      <c r="AM167" s="897"/>
      <c r="AN167" s="500" t="s">
        <v>570</v>
      </c>
      <c r="AO167" s="317">
        <f t="shared" si="0"/>
        <v>0</v>
      </c>
      <c r="AP167" s="318"/>
      <c r="AQ167" s="308"/>
      <c r="AR167" s="951" t="s">
        <v>571</v>
      </c>
      <c r="AS167" s="952"/>
      <c r="AT167" s="952"/>
      <c r="AU167" s="952"/>
      <c r="AV167" s="953"/>
      <c r="AW167" s="501"/>
      <c r="AX167" s="502">
        <f>SUM(AX126:AX166)</f>
        <v>0</v>
      </c>
      <c r="AY167" s="308"/>
      <c r="AZ167" s="308"/>
      <c r="BA167" s="311"/>
      <c r="BB167" s="308"/>
      <c r="BC167" s="308"/>
      <c r="BD167" s="308"/>
      <c r="BE167" s="308"/>
      <c r="BF167" s="308"/>
    </row>
    <row r="168" spans="1:58" ht="17.25" customHeight="1" thickBot="1" x14ac:dyDescent="0.3">
      <c r="A168" s="1010" t="s">
        <v>33</v>
      </c>
      <c r="B168" s="1011"/>
      <c r="C168" s="1012"/>
      <c r="D168" s="351"/>
      <c r="E168" s="352" t="s">
        <v>367</v>
      </c>
      <c r="F168" s="503" t="s">
        <v>34</v>
      </c>
      <c r="G168" s="926">
        <f t="shared" si="11"/>
        <v>0</v>
      </c>
      <c r="H168" s="927"/>
      <c r="I168" s="928"/>
      <c r="J168" s="354">
        <v>0</v>
      </c>
      <c r="K168" s="355">
        <v>0</v>
      </c>
      <c r="L168" s="356">
        <f t="shared" si="12"/>
        <v>0</v>
      </c>
      <c r="M168" s="324"/>
      <c r="N168" s="1010" t="s">
        <v>33</v>
      </c>
      <c r="O168" s="1011"/>
      <c r="P168" s="1012"/>
      <c r="Q168" s="351"/>
      <c r="R168" s="352" t="s">
        <v>367</v>
      </c>
      <c r="S168" s="503" t="s">
        <v>34</v>
      </c>
      <c r="T168" s="929">
        <f t="shared" si="13"/>
        <v>2</v>
      </c>
      <c r="U168" s="929"/>
      <c r="V168" s="929"/>
      <c r="W168" s="354">
        <v>0</v>
      </c>
      <c r="X168" s="355">
        <v>0</v>
      </c>
      <c r="Y168" s="356">
        <f t="shared" si="14"/>
        <v>2</v>
      </c>
      <c r="Z168" s="357">
        <f t="shared" si="15"/>
        <v>2</v>
      </c>
      <c r="AA168" s="324"/>
      <c r="AC168" s="442" t="s">
        <v>407</v>
      </c>
      <c r="AD168" s="504" t="s">
        <v>572</v>
      </c>
      <c r="AE168" s="332">
        <f t="shared" si="9"/>
        <v>0</v>
      </c>
      <c r="AF168" s="333" t="str">
        <f t="shared" si="10"/>
        <v/>
      </c>
      <c r="AH168" s="308"/>
      <c r="AI168" s="896" t="s">
        <v>573</v>
      </c>
      <c r="AJ168" s="897"/>
      <c r="AK168" s="897"/>
      <c r="AL168" s="897"/>
      <c r="AM168" s="897"/>
      <c r="AN168" s="505" t="s">
        <v>574</v>
      </c>
      <c r="AO168" s="317">
        <f t="shared" si="0"/>
        <v>0</v>
      </c>
      <c r="AP168" s="318"/>
      <c r="AQ168" s="308"/>
      <c r="AR168" s="308"/>
      <c r="AS168" s="308"/>
      <c r="AT168" s="308"/>
      <c r="AU168" s="308"/>
      <c r="AV168" s="308"/>
      <c r="AW168" s="308"/>
      <c r="AX168" s="308"/>
      <c r="AY168" s="308"/>
      <c r="AZ168" s="308"/>
      <c r="BA168" s="311"/>
      <c r="BB168" s="308"/>
      <c r="BC168" s="308"/>
      <c r="BD168" s="308"/>
      <c r="BE168" s="308"/>
      <c r="BF168" s="308"/>
    </row>
    <row r="169" spans="1:58" ht="17.25" customHeight="1" thickBot="1" x14ac:dyDescent="0.3">
      <c r="A169" s="1010" t="s">
        <v>95</v>
      </c>
      <c r="B169" s="1011"/>
      <c r="C169" s="1012"/>
      <c r="D169" s="351"/>
      <c r="E169" s="352" t="s">
        <v>367</v>
      </c>
      <c r="F169" s="506" t="s">
        <v>94</v>
      </c>
      <c r="G169" s="926">
        <f t="shared" si="11"/>
        <v>0</v>
      </c>
      <c r="H169" s="927"/>
      <c r="I169" s="928"/>
      <c r="J169" s="354">
        <v>0</v>
      </c>
      <c r="K169" s="355">
        <v>0</v>
      </c>
      <c r="L169" s="356">
        <f t="shared" si="12"/>
        <v>0</v>
      </c>
      <c r="M169" s="324"/>
      <c r="N169" s="1010" t="s">
        <v>95</v>
      </c>
      <c r="O169" s="1011"/>
      <c r="P169" s="1012"/>
      <c r="Q169" s="351"/>
      <c r="R169" s="352" t="s">
        <v>367</v>
      </c>
      <c r="S169" s="506" t="s">
        <v>94</v>
      </c>
      <c r="T169" s="929">
        <f t="shared" si="13"/>
        <v>0</v>
      </c>
      <c r="U169" s="929"/>
      <c r="V169" s="929"/>
      <c r="W169" s="354">
        <v>0</v>
      </c>
      <c r="X169" s="355">
        <v>0</v>
      </c>
      <c r="Y169" s="356">
        <f t="shared" si="14"/>
        <v>0</v>
      </c>
      <c r="Z169" s="357">
        <f t="shared" si="15"/>
        <v>0</v>
      </c>
      <c r="AA169" s="324"/>
      <c r="AC169" s="442" t="s">
        <v>575</v>
      </c>
      <c r="AD169" s="507" t="s">
        <v>576</v>
      </c>
      <c r="AE169" s="332">
        <f t="shared" si="9"/>
        <v>0</v>
      </c>
      <c r="AF169" s="333" t="str">
        <f t="shared" si="10"/>
        <v/>
      </c>
      <c r="AH169" s="308"/>
      <c r="AI169" s="896" t="s">
        <v>577</v>
      </c>
      <c r="AJ169" s="897"/>
      <c r="AK169" s="897"/>
      <c r="AL169" s="897"/>
      <c r="AM169" s="897"/>
      <c r="AN169" s="505" t="s">
        <v>578</v>
      </c>
      <c r="AO169" s="317">
        <f t="shared" si="0"/>
        <v>0</v>
      </c>
      <c r="AP169" s="318"/>
      <c r="AQ169" s="308"/>
      <c r="AR169" s="907" t="s">
        <v>368</v>
      </c>
      <c r="AS169" s="908"/>
      <c r="AT169" s="908"/>
      <c r="AU169" s="908"/>
      <c r="AV169" s="908"/>
      <c r="AW169" s="904"/>
      <c r="AX169" s="309" t="s">
        <v>299</v>
      </c>
      <c r="AY169" s="310"/>
      <c r="AZ169" s="308"/>
      <c r="BA169" s="311"/>
      <c r="BB169" s="308"/>
      <c r="BC169" s="308"/>
      <c r="BD169" s="308"/>
      <c r="BE169" s="308"/>
      <c r="BF169" s="308"/>
    </row>
    <row r="170" spans="1:58" ht="17.25" customHeight="1" thickBot="1" x14ac:dyDescent="0.3">
      <c r="A170" s="1010" t="s">
        <v>97</v>
      </c>
      <c r="B170" s="1011"/>
      <c r="C170" s="1012"/>
      <c r="D170" s="351"/>
      <c r="E170" s="352" t="s">
        <v>367</v>
      </c>
      <c r="F170" s="508" t="s">
        <v>96</v>
      </c>
      <c r="G170" s="926">
        <f t="shared" si="11"/>
        <v>0</v>
      </c>
      <c r="H170" s="927"/>
      <c r="I170" s="928"/>
      <c r="J170" s="354">
        <v>0</v>
      </c>
      <c r="K170" s="355">
        <v>0</v>
      </c>
      <c r="L170" s="356">
        <f t="shared" si="12"/>
        <v>0</v>
      </c>
      <c r="M170" s="324"/>
      <c r="N170" s="1010" t="s">
        <v>97</v>
      </c>
      <c r="O170" s="1011"/>
      <c r="P170" s="1012"/>
      <c r="Q170" s="351"/>
      <c r="R170" s="352" t="s">
        <v>367</v>
      </c>
      <c r="S170" s="508" t="s">
        <v>96</v>
      </c>
      <c r="T170" s="929">
        <f t="shared" si="13"/>
        <v>0</v>
      </c>
      <c r="U170" s="929"/>
      <c r="V170" s="929"/>
      <c r="W170" s="354">
        <v>0</v>
      </c>
      <c r="X170" s="355">
        <v>0</v>
      </c>
      <c r="Y170" s="356">
        <f t="shared" si="14"/>
        <v>0</v>
      </c>
      <c r="Z170" s="357">
        <f t="shared" si="15"/>
        <v>0</v>
      </c>
      <c r="AA170" s="324"/>
      <c r="AC170" s="509" t="s">
        <v>48</v>
      </c>
      <c r="AD170" s="66" t="s">
        <v>48</v>
      </c>
      <c r="AE170" s="332">
        <f t="shared" si="9"/>
        <v>136</v>
      </c>
      <c r="AF170" s="333" t="str">
        <f t="shared" si="10"/>
        <v/>
      </c>
      <c r="AH170" s="308"/>
      <c r="AI170" s="896" t="s">
        <v>579</v>
      </c>
      <c r="AJ170" s="897"/>
      <c r="AK170" s="897"/>
      <c r="AL170" s="897"/>
      <c r="AM170" s="897"/>
      <c r="AN170" s="510" t="s">
        <v>580</v>
      </c>
      <c r="AO170" s="317">
        <f t="shared" si="0"/>
        <v>0</v>
      </c>
      <c r="AP170" s="318"/>
      <c r="AQ170" s="308"/>
      <c r="AR170" s="954" t="s">
        <v>581</v>
      </c>
      <c r="AS170" s="955"/>
      <c r="AT170" s="955"/>
      <c r="AU170" s="955"/>
      <c r="AV170" s="955"/>
      <c r="AW170" s="511" t="s">
        <v>582</v>
      </c>
      <c r="AX170" s="317">
        <f t="shared" ref="AX170:AX223" si="16">COUNTIF($A$1:$GO$103,AW170)</f>
        <v>0</v>
      </c>
      <c r="AY170" s="512"/>
      <c r="AZ170" s="308"/>
      <c r="BA170" s="311"/>
      <c r="BB170" s="308"/>
    </row>
    <row r="171" spans="1:58" ht="17.25" customHeight="1" x14ac:dyDescent="0.25">
      <c r="A171" s="1010" t="s">
        <v>142</v>
      </c>
      <c r="B171" s="1011"/>
      <c r="C171" s="1012"/>
      <c r="D171" s="513"/>
      <c r="E171" s="456"/>
      <c r="F171" s="514" t="s">
        <v>136</v>
      </c>
      <c r="G171" s="926">
        <f t="shared" si="11"/>
        <v>0</v>
      </c>
      <c r="H171" s="927"/>
      <c r="I171" s="928"/>
      <c r="J171" s="354">
        <v>0</v>
      </c>
      <c r="K171" s="355">
        <v>0</v>
      </c>
      <c r="L171" s="356">
        <f t="shared" si="12"/>
        <v>0</v>
      </c>
      <c r="M171" s="324"/>
      <c r="N171" s="1010" t="s">
        <v>142</v>
      </c>
      <c r="O171" s="1011"/>
      <c r="P171" s="1012"/>
      <c r="Q171" s="515"/>
      <c r="R171" s="516"/>
      <c r="S171" s="514" t="s">
        <v>136</v>
      </c>
      <c r="T171" s="929">
        <f t="shared" si="13"/>
        <v>0</v>
      </c>
      <c r="U171" s="929"/>
      <c r="V171" s="929"/>
      <c r="W171" s="354">
        <v>0</v>
      </c>
      <c r="X171" s="355">
        <v>0</v>
      </c>
      <c r="Y171" s="356">
        <f t="shared" si="14"/>
        <v>0</v>
      </c>
      <c r="Z171" s="357">
        <f t="shared" si="15"/>
        <v>0</v>
      </c>
      <c r="AA171" s="324"/>
      <c r="AC171" s="442" t="s">
        <v>583</v>
      </c>
      <c r="AD171" s="321" t="s">
        <v>584</v>
      </c>
      <c r="AE171" s="332">
        <f t="shared" si="9"/>
        <v>0</v>
      </c>
      <c r="AF171" s="333" t="str">
        <f t="shared" si="10"/>
        <v/>
      </c>
      <c r="AH171" s="308"/>
      <c r="AI171" s="896" t="s">
        <v>585</v>
      </c>
      <c r="AJ171" s="897"/>
      <c r="AK171" s="897"/>
      <c r="AL171" s="897"/>
      <c r="AM171" s="897"/>
      <c r="AN171" s="411" t="s">
        <v>586</v>
      </c>
      <c r="AO171" s="317">
        <f t="shared" si="0"/>
        <v>0</v>
      </c>
      <c r="AP171" s="318"/>
      <c r="AQ171" s="308"/>
      <c r="AR171" s="954" t="s">
        <v>587</v>
      </c>
      <c r="AS171" s="955"/>
      <c r="AT171" s="955"/>
      <c r="AU171" s="955"/>
      <c r="AV171" s="955"/>
      <c r="AW171" s="517" t="s">
        <v>588</v>
      </c>
      <c r="AX171" s="317">
        <f t="shared" si="16"/>
        <v>0</v>
      </c>
      <c r="AY171" s="512"/>
      <c r="AZ171" s="308"/>
      <c r="BA171" s="311"/>
      <c r="BB171" s="308"/>
    </row>
    <row r="172" spans="1:58" ht="17.25" customHeight="1" x14ac:dyDescent="0.25">
      <c r="A172" s="972" t="s">
        <v>299</v>
      </c>
      <c r="B172" s="973"/>
      <c r="C172" s="973"/>
      <c r="D172" s="973"/>
      <c r="E172" s="973"/>
      <c r="F172" s="518"/>
      <c r="G172" s="1000">
        <f>SUM(G154:I171)</f>
        <v>1</v>
      </c>
      <c r="H172" s="1000"/>
      <c r="I172" s="1000"/>
      <c r="J172" s="439">
        <f>SUM(J154:J171)</f>
        <v>0</v>
      </c>
      <c r="K172" s="440">
        <f>SUM(K154:K171)</f>
        <v>0</v>
      </c>
      <c r="L172" s="356">
        <f>SUM(L154:L171)</f>
        <v>1</v>
      </c>
      <c r="M172" s="324"/>
      <c r="N172" s="1001" t="s">
        <v>299</v>
      </c>
      <c r="O172" s="1002"/>
      <c r="P172" s="1002"/>
      <c r="Q172" s="1002"/>
      <c r="R172" s="1002"/>
      <c r="S172" s="519"/>
      <c r="T172" s="1003">
        <f>SUM(T154:V171)</f>
        <v>5</v>
      </c>
      <c r="U172" s="1003"/>
      <c r="V172" s="1003"/>
      <c r="W172" s="439">
        <f>SUM(W154:W171)</f>
        <v>0</v>
      </c>
      <c r="X172" s="440">
        <f>SUM(X154:X171)</f>
        <v>0</v>
      </c>
      <c r="Y172" s="356">
        <f>SUM(Y154:Y171)</f>
        <v>5</v>
      </c>
      <c r="Z172" s="357">
        <f t="shared" si="15"/>
        <v>6</v>
      </c>
      <c r="AA172" s="324"/>
      <c r="AC172" s="442" t="s">
        <v>589</v>
      </c>
      <c r="AD172" s="520" t="s">
        <v>590</v>
      </c>
      <c r="AE172" s="332">
        <f t="shared" si="9"/>
        <v>0</v>
      </c>
      <c r="AF172" s="333" t="str">
        <f t="shared" si="10"/>
        <v/>
      </c>
      <c r="AH172" s="308"/>
      <c r="AI172" s="896" t="s">
        <v>591</v>
      </c>
      <c r="AJ172" s="897"/>
      <c r="AK172" s="897"/>
      <c r="AL172" s="897"/>
      <c r="AM172" s="897"/>
      <c r="AN172" s="521" t="s">
        <v>592</v>
      </c>
      <c r="AO172" s="317">
        <f t="shared" si="0"/>
        <v>0</v>
      </c>
      <c r="AP172" s="318"/>
      <c r="AQ172" s="308"/>
      <c r="AR172" s="954" t="s">
        <v>593</v>
      </c>
      <c r="AS172" s="955"/>
      <c r="AT172" s="955"/>
      <c r="AU172" s="955"/>
      <c r="AV172" s="955"/>
      <c r="AW172" s="517" t="s">
        <v>594</v>
      </c>
      <c r="AX172" s="317">
        <f t="shared" si="16"/>
        <v>0</v>
      </c>
      <c r="AY172" s="512"/>
      <c r="AZ172" s="308"/>
      <c r="BA172" s="311"/>
      <c r="BB172" s="308"/>
    </row>
    <row r="173" spans="1:58" ht="17.25" customHeight="1" x14ac:dyDescent="0.25">
      <c r="A173" s="1013" t="s">
        <v>595</v>
      </c>
      <c r="B173" s="1014"/>
      <c r="C173" s="1014"/>
      <c r="D173" s="1014"/>
      <c r="E173" s="1014"/>
      <c r="F173" s="1014"/>
      <c r="G173" s="1014"/>
      <c r="H173" s="1014"/>
      <c r="I173" s="1015"/>
      <c r="J173" s="346" t="s">
        <v>351</v>
      </c>
      <c r="K173" s="346" t="s">
        <v>352</v>
      </c>
      <c r="L173" s="346" t="s">
        <v>353</v>
      </c>
      <c r="M173" s="324"/>
      <c r="N173" s="1013" t="s">
        <v>595</v>
      </c>
      <c r="O173" s="1014"/>
      <c r="P173" s="1014"/>
      <c r="Q173" s="1014"/>
      <c r="R173" s="1014"/>
      <c r="S173" s="1014"/>
      <c r="T173" s="1014"/>
      <c r="U173" s="1014"/>
      <c r="V173" s="1015"/>
      <c r="W173" s="347" t="s">
        <v>351</v>
      </c>
      <c r="X173" s="347" t="s">
        <v>352</v>
      </c>
      <c r="Y173" s="347" t="s">
        <v>353</v>
      </c>
      <c r="Z173" s="446"/>
      <c r="AA173" s="324"/>
      <c r="AC173" s="442" t="s">
        <v>596</v>
      </c>
      <c r="AD173" s="522" t="s">
        <v>597</v>
      </c>
      <c r="AE173" s="332">
        <f t="shared" si="9"/>
        <v>0</v>
      </c>
      <c r="AF173" s="333" t="str">
        <f t="shared" si="10"/>
        <v/>
      </c>
      <c r="AH173" s="308"/>
      <c r="AI173" s="896" t="s">
        <v>598</v>
      </c>
      <c r="AJ173" s="897"/>
      <c r="AK173" s="897"/>
      <c r="AL173" s="897"/>
      <c r="AM173" s="897"/>
      <c r="AN173" s="468" t="s">
        <v>599</v>
      </c>
      <c r="AO173" s="317">
        <f t="shared" si="0"/>
        <v>0</v>
      </c>
      <c r="AP173" s="318"/>
      <c r="AQ173" s="308"/>
      <c r="AR173" s="954" t="s">
        <v>600</v>
      </c>
      <c r="AS173" s="955"/>
      <c r="AT173" s="955"/>
      <c r="AU173" s="955"/>
      <c r="AV173" s="955"/>
      <c r="AW173" s="523" t="s">
        <v>601</v>
      </c>
      <c r="AX173" s="317">
        <f t="shared" si="16"/>
        <v>0</v>
      </c>
      <c r="AY173" s="512"/>
      <c r="AZ173" s="308"/>
      <c r="BA173" s="311"/>
    </row>
    <row r="174" spans="1:58" ht="17.25" customHeight="1" thickBot="1" x14ac:dyDescent="0.3">
      <c r="A174" s="1016" t="s">
        <v>143</v>
      </c>
      <c r="B174" s="1017"/>
      <c r="C174" s="1018"/>
      <c r="D174" s="450"/>
      <c r="E174" s="451"/>
      <c r="F174" s="365" t="s">
        <v>122</v>
      </c>
      <c r="G174" s="1019">
        <f>COUNTIF($A$4:$M$42,F174)+COUNTIF($A$43:$O$81,F174)+COUNTIF($N$4:$T$19,F174)+COUNTIF($O$20:$S$23,F174)+COUNTIF($N$24:$Q$25,F174)+COUNTIF($N$26:$P$26,F174)+COUNTIF($P$42,F174)+COUNTIF($T$21:$T$22,F174)+COUNTIF($R$24,F174)+COUNTIF($N$27:$O$28,F174)</f>
        <v>0</v>
      </c>
      <c r="H174" s="986"/>
      <c r="I174" s="987"/>
      <c r="J174" s="354">
        <v>0</v>
      </c>
      <c r="K174" s="355">
        <v>0</v>
      </c>
      <c r="L174" s="356">
        <f t="shared" ref="L174:L175" si="17">G174-K174-J174</f>
        <v>0</v>
      </c>
      <c r="M174" s="324"/>
      <c r="N174" s="1016" t="s">
        <v>143</v>
      </c>
      <c r="O174" s="1017"/>
      <c r="P174" s="1018"/>
      <c r="Q174" s="450"/>
      <c r="R174" s="451"/>
      <c r="S174" s="365" t="s">
        <v>122</v>
      </c>
      <c r="T174" s="929">
        <f>COUNTIF($T$23:$BI$73,S174)+COUNTIF($N$29:$S$39,S174)+COUNTIF($P$47:$S$68,S174)+COUNTIF($Q$40:$S$42,S174)+COUNTIF($P$27:$S$28,S174)+COUNTIF($R$25:$S$25,S174)+COUNTIF($S$24:$S$24,S174)</f>
        <v>0</v>
      </c>
      <c r="U174" s="929"/>
      <c r="V174" s="929"/>
      <c r="W174" s="354">
        <v>0</v>
      </c>
      <c r="X174" s="355">
        <v>0</v>
      </c>
      <c r="Y174" s="356">
        <f t="shared" ref="Y174:Y175" si="18">T174-X174-W174</f>
        <v>0</v>
      </c>
      <c r="Z174" s="357">
        <f t="shared" ref="Z174:Z176" si="19">T174+G174</f>
        <v>0</v>
      </c>
      <c r="AA174" s="324"/>
      <c r="AC174" s="442" t="s">
        <v>602</v>
      </c>
      <c r="AD174" s="524" t="s">
        <v>603</v>
      </c>
      <c r="AE174" s="332">
        <f t="shared" si="9"/>
        <v>0</v>
      </c>
      <c r="AF174" s="333" t="str">
        <f t="shared" si="10"/>
        <v/>
      </c>
      <c r="AH174" s="308"/>
      <c r="AI174" s="896" t="s">
        <v>604</v>
      </c>
      <c r="AJ174" s="897"/>
      <c r="AK174" s="897"/>
      <c r="AL174" s="897"/>
      <c r="AM174" s="897"/>
      <c r="AN174" s="525" t="s">
        <v>605</v>
      </c>
      <c r="AO174" s="317">
        <f t="shared" si="0"/>
        <v>0</v>
      </c>
      <c r="AP174" s="318"/>
      <c r="AQ174" s="308"/>
      <c r="AR174" s="954" t="s">
        <v>606</v>
      </c>
      <c r="AS174" s="955"/>
      <c r="AT174" s="955"/>
      <c r="AU174" s="955"/>
      <c r="AV174" s="955"/>
      <c r="AW174" s="412" t="s">
        <v>155</v>
      </c>
      <c r="AX174" s="317">
        <f t="shared" si="16"/>
        <v>1</v>
      </c>
      <c r="AY174" s="512"/>
      <c r="AZ174" s="308"/>
      <c r="BA174" s="311"/>
    </row>
    <row r="175" spans="1:58" ht="17.25" customHeight="1" thickBot="1" x14ac:dyDescent="0.3">
      <c r="A175" s="1010" t="s">
        <v>144</v>
      </c>
      <c r="B175" s="1011"/>
      <c r="C175" s="1012"/>
      <c r="D175" s="351"/>
      <c r="E175" s="352"/>
      <c r="F175" s="466" t="s">
        <v>123</v>
      </c>
      <c r="G175" s="926">
        <f>COUNTIF($A$4:$M$42,F175)+COUNTIF($A$43:$O$81,F175)+COUNTIF($N$4:$T$19,F175)+COUNTIF($O$20:$S$23,F175)+COUNTIF($N$24:$Q$25,F175)+COUNTIF($N$26:$P$26,F175)+COUNTIF($P$42,F175)+COUNTIF($T$21:$T$22,F175)+COUNTIF($R$24,F175)+COUNTIF($N$27:$O$28,F175)</f>
        <v>0</v>
      </c>
      <c r="H175" s="927"/>
      <c r="I175" s="928"/>
      <c r="J175" s="354">
        <v>0</v>
      </c>
      <c r="K175" s="355">
        <v>0</v>
      </c>
      <c r="L175" s="356">
        <f t="shared" si="17"/>
        <v>0</v>
      </c>
      <c r="M175" s="324"/>
      <c r="N175" s="1010" t="s">
        <v>144</v>
      </c>
      <c r="O175" s="1011"/>
      <c r="P175" s="1012"/>
      <c r="Q175" s="351"/>
      <c r="R175" s="352"/>
      <c r="S175" s="466" t="s">
        <v>123</v>
      </c>
      <c r="T175" s="929">
        <f>COUNTIF($T$23:$BI$73,S175)+COUNTIF($N$29:$S$39,S175)+COUNTIF($P$47:$S$68,S175)+COUNTIF($Q$40:$S$42,S175)+COUNTIF($P$27:$S$28,S175)+COUNTIF($R$25:$S$25,S175)+COUNTIF($S$24:$S$24,S175)</f>
        <v>0</v>
      </c>
      <c r="U175" s="929"/>
      <c r="V175" s="929"/>
      <c r="W175" s="354">
        <v>0</v>
      </c>
      <c r="X175" s="355">
        <v>0</v>
      </c>
      <c r="Y175" s="356">
        <f t="shared" si="18"/>
        <v>0</v>
      </c>
      <c r="Z175" s="357">
        <f t="shared" si="19"/>
        <v>0</v>
      </c>
      <c r="AA175" s="324"/>
      <c r="AC175" s="442" t="s">
        <v>607</v>
      </c>
      <c r="AD175" s="526" t="s">
        <v>607</v>
      </c>
      <c r="AE175" s="332">
        <f t="shared" si="9"/>
        <v>0</v>
      </c>
      <c r="AF175" s="333" t="str">
        <f t="shared" si="10"/>
        <v/>
      </c>
      <c r="AH175" s="308"/>
      <c r="AI175" s="896" t="s">
        <v>608</v>
      </c>
      <c r="AJ175" s="897"/>
      <c r="AK175" s="897"/>
      <c r="AL175" s="897"/>
      <c r="AM175" s="897"/>
      <c r="AN175" s="527" t="s">
        <v>609</v>
      </c>
      <c r="AO175" s="317">
        <f t="shared" si="0"/>
        <v>0</v>
      </c>
      <c r="AP175" s="318"/>
      <c r="AQ175" s="308"/>
      <c r="AR175" s="954" t="s">
        <v>610</v>
      </c>
      <c r="AS175" s="955"/>
      <c r="AT175" s="955"/>
      <c r="AU175" s="955"/>
      <c r="AV175" s="955"/>
      <c r="AW175" s="412" t="s">
        <v>611</v>
      </c>
      <c r="AX175" s="317">
        <f t="shared" si="16"/>
        <v>0</v>
      </c>
      <c r="AY175" s="512"/>
      <c r="AZ175" s="308"/>
      <c r="BA175" s="311"/>
    </row>
    <row r="176" spans="1:58" ht="17.25" customHeight="1" x14ac:dyDescent="0.25">
      <c r="A176" s="972" t="s">
        <v>299</v>
      </c>
      <c r="B176" s="973"/>
      <c r="C176" s="973"/>
      <c r="D176" s="973"/>
      <c r="E176" s="973"/>
      <c r="F176" s="518"/>
      <c r="G176" s="1000">
        <f>SUM(G174:I175)</f>
        <v>0</v>
      </c>
      <c r="H176" s="1000"/>
      <c r="I176" s="1000"/>
      <c r="J176" s="439">
        <f>SUM(J174:J175)</f>
        <v>0</v>
      </c>
      <c r="K176" s="440">
        <f>SUM(K174:K175)</f>
        <v>0</v>
      </c>
      <c r="L176" s="356">
        <f>SUM(L174:L175)</f>
        <v>0</v>
      </c>
      <c r="M176" s="324"/>
      <c r="N176" s="1001" t="s">
        <v>299</v>
      </c>
      <c r="O176" s="1002"/>
      <c r="P176" s="1002"/>
      <c r="Q176" s="1002"/>
      <c r="R176" s="1002"/>
      <c r="S176" s="519"/>
      <c r="T176" s="1003">
        <f>SUM(T174:V175)</f>
        <v>0</v>
      </c>
      <c r="U176" s="1003"/>
      <c r="V176" s="1003"/>
      <c r="W176" s="439">
        <f>SUM(W174:W175)</f>
        <v>0</v>
      </c>
      <c r="X176" s="440">
        <f>SUM(X174:X175)</f>
        <v>0</v>
      </c>
      <c r="Y176" s="356">
        <f>SUM(Y174:Y175)</f>
        <v>0</v>
      </c>
      <c r="Z176" s="357">
        <f t="shared" si="19"/>
        <v>0</v>
      </c>
      <c r="AA176" s="324"/>
      <c r="AC176" s="442" t="s">
        <v>612</v>
      </c>
      <c r="AD176" s="528" t="s">
        <v>613</v>
      </c>
      <c r="AE176" s="332">
        <f t="shared" si="9"/>
        <v>0</v>
      </c>
      <c r="AF176" s="333" t="str">
        <f t="shared" si="10"/>
        <v/>
      </c>
      <c r="AH176" s="308"/>
      <c r="AI176" s="896" t="s">
        <v>614</v>
      </c>
      <c r="AJ176" s="897"/>
      <c r="AK176" s="897"/>
      <c r="AL176" s="897"/>
      <c r="AM176" s="897"/>
      <c r="AN176" s="529" t="s">
        <v>615</v>
      </c>
      <c r="AO176" s="317">
        <f t="shared" si="0"/>
        <v>0</v>
      </c>
      <c r="AP176" s="318"/>
      <c r="AQ176" s="308"/>
      <c r="AR176" s="954" t="s">
        <v>616</v>
      </c>
      <c r="AS176" s="955"/>
      <c r="AT176" s="955"/>
      <c r="AU176" s="955"/>
      <c r="AV176" s="955"/>
      <c r="AW176" s="412" t="s">
        <v>617</v>
      </c>
      <c r="AX176" s="317">
        <f t="shared" si="16"/>
        <v>0</v>
      </c>
      <c r="AY176" s="530"/>
      <c r="AZ176" s="308"/>
      <c r="BA176" s="311"/>
    </row>
    <row r="177" spans="1:53" ht="17.25" customHeight="1" x14ac:dyDescent="0.25">
      <c r="A177" s="1004" t="s">
        <v>618</v>
      </c>
      <c r="B177" s="1005"/>
      <c r="C177" s="1005"/>
      <c r="D177" s="1005"/>
      <c r="E177" s="1005"/>
      <c r="F177" s="1005"/>
      <c r="G177" s="1005"/>
      <c r="H177" s="1005"/>
      <c r="I177" s="1006"/>
      <c r="J177" s="346" t="s">
        <v>351</v>
      </c>
      <c r="K177" s="346" t="s">
        <v>352</v>
      </c>
      <c r="L177" s="346" t="s">
        <v>353</v>
      </c>
      <c r="M177" s="324"/>
      <c r="N177" s="1004" t="s">
        <v>618</v>
      </c>
      <c r="O177" s="1005"/>
      <c r="P177" s="1005"/>
      <c r="Q177" s="1005"/>
      <c r="R177" s="1005"/>
      <c r="S177" s="1005"/>
      <c r="T177" s="1005"/>
      <c r="U177" s="1005"/>
      <c r="V177" s="1006"/>
      <c r="W177" s="347" t="s">
        <v>351</v>
      </c>
      <c r="X177" s="347" t="s">
        <v>352</v>
      </c>
      <c r="Y177" s="347" t="s">
        <v>353</v>
      </c>
      <c r="Z177" s="446"/>
      <c r="AA177" s="324"/>
      <c r="AC177" s="442" t="s">
        <v>619</v>
      </c>
      <c r="AD177" s="531" t="s">
        <v>620</v>
      </c>
      <c r="AE177" s="332">
        <f t="shared" si="9"/>
        <v>0</v>
      </c>
      <c r="AF177" s="333" t="str">
        <f t="shared" si="10"/>
        <v/>
      </c>
      <c r="AH177" s="308"/>
      <c r="AI177" s="896" t="s">
        <v>621</v>
      </c>
      <c r="AJ177" s="897"/>
      <c r="AK177" s="897"/>
      <c r="AL177" s="897"/>
      <c r="AM177" s="897"/>
      <c r="AN177" s="532" t="s">
        <v>621</v>
      </c>
      <c r="AO177" s="317">
        <f t="shared" si="0"/>
        <v>0</v>
      </c>
      <c r="AP177" s="318"/>
      <c r="AQ177" s="308"/>
      <c r="AR177" s="954" t="s">
        <v>622</v>
      </c>
      <c r="AS177" s="955"/>
      <c r="AT177" s="955"/>
      <c r="AU177" s="955"/>
      <c r="AV177" s="955"/>
      <c r="AW177" s="533" t="s">
        <v>623</v>
      </c>
      <c r="AX177" s="317">
        <f t="shared" si="16"/>
        <v>0</v>
      </c>
      <c r="AY177" s="530"/>
      <c r="AZ177" s="308"/>
      <c r="BA177" s="311"/>
    </row>
    <row r="178" spans="1:53" ht="17.25" customHeight="1" thickBot="1" x14ac:dyDescent="0.3">
      <c r="A178" s="978" t="s">
        <v>99</v>
      </c>
      <c r="B178" s="979"/>
      <c r="C178" s="980"/>
      <c r="D178" s="351" t="s">
        <v>624</v>
      </c>
      <c r="E178" s="352" t="s">
        <v>367</v>
      </c>
      <c r="F178" s="534" t="s">
        <v>98</v>
      </c>
      <c r="G178" s="1007">
        <f t="shared" ref="G178:G194" si="20">COUNTIF($A$4:$M$42,F178)+COUNTIF($A$43:$O$81,F178)+COUNTIF($N$4:$T$19,F178)+COUNTIF($O$20:$S$23,F178)+COUNTIF($N$24:$Q$25,F178)+COUNTIF($N$26:$P$26,F178)+COUNTIF($P$42,F178)+COUNTIF($T$21:$T$22,F178)+COUNTIF($R$24,F178)+COUNTIF($N$27:$O$28,F178)</f>
        <v>0</v>
      </c>
      <c r="H178" s="1008"/>
      <c r="I178" s="1009"/>
      <c r="J178" s="354">
        <v>0</v>
      </c>
      <c r="K178" s="355">
        <v>0</v>
      </c>
      <c r="L178" s="356">
        <f t="shared" ref="L178:L194" si="21">G178-K178-J178</f>
        <v>0</v>
      </c>
      <c r="M178" s="324"/>
      <c r="N178" s="978" t="s">
        <v>99</v>
      </c>
      <c r="O178" s="979"/>
      <c r="P178" s="980"/>
      <c r="Q178" s="351" t="s">
        <v>624</v>
      </c>
      <c r="R178" s="352" t="s">
        <v>367</v>
      </c>
      <c r="S178" s="534" t="s">
        <v>98</v>
      </c>
      <c r="T178" s="929">
        <f t="shared" ref="T178:T194" si="22">COUNTIF($T$23:$BI$73,S178)+COUNTIF($N$29:$S$39,S178)+COUNTIF($P$47:$S$68,S178)+COUNTIF($Q$40:$S$42,S178)+COUNTIF($P$27:$S$28,S178)+COUNTIF($R$25:$S$25,S178)+COUNTIF($S$24:$S$24,S178)</f>
        <v>0</v>
      </c>
      <c r="U178" s="929"/>
      <c r="V178" s="929"/>
      <c r="W178" s="354">
        <v>0</v>
      </c>
      <c r="X178" s="355">
        <v>0</v>
      </c>
      <c r="Y178" s="356">
        <f t="shared" ref="Y178:Y194" si="23">T178-X178-W178</f>
        <v>0</v>
      </c>
      <c r="Z178" s="357">
        <f t="shared" si="6"/>
        <v>0</v>
      </c>
      <c r="AA178" s="324" t="b">
        <f>IFERROR(#REF!&gt;0.5,FALSE)</f>
        <v>0</v>
      </c>
      <c r="AC178" s="442" t="s">
        <v>625</v>
      </c>
      <c r="AD178" s="535" t="s">
        <v>626</v>
      </c>
      <c r="AE178" s="332">
        <f t="shared" si="9"/>
        <v>0</v>
      </c>
      <c r="AF178" s="333" t="str">
        <f t="shared" si="10"/>
        <v/>
      </c>
      <c r="AH178" s="308"/>
      <c r="AI178" s="896" t="s">
        <v>627</v>
      </c>
      <c r="AJ178" s="897"/>
      <c r="AK178" s="897"/>
      <c r="AL178" s="897"/>
      <c r="AM178" s="897"/>
      <c r="AN178" s="536" t="s">
        <v>628</v>
      </c>
      <c r="AO178" s="317">
        <f t="shared" si="0"/>
        <v>0</v>
      </c>
      <c r="AP178" s="318"/>
      <c r="AQ178" s="308"/>
      <c r="AR178" s="954" t="s">
        <v>629</v>
      </c>
      <c r="AS178" s="955"/>
      <c r="AT178" s="955"/>
      <c r="AU178" s="955"/>
      <c r="AV178" s="955"/>
      <c r="AW178" s="533" t="s">
        <v>630</v>
      </c>
      <c r="AX178" s="317">
        <f t="shared" si="16"/>
        <v>0</v>
      </c>
      <c r="AY178" s="530"/>
      <c r="AZ178" s="308"/>
      <c r="BA178" s="311"/>
    </row>
    <row r="179" spans="1:53" ht="17.25" customHeight="1" x14ac:dyDescent="0.25">
      <c r="A179" s="978" t="s">
        <v>145</v>
      </c>
      <c r="B179" s="979"/>
      <c r="C179" s="980"/>
      <c r="D179" s="351"/>
      <c r="E179" s="352"/>
      <c r="F179" s="537" t="s">
        <v>146</v>
      </c>
      <c r="G179" s="927">
        <f t="shared" si="20"/>
        <v>0</v>
      </c>
      <c r="H179" s="927"/>
      <c r="I179" s="928"/>
      <c r="J179" s="354">
        <v>0</v>
      </c>
      <c r="K179" s="355">
        <v>0</v>
      </c>
      <c r="L179" s="356">
        <f t="shared" si="21"/>
        <v>0</v>
      </c>
      <c r="M179" s="324"/>
      <c r="N179" s="978" t="s">
        <v>145</v>
      </c>
      <c r="O179" s="979"/>
      <c r="P179" s="980"/>
      <c r="Q179" s="351"/>
      <c r="R179" s="352"/>
      <c r="S179" s="537" t="s">
        <v>146</v>
      </c>
      <c r="T179" s="928">
        <f t="shared" si="22"/>
        <v>0</v>
      </c>
      <c r="U179" s="929"/>
      <c r="V179" s="929"/>
      <c r="W179" s="354">
        <v>0</v>
      </c>
      <c r="X179" s="355">
        <v>0</v>
      </c>
      <c r="Y179" s="356">
        <f t="shared" si="23"/>
        <v>0</v>
      </c>
      <c r="Z179" s="357">
        <f t="shared" si="6"/>
        <v>0</v>
      </c>
      <c r="AA179" s="324"/>
      <c r="AC179" s="409" t="s">
        <v>631</v>
      </c>
      <c r="AD179" s="538" t="s">
        <v>632</v>
      </c>
      <c r="AE179" s="332">
        <f t="shared" si="9"/>
        <v>0</v>
      </c>
      <c r="AF179" s="333" t="str">
        <f t="shared" si="10"/>
        <v/>
      </c>
      <c r="AH179" s="308"/>
      <c r="AI179" s="896" t="s">
        <v>633</v>
      </c>
      <c r="AJ179" s="897"/>
      <c r="AK179" s="897"/>
      <c r="AL179" s="897"/>
      <c r="AM179" s="897"/>
      <c r="AN179" s="186" t="s">
        <v>634</v>
      </c>
      <c r="AO179" s="317">
        <f t="shared" si="0"/>
        <v>0</v>
      </c>
      <c r="AP179" s="318"/>
      <c r="AQ179" s="308"/>
      <c r="AR179" s="954" t="s">
        <v>635</v>
      </c>
      <c r="AS179" s="955"/>
      <c r="AT179" s="955"/>
      <c r="AU179" s="955"/>
      <c r="AV179" s="955"/>
      <c r="AW179" s="539" t="s">
        <v>636</v>
      </c>
      <c r="AX179" s="317">
        <f t="shared" si="16"/>
        <v>0</v>
      </c>
      <c r="AY179" s="530"/>
      <c r="AZ179" s="308"/>
      <c r="BA179" s="311"/>
    </row>
    <row r="180" spans="1:53" ht="17.25" customHeight="1" thickBot="1" x14ac:dyDescent="0.3">
      <c r="A180" s="978" t="s">
        <v>100</v>
      </c>
      <c r="B180" s="979"/>
      <c r="C180" s="980"/>
      <c r="D180" s="351"/>
      <c r="E180" s="352"/>
      <c r="F180" s="540" t="s">
        <v>0</v>
      </c>
      <c r="G180" s="927">
        <f t="shared" si="20"/>
        <v>1</v>
      </c>
      <c r="H180" s="927"/>
      <c r="I180" s="928"/>
      <c r="J180" s="354">
        <v>0</v>
      </c>
      <c r="K180" s="355">
        <v>0</v>
      </c>
      <c r="L180" s="356">
        <f t="shared" si="21"/>
        <v>1</v>
      </c>
      <c r="M180" s="324"/>
      <c r="N180" s="978" t="s">
        <v>100</v>
      </c>
      <c r="O180" s="979"/>
      <c r="P180" s="980"/>
      <c r="Q180" s="351"/>
      <c r="R180" s="352"/>
      <c r="S180" s="540" t="s">
        <v>0</v>
      </c>
      <c r="T180" s="928">
        <f t="shared" si="22"/>
        <v>0</v>
      </c>
      <c r="U180" s="929"/>
      <c r="V180" s="929"/>
      <c r="W180" s="354">
        <v>0</v>
      </c>
      <c r="X180" s="355">
        <v>0</v>
      </c>
      <c r="Y180" s="356">
        <f t="shared" si="23"/>
        <v>0</v>
      </c>
      <c r="Z180" s="357">
        <f t="shared" si="6"/>
        <v>1</v>
      </c>
      <c r="AA180" s="324"/>
      <c r="AC180" s="442" t="s">
        <v>637</v>
      </c>
      <c r="AD180" s="541" t="s">
        <v>638</v>
      </c>
      <c r="AE180" s="332">
        <f t="shared" si="9"/>
        <v>0</v>
      </c>
      <c r="AF180" s="333" t="str">
        <f t="shared" si="10"/>
        <v/>
      </c>
      <c r="AH180" s="308"/>
      <c r="AI180" s="896" t="s">
        <v>639</v>
      </c>
      <c r="AJ180" s="897"/>
      <c r="AK180" s="897"/>
      <c r="AL180" s="897"/>
      <c r="AM180" s="897"/>
      <c r="AN180" s="542" t="s">
        <v>640</v>
      </c>
      <c r="AO180" s="317">
        <f t="shared" si="0"/>
        <v>0</v>
      </c>
      <c r="AP180" s="543"/>
      <c r="AQ180" s="308"/>
      <c r="AR180" s="954" t="s">
        <v>641</v>
      </c>
      <c r="AS180" s="955"/>
      <c r="AT180" s="955"/>
      <c r="AU180" s="955"/>
      <c r="AV180" s="955"/>
      <c r="AW180" s="533" t="s">
        <v>642</v>
      </c>
      <c r="AX180" s="317">
        <f t="shared" si="16"/>
        <v>0</v>
      </c>
      <c r="AY180" s="512"/>
      <c r="AZ180" s="308"/>
      <c r="BA180" s="311"/>
    </row>
    <row r="181" spans="1:53" ht="17.25" customHeight="1" thickBot="1" x14ac:dyDescent="0.3">
      <c r="A181" s="978" t="s">
        <v>102</v>
      </c>
      <c r="B181" s="979"/>
      <c r="C181" s="980"/>
      <c r="D181" s="351" t="s">
        <v>0</v>
      </c>
      <c r="E181" s="352"/>
      <c r="F181" s="544" t="s">
        <v>101</v>
      </c>
      <c r="G181" s="927">
        <f t="shared" si="20"/>
        <v>0</v>
      </c>
      <c r="H181" s="927"/>
      <c r="I181" s="928"/>
      <c r="J181" s="354">
        <v>0</v>
      </c>
      <c r="K181" s="355">
        <v>0</v>
      </c>
      <c r="L181" s="356">
        <f t="shared" si="21"/>
        <v>0</v>
      </c>
      <c r="M181" s="324"/>
      <c r="N181" s="978" t="s">
        <v>102</v>
      </c>
      <c r="O181" s="979"/>
      <c r="P181" s="980"/>
      <c r="Q181" s="351" t="s">
        <v>0</v>
      </c>
      <c r="R181" s="352"/>
      <c r="S181" s="544" t="s">
        <v>101</v>
      </c>
      <c r="T181" s="928">
        <f t="shared" si="22"/>
        <v>0</v>
      </c>
      <c r="U181" s="929"/>
      <c r="V181" s="929"/>
      <c r="W181" s="354">
        <v>0</v>
      </c>
      <c r="X181" s="355">
        <v>0</v>
      </c>
      <c r="Y181" s="356">
        <f t="shared" si="23"/>
        <v>0</v>
      </c>
      <c r="Z181" s="357">
        <f t="shared" si="6"/>
        <v>0</v>
      </c>
      <c r="AA181" s="324"/>
      <c r="AC181" s="442" t="s">
        <v>643</v>
      </c>
      <c r="AD181" s="545" t="s">
        <v>644</v>
      </c>
      <c r="AE181" s="332">
        <f t="shared" si="9"/>
        <v>0</v>
      </c>
      <c r="AF181" s="333" t="str">
        <f t="shared" si="10"/>
        <v/>
      </c>
      <c r="AH181" s="308"/>
      <c r="AI181" s="896" t="s">
        <v>645</v>
      </c>
      <c r="AJ181" s="897"/>
      <c r="AK181" s="897"/>
      <c r="AL181" s="897"/>
      <c r="AM181" s="897"/>
      <c r="AN181" s="447" t="s">
        <v>646</v>
      </c>
      <c r="AO181" s="317">
        <f t="shared" si="0"/>
        <v>0</v>
      </c>
      <c r="AP181" s="318"/>
      <c r="AQ181" s="308"/>
      <c r="AR181" s="954" t="s">
        <v>647</v>
      </c>
      <c r="AS181" s="955"/>
      <c r="AT181" s="955"/>
      <c r="AU181" s="955"/>
      <c r="AV181" s="955"/>
      <c r="AW181" s="546" t="s">
        <v>648</v>
      </c>
      <c r="AX181" s="317">
        <f t="shared" si="16"/>
        <v>0</v>
      </c>
      <c r="AY181" s="512"/>
      <c r="AZ181" s="308"/>
      <c r="BA181" s="437"/>
    </row>
    <row r="182" spans="1:53" ht="17.25" customHeight="1" thickBot="1" x14ac:dyDescent="0.3">
      <c r="A182" s="978" t="s">
        <v>18</v>
      </c>
      <c r="B182" s="979"/>
      <c r="C182" s="980"/>
      <c r="D182" s="351"/>
      <c r="E182" s="352"/>
      <c r="F182" s="547" t="s">
        <v>1</v>
      </c>
      <c r="G182" s="927">
        <f t="shared" si="20"/>
        <v>0</v>
      </c>
      <c r="H182" s="927"/>
      <c r="I182" s="928"/>
      <c r="J182" s="354">
        <v>0</v>
      </c>
      <c r="K182" s="355">
        <v>0</v>
      </c>
      <c r="L182" s="356">
        <f t="shared" si="21"/>
        <v>0</v>
      </c>
      <c r="M182" s="324"/>
      <c r="N182" s="978" t="s">
        <v>18</v>
      </c>
      <c r="O182" s="979"/>
      <c r="P182" s="980"/>
      <c r="Q182" s="351"/>
      <c r="R182" s="352"/>
      <c r="S182" s="547" t="s">
        <v>1</v>
      </c>
      <c r="T182" s="928">
        <f t="shared" si="22"/>
        <v>0</v>
      </c>
      <c r="U182" s="929"/>
      <c r="V182" s="929"/>
      <c r="W182" s="354">
        <v>0</v>
      </c>
      <c r="X182" s="355">
        <v>0</v>
      </c>
      <c r="Y182" s="356">
        <f t="shared" si="23"/>
        <v>0</v>
      </c>
      <c r="Z182" s="357">
        <f t="shared" si="6"/>
        <v>0</v>
      </c>
      <c r="AC182" s="442" t="s">
        <v>204</v>
      </c>
      <c r="AD182" s="548" t="s">
        <v>204</v>
      </c>
      <c r="AE182" s="332">
        <f t="shared" si="9"/>
        <v>31</v>
      </c>
      <c r="AF182" s="333" t="str">
        <f t="shared" si="10"/>
        <v/>
      </c>
      <c r="AH182" s="308"/>
      <c r="AI182" s="896" t="s">
        <v>649</v>
      </c>
      <c r="AJ182" s="897"/>
      <c r="AK182" s="897"/>
      <c r="AL182" s="897"/>
      <c r="AM182" s="897"/>
      <c r="AN182" s="536" t="s">
        <v>650</v>
      </c>
      <c r="AO182" s="317">
        <f t="shared" si="0"/>
        <v>0</v>
      </c>
      <c r="AP182" s="318"/>
      <c r="AQ182" s="308"/>
      <c r="AR182" s="954" t="s">
        <v>651</v>
      </c>
      <c r="AS182" s="955"/>
      <c r="AT182" s="955"/>
      <c r="AU182" s="955"/>
      <c r="AV182" s="955"/>
      <c r="AW182" s="549" t="s">
        <v>652</v>
      </c>
      <c r="AX182" s="317">
        <f t="shared" si="16"/>
        <v>0</v>
      </c>
      <c r="AY182" s="512"/>
      <c r="AZ182" s="308"/>
      <c r="BA182" s="437"/>
    </row>
    <row r="183" spans="1:53" ht="17.25" customHeight="1" x14ac:dyDescent="0.25">
      <c r="A183" s="978" t="s">
        <v>147</v>
      </c>
      <c r="B183" s="979"/>
      <c r="C183" s="980"/>
      <c r="D183" s="351"/>
      <c r="E183" s="352"/>
      <c r="F183" s="550" t="s">
        <v>148</v>
      </c>
      <c r="G183" s="926">
        <f t="shared" si="20"/>
        <v>0</v>
      </c>
      <c r="H183" s="927"/>
      <c r="I183" s="928"/>
      <c r="J183" s="354">
        <v>0</v>
      </c>
      <c r="K183" s="355">
        <v>0</v>
      </c>
      <c r="L183" s="356">
        <f t="shared" si="21"/>
        <v>0</v>
      </c>
      <c r="M183" s="324"/>
      <c r="N183" s="978" t="s">
        <v>147</v>
      </c>
      <c r="O183" s="979"/>
      <c r="P183" s="980"/>
      <c r="Q183" s="351"/>
      <c r="R183" s="352"/>
      <c r="S183" s="550" t="s">
        <v>148</v>
      </c>
      <c r="T183" s="929">
        <f t="shared" si="22"/>
        <v>0</v>
      </c>
      <c r="U183" s="929"/>
      <c r="V183" s="929"/>
      <c r="W183" s="354">
        <v>0</v>
      </c>
      <c r="X183" s="355">
        <v>0</v>
      </c>
      <c r="Y183" s="356">
        <f t="shared" si="23"/>
        <v>0</v>
      </c>
      <c r="Z183" s="357">
        <f t="shared" si="6"/>
        <v>0</v>
      </c>
      <c r="AC183" s="442" t="s">
        <v>653</v>
      </c>
      <c r="AD183" s="551" t="s">
        <v>654</v>
      </c>
      <c r="AE183" s="332">
        <f t="shared" si="9"/>
        <v>0</v>
      </c>
      <c r="AF183" s="333" t="str">
        <f t="shared" si="10"/>
        <v/>
      </c>
      <c r="AH183" s="308"/>
      <c r="AI183" s="896" t="s">
        <v>655</v>
      </c>
      <c r="AJ183" s="897"/>
      <c r="AK183" s="897"/>
      <c r="AL183" s="897"/>
      <c r="AM183" s="897"/>
      <c r="AN183" s="552" t="s">
        <v>656</v>
      </c>
      <c r="AO183" s="317">
        <f t="shared" si="0"/>
        <v>0</v>
      </c>
      <c r="AP183" s="318"/>
      <c r="AQ183" s="308"/>
      <c r="AR183" s="954" t="s">
        <v>657</v>
      </c>
      <c r="AS183" s="955"/>
      <c r="AT183" s="955"/>
      <c r="AU183" s="955"/>
      <c r="AV183" s="955"/>
      <c r="AW183" s="553" t="s">
        <v>658</v>
      </c>
      <c r="AX183" s="317">
        <f t="shared" si="16"/>
        <v>0</v>
      </c>
      <c r="AY183" s="512"/>
      <c r="AZ183" s="308"/>
      <c r="BA183" s="437"/>
    </row>
    <row r="184" spans="1:53" ht="17.25" customHeight="1" x14ac:dyDescent="0.25">
      <c r="A184" s="978" t="s">
        <v>32</v>
      </c>
      <c r="B184" s="979"/>
      <c r="C184" s="980"/>
      <c r="D184" s="351"/>
      <c r="E184" s="352" t="s">
        <v>367</v>
      </c>
      <c r="F184" s="382" t="s">
        <v>68</v>
      </c>
      <c r="G184" s="926">
        <f t="shared" si="20"/>
        <v>0</v>
      </c>
      <c r="H184" s="927"/>
      <c r="I184" s="928"/>
      <c r="J184" s="354">
        <v>0</v>
      </c>
      <c r="K184" s="355">
        <v>0</v>
      </c>
      <c r="L184" s="356">
        <f t="shared" si="21"/>
        <v>0</v>
      </c>
      <c r="M184" s="324"/>
      <c r="N184" s="978" t="s">
        <v>32</v>
      </c>
      <c r="O184" s="979"/>
      <c r="P184" s="980"/>
      <c r="Q184" s="351"/>
      <c r="R184" s="352" t="s">
        <v>367</v>
      </c>
      <c r="S184" s="382" t="s">
        <v>68</v>
      </c>
      <c r="T184" s="929">
        <f t="shared" si="22"/>
        <v>0</v>
      </c>
      <c r="U184" s="929"/>
      <c r="V184" s="929"/>
      <c r="W184" s="354">
        <v>0</v>
      </c>
      <c r="X184" s="355">
        <v>0</v>
      </c>
      <c r="Y184" s="356">
        <f t="shared" si="23"/>
        <v>0</v>
      </c>
      <c r="Z184" s="357">
        <f t="shared" si="6"/>
        <v>0</v>
      </c>
      <c r="AC184" s="442" t="s">
        <v>659</v>
      </c>
      <c r="AD184" s="554" t="s">
        <v>660</v>
      </c>
      <c r="AE184" s="332">
        <f t="shared" si="9"/>
        <v>0</v>
      </c>
      <c r="AF184" s="333" t="str">
        <f t="shared" si="10"/>
        <v/>
      </c>
      <c r="AH184" s="308"/>
      <c r="AI184" s="896" t="s">
        <v>661</v>
      </c>
      <c r="AJ184" s="897"/>
      <c r="AK184" s="897"/>
      <c r="AL184" s="897"/>
      <c r="AM184" s="897"/>
      <c r="AN184" s="468" t="s">
        <v>662</v>
      </c>
      <c r="AO184" s="317">
        <f t="shared" si="0"/>
        <v>0</v>
      </c>
      <c r="AP184" s="318"/>
      <c r="AQ184" s="308"/>
      <c r="AR184" s="954" t="s">
        <v>663</v>
      </c>
      <c r="AS184" s="955"/>
      <c r="AT184" s="955"/>
      <c r="AU184" s="955"/>
      <c r="AV184" s="955"/>
      <c r="AW184" s="555" t="s">
        <v>664</v>
      </c>
      <c r="AX184" s="317">
        <f t="shared" si="16"/>
        <v>0</v>
      </c>
      <c r="AY184" s="512"/>
      <c r="AZ184" s="308"/>
      <c r="BA184" s="437"/>
    </row>
    <row r="185" spans="1:53" ht="17.25" customHeight="1" x14ac:dyDescent="0.25">
      <c r="A185" s="978" t="s">
        <v>110</v>
      </c>
      <c r="B185" s="979"/>
      <c r="C185" s="980"/>
      <c r="D185" s="351"/>
      <c r="E185" s="352"/>
      <c r="F185" s="556" t="s">
        <v>109</v>
      </c>
      <c r="G185" s="926">
        <f t="shared" si="20"/>
        <v>0</v>
      </c>
      <c r="H185" s="927"/>
      <c r="I185" s="928"/>
      <c r="J185" s="354">
        <v>0</v>
      </c>
      <c r="K185" s="355">
        <v>0</v>
      </c>
      <c r="L185" s="356">
        <f t="shared" si="21"/>
        <v>0</v>
      </c>
      <c r="M185" s="324"/>
      <c r="N185" s="978" t="s">
        <v>110</v>
      </c>
      <c r="O185" s="979"/>
      <c r="P185" s="980"/>
      <c r="Q185" s="351"/>
      <c r="R185" s="352"/>
      <c r="S185" s="556" t="s">
        <v>109</v>
      </c>
      <c r="T185" s="929">
        <f t="shared" si="22"/>
        <v>0</v>
      </c>
      <c r="U185" s="929"/>
      <c r="V185" s="929"/>
      <c r="W185" s="354">
        <v>0</v>
      </c>
      <c r="X185" s="355">
        <v>0</v>
      </c>
      <c r="Y185" s="356">
        <f t="shared" si="23"/>
        <v>0</v>
      </c>
      <c r="Z185" s="357">
        <f t="shared" si="6"/>
        <v>0</v>
      </c>
      <c r="AC185" s="442" t="s">
        <v>665</v>
      </c>
      <c r="AD185" s="557" t="s">
        <v>666</v>
      </c>
      <c r="AE185" s="332">
        <f t="shared" si="9"/>
        <v>0</v>
      </c>
      <c r="AF185" s="333" t="str">
        <f t="shared" si="10"/>
        <v/>
      </c>
      <c r="AH185" s="308"/>
      <c r="AI185" s="896" t="s">
        <v>667</v>
      </c>
      <c r="AJ185" s="897"/>
      <c r="AK185" s="897"/>
      <c r="AL185" s="897"/>
      <c r="AM185" s="897"/>
      <c r="AN185" s="558" t="s">
        <v>668</v>
      </c>
      <c r="AO185" s="317">
        <f t="shared" si="0"/>
        <v>0</v>
      </c>
      <c r="AP185" s="318"/>
      <c r="AQ185" s="308"/>
      <c r="AR185" s="954" t="s">
        <v>669</v>
      </c>
      <c r="AS185" s="955"/>
      <c r="AT185" s="955"/>
      <c r="AU185" s="955"/>
      <c r="AV185" s="955"/>
      <c r="AW185" s="559" t="s">
        <v>670</v>
      </c>
      <c r="AX185" s="317">
        <f t="shared" si="16"/>
        <v>0</v>
      </c>
      <c r="AY185" s="530"/>
      <c r="AZ185" s="308"/>
      <c r="BA185" s="311"/>
    </row>
    <row r="186" spans="1:53" ht="17.25" customHeight="1" x14ac:dyDescent="0.25">
      <c r="A186" s="978" t="s">
        <v>106</v>
      </c>
      <c r="B186" s="979"/>
      <c r="C186" s="980"/>
      <c r="D186" s="351"/>
      <c r="E186" s="352"/>
      <c r="F186" s="560" t="s">
        <v>105</v>
      </c>
      <c r="G186" s="926">
        <f t="shared" si="20"/>
        <v>0</v>
      </c>
      <c r="H186" s="927"/>
      <c r="I186" s="928"/>
      <c r="J186" s="354">
        <v>0</v>
      </c>
      <c r="K186" s="355">
        <v>0</v>
      </c>
      <c r="L186" s="356">
        <f t="shared" si="21"/>
        <v>0</v>
      </c>
      <c r="M186" s="324"/>
      <c r="N186" s="978" t="s">
        <v>106</v>
      </c>
      <c r="O186" s="979"/>
      <c r="P186" s="980"/>
      <c r="Q186" s="351"/>
      <c r="R186" s="352"/>
      <c r="S186" s="560" t="s">
        <v>105</v>
      </c>
      <c r="T186" s="929">
        <f t="shared" si="22"/>
        <v>0</v>
      </c>
      <c r="U186" s="929"/>
      <c r="V186" s="929"/>
      <c r="W186" s="354">
        <v>0</v>
      </c>
      <c r="X186" s="355">
        <v>0</v>
      </c>
      <c r="Y186" s="356">
        <f t="shared" si="23"/>
        <v>0</v>
      </c>
      <c r="Z186" s="357">
        <f t="shared" si="6"/>
        <v>0</v>
      </c>
      <c r="AC186" s="442" t="s">
        <v>671</v>
      </c>
      <c r="AD186" s="557" t="s">
        <v>672</v>
      </c>
      <c r="AE186" s="332">
        <f t="shared" si="9"/>
        <v>0</v>
      </c>
      <c r="AF186" s="333" t="str">
        <f t="shared" si="10"/>
        <v/>
      </c>
      <c r="AH186" s="308"/>
      <c r="AI186" s="896" t="s">
        <v>673</v>
      </c>
      <c r="AJ186" s="897"/>
      <c r="AK186" s="897"/>
      <c r="AL186" s="897"/>
      <c r="AM186" s="897"/>
      <c r="AN186" s="561" t="s">
        <v>674</v>
      </c>
      <c r="AO186" s="317">
        <f t="shared" si="0"/>
        <v>0</v>
      </c>
      <c r="AP186" s="318"/>
      <c r="AQ186" s="308"/>
      <c r="AR186" s="954" t="s">
        <v>675</v>
      </c>
      <c r="AS186" s="955"/>
      <c r="AT186" s="955"/>
      <c r="AU186" s="955"/>
      <c r="AV186" s="955"/>
      <c r="AW186" s="562" t="s">
        <v>676</v>
      </c>
      <c r="AX186" s="317">
        <f t="shared" si="16"/>
        <v>0</v>
      </c>
      <c r="AY186" s="512"/>
      <c r="AZ186" s="308"/>
      <c r="BA186" s="311"/>
    </row>
    <row r="187" spans="1:53" ht="17.25" customHeight="1" thickBot="1" x14ac:dyDescent="0.3">
      <c r="A187" s="978" t="s">
        <v>10</v>
      </c>
      <c r="B187" s="979"/>
      <c r="C187" s="980"/>
      <c r="D187" s="351"/>
      <c r="E187" s="352"/>
      <c r="F187" s="544" t="s">
        <v>47</v>
      </c>
      <c r="G187" s="926">
        <f t="shared" si="20"/>
        <v>0</v>
      </c>
      <c r="H187" s="927"/>
      <c r="I187" s="928"/>
      <c r="J187" s="354">
        <v>0</v>
      </c>
      <c r="K187" s="355">
        <v>0</v>
      </c>
      <c r="L187" s="356">
        <f t="shared" si="21"/>
        <v>0</v>
      </c>
      <c r="M187" s="324"/>
      <c r="N187" s="978" t="s">
        <v>10</v>
      </c>
      <c r="O187" s="979"/>
      <c r="P187" s="980"/>
      <c r="Q187" s="351"/>
      <c r="R187" s="352"/>
      <c r="S187" s="544" t="s">
        <v>47</v>
      </c>
      <c r="T187" s="929">
        <f t="shared" si="22"/>
        <v>0</v>
      </c>
      <c r="U187" s="929"/>
      <c r="V187" s="929"/>
      <c r="W187" s="354">
        <v>0</v>
      </c>
      <c r="X187" s="355">
        <v>0</v>
      </c>
      <c r="Y187" s="356">
        <f t="shared" si="23"/>
        <v>0</v>
      </c>
      <c r="Z187" s="357">
        <f t="shared" si="6"/>
        <v>0</v>
      </c>
      <c r="AC187" s="442" t="s">
        <v>677</v>
      </c>
      <c r="AD187" s="563" t="s">
        <v>678</v>
      </c>
      <c r="AE187" s="332">
        <f t="shared" si="9"/>
        <v>0</v>
      </c>
      <c r="AF187" s="333" t="str">
        <f t="shared" si="10"/>
        <v/>
      </c>
      <c r="AH187" s="308"/>
      <c r="AI187" s="896" t="s">
        <v>679</v>
      </c>
      <c r="AJ187" s="897"/>
      <c r="AK187" s="897"/>
      <c r="AL187" s="897"/>
      <c r="AM187" s="897"/>
      <c r="AN187" s="564" t="s">
        <v>680</v>
      </c>
      <c r="AO187" s="317">
        <f t="shared" si="0"/>
        <v>0</v>
      </c>
      <c r="AP187" s="318"/>
      <c r="AQ187" s="308"/>
      <c r="AR187" s="954" t="s">
        <v>681</v>
      </c>
      <c r="AS187" s="955"/>
      <c r="AT187" s="955"/>
      <c r="AU187" s="955"/>
      <c r="AV187" s="955"/>
      <c r="AW187" s="565" t="s">
        <v>682</v>
      </c>
      <c r="AX187" s="317">
        <f t="shared" si="16"/>
        <v>0</v>
      </c>
      <c r="AY187" s="512"/>
      <c r="AZ187" s="308"/>
      <c r="BA187" s="437"/>
    </row>
    <row r="188" spans="1:53" ht="17.25" customHeight="1" thickBot="1" x14ac:dyDescent="0.3">
      <c r="A188" s="978" t="s">
        <v>38</v>
      </c>
      <c r="B188" s="979"/>
      <c r="C188" s="980"/>
      <c r="D188" s="351"/>
      <c r="E188" s="352"/>
      <c r="F188" s="566" t="s">
        <v>39</v>
      </c>
      <c r="G188" s="926">
        <f t="shared" si="20"/>
        <v>0</v>
      </c>
      <c r="H188" s="927"/>
      <c r="I188" s="928"/>
      <c r="J188" s="354">
        <v>0</v>
      </c>
      <c r="K188" s="355">
        <v>0</v>
      </c>
      <c r="L188" s="356">
        <f t="shared" si="21"/>
        <v>0</v>
      </c>
      <c r="M188" s="324"/>
      <c r="N188" s="978" t="s">
        <v>38</v>
      </c>
      <c r="O188" s="979"/>
      <c r="P188" s="980"/>
      <c r="Q188" s="351"/>
      <c r="R188" s="352"/>
      <c r="S188" s="566" t="s">
        <v>39</v>
      </c>
      <c r="T188" s="929">
        <f t="shared" si="22"/>
        <v>0</v>
      </c>
      <c r="U188" s="929"/>
      <c r="V188" s="929"/>
      <c r="W188" s="354">
        <v>0</v>
      </c>
      <c r="X188" s="355">
        <v>0</v>
      </c>
      <c r="Y188" s="356">
        <f t="shared" si="23"/>
        <v>0</v>
      </c>
      <c r="Z188" s="357">
        <f t="shared" si="6"/>
        <v>0</v>
      </c>
      <c r="AC188" s="442" t="s">
        <v>683</v>
      </c>
      <c r="AD188" s="567" t="s">
        <v>684</v>
      </c>
      <c r="AE188" s="332">
        <f t="shared" si="9"/>
        <v>0</v>
      </c>
      <c r="AF188" s="333" t="str">
        <f t="shared" si="10"/>
        <v/>
      </c>
      <c r="AH188" s="308"/>
      <c r="AI188" s="896" t="s">
        <v>685</v>
      </c>
      <c r="AJ188" s="897"/>
      <c r="AK188" s="897"/>
      <c r="AL188" s="897"/>
      <c r="AM188" s="897"/>
      <c r="AN188" s="568" t="s">
        <v>686</v>
      </c>
      <c r="AO188" s="317">
        <f t="shared" si="0"/>
        <v>0</v>
      </c>
      <c r="AP188" s="318"/>
      <c r="AQ188" s="308"/>
      <c r="AR188" s="954" t="s">
        <v>687</v>
      </c>
      <c r="AS188" s="955"/>
      <c r="AT188" s="955"/>
      <c r="AU188" s="955"/>
      <c r="AV188" s="955"/>
      <c r="AW188" s="565" t="s">
        <v>688</v>
      </c>
      <c r="AX188" s="317">
        <f t="shared" si="16"/>
        <v>0</v>
      </c>
      <c r="AY188" s="512"/>
      <c r="AZ188" s="308"/>
      <c r="BA188" s="437"/>
    </row>
    <row r="189" spans="1:53" ht="17.25" customHeight="1" thickBot="1" x14ac:dyDescent="0.3">
      <c r="A189" s="978" t="s">
        <v>104</v>
      </c>
      <c r="B189" s="979"/>
      <c r="C189" s="980"/>
      <c r="D189" s="351" t="s">
        <v>2</v>
      </c>
      <c r="E189" s="352"/>
      <c r="F189" s="544" t="s">
        <v>103</v>
      </c>
      <c r="G189" s="926">
        <f t="shared" si="20"/>
        <v>0</v>
      </c>
      <c r="H189" s="927"/>
      <c r="I189" s="928"/>
      <c r="J189" s="354">
        <v>0</v>
      </c>
      <c r="K189" s="355">
        <v>0</v>
      </c>
      <c r="L189" s="356">
        <f t="shared" si="21"/>
        <v>0</v>
      </c>
      <c r="M189" s="324"/>
      <c r="N189" s="978" t="s">
        <v>104</v>
      </c>
      <c r="O189" s="979"/>
      <c r="P189" s="980"/>
      <c r="Q189" s="351" t="s">
        <v>2</v>
      </c>
      <c r="R189" s="352"/>
      <c r="S189" s="544" t="s">
        <v>103</v>
      </c>
      <c r="T189" s="929">
        <f t="shared" si="22"/>
        <v>0</v>
      </c>
      <c r="U189" s="929"/>
      <c r="V189" s="929"/>
      <c r="W189" s="354">
        <v>0</v>
      </c>
      <c r="X189" s="355">
        <v>0</v>
      </c>
      <c r="Y189" s="356">
        <f t="shared" si="23"/>
        <v>0</v>
      </c>
      <c r="Z189" s="357">
        <f t="shared" si="6"/>
        <v>0</v>
      </c>
      <c r="AC189" s="442" t="s">
        <v>689</v>
      </c>
      <c r="AD189" s="567" t="s">
        <v>690</v>
      </c>
      <c r="AE189" s="332">
        <f t="shared" si="9"/>
        <v>0</v>
      </c>
      <c r="AF189" s="333" t="str">
        <f t="shared" si="10"/>
        <v/>
      </c>
      <c r="AH189" s="308"/>
      <c r="AI189" s="896" t="s">
        <v>691</v>
      </c>
      <c r="AJ189" s="897"/>
      <c r="AK189" s="897"/>
      <c r="AL189" s="897"/>
      <c r="AM189" s="897"/>
      <c r="AN189" s="569" t="s">
        <v>692</v>
      </c>
      <c r="AO189" s="317">
        <f t="shared" si="0"/>
        <v>0</v>
      </c>
      <c r="AP189" s="318"/>
      <c r="AQ189" s="308"/>
      <c r="AR189" s="954" t="s">
        <v>693</v>
      </c>
      <c r="AS189" s="955"/>
      <c r="AT189" s="955"/>
      <c r="AU189" s="955"/>
      <c r="AV189" s="955"/>
      <c r="AW189" s="570" t="s">
        <v>694</v>
      </c>
      <c r="AX189" s="317">
        <f t="shared" si="16"/>
        <v>0</v>
      </c>
      <c r="AY189" s="512"/>
      <c r="AZ189" s="308"/>
      <c r="BA189" s="437"/>
    </row>
    <row r="190" spans="1:53" ht="17.25" customHeight="1" thickBot="1" x14ac:dyDescent="0.3">
      <c r="A190" s="978" t="s">
        <v>23</v>
      </c>
      <c r="B190" s="979"/>
      <c r="C190" s="980"/>
      <c r="D190" s="351"/>
      <c r="E190" s="352" t="s">
        <v>367</v>
      </c>
      <c r="F190" s="571" t="s">
        <v>4</v>
      </c>
      <c r="G190" s="926">
        <f t="shared" si="20"/>
        <v>3</v>
      </c>
      <c r="H190" s="927"/>
      <c r="I190" s="928"/>
      <c r="J190" s="354">
        <v>0</v>
      </c>
      <c r="K190" s="355">
        <v>0</v>
      </c>
      <c r="L190" s="356">
        <f t="shared" si="21"/>
        <v>3</v>
      </c>
      <c r="M190" s="324"/>
      <c r="N190" s="978" t="s">
        <v>23</v>
      </c>
      <c r="O190" s="979"/>
      <c r="P190" s="980"/>
      <c r="Q190" s="351"/>
      <c r="R190" s="352" t="s">
        <v>367</v>
      </c>
      <c r="S190" s="571" t="s">
        <v>4</v>
      </c>
      <c r="T190" s="929">
        <f t="shared" si="22"/>
        <v>2</v>
      </c>
      <c r="U190" s="929"/>
      <c r="V190" s="929"/>
      <c r="W190" s="354">
        <v>0</v>
      </c>
      <c r="X190" s="355">
        <v>0</v>
      </c>
      <c r="Y190" s="356">
        <f t="shared" si="23"/>
        <v>2</v>
      </c>
      <c r="Z190" s="357">
        <f t="shared" si="6"/>
        <v>5</v>
      </c>
      <c r="AC190" s="442" t="s">
        <v>695</v>
      </c>
      <c r="AD190" s="572" t="s">
        <v>696</v>
      </c>
      <c r="AE190" s="332">
        <f t="shared" si="9"/>
        <v>0</v>
      </c>
      <c r="AF190" s="333" t="str">
        <f t="shared" si="10"/>
        <v/>
      </c>
      <c r="AH190" s="308"/>
      <c r="AI190" s="896" t="s">
        <v>697</v>
      </c>
      <c r="AJ190" s="897"/>
      <c r="AK190" s="897"/>
      <c r="AL190" s="897"/>
      <c r="AM190" s="898"/>
      <c r="AN190" s="505" t="s">
        <v>698</v>
      </c>
      <c r="AO190" s="317">
        <f t="shared" ref="AO190:AO201" si="24">COUNTIF($A$1:$GO$103,AN190)</f>
        <v>0</v>
      </c>
      <c r="AP190" s="318"/>
      <c r="AQ190" s="308"/>
      <c r="AR190" s="954" t="s">
        <v>699</v>
      </c>
      <c r="AS190" s="955"/>
      <c r="AT190" s="955"/>
      <c r="AU190" s="955"/>
      <c r="AV190" s="955"/>
      <c r="AW190" s="573" t="s">
        <v>700</v>
      </c>
      <c r="AX190" s="317">
        <f t="shared" si="16"/>
        <v>0</v>
      </c>
      <c r="AY190" s="512"/>
      <c r="AZ190" s="308"/>
      <c r="BA190" s="437"/>
    </row>
    <row r="191" spans="1:53" ht="17.25" customHeight="1" x14ac:dyDescent="0.25">
      <c r="A191" s="978" t="s">
        <v>19</v>
      </c>
      <c r="B191" s="979"/>
      <c r="C191" s="980"/>
      <c r="D191" s="351"/>
      <c r="E191" s="352"/>
      <c r="F191" s="574" t="s">
        <v>2</v>
      </c>
      <c r="G191" s="926">
        <f t="shared" si="20"/>
        <v>0</v>
      </c>
      <c r="H191" s="927"/>
      <c r="I191" s="928"/>
      <c r="J191" s="354">
        <v>0</v>
      </c>
      <c r="K191" s="355">
        <v>0</v>
      </c>
      <c r="L191" s="356">
        <f t="shared" si="21"/>
        <v>0</v>
      </c>
      <c r="M191" s="324"/>
      <c r="N191" s="978" t="s">
        <v>19</v>
      </c>
      <c r="O191" s="979"/>
      <c r="P191" s="980"/>
      <c r="Q191" s="351"/>
      <c r="R191" s="352"/>
      <c r="S191" s="574" t="s">
        <v>2</v>
      </c>
      <c r="T191" s="929">
        <f t="shared" si="22"/>
        <v>0</v>
      </c>
      <c r="U191" s="929"/>
      <c r="V191" s="929"/>
      <c r="W191" s="354">
        <v>0</v>
      </c>
      <c r="X191" s="355">
        <v>0</v>
      </c>
      <c r="Y191" s="356">
        <f t="shared" si="23"/>
        <v>0</v>
      </c>
      <c r="Z191" s="357">
        <f t="shared" si="6"/>
        <v>0</v>
      </c>
      <c r="AC191" s="442" t="s">
        <v>701</v>
      </c>
      <c r="AD191" s="575" t="s">
        <v>702</v>
      </c>
      <c r="AE191" s="332">
        <f t="shared" si="9"/>
        <v>0</v>
      </c>
      <c r="AF191" s="333" t="str">
        <f t="shared" si="10"/>
        <v/>
      </c>
      <c r="AH191" s="308"/>
      <c r="AI191" s="896" t="s">
        <v>703</v>
      </c>
      <c r="AJ191" s="897"/>
      <c r="AK191" s="897"/>
      <c r="AL191" s="897"/>
      <c r="AM191" s="897"/>
      <c r="AN191" s="372" t="s">
        <v>124</v>
      </c>
      <c r="AO191" s="317">
        <f t="shared" si="24"/>
        <v>0</v>
      </c>
      <c r="AP191" s="318"/>
      <c r="AQ191" s="308"/>
      <c r="AR191" s="954" t="s">
        <v>704</v>
      </c>
      <c r="AS191" s="955"/>
      <c r="AT191" s="955"/>
      <c r="AU191" s="955"/>
      <c r="AV191" s="955"/>
      <c r="AW191" s="573" t="s">
        <v>705</v>
      </c>
      <c r="AX191" s="317">
        <f t="shared" si="16"/>
        <v>0</v>
      </c>
      <c r="AY191" s="512"/>
      <c r="AZ191" s="308"/>
      <c r="BA191" s="437"/>
    </row>
    <row r="192" spans="1:53" ht="17.25" customHeight="1" x14ac:dyDescent="0.25">
      <c r="A192" s="978" t="s">
        <v>40</v>
      </c>
      <c r="B192" s="979"/>
      <c r="C192" s="980"/>
      <c r="D192" s="351"/>
      <c r="E192" s="352"/>
      <c r="F192" s="576" t="s">
        <v>41</v>
      </c>
      <c r="G192" s="926">
        <f t="shared" si="20"/>
        <v>0</v>
      </c>
      <c r="H192" s="927"/>
      <c r="I192" s="928"/>
      <c r="J192" s="354">
        <v>0</v>
      </c>
      <c r="K192" s="355">
        <v>0</v>
      </c>
      <c r="L192" s="356">
        <f t="shared" si="21"/>
        <v>0</v>
      </c>
      <c r="M192" s="324"/>
      <c r="N192" s="978" t="s">
        <v>40</v>
      </c>
      <c r="O192" s="979"/>
      <c r="P192" s="980"/>
      <c r="Q192" s="351"/>
      <c r="R192" s="352"/>
      <c r="S192" s="576" t="s">
        <v>41</v>
      </c>
      <c r="T192" s="929">
        <f t="shared" si="22"/>
        <v>0</v>
      </c>
      <c r="U192" s="929"/>
      <c r="V192" s="929"/>
      <c r="W192" s="354">
        <v>0</v>
      </c>
      <c r="X192" s="355">
        <v>0</v>
      </c>
      <c r="Y192" s="356">
        <f t="shared" si="23"/>
        <v>0</v>
      </c>
      <c r="Z192" s="357">
        <f t="shared" si="6"/>
        <v>0</v>
      </c>
      <c r="AC192" s="442" t="s">
        <v>706</v>
      </c>
      <c r="AD192" s="577" t="s">
        <v>707</v>
      </c>
      <c r="AE192" s="332">
        <f t="shared" si="9"/>
        <v>0</v>
      </c>
      <c r="AF192" s="333" t="str">
        <f t="shared" si="10"/>
        <v/>
      </c>
      <c r="AH192" s="308"/>
      <c r="AI192" s="896" t="s">
        <v>708</v>
      </c>
      <c r="AJ192" s="897"/>
      <c r="AK192" s="897"/>
      <c r="AL192" s="897"/>
      <c r="AM192" s="897"/>
      <c r="AN192" s="578" t="s">
        <v>709</v>
      </c>
      <c r="AO192" s="317">
        <f t="shared" si="24"/>
        <v>0</v>
      </c>
      <c r="AP192" s="318"/>
      <c r="AQ192" s="308"/>
      <c r="AR192" s="954" t="s">
        <v>710</v>
      </c>
      <c r="AS192" s="955"/>
      <c r="AT192" s="955"/>
      <c r="AU192" s="955"/>
      <c r="AV192" s="955"/>
      <c r="AW192" s="579" t="s">
        <v>711</v>
      </c>
      <c r="AX192" s="317">
        <f t="shared" si="16"/>
        <v>0</v>
      </c>
      <c r="AY192" s="512"/>
      <c r="AZ192" s="308"/>
      <c r="BA192" s="437"/>
    </row>
    <row r="193" spans="1:53" ht="17.25" customHeight="1" x14ac:dyDescent="0.25">
      <c r="A193" s="978" t="s">
        <v>20</v>
      </c>
      <c r="B193" s="979"/>
      <c r="C193" s="980"/>
      <c r="D193" s="351"/>
      <c r="E193" s="352"/>
      <c r="F193" s="580" t="s">
        <v>3</v>
      </c>
      <c r="G193" s="926">
        <f t="shared" si="20"/>
        <v>0</v>
      </c>
      <c r="H193" s="927"/>
      <c r="I193" s="928"/>
      <c r="J193" s="354">
        <v>0</v>
      </c>
      <c r="K193" s="355">
        <v>0</v>
      </c>
      <c r="L193" s="356">
        <f t="shared" si="21"/>
        <v>0</v>
      </c>
      <c r="M193" s="324"/>
      <c r="N193" s="978" t="s">
        <v>20</v>
      </c>
      <c r="O193" s="979"/>
      <c r="P193" s="980"/>
      <c r="Q193" s="351"/>
      <c r="R193" s="352"/>
      <c r="S193" s="580" t="s">
        <v>3</v>
      </c>
      <c r="T193" s="929">
        <f t="shared" si="22"/>
        <v>0</v>
      </c>
      <c r="U193" s="929"/>
      <c r="V193" s="929"/>
      <c r="W193" s="354">
        <v>0</v>
      </c>
      <c r="X193" s="355">
        <v>0</v>
      </c>
      <c r="Y193" s="356">
        <f t="shared" si="23"/>
        <v>0</v>
      </c>
      <c r="Z193" s="357">
        <f t="shared" si="6"/>
        <v>0</v>
      </c>
      <c r="AC193" s="442" t="s">
        <v>187</v>
      </c>
      <c r="AD193" s="581" t="s">
        <v>187</v>
      </c>
      <c r="AE193" s="332">
        <f t="shared" si="9"/>
        <v>35</v>
      </c>
      <c r="AF193" s="333" t="str">
        <f t="shared" si="10"/>
        <v/>
      </c>
      <c r="AH193" s="308"/>
      <c r="AI193" s="896" t="s">
        <v>712</v>
      </c>
      <c r="AJ193" s="897"/>
      <c r="AK193" s="897"/>
      <c r="AL193" s="897"/>
      <c r="AM193" s="897"/>
      <c r="AN193" s="582" t="s">
        <v>713</v>
      </c>
      <c r="AO193" s="317">
        <f t="shared" si="24"/>
        <v>0</v>
      </c>
      <c r="AP193" s="318"/>
      <c r="AQ193" s="308"/>
      <c r="AR193" s="954" t="s">
        <v>714</v>
      </c>
      <c r="AS193" s="955"/>
      <c r="AT193" s="955"/>
      <c r="AU193" s="955"/>
      <c r="AV193" s="955"/>
      <c r="AW193" s="517" t="s">
        <v>715</v>
      </c>
      <c r="AX193" s="317">
        <f t="shared" si="16"/>
        <v>0</v>
      </c>
      <c r="AY193" s="512"/>
      <c r="AZ193" s="308"/>
      <c r="BA193" s="437"/>
    </row>
    <row r="194" spans="1:53" ht="17.25" customHeight="1" thickBot="1" x14ac:dyDescent="0.3">
      <c r="A194" s="978" t="s">
        <v>108</v>
      </c>
      <c r="B194" s="979"/>
      <c r="C194" s="980"/>
      <c r="D194" s="351" t="s">
        <v>3</v>
      </c>
      <c r="E194" s="352" t="s">
        <v>367</v>
      </c>
      <c r="F194" s="583" t="s">
        <v>107</v>
      </c>
      <c r="G194" s="926">
        <f t="shared" si="20"/>
        <v>0</v>
      </c>
      <c r="H194" s="927"/>
      <c r="I194" s="928"/>
      <c r="J194" s="354">
        <v>0</v>
      </c>
      <c r="K194" s="355">
        <v>0</v>
      </c>
      <c r="L194" s="356">
        <f t="shared" si="21"/>
        <v>0</v>
      </c>
      <c r="M194" s="324"/>
      <c r="N194" s="978" t="s">
        <v>108</v>
      </c>
      <c r="O194" s="979"/>
      <c r="P194" s="980"/>
      <c r="Q194" s="351" t="s">
        <v>3</v>
      </c>
      <c r="R194" s="352" t="s">
        <v>367</v>
      </c>
      <c r="S194" s="583" t="s">
        <v>107</v>
      </c>
      <c r="T194" s="929">
        <f t="shared" si="22"/>
        <v>0</v>
      </c>
      <c r="U194" s="929"/>
      <c r="V194" s="929"/>
      <c r="W194" s="354">
        <v>0</v>
      </c>
      <c r="X194" s="355">
        <v>0</v>
      </c>
      <c r="Y194" s="356">
        <f t="shared" si="23"/>
        <v>0</v>
      </c>
      <c r="Z194" s="357">
        <f t="shared" si="6"/>
        <v>0</v>
      </c>
      <c r="AC194" s="442" t="s">
        <v>716</v>
      </c>
      <c r="AD194" s="584" t="s">
        <v>717</v>
      </c>
      <c r="AE194" s="332">
        <f t="shared" si="9"/>
        <v>0</v>
      </c>
      <c r="AF194" s="333" t="str">
        <f t="shared" si="10"/>
        <v/>
      </c>
      <c r="AH194" s="308"/>
      <c r="AI194" s="896" t="s">
        <v>718</v>
      </c>
      <c r="AJ194" s="897"/>
      <c r="AK194" s="897"/>
      <c r="AL194" s="897"/>
      <c r="AM194" s="897"/>
      <c r="AN194" s="372" t="s">
        <v>719</v>
      </c>
      <c r="AO194" s="317">
        <f t="shared" si="24"/>
        <v>0</v>
      </c>
      <c r="AP194" s="318"/>
      <c r="AQ194" s="308"/>
      <c r="AR194" s="954" t="s">
        <v>720</v>
      </c>
      <c r="AS194" s="955"/>
      <c r="AT194" s="955"/>
      <c r="AU194" s="955"/>
      <c r="AV194" s="955"/>
      <c r="AW194" s="335" t="s">
        <v>721</v>
      </c>
      <c r="AX194" s="317">
        <f t="shared" si="16"/>
        <v>0</v>
      </c>
      <c r="AY194" s="512"/>
      <c r="AZ194" s="308"/>
      <c r="BA194" s="437"/>
    </row>
    <row r="195" spans="1:53" ht="17.25" customHeight="1" x14ac:dyDescent="0.25">
      <c r="A195" s="972" t="s">
        <v>299</v>
      </c>
      <c r="B195" s="973"/>
      <c r="C195" s="973"/>
      <c r="D195" s="973"/>
      <c r="E195" s="973"/>
      <c r="F195" s="518"/>
      <c r="G195" s="1000">
        <f>SUM(G178:I194)</f>
        <v>4</v>
      </c>
      <c r="H195" s="1000"/>
      <c r="I195" s="1000"/>
      <c r="J195" s="439">
        <f>SUM(J178:J194)</f>
        <v>0</v>
      </c>
      <c r="K195" s="440">
        <f>SUM(K178:K194)</f>
        <v>0</v>
      </c>
      <c r="L195" s="356">
        <f>SUM(L178:L194)</f>
        <v>4</v>
      </c>
      <c r="M195" s="324"/>
      <c r="N195" s="1001" t="s">
        <v>299</v>
      </c>
      <c r="O195" s="1002"/>
      <c r="P195" s="1002"/>
      <c r="Q195" s="1002"/>
      <c r="R195" s="1002"/>
      <c r="S195" s="519"/>
      <c r="T195" s="1003">
        <f>SUM(T178:V194)</f>
        <v>2</v>
      </c>
      <c r="U195" s="1003"/>
      <c r="V195" s="1003"/>
      <c r="W195" s="439">
        <f>SUM(W178:W194)</f>
        <v>0</v>
      </c>
      <c r="X195" s="440">
        <f>SUM(X178:X194)</f>
        <v>0</v>
      </c>
      <c r="Y195" s="356">
        <f>SUM(Y178:Y194)</f>
        <v>2</v>
      </c>
      <c r="Z195" s="357">
        <f t="shared" si="6"/>
        <v>6</v>
      </c>
      <c r="AC195" s="442" t="s">
        <v>722</v>
      </c>
      <c r="AD195" s="585" t="s">
        <v>723</v>
      </c>
      <c r="AE195" s="332">
        <f t="shared" si="9"/>
        <v>0</v>
      </c>
      <c r="AF195" s="333" t="str">
        <f t="shared" si="10"/>
        <v/>
      </c>
      <c r="AH195" s="308"/>
      <c r="AI195" s="896" t="s">
        <v>724</v>
      </c>
      <c r="AJ195" s="897"/>
      <c r="AK195" s="897"/>
      <c r="AL195" s="897"/>
      <c r="AM195" s="897"/>
      <c r="AN195" s="586" t="s">
        <v>725</v>
      </c>
      <c r="AO195" s="317">
        <f t="shared" si="24"/>
        <v>0</v>
      </c>
      <c r="AP195" s="318"/>
      <c r="AQ195" s="308"/>
      <c r="AR195" s="954" t="s">
        <v>726</v>
      </c>
      <c r="AS195" s="955"/>
      <c r="AT195" s="955"/>
      <c r="AU195" s="955"/>
      <c r="AV195" s="955"/>
      <c r="AW195" s="335" t="s">
        <v>157</v>
      </c>
      <c r="AX195" s="317">
        <f t="shared" si="16"/>
        <v>1</v>
      </c>
      <c r="AY195" s="512"/>
      <c r="AZ195" s="308"/>
      <c r="BA195" s="437"/>
    </row>
    <row r="196" spans="1:53" ht="17.25" customHeight="1" x14ac:dyDescent="0.25">
      <c r="A196" s="587"/>
      <c r="B196" s="587"/>
      <c r="C196" s="587"/>
      <c r="D196" s="587"/>
      <c r="E196" s="587"/>
      <c r="F196" s="588"/>
      <c r="J196" s="589"/>
      <c r="K196" s="589"/>
      <c r="M196" s="268"/>
      <c r="N196" s="587"/>
      <c r="O196" s="587"/>
      <c r="P196" s="587"/>
      <c r="Q196" s="587"/>
      <c r="R196" s="587"/>
      <c r="S196" s="588"/>
      <c r="W196" s="589"/>
      <c r="X196" s="589"/>
      <c r="AC196" s="409" t="s">
        <v>727</v>
      </c>
      <c r="AD196" s="428" t="s">
        <v>728</v>
      </c>
      <c r="AE196" s="332">
        <f t="shared" si="9"/>
        <v>0</v>
      </c>
      <c r="AF196" s="333" t="str">
        <f t="shared" si="10"/>
        <v/>
      </c>
      <c r="AH196" s="308"/>
      <c r="AI196" s="896" t="s">
        <v>729</v>
      </c>
      <c r="AJ196" s="897"/>
      <c r="AK196" s="897"/>
      <c r="AL196" s="897"/>
      <c r="AM196" s="897"/>
      <c r="AN196" s="372" t="s">
        <v>730</v>
      </c>
      <c r="AO196" s="317">
        <f t="shared" si="24"/>
        <v>0</v>
      </c>
      <c r="AP196" s="318"/>
      <c r="AQ196" s="308"/>
      <c r="AR196" s="954" t="s">
        <v>731</v>
      </c>
      <c r="AS196" s="955"/>
      <c r="AT196" s="955"/>
      <c r="AU196" s="955"/>
      <c r="AV196" s="955"/>
      <c r="AW196" s="404" t="s">
        <v>732</v>
      </c>
      <c r="AX196" s="317">
        <f t="shared" si="16"/>
        <v>0</v>
      </c>
      <c r="AY196" s="512"/>
      <c r="AZ196" s="308"/>
      <c r="BA196" s="437"/>
    </row>
    <row r="197" spans="1:53" ht="17.25" customHeight="1" x14ac:dyDescent="0.25">
      <c r="A197" s="587"/>
      <c r="B197" s="587"/>
      <c r="C197" s="587"/>
      <c r="D197" s="587"/>
      <c r="E197" s="587"/>
      <c r="F197" s="588"/>
      <c r="J197" s="589"/>
      <c r="K197" s="589"/>
      <c r="M197" s="268"/>
      <c r="N197" s="587"/>
      <c r="O197" s="587"/>
      <c r="P197" s="587"/>
      <c r="Q197" s="587"/>
      <c r="R197" s="587"/>
      <c r="S197" s="588"/>
      <c r="W197" s="589"/>
      <c r="X197" s="589"/>
      <c r="AC197" s="442" t="s">
        <v>733</v>
      </c>
      <c r="AD197" s="428" t="s">
        <v>734</v>
      </c>
      <c r="AE197" s="332">
        <f t="shared" si="9"/>
        <v>0</v>
      </c>
      <c r="AF197" s="333" t="str">
        <f t="shared" si="10"/>
        <v/>
      </c>
      <c r="AH197" s="308"/>
      <c r="AI197" s="896" t="s">
        <v>735</v>
      </c>
      <c r="AJ197" s="897"/>
      <c r="AK197" s="897"/>
      <c r="AL197" s="897"/>
      <c r="AM197" s="897"/>
      <c r="AN197" s="578" t="s">
        <v>736</v>
      </c>
      <c r="AO197" s="317">
        <f t="shared" si="24"/>
        <v>0</v>
      </c>
      <c r="AP197" s="318"/>
      <c r="AQ197" s="308"/>
      <c r="AR197" s="954" t="s">
        <v>737</v>
      </c>
      <c r="AS197" s="955"/>
      <c r="AT197" s="955"/>
      <c r="AU197" s="955"/>
      <c r="AV197" s="955"/>
      <c r="AW197" s="590" t="s">
        <v>738</v>
      </c>
      <c r="AX197" s="317">
        <f t="shared" si="16"/>
        <v>0</v>
      </c>
      <c r="AY197" s="512"/>
      <c r="AZ197" s="308"/>
      <c r="BA197" s="437"/>
    </row>
    <row r="198" spans="1:53" ht="17.25" customHeight="1" x14ac:dyDescent="0.25">
      <c r="A198" s="997" t="s">
        <v>739</v>
      </c>
      <c r="B198" s="998"/>
      <c r="C198" s="998"/>
      <c r="D198" s="998"/>
      <c r="E198" s="999"/>
      <c r="F198" s="591"/>
      <c r="G198" s="986"/>
      <c r="H198" s="986"/>
      <c r="I198" s="987"/>
      <c r="J198" s="592" t="s">
        <v>351</v>
      </c>
      <c r="K198" s="593" t="s">
        <v>352</v>
      </c>
      <c r="L198" s="592" t="s">
        <v>353</v>
      </c>
      <c r="M198" s="268"/>
      <c r="N198" s="997" t="s">
        <v>739</v>
      </c>
      <c r="O198" s="998"/>
      <c r="P198" s="998"/>
      <c r="Q198" s="998"/>
      <c r="R198" s="999"/>
      <c r="S198" s="591"/>
      <c r="T198" s="986"/>
      <c r="U198" s="986"/>
      <c r="V198" s="987"/>
      <c r="W198" s="592" t="s">
        <v>351</v>
      </c>
      <c r="X198" s="593" t="s">
        <v>352</v>
      </c>
      <c r="Y198" s="592" t="s">
        <v>353</v>
      </c>
      <c r="AC198" s="442" t="s">
        <v>740</v>
      </c>
      <c r="AD198" s="428" t="s">
        <v>741</v>
      </c>
      <c r="AE198" s="332">
        <f t="shared" si="9"/>
        <v>0</v>
      </c>
      <c r="AF198" s="333" t="str">
        <f t="shared" si="10"/>
        <v/>
      </c>
      <c r="AH198" s="308"/>
      <c r="AI198" s="896" t="s">
        <v>742</v>
      </c>
      <c r="AJ198" s="897"/>
      <c r="AK198" s="897"/>
      <c r="AL198" s="897"/>
      <c r="AM198" s="897"/>
      <c r="AN198" s="582" t="s">
        <v>743</v>
      </c>
      <c r="AO198" s="317">
        <f t="shared" si="24"/>
        <v>0</v>
      </c>
      <c r="AP198" s="318"/>
      <c r="AQ198" s="308"/>
      <c r="AR198" s="954" t="s">
        <v>744</v>
      </c>
      <c r="AS198" s="955"/>
      <c r="AT198" s="955"/>
      <c r="AU198" s="955"/>
      <c r="AV198" s="955"/>
      <c r="AW198" s="590" t="s">
        <v>745</v>
      </c>
      <c r="AX198" s="317">
        <f t="shared" si="16"/>
        <v>0</v>
      </c>
      <c r="AY198" s="530"/>
      <c r="AZ198" s="308"/>
      <c r="BA198" s="437"/>
    </row>
    <row r="199" spans="1:53" ht="17.25" customHeight="1" x14ac:dyDescent="0.25">
      <c r="A199" s="978" t="s">
        <v>56</v>
      </c>
      <c r="B199" s="979"/>
      <c r="C199" s="980"/>
      <c r="D199" s="981"/>
      <c r="E199" s="982"/>
      <c r="F199" s="3" t="s">
        <v>55</v>
      </c>
      <c r="G199" s="926">
        <f>COUNTIF($A$4:$M$42,F199)+COUNTIF($A$43:$O$81,F199)+COUNTIF($N$4:$T$19,F199)+COUNTIF($O$20:$S$23,F199)+COUNTIF($N$24:$Q$25,F199)+COUNTIF($N$26:$P$26,F199)+COUNTIF($P$42,F199)+COUNTIF($T$21:$T$22,F199)+COUNTIF($R$24,F199)+COUNTIF($N$27:$O$28,F199)</f>
        <v>0</v>
      </c>
      <c r="H199" s="927"/>
      <c r="I199" s="928"/>
      <c r="J199" s="354">
        <v>0</v>
      </c>
      <c r="K199" s="355">
        <v>0</v>
      </c>
      <c r="L199" s="356">
        <f t="shared" ref="L199:L202" si="25">G199-K199-J199</f>
        <v>0</v>
      </c>
      <c r="M199" s="268"/>
      <c r="N199" s="978" t="s">
        <v>56</v>
      </c>
      <c r="O199" s="979"/>
      <c r="P199" s="980"/>
      <c r="Q199" s="981"/>
      <c r="R199" s="982"/>
      <c r="S199" s="3" t="s">
        <v>55</v>
      </c>
      <c r="T199" s="929">
        <f>COUNTIF($T$23:$BI$73,S199)+COUNTIF($N$29:$S$39,S199)+COUNTIF($P$47:$S$68,S199)+COUNTIF($Q$40:$S$42,S199)+COUNTIF($P$27:$S$28,S199)+COUNTIF($R$25:$S$25,S199)+COUNTIF($S$24:$S$24,S199)</f>
        <v>0</v>
      </c>
      <c r="U199" s="929"/>
      <c r="V199" s="929"/>
      <c r="W199" s="354">
        <v>0</v>
      </c>
      <c r="X199" s="355">
        <v>0</v>
      </c>
      <c r="Y199" s="356">
        <f t="shared" ref="Y199:Y202" si="26">T199-X199-W199</f>
        <v>0</v>
      </c>
      <c r="Z199" s="357">
        <f t="shared" ref="Z199:Z203" si="27">T199+G199</f>
        <v>0</v>
      </c>
      <c r="AC199" s="442" t="s">
        <v>746</v>
      </c>
      <c r="AD199" s="594" t="s">
        <v>747</v>
      </c>
      <c r="AE199" s="332">
        <f t="shared" si="9"/>
        <v>0</v>
      </c>
      <c r="AF199" s="333" t="str">
        <f t="shared" si="10"/>
        <v/>
      </c>
      <c r="AH199" s="308"/>
      <c r="AI199" s="896" t="s">
        <v>748</v>
      </c>
      <c r="AJ199" s="897"/>
      <c r="AK199" s="897"/>
      <c r="AL199" s="897"/>
      <c r="AM199" s="897"/>
      <c r="AN199" s="595" t="s">
        <v>749</v>
      </c>
      <c r="AO199" s="317">
        <f t="shared" si="24"/>
        <v>0</v>
      </c>
      <c r="AP199" s="318"/>
      <c r="AQ199" s="308"/>
      <c r="AR199" s="954" t="s">
        <v>750</v>
      </c>
      <c r="AS199" s="955"/>
      <c r="AT199" s="955"/>
      <c r="AU199" s="955"/>
      <c r="AV199" s="955"/>
      <c r="AW199" s="590" t="s">
        <v>751</v>
      </c>
      <c r="AX199" s="317">
        <f t="shared" si="16"/>
        <v>0</v>
      </c>
      <c r="AY199" s="530"/>
      <c r="AZ199" s="308"/>
      <c r="BA199" s="311"/>
    </row>
    <row r="200" spans="1:53" ht="17.25" customHeight="1" x14ac:dyDescent="0.25">
      <c r="A200" s="978" t="s">
        <v>53</v>
      </c>
      <c r="B200" s="979"/>
      <c r="C200" s="980"/>
      <c r="D200" s="981"/>
      <c r="E200" s="982"/>
      <c r="F200" s="4" t="s">
        <v>54</v>
      </c>
      <c r="G200" s="926">
        <f>COUNTIF($A$4:$M$42,F200)+COUNTIF($A$43:$O$81,F200)+COUNTIF($N$4:$T$19,F200)+COUNTIF($O$20:$S$23,F200)+COUNTIF($N$24:$Q$25,F200)+COUNTIF($N$26:$P$26,F200)+COUNTIF($P$42,F200)+COUNTIF($T$21:$T$22,F200)+COUNTIF($R$24,F200)+COUNTIF($N$27:$O$28,F200)</f>
        <v>0</v>
      </c>
      <c r="H200" s="927"/>
      <c r="I200" s="928"/>
      <c r="J200" s="354">
        <v>0</v>
      </c>
      <c r="K200" s="355">
        <v>0</v>
      </c>
      <c r="L200" s="356">
        <f t="shared" si="25"/>
        <v>0</v>
      </c>
      <c r="M200" s="268"/>
      <c r="N200" s="978" t="s">
        <v>53</v>
      </c>
      <c r="O200" s="979"/>
      <c r="P200" s="980"/>
      <c r="Q200" s="981"/>
      <c r="R200" s="982"/>
      <c r="S200" s="4" t="s">
        <v>54</v>
      </c>
      <c r="T200" s="929">
        <f>COUNTIF($T$23:$BI$73,S200)+COUNTIF($N$29:$S$39,S200)+COUNTIF($P$47:$S$68,S200)+COUNTIF($Q$40:$S$42,S200)+COUNTIF($P$27:$S$28,S200)+COUNTIF($R$25:$S$25,S200)+COUNTIF($S$24:$S$24,S200)</f>
        <v>0</v>
      </c>
      <c r="U200" s="929"/>
      <c r="V200" s="929"/>
      <c r="W200" s="354">
        <v>0</v>
      </c>
      <c r="X200" s="355">
        <v>0</v>
      </c>
      <c r="Y200" s="356">
        <f t="shared" si="26"/>
        <v>0</v>
      </c>
      <c r="Z200" s="357">
        <f t="shared" si="27"/>
        <v>0</v>
      </c>
      <c r="AC200" s="442" t="s">
        <v>752</v>
      </c>
      <c r="AD200" s="596" t="s">
        <v>752</v>
      </c>
      <c r="AE200" s="332">
        <f t="shared" si="9"/>
        <v>0</v>
      </c>
      <c r="AF200" s="333" t="str">
        <f t="shared" si="10"/>
        <v/>
      </c>
      <c r="AH200" s="308"/>
      <c r="AI200" s="896" t="s">
        <v>753</v>
      </c>
      <c r="AJ200" s="897"/>
      <c r="AK200" s="897"/>
      <c r="AL200" s="897"/>
      <c r="AM200" s="897"/>
      <c r="AN200" s="597" t="s">
        <v>754</v>
      </c>
      <c r="AO200" s="317">
        <f t="shared" si="24"/>
        <v>0</v>
      </c>
      <c r="AP200" s="318"/>
      <c r="AQ200" s="308"/>
      <c r="AR200" s="954" t="s">
        <v>755</v>
      </c>
      <c r="AS200" s="955"/>
      <c r="AT200" s="955"/>
      <c r="AU200" s="955"/>
      <c r="AV200" s="955"/>
      <c r="AW200" s="598" t="s">
        <v>756</v>
      </c>
      <c r="AX200" s="317">
        <f t="shared" si="16"/>
        <v>0</v>
      </c>
      <c r="AY200" s="530"/>
      <c r="BA200" s="311"/>
    </row>
    <row r="201" spans="1:53" ht="17.25" customHeight="1" x14ac:dyDescent="0.25">
      <c r="A201" s="978" t="s">
        <v>51</v>
      </c>
      <c r="B201" s="979"/>
      <c r="C201" s="980"/>
      <c r="D201" s="981"/>
      <c r="E201" s="982"/>
      <c r="F201" s="5" t="s">
        <v>52</v>
      </c>
      <c r="G201" s="926">
        <f>COUNTIF($A$4:$M$42,F201)+COUNTIF($A$43:$O$81,F201)+COUNTIF($N$4:$T$19,F201)+COUNTIF($O$20:$S$23,F201)+COUNTIF($N$24:$Q$25,F201)+COUNTIF($N$26:$P$26,F201)+COUNTIF($P$42,F201)+COUNTIF($T$21:$T$22,F201)+COUNTIF($R$24,F201)+COUNTIF($N$27:$O$28,F201)</f>
        <v>0</v>
      </c>
      <c r="H201" s="927"/>
      <c r="I201" s="928"/>
      <c r="J201" s="354">
        <v>0</v>
      </c>
      <c r="K201" s="355">
        <v>0</v>
      </c>
      <c r="L201" s="356">
        <f t="shared" si="25"/>
        <v>0</v>
      </c>
      <c r="M201" s="268"/>
      <c r="N201" s="978" t="s">
        <v>51</v>
      </c>
      <c r="O201" s="979"/>
      <c r="P201" s="980"/>
      <c r="Q201" s="981"/>
      <c r="R201" s="982"/>
      <c r="S201" s="5" t="s">
        <v>52</v>
      </c>
      <c r="T201" s="929">
        <f>COUNTIF($T$23:$BI$73,S201)+COUNTIF($N$29:$S$39,S201)+COUNTIF($P$47:$S$68,S201)+COUNTIF($Q$40:$S$42,S201)+COUNTIF($P$27:$S$28,S201)+COUNTIF($R$25:$S$25,S201)+COUNTIF($S$24:$S$24,S201)</f>
        <v>0</v>
      </c>
      <c r="U201" s="929"/>
      <c r="V201" s="929"/>
      <c r="W201" s="354">
        <v>0</v>
      </c>
      <c r="X201" s="355">
        <v>0</v>
      </c>
      <c r="Y201" s="356">
        <f t="shared" si="26"/>
        <v>0</v>
      </c>
      <c r="Z201" s="357">
        <f t="shared" si="27"/>
        <v>0</v>
      </c>
      <c r="AC201" s="442" t="s">
        <v>757</v>
      </c>
      <c r="AD201" s="375" t="s">
        <v>260</v>
      </c>
      <c r="AE201" s="332">
        <f t="shared" si="9"/>
        <v>6</v>
      </c>
      <c r="AF201" s="333" t="str">
        <f t="shared" si="10"/>
        <v/>
      </c>
      <c r="AH201" s="308"/>
      <c r="AI201" s="896" t="s">
        <v>758</v>
      </c>
      <c r="AJ201" s="897"/>
      <c r="AK201" s="897"/>
      <c r="AL201" s="897"/>
      <c r="AM201" s="897"/>
      <c r="AN201" s="599" t="s">
        <v>759</v>
      </c>
      <c r="AO201" s="317">
        <f t="shared" si="24"/>
        <v>0</v>
      </c>
      <c r="AP201" s="318"/>
      <c r="AQ201" s="308"/>
      <c r="AR201" s="954" t="s">
        <v>760</v>
      </c>
      <c r="AS201" s="955"/>
      <c r="AT201" s="955"/>
      <c r="AU201" s="955"/>
      <c r="AV201" s="955"/>
      <c r="AW201" s="600" t="s">
        <v>761</v>
      </c>
      <c r="AX201" s="317">
        <f t="shared" si="16"/>
        <v>0</v>
      </c>
      <c r="AY201" s="530"/>
      <c r="BA201" s="311"/>
    </row>
    <row r="202" spans="1:53" ht="17.25" customHeight="1" thickBot="1" x14ac:dyDescent="0.3">
      <c r="A202" s="978" t="s">
        <v>49</v>
      </c>
      <c r="B202" s="979"/>
      <c r="C202" s="980"/>
      <c r="D202" s="981"/>
      <c r="E202" s="982"/>
      <c r="F202" s="6" t="s">
        <v>50</v>
      </c>
      <c r="G202" s="926">
        <f>COUNTIF($A$4:$M$42,F202)+COUNTIF($A$43:$O$81,F202)+COUNTIF($N$4:$T$19,F202)+COUNTIF($O$20:$S$23,F202)+COUNTIF($N$24:$Q$25,F202)+COUNTIF($N$26:$P$26,F202)+COUNTIF($P$42,F202)+COUNTIF($T$21:$T$22,F202)+COUNTIF($R$24,F202)+COUNTIF($N$27:$O$28,F202)</f>
        <v>0</v>
      </c>
      <c r="H202" s="927"/>
      <c r="I202" s="928"/>
      <c r="J202" s="354">
        <v>0</v>
      </c>
      <c r="K202" s="355">
        <v>0</v>
      </c>
      <c r="L202" s="356">
        <f t="shared" si="25"/>
        <v>0</v>
      </c>
      <c r="M202" s="268"/>
      <c r="N202" s="978" t="s">
        <v>49</v>
      </c>
      <c r="O202" s="979"/>
      <c r="P202" s="980"/>
      <c r="Q202" s="981"/>
      <c r="R202" s="982"/>
      <c r="S202" s="6" t="s">
        <v>50</v>
      </c>
      <c r="T202" s="929">
        <f>COUNTIF($T$23:$BI$73,S202)+COUNTIF($N$29:$S$39,S202)+COUNTIF($P$47:$S$68,S202)+COUNTIF($Q$40:$S$42,S202)+COUNTIF($P$27:$S$28,S202)+COUNTIF($R$25:$S$25,S202)+COUNTIF($S$24:$S$24,S202)</f>
        <v>0</v>
      </c>
      <c r="U202" s="929"/>
      <c r="V202" s="929"/>
      <c r="W202" s="354">
        <v>0</v>
      </c>
      <c r="X202" s="355">
        <v>0</v>
      </c>
      <c r="Y202" s="356">
        <f t="shared" si="26"/>
        <v>0</v>
      </c>
      <c r="Z202" s="357">
        <f t="shared" si="27"/>
        <v>0</v>
      </c>
      <c r="AC202" s="442" t="s">
        <v>762</v>
      </c>
      <c r="AD202" s="601" t="s">
        <v>763</v>
      </c>
      <c r="AE202" s="332">
        <f t="shared" si="9"/>
        <v>0</v>
      </c>
      <c r="AF202" s="333" t="str">
        <f t="shared" si="10"/>
        <v/>
      </c>
      <c r="AH202" s="308"/>
      <c r="AI202" s="996" t="s">
        <v>764</v>
      </c>
      <c r="AJ202" s="952"/>
      <c r="AK202" s="952"/>
      <c r="AL202" s="952"/>
      <c r="AM202" s="953"/>
      <c r="AN202" s="602"/>
      <c r="AO202" s="502">
        <f>SUM(AO126:AO200)</f>
        <v>0</v>
      </c>
      <c r="AQ202" s="308"/>
      <c r="AR202" s="954" t="s">
        <v>765</v>
      </c>
      <c r="AS202" s="955"/>
      <c r="AT202" s="955"/>
      <c r="AU202" s="955"/>
      <c r="AV202" s="955"/>
      <c r="AW202" s="536" t="s">
        <v>766</v>
      </c>
      <c r="AX202" s="317">
        <f t="shared" si="16"/>
        <v>0</v>
      </c>
      <c r="AY202" s="530"/>
      <c r="BA202" s="311"/>
    </row>
    <row r="203" spans="1:53" ht="17.25" customHeight="1" thickBot="1" x14ac:dyDescent="0.35">
      <c r="A203" s="976" t="s">
        <v>767</v>
      </c>
      <c r="B203" s="976"/>
      <c r="C203" s="976"/>
      <c r="D203" s="976"/>
      <c r="E203" s="976"/>
      <c r="F203" s="588"/>
      <c r="G203" s="977">
        <f>SUM(G199:I202)</f>
        <v>0</v>
      </c>
      <c r="H203" s="977"/>
      <c r="I203" s="977"/>
      <c r="J203" s="603">
        <f t="shared" ref="J203:L203" si="28">SUM(J199:J202)</f>
        <v>0</v>
      </c>
      <c r="K203" s="604">
        <f t="shared" si="28"/>
        <v>0</v>
      </c>
      <c r="L203" s="605">
        <f t="shared" si="28"/>
        <v>0</v>
      </c>
      <c r="M203" s="268"/>
      <c r="N203" s="976" t="s">
        <v>767</v>
      </c>
      <c r="O203" s="976"/>
      <c r="P203" s="976"/>
      <c r="Q203" s="976"/>
      <c r="R203" s="976"/>
      <c r="S203" s="588"/>
      <c r="T203" s="977">
        <f>SUM(T199:V202)</f>
        <v>0</v>
      </c>
      <c r="U203" s="977"/>
      <c r="V203" s="977"/>
      <c r="W203" s="603">
        <f t="shared" ref="W203:Y203" si="29">SUM(W199:W202)</f>
        <v>0</v>
      </c>
      <c r="X203" s="604">
        <f t="shared" si="29"/>
        <v>0</v>
      </c>
      <c r="Y203" s="605">
        <f t="shared" si="29"/>
        <v>0</v>
      </c>
      <c r="Z203" s="357">
        <f t="shared" si="27"/>
        <v>0</v>
      </c>
      <c r="AC203" s="442" t="s">
        <v>768</v>
      </c>
      <c r="AD203" s="606" t="s">
        <v>200</v>
      </c>
      <c r="AE203" s="332">
        <f t="shared" si="9"/>
        <v>4</v>
      </c>
      <c r="AF203" s="333" t="str">
        <f t="shared" si="10"/>
        <v/>
      </c>
      <c r="AH203" s="308"/>
      <c r="AI203" s="994" t="s">
        <v>769</v>
      </c>
      <c r="AJ203" s="995"/>
      <c r="AK203" s="995"/>
      <c r="AL203" s="995"/>
      <c r="AM203" s="995"/>
      <c r="AN203" s="607" t="s">
        <v>770</v>
      </c>
      <c r="AO203" s="317">
        <f>COUNTIF($P$1:$Q$1,"O-FUT")</f>
        <v>0</v>
      </c>
      <c r="AQ203" s="308"/>
      <c r="AR203" s="954" t="s">
        <v>771</v>
      </c>
      <c r="AS203" s="955"/>
      <c r="AT203" s="955"/>
      <c r="AU203" s="955"/>
      <c r="AV203" s="955"/>
      <c r="AW203" s="469" t="s">
        <v>772</v>
      </c>
      <c r="AX203" s="317">
        <f t="shared" si="16"/>
        <v>0</v>
      </c>
      <c r="AY203" s="530"/>
      <c r="BA203" s="311"/>
    </row>
    <row r="204" spans="1:53" ht="17.25" customHeight="1" x14ac:dyDescent="0.25">
      <c r="A204" s="587"/>
      <c r="B204" s="587"/>
      <c r="C204" s="587"/>
      <c r="D204" s="587"/>
      <c r="E204" s="587"/>
      <c r="F204" s="588"/>
      <c r="J204" s="589"/>
      <c r="K204" s="589"/>
      <c r="M204" s="268"/>
      <c r="N204" s="587"/>
      <c r="O204" s="587"/>
      <c r="P204" s="587"/>
      <c r="Q204" s="587"/>
      <c r="R204" s="587"/>
      <c r="S204" s="588"/>
      <c r="W204" s="589"/>
      <c r="X204" s="589"/>
      <c r="AA204" s="324"/>
      <c r="AC204" s="442" t="s">
        <v>773</v>
      </c>
      <c r="AD204" s="608" t="s">
        <v>774</v>
      </c>
      <c r="AE204" s="332">
        <f t="shared" si="9"/>
        <v>0</v>
      </c>
      <c r="AF204" s="333" t="str">
        <f t="shared" si="10"/>
        <v/>
      </c>
      <c r="AH204" s="308"/>
      <c r="AI204" s="609"/>
      <c r="AJ204" s="610"/>
      <c r="AK204" s="610"/>
      <c r="AL204" s="610"/>
      <c r="AM204" s="610"/>
      <c r="AQ204" s="308"/>
      <c r="AR204" s="954" t="s">
        <v>775</v>
      </c>
      <c r="AS204" s="955"/>
      <c r="AT204" s="955"/>
      <c r="AU204" s="955"/>
      <c r="AV204" s="955"/>
      <c r="AW204" s="393" t="s">
        <v>776</v>
      </c>
      <c r="AX204" s="317">
        <f t="shared" si="16"/>
        <v>0</v>
      </c>
      <c r="AY204" s="530"/>
      <c r="BA204" s="311"/>
    </row>
    <row r="205" spans="1:53" ht="17.25" customHeight="1" x14ac:dyDescent="0.25">
      <c r="A205" s="587"/>
      <c r="B205" s="587"/>
      <c r="C205" s="587"/>
      <c r="D205" s="587"/>
      <c r="E205" s="587"/>
      <c r="F205" s="588"/>
      <c r="J205" s="589"/>
      <c r="K205" s="589"/>
      <c r="M205" s="268"/>
      <c r="N205" s="587"/>
      <c r="O205" s="587"/>
      <c r="P205" s="587"/>
      <c r="Q205" s="587"/>
      <c r="R205" s="587"/>
      <c r="S205" s="588"/>
      <c r="W205" s="589"/>
      <c r="X205" s="589"/>
      <c r="AA205" s="324"/>
      <c r="AC205" s="442" t="s">
        <v>777</v>
      </c>
      <c r="AD205" s="611" t="s">
        <v>202</v>
      </c>
      <c r="AE205" s="332">
        <f t="shared" si="9"/>
        <v>4</v>
      </c>
      <c r="AF205" s="333" t="str">
        <f t="shared" si="10"/>
        <v/>
      </c>
      <c r="AH205" s="308"/>
      <c r="AI205" s="918" t="s">
        <v>355</v>
      </c>
      <c r="AJ205" s="908"/>
      <c r="AK205" s="908"/>
      <c r="AL205" s="908"/>
      <c r="AM205" s="908"/>
      <c r="AN205" s="904"/>
      <c r="AO205" s="309" t="s">
        <v>299</v>
      </c>
      <c r="AP205" s="612"/>
      <c r="AQ205" s="308"/>
      <c r="AR205" s="954" t="s">
        <v>778</v>
      </c>
      <c r="AS205" s="955"/>
      <c r="AT205" s="955"/>
      <c r="AU205" s="955"/>
      <c r="AV205" s="955"/>
      <c r="AW205" s="393" t="s">
        <v>153</v>
      </c>
      <c r="AX205" s="317">
        <f t="shared" si="16"/>
        <v>2</v>
      </c>
      <c r="AY205" s="530"/>
      <c r="BA205" s="311"/>
    </row>
    <row r="206" spans="1:53" ht="17.25" customHeight="1" x14ac:dyDescent="0.25">
      <c r="A206" s="991" t="s">
        <v>779</v>
      </c>
      <c r="B206" s="992"/>
      <c r="C206" s="992"/>
      <c r="D206" s="992"/>
      <c r="E206" s="993"/>
      <c r="F206" s="591"/>
      <c r="G206" s="986"/>
      <c r="H206" s="986"/>
      <c r="I206" s="987"/>
      <c r="J206" s="592" t="s">
        <v>351</v>
      </c>
      <c r="K206" s="593" t="s">
        <v>352</v>
      </c>
      <c r="L206" s="592" t="s">
        <v>353</v>
      </c>
      <c r="M206" s="268"/>
      <c r="N206" s="991" t="s">
        <v>779</v>
      </c>
      <c r="O206" s="992"/>
      <c r="P206" s="992"/>
      <c r="Q206" s="992"/>
      <c r="R206" s="993"/>
      <c r="S206" s="591"/>
      <c r="T206" s="986"/>
      <c r="U206" s="986"/>
      <c r="V206" s="987"/>
      <c r="W206" s="592" t="s">
        <v>351</v>
      </c>
      <c r="X206" s="593" t="s">
        <v>352</v>
      </c>
      <c r="Y206" s="592" t="s">
        <v>353</v>
      </c>
      <c r="AA206" s="324"/>
      <c r="AC206" s="442" t="s">
        <v>780</v>
      </c>
      <c r="AD206" s="601" t="s">
        <v>781</v>
      </c>
      <c r="AE206" s="332">
        <f t="shared" si="9"/>
        <v>0</v>
      </c>
      <c r="AF206" s="333" t="str">
        <f t="shared" si="10"/>
        <v/>
      </c>
      <c r="AH206" s="308"/>
      <c r="AI206" s="914" t="s">
        <v>782</v>
      </c>
      <c r="AJ206" s="915"/>
      <c r="AK206" s="915"/>
      <c r="AL206" s="915"/>
      <c r="AM206" s="915"/>
      <c r="AN206" s="613" t="s">
        <v>783</v>
      </c>
      <c r="AO206" s="317">
        <f t="shared" ref="AO206:AO234" si="30">COUNTIF($A$1:$GO$103,AN206)</f>
        <v>0</v>
      </c>
      <c r="AP206" s="614"/>
      <c r="AQ206" s="308"/>
      <c r="AR206" s="954" t="s">
        <v>784</v>
      </c>
      <c r="AS206" s="955"/>
      <c r="AT206" s="955"/>
      <c r="AU206" s="955"/>
      <c r="AV206" s="955"/>
      <c r="AW206" s="396" t="s">
        <v>156</v>
      </c>
      <c r="AX206" s="317">
        <f t="shared" si="16"/>
        <v>4</v>
      </c>
      <c r="AY206" s="530"/>
      <c r="BA206" s="311"/>
    </row>
    <row r="207" spans="1:53" ht="17.25" customHeight="1" x14ac:dyDescent="0.25">
      <c r="A207" s="978" t="s">
        <v>125</v>
      </c>
      <c r="B207" s="979"/>
      <c r="C207" s="980"/>
      <c r="D207" s="981"/>
      <c r="E207" s="982"/>
      <c r="F207" s="15" t="s">
        <v>65</v>
      </c>
      <c r="G207" s="926">
        <f>COUNTIF($A$4:$M$42,F207)+COUNTIF($A$43:$O$81,F207)+COUNTIF($N$4:$T$19,F207)+COUNTIF($O$20:$S$23,F207)+COUNTIF($N$24:$Q$25,F207)+COUNTIF($N$26:$P$26,F207)+COUNTIF($P$42,F207)+COUNTIF($T$21:$T$22,F207)+COUNTIF($R$24,F207)+COUNTIF($N$27:$O$28,F207)</f>
        <v>0</v>
      </c>
      <c r="H207" s="927"/>
      <c r="I207" s="928"/>
      <c r="J207" s="354">
        <v>0</v>
      </c>
      <c r="K207" s="355">
        <v>0</v>
      </c>
      <c r="L207" s="356">
        <f t="shared" ref="L207:L209" si="31">G207-K207-J207</f>
        <v>0</v>
      </c>
      <c r="M207" s="268"/>
      <c r="N207" s="978" t="s">
        <v>125</v>
      </c>
      <c r="O207" s="979"/>
      <c r="P207" s="980"/>
      <c r="Q207" s="981"/>
      <c r="R207" s="982"/>
      <c r="S207" s="15" t="s">
        <v>65</v>
      </c>
      <c r="T207" s="929">
        <f>COUNTIF($T$23:$BI$73,S207)+COUNTIF($N$29:$S$39,S207)+COUNTIF($P$47:$S$68,S207)+COUNTIF($Q$40:$S$42,S207)+COUNTIF($P$27:$S$28,S207)+COUNTIF($R$25:$S$25,S207)+COUNTIF($S$24:$S$24,S207)</f>
        <v>0</v>
      </c>
      <c r="U207" s="929"/>
      <c r="V207" s="929"/>
      <c r="W207" s="354">
        <v>0</v>
      </c>
      <c r="X207" s="355">
        <v>0</v>
      </c>
      <c r="Y207" s="356">
        <f t="shared" ref="Y207:Y209" si="32">T207-X207-W207</f>
        <v>0</v>
      </c>
      <c r="Z207" s="357">
        <f t="shared" ref="Z207:Z210" si="33">T207+G207</f>
        <v>0</v>
      </c>
      <c r="AA207" s="324"/>
      <c r="AC207" s="442" t="s">
        <v>785</v>
      </c>
      <c r="AD207" s="615" t="s">
        <v>786</v>
      </c>
      <c r="AE207" s="332">
        <f t="shared" si="9"/>
        <v>0</v>
      </c>
      <c r="AF207" s="333" t="str">
        <f t="shared" si="10"/>
        <v/>
      </c>
      <c r="AH207" s="308"/>
      <c r="AI207" s="914" t="s">
        <v>787</v>
      </c>
      <c r="AJ207" s="915"/>
      <c r="AK207" s="915"/>
      <c r="AL207" s="915"/>
      <c r="AM207" s="915"/>
      <c r="AN207" s="616" t="s">
        <v>788</v>
      </c>
      <c r="AO207" s="317">
        <f t="shared" si="30"/>
        <v>0</v>
      </c>
      <c r="AP207" s="614"/>
      <c r="AQ207" s="308"/>
      <c r="AR207" s="954" t="s">
        <v>789</v>
      </c>
      <c r="AS207" s="955"/>
      <c r="AT207" s="955"/>
      <c r="AU207" s="955"/>
      <c r="AV207" s="955"/>
      <c r="AW207" s="465" t="s">
        <v>790</v>
      </c>
      <c r="AX207" s="317">
        <f t="shared" si="16"/>
        <v>0</v>
      </c>
      <c r="AY207" s="530"/>
      <c r="BA207" s="311"/>
    </row>
    <row r="208" spans="1:53" ht="17.25" customHeight="1" x14ac:dyDescent="0.25">
      <c r="A208" s="978" t="s">
        <v>126</v>
      </c>
      <c r="B208" s="979"/>
      <c r="C208" s="980"/>
      <c r="D208" s="981"/>
      <c r="E208" s="982"/>
      <c r="F208" s="16" t="s">
        <v>64</v>
      </c>
      <c r="G208" s="926">
        <f>COUNTIF($A$4:$M$42,F208)+COUNTIF($A$43:$O$81,F208)+COUNTIF($N$4:$T$19,F208)+COUNTIF($O$20:$S$23,F208)+COUNTIF($N$24:$Q$25,F208)+COUNTIF($N$26:$P$26,F208)+COUNTIF($P$42,F208)+COUNTIF($T$21:$T$22,F208)+COUNTIF($R$24,F208)+COUNTIF($N$27:$O$28,F208)</f>
        <v>0</v>
      </c>
      <c r="H208" s="927"/>
      <c r="I208" s="928"/>
      <c r="J208" s="354">
        <v>0</v>
      </c>
      <c r="K208" s="355">
        <v>0</v>
      </c>
      <c r="L208" s="356">
        <f t="shared" si="31"/>
        <v>0</v>
      </c>
      <c r="M208" s="268"/>
      <c r="N208" s="978" t="s">
        <v>126</v>
      </c>
      <c r="O208" s="979"/>
      <c r="P208" s="980"/>
      <c r="Q208" s="981"/>
      <c r="R208" s="982"/>
      <c r="S208" s="16" t="s">
        <v>64</v>
      </c>
      <c r="T208" s="929">
        <f>COUNTIF($T$23:$BI$73,S208)+COUNTIF($N$29:$S$39,S208)+COUNTIF($P$47:$S$68,S208)+COUNTIF($Q$40:$S$42,S208)+COUNTIF($P$27:$S$28,S208)+COUNTIF($R$25:$S$25,S208)+COUNTIF($S$24:$S$24,S208)</f>
        <v>0</v>
      </c>
      <c r="U208" s="929"/>
      <c r="V208" s="929"/>
      <c r="W208" s="354">
        <v>0</v>
      </c>
      <c r="X208" s="355">
        <v>0</v>
      </c>
      <c r="Y208" s="356">
        <f t="shared" si="32"/>
        <v>0</v>
      </c>
      <c r="Z208" s="357">
        <f t="shared" si="33"/>
        <v>0</v>
      </c>
      <c r="AA208" s="324"/>
      <c r="AC208" s="442" t="s">
        <v>791</v>
      </c>
      <c r="AD208" s="617" t="s">
        <v>792</v>
      </c>
      <c r="AE208" s="332">
        <f t="shared" si="9"/>
        <v>0</v>
      </c>
      <c r="AF208" s="333" t="str">
        <f t="shared" si="10"/>
        <v/>
      </c>
      <c r="AH208" s="308"/>
      <c r="AI208" s="914" t="s">
        <v>793</v>
      </c>
      <c r="AJ208" s="915"/>
      <c r="AK208" s="915"/>
      <c r="AL208" s="915"/>
      <c r="AM208" s="915"/>
      <c r="AN208" s="618" t="s">
        <v>794</v>
      </c>
      <c r="AO208" s="317">
        <f t="shared" si="30"/>
        <v>0</v>
      </c>
      <c r="AP208" s="614"/>
      <c r="AQ208" s="308"/>
      <c r="AR208" s="954" t="s">
        <v>795</v>
      </c>
      <c r="AS208" s="955"/>
      <c r="AT208" s="955"/>
      <c r="AU208" s="955"/>
      <c r="AV208" s="955"/>
      <c r="AW208" s="465" t="s">
        <v>796</v>
      </c>
      <c r="AX208" s="317">
        <f t="shared" si="16"/>
        <v>0</v>
      </c>
      <c r="AY208" s="530"/>
      <c r="BA208" s="311"/>
    </row>
    <row r="209" spans="1:58" ht="17.25" customHeight="1" x14ac:dyDescent="0.25">
      <c r="A209" s="978" t="s">
        <v>66</v>
      </c>
      <c r="B209" s="979"/>
      <c r="C209" s="980"/>
      <c r="D209" s="981"/>
      <c r="E209" s="982"/>
      <c r="F209" s="17" t="s">
        <v>67</v>
      </c>
      <c r="G209" s="926">
        <f>COUNTIF($A$4:$M$42,F209)+COUNTIF($A$43:$O$81,F209)+COUNTIF($N$4:$T$19,F209)+COUNTIF($O$20:$S$23,F209)+COUNTIF($N$24:$Q$25,F209)+COUNTIF($N$26:$P$26,F209)+COUNTIF($P$42,F209)+COUNTIF($T$21:$T$22,F209)+COUNTIF($R$24,F209)+COUNTIF($N$27:$O$28,F209)</f>
        <v>0</v>
      </c>
      <c r="H209" s="927"/>
      <c r="I209" s="928"/>
      <c r="J209" s="354">
        <v>0</v>
      </c>
      <c r="K209" s="355">
        <v>0</v>
      </c>
      <c r="L209" s="356">
        <f t="shared" si="31"/>
        <v>0</v>
      </c>
      <c r="M209" s="268"/>
      <c r="N209" s="978" t="s">
        <v>66</v>
      </c>
      <c r="O209" s="979"/>
      <c r="P209" s="980"/>
      <c r="Q209" s="981"/>
      <c r="R209" s="982"/>
      <c r="S209" s="17" t="s">
        <v>67</v>
      </c>
      <c r="T209" s="929">
        <f>COUNTIF($T$23:$BI$73,S209)+COUNTIF($N$29:$S$39,S209)+COUNTIF($P$47:$S$68,S209)+COUNTIF($Q$40:$S$42,S209)+COUNTIF($P$27:$S$28,S209)+COUNTIF($R$25:$S$25,S209)+COUNTIF($S$24:$S$24,S209)</f>
        <v>0</v>
      </c>
      <c r="U209" s="929"/>
      <c r="V209" s="929"/>
      <c r="W209" s="354">
        <v>0</v>
      </c>
      <c r="X209" s="355">
        <v>0</v>
      </c>
      <c r="Y209" s="356">
        <f t="shared" si="32"/>
        <v>0</v>
      </c>
      <c r="Z209" s="357">
        <f t="shared" si="33"/>
        <v>0</v>
      </c>
      <c r="AA209" s="324"/>
      <c r="AC209" s="442" t="s">
        <v>797</v>
      </c>
      <c r="AD209" s="619" t="s">
        <v>798</v>
      </c>
      <c r="AE209" s="332">
        <f t="shared" si="9"/>
        <v>0</v>
      </c>
      <c r="AF209" s="333" t="str">
        <f t="shared" si="10"/>
        <v/>
      </c>
      <c r="AH209" s="308"/>
      <c r="AI209" s="914" t="s">
        <v>799</v>
      </c>
      <c r="AJ209" s="915"/>
      <c r="AK209" s="915"/>
      <c r="AL209" s="915"/>
      <c r="AM209" s="915"/>
      <c r="AN209" s="620" t="s">
        <v>800</v>
      </c>
      <c r="AO209" s="317">
        <f t="shared" si="30"/>
        <v>0</v>
      </c>
      <c r="AP209" s="614"/>
      <c r="AQ209" s="308"/>
      <c r="AR209" s="954" t="s">
        <v>801</v>
      </c>
      <c r="AS209" s="955"/>
      <c r="AT209" s="955"/>
      <c r="AU209" s="955"/>
      <c r="AV209" s="955"/>
      <c r="AW209" s="465" t="s">
        <v>802</v>
      </c>
      <c r="AX209" s="317">
        <f t="shared" si="16"/>
        <v>0</v>
      </c>
      <c r="AY209" s="530"/>
      <c r="BA209" s="311"/>
    </row>
    <row r="210" spans="1:58" ht="17.25" customHeight="1" x14ac:dyDescent="0.25">
      <c r="A210" s="976" t="s">
        <v>803</v>
      </c>
      <c r="B210" s="976"/>
      <c r="C210" s="976"/>
      <c r="D210" s="976"/>
      <c r="E210" s="976"/>
      <c r="F210" s="588"/>
      <c r="G210" s="977">
        <f t="shared" ref="G210:L210" si="34">SUM(G207:I209)</f>
        <v>0</v>
      </c>
      <c r="H210" s="977"/>
      <c r="I210" s="977"/>
      <c r="J210" s="603">
        <f t="shared" si="34"/>
        <v>0</v>
      </c>
      <c r="K210" s="604">
        <f t="shared" si="34"/>
        <v>0</v>
      </c>
      <c r="L210" s="356">
        <f t="shared" si="34"/>
        <v>0</v>
      </c>
      <c r="M210" s="268"/>
      <c r="N210" s="976" t="s">
        <v>803</v>
      </c>
      <c r="O210" s="976"/>
      <c r="P210" s="976"/>
      <c r="Q210" s="976"/>
      <c r="R210" s="976"/>
      <c r="S210" s="588"/>
      <c r="T210" s="977">
        <f t="shared" ref="T210" si="35">SUM(T207:V209)</f>
        <v>0</v>
      </c>
      <c r="U210" s="977"/>
      <c r="V210" s="977"/>
      <c r="W210" s="603">
        <f t="shared" ref="W210:X210" si="36">SUM(W207:Y209)</f>
        <v>0</v>
      </c>
      <c r="X210" s="604">
        <f t="shared" si="36"/>
        <v>0</v>
      </c>
      <c r="Y210" s="356">
        <f>SUM(Y203:AA205)</f>
        <v>0</v>
      </c>
      <c r="Z210" s="357">
        <f t="shared" si="33"/>
        <v>0</v>
      </c>
      <c r="AA210" s="324" t="b">
        <f>IFERROR(#REF!&gt;0.5,FALSE)</f>
        <v>0</v>
      </c>
      <c r="AC210" s="442" t="s">
        <v>804</v>
      </c>
      <c r="AD210" s="621" t="s">
        <v>805</v>
      </c>
      <c r="AE210" s="332">
        <f t="shared" si="9"/>
        <v>0</v>
      </c>
      <c r="AF210" s="333" t="str">
        <f t="shared" si="10"/>
        <v/>
      </c>
      <c r="AH210" s="308"/>
      <c r="AI210" s="914" t="s">
        <v>806</v>
      </c>
      <c r="AJ210" s="915"/>
      <c r="AK210" s="915"/>
      <c r="AL210" s="915"/>
      <c r="AM210" s="915"/>
      <c r="AN210" s="622" t="s">
        <v>807</v>
      </c>
      <c r="AO210" s="317">
        <f t="shared" si="30"/>
        <v>0</v>
      </c>
      <c r="AP210" s="614"/>
      <c r="AQ210" s="308"/>
      <c r="AR210" s="954" t="s">
        <v>808</v>
      </c>
      <c r="AS210" s="955"/>
      <c r="AT210" s="955"/>
      <c r="AU210" s="955"/>
      <c r="AV210" s="955"/>
      <c r="AW210" s="461" t="s">
        <v>152</v>
      </c>
      <c r="AX210" s="317">
        <f t="shared" si="16"/>
        <v>5</v>
      </c>
      <c r="AY210" s="530"/>
      <c r="BA210" s="311"/>
    </row>
    <row r="211" spans="1:58" ht="17.25" customHeight="1" x14ac:dyDescent="0.25">
      <c r="A211" s="587"/>
      <c r="B211" s="587"/>
      <c r="C211" s="587"/>
      <c r="D211" s="587"/>
      <c r="E211" s="587"/>
      <c r="F211" s="588"/>
      <c r="J211" s="589"/>
      <c r="K211" s="589"/>
      <c r="M211" s="268"/>
      <c r="N211" s="587"/>
      <c r="O211" s="587"/>
      <c r="P211" s="587"/>
      <c r="Q211" s="587"/>
      <c r="R211" s="587"/>
      <c r="S211" s="588"/>
      <c r="W211" s="589"/>
      <c r="X211" s="589"/>
      <c r="AA211" s="324"/>
      <c r="AC211" s="442" t="s">
        <v>809</v>
      </c>
      <c r="AD211" s="621" t="s">
        <v>809</v>
      </c>
      <c r="AE211" s="332">
        <f t="shared" si="9"/>
        <v>0</v>
      </c>
      <c r="AF211" s="333" t="str">
        <f t="shared" si="10"/>
        <v/>
      </c>
      <c r="AH211" s="308"/>
      <c r="AI211" s="914" t="s">
        <v>810</v>
      </c>
      <c r="AJ211" s="915"/>
      <c r="AK211" s="915"/>
      <c r="AL211" s="915"/>
      <c r="AM211" s="915"/>
      <c r="AN211" s="623" t="s">
        <v>811</v>
      </c>
      <c r="AO211" s="317">
        <f t="shared" si="30"/>
        <v>0</v>
      </c>
      <c r="AP211" s="614"/>
      <c r="AQ211" s="308"/>
      <c r="AR211" s="954" t="s">
        <v>812</v>
      </c>
      <c r="AS211" s="955"/>
      <c r="AT211" s="955"/>
      <c r="AU211" s="955"/>
      <c r="AV211" s="955"/>
      <c r="AW211" s="461" t="s">
        <v>813</v>
      </c>
      <c r="AX211" s="317">
        <f t="shared" si="16"/>
        <v>0</v>
      </c>
      <c r="AY211" s="530"/>
      <c r="BA211" s="311"/>
    </row>
    <row r="212" spans="1:58" ht="17.25" customHeight="1" x14ac:dyDescent="0.25">
      <c r="A212" s="587"/>
      <c r="B212" s="587"/>
      <c r="C212" s="587"/>
      <c r="D212" s="587"/>
      <c r="E212" s="587"/>
      <c r="F212" s="588"/>
      <c r="J212" s="589"/>
      <c r="K212" s="589"/>
      <c r="M212" s="268"/>
      <c r="N212" s="587"/>
      <c r="O212" s="587"/>
      <c r="P212" s="587"/>
      <c r="Q212" s="587"/>
      <c r="R212" s="587"/>
      <c r="S212" s="588"/>
      <c r="W212" s="589"/>
      <c r="X212" s="589"/>
      <c r="AA212" s="324"/>
      <c r="AC212" s="442" t="s">
        <v>361</v>
      </c>
      <c r="AD212" s="624" t="s">
        <v>814</v>
      </c>
      <c r="AE212" s="332">
        <f t="shared" si="9"/>
        <v>0</v>
      </c>
      <c r="AF212" s="333" t="str">
        <f t="shared" si="10"/>
        <v/>
      </c>
      <c r="AH212" s="308"/>
      <c r="AI212" s="914" t="s">
        <v>815</v>
      </c>
      <c r="AJ212" s="915"/>
      <c r="AK212" s="915"/>
      <c r="AL212" s="915"/>
      <c r="AM212" s="915"/>
      <c r="AN212" s="393" t="s">
        <v>816</v>
      </c>
      <c r="AO212" s="317">
        <f t="shared" si="30"/>
        <v>0</v>
      </c>
      <c r="AP212" s="614"/>
      <c r="AQ212" s="308"/>
      <c r="AR212" s="954" t="s">
        <v>817</v>
      </c>
      <c r="AS212" s="955"/>
      <c r="AT212" s="955"/>
      <c r="AU212" s="955"/>
      <c r="AV212" s="955"/>
      <c r="AW212" s="321" t="s">
        <v>154</v>
      </c>
      <c r="AX212" s="317">
        <f t="shared" si="16"/>
        <v>1</v>
      </c>
      <c r="AY212" s="530"/>
      <c r="BA212" s="311"/>
      <c r="BC212" s="625"/>
      <c r="BD212" s="625"/>
      <c r="BE212" s="625"/>
      <c r="BF212" s="625"/>
    </row>
    <row r="213" spans="1:58" ht="17.25" customHeight="1" x14ac:dyDescent="0.25">
      <c r="A213" s="988" t="s">
        <v>818</v>
      </c>
      <c r="B213" s="989"/>
      <c r="C213" s="989"/>
      <c r="D213" s="989"/>
      <c r="E213" s="990"/>
      <c r="F213" s="591"/>
      <c r="G213" s="986"/>
      <c r="H213" s="986"/>
      <c r="I213" s="987"/>
      <c r="J213" s="592" t="s">
        <v>351</v>
      </c>
      <c r="K213" s="593" t="s">
        <v>352</v>
      </c>
      <c r="L213" s="592" t="s">
        <v>353</v>
      </c>
      <c r="M213" s="268"/>
      <c r="N213" s="988" t="s">
        <v>818</v>
      </c>
      <c r="O213" s="989"/>
      <c r="P213" s="989"/>
      <c r="Q213" s="989"/>
      <c r="R213" s="990"/>
      <c r="S213" s="591"/>
      <c r="T213" s="986"/>
      <c r="U213" s="986"/>
      <c r="V213" s="987"/>
      <c r="W213" s="592" t="s">
        <v>351</v>
      </c>
      <c r="X213" s="593" t="s">
        <v>352</v>
      </c>
      <c r="Y213" s="592" t="s">
        <v>353</v>
      </c>
      <c r="AA213" s="324"/>
      <c r="AC213" s="442" t="s">
        <v>819</v>
      </c>
      <c r="AD213" s="32" t="s">
        <v>151</v>
      </c>
      <c r="AE213" s="332">
        <f t="shared" si="9"/>
        <v>41</v>
      </c>
      <c r="AF213" s="333" t="str">
        <f t="shared" si="10"/>
        <v/>
      </c>
      <c r="AH213" s="308"/>
      <c r="AI213" s="914" t="s">
        <v>820</v>
      </c>
      <c r="AJ213" s="915"/>
      <c r="AK213" s="915"/>
      <c r="AL213" s="915"/>
      <c r="AM213" s="915"/>
      <c r="AN213" s="321" t="s">
        <v>821</v>
      </c>
      <c r="AO213" s="317">
        <f t="shared" si="30"/>
        <v>0</v>
      </c>
      <c r="AP213" s="614"/>
      <c r="AQ213" s="308"/>
      <c r="AR213" s="954" t="s">
        <v>822</v>
      </c>
      <c r="AS213" s="955"/>
      <c r="AT213" s="955"/>
      <c r="AU213" s="955"/>
      <c r="AV213" s="955"/>
      <c r="AW213" s="626" t="s">
        <v>823</v>
      </c>
      <c r="AX213" s="317">
        <f t="shared" si="16"/>
        <v>0</v>
      </c>
      <c r="AY213" s="530"/>
      <c r="BA213" s="311"/>
      <c r="BC213" s="627"/>
      <c r="BD213" s="627"/>
      <c r="BE213" s="627"/>
      <c r="BF213" s="627"/>
    </row>
    <row r="214" spans="1:58" ht="17.25" customHeight="1" x14ac:dyDescent="0.25">
      <c r="A214" s="978" t="s">
        <v>127</v>
      </c>
      <c r="B214" s="979"/>
      <c r="C214" s="980"/>
      <c r="D214" s="981"/>
      <c r="E214" s="982"/>
      <c r="F214" s="18" t="s">
        <v>128</v>
      </c>
      <c r="G214" s="926">
        <f>COUNTIF($A$4:$M$42,F214)+COUNTIF($A$43:$O$81,F214)+COUNTIF($N$4:$T$19,F214)+COUNTIF($O$20:$S$23,F214)+COUNTIF($N$24:$Q$25,F214)+COUNTIF($N$26:$P$26,F214)+COUNTIF($P$42,F214)+COUNTIF($T$21:$T$22,F214)+COUNTIF($R$24,F214)+COUNTIF($N$27:$O$28,F214)</f>
        <v>0</v>
      </c>
      <c r="H214" s="927"/>
      <c r="I214" s="928"/>
      <c r="J214" s="354">
        <v>0</v>
      </c>
      <c r="K214" s="355">
        <v>0</v>
      </c>
      <c r="L214" s="356">
        <f t="shared" ref="L214:L217" si="37">G214-K214-J214</f>
        <v>0</v>
      </c>
      <c r="M214" s="268"/>
      <c r="N214" s="978" t="s">
        <v>127</v>
      </c>
      <c r="O214" s="979"/>
      <c r="P214" s="980"/>
      <c r="Q214" s="981"/>
      <c r="R214" s="982"/>
      <c r="S214" s="18" t="s">
        <v>128</v>
      </c>
      <c r="T214" s="929">
        <f>COUNTIF($T$23:$BI$73,S214)+COUNTIF($N$29:$S$39,S214)+COUNTIF($P$47:$S$68,S214)+COUNTIF($Q$40:$S$42,S214)+COUNTIF($P$27:$S$28,S214)+COUNTIF($R$25:$S$25,S214)+COUNTIF($S$24:$S$24,S214)</f>
        <v>0</v>
      </c>
      <c r="U214" s="929"/>
      <c r="V214" s="929"/>
      <c r="W214" s="354">
        <v>0</v>
      </c>
      <c r="X214" s="355">
        <v>0</v>
      </c>
      <c r="Y214" s="356">
        <f t="shared" ref="Y214:Y217" si="38">T214-X214-W214</f>
        <v>0</v>
      </c>
      <c r="Z214" s="357">
        <f t="shared" ref="Z214:Z218" si="39">T214+G214</f>
        <v>0</v>
      </c>
      <c r="AA214" s="324"/>
      <c r="AC214" s="442" t="s">
        <v>824</v>
      </c>
      <c r="AD214" s="628" t="s">
        <v>825</v>
      </c>
      <c r="AE214" s="332">
        <f t="shared" si="9"/>
        <v>0</v>
      </c>
      <c r="AF214" s="333" t="str">
        <f t="shared" si="10"/>
        <v/>
      </c>
      <c r="AH214" s="308"/>
      <c r="AI214" s="914" t="s">
        <v>826</v>
      </c>
      <c r="AJ214" s="915"/>
      <c r="AK214" s="915"/>
      <c r="AL214" s="915"/>
      <c r="AM214" s="915"/>
      <c r="AN214" s="461" t="s">
        <v>827</v>
      </c>
      <c r="AO214" s="317">
        <f t="shared" si="30"/>
        <v>0</v>
      </c>
      <c r="AP214" s="614"/>
      <c r="AQ214" s="308"/>
      <c r="AR214" s="954" t="s">
        <v>828</v>
      </c>
      <c r="AS214" s="955"/>
      <c r="AT214" s="955"/>
      <c r="AU214" s="955"/>
      <c r="AV214" s="955"/>
      <c r="AW214" s="629" t="s">
        <v>829</v>
      </c>
      <c r="AX214" s="317">
        <f t="shared" si="16"/>
        <v>0</v>
      </c>
      <c r="AY214" s="530"/>
      <c r="BA214" s="311"/>
      <c r="BC214" s="625"/>
      <c r="BD214" s="625"/>
      <c r="BE214" s="625"/>
      <c r="BF214" s="625"/>
    </row>
    <row r="215" spans="1:58" ht="17.25" customHeight="1" x14ac:dyDescent="0.25">
      <c r="A215" s="978" t="s">
        <v>129</v>
      </c>
      <c r="B215" s="979"/>
      <c r="C215" s="980"/>
      <c r="D215" s="981"/>
      <c r="E215" s="982"/>
      <c r="F215" s="19" t="s">
        <v>130</v>
      </c>
      <c r="G215" s="926">
        <f>COUNTIF($A$4:$M$42,F215)+COUNTIF($A$43:$O$81,F215)+COUNTIF($N$4:$T$19,F215)+COUNTIF($O$20:$S$23,F215)+COUNTIF($N$24:$Q$25,F215)+COUNTIF($N$26:$P$26,F215)+COUNTIF($P$42,F215)+COUNTIF($T$21:$T$22,F215)+COUNTIF($R$24,F215)+COUNTIF($N$27:$O$28,F215)</f>
        <v>0</v>
      </c>
      <c r="H215" s="927"/>
      <c r="I215" s="928"/>
      <c r="J215" s="354">
        <v>0</v>
      </c>
      <c r="K215" s="355">
        <v>0</v>
      </c>
      <c r="L215" s="356">
        <f t="shared" si="37"/>
        <v>0</v>
      </c>
      <c r="M215" s="268"/>
      <c r="N215" s="978" t="s">
        <v>129</v>
      </c>
      <c r="O215" s="979"/>
      <c r="P215" s="980"/>
      <c r="Q215" s="981"/>
      <c r="R215" s="982"/>
      <c r="S215" s="19" t="s">
        <v>130</v>
      </c>
      <c r="T215" s="929">
        <f>COUNTIF($T$23:$BI$73,S215)+COUNTIF($N$29:$S$39,S215)+COUNTIF($P$47:$S$68,S215)+COUNTIF($Q$40:$S$42,S215)+COUNTIF($P$27:$S$28,S215)+COUNTIF($R$25:$S$25,S215)+COUNTIF($S$24:$S$24,S215)</f>
        <v>0</v>
      </c>
      <c r="U215" s="929"/>
      <c r="V215" s="929"/>
      <c r="W215" s="354">
        <v>0</v>
      </c>
      <c r="X215" s="355">
        <v>0</v>
      </c>
      <c r="Y215" s="356">
        <f t="shared" si="38"/>
        <v>0</v>
      </c>
      <c r="Z215" s="357">
        <f t="shared" si="39"/>
        <v>0</v>
      </c>
      <c r="AA215" s="324"/>
      <c r="AC215" s="442" t="s">
        <v>830</v>
      </c>
      <c r="AD215" s="630" t="s">
        <v>831</v>
      </c>
      <c r="AE215" s="332">
        <f t="shared" si="9"/>
        <v>0</v>
      </c>
      <c r="AF215" s="333" t="str">
        <f t="shared" si="10"/>
        <v/>
      </c>
      <c r="AH215" s="308"/>
      <c r="AI215" s="914" t="s">
        <v>832</v>
      </c>
      <c r="AJ215" s="915"/>
      <c r="AK215" s="915"/>
      <c r="AL215" s="915"/>
      <c r="AM215" s="915"/>
      <c r="AN215" s="461" t="s">
        <v>5</v>
      </c>
      <c r="AO215" s="317">
        <f t="shared" si="30"/>
        <v>0</v>
      </c>
      <c r="AP215" s="614"/>
      <c r="AQ215" s="308"/>
      <c r="AR215" s="954" t="s">
        <v>833</v>
      </c>
      <c r="AS215" s="955"/>
      <c r="AT215" s="955"/>
      <c r="AU215" s="955"/>
      <c r="AV215" s="955"/>
      <c r="AW215" s="631" t="s">
        <v>834</v>
      </c>
      <c r="AX215" s="317">
        <f t="shared" si="16"/>
        <v>0</v>
      </c>
      <c r="AY215" s="530"/>
      <c r="BA215" s="311"/>
      <c r="BC215" s="632"/>
      <c r="BD215" s="632"/>
      <c r="BE215" s="632"/>
      <c r="BF215" s="632"/>
    </row>
    <row r="216" spans="1:58" ht="17.25" customHeight="1" x14ac:dyDescent="0.25">
      <c r="A216" s="978" t="s">
        <v>131</v>
      </c>
      <c r="B216" s="979"/>
      <c r="C216" s="980"/>
      <c r="D216" s="981"/>
      <c r="E216" s="982"/>
      <c r="F216" s="20" t="s">
        <v>120</v>
      </c>
      <c r="G216" s="926">
        <f>COUNTIF($A$4:$M$42,F216)+COUNTIF($A$43:$O$81,F216)+COUNTIF($N$4:$T$19,F216)+COUNTIF($O$20:$S$23,F216)+COUNTIF($N$24:$Q$25,F216)+COUNTIF($N$26:$P$26,F216)+COUNTIF($P$42,F216)+COUNTIF($T$21:$T$22,F216)+COUNTIF($R$24,F216)+COUNTIF($N$27:$O$28,F216)</f>
        <v>0</v>
      </c>
      <c r="H216" s="927"/>
      <c r="I216" s="928"/>
      <c r="J216" s="354">
        <v>0</v>
      </c>
      <c r="K216" s="355">
        <v>0</v>
      </c>
      <c r="L216" s="356">
        <f t="shared" si="37"/>
        <v>0</v>
      </c>
      <c r="M216" s="268"/>
      <c r="N216" s="978" t="s">
        <v>131</v>
      </c>
      <c r="O216" s="979"/>
      <c r="P216" s="980"/>
      <c r="Q216" s="981"/>
      <c r="R216" s="982"/>
      <c r="S216" s="20" t="s">
        <v>120</v>
      </c>
      <c r="T216" s="929">
        <f>COUNTIF($T$23:$BI$73,S216)+COUNTIF($N$29:$S$39,S216)+COUNTIF($P$47:$S$68,S216)+COUNTIF($Q$40:$S$42,S216)+COUNTIF($P$27:$S$28,S216)+COUNTIF($R$25:$S$25,S216)+COUNTIF($S$24:$S$24,S216)</f>
        <v>0</v>
      </c>
      <c r="U216" s="929"/>
      <c r="V216" s="929"/>
      <c r="W216" s="354">
        <v>0</v>
      </c>
      <c r="X216" s="355">
        <v>0</v>
      </c>
      <c r="Y216" s="356">
        <f t="shared" si="38"/>
        <v>0</v>
      </c>
      <c r="Z216" s="357">
        <f t="shared" si="39"/>
        <v>0</v>
      </c>
      <c r="AA216" s="324"/>
      <c r="AC216" s="442" t="s">
        <v>835</v>
      </c>
      <c r="AD216" s="630" t="s">
        <v>836</v>
      </c>
      <c r="AE216" s="332">
        <f t="shared" ref="AE216:AE224" si="40">COUNTIF($A$1:$GO$103,AD216)</f>
        <v>0</v>
      </c>
      <c r="AF216" s="333" t="str">
        <f t="shared" si="10"/>
        <v/>
      </c>
      <c r="AH216" s="308"/>
      <c r="AI216" s="914" t="s">
        <v>837</v>
      </c>
      <c r="AJ216" s="915"/>
      <c r="AK216" s="915"/>
      <c r="AL216" s="915"/>
      <c r="AM216" s="915"/>
      <c r="AN216" s="633" t="s">
        <v>838</v>
      </c>
      <c r="AO216" s="317">
        <f t="shared" si="30"/>
        <v>0</v>
      </c>
      <c r="AP216" s="614"/>
      <c r="AQ216" s="308"/>
      <c r="AR216" s="954" t="s">
        <v>839</v>
      </c>
      <c r="AS216" s="955"/>
      <c r="AT216" s="955"/>
      <c r="AU216" s="955"/>
      <c r="AV216" s="955"/>
      <c r="AW216" s="631" t="s">
        <v>840</v>
      </c>
      <c r="AX216" s="317">
        <f t="shared" si="16"/>
        <v>0</v>
      </c>
      <c r="AY216" s="530"/>
      <c r="BA216" s="311"/>
    </row>
    <row r="217" spans="1:58" ht="17.25" customHeight="1" x14ac:dyDescent="0.25">
      <c r="A217" s="978" t="s">
        <v>132</v>
      </c>
      <c r="B217" s="979"/>
      <c r="C217" s="980"/>
      <c r="D217" s="981"/>
      <c r="E217" s="982"/>
      <c r="F217" s="21" t="s">
        <v>121</v>
      </c>
      <c r="G217" s="926">
        <f>COUNTIF($A$4:$M$42,F217)+COUNTIF($A$43:$O$81,F217)+COUNTIF($N$4:$T$19,F217)+COUNTIF($O$20:$S$23,F217)+COUNTIF($N$24:$Q$25,F217)+COUNTIF($N$26:$P$26,F217)+COUNTIF($P$42,F217)+COUNTIF($T$21:$T$22,F217)+COUNTIF($R$24,F217)+COUNTIF($N$27:$O$28,F217)</f>
        <v>0</v>
      </c>
      <c r="H217" s="927"/>
      <c r="I217" s="928"/>
      <c r="J217" s="354">
        <v>0</v>
      </c>
      <c r="K217" s="355">
        <v>0</v>
      </c>
      <c r="L217" s="356">
        <f t="shared" si="37"/>
        <v>0</v>
      </c>
      <c r="M217" s="268"/>
      <c r="N217" s="978" t="s">
        <v>132</v>
      </c>
      <c r="O217" s="979"/>
      <c r="P217" s="980"/>
      <c r="Q217" s="981"/>
      <c r="R217" s="982"/>
      <c r="S217" s="21" t="s">
        <v>121</v>
      </c>
      <c r="T217" s="929">
        <f>COUNTIF($T$23:$BI$73,S217)+COUNTIF($N$29:$S$39,S217)+COUNTIF($P$47:$S$68,S217)+COUNTIF($Q$40:$S$42,S217)+COUNTIF($P$27:$S$28,S217)+COUNTIF($R$25:$S$25,S217)+COUNTIF($S$24:$S$24,S217)</f>
        <v>0</v>
      </c>
      <c r="U217" s="929"/>
      <c r="V217" s="929"/>
      <c r="W217" s="354">
        <v>0</v>
      </c>
      <c r="X217" s="355">
        <v>0</v>
      </c>
      <c r="Y217" s="356">
        <f t="shared" si="38"/>
        <v>0</v>
      </c>
      <c r="Z217" s="357">
        <f t="shared" si="39"/>
        <v>0</v>
      </c>
      <c r="AA217" s="324"/>
      <c r="AC217" s="442" t="s">
        <v>841</v>
      </c>
      <c r="AD217" s="634" t="s">
        <v>842</v>
      </c>
      <c r="AE217" s="332">
        <f t="shared" si="40"/>
        <v>0</v>
      </c>
      <c r="AF217" s="333" t="str">
        <f t="shared" ref="AF217:AF224" si="41">IFERROR(AE217/$J$4,"")</f>
        <v/>
      </c>
      <c r="AH217" s="308"/>
      <c r="AI217" s="914" t="s">
        <v>843</v>
      </c>
      <c r="AJ217" s="915"/>
      <c r="AK217" s="915"/>
      <c r="AL217" s="915"/>
      <c r="AM217" s="915"/>
      <c r="AN217" s="335" t="s">
        <v>844</v>
      </c>
      <c r="AO217" s="317">
        <f t="shared" si="30"/>
        <v>0</v>
      </c>
      <c r="AP217" s="614"/>
      <c r="AQ217" s="308"/>
      <c r="AR217" s="954" t="s">
        <v>845</v>
      </c>
      <c r="AS217" s="955"/>
      <c r="AT217" s="955"/>
      <c r="AU217" s="955"/>
      <c r="AV217" s="955"/>
      <c r="AW217" s="635" t="s">
        <v>846</v>
      </c>
      <c r="AX217" s="317">
        <f t="shared" si="16"/>
        <v>0</v>
      </c>
      <c r="AY217" s="530"/>
      <c r="BA217" s="311"/>
      <c r="BC217" s="625"/>
      <c r="BD217" s="625"/>
      <c r="BE217" s="625"/>
      <c r="BF217" s="625"/>
    </row>
    <row r="218" spans="1:58" ht="17.25" customHeight="1" x14ac:dyDescent="0.25">
      <c r="A218" s="976" t="s">
        <v>847</v>
      </c>
      <c r="B218" s="976"/>
      <c r="C218" s="976"/>
      <c r="D218" s="976"/>
      <c r="E218" s="976"/>
      <c r="F218" s="588"/>
      <c r="G218" s="977">
        <f>SUM(G214:I217)</f>
        <v>0</v>
      </c>
      <c r="H218" s="977"/>
      <c r="I218" s="977"/>
      <c r="J218" s="603">
        <f t="shared" ref="J218:L218" si="42">SUM(J214:J217)</f>
        <v>0</v>
      </c>
      <c r="K218" s="604">
        <f t="shared" si="42"/>
        <v>0</v>
      </c>
      <c r="L218" s="605">
        <f t="shared" si="42"/>
        <v>0</v>
      </c>
      <c r="M218" s="268"/>
      <c r="N218" s="976" t="s">
        <v>847</v>
      </c>
      <c r="O218" s="976"/>
      <c r="P218" s="976"/>
      <c r="Q218" s="976"/>
      <c r="R218" s="976"/>
      <c r="S218" s="588"/>
      <c r="T218" s="977">
        <f>SUM(T214:V217)</f>
        <v>0</v>
      </c>
      <c r="U218" s="977"/>
      <c r="V218" s="977"/>
      <c r="W218" s="603">
        <f t="shared" ref="W218:Y218" si="43">SUM(W214:W217)</f>
        <v>0</v>
      </c>
      <c r="X218" s="604">
        <f t="shared" si="43"/>
        <v>0</v>
      </c>
      <c r="Y218" s="605">
        <f t="shared" si="43"/>
        <v>0</v>
      </c>
      <c r="Z218" s="357">
        <f t="shared" si="39"/>
        <v>0</v>
      </c>
      <c r="AA218" s="324"/>
      <c r="AC218" s="442" t="s">
        <v>848</v>
      </c>
      <c r="AD218" s="611" t="s">
        <v>849</v>
      </c>
      <c r="AE218" s="332">
        <f t="shared" si="40"/>
        <v>0</v>
      </c>
      <c r="AF218" s="333" t="str">
        <f t="shared" si="41"/>
        <v/>
      </c>
      <c r="AI218" s="914" t="s">
        <v>850</v>
      </c>
      <c r="AJ218" s="915"/>
      <c r="AK218" s="915"/>
      <c r="AL218" s="915"/>
      <c r="AM218" s="915"/>
      <c r="AN218" s="412" t="s">
        <v>851</v>
      </c>
      <c r="AO218" s="317">
        <f t="shared" si="30"/>
        <v>0</v>
      </c>
      <c r="AP218" s="614"/>
      <c r="AQ218" s="308"/>
      <c r="AR218" s="954" t="s">
        <v>852</v>
      </c>
      <c r="AS218" s="955"/>
      <c r="AT218" s="955"/>
      <c r="AU218" s="955"/>
      <c r="AV218" s="955"/>
      <c r="AW218" s="636" t="s">
        <v>853</v>
      </c>
      <c r="AX218" s="317">
        <f t="shared" si="16"/>
        <v>0</v>
      </c>
      <c r="AY218" s="530"/>
      <c r="BA218" s="311"/>
      <c r="BC218" s="627"/>
      <c r="BD218" s="627"/>
      <c r="BE218" s="627"/>
      <c r="BF218" s="627"/>
    </row>
    <row r="219" spans="1:58" ht="17.25" customHeight="1" x14ac:dyDescent="0.25">
      <c r="A219" s="587"/>
      <c r="B219" s="587"/>
      <c r="C219" s="587"/>
      <c r="D219" s="587"/>
      <c r="E219" s="587"/>
      <c r="F219" s="588"/>
      <c r="J219" s="589"/>
      <c r="K219" s="589"/>
      <c r="M219" s="268"/>
      <c r="N219" s="587"/>
      <c r="O219" s="587"/>
      <c r="P219" s="587"/>
      <c r="Q219" s="587"/>
      <c r="R219" s="587"/>
      <c r="S219" s="588"/>
      <c r="W219" s="589"/>
      <c r="X219" s="589"/>
      <c r="AA219" s="324"/>
      <c r="AC219" s="442" t="s">
        <v>854</v>
      </c>
      <c r="AD219" s="628" t="s">
        <v>855</v>
      </c>
      <c r="AE219" s="332">
        <f t="shared" si="40"/>
        <v>0</v>
      </c>
      <c r="AF219" s="333" t="str">
        <f t="shared" si="41"/>
        <v/>
      </c>
      <c r="AI219" s="914" t="s">
        <v>856</v>
      </c>
      <c r="AJ219" s="915"/>
      <c r="AK219" s="915"/>
      <c r="AL219" s="915"/>
      <c r="AM219" s="915"/>
      <c r="AN219" s="469" t="s">
        <v>857</v>
      </c>
      <c r="AO219" s="317">
        <f t="shared" si="30"/>
        <v>0</v>
      </c>
      <c r="AP219" s="614"/>
      <c r="AQ219" s="308"/>
      <c r="AR219" s="954" t="s">
        <v>858</v>
      </c>
      <c r="AS219" s="955"/>
      <c r="AT219" s="955"/>
      <c r="AU219" s="955"/>
      <c r="AV219" s="955"/>
      <c r="AW219" s="637" t="s">
        <v>859</v>
      </c>
      <c r="AX219" s="317">
        <f t="shared" si="16"/>
        <v>0</v>
      </c>
      <c r="AY219" s="530"/>
      <c r="BA219" s="311"/>
      <c r="BC219" s="625"/>
      <c r="BD219" s="625"/>
      <c r="BE219" s="625"/>
      <c r="BF219" s="625"/>
    </row>
    <row r="220" spans="1:58" ht="17.25" customHeight="1" x14ac:dyDescent="0.25">
      <c r="A220" s="587"/>
      <c r="B220" s="587"/>
      <c r="C220" s="587"/>
      <c r="D220" s="587"/>
      <c r="E220" s="587"/>
      <c r="F220" s="588"/>
      <c r="J220" s="589"/>
      <c r="K220" s="589"/>
      <c r="M220" s="268"/>
      <c r="N220" s="587"/>
      <c r="O220" s="587"/>
      <c r="P220" s="587"/>
      <c r="Q220" s="587"/>
      <c r="R220" s="587"/>
      <c r="S220" s="588"/>
      <c r="W220" s="589"/>
      <c r="X220" s="589"/>
      <c r="AA220" s="324"/>
      <c r="AC220" s="442" t="s">
        <v>860</v>
      </c>
      <c r="AD220" s="638" t="s">
        <v>861</v>
      </c>
      <c r="AE220" s="332">
        <f t="shared" si="40"/>
        <v>0</v>
      </c>
      <c r="AF220" s="333" t="str">
        <f t="shared" si="41"/>
        <v/>
      </c>
      <c r="AI220" s="914" t="s">
        <v>862</v>
      </c>
      <c r="AJ220" s="915"/>
      <c r="AK220" s="915"/>
      <c r="AL220" s="915"/>
      <c r="AM220" s="915"/>
      <c r="AN220" s="465" t="s">
        <v>863</v>
      </c>
      <c r="AO220" s="317">
        <f t="shared" si="30"/>
        <v>0</v>
      </c>
      <c r="AP220" s="614"/>
      <c r="AQ220" s="308"/>
      <c r="AR220" s="954" t="s">
        <v>864</v>
      </c>
      <c r="AS220" s="955"/>
      <c r="AT220" s="955"/>
      <c r="AU220" s="955"/>
      <c r="AV220" s="955"/>
      <c r="AW220" s="639" t="s">
        <v>865</v>
      </c>
      <c r="AX220" s="317">
        <f t="shared" si="16"/>
        <v>0</v>
      </c>
      <c r="AY220" s="530"/>
      <c r="BA220" s="311"/>
      <c r="BC220" s="632"/>
      <c r="BD220" s="632"/>
      <c r="BE220" s="632"/>
      <c r="BF220" s="632"/>
    </row>
    <row r="221" spans="1:58" ht="17.25" customHeight="1" x14ac:dyDescent="0.25">
      <c r="A221" s="983" t="s">
        <v>866</v>
      </c>
      <c r="B221" s="984"/>
      <c r="C221" s="984"/>
      <c r="D221" s="984"/>
      <c r="E221" s="985"/>
      <c r="F221" s="591"/>
      <c r="G221" s="986"/>
      <c r="H221" s="986"/>
      <c r="I221" s="987"/>
      <c r="J221" s="592" t="s">
        <v>351</v>
      </c>
      <c r="K221" s="593" t="s">
        <v>352</v>
      </c>
      <c r="L221" s="592" t="s">
        <v>353</v>
      </c>
      <c r="M221" s="268"/>
      <c r="N221" s="983" t="s">
        <v>866</v>
      </c>
      <c r="O221" s="984"/>
      <c r="P221" s="984"/>
      <c r="Q221" s="984"/>
      <c r="R221" s="985"/>
      <c r="S221" s="591"/>
      <c r="T221" s="986"/>
      <c r="U221" s="986"/>
      <c r="V221" s="987"/>
      <c r="W221" s="592" t="s">
        <v>351</v>
      </c>
      <c r="X221" s="593" t="s">
        <v>352</v>
      </c>
      <c r="Y221" s="592" t="s">
        <v>353</v>
      </c>
      <c r="AA221" s="324"/>
      <c r="AC221" s="442" t="s">
        <v>867</v>
      </c>
      <c r="AD221" s="640" t="s">
        <v>867</v>
      </c>
      <c r="AE221" s="332">
        <f t="shared" si="40"/>
        <v>0</v>
      </c>
      <c r="AF221" s="333" t="str">
        <f t="shared" si="41"/>
        <v/>
      </c>
      <c r="AI221" s="914" t="s">
        <v>868</v>
      </c>
      <c r="AJ221" s="915"/>
      <c r="AK221" s="915"/>
      <c r="AL221" s="915"/>
      <c r="AM221" s="915"/>
      <c r="AN221" s="478" t="s">
        <v>869</v>
      </c>
      <c r="AO221" s="317">
        <f t="shared" si="30"/>
        <v>0</v>
      </c>
      <c r="AP221" s="614"/>
      <c r="AQ221" s="308"/>
      <c r="AR221" s="954" t="s">
        <v>870</v>
      </c>
      <c r="AS221" s="955"/>
      <c r="AT221" s="955"/>
      <c r="AU221" s="955"/>
      <c r="AV221" s="955"/>
      <c r="AW221" s="641" t="s">
        <v>871</v>
      </c>
      <c r="AX221" s="317">
        <f t="shared" si="16"/>
        <v>0</v>
      </c>
      <c r="AY221" s="530"/>
      <c r="BA221" s="311"/>
    </row>
    <row r="222" spans="1:58" ht="17.25" customHeight="1" x14ac:dyDescent="0.25">
      <c r="A222" s="978" t="s">
        <v>58</v>
      </c>
      <c r="B222" s="979"/>
      <c r="C222" s="980"/>
      <c r="D222" s="981"/>
      <c r="E222" s="982"/>
      <c r="F222" s="7" t="s">
        <v>59</v>
      </c>
      <c r="G222" s="926">
        <f>COUNTIF($A$4:$M$42,F222)+COUNTIF($A$43:$O$81,F222)+COUNTIF($N$4:$T$19,F222)+COUNTIF($O$20:$S$23,F222)+COUNTIF($N$24:$Q$25,F222)+COUNTIF($N$26:$P$26,F222)+COUNTIF($P$42,F222)+COUNTIF($T$21:$T$22,F222)+COUNTIF($R$24,F222)+COUNTIF($N$27:$O$28,F222)</f>
        <v>0</v>
      </c>
      <c r="H222" s="927"/>
      <c r="I222" s="928"/>
      <c r="J222" s="354">
        <v>0</v>
      </c>
      <c r="K222" s="355">
        <v>0</v>
      </c>
      <c r="L222" s="356">
        <f t="shared" ref="L222:L224" si="44">G222-K222-J222</f>
        <v>0</v>
      </c>
      <c r="M222" s="268"/>
      <c r="N222" s="978" t="s">
        <v>58</v>
      </c>
      <c r="O222" s="979"/>
      <c r="P222" s="980"/>
      <c r="Q222" s="981"/>
      <c r="R222" s="982"/>
      <c r="S222" s="7" t="s">
        <v>59</v>
      </c>
      <c r="T222" s="929">
        <f>COUNTIF($T$23:$BI$73,S222)+COUNTIF($N$29:$S$39,S222)+COUNTIF($P$47:$S$68,S222)+COUNTIF($Q$40:$S$42,S222)+COUNTIF($P$27:$S$28,S222)+COUNTIF($R$25:$S$25,S222)+COUNTIF($S$24:$S$24,S222)</f>
        <v>0</v>
      </c>
      <c r="U222" s="929"/>
      <c r="V222" s="929"/>
      <c r="W222" s="354">
        <v>0</v>
      </c>
      <c r="X222" s="355">
        <v>0</v>
      </c>
      <c r="Y222" s="356">
        <f t="shared" ref="Y222:Y224" si="45">T222-X222-W222</f>
        <v>0</v>
      </c>
      <c r="Z222" s="357">
        <f t="shared" ref="Z222:Z225" si="46">T222+G222</f>
        <v>0</v>
      </c>
      <c r="AA222" s="324"/>
      <c r="AC222" s="442" t="s">
        <v>872</v>
      </c>
      <c r="AD222" s="379" t="s">
        <v>195</v>
      </c>
      <c r="AE222" s="332">
        <f t="shared" si="40"/>
        <v>43</v>
      </c>
      <c r="AF222" s="333" t="str">
        <f t="shared" si="41"/>
        <v/>
      </c>
      <c r="AI222" s="914" t="s">
        <v>873</v>
      </c>
      <c r="AJ222" s="915"/>
      <c r="AK222" s="915"/>
      <c r="AL222" s="915"/>
      <c r="AM222" s="915"/>
      <c r="AN222" s="626" t="s">
        <v>874</v>
      </c>
      <c r="AO222" s="317">
        <f t="shared" si="30"/>
        <v>0</v>
      </c>
      <c r="AP222" s="614"/>
      <c r="AQ222" s="308"/>
      <c r="AR222" s="954" t="s">
        <v>875</v>
      </c>
      <c r="AS222" s="955"/>
      <c r="AT222" s="955"/>
      <c r="AU222" s="955"/>
      <c r="AV222" s="955"/>
      <c r="AW222" s="478" t="s">
        <v>876</v>
      </c>
      <c r="AX222" s="317">
        <f t="shared" si="16"/>
        <v>0</v>
      </c>
      <c r="AY222" s="530"/>
      <c r="BA222" s="311"/>
      <c r="BC222" s="625"/>
      <c r="BD222" s="625"/>
      <c r="BE222" s="625"/>
      <c r="BF222" s="625"/>
    </row>
    <row r="223" spans="1:58" ht="17.25" customHeight="1" x14ac:dyDescent="0.25">
      <c r="A223" s="978" t="s">
        <v>60</v>
      </c>
      <c r="B223" s="979"/>
      <c r="C223" s="980"/>
      <c r="D223" s="981"/>
      <c r="E223" s="982"/>
      <c r="F223" s="8" t="s">
        <v>61</v>
      </c>
      <c r="G223" s="926">
        <f>COUNTIF($A$4:$M$42,F223)+COUNTIF($A$43:$O$81,F223)+COUNTIF($N$4:$T$19,F223)+COUNTIF($O$20:$S$23,F223)+COUNTIF($N$24:$Q$25,F223)+COUNTIF($N$26:$P$26,F223)+COUNTIF($P$42,F223)+COUNTIF($T$21:$T$22,F223)+COUNTIF($R$24,F223)+COUNTIF($N$27:$O$28,F223)</f>
        <v>0</v>
      </c>
      <c r="H223" s="927"/>
      <c r="I223" s="928"/>
      <c r="J223" s="354">
        <v>0</v>
      </c>
      <c r="K223" s="355">
        <v>0</v>
      </c>
      <c r="L223" s="356">
        <f t="shared" si="44"/>
        <v>0</v>
      </c>
      <c r="M223" s="268"/>
      <c r="N223" s="978" t="s">
        <v>60</v>
      </c>
      <c r="O223" s="979"/>
      <c r="P223" s="980"/>
      <c r="Q223" s="981"/>
      <c r="R223" s="982"/>
      <c r="S223" s="8" t="s">
        <v>61</v>
      </c>
      <c r="T223" s="929">
        <f>COUNTIF($T$23:$BI$73,S223)+COUNTIF($N$29:$S$39,S223)+COUNTIF($P$47:$S$68,S223)+COUNTIF($Q$40:$S$42,S223)+COUNTIF($P$27:$S$28,S223)+COUNTIF($R$25:$S$25,S223)+COUNTIF($S$24:$S$24,S223)</f>
        <v>0</v>
      </c>
      <c r="U223" s="929"/>
      <c r="V223" s="929"/>
      <c r="W223" s="354">
        <v>0</v>
      </c>
      <c r="X223" s="355">
        <v>0</v>
      </c>
      <c r="Y223" s="356">
        <f t="shared" si="45"/>
        <v>0</v>
      </c>
      <c r="Z223" s="357">
        <f t="shared" si="46"/>
        <v>0</v>
      </c>
      <c r="AA223" s="324"/>
      <c r="AC223" s="442" t="s">
        <v>877</v>
      </c>
      <c r="AD223" s="563" t="s">
        <v>878</v>
      </c>
      <c r="AE223" s="332">
        <f t="shared" si="40"/>
        <v>0</v>
      </c>
      <c r="AF223" s="333" t="str">
        <f t="shared" si="41"/>
        <v/>
      </c>
      <c r="AI223" s="914" t="s">
        <v>879</v>
      </c>
      <c r="AJ223" s="915"/>
      <c r="AK223" s="915"/>
      <c r="AL223" s="915"/>
      <c r="AM223" s="915"/>
      <c r="AN223" s="642" t="s">
        <v>880</v>
      </c>
      <c r="AO223" s="317">
        <f t="shared" si="30"/>
        <v>0</v>
      </c>
      <c r="AP223" s="614"/>
      <c r="AQ223" s="308"/>
      <c r="AR223" s="954" t="s">
        <v>881</v>
      </c>
      <c r="AS223" s="955"/>
      <c r="AT223" s="955"/>
      <c r="AU223" s="955"/>
      <c r="AV223" s="955"/>
      <c r="AW223" s="643" t="s">
        <v>882</v>
      </c>
      <c r="AX223" s="317">
        <f t="shared" si="16"/>
        <v>0</v>
      </c>
      <c r="AY223" s="530"/>
      <c r="BA223" s="311"/>
      <c r="BC223" s="627"/>
      <c r="BD223" s="627"/>
      <c r="BE223" s="627"/>
      <c r="BF223" s="627"/>
    </row>
    <row r="224" spans="1:58" ht="17.25" customHeight="1" x14ac:dyDescent="0.25">
      <c r="A224" s="978" t="s">
        <v>62</v>
      </c>
      <c r="B224" s="979"/>
      <c r="C224" s="980"/>
      <c r="D224" s="981"/>
      <c r="E224" s="982"/>
      <c r="F224" s="9" t="s">
        <v>63</v>
      </c>
      <c r="G224" s="926">
        <f>COUNTIF($A$4:$M$42,F224)+COUNTIF($A$43:$O$81,F224)+COUNTIF($N$4:$T$19,F224)+COUNTIF($O$20:$S$23,F224)+COUNTIF($N$24:$Q$25,F224)+COUNTIF($N$26:$P$26,F224)+COUNTIF($P$42,F224)+COUNTIF($T$21:$T$22,F224)+COUNTIF($R$24,F224)+COUNTIF($N$27:$O$28,F224)</f>
        <v>0</v>
      </c>
      <c r="H224" s="927"/>
      <c r="I224" s="928"/>
      <c r="J224" s="354">
        <v>0</v>
      </c>
      <c r="K224" s="355">
        <v>0</v>
      </c>
      <c r="L224" s="356">
        <f t="shared" si="44"/>
        <v>0</v>
      </c>
      <c r="M224" s="268"/>
      <c r="N224" s="978" t="s">
        <v>62</v>
      </c>
      <c r="O224" s="979"/>
      <c r="P224" s="980"/>
      <c r="Q224" s="981"/>
      <c r="R224" s="982"/>
      <c r="S224" s="9" t="s">
        <v>63</v>
      </c>
      <c r="T224" s="929">
        <f>COUNTIF($T$23:$BI$73,S224)+COUNTIF($N$29:$S$39,S224)+COUNTIF($P$47:$S$68,S224)+COUNTIF($Q$40:$S$42,S224)+COUNTIF($P$27:$S$28,S224)+COUNTIF($R$25:$S$25,S224)+COUNTIF($S$24:$S$24,S224)</f>
        <v>0</v>
      </c>
      <c r="U224" s="929"/>
      <c r="V224" s="929"/>
      <c r="W224" s="354">
        <v>0</v>
      </c>
      <c r="X224" s="355">
        <v>0</v>
      </c>
      <c r="Y224" s="356">
        <f t="shared" si="45"/>
        <v>0</v>
      </c>
      <c r="Z224" s="357">
        <f t="shared" si="46"/>
        <v>0</v>
      </c>
      <c r="AA224" s="324"/>
      <c r="AC224" s="442" t="s">
        <v>883</v>
      </c>
      <c r="AD224" s="644" t="s">
        <v>884</v>
      </c>
      <c r="AE224" s="332">
        <f t="shared" si="40"/>
        <v>0</v>
      </c>
      <c r="AF224" s="333" t="str">
        <f t="shared" si="41"/>
        <v/>
      </c>
      <c r="AI224" s="914" t="s">
        <v>885</v>
      </c>
      <c r="AJ224" s="915"/>
      <c r="AK224" s="915"/>
      <c r="AL224" s="915"/>
      <c r="AM224" s="915"/>
      <c r="AN224" s="645" t="s">
        <v>886</v>
      </c>
      <c r="AO224" s="317">
        <f t="shared" si="30"/>
        <v>0</v>
      </c>
      <c r="AP224" s="614"/>
      <c r="AQ224" s="308"/>
      <c r="AR224" s="951" t="s">
        <v>887</v>
      </c>
      <c r="AS224" s="952"/>
      <c r="AT224" s="952"/>
      <c r="AU224" s="952"/>
      <c r="AV224" s="953"/>
      <c r="AW224" s="501"/>
      <c r="AX224" s="502">
        <f>SUM(AX170:AX223)</f>
        <v>14</v>
      </c>
      <c r="AY224" s="308"/>
      <c r="BA224" s="311"/>
      <c r="BC224" s="625"/>
      <c r="BD224" s="625"/>
      <c r="BE224" s="625"/>
      <c r="BF224" s="625"/>
    </row>
    <row r="225" spans="1:58" ht="17.25" customHeight="1" x14ac:dyDescent="0.25">
      <c r="A225" s="975" t="s">
        <v>888</v>
      </c>
      <c r="B225" s="976"/>
      <c r="C225" s="976"/>
      <c r="D225" s="976"/>
      <c r="E225" s="976"/>
      <c r="F225" s="588"/>
      <c r="G225" s="977">
        <f t="shared" ref="G225" si="47">SUM(G222:I224)</f>
        <v>0</v>
      </c>
      <c r="H225" s="977"/>
      <c r="I225" s="977"/>
      <c r="J225" s="603">
        <f t="shared" ref="J225:L225" si="48">SUM(J222:L224)</f>
        <v>0</v>
      </c>
      <c r="K225" s="604">
        <f t="shared" si="48"/>
        <v>0</v>
      </c>
      <c r="L225" s="356">
        <f t="shared" si="48"/>
        <v>0</v>
      </c>
      <c r="M225" s="268"/>
      <c r="N225" s="975" t="s">
        <v>888</v>
      </c>
      <c r="O225" s="976"/>
      <c r="P225" s="976"/>
      <c r="Q225" s="976"/>
      <c r="R225" s="976"/>
      <c r="S225" s="588"/>
      <c r="T225" s="977">
        <f t="shared" ref="T225" si="49">SUM(T222:V224)</f>
        <v>0</v>
      </c>
      <c r="U225" s="977"/>
      <c r="V225" s="977"/>
      <c r="W225" s="603">
        <f t="shared" ref="W225:X225" si="50">SUM(W222:Y224)</f>
        <v>0</v>
      </c>
      <c r="X225" s="604">
        <f t="shared" si="50"/>
        <v>0</v>
      </c>
      <c r="Y225" s="356">
        <f>SUM(Y218:AA220)</f>
        <v>0</v>
      </c>
      <c r="Z225" s="357">
        <f t="shared" si="46"/>
        <v>0</v>
      </c>
      <c r="AA225" s="324"/>
      <c r="AI225" s="914" t="s">
        <v>889</v>
      </c>
      <c r="AJ225" s="915"/>
      <c r="AK225" s="915"/>
      <c r="AL225" s="915"/>
      <c r="AM225" s="915"/>
      <c r="AN225" s="565" t="s">
        <v>890</v>
      </c>
      <c r="AO225" s="317">
        <f t="shared" si="30"/>
        <v>0</v>
      </c>
      <c r="AP225" s="614"/>
      <c r="AQ225" s="308"/>
      <c r="AR225" s="308"/>
      <c r="AS225" s="308"/>
      <c r="AT225" s="308"/>
      <c r="AU225" s="308"/>
      <c r="AV225" s="308"/>
      <c r="AW225" s="308"/>
      <c r="AX225" s="308"/>
      <c r="AY225" s="308"/>
      <c r="BA225" s="311"/>
      <c r="BC225" s="632"/>
      <c r="BD225" s="632"/>
      <c r="BE225" s="632"/>
      <c r="BF225" s="632"/>
    </row>
    <row r="226" spans="1:58" ht="17.25" customHeight="1" x14ac:dyDescent="0.25">
      <c r="M226" s="268"/>
      <c r="AA226" s="324"/>
      <c r="AI226" s="914" t="s">
        <v>891</v>
      </c>
      <c r="AJ226" s="915"/>
      <c r="AK226" s="915"/>
      <c r="AL226" s="915"/>
      <c r="AM226" s="915"/>
      <c r="AN226" s="646" t="s">
        <v>892</v>
      </c>
      <c r="AO226" s="317">
        <f t="shared" si="30"/>
        <v>0</v>
      </c>
      <c r="AP226" s="614"/>
      <c r="AQ226" s="308"/>
      <c r="AR226" s="907" t="s">
        <v>397</v>
      </c>
      <c r="AS226" s="908"/>
      <c r="AT226" s="908"/>
      <c r="AU226" s="908"/>
      <c r="AV226" s="908"/>
      <c r="AW226" s="904"/>
      <c r="AX226" s="309" t="s">
        <v>299</v>
      </c>
      <c r="AY226" s="310"/>
      <c r="BA226" s="311"/>
    </row>
    <row r="227" spans="1:58" ht="17.25" customHeight="1" x14ac:dyDescent="0.25">
      <c r="M227" s="268"/>
      <c r="AA227" s="324"/>
      <c r="AI227" s="914" t="s">
        <v>893</v>
      </c>
      <c r="AJ227" s="915"/>
      <c r="AK227" s="915"/>
      <c r="AL227" s="915"/>
      <c r="AM227" s="915"/>
      <c r="AN227" s="646" t="s">
        <v>894</v>
      </c>
      <c r="AO227" s="317">
        <f t="shared" si="30"/>
        <v>0</v>
      </c>
      <c r="AP227" s="614"/>
      <c r="AQ227" s="308"/>
      <c r="AR227" s="954" t="s">
        <v>895</v>
      </c>
      <c r="AS227" s="955"/>
      <c r="AT227" s="955"/>
      <c r="AU227" s="955"/>
      <c r="AV227" s="955"/>
      <c r="AW227" s="647" t="s">
        <v>896</v>
      </c>
      <c r="AX227" s="317">
        <f t="shared" ref="AX227:AX264" si="51">COUNTIF($A$1:$GO$103,AW227)</f>
        <v>0</v>
      </c>
      <c r="AY227" s="648"/>
      <c r="BA227" s="311"/>
      <c r="BC227" s="625"/>
      <c r="BD227" s="625"/>
      <c r="BE227" s="625"/>
      <c r="BF227" s="625"/>
    </row>
    <row r="228" spans="1:58" ht="17.25" customHeight="1" x14ac:dyDescent="0.25">
      <c r="A228" s="972" t="s">
        <v>897</v>
      </c>
      <c r="B228" s="973"/>
      <c r="C228" s="973"/>
      <c r="D228" s="973"/>
      <c r="E228" s="973"/>
      <c r="F228" s="441"/>
      <c r="G228" s="974">
        <f>G195+G152+G176+G225+G218+G210+G203+G172</f>
        <v>16</v>
      </c>
      <c r="H228" s="974"/>
      <c r="I228" s="974"/>
      <c r="J228" s="649">
        <f>J195+J152+J176+J225+J218+J210+J203+J172</f>
        <v>0</v>
      </c>
      <c r="K228" s="440">
        <f>K195+K152+K176+K225+K218+K210+K203+K172</f>
        <v>0</v>
      </c>
      <c r="L228" s="356">
        <f>L195+L152+L176+L225+L218+L210+L203+L172</f>
        <v>16</v>
      </c>
      <c r="M228" s="324"/>
      <c r="N228" s="972" t="s">
        <v>897</v>
      </c>
      <c r="O228" s="973"/>
      <c r="P228" s="973"/>
      <c r="Q228" s="973"/>
      <c r="R228" s="973"/>
      <c r="S228" s="441"/>
      <c r="T228" s="974">
        <f>T195+T152+T176+T225+T218+T210+T203+T172</f>
        <v>18</v>
      </c>
      <c r="U228" s="974"/>
      <c r="V228" s="974"/>
      <c r="W228" s="649">
        <f>W195+W152+W176+W225+W218+W210+W203+W172</f>
        <v>0</v>
      </c>
      <c r="X228" s="440">
        <f>X195+X152+X176+X225+X218+X210+X203+X172</f>
        <v>0</v>
      </c>
      <c r="Y228" s="356">
        <f>Y195+Y152+Y176+Y225+Y218+Y210+Y203+Y172</f>
        <v>18</v>
      </c>
      <c r="Z228" s="357">
        <f>T228+G228</f>
        <v>34</v>
      </c>
      <c r="AA228" s="324"/>
      <c r="AI228" s="914" t="s">
        <v>898</v>
      </c>
      <c r="AJ228" s="915"/>
      <c r="AK228" s="915"/>
      <c r="AL228" s="915"/>
      <c r="AM228" s="915"/>
      <c r="AN228" s="650" t="s">
        <v>899</v>
      </c>
      <c r="AO228" s="317">
        <f t="shared" si="30"/>
        <v>0</v>
      </c>
      <c r="AP228" s="614"/>
      <c r="AQ228" s="308"/>
      <c r="AR228" s="954" t="s">
        <v>900</v>
      </c>
      <c r="AS228" s="955"/>
      <c r="AT228" s="955"/>
      <c r="AU228" s="955"/>
      <c r="AV228" s="955"/>
      <c r="AW228" s="412" t="s">
        <v>901</v>
      </c>
      <c r="AX228" s="317">
        <f t="shared" si="51"/>
        <v>0</v>
      </c>
      <c r="AY228" s="648"/>
      <c r="BA228" s="311"/>
      <c r="BC228" s="625"/>
      <c r="BD228" s="625"/>
      <c r="BE228" s="625"/>
      <c r="BF228" s="625"/>
    </row>
    <row r="229" spans="1:58" ht="17.25" customHeight="1" x14ac:dyDescent="0.25">
      <c r="M229" s="268"/>
      <c r="AA229" s="324"/>
      <c r="AI229" s="914" t="s">
        <v>902</v>
      </c>
      <c r="AJ229" s="915"/>
      <c r="AK229" s="915"/>
      <c r="AL229" s="915"/>
      <c r="AM229" s="915"/>
      <c r="AN229" s="651" t="s">
        <v>903</v>
      </c>
      <c r="AO229" s="317">
        <f t="shared" si="30"/>
        <v>0</v>
      </c>
      <c r="AP229" s="614"/>
      <c r="AQ229" s="308"/>
      <c r="AR229" s="954" t="s">
        <v>904</v>
      </c>
      <c r="AS229" s="955"/>
      <c r="AT229" s="955"/>
      <c r="AU229" s="955"/>
      <c r="AV229" s="955"/>
      <c r="AW229" s="652" t="s">
        <v>905</v>
      </c>
      <c r="AX229" s="317">
        <f t="shared" si="51"/>
        <v>0</v>
      </c>
      <c r="AY229" s="648"/>
      <c r="BA229" s="311"/>
      <c r="BB229" s="653"/>
      <c r="BC229" s="632"/>
      <c r="BD229" s="632"/>
      <c r="BE229" s="632"/>
      <c r="BF229" s="632"/>
    </row>
    <row r="230" spans="1:58" ht="17.25" customHeight="1" x14ac:dyDescent="0.25">
      <c r="M230" s="268"/>
      <c r="AA230" s="324"/>
      <c r="AI230" s="914" t="s">
        <v>906</v>
      </c>
      <c r="AJ230" s="915"/>
      <c r="AK230" s="915"/>
      <c r="AL230" s="915"/>
      <c r="AM230" s="915"/>
      <c r="AN230" s="396" t="s">
        <v>906</v>
      </c>
      <c r="AO230" s="317">
        <f t="shared" si="30"/>
        <v>0</v>
      </c>
      <c r="AP230" s="614"/>
      <c r="AQ230" s="308"/>
      <c r="AR230" s="954" t="s">
        <v>907</v>
      </c>
      <c r="AS230" s="955"/>
      <c r="AT230" s="955"/>
      <c r="AU230" s="955"/>
      <c r="AV230" s="955"/>
      <c r="AW230" s="654" t="s">
        <v>908</v>
      </c>
      <c r="AX230" s="317">
        <f t="shared" si="51"/>
        <v>0</v>
      </c>
      <c r="AY230" s="648"/>
      <c r="BA230" s="311"/>
      <c r="BB230" s="10"/>
    </row>
    <row r="231" spans="1:58" ht="17.25" customHeight="1" x14ac:dyDescent="0.25">
      <c r="M231" s="268"/>
      <c r="AA231" s="324"/>
      <c r="AI231" s="914" t="s">
        <v>909</v>
      </c>
      <c r="AJ231" s="915"/>
      <c r="AK231" s="915"/>
      <c r="AL231" s="915"/>
      <c r="AM231" s="915"/>
      <c r="AN231" s="655" t="s">
        <v>910</v>
      </c>
      <c r="AO231" s="317">
        <f t="shared" si="30"/>
        <v>0</v>
      </c>
      <c r="AP231" s="614"/>
      <c r="AQ231" s="308"/>
      <c r="AR231" s="954" t="s">
        <v>911</v>
      </c>
      <c r="AS231" s="955"/>
      <c r="AT231" s="955"/>
      <c r="AU231" s="955"/>
      <c r="AV231" s="955"/>
      <c r="AW231" s="656" t="s">
        <v>912</v>
      </c>
      <c r="AX231" s="317">
        <f t="shared" si="51"/>
        <v>0</v>
      </c>
      <c r="AY231" s="648"/>
      <c r="BA231" s="311"/>
      <c r="BB231" s="653"/>
      <c r="BC231" s="625"/>
      <c r="BD231" s="625"/>
      <c r="BE231" s="625"/>
      <c r="BF231" s="625"/>
    </row>
    <row r="232" spans="1:58" ht="17.25" customHeight="1" x14ac:dyDescent="0.25">
      <c r="A232" s="971" t="s">
        <v>913</v>
      </c>
      <c r="B232" s="971"/>
      <c r="C232" s="971"/>
      <c r="D232" s="971"/>
      <c r="E232" s="971"/>
      <c r="F232" s="971"/>
      <c r="G232" s="971"/>
      <c r="H232" s="971"/>
      <c r="I232" s="971"/>
      <c r="J232" s="971"/>
      <c r="K232" s="971"/>
      <c r="L232" s="971"/>
      <c r="M232" s="971"/>
      <c r="N232" s="971"/>
      <c r="O232" s="971"/>
      <c r="P232" s="971"/>
      <c r="Q232" s="971"/>
      <c r="R232" s="971"/>
      <c r="S232" s="971"/>
      <c r="T232" s="971"/>
      <c r="U232" s="971"/>
      <c r="V232" s="971"/>
      <c r="W232" s="971"/>
      <c r="X232" s="971"/>
      <c r="Y232" s="971"/>
      <c r="Z232" s="971"/>
      <c r="AA232" s="324"/>
      <c r="AI232" s="914" t="s">
        <v>914</v>
      </c>
      <c r="AJ232" s="915"/>
      <c r="AK232" s="915"/>
      <c r="AL232" s="915"/>
      <c r="AM232" s="915"/>
      <c r="AN232" s="657" t="s">
        <v>915</v>
      </c>
      <c r="AO232" s="317">
        <f t="shared" si="30"/>
        <v>0</v>
      </c>
      <c r="AP232" s="614"/>
      <c r="AQ232" s="308"/>
      <c r="AR232" s="954" t="s">
        <v>916</v>
      </c>
      <c r="AS232" s="955"/>
      <c r="AT232" s="955"/>
      <c r="AU232" s="955"/>
      <c r="AV232" s="955"/>
      <c r="AW232" s="658" t="s">
        <v>917</v>
      </c>
      <c r="AX232" s="317">
        <f t="shared" si="51"/>
        <v>0</v>
      </c>
      <c r="AY232" s="648"/>
      <c r="BA232" s="311"/>
      <c r="BB232" s="653"/>
      <c r="BC232" s="627"/>
      <c r="BD232" s="627"/>
      <c r="BE232" s="627"/>
      <c r="BF232" s="627"/>
    </row>
    <row r="233" spans="1:58" ht="17.25" customHeight="1" x14ac:dyDescent="0.25">
      <c r="A233" s="971"/>
      <c r="B233" s="971"/>
      <c r="C233" s="971"/>
      <c r="D233" s="971"/>
      <c r="E233" s="971"/>
      <c r="F233" s="971"/>
      <c r="G233" s="971"/>
      <c r="H233" s="971"/>
      <c r="I233" s="971"/>
      <c r="J233" s="971"/>
      <c r="K233" s="971"/>
      <c r="L233" s="971"/>
      <c r="M233" s="971"/>
      <c r="N233" s="971"/>
      <c r="O233" s="971"/>
      <c r="P233" s="971"/>
      <c r="Q233" s="971"/>
      <c r="R233" s="971"/>
      <c r="S233" s="971"/>
      <c r="T233" s="971"/>
      <c r="U233" s="971"/>
      <c r="V233" s="971"/>
      <c r="W233" s="971"/>
      <c r="X233" s="971"/>
      <c r="Y233" s="971"/>
      <c r="Z233" s="971"/>
      <c r="AA233" s="324" t="b">
        <f>IFERROR(#REF!&gt;0.5,FALSE)</f>
        <v>0</v>
      </c>
      <c r="AI233" s="914" t="s">
        <v>918</v>
      </c>
      <c r="AJ233" s="915"/>
      <c r="AK233" s="915"/>
      <c r="AL233" s="915"/>
      <c r="AM233" s="915"/>
      <c r="AN233" s="659" t="s">
        <v>919</v>
      </c>
      <c r="AO233" s="317">
        <f t="shared" si="30"/>
        <v>0</v>
      </c>
      <c r="AP233" s="614"/>
      <c r="AQ233" s="308"/>
      <c r="AR233" s="954" t="s">
        <v>920</v>
      </c>
      <c r="AS233" s="955"/>
      <c r="AT233" s="955"/>
      <c r="AU233" s="955"/>
      <c r="AV233" s="955"/>
      <c r="AW233" s="658" t="s">
        <v>921</v>
      </c>
      <c r="AX233" s="317">
        <f t="shared" si="51"/>
        <v>0</v>
      </c>
      <c r="AY233" s="648"/>
      <c r="BA233" s="311"/>
      <c r="BC233" s="625"/>
      <c r="BD233" s="625"/>
      <c r="BE233" s="625"/>
      <c r="BF233" s="625"/>
    </row>
    <row r="234" spans="1:58" ht="17.25" customHeight="1" thickBot="1" x14ac:dyDescent="0.3">
      <c r="AA234" s="324" t="b">
        <f>IFERROR(#REF!&gt;0.5,FALSE)</f>
        <v>0</v>
      </c>
      <c r="AI234" s="914" t="s">
        <v>922</v>
      </c>
      <c r="AJ234" s="915"/>
      <c r="AK234" s="915"/>
      <c r="AL234" s="915"/>
      <c r="AM234" s="915"/>
      <c r="AN234" s="660" t="s">
        <v>923</v>
      </c>
      <c r="AO234" s="317">
        <f t="shared" si="30"/>
        <v>0</v>
      </c>
      <c r="AP234" s="614"/>
      <c r="AQ234" s="308"/>
      <c r="AR234" s="954" t="s">
        <v>924</v>
      </c>
      <c r="AS234" s="955"/>
      <c r="AT234" s="955"/>
      <c r="AU234" s="955"/>
      <c r="AV234" s="955"/>
      <c r="AW234" s="658" t="s">
        <v>925</v>
      </c>
      <c r="AX234" s="317">
        <f t="shared" si="51"/>
        <v>0</v>
      </c>
      <c r="AY234" s="648"/>
      <c r="BA234" s="311"/>
      <c r="BB234" s="653"/>
      <c r="BC234" s="632"/>
      <c r="BD234" s="632"/>
      <c r="BE234" s="632"/>
      <c r="BF234" s="632"/>
    </row>
    <row r="235" spans="1:58" ht="17.25" customHeight="1" thickBot="1" x14ac:dyDescent="0.3">
      <c r="A235" s="963" t="s">
        <v>926</v>
      </c>
      <c r="B235" s="964"/>
      <c r="C235" s="964"/>
      <c r="D235" s="964"/>
      <c r="E235" s="964"/>
      <c r="F235" s="964"/>
      <c r="G235" s="965"/>
      <c r="H235" s="661">
        <f>F237+S237</f>
        <v>1</v>
      </c>
      <c r="AA235" s="324"/>
      <c r="AI235" s="893" t="s">
        <v>927</v>
      </c>
      <c r="AJ235" s="894"/>
      <c r="AK235" s="894"/>
      <c r="AL235" s="894"/>
      <c r="AM235" s="895"/>
      <c r="AN235" s="501"/>
      <c r="AO235" s="502">
        <f>SUM(AO206:AO234)</f>
        <v>0</v>
      </c>
      <c r="AP235" s="308"/>
      <c r="AQ235" s="308"/>
      <c r="AR235" s="954" t="s">
        <v>928</v>
      </c>
      <c r="AS235" s="955"/>
      <c r="AT235" s="955"/>
      <c r="AU235" s="955"/>
      <c r="AV235" s="955"/>
      <c r="AW235" s="662" t="s">
        <v>929</v>
      </c>
      <c r="AX235" s="317">
        <f t="shared" si="51"/>
        <v>0</v>
      </c>
      <c r="AY235" s="648"/>
      <c r="BA235" s="311"/>
      <c r="BB235" s="10"/>
    </row>
    <row r="236" spans="1:58" ht="17.25" customHeight="1" thickBot="1" x14ac:dyDescent="0.3">
      <c r="AA236" s="324"/>
      <c r="AI236" s="663"/>
      <c r="AJ236" s="308"/>
      <c r="AK236" s="308"/>
      <c r="AL236" s="308"/>
      <c r="AM236" s="308"/>
      <c r="AN236" s="308"/>
      <c r="AO236" s="308"/>
      <c r="AP236" s="308"/>
      <c r="AQ236" s="308"/>
      <c r="AR236" s="954" t="s">
        <v>930</v>
      </c>
      <c r="AS236" s="955"/>
      <c r="AT236" s="955"/>
      <c r="AU236" s="955"/>
      <c r="AV236" s="955"/>
      <c r="AW236" s="393" t="s">
        <v>931</v>
      </c>
      <c r="AX236" s="317">
        <f t="shared" si="51"/>
        <v>0</v>
      </c>
      <c r="AY236" s="648"/>
      <c r="BA236" s="311"/>
      <c r="BB236" s="653"/>
      <c r="BC236" s="625"/>
      <c r="BD236" s="625"/>
      <c r="BE236" s="625"/>
      <c r="BF236" s="625"/>
    </row>
    <row r="237" spans="1:58" ht="17.25" customHeight="1" thickBot="1" x14ac:dyDescent="0.4">
      <c r="A237" s="966" t="s">
        <v>932</v>
      </c>
      <c r="B237" s="967"/>
      <c r="C237" s="967"/>
      <c r="D237" s="967"/>
      <c r="E237" s="968"/>
      <c r="F237" s="969">
        <f>SUM(G246,G261,G269,G273,G277)</f>
        <v>1</v>
      </c>
      <c r="G237" s="970"/>
      <c r="N237" s="966" t="s">
        <v>897</v>
      </c>
      <c r="O237" s="967"/>
      <c r="P237" s="967"/>
      <c r="Q237" s="967"/>
      <c r="R237" s="968"/>
      <c r="S237" s="969">
        <f>SUM(T246,T261,T269,T273,T277)</f>
        <v>0</v>
      </c>
      <c r="T237" s="970"/>
      <c r="AA237" s="324"/>
      <c r="AI237" s="663"/>
      <c r="AJ237" s="308"/>
      <c r="AK237" s="308"/>
      <c r="AL237" s="308"/>
      <c r="AM237" s="308"/>
      <c r="AN237" s="308"/>
      <c r="AO237" s="308"/>
      <c r="AQ237" s="308"/>
      <c r="AR237" s="954" t="s">
        <v>933</v>
      </c>
      <c r="AS237" s="955"/>
      <c r="AT237" s="955"/>
      <c r="AU237" s="955"/>
      <c r="AV237" s="955"/>
      <c r="AW237" s="664" t="s">
        <v>934</v>
      </c>
      <c r="AX237" s="317">
        <f t="shared" si="51"/>
        <v>0</v>
      </c>
      <c r="AY237" s="665"/>
      <c r="BA237" s="311"/>
      <c r="BB237" s="653"/>
      <c r="BC237" s="627"/>
      <c r="BD237" s="627"/>
      <c r="BE237" s="627"/>
      <c r="BF237" s="627"/>
    </row>
    <row r="238" spans="1:58" ht="17.25" customHeight="1" thickBot="1" x14ac:dyDescent="0.4">
      <c r="A238" s="666"/>
      <c r="B238" s="667"/>
      <c r="C238" s="667"/>
      <c r="D238" s="667"/>
      <c r="E238" s="668"/>
      <c r="F238" s="668"/>
      <c r="G238" s="668"/>
      <c r="Q238" s="668"/>
      <c r="AA238" s="324"/>
      <c r="AI238" s="918" t="s">
        <v>373</v>
      </c>
      <c r="AJ238" s="908"/>
      <c r="AK238" s="908"/>
      <c r="AL238" s="908"/>
      <c r="AM238" s="908"/>
      <c r="AN238" s="909"/>
      <c r="AO238" s="309" t="s">
        <v>299</v>
      </c>
      <c r="AP238" s="310"/>
      <c r="AQ238" s="308"/>
      <c r="AR238" s="954" t="s">
        <v>935</v>
      </c>
      <c r="AS238" s="955"/>
      <c r="AT238" s="955"/>
      <c r="AU238" s="955"/>
      <c r="AV238" s="955"/>
      <c r="AW238" s="669" t="s">
        <v>936</v>
      </c>
      <c r="AX238" s="317">
        <f t="shared" si="51"/>
        <v>0</v>
      </c>
      <c r="AY238" s="665"/>
      <c r="BA238" s="311"/>
      <c r="BC238" s="625"/>
      <c r="BD238" s="625"/>
      <c r="BE238" s="625"/>
      <c r="BF238" s="625"/>
    </row>
    <row r="239" spans="1:58" ht="17.25" customHeight="1" thickBot="1" x14ac:dyDescent="0.3">
      <c r="A239" s="930" t="s">
        <v>937</v>
      </c>
      <c r="B239" s="931"/>
      <c r="C239" s="931"/>
      <c r="D239" s="931"/>
      <c r="E239" s="932"/>
      <c r="G239" s="960"/>
      <c r="H239" s="960"/>
      <c r="I239" s="960"/>
      <c r="N239" s="930" t="s">
        <v>937</v>
      </c>
      <c r="O239" s="931"/>
      <c r="P239" s="931"/>
      <c r="Q239" s="931"/>
      <c r="R239" s="932"/>
      <c r="T239" s="960"/>
      <c r="U239" s="960"/>
      <c r="V239" s="960"/>
      <c r="AA239" s="324"/>
      <c r="AI239" s="914" t="s">
        <v>938</v>
      </c>
      <c r="AJ239" s="915"/>
      <c r="AK239" s="915"/>
      <c r="AL239" s="915"/>
      <c r="AM239" s="916"/>
      <c r="AN239" s="670" t="s">
        <v>939</v>
      </c>
      <c r="AO239" s="317">
        <f>COUNTIF($A$1:$GO$103,AN239)</f>
        <v>0</v>
      </c>
      <c r="AP239" s="671"/>
      <c r="AQ239" s="308"/>
      <c r="AR239" s="961" t="s">
        <v>940</v>
      </c>
      <c r="AS239" s="962"/>
      <c r="AT239" s="962"/>
      <c r="AU239" s="962"/>
      <c r="AV239" s="962"/>
      <c r="AW239" s="672" t="s">
        <v>941</v>
      </c>
      <c r="AX239" s="317">
        <f t="shared" si="51"/>
        <v>0</v>
      </c>
      <c r="AY239" s="665"/>
      <c r="BA239" s="311"/>
      <c r="BC239" s="632"/>
      <c r="BD239" s="632"/>
      <c r="BE239" s="632"/>
      <c r="BF239" s="632"/>
    </row>
    <row r="240" spans="1:58" ht="17.25" customHeight="1" x14ac:dyDescent="0.25">
      <c r="A240" s="957" t="s">
        <v>942</v>
      </c>
      <c r="B240" s="957"/>
      <c r="C240" s="957"/>
      <c r="D240" s="957"/>
      <c r="E240" s="957"/>
      <c r="F240" s="94" t="s">
        <v>943</v>
      </c>
      <c r="G240" s="926">
        <f t="shared" ref="G240:G245" si="52">COUNTIF($A$4:$M$42,F240)+COUNTIF($A$43:$O$81,F240)+COUNTIF($N$4:$T$19,F240)+COUNTIF($O$20:$S$23,F240)+COUNTIF($N$24:$Q$25,F240)+COUNTIF($N$26:$P$26,F240)+COUNTIF($P$42,F240)+COUNTIF($T$21:$T$22,F240)+COUNTIF($R$24,F240)+COUNTIF($N$27:$O$28,F240)</f>
        <v>0</v>
      </c>
      <c r="H240" s="927"/>
      <c r="I240" s="928"/>
      <c r="N240" s="957" t="s">
        <v>942</v>
      </c>
      <c r="O240" s="957"/>
      <c r="P240" s="957"/>
      <c r="Q240" s="957"/>
      <c r="R240" s="957"/>
      <c r="S240" s="94" t="s">
        <v>943</v>
      </c>
      <c r="T240" s="929">
        <f t="shared" ref="T240:T245" si="53">COUNTIF($T$23:$BI$73,S240)+COUNTIF($N$29:$S$39,S240)+COUNTIF($P$47:$S$68,S240)+COUNTIF($Q$40:$S$42,S240)+COUNTIF($P$27:$S$28,S240)+COUNTIF($R$25:$S$25,S240)+COUNTIF($S$24:$S$24,S240)</f>
        <v>0</v>
      </c>
      <c r="U240" s="929"/>
      <c r="V240" s="929"/>
      <c r="AA240" s="324"/>
      <c r="AI240" s="914" t="s">
        <v>944</v>
      </c>
      <c r="AJ240" s="915"/>
      <c r="AK240" s="915"/>
      <c r="AL240" s="915"/>
      <c r="AM240" s="916"/>
      <c r="AN240" s="673" t="s">
        <v>945</v>
      </c>
      <c r="AO240" s="317">
        <f>COUNTIF($A$1:$GO$103,AN240)</f>
        <v>0</v>
      </c>
      <c r="AP240" s="671"/>
      <c r="AQ240" s="308"/>
      <c r="AR240" s="954" t="s">
        <v>946</v>
      </c>
      <c r="AS240" s="955"/>
      <c r="AT240" s="955"/>
      <c r="AU240" s="955"/>
      <c r="AV240" s="955"/>
      <c r="AW240" s="600" t="s">
        <v>947</v>
      </c>
      <c r="AX240" s="317">
        <f t="shared" si="51"/>
        <v>0</v>
      </c>
      <c r="AY240" s="665"/>
      <c r="BA240" s="311"/>
      <c r="BB240" s="653"/>
    </row>
    <row r="241" spans="1:58" ht="17.25" customHeight="1" x14ac:dyDescent="0.25">
      <c r="A241" s="925" t="s">
        <v>948</v>
      </c>
      <c r="B241" s="925"/>
      <c r="C241" s="925"/>
      <c r="D241" s="925"/>
      <c r="E241" s="925"/>
      <c r="F241" s="94" t="s">
        <v>949</v>
      </c>
      <c r="G241" s="926">
        <f t="shared" si="52"/>
        <v>0</v>
      </c>
      <c r="H241" s="927"/>
      <c r="I241" s="928"/>
      <c r="N241" s="925" t="s">
        <v>948</v>
      </c>
      <c r="O241" s="925"/>
      <c r="P241" s="925"/>
      <c r="Q241" s="925"/>
      <c r="R241" s="925"/>
      <c r="S241" s="94" t="s">
        <v>949</v>
      </c>
      <c r="T241" s="929">
        <f t="shared" si="53"/>
        <v>0</v>
      </c>
      <c r="U241" s="929"/>
      <c r="V241" s="929"/>
      <c r="AA241" s="324" t="b">
        <f>IFERROR(#REF!&gt;0.5,FALSE)</f>
        <v>0</v>
      </c>
      <c r="AI241" s="893" t="s">
        <v>950</v>
      </c>
      <c r="AJ241" s="894"/>
      <c r="AK241" s="894"/>
      <c r="AL241" s="894"/>
      <c r="AM241" s="895"/>
      <c r="AN241" s="501"/>
      <c r="AO241" s="502">
        <f>SUM(AO239:AO240)</f>
        <v>0</v>
      </c>
      <c r="AP241" s="308"/>
      <c r="AQ241" s="308"/>
      <c r="AR241" s="954" t="s">
        <v>951</v>
      </c>
      <c r="AS241" s="955"/>
      <c r="AT241" s="955"/>
      <c r="AU241" s="955"/>
      <c r="AV241" s="955"/>
      <c r="AW241" s="674" t="s">
        <v>952</v>
      </c>
      <c r="AX241" s="317">
        <f t="shared" si="51"/>
        <v>0</v>
      </c>
      <c r="AY241" s="665"/>
      <c r="BA241" s="311"/>
      <c r="BB241" s="10"/>
      <c r="BC241" s="625"/>
      <c r="BD241" s="625"/>
      <c r="BE241" s="625"/>
      <c r="BF241" s="625"/>
    </row>
    <row r="242" spans="1:58" ht="17.25" customHeight="1" x14ac:dyDescent="0.25">
      <c r="A242" s="925" t="s">
        <v>953</v>
      </c>
      <c r="B242" s="925"/>
      <c r="C242" s="925"/>
      <c r="D242" s="925"/>
      <c r="E242" s="925"/>
      <c r="F242" s="94" t="s">
        <v>954</v>
      </c>
      <c r="G242" s="926">
        <f t="shared" si="52"/>
        <v>0</v>
      </c>
      <c r="H242" s="927"/>
      <c r="I242" s="928"/>
      <c r="N242" s="925" t="s">
        <v>953</v>
      </c>
      <c r="O242" s="925"/>
      <c r="P242" s="925"/>
      <c r="Q242" s="925"/>
      <c r="R242" s="925"/>
      <c r="S242" s="94" t="s">
        <v>954</v>
      </c>
      <c r="T242" s="929">
        <f t="shared" si="53"/>
        <v>0</v>
      </c>
      <c r="U242" s="929"/>
      <c r="V242" s="929"/>
      <c r="AA242" s="324" t="b">
        <f>IFERROR(#REF!&gt;0.5,FALSE)</f>
        <v>0</v>
      </c>
      <c r="AI242" s="663"/>
      <c r="AJ242" s="308"/>
      <c r="AK242" s="308"/>
      <c r="AL242" s="308"/>
      <c r="AM242" s="308"/>
      <c r="AN242" s="308"/>
      <c r="AO242" s="308"/>
      <c r="AP242" s="308"/>
      <c r="AQ242" s="308"/>
      <c r="AR242" s="954" t="s">
        <v>955</v>
      </c>
      <c r="AS242" s="955"/>
      <c r="AT242" s="955"/>
      <c r="AU242" s="955"/>
      <c r="AV242" s="955"/>
      <c r="AW242" s="675" t="s">
        <v>956</v>
      </c>
      <c r="AX242" s="317">
        <f t="shared" si="51"/>
        <v>0</v>
      </c>
      <c r="AY242" s="665"/>
      <c r="BA242" s="311"/>
      <c r="BB242" s="653"/>
      <c r="BC242" s="627"/>
      <c r="BD242" s="627"/>
      <c r="BE242" s="627"/>
      <c r="BF242" s="627"/>
    </row>
    <row r="243" spans="1:58" ht="17.25" customHeight="1" x14ac:dyDescent="0.25">
      <c r="A243" s="925" t="s">
        <v>957</v>
      </c>
      <c r="B243" s="925"/>
      <c r="C243" s="925"/>
      <c r="D243" s="925"/>
      <c r="E243" s="925"/>
      <c r="F243" s="94" t="s">
        <v>958</v>
      </c>
      <c r="G243" s="926">
        <f t="shared" si="52"/>
        <v>0</v>
      </c>
      <c r="H243" s="927"/>
      <c r="I243" s="928"/>
      <c r="N243" s="925" t="s">
        <v>957</v>
      </c>
      <c r="O243" s="925"/>
      <c r="P243" s="925"/>
      <c r="Q243" s="925"/>
      <c r="R243" s="925"/>
      <c r="S243" s="94" t="s">
        <v>958</v>
      </c>
      <c r="T243" s="929">
        <f t="shared" si="53"/>
        <v>0</v>
      </c>
      <c r="U243" s="929"/>
      <c r="V243" s="929"/>
      <c r="AA243" s="324"/>
      <c r="AI243" s="663"/>
      <c r="AJ243" s="308"/>
      <c r="AK243" s="308"/>
      <c r="AL243" s="308"/>
      <c r="AM243" s="308"/>
      <c r="AN243" s="308"/>
      <c r="AO243" s="308"/>
      <c r="AP243" s="308"/>
      <c r="AQ243" s="308"/>
      <c r="AR243" s="954" t="s">
        <v>959</v>
      </c>
      <c r="AS243" s="955"/>
      <c r="AT243" s="955"/>
      <c r="AU243" s="955"/>
      <c r="AV243" s="955"/>
      <c r="AW243" s="396" t="s">
        <v>960</v>
      </c>
      <c r="AX243" s="317">
        <f t="shared" si="51"/>
        <v>0</v>
      </c>
      <c r="AY243" s="665"/>
      <c r="BA243" s="311"/>
      <c r="BC243" s="625"/>
      <c r="BD243" s="625"/>
      <c r="BE243" s="625"/>
      <c r="BF243" s="625"/>
    </row>
    <row r="244" spans="1:58" ht="17.25" customHeight="1" x14ac:dyDescent="0.25">
      <c r="A244" s="925" t="s">
        <v>961</v>
      </c>
      <c r="B244" s="925"/>
      <c r="C244" s="925"/>
      <c r="D244" s="925"/>
      <c r="E244" s="925"/>
      <c r="F244" s="94" t="s">
        <v>962</v>
      </c>
      <c r="G244" s="926">
        <f t="shared" si="52"/>
        <v>0</v>
      </c>
      <c r="H244" s="927"/>
      <c r="I244" s="928"/>
      <c r="N244" s="925" t="s">
        <v>961</v>
      </c>
      <c r="O244" s="925"/>
      <c r="P244" s="925"/>
      <c r="Q244" s="925"/>
      <c r="R244" s="925"/>
      <c r="S244" s="94" t="s">
        <v>962</v>
      </c>
      <c r="T244" s="929">
        <f t="shared" si="53"/>
        <v>0</v>
      </c>
      <c r="U244" s="929"/>
      <c r="V244" s="929"/>
      <c r="AA244" s="324"/>
      <c r="AI244" s="902" t="s">
        <v>963</v>
      </c>
      <c r="AJ244" s="903"/>
      <c r="AK244" s="903"/>
      <c r="AL244" s="903"/>
      <c r="AM244" s="903"/>
      <c r="AN244" s="904"/>
      <c r="AO244" s="309" t="s">
        <v>299</v>
      </c>
      <c r="AP244" s="310"/>
      <c r="AR244" s="954" t="s">
        <v>964</v>
      </c>
      <c r="AS244" s="955"/>
      <c r="AT244" s="955"/>
      <c r="AU244" s="955"/>
      <c r="AV244" s="955"/>
      <c r="AW244" s="321" t="s">
        <v>965</v>
      </c>
      <c r="AX244" s="317">
        <f t="shared" si="51"/>
        <v>0</v>
      </c>
      <c r="AY244" s="665"/>
      <c r="BA244" s="311"/>
      <c r="BB244" s="653"/>
      <c r="BC244" s="632"/>
      <c r="BD244" s="632"/>
      <c r="BE244" s="632"/>
      <c r="BF244" s="632"/>
    </row>
    <row r="245" spans="1:58" ht="17.25" customHeight="1" x14ac:dyDescent="0.25">
      <c r="A245" s="925" t="s">
        <v>966</v>
      </c>
      <c r="B245" s="925"/>
      <c r="C245" s="925"/>
      <c r="D245" s="925"/>
      <c r="E245" s="925"/>
      <c r="F245" s="94" t="s">
        <v>967</v>
      </c>
      <c r="G245" s="926">
        <f t="shared" si="52"/>
        <v>0</v>
      </c>
      <c r="H245" s="927"/>
      <c r="I245" s="928"/>
      <c r="N245" s="925" t="s">
        <v>966</v>
      </c>
      <c r="O245" s="925"/>
      <c r="P245" s="925"/>
      <c r="Q245" s="925"/>
      <c r="R245" s="925"/>
      <c r="S245" s="94" t="s">
        <v>967</v>
      </c>
      <c r="T245" s="929">
        <f t="shared" si="53"/>
        <v>0</v>
      </c>
      <c r="U245" s="929"/>
      <c r="V245" s="929"/>
      <c r="AA245" s="324"/>
      <c r="AH245" s="311"/>
      <c r="AI245" s="896" t="s">
        <v>968</v>
      </c>
      <c r="AJ245" s="897"/>
      <c r="AK245" s="897"/>
      <c r="AL245" s="897"/>
      <c r="AM245" s="897"/>
      <c r="AN245" s="393" t="s">
        <v>969</v>
      </c>
      <c r="AO245" s="317">
        <f t="shared" ref="AO245:AO251" si="54">COUNTIF($A$1:$GO$103,AN245)</f>
        <v>0</v>
      </c>
      <c r="AP245" s="676"/>
      <c r="AR245" s="954" t="s">
        <v>970</v>
      </c>
      <c r="AS245" s="955"/>
      <c r="AT245" s="955"/>
      <c r="AU245" s="955"/>
      <c r="AV245" s="955"/>
      <c r="AW245" s="677" t="s">
        <v>971</v>
      </c>
      <c r="AX245" s="317">
        <f t="shared" si="51"/>
        <v>0</v>
      </c>
      <c r="AY245" s="665"/>
      <c r="BA245" s="311"/>
      <c r="BB245" s="10"/>
    </row>
    <row r="246" spans="1:58" ht="17.25" customHeight="1" thickBot="1" x14ac:dyDescent="0.3">
      <c r="A246" s="958" t="s">
        <v>299</v>
      </c>
      <c r="B246" s="959"/>
      <c r="C246" s="959"/>
      <c r="D246" s="959"/>
      <c r="E246" s="959"/>
      <c r="F246" s="678"/>
      <c r="G246" s="922">
        <f>SUM(G240:I245)</f>
        <v>0</v>
      </c>
      <c r="H246" s="923"/>
      <c r="I246" s="924"/>
      <c r="N246" s="958" t="s">
        <v>299</v>
      </c>
      <c r="O246" s="959"/>
      <c r="P246" s="959"/>
      <c r="Q246" s="959"/>
      <c r="R246" s="959"/>
      <c r="S246" s="678"/>
      <c r="T246" s="922">
        <f>SUM(T240:V245)</f>
        <v>0</v>
      </c>
      <c r="U246" s="923"/>
      <c r="V246" s="924"/>
      <c r="AA246" s="324" t="b">
        <f>IFERROR(#REF!&gt;0.5,FALSE)</f>
        <v>0</v>
      </c>
      <c r="AH246" s="679"/>
      <c r="AI246" s="896" t="s">
        <v>972</v>
      </c>
      <c r="AJ246" s="897"/>
      <c r="AK246" s="897"/>
      <c r="AL246" s="897"/>
      <c r="AM246" s="905"/>
      <c r="AN246" s="670" t="s">
        <v>973</v>
      </c>
      <c r="AO246" s="317">
        <f t="shared" si="54"/>
        <v>0</v>
      </c>
      <c r="AP246" s="680"/>
      <c r="AR246" s="954" t="s">
        <v>974</v>
      </c>
      <c r="AS246" s="955"/>
      <c r="AT246" s="955"/>
      <c r="AU246" s="955"/>
      <c r="AV246" s="955"/>
      <c r="AW246" s="681" t="s">
        <v>975</v>
      </c>
      <c r="AX246" s="317">
        <f t="shared" si="51"/>
        <v>0</v>
      </c>
      <c r="AY246" s="665"/>
      <c r="BA246" s="311"/>
      <c r="BB246" s="653"/>
    </row>
    <row r="247" spans="1:58" ht="17.25" customHeight="1" thickBot="1" x14ac:dyDescent="0.3">
      <c r="A247" s="930" t="s">
        <v>976</v>
      </c>
      <c r="B247" s="931"/>
      <c r="C247" s="931"/>
      <c r="D247" s="931"/>
      <c r="E247" s="932"/>
      <c r="F247" s="33"/>
      <c r="G247" s="33"/>
      <c r="H247" s="33"/>
      <c r="I247" s="33"/>
      <c r="N247" s="930" t="s">
        <v>976</v>
      </c>
      <c r="O247" s="931"/>
      <c r="P247" s="931"/>
      <c r="Q247" s="931"/>
      <c r="R247" s="932"/>
      <c r="S247" s="33"/>
      <c r="T247" s="33"/>
      <c r="U247" s="33"/>
      <c r="V247" s="33"/>
      <c r="AA247" s="324"/>
      <c r="AH247" s="679"/>
      <c r="AI247" s="896" t="s">
        <v>977</v>
      </c>
      <c r="AJ247" s="897"/>
      <c r="AK247" s="897"/>
      <c r="AL247" s="897"/>
      <c r="AM247" s="905"/>
      <c r="AN247" s="682" t="s">
        <v>978</v>
      </c>
      <c r="AO247" s="317">
        <f t="shared" si="54"/>
        <v>0</v>
      </c>
      <c r="AP247" s="680"/>
      <c r="AR247" s="954" t="s">
        <v>979</v>
      </c>
      <c r="AS247" s="955"/>
      <c r="AT247" s="955"/>
      <c r="AU247" s="955"/>
      <c r="AV247" s="955"/>
      <c r="AW247" s="683" t="s">
        <v>980</v>
      </c>
      <c r="AX247" s="317">
        <f t="shared" si="51"/>
        <v>0</v>
      </c>
      <c r="AY247" s="665"/>
      <c r="AZ247" s="308"/>
      <c r="BA247" s="311"/>
      <c r="BB247" s="653"/>
    </row>
    <row r="248" spans="1:58" ht="17.25" customHeight="1" x14ac:dyDescent="0.25">
      <c r="A248" s="957" t="s">
        <v>942</v>
      </c>
      <c r="B248" s="957"/>
      <c r="C248" s="957"/>
      <c r="D248" s="957"/>
      <c r="E248" s="957"/>
      <c r="F248" s="94" t="s">
        <v>981</v>
      </c>
      <c r="G248" s="926">
        <f t="shared" ref="G248:G260" si="55">COUNTIF($A$4:$M$42,F248)+COUNTIF($A$43:$O$81,F248)+COUNTIF($N$4:$T$19,F248)+COUNTIF($O$20:$S$23,F248)+COUNTIF($N$24:$Q$25,F248)+COUNTIF($N$26:$P$26,F248)+COUNTIF($P$42,F248)+COUNTIF($T$21:$T$22,F248)+COUNTIF($R$24,F248)+COUNTIF($N$27:$O$28,F248)</f>
        <v>0</v>
      </c>
      <c r="H248" s="927"/>
      <c r="I248" s="928"/>
      <c r="N248" s="957" t="s">
        <v>942</v>
      </c>
      <c r="O248" s="957"/>
      <c r="P248" s="957"/>
      <c r="Q248" s="957"/>
      <c r="R248" s="957"/>
      <c r="S248" s="94" t="s">
        <v>981</v>
      </c>
      <c r="T248" s="929">
        <f t="shared" ref="T248:T260" si="56">COUNTIF($T$23:$BI$73,S248)+COUNTIF($N$29:$S$39,S248)+COUNTIF($P$47:$S$68,S248)+COUNTIF($Q$40:$S$42,S248)+COUNTIF($P$27:$S$28,S248)+COUNTIF($R$25:$S$25,S248)+COUNTIF($S$24:$S$24,S248)</f>
        <v>0</v>
      </c>
      <c r="U248" s="929"/>
      <c r="V248" s="929"/>
      <c r="AA248" s="324"/>
      <c r="AI248" s="896" t="s">
        <v>982</v>
      </c>
      <c r="AJ248" s="897"/>
      <c r="AK248" s="897"/>
      <c r="AL248" s="897"/>
      <c r="AM248" s="905"/>
      <c r="AN248" s="684" t="s">
        <v>983</v>
      </c>
      <c r="AO248" s="317">
        <f t="shared" si="54"/>
        <v>0</v>
      </c>
      <c r="AP248" s="680"/>
      <c r="AR248" s="954" t="s">
        <v>984</v>
      </c>
      <c r="AS248" s="955"/>
      <c r="AT248" s="955"/>
      <c r="AU248" s="955"/>
      <c r="AV248" s="955"/>
      <c r="AW248" s="685" t="s">
        <v>985</v>
      </c>
      <c r="AX248" s="317">
        <f t="shared" si="51"/>
        <v>0</v>
      </c>
      <c r="AY248" s="665"/>
      <c r="BA248" s="311"/>
    </row>
    <row r="249" spans="1:58" ht="17.25" customHeight="1" x14ac:dyDescent="0.25">
      <c r="A249" s="925" t="s">
        <v>948</v>
      </c>
      <c r="B249" s="925"/>
      <c r="C249" s="925"/>
      <c r="D249" s="925"/>
      <c r="E249" s="925"/>
      <c r="F249" s="94" t="s">
        <v>986</v>
      </c>
      <c r="G249" s="926">
        <f t="shared" si="55"/>
        <v>0</v>
      </c>
      <c r="H249" s="927"/>
      <c r="I249" s="928"/>
      <c r="N249" s="925" t="s">
        <v>948</v>
      </c>
      <c r="O249" s="925"/>
      <c r="P249" s="925"/>
      <c r="Q249" s="925"/>
      <c r="R249" s="925"/>
      <c r="S249" s="94" t="s">
        <v>986</v>
      </c>
      <c r="T249" s="929">
        <f t="shared" si="56"/>
        <v>0</v>
      </c>
      <c r="U249" s="929"/>
      <c r="V249" s="929"/>
      <c r="AA249" s="324"/>
      <c r="AI249" s="896" t="s">
        <v>987</v>
      </c>
      <c r="AJ249" s="897"/>
      <c r="AK249" s="897"/>
      <c r="AL249" s="897"/>
      <c r="AM249" s="905"/>
      <c r="AN249" s="686" t="s">
        <v>988</v>
      </c>
      <c r="AO249" s="317">
        <f t="shared" si="54"/>
        <v>0</v>
      </c>
      <c r="AP249" s="680"/>
      <c r="AR249" s="954" t="s">
        <v>989</v>
      </c>
      <c r="AS249" s="955"/>
      <c r="AT249" s="955"/>
      <c r="AU249" s="955"/>
      <c r="AV249" s="955"/>
      <c r="AW249" s="687" t="s">
        <v>990</v>
      </c>
      <c r="AX249" s="317">
        <f t="shared" si="51"/>
        <v>0</v>
      </c>
      <c r="AY249" s="665"/>
      <c r="BA249" s="311"/>
      <c r="BB249" s="653"/>
    </row>
    <row r="250" spans="1:58" ht="17.25" customHeight="1" x14ac:dyDescent="0.25">
      <c r="A250" s="925" t="s">
        <v>953</v>
      </c>
      <c r="B250" s="925"/>
      <c r="C250" s="925"/>
      <c r="D250" s="925"/>
      <c r="E250" s="925"/>
      <c r="F250" s="94" t="s">
        <v>991</v>
      </c>
      <c r="G250" s="926">
        <f t="shared" si="55"/>
        <v>0</v>
      </c>
      <c r="H250" s="927"/>
      <c r="I250" s="928"/>
      <c r="N250" s="925" t="s">
        <v>953</v>
      </c>
      <c r="O250" s="925"/>
      <c r="P250" s="925"/>
      <c r="Q250" s="925"/>
      <c r="R250" s="925"/>
      <c r="S250" s="94" t="s">
        <v>991</v>
      </c>
      <c r="T250" s="929">
        <f t="shared" si="56"/>
        <v>0</v>
      </c>
      <c r="U250" s="929"/>
      <c r="V250" s="929"/>
      <c r="AA250" s="324"/>
      <c r="AI250" s="896" t="s">
        <v>992</v>
      </c>
      <c r="AJ250" s="897"/>
      <c r="AK250" s="897"/>
      <c r="AL250" s="897"/>
      <c r="AM250" s="905"/>
      <c r="AN250" s="688" t="s">
        <v>993</v>
      </c>
      <c r="AO250" s="317">
        <f t="shared" si="54"/>
        <v>0</v>
      </c>
      <c r="AP250" s="680"/>
      <c r="AR250" s="954" t="s">
        <v>994</v>
      </c>
      <c r="AS250" s="955"/>
      <c r="AT250" s="955"/>
      <c r="AU250" s="955"/>
      <c r="AV250" s="955"/>
      <c r="AW250" s="689" t="s">
        <v>995</v>
      </c>
      <c r="AX250" s="317">
        <f t="shared" si="51"/>
        <v>0</v>
      </c>
      <c r="AY250" s="665"/>
      <c r="BA250" s="311"/>
      <c r="BB250" s="690"/>
    </row>
    <row r="251" spans="1:58" ht="17.25" customHeight="1" x14ac:dyDescent="0.25">
      <c r="A251" s="925" t="s">
        <v>996</v>
      </c>
      <c r="B251" s="925"/>
      <c r="C251" s="925"/>
      <c r="D251" s="925"/>
      <c r="E251" s="925"/>
      <c r="F251" s="94" t="s">
        <v>997</v>
      </c>
      <c r="G251" s="926">
        <f t="shared" si="55"/>
        <v>0</v>
      </c>
      <c r="H251" s="927"/>
      <c r="I251" s="928"/>
      <c r="N251" s="925" t="s">
        <v>996</v>
      </c>
      <c r="O251" s="925"/>
      <c r="P251" s="925"/>
      <c r="Q251" s="925"/>
      <c r="R251" s="925"/>
      <c r="S251" s="94" t="s">
        <v>997</v>
      </c>
      <c r="T251" s="929">
        <f t="shared" si="56"/>
        <v>0</v>
      </c>
      <c r="U251" s="929"/>
      <c r="V251" s="929"/>
      <c r="AA251" s="324"/>
      <c r="AI251" s="896" t="s">
        <v>998</v>
      </c>
      <c r="AJ251" s="897"/>
      <c r="AK251" s="897"/>
      <c r="AL251" s="897"/>
      <c r="AM251" s="905"/>
      <c r="AN251" s="412" t="s">
        <v>999</v>
      </c>
      <c r="AO251" s="317">
        <f t="shared" si="54"/>
        <v>0</v>
      </c>
      <c r="AP251" s="680"/>
      <c r="AR251" s="954" t="s">
        <v>1000</v>
      </c>
      <c r="AS251" s="955"/>
      <c r="AT251" s="955"/>
      <c r="AU251" s="955"/>
      <c r="AV251" s="955"/>
      <c r="AW251" s="689" t="s">
        <v>1001</v>
      </c>
      <c r="AX251" s="317">
        <f t="shared" si="51"/>
        <v>0</v>
      </c>
      <c r="AY251" s="665"/>
      <c r="BA251" s="311"/>
      <c r="BB251" s="653"/>
    </row>
    <row r="252" spans="1:58" ht="17.25" customHeight="1" x14ac:dyDescent="0.25">
      <c r="A252" s="925" t="s">
        <v>957</v>
      </c>
      <c r="B252" s="925"/>
      <c r="C252" s="925"/>
      <c r="D252" s="925"/>
      <c r="E252" s="925"/>
      <c r="F252" s="94" t="s">
        <v>186</v>
      </c>
      <c r="G252" s="926">
        <f t="shared" si="55"/>
        <v>1</v>
      </c>
      <c r="H252" s="927"/>
      <c r="I252" s="928"/>
      <c r="N252" s="925" t="s">
        <v>957</v>
      </c>
      <c r="O252" s="925"/>
      <c r="P252" s="925"/>
      <c r="Q252" s="925"/>
      <c r="R252" s="925"/>
      <c r="S252" s="94" t="s">
        <v>186</v>
      </c>
      <c r="T252" s="929">
        <f t="shared" si="56"/>
        <v>0</v>
      </c>
      <c r="U252" s="929"/>
      <c r="V252" s="929"/>
      <c r="AA252" s="324"/>
      <c r="AI252" s="893" t="s">
        <v>1002</v>
      </c>
      <c r="AJ252" s="894"/>
      <c r="AK252" s="894"/>
      <c r="AL252" s="894"/>
      <c r="AM252" s="895"/>
      <c r="AN252" s="501"/>
      <c r="AO252" s="502">
        <f>SUM(AO245:AO251)</f>
        <v>0</v>
      </c>
      <c r="AP252" s="308"/>
      <c r="AR252" s="954" t="s">
        <v>1003</v>
      </c>
      <c r="AS252" s="955"/>
      <c r="AT252" s="955"/>
      <c r="AU252" s="955"/>
      <c r="AV252" s="955"/>
      <c r="AW252" s="689" t="s">
        <v>1004</v>
      </c>
      <c r="AX252" s="317">
        <f t="shared" si="51"/>
        <v>0</v>
      </c>
      <c r="AY252" s="665"/>
      <c r="BA252" s="311"/>
      <c r="BB252" s="653"/>
    </row>
    <row r="253" spans="1:58" ht="17.25" customHeight="1" x14ac:dyDescent="0.25">
      <c r="A253" s="925" t="s">
        <v>1005</v>
      </c>
      <c r="B253" s="925"/>
      <c r="C253" s="925"/>
      <c r="D253" s="925"/>
      <c r="E253" s="925"/>
      <c r="F253" s="94" t="s">
        <v>1006</v>
      </c>
      <c r="G253" s="926">
        <f t="shared" si="55"/>
        <v>0</v>
      </c>
      <c r="H253" s="927"/>
      <c r="I253" s="928"/>
      <c r="N253" s="925" t="s">
        <v>1005</v>
      </c>
      <c r="O253" s="925"/>
      <c r="P253" s="925"/>
      <c r="Q253" s="925"/>
      <c r="R253" s="925"/>
      <c r="S253" s="94" t="s">
        <v>1006</v>
      </c>
      <c r="T253" s="929">
        <f t="shared" si="56"/>
        <v>0</v>
      </c>
      <c r="U253" s="929"/>
      <c r="V253" s="929"/>
      <c r="AA253" s="324"/>
      <c r="AI253" s="663"/>
      <c r="AJ253" s="308"/>
      <c r="AK253" s="308"/>
      <c r="AL253" s="308"/>
      <c r="AM253" s="308"/>
      <c r="AN253" s="308"/>
      <c r="AO253" s="308"/>
      <c r="AP253" s="308"/>
      <c r="AR253" s="954" t="s">
        <v>1007</v>
      </c>
      <c r="AS253" s="955"/>
      <c r="AT253" s="955"/>
      <c r="AU253" s="955"/>
      <c r="AV253" s="955"/>
      <c r="AW253" s="691" t="s">
        <v>1008</v>
      </c>
      <c r="AX253" s="317">
        <f t="shared" si="51"/>
        <v>0</v>
      </c>
      <c r="AY253" s="665"/>
      <c r="BA253" s="311"/>
    </row>
    <row r="254" spans="1:58" ht="17.25" customHeight="1" x14ac:dyDescent="0.25">
      <c r="A254" s="925" t="s">
        <v>961</v>
      </c>
      <c r="B254" s="925"/>
      <c r="C254" s="925"/>
      <c r="D254" s="925"/>
      <c r="E254" s="925"/>
      <c r="F254" s="94" t="s">
        <v>1009</v>
      </c>
      <c r="G254" s="926">
        <f t="shared" si="55"/>
        <v>0</v>
      </c>
      <c r="H254" s="927"/>
      <c r="I254" s="928"/>
      <c r="N254" s="925" t="s">
        <v>961</v>
      </c>
      <c r="O254" s="925"/>
      <c r="P254" s="925"/>
      <c r="Q254" s="925"/>
      <c r="R254" s="925"/>
      <c r="S254" s="94" t="s">
        <v>1009</v>
      </c>
      <c r="T254" s="929">
        <f t="shared" si="56"/>
        <v>0</v>
      </c>
      <c r="U254" s="929"/>
      <c r="V254" s="929"/>
      <c r="AA254" s="324"/>
      <c r="AI254" s="692"/>
      <c r="AQ254" s="308"/>
      <c r="AR254" s="954" t="s">
        <v>1010</v>
      </c>
      <c r="AS254" s="955"/>
      <c r="AT254" s="955"/>
      <c r="AU254" s="955"/>
      <c r="AV254" s="955"/>
      <c r="AW254" s="693" t="s">
        <v>1011</v>
      </c>
      <c r="AX254" s="317">
        <f t="shared" si="51"/>
        <v>0</v>
      </c>
      <c r="AY254" s="665"/>
      <c r="BA254" s="311"/>
      <c r="BB254" s="653"/>
    </row>
    <row r="255" spans="1:58" ht="17.25" customHeight="1" x14ac:dyDescent="0.25">
      <c r="A255" s="925" t="s">
        <v>966</v>
      </c>
      <c r="B255" s="925"/>
      <c r="C255" s="925"/>
      <c r="D255" s="925"/>
      <c r="E255" s="925"/>
      <c r="F255" s="94" t="s">
        <v>1012</v>
      </c>
      <c r="G255" s="926">
        <f t="shared" si="55"/>
        <v>0</v>
      </c>
      <c r="H255" s="927"/>
      <c r="I255" s="928"/>
      <c r="N255" s="925" t="s">
        <v>966</v>
      </c>
      <c r="O255" s="925"/>
      <c r="P255" s="925"/>
      <c r="Q255" s="925"/>
      <c r="R255" s="925"/>
      <c r="S255" s="94" t="s">
        <v>1012</v>
      </c>
      <c r="T255" s="929">
        <f t="shared" si="56"/>
        <v>0</v>
      </c>
      <c r="U255" s="929"/>
      <c r="V255" s="929"/>
      <c r="AA255" s="324"/>
      <c r="AI255" s="918" t="s">
        <v>391</v>
      </c>
      <c r="AJ255" s="908"/>
      <c r="AK255" s="908"/>
      <c r="AL255" s="908"/>
      <c r="AM255" s="908"/>
      <c r="AN255" s="909"/>
      <c r="AO255" s="309" t="s">
        <v>299</v>
      </c>
      <c r="AP255" s="310"/>
      <c r="AQ255" s="694"/>
      <c r="AR255" s="914" t="s">
        <v>1013</v>
      </c>
      <c r="AS255" s="915"/>
      <c r="AT255" s="915"/>
      <c r="AU255" s="915"/>
      <c r="AV255" s="915"/>
      <c r="AW255" s="695" t="s">
        <v>1013</v>
      </c>
      <c r="AX255" s="317">
        <f t="shared" si="51"/>
        <v>0</v>
      </c>
      <c r="AY255" s="665"/>
      <c r="BA255" s="311"/>
      <c r="BB255" s="696"/>
    </row>
    <row r="256" spans="1:58" ht="17.25" customHeight="1" x14ac:dyDescent="0.25">
      <c r="A256" s="925" t="s">
        <v>1014</v>
      </c>
      <c r="B256" s="925"/>
      <c r="C256" s="925"/>
      <c r="D256" s="925"/>
      <c r="E256" s="925"/>
      <c r="F256" s="94" t="s">
        <v>1015</v>
      </c>
      <c r="G256" s="926">
        <f t="shared" si="55"/>
        <v>0</v>
      </c>
      <c r="H256" s="927"/>
      <c r="I256" s="928"/>
      <c r="N256" s="925" t="s">
        <v>1014</v>
      </c>
      <c r="O256" s="925"/>
      <c r="P256" s="925"/>
      <c r="Q256" s="925"/>
      <c r="R256" s="925"/>
      <c r="S256" s="94" t="s">
        <v>1015</v>
      </c>
      <c r="T256" s="929">
        <f t="shared" si="56"/>
        <v>0</v>
      </c>
      <c r="U256" s="929"/>
      <c r="V256" s="929"/>
      <c r="AA256" s="324"/>
      <c r="AI256" s="936" t="s">
        <v>1016</v>
      </c>
      <c r="AJ256" s="937"/>
      <c r="AK256" s="937"/>
      <c r="AL256" s="937"/>
      <c r="AM256" s="938"/>
      <c r="AN256" s="697" t="s">
        <v>1017</v>
      </c>
      <c r="AO256" s="317">
        <f t="shared" ref="AO256:AO271" si="57">COUNTIF($A$1:$GO$103,AN256)</f>
        <v>0</v>
      </c>
      <c r="AP256" s="698"/>
      <c r="AR256" s="954" t="s">
        <v>1018</v>
      </c>
      <c r="AS256" s="955"/>
      <c r="AT256" s="955"/>
      <c r="AU256" s="955"/>
      <c r="AV256" s="955"/>
      <c r="AW256" s="461" t="s">
        <v>1019</v>
      </c>
      <c r="AX256" s="317">
        <f t="shared" si="51"/>
        <v>0</v>
      </c>
      <c r="AY256" s="665"/>
      <c r="BA256" s="311"/>
      <c r="BB256" s="653"/>
    </row>
    <row r="257" spans="1:54" ht="17.25" customHeight="1" x14ac:dyDescent="0.25">
      <c r="A257" s="925" t="s">
        <v>1020</v>
      </c>
      <c r="B257" s="925"/>
      <c r="C257" s="925"/>
      <c r="D257" s="925"/>
      <c r="E257" s="925"/>
      <c r="F257" s="94" t="s">
        <v>1021</v>
      </c>
      <c r="G257" s="926">
        <f t="shared" si="55"/>
        <v>0</v>
      </c>
      <c r="H257" s="927"/>
      <c r="I257" s="928"/>
      <c r="N257" s="925" t="s">
        <v>1020</v>
      </c>
      <c r="O257" s="925"/>
      <c r="P257" s="925"/>
      <c r="Q257" s="925"/>
      <c r="R257" s="925"/>
      <c r="S257" s="94" t="s">
        <v>1021</v>
      </c>
      <c r="T257" s="929">
        <f t="shared" si="56"/>
        <v>0</v>
      </c>
      <c r="U257" s="929"/>
      <c r="V257" s="929"/>
      <c r="AA257" s="324"/>
      <c r="AI257" s="936" t="s">
        <v>1022</v>
      </c>
      <c r="AJ257" s="937"/>
      <c r="AK257" s="937"/>
      <c r="AL257" s="937"/>
      <c r="AM257" s="938"/>
      <c r="AN257" s="697" t="s">
        <v>1022</v>
      </c>
      <c r="AO257" s="317">
        <f t="shared" si="57"/>
        <v>0</v>
      </c>
      <c r="AP257" s="699"/>
      <c r="AR257" s="954" t="s">
        <v>1023</v>
      </c>
      <c r="AS257" s="955"/>
      <c r="AT257" s="955"/>
      <c r="AU257" s="955"/>
      <c r="AV257" s="955"/>
      <c r="AW257" s="539" t="s">
        <v>1024</v>
      </c>
      <c r="AX257" s="317">
        <f t="shared" si="51"/>
        <v>0</v>
      </c>
      <c r="AY257" s="665"/>
      <c r="BA257" s="311"/>
      <c r="BB257" s="653"/>
    </row>
    <row r="258" spans="1:54" ht="17.25" customHeight="1" x14ac:dyDescent="0.25">
      <c r="A258" s="925" t="s">
        <v>1025</v>
      </c>
      <c r="B258" s="925"/>
      <c r="C258" s="925"/>
      <c r="D258" s="925"/>
      <c r="E258" s="925"/>
      <c r="F258" s="94" t="s">
        <v>1026</v>
      </c>
      <c r="G258" s="926">
        <f t="shared" si="55"/>
        <v>0</v>
      </c>
      <c r="H258" s="927"/>
      <c r="I258" s="928"/>
      <c r="N258" s="925" t="s">
        <v>1025</v>
      </c>
      <c r="O258" s="925"/>
      <c r="P258" s="925"/>
      <c r="Q258" s="925"/>
      <c r="R258" s="925"/>
      <c r="S258" s="94" t="s">
        <v>1026</v>
      </c>
      <c r="T258" s="929">
        <f t="shared" si="56"/>
        <v>0</v>
      </c>
      <c r="U258" s="929"/>
      <c r="V258" s="929"/>
      <c r="AA258" s="324"/>
      <c r="AI258" s="936" t="s">
        <v>1027</v>
      </c>
      <c r="AJ258" s="937"/>
      <c r="AK258" s="937"/>
      <c r="AL258" s="937"/>
      <c r="AM258" s="938"/>
      <c r="AN258" s="697" t="s">
        <v>1028</v>
      </c>
      <c r="AO258" s="317">
        <f t="shared" si="57"/>
        <v>0</v>
      </c>
      <c r="AP258" s="699"/>
      <c r="AQ258" s="308"/>
      <c r="AR258" s="954" t="s">
        <v>1029</v>
      </c>
      <c r="AS258" s="955"/>
      <c r="AT258" s="955"/>
      <c r="AU258" s="955"/>
      <c r="AV258" s="955"/>
      <c r="AW258" s="677" t="s">
        <v>1030</v>
      </c>
      <c r="AX258" s="317">
        <f t="shared" si="51"/>
        <v>0</v>
      </c>
      <c r="AY258" s="665"/>
      <c r="BA258" s="311"/>
    </row>
    <row r="259" spans="1:54" ht="17.25" customHeight="1" x14ac:dyDescent="0.25">
      <c r="A259" s="925" t="s">
        <v>1031</v>
      </c>
      <c r="B259" s="925"/>
      <c r="C259" s="925"/>
      <c r="D259" s="925"/>
      <c r="E259" s="925"/>
      <c r="F259" s="94" t="s">
        <v>1032</v>
      </c>
      <c r="G259" s="926">
        <f t="shared" si="55"/>
        <v>0</v>
      </c>
      <c r="H259" s="927"/>
      <c r="I259" s="928"/>
      <c r="N259" s="925" t="s">
        <v>1031</v>
      </c>
      <c r="O259" s="925"/>
      <c r="P259" s="925"/>
      <c r="Q259" s="925"/>
      <c r="R259" s="925"/>
      <c r="S259" s="94" t="s">
        <v>1032</v>
      </c>
      <c r="T259" s="929">
        <f t="shared" si="56"/>
        <v>0</v>
      </c>
      <c r="U259" s="929"/>
      <c r="V259" s="929"/>
      <c r="AA259" s="324"/>
      <c r="AI259" s="936" t="s">
        <v>1033</v>
      </c>
      <c r="AJ259" s="937"/>
      <c r="AK259" s="937"/>
      <c r="AL259" s="937"/>
      <c r="AM259" s="938"/>
      <c r="AN259" s="697" t="s">
        <v>1034</v>
      </c>
      <c r="AO259" s="317">
        <f t="shared" si="57"/>
        <v>0</v>
      </c>
      <c r="AP259" s="699"/>
      <c r="AQ259" s="308"/>
      <c r="AR259" s="954" t="s">
        <v>1035</v>
      </c>
      <c r="AS259" s="955"/>
      <c r="AT259" s="955"/>
      <c r="AU259" s="955"/>
      <c r="AV259" s="955"/>
      <c r="AW259" s="700" t="s">
        <v>1036</v>
      </c>
      <c r="AX259" s="317">
        <f t="shared" si="51"/>
        <v>0</v>
      </c>
      <c r="AY259" s="665"/>
      <c r="BA259" s="311"/>
      <c r="BB259" s="653"/>
    </row>
    <row r="260" spans="1:54" ht="17.25" customHeight="1" x14ac:dyDescent="0.25">
      <c r="A260" s="925" t="s">
        <v>1037</v>
      </c>
      <c r="B260" s="925"/>
      <c r="C260" s="925"/>
      <c r="D260" s="925"/>
      <c r="E260" s="925"/>
      <c r="F260" s="94" t="s">
        <v>1038</v>
      </c>
      <c r="G260" s="926">
        <f t="shared" si="55"/>
        <v>0</v>
      </c>
      <c r="H260" s="927"/>
      <c r="I260" s="928"/>
      <c r="N260" s="925" t="s">
        <v>1037</v>
      </c>
      <c r="O260" s="925"/>
      <c r="P260" s="925"/>
      <c r="Q260" s="925"/>
      <c r="R260" s="925"/>
      <c r="S260" s="94" t="s">
        <v>1038</v>
      </c>
      <c r="T260" s="929">
        <f t="shared" si="56"/>
        <v>0</v>
      </c>
      <c r="U260" s="929"/>
      <c r="V260" s="929"/>
      <c r="AA260" s="324"/>
      <c r="AI260" s="936" t="s">
        <v>1039</v>
      </c>
      <c r="AJ260" s="937"/>
      <c r="AK260" s="937"/>
      <c r="AL260" s="937"/>
      <c r="AM260" s="938"/>
      <c r="AN260" s="697" t="s">
        <v>1040</v>
      </c>
      <c r="AO260" s="317">
        <f t="shared" si="57"/>
        <v>0</v>
      </c>
      <c r="AP260" s="699"/>
      <c r="AQ260" s="308"/>
      <c r="AR260" s="954" t="s">
        <v>1041</v>
      </c>
      <c r="AS260" s="955"/>
      <c r="AT260" s="955"/>
      <c r="AU260" s="955"/>
      <c r="AV260" s="955"/>
      <c r="AW260" s="701" t="s">
        <v>1042</v>
      </c>
      <c r="AX260" s="317">
        <f t="shared" si="51"/>
        <v>0</v>
      </c>
      <c r="AY260" s="665"/>
      <c r="BA260" s="311"/>
      <c r="BB260" s="702"/>
    </row>
    <row r="261" spans="1:54" ht="17.25" customHeight="1" thickBot="1" x14ac:dyDescent="0.3">
      <c r="A261" s="956" t="s">
        <v>299</v>
      </c>
      <c r="B261" s="956"/>
      <c r="C261" s="956"/>
      <c r="D261" s="956"/>
      <c r="E261" s="956"/>
      <c r="F261" s="678"/>
      <c r="G261" s="922">
        <f>SUM(G248:I260)</f>
        <v>1</v>
      </c>
      <c r="H261" s="923"/>
      <c r="I261" s="924"/>
      <c r="N261" s="956" t="s">
        <v>299</v>
      </c>
      <c r="O261" s="956"/>
      <c r="P261" s="956"/>
      <c r="Q261" s="956"/>
      <c r="R261" s="956"/>
      <c r="S261" s="678"/>
      <c r="T261" s="922">
        <f>SUM(T248:V260)</f>
        <v>0</v>
      </c>
      <c r="U261" s="923"/>
      <c r="V261" s="924"/>
      <c r="AA261" s="324"/>
      <c r="AI261" s="936" t="s">
        <v>1043</v>
      </c>
      <c r="AJ261" s="937"/>
      <c r="AK261" s="937"/>
      <c r="AL261" s="937"/>
      <c r="AM261" s="938"/>
      <c r="AN261" s="697" t="s">
        <v>1044</v>
      </c>
      <c r="AO261" s="317">
        <f t="shared" si="57"/>
        <v>0</v>
      </c>
      <c r="AP261" s="699"/>
      <c r="AQ261" s="308"/>
      <c r="AR261" s="954" t="s">
        <v>1045</v>
      </c>
      <c r="AS261" s="955"/>
      <c r="AT261" s="955"/>
      <c r="AU261" s="955"/>
      <c r="AV261" s="955"/>
      <c r="AW261" s="703" t="s">
        <v>1046</v>
      </c>
      <c r="AX261" s="317">
        <f t="shared" si="51"/>
        <v>0</v>
      </c>
      <c r="AY261" s="665"/>
      <c r="BA261" s="311"/>
      <c r="BB261" s="653"/>
    </row>
    <row r="262" spans="1:54" ht="17.25" customHeight="1" thickBot="1" x14ac:dyDescent="0.3">
      <c r="A262" s="930" t="s">
        <v>118</v>
      </c>
      <c r="B262" s="931"/>
      <c r="C262" s="931"/>
      <c r="D262" s="931"/>
      <c r="E262" s="932"/>
      <c r="F262" s="33"/>
      <c r="G262" s="33"/>
      <c r="H262" s="33"/>
      <c r="I262" s="33"/>
      <c r="N262" s="930" t="s">
        <v>118</v>
      </c>
      <c r="O262" s="931"/>
      <c r="P262" s="931"/>
      <c r="Q262" s="931"/>
      <c r="R262" s="932"/>
      <c r="S262" s="33"/>
      <c r="T262" s="33"/>
      <c r="U262" s="33"/>
      <c r="V262" s="33"/>
      <c r="AA262" s="268"/>
      <c r="AI262" s="936" t="s">
        <v>1047</v>
      </c>
      <c r="AJ262" s="937"/>
      <c r="AK262" s="937"/>
      <c r="AL262" s="937"/>
      <c r="AM262" s="938"/>
      <c r="AN262" s="697" t="s">
        <v>1048</v>
      </c>
      <c r="AO262" s="317">
        <f t="shared" si="57"/>
        <v>0</v>
      </c>
      <c r="AP262" s="699"/>
      <c r="AQ262" s="308"/>
      <c r="AR262" s="954" t="s">
        <v>1049</v>
      </c>
      <c r="AS262" s="955"/>
      <c r="AT262" s="955"/>
      <c r="AU262" s="955"/>
      <c r="AV262" s="955"/>
      <c r="AW262" s="704" t="s">
        <v>1050</v>
      </c>
      <c r="AX262" s="317">
        <f t="shared" si="51"/>
        <v>0</v>
      </c>
      <c r="AY262" s="665"/>
      <c r="BA262" s="311"/>
      <c r="BB262" s="653"/>
    </row>
    <row r="263" spans="1:54" ht="17.25" customHeight="1" x14ac:dyDescent="0.25">
      <c r="A263" s="925" t="s">
        <v>942</v>
      </c>
      <c r="B263" s="925"/>
      <c r="C263" s="925"/>
      <c r="D263" s="925"/>
      <c r="E263" s="925"/>
      <c r="F263" s="94" t="s">
        <v>1051</v>
      </c>
      <c r="G263" s="926">
        <f t="shared" ref="G263:G268" si="58">COUNTIF($A$4:$M$42,F263)+COUNTIF($A$43:$O$81,F263)+COUNTIF($N$4:$T$19,F263)+COUNTIF($O$20:$S$23,F263)+COUNTIF($N$24:$Q$25,F263)+COUNTIF($N$26:$P$26,F263)+COUNTIF($P$42,F263)+COUNTIF($T$21:$T$22,F263)+COUNTIF($R$24,F263)+COUNTIF($N$27:$O$28,F263)</f>
        <v>0</v>
      </c>
      <c r="H263" s="927"/>
      <c r="I263" s="928"/>
      <c r="N263" s="925" t="s">
        <v>942</v>
      </c>
      <c r="O263" s="925"/>
      <c r="P263" s="925"/>
      <c r="Q263" s="925"/>
      <c r="R263" s="925"/>
      <c r="S263" s="94" t="s">
        <v>1051</v>
      </c>
      <c r="T263" s="929">
        <f t="shared" ref="T263:T268" si="59">COUNTIF($T$23:$BI$73,S263)+COUNTIF($N$29:$S$39,S263)+COUNTIF($P$47:$S$68,S263)+COUNTIF($Q$40:$S$42,S263)+COUNTIF($P$27:$S$28,S263)+COUNTIF($R$25:$S$25,S263)+COUNTIF($S$24:$S$24,S263)</f>
        <v>0</v>
      </c>
      <c r="U263" s="929"/>
      <c r="V263" s="929"/>
      <c r="AI263" s="936" t="s">
        <v>1052</v>
      </c>
      <c r="AJ263" s="937"/>
      <c r="AK263" s="937"/>
      <c r="AL263" s="937"/>
      <c r="AM263" s="938"/>
      <c r="AN263" s="697" t="s">
        <v>1053</v>
      </c>
      <c r="AO263" s="317">
        <f t="shared" si="57"/>
        <v>0</v>
      </c>
      <c r="AP263" s="699"/>
      <c r="AQ263" s="308"/>
      <c r="AR263" s="954" t="s">
        <v>1054</v>
      </c>
      <c r="AS263" s="955"/>
      <c r="AT263" s="955"/>
      <c r="AU263" s="955"/>
      <c r="AV263" s="955"/>
      <c r="AW263" s="701" t="s">
        <v>1055</v>
      </c>
      <c r="AX263" s="317">
        <f t="shared" si="51"/>
        <v>0</v>
      </c>
      <c r="AY263" s="665"/>
      <c r="BA263" s="311"/>
    </row>
    <row r="264" spans="1:54" ht="17.25" customHeight="1" x14ac:dyDescent="0.25">
      <c r="A264" s="925" t="s">
        <v>948</v>
      </c>
      <c r="B264" s="925"/>
      <c r="C264" s="925"/>
      <c r="D264" s="925"/>
      <c r="E264" s="925"/>
      <c r="F264" s="94" t="s">
        <v>1056</v>
      </c>
      <c r="G264" s="926">
        <f t="shared" si="58"/>
        <v>0</v>
      </c>
      <c r="H264" s="927"/>
      <c r="I264" s="928"/>
      <c r="N264" s="925" t="s">
        <v>948</v>
      </c>
      <c r="O264" s="925"/>
      <c r="P264" s="925"/>
      <c r="Q264" s="925"/>
      <c r="R264" s="925"/>
      <c r="S264" s="94" t="s">
        <v>1056</v>
      </c>
      <c r="T264" s="929">
        <f t="shared" si="59"/>
        <v>0</v>
      </c>
      <c r="U264" s="929"/>
      <c r="V264" s="929"/>
      <c r="AI264" s="936" t="s">
        <v>1057</v>
      </c>
      <c r="AJ264" s="937"/>
      <c r="AK264" s="937"/>
      <c r="AL264" s="937"/>
      <c r="AM264" s="938"/>
      <c r="AN264" s="697" t="s">
        <v>1058</v>
      </c>
      <c r="AO264" s="317">
        <f t="shared" si="57"/>
        <v>0</v>
      </c>
      <c r="AP264" s="699"/>
      <c r="AQ264" s="308"/>
      <c r="AR264" s="954" t="s">
        <v>1059</v>
      </c>
      <c r="AS264" s="955"/>
      <c r="AT264" s="955"/>
      <c r="AU264" s="955"/>
      <c r="AV264" s="955"/>
      <c r="AW264" s="705" t="s">
        <v>1060</v>
      </c>
      <c r="AX264" s="317">
        <f t="shared" si="51"/>
        <v>0</v>
      </c>
      <c r="AY264" s="665"/>
      <c r="BA264" s="311"/>
    </row>
    <row r="265" spans="1:54" ht="17.25" customHeight="1" x14ac:dyDescent="0.25">
      <c r="A265" s="925" t="s">
        <v>953</v>
      </c>
      <c r="B265" s="925"/>
      <c r="C265" s="925"/>
      <c r="D265" s="925"/>
      <c r="E265" s="925"/>
      <c r="F265" s="94" t="s">
        <v>1061</v>
      </c>
      <c r="G265" s="926">
        <f t="shared" si="58"/>
        <v>0</v>
      </c>
      <c r="H265" s="927"/>
      <c r="I265" s="928"/>
      <c r="N265" s="925" t="s">
        <v>953</v>
      </c>
      <c r="O265" s="925"/>
      <c r="P265" s="925"/>
      <c r="Q265" s="925"/>
      <c r="R265" s="925"/>
      <c r="S265" s="94" t="s">
        <v>1061</v>
      </c>
      <c r="T265" s="929">
        <f t="shared" si="59"/>
        <v>0</v>
      </c>
      <c r="U265" s="929"/>
      <c r="V265" s="929"/>
      <c r="AI265" s="936" t="s">
        <v>1062</v>
      </c>
      <c r="AJ265" s="937"/>
      <c r="AK265" s="937"/>
      <c r="AL265" s="937"/>
      <c r="AM265" s="938"/>
      <c r="AN265" s="697" t="s">
        <v>1063</v>
      </c>
      <c r="AO265" s="317">
        <f t="shared" si="57"/>
        <v>0</v>
      </c>
      <c r="AP265" s="699"/>
      <c r="AQ265" s="308"/>
      <c r="AR265" s="951" t="s">
        <v>1064</v>
      </c>
      <c r="AS265" s="952"/>
      <c r="AT265" s="952"/>
      <c r="AU265" s="952"/>
      <c r="AV265" s="953"/>
      <c r="AW265" s="501"/>
      <c r="AX265" s="502">
        <f>SUM(AX227:AX264)</f>
        <v>0</v>
      </c>
      <c r="BA265" s="311"/>
    </row>
    <row r="266" spans="1:54" ht="17.25" customHeight="1" x14ac:dyDescent="0.25">
      <c r="A266" s="925" t="s">
        <v>957</v>
      </c>
      <c r="B266" s="925"/>
      <c r="C266" s="925"/>
      <c r="D266" s="925"/>
      <c r="E266" s="925"/>
      <c r="F266" s="94" t="s">
        <v>1065</v>
      </c>
      <c r="G266" s="926">
        <f t="shared" si="58"/>
        <v>0</v>
      </c>
      <c r="H266" s="927"/>
      <c r="I266" s="928"/>
      <c r="N266" s="925" t="s">
        <v>957</v>
      </c>
      <c r="O266" s="925"/>
      <c r="P266" s="925"/>
      <c r="Q266" s="925"/>
      <c r="R266" s="925"/>
      <c r="S266" s="94" t="s">
        <v>1065</v>
      </c>
      <c r="T266" s="929">
        <f t="shared" si="59"/>
        <v>0</v>
      </c>
      <c r="U266" s="929"/>
      <c r="V266" s="929"/>
      <c r="AI266" s="936" t="s">
        <v>1066</v>
      </c>
      <c r="AJ266" s="937"/>
      <c r="AK266" s="937"/>
      <c r="AL266" s="937"/>
      <c r="AM266" s="938"/>
      <c r="AN266" s="697" t="s">
        <v>1067</v>
      </c>
      <c r="AO266" s="317">
        <f t="shared" si="57"/>
        <v>0</v>
      </c>
      <c r="AP266" s="699"/>
      <c r="AQ266" s="308"/>
      <c r="BA266" s="311"/>
    </row>
    <row r="267" spans="1:54" ht="17.25" customHeight="1" x14ac:dyDescent="0.25">
      <c r="A267" s="925" t="s">
        <v>961</v>
      </c>
      <c r="B267" s="925"/>
      <c r="C267" s="925"/>
      <c r="D267" s="925"/>
      <c r="E267" s="925"/>
      <c r="F267" s="94" t="s">
        <v>1068</v>
      </c>
      <c r="G267" s="926">
        <f t="shared" si="58"/>
        <v>0</v>
      </c>
      <c r="H267" s="927"/>
      <c r="I267" s="928"/>
      <c r="N267" s="925" t="s">
        <v>961</v>
      </c>
      <c r="O267" s="925"/>
      <c r="P267" s="925"/>
      <c r="Q267" s="925"/>
      <c r="R267" s="925"/>
      <c r="S267" s="94" t="s">
        <v>1068</v>
      </c>
      <c r="T267" s="929">
        <f t="shared" si="59"/>
        <v>0</v>
      </c>
      <c r="U267" s="929"/>
      <c r="V267" s="929"/>
      <c r="AI267" s="936" t="s">
        <v>1069</v>
      </c>
      <c r="AJ267" s="937"/>
      <c r="AK267" s="937"/>
      <c r="AL267" s="937"/>
      <c r="AM267" s="938"/>
      <c r="AN267" s="697" t="s">
        <v>1069</v>
      </c>
      <c r="AO267" s="317">
        <f t="shared" si="57"/>
        <v>0</v>
      </c>
      <c r="AP267" s="699"/>
      <c r="AR267" s="907" t="s">
        <v>402</v>
      </c>
      <c r="AS267" s="908"/>
      <c r="AT267" s="908"/>
      <c r="AU267" s="908"/>
      <c r="AV267" s="908"/>
      <c r="AW267" s="909"/>
      <c r="AX267" s="309" t="s">
        <v>299</v>
      </c>
      <c r="AY267" s="310"/>
      <c r="BA267" s="311"/>
    </row>
    <row r="268" spans="1:54" ht="17.25" customHeight="1" thickBot="1" x14ac:dyDescent="0.3">
      <c r="A268" s="947" t="s">
        <v>966</v>
      </c>
      <c r="B268" s="947"/>
      <c r="C268" s="947"/>
      <c r="D268" s="947"/>
      <c r="E268" s="947"/>
      <c r="F268" s="94" t="s">
        <v>1070</v>
      </c>
      <c r="G268" s="926">
        <f t="shared" si="58"/>
        <v>0</v>
      </c>
      <c r="H268" s="927"/>
      <c r="I268" s="928"/>
      <c r="N268" s="947" t="s">
        <v>966</v>
      </c>
      <c r="O268" s="947"/>
      <c r="P268" s="947"/>
      <c r="Q268" s="947"/>
      <c r="R268" s="947"/>
      <c r="S268" s="94" t="s">
        <v>1070</v>
      </c>
      <c r="T268" s="929">
        <f t="shared" si="59"/>
        <v>0</v>
      </c>
      <c r="U268" s="929"/>
      <c r="V268" s="929"/>
      <c r="AI268" s="936" t="s">
        <v>1071</v>
      </c>
      <c r="AJ268" s="937"/>
      <c r="AK268" s="937"/>
      <c r="AL268" s="937"/>
      <c r="AM268" s="938"/>
      <c r="AN268" s="697" t="s">
        <v>1072</v>
      </c>
      <c r="AO268" s="317">
        <f t="shared" si="57"/>
        <v>0</v>
      </c>
      <c r="AP268" s="699"/>
      <c r="AR268" s="948" t="s">
        <v>1073</v>
      </c>
      <c r="AS268" s="949"/>
      <c r="AT268" s="949"/>
      <c r="AU268" s="949"/>
      <c r="AV268" s="950"/>
      <c r="AW268" s="706" t="s">
        <v>1074</v>
      </c>
      <c r="AX268" s="317">
        <f>COUNTIF($A$1:$GO$103,AW268)</f>
        <v>0</v>
      </c>
      <c r="AY268" s="707"/>
      <c r="BA268" s="311"/>
    </row>
    <row r="269" spans="1:54" ht="17.25" customHeight="1" thickBot="1" x14ac:dyDescent="0.3">
      <c r="A269" s="942" t="s">
        <v>299</v>
      </c>
      <c r="B269" s="943"/>
      <c r="C269" s="943"/>
      <c r="D269" s="943"/>
      <c r="E269" s="943"/>
      <c r="F269" s="678"/>
      <c r="G269" s="922">
        <f>SUM(G263:I268)</f>
        <v>0</v>
      </c>
      <c r="H269" s="923"/>
      <c r="I269" s="924"/>
      <c r="N269" s="942" t="s">
        <v>299</v>
      </c>
      <c r="O269" s="943"/>
      <c r="P269" s="943"/>
      <c r="Q269" s="943"/>
      <c r="R269" s="943"/>
      <c r="S269" s="678"/>
      <c r="T269" s="922">
        <f>SUM(T263:V268)</f>
        <v>0</v>
      </c>
      <c r="U269" s="923"/>
      <c r="V269" s="924"/>
      <c r="AI269" s="936" t="s">
        <v>1075</v>
      </c>
      <c r="AJ269" s="937"/>
      <c r="AK269" s="937"/>
      <c r="AL269" s="937"/>
      <c r="AM269" s="938"/>
      <c r="AN269" s="697" t="s">
        <v>1075</v>
      </c>
      <c r="AO269" s="317">
        <f t="shared" si="57"/>
        <v>0</v>
      </c>
      <c r="AP269" s="699"/>
      <c r="AR269" s="944" t="s">
        <v>1076</v>
      </c>
      <c r="AS269" s="945"/>
      <c r="AT269" s="945"/>
      <c r="AU269" s="945"/>
      <c r="AV269" s="946"/>
      <c r="AW269" s="708" t="s">
        <v>1077</v>
      </c>
      <c r="AX269" s="317">
        <f>COUNTIF($A$1:$GO$103,AW269)</f>
        <v>0</v>
      </c>
      <c r="AY269" s="707"/>
      <c r="BA269" s="311"/>
    </row>
    <row r="270" spans="1:54" ht="17.25" customHeight="1" thickBot="1" x14ac:dyDescent="0.3">
      <c r="A270" s="933" t="s">
        <v>1078</v>
      </c>
      <c r="B270" s="934"/>
      <c r="C270" s="934"/>
      <c r="D270" s="934"/>
      <c r="E270" s="935"/>
      <c r="F270" s="33"/>
      <c r="G270" s="33"/>
      <c r="H270" s="33"/>
      <c r="I270" s="33"/>
      <c r="N270" s="933" t="s">
        <v>1078</v>
      </c>
      <c r="O270" s="934"/>
      <c r="P270" s="934"/>
      <c r="Q270" s="934"/>
      <c r="R270" s="935"/>
      <c r="S270" s="33"/>
      <c r="T270" s="33"/>
      <c r="U270" s="33"/>
      <c r="V270" s="33"/>
      <c r="AI270" s="936" t="s">
        <v>1079</v>
      </c>
      <c r="AJ270" s="937"/>
      <c r="AK270" s="937"/>
      <c r="AL270" s="937"/>
      <c r="AM270" s="938"/>
      <c r="AN270" s="697" t="s">
        <v>1080</v>
      </c>
      <c r="AO270" s="317">
        <f t="shared" si="57"/>
        <v>0</v>
      </c>
      <c r="AP270" s="699"/>
      <c r="AR270" s="939" t="s">
        <v>1081</v>
      </c>
      <c r="AS270" s="940"/>
      <c r="AT270" s="940"/>
      <c r="AU270" s="940"/>
      <c r="AV270" s="941"/>
      <c r="AW270" s="501"/>
      <c r="AX270" s="502">
        <f>SUM(AX268:AX269)</f>
        <v>0</v>
      </c>
      <c r="BA270" s="311"/>
    </row>
    <row r="271" spans="1:54" ht="17.25" customHeight="1" x14ac:dyDescent="0.25">
      <c r="A271" s="925" t="s">
        <v>942</v>
      </c>
      <c r="B271" s="925"/>
      <c r="C271" s="925"/>
      <c r="D271" s="925"/>
      <c r="E271" s="925"/>
      <c r="F271" s="94" t="s">
        <v>1082</v>
      </c>
      <c r="G271" s="926">
        <f>COUNTIF($A$4:$M$42,F271)+COUNTIF($A$43:$O$81,F271)+COUNTIF($N$4:$T$19,F271)+COUNTIF($O$20:$S$23,F271)+COUNTIF($N$24:$Q$25,F271)+COUNTIF($N$26:$P$26,F271)+COUNTIF($P$42,F271)+COUNTIF($T$21:$T$22,F271)+COUNTIF($R$24,F271)+COUNTIF($N$27:$O$28,F271)</f>
        <v>0</v>
      </c>
      <c r="H271" s="927"/>
      <c r="I271" s="928"/>
      <c r="N271" s="925" t="s">
        <v>942</v>
      </c>
      <c r="O271" s="925"/>
      <c r="P271" s="925"/>
      <c r="Q271" s="925"/>
      <c r="R271" s="925"/>
      <c r="S271" s="94" t="s">
        <v>1082</v>
      </c>
      <c r="T271" s="929">
        <f>COUNTIF($T$23:$BI$73,S271)+COUNTIF($N$29:$S$39,S271)+COUNTIF($P$47:$S$68,S271)+COUNTIF($Q$40:$S$42,S271)+COUNTIF($P$27:$S$28,S271)+COUNTIF($R$25:$S$25,S271)+COUNTIF($S$24:$S$24,S271)</f>
        <v>0</v>
      </c>
      <c r="U271" s="929"/>
      <c r="V271" s="929"/>
      <c r="AI271" s="936" t="s">
        <v>1083</v>
      </c>
      <c r="AJ271" s="937"/>
      <c r="AK271" s="937"/>
      <c r="AL271" s="937"/>
      <c r="AM271" s="938"/>
      <c r="AN271" s="697" t="s">
        <v>1084</v>
      </c>
      <c r="AO271" s="317">
        <f t="shared" si="57"/>
        <v>0</v>
      </c>
      <c r="AP271" s="699"/>
      <c r="AY271" s="308"/>
      <c r="BA271" s="311"/>
    </row>
    <row r="272" spans="1:54" ht="17.25" customHeight="1" x14ac:dyDescent="0.25">
      <c r="A272" s="925" t="s">
        <v>957</v>
      </c>
      <c r="B272" s="925"/>
      <c r="C272" s="925"/>
      <c r="D272" s="925"/>
      <c r="E272" s="925"/>
      <c r="F272" s="94" t="s">
        <v>1085</v>
      </c>
      <c r="G272" s="926">
        <f>COUNTIF($A$4:$M$42,F272)+COUNTIF($A$43:$O$81,F272)+COUNTIF($N$4:$T$19,F272)+COUNTIF($O$20:$S$23,F272)+COUNTIF($N$24:$Q$25,F272)+COUNTIF($N$26:$P$26,F272)+COUNTIF($P$42,F272)+COUNTIF($T$21:$T$22,F272)+COUNTIF($R$24,F272)+COUNTIF($N$27:$O$28,F272)</f>
        <v>0</v>
      </c>
      <c r="H272" s="927"/>
      <c r="I272" s="928"/>
      <c r="N272" s="925" t="s">
        <v>957</v>
      </c>
      <c r="O272" s="925"/>
      <c r="P272" s="925"/>
      <c r="Q272" s="925"/>
      <c r="R272" s="925"/>
      <c r="S272" s="94" t="s">
        <v>1085</v>
      </c>
      <c r="T272" s="929">
        <f>COUNTIF($T$23:$BI$73,S272)+COUNTIF($N$29:$S$39,S272)+COUNTIF($P$47:$S$68,S272)+COUNTIF($Q$40:$S$42,S272)+COUNTIF($P$27:$S$28,S272)+COUNTIF($R$25:$S$25,S272)+COUNTIF($S$24:$S$24,S272)</f>
        <v>0</v>
      </c>
      <c r="U272" s="929"/>
      <c r="V272" s="929"/>
      <c r="AI272" s="893" t="s">
        <v>1086</v>
      </c>
      <c r="AJ272" s="894"/>
      <c r="AK272" s="894"/>
      <c r="AL272" s="894"/>
      <c r="AM272" s="895"/>
      <c r="AN272" s="501"/>
      <c r="AO272" s="502">
        <f>SUM(AO256:AO271)</f>
        <v>0</v>
      </c>
      <c r="AR272" s="907" t="s">
        <v>361</v>
      </c>
      <c r="AS272" s="908"/>
      <c r="AT272" s="908"/>
      <c r="AU272" s="908"/>
      <c r="AV272" s="908"/>
      <c r="AW272" s="909"/>
      <c r="AX272" s="309" t="s">
        <v>299</v>
      </c>
      <c r="AY272" s="310"/>
      <c r="BA272" s="311"/>
    </row>
    <row r="273" spans="1:53" ht="17.25" customHeight="1" thickBot="1" x14ac:dyDescent="0.3">
      <c r="A273" s="919" t="s">
        <v>299</v>
      </c>
      <c r="B273" s="920"/>
      <c r="C273" s="920"/>
      <c r="D273" s="920"/>
      <c r="E273" s="921"/>
      <c r="F273" s="678"/>
      <c r="G273" s="922">
        <f>SUM(G271:I272)</f>
        <v>0</v>
      </c>
      <c r="H273" s="923"/>
      <c r="I273" s="924"/>
      <c r="N273" s="919" t="s">
        <v>299</v>
      </c>
      <c r="O273" s="920"/>
      <c r="P273" s="920"/>
      <c r="Q273" s="920"/>
      <c r="R273" s="921"/>
      <c r="S273" s="678"/>
      <c r="T273" s="922">
        <f>SUM(T271:V272)</f>
        <v>0</v>
      </c>
      <c r="U273" s="923"/>
      <c r="V273" s="924"/>
      <c r="AI273" s="692"/>
      <c r="AR273" s="911" t="s">
        <v>1087</v>
      </c>
      <c r="AS273" s="912"/>
      <c r="AT273" s="912"/>
      <c r="AU273" s="912"/>
      <c r="AV273" s="913"/>
      <c r="AW273" s="709" t="s">
        <v>1088</v>
      </c>
      <c r="AX273" s="317">
        <f t="shared" ref="AX273:AX278" si="60">COUNTIF($A$1:$GO$103,AW273)</f>
        <v>0</v>
      </c>
      <c r="AY273" s="710"/>
      <c r="BA273" s="311"/>
    </row>
    <row r="274" spans="1:53" ht="17.25" customHeight="1" thickBot="1" x14ac:dyDescent="0.3">
      <c r="A274" s="930" t="s">
        <v>1089</v>
      </c>
      <c r="B274" s="931"/>
      <c r="C274" s="931"/>
      <c r="D274" s="931"/>
      <c r="E274" s="932"/>
      <c r="F274" s="33"/>
      <c r="G274" s="33"/>
      <c r="H274" s="33"/>
      <c r="I274" s="33"/>
      <c r="N274" s="930" t="s">
        <v>1089</v>
      </c>
      <c r="O274" s="931"/>
      <c r="P274" s="931"/>
      <c r="Q274" s="931"/>
      <c r="R274" s="932"/>
      <c r="S274" s="33"/>
      <c r="T274" s="33"/>
      <c r="U274" s="33"/>
      <c r="V274" s="33"/>
      <c r="AI274" s="918"/>
      <c r="AJ274" s="908"/>
      <c r="AK274" s="908"/>
      <c r="AL274" s="908"/>
      <c r="AM274" s="908"/>
      <c r="AN274" s="904"/>
      <c r="AO274" s="309"/>
      <c r="AP274" s="310"/>
      <c r="AR274" s="911" t="s">
        <v>1090</v>
      </c>
      <c r="AS274" s="912"/>
      <c r="AT274" s="912"/>
      <c r="AU274" s="912"/>
      <c r="AV274" s="913"/>
      <c r="AW274" s="711" t="s">
        <v>1091</v>
      </c>
      <c r="AX274" s="317">
        <f t="shared" si="60"/>
        <v>0</v>
      </c>
      <c r="AY274" s="710"/>
      <c r="BA274" s="311"/>
    </row>
    <row r="275" spans="1:53" ht="17.25" customHeight="1" x14ac:dyDescent="0.25">
      <c r="A275" s="925" t="s">
        <v>942</v>
      </c>
      <c r="B275" s="925"/>
      <c r="C275" s="925"/>
      <c r="D275" s="925"/>
      <c r="E275" s="925"/>
      <c r="F275" s="94" t="s">
        <v>1092</v>
      </c>
      <c r="G275" s="926">
        <f>COUNTIF($A$4:$M$42,F275)+COUNTIF($A$43:$O$81,F275)+COUNTIF($N$4:$T$19,F275)+COUNTIF($O$20:$S$23,F275)+COUNTIF($N$24:$Q$25,F275)+COUNTIF($N$26:$P$26,F275)+COUNTIF($P$42,F275)+COUNTIF($T$21:$T$22,F275)+COUNTIF($R$24,F275)+COUNTIF($N$27:$O$28,F275)</f>
        <v>0</v>
      </c>
      <c r="H275" s="927"/>
      <c r="I275" s="928"/>
      <c r="N275" s="925" t="s">
        <v>942</v>
      </c>
      <c r="O275" s="925"/>
      <c r="P275" s="925"/>
      <c r="Q275" s="925"/>
      <c r="R275" s="925"/>
      <c r="S275" s="94" t="s">
        <v>1092</v>
      </c>
      <c r="T275" s="929">
        <f>COUNTIF($T$23:$BI$73,S275)+COUNTIF($N$29:$S$39,S275)+COUNTIF($P$47:$S$68,S275)+COUNTIF($Q$40:$S$42,S275)+COUNTIF($P$27:$S$28,S275)+COUNTIF($R$25:$S$25,S275)+COUNTIF($S$24:$S$24,S275)</f>
        <v>0</v>
      </c>
      <c r="U275" s="929"/>
      <c r="V275" s="929"/>
      <c r="AI275" s="914"/>
      <c r="AJ275" s="915"/>
      <c r="AK275" s="915"/>
      <c r="AL275" s="915"/>
      <c r="AM275" s="915"/>
      <c r="AN275" s="497"/>
      <c r="AO275" s="317"/>
      <c r="AP275" s="712"/>
      <c r="AR275" s="911" t="s">
        <v>1093</v>
      </c>
      <c r="AS275" s="912"/>
      <c r="AT275" s="912"/>
      <c r="AU275" s="912"/>
      <c r="AV275" s="913"/>
      <c r="AW275" s="713" t="s">
        <v>1094</v>
      </c>
      <c r="AX275" s="317">
        <f t="shared" si="60"/>
        <v>0</v>
      </c>
      <c r="AY275" s="710"/>
      <c r="BA275" s="311"/>
    </row>
    <row r="276" spans="1:53" ht="17.25" customHeight="1" x14ac:dyDescent="0.25">
      <c r="A276" s="925" t="s">
        <v>957</v>
      </c>
      <c r="B276" s="925"/>
      <c r="C276" s="925"/>
      <c r="D276" s="925"/>
      <c r="E276" s="925"/>
      <c r="F276" s="94" t="s">
        <v>1095</v>
      </c>
      <c r="G276" s="926">
        <f>COUNTIF($A$4:$M$42,F276)+COUNTIF($A$43:$O$81,F276)+COUNTIF($N$4:$T$19,F276)+COUNTIF($O$20:$S$23,F276)+COUNTIF($N$24:$Q$25,F276)+COUNTIF($N$26:$P$26,F276)+COUNTIF($P$42,F276)+COUNTIF($T$21:$T$22,F276)+COUNTIF($R$24,F276)+COUNTIF($N$27:$O$28,F276)</f>
        <v>0</v>
      </c>
      <c r="H276" s="927"/>
      <c r="I276" s="928"/>
      <c r="N276" s="925" t="s">
        <v>957</v>
      </c>
      <c r="O276" s="925"/>
      <c r="P276" s="925"/>
      <c r="Q276" s="925"/>
      <c r="R276" s="925"/>
      <c r="S276" s="94" t="s">
        <v>1095</v>
      </c>
      <c r="T276" s="929">
        <f>COUNTIF($T$23:$BI$73,S276)+COUNTIF($N$29:$S$39,S276)+COUNTIF($P$47:$S$68,S276)+COUNTIF($Q$40:$S$42,S276)+COUNTIF($P$27:$S$28,S276)+COUNTIF($R$25:$S$25,S276)+COUNTIF($S$24:$S$24,S276)</f>
        <v>0</v>
      </c>
      <c r="U276" s="929"/>
      <c r="V276" s="929"/>
      <c r="AI276" s="893"/>
      <c r="AJ276" s="894"/>
      <c r="AK276" s="894"/>
      <c r="AL276" s="894"/>
      <c r="AM276" s="895"/>
      <c r="AN276" s="501"/>
      <c r="AO276" s="502"/>
      <c r="AR276" s="911" t="s">
        <v>1096</v>
      </c>
      <c r="AS276" s="912"/>
      <c r="AT276" s="912"/>
      <c r="AU276" s="912"/>
      <c r="AV276" s="913"/>
      <c r="AW276" s="714" t="s">
        <v>1097</v>
      </c>
      <c r="AX276" s="317">
        <f t="shared" si="60"/>
        <v>0</v>
      </c>
      <c r="AY276" s="710"/>
      <c r="BA276" s="311"/>
    </row>
    <row r="277" spans="1:53" ht="17.25" customHeight="1" thickBot="1" x14ac:dyDescent="0.3">
      <c r="A277" s="919" t="s">
        <v>299</v>
      </c>
      <c r="B277" s="920"/>
      <c r="C277" s="920"/>
      <c r="D277" s="920"/>
      <c r="E277" s="921"/>
      <c r="F277" s="678"/>
      <c r="G277" s="922">
        <f>SUM(G275:I276)</f>
        <v>0</v>
      </c>
      <c r="H277" s="923"/>
      <c r="I277" s="924"/>
      <c r="N277" s="919" t="s">
        <v>299</v>
      </c>
      <c r="O277" s="920"/>
      <c r="P277" s="920"/>
      <c r="Q277" s="920"/>
      <c r="R277" s="921"/>
      <c r="S277" s="678"/>
      <c r="T277" s="922">
        <f>SUM(T275:V276)</f>
        <v>0</v>
      </c>
      <c r="U277" s="923"/>
      <c r="V277" s="924"/>
      <c r="AI277" s="692"/>
      <c r="AR277" s="911" t="s">
        <v>1098</v>
      </c>
      <c r="AS277" s="912"/>
      <c r="AT277" s="912"/>
      <c r="AU277" s="912"/>
      <c r="AV277" s="913"/>
      <c r="AW277" s="715" t="s">
        <v>1099</v>
      </c>
      <c r="AX277" s="317">
        <f t="shared" si="60"/>
        <v>0</v>
      </c>
      <c r="AY277" s="710"/>
      <c r="BA277" s="311"/>
    </row>
    <row r="278" spans="1:53" ht="17.25" customHeight="1" x14ac:dyDescent="0.25">
      <c r="M278" s="268"/>
      <c r="AI278" s="692"/>
      <c r="AR278" s="911" t="s">
        <v>1100</v>
      </c>
      <c r="AS278" s="912"/>
      <c r="AT278" s="912"/>
      <c r="AU278" s="912"/>
      <c r="AV278" s="913"/>
      <c r="AW278" s="716" t="s">
        <v>1101</v>
      </c>
      <c r="AX278" s="317">
        <f t="shared" si="60"/>
        <v>0</v>
      </c>
      <c r="AY278" s="710"/>
      <c r="BA278" s="311"/>
    </row>
    <row r="279" spans="1:53" ht="17.25" customHeight="1" x14ac:dyDescent="0.25">
      <c r="M279" s="268"/>
      <c r="AI279" s="918" t="s">
        <v>809</v>
      </c>
      <c r="AJ279" s="908"/>
      <c r="AK279" s="908"/>
      <c r="AL279" s="908"/>
      <c r="AM279" s="908"/>
      <c r="AN279" s="909"/>
      <c r="AO279" s="309" t="s">
        <v>299</v>
      </c>
      <c r="AP279" s="310"/>
      <c r="AR279" s="907" t="s">
        <v>1102</v>
      </c>
      <c r="AS279" s="908"/>
      <c r="AT279" s="908"/>
      <c r="AU279" s="908"/>
      <c r="AV279" s="909"/>
      <c r="AW279" s="501"/>
      <c r="AX279" s="502">
        <f>SUM(AX273:AX278)</f>
        <v>0</v>
      </c>
      <c r="BA279" s="311"/>
    </row>
    <row r="280" spans="1:53" ht="17.25" customHeight="1" x14ac:dyDescent="0.25">
      <c r="M280" s="268"/>
      <c r="AI280" s="914" t="s">
        <v>1103</v>
      </c>
      <c r="AJ280" s="915"/>
      <c r="AK280" s="915"/>
      <c r="AL280" s="915"/>
      <c r="AM280" s="916"/>
      <c r="AN280" s="717" t="s">
        <v>1104</v>
      </c>
      <c r="AO280" s="317">
        <f>COUNTIF($A$1:$GO$103,AN280)</f>
        <v>0</v>
      </c>
      <c r="AP280" s="718"/>
      <c r="BA280" s="311"/>
    </row>
    <row r="281" spans="1:53" ht="17.25" customHeight="1" x14ac:dyDescent="0.25">
      <c r="M281" s="268"/>
      <c r="AI281" s="914" t="s">
        <v>1105</v>
      </c>
      <c r="AJ281" s="915"/>
      <c r="AK281" s="915"/>
      <c r="AL281" s="915"/>
      <c r="AM281" s="916"/>
      <c r="AN281" s="719" t="s">
        <v>1106</v>
      </c>
      <c r="AO281" s="317">
        <f>COUNTIF($A$1:$GO$103,AN281)</f>
        <v>0</v>
      </c>
      <c r="AP281" s="720"/>
      <c r="AQ281" s="308"/>
      <c r="AR281" s="907" t="s">
        <v>407</v>
      </c>
      <c r="AS281" s="908"/>
      <c r="AT281" s="908"/>
      <c r="AU281" s="908"/>
      <c r="AV281" s="908"/>
      <c r="AW281" s="909"/>
      <c r="AX281" s="309" t="s">
        <v>299</v>
      </c>
      <c r="AY281" s="310"/>
      <c r="BA281" s="311"/>
    </row>
    <row r="282" spans="1:53" ht="17.25" customHeight="1" x14ac:dyDescent="0.25">
      <c r="M282" s="268"/>
      <c r="AI282" s="914" t="s">
        <v>1107</v>
      </c>
      <c r="AJ282" s="915"/>
      <c r="AK282" s="915"/>
      <c r="AL282" s="915"/>
      <c r="AM282" s="916"/>
      <c r="AN282" s="721" t="s">
        <v>1108</v>
      </c>
      <c r="AO282" s="317">
        <f>COUNTIF($A$1:$GO$103,AN282)</f>
        <v>0</v>
      </c>
      <c r="AP282" s="720"/>
      <c r="AR282" s="911" t="s">
        <v>1109</v>
      </c>
      <c r="AS282" s="912"/>
      <c r="AT282" s="912"/>
      <c r="AU282" s="912"/>
      <c r="AV282" s="913"/>
      <c r="AW282" s="722" t="s">
        <v>408</v>
      </c>
      <c r="AX282" s="317">
        <f>COUNTIF($A$1:$GO$103,AW282)</f>
        <v>0</v>
      </c>
      <c r="AY282" s="710"/>
      <c r="BA282" s="311"/>
    </row>
    <row r="283" spans="1:53" ht="17.25" customHeight="1" x14ac:dyDescent="0.25">
      <c r="M283" s="268"/>
      <c r="AI283" s="914" t="s">
        <v>1110</v>
      </c>
      <c r="AJ283" s="915"/>
      <c r="AK283" s="915"/>
      <c r="AL283" s="915"/>
      <c r="AM283" s="916"/>
      <c r="AN283" s="723" t="s">
        <v>1111</v>
      </c>
      <c r="AO283" s="317">
        <f>COUNTIF($A$1:$GO$103,AN283)</f>
        <v>0</v>
      </c>
      <c r="AP283" s="720"/>
      <c r="AR283" s="907" t="s">
        <v>1112</v>
      </c>
      <c r="AS283" s="908"/>
      <c r="AT283" s="908"/>
      <c r="AU283" s="908"/>
      <c r="AV283" s="909"/>
      <c r="AW283" s="501"/>
      <c r="AX283" s="502">
        <f>SUM(AX282:AX282)</f>
        <v>0</v>
      </c>
      <c r="BA283" s="311"/>
    </row>
    <row r="284" spans="1:53" ht="17.25" customHeight="1" x14ac:dyDescent="0.25">
      <c r="M284" s="268"/>
      <c r="AI284" s="914" t="s">
        <v>1113</v>
      </c>
      <c r="AJ284" s="915"/>
      <c r="AK284" s="915"/>
      <c r="AL284" s="915"/>
      <c r="AM284" s="916"/>
      <c r="AN284" s="724" t="s">
        <v>1114</v>
      </c>
      <c r="AO284" s="317">
        <f>COUNTIF($A$1:$GO$103,AN284)</f>
        <v>0</v>
      </c>
      <c r="AP284" s="720"/>
      <c r="AR284" s="308"/>
      <c r="AS284" s="308"/>
      <c r="AT284" s="308"/>
      <c r="AU284" s="308"/>
      <c r="AV284" s="308"/>
      <c r="AW284" s="308"/>
      <c r="AX284" s="308"/>
      <c r="AY284" s="308"/>
      <c r="BA284" s="311"/>
    </row>
    <row r="285" spans="1:53" ht="17.25" customHeight="1" x14ac:dyDescent="0.25">
      <c r="M285" s="268"/>
      <c r="AI285" s="893" t="s">
        <v>1115</v>
      </c>
      <c r="AJ285" s="894"/>
      <c r="AK285" s="894"/>
      <c r="AL285" s="894"/>
      <c r="AM285" s="895"/>
      <c r="AN285" s="501"/>
      <c r="AO285" s="502">
        <f>SUM(AO280:AO284)</f>
        <v>0</v>
      </c>
      <c r="AP285" s="308"/>
      <c r="AR285" s="907" t="s">
        <v>420</v>
      </c>
      <c r="AS285" s="908"/>
      <c r="AT285" s="908"/>
      <c r="AU285" s="908"/>
      <c r="AV285" s="908"/>
      <c r="AW285" s="909"/>
      <c r="AX285" s="309" t="s">
        <v>299</v>
      </c>
      <c r="AY285" s="310"/>
      <c r="BA285" s="311"/>
    </row>
    <row r="286" spans="1:53" ht="17.25" customHeight="1" x14ac:dyDescent="0.25">
      <c r="M286" s="268"/>
      <c r="AI286" s="692"/>
      <c r="AR286" s="917" t="s">
        <v>420</v>
      </c>
      <c r="AS286" s="912"/>
      <c r="AT286" s="912"/>
      <c r="AU286" s="912"/>
      <c r="AV286" s="913"/>
      <c r="AW286" s="725" t="s">
        <v>421</v>
      </c>
      <c r="AX286" s="317">
        <f>COUNTIF($A$1:$GO$103,AW286)</f>
        <v>0</v>
      </c>
      <c r="AY286" s="726"/>
      <c r="BA286" s="679"/>
    </row>
    <row r="287" spans="1:53" ht="17.25" customHeight="1" x14ac:dyDescent="0.25">
      <c r="M287" s="268"/>
      <c r="AI287" s="902" t="s">
        <v>426</v>
      </c>
      <c r="AJ287" s="903"/>
      <c r="AK287" s="903"/>
      <c r="AL287" s="903"/>
      <c r="AM287" s="903"/>
      <c r="AN287" s="904"/>
      <c r="AO287" s="309" t="s">
        <v>299</v>
      </c>
      <c r="AP287" s="310"/>
      <c r="AR287" s="907" t="s">
        <v>1116</v>
      </c>
      <c r="AS287" s="908"/>
      <c r="AT287" s="908"/>
      <c r="AU287" s="908"/>
      <c r="AV287" s="909"/>
      <c r="AW287" s="501"/>
      <c r="AX287" s="502">
        <f>SUM(AX286:AX286)</f>
        <v>0</v>
      </c>
      <c r="BA287" s="679"/>
    </row>
    <row r="288" spans="1:53" ht="17.25" customHeight="1" x14ac:dyDescent="0.25">
      <c r="M288" s="268"/>
      <c r="AI288" s="896" t="s">
        <v>1117</v>
      </c>
      <c r="AJ288" s="897"/>
      <c r="AK288" s="897"/>
      <c r="AL288" s="897"/>
      <c r="AM288" s="897"/>
      <c r="AN288" s="727" t="s">
        <v>1118</v>
      </c>
      <c r="AO288" s="317">
        <f>COUNTIF($A$1:$GO$103,AN288)</f>
        <v>0</v>
      </c>
      <c r="AP288" s="728"/>
      <c r="BA288" s="679"/>
    </row>
    <row r="289" spans="13:53" ht="17.25" customHeight="1" x14ac:dyDescent="0.25">
      <c r="M289" s="268"/>
      <c r="AA289" s="268"/>
      <c r="AI289" s="896" t="s">
        <v>1119</v>
      </c>
      <c r="AJ289" s="897"/>
      <c r="AK289" s="897"/>
      <c r="AL289" s="897"/>
      <c r="AM289" s="905"/>
      <c r="AN289" s="729" t="s">
        <v>1120</v>
      </c>
      <c r="AO289" s="317">
        <f>COUNTIF($A$1:$GO$103,AN289)</f>
        <v>0</v>
      </c>
      <c r="AP289" s="728"/>
      <c r="AR289" s="907" t="s">
        <v>733</v>
      </c>
      <c r="AS289" s="908"/>
      <c r="AT289" s="908"/>
      <c r="AU289" s="908"/>
      <c r="AV289" s="908"/>
      <c r="AW289" s="909"/>
      <c r="AX289" s="309" t="s">
        <v>299</v>
      </c>
      <c r="AY289" s="310"/>
      <c r="BA289" s="679"/>
    </row>
    <row r="290" spans="13:53" ht="17.25" customHeight="1" x14ac:dyDescent="0.25">
      <c r="M290" s="268"/>
      <c r="AA290" s="268"/>
      <c r="AI290" s="893" t="s">
        <v>1121</v>
      </c>
      <c r="AJ290" s="894"/>
      <c r="AK290" s="894"/>
      <c r="AL290" s="894"/>
      <c r="AM290" s="895"/>
      <c r="AN290" s="501"/>
      <c r="AO290" s="502">
        <f>SUM(AO288:AO289)</f>
        <v>0</v>
      </c>
      <c r="AP290" s="308"/>
      <c r="AR290" s="911" t="s">
        <v>733</v>
      </c>
      <c r="AS290" s="912"/>
      <c r="AT290" s="912"/>
      <c r="AU290" s="912"/>
      <c r="AV290" s="913"/>
      <c r="AW290" s="730" t="s">
        <v>1122</v>
      </c>
      <c r="AX290" s="317">
        <f>COUNTIF($A$1:$GO$103,AW290)</f>
        <v>0</v>
      </c>
      <c r="AY290" s="731"/>
      <c r="BA290" s="679"/>
    </row>
    <row r="291" spans="13:53" ht="17.25" customHeight="1" x14ac:dyDescent="0.25">
      <c r="M291" s="268"/>
      <c r="AA291" s="268"/>
      <c r="AI291" s="692"/>
      <c r="AR291" s="907" t="s">
        <v>1123</v>
      </c>
      <c r="AS291" s="908"/>
      <c r="AT291" s="908"/>
      <c r="AU291" s="908"/>
      <c r="AV291" s="909"/>
      <c r="AW291" s="732"/>
      <c r="AX291" s="502">
        <f>SUM(AX290:AX290)</f>
        <v>0</v>
      </c>
      <c r="BA291" s="679"/>
    </row>
    <row r="292" spans="13:53" ht="17.25" customHeight="1" x14ac:dyDescent="0.25">
      <c r="M292" s="268"/>
      <c r="AA292" s="268"/>
      <c r="AI292" s="902" t="s">
        <v>607</v>
      </c>
      <c r="AJ292" s="903"/>
      <c r="AK292" s="903"/>
      <c r="AL292" s="903"/>
      <c r="AM292" s="903"/>
      <c r="AN292" s="904"/>
      <c r="AO292" s="309" t="s">
        <v>299</v>
      </c>
      <c r="AP292" s="310"/>
      <c r="BA292" s="679"/>
    </row>
    <row r="293" spans="13:53" ht="17.25" customHeight="1" x14ac:dyDescent="0.25">
      <c r="M293" s="268"/>
      <c r="AA293" s="268"/>
      <c r="AI293" s="896" t="s">
        <v>1124</v>
      </c>
      <c r="AJ293" s="897"/>
      <c r="AK293" s="897"/>
      <c r="AL293" s="897"/>
      <c r="AM293" s="898"/>
      <c r="AN293" s="717" t="s">
        <v>1125</v>
      </c>
      <c r="AO293" s="317">
        <f t="shared" ref="AO293:AO302" si="61">COUNTIF($A$1:$GO$103,AN293)</f>
        <v>0</v>
      </c>
      <c r="AP293" s="733"/>
      <c r="AR293" s="907" t="s">
        <v>454</v>
      </c>
      <c r="AS293" s="908"/>
      <c r="AT293" s="908"/>
      <c r="AU293" s="908"/>
      <c r="AV293" s="908"/>
      <c r="AW293" s="909"/>
      <c r="AX293" s="309" t="s">
        <v>299</v>
      </c>
      <c r="AY293" s="310"/>
      <c r="BA293" s="679"/>
    </row>
    <row r="294" spans="13:53" ht="17.25" customHeight="1" x14ac:dyDescent="0.25">
      <c r="M294" s="268"/>
      <c r="AA294" s="268"/>
      <c r="AI294" s="896" t="s">
        <v>1126</v>
      </c>
      <c r="AJ294" s="897"/>
      <c r="AK294" s="897"/>
      <c r="AL294" s="897"/>
      <c r="AM294" s="898"/>
      <c r="AN294" s="734" t="s">
        <v>1127</v>
      </c>
      <c r="AO294" s="317">
        <f t="shared" si="61"/>
        <v>0</v>
      </c>
      <c r="AP294" s="733"/>
      <c r="AR294" s="911" t="s">
        <v>1128</v>
      </c>
      <c r="AS294" s="912"/>
      <c r="AT294" s="912"/>
      <c r="AU294" s="912"/>
      <c r="AV294" s="913"/>
      <c r="AW294" s="735" t="s">
        <v>1129</v>
      </c>
      <c r="AX294" s="317">
        <f>COUNTIF($A$1:$GO$103,AW294)</f>
        <v>0</v>
      </c>
      <c r="AY294" s="736"/>
      <c r="BA294" s="679"/>
    </row>
    <row r="295" spans="13:53" ht="17.25" customHeight="1" x14ac:dyDescent="0.25">
      <c r="M295" s="268"/>
      <c r="AA295" s="268"/>
      <c r="AI295" s="896" t="s">
        <v>1130</v>
      </c>
      <c r="AJ295" s="897"/>
      <c r="AK295" s="897"/>
      <c r="AL295" s="897"/>
      <c r="AM295" s="898"/>
      <c r="AN295" s="737" t="s">
        <v>1131</v>
      </c>
      <c r="AO295" s="317">
        <f t="shared" si="61"/>
        <v>0</v>
      </c>
      <c r="AP295" s="733"/>
      <c r="AR295" s="907" t="s">
        <v>1132</v>
      </c>
      <c r="AS295" s="908"/>
      <c r="AT295" s="908"/>
      <c r="AU295" s="908"/>
      <c r="AV295" s="909"/>
      <c r="AW295" s="501"/>
      <c r="AX295" s="502">
        <f>SUM(AX294:AX294)</f>
        <v>0</v>
      </c>
      <c r="BA295" s="679"/>
    </row>
    <row r="296" spans="13:53" ht="17.25" customHeight="1" x14ac:dyDescent="0.25">
      <c r="M296" s="268"/>
      <c r="AA296" s="268"/>
      <c r="AI296" s="896" t="s">
        <v>1133</v>
      </c>
      <c r="AJ296" s="897"/>
      <c r="AK296" s="897"/>
      <c r="AL296" s="897"/>
      <c r="AM296" s="898"/>
      <c r="AN296" s="738" t="s">
        <v>1134</v>
      </c>
      <c r="AO296" s="317">
        <f t="shared" si="61"/>
        <v>0</v>
      </c>
      <c r="AP296" s="733"/>
      <c r="BA296" s="679"/>
    </row>
    <row r="297" spans="13:53" ht="17.25" customHeight="1" x14ac:dyDescent="0.25">
      <c r="M297" s="268"/>
      <c r="AA297" s="268"/>
      <c r="AI297" s="896" t="s">
        <v>1135</v>
      </c>
      <c r="AJ297" s="897"/>
      <c r="AK297" s="897"/>
      <c r="AL297" s="897"/>
      <c r="AM297" s="898"/>
      <c r="AN297" s="739" t="s">
        <v>1136</v>
      </c>
      <c r="AO297" s="317">
        <f t="shared" si="61"/>
        <v>0</v>
      </c>
      <c r="AP297" s="733"/>
      <c r="AR297" s="910" t="s">
        <v>344</v>
      </c>
      <c r="AS297" s="903"/>
      <c r="AT297" s="903"/>
      <c r="AU297" s="903"/>
      <c r="AV297" s="903"/>
      <c r="AW297" s="904"/>
      <c r="AX297" s="309" t="s">
        <v>299</v>
      </c>
      <c r="AY297" s="310"/>
      <c r="BA297" s="679"/>
    </row>
    <row r="298" spans="13:53" ht="17.25" customHeight="1" x14ac:dyDescent="0.25">
      <c r="M298" s="268"/>
      <c r="AA298" s="268"/>
      <c r="AI298" s="896" t="s">
        <v>1137</v>
      </c>
      <c r="AJ298" s="897"/>
      <c r="AK298" s="897"/>
      <c r="AL298" s="897"/>
      <c r="AM298" s="898"/>
      <c r="AN298" s="740" t="s">
        <v>1138</v>
      </c>
      <c r="AO298" s="317">
        <f t="shared" si="61"/>
        <v>0</v>
      </c>
      <c r="AP298" s="733"/>
      <c r="AR298" s="906" t="s">
        <v>1139</v>
      </c>
      <c r="AS298" s="906"/>
      <c r="AT298" s="906"/>
      <c r="AU298" s="906"/>
      <c r="AV298" s="906"/>
      <c r="AW298" s="741" t="s">
        <v>1140</v>
      </c>
      <c r="AX298" s="317">
        <f>COUNTIF($A$1:$GO$103,AW298)</f>
        <v>0</v>
      </c>
      <c r="AY298" s="742"/>
      <c r="BA298" s="679"/>
    </row>
    <row r="299" spans="13:53" ht="17.25" customHeight="1" x14ac:dyDescent="0.25">
      <c r="M299" s="268"/>
      <c r="AA299" s="268"/>
      <c r="AI299" s="896" t="s">
        <v>1141</v>
      </c>
      <c r="AJ299" s="897"/>
      <c r="AK299" s="897"/>
      <c r="AL299" s="897"/>
      <c r="AM299" s="898"/>
      <c r="AN299" s="743" t="s">
        <v>1142</v>
      </c>
      <c r="AO299" s="317">
        <f t="shared" si="61"/>
        <v>0</v>
      </c>
      <c r="AP299" s="733"/>
      <c r="AR299" s="906" t="s">
        <v>1143</v>
      </c>
      <c r="AS299" s="906"/>
      <c r="AT299" s="906"/>
      <c r="AU299" s="906"/>
      <c r="AV299" s="906"/>
      <c r="AW299" s="744" t="s">
        <v>1144</v>
      </c>
      <c r="AX299" s="317">
        <f>COUNTIF($A$1:$GO$103,AW299)</f>
        <v>0</v>
      </c>
      <c r="AY299" s="742"/>
      <c r="BA299" s="679"/>
    </row>
    <row r="300" spans="13:53" ht="17.25" customHeight="1" x14ac:dyDescent="0.25">
      <c r="M300" s="268"/>
      <c r="AA300" s="268"/>
      <c r="AI300" s="896" t="s">
        <v>1145</v>
      </c>
      <c r="AJ300" s="897"/>
      <c r="AK300" s="897"/>
      <c r="AL300" s="897"/>
      <c r="AM300" s="898"/>
      <c r="AN300" s="745" t="s">
        <v>1146</v>
      </c>
      <c r="AO300" s="317">
        <f t="shared" si="61"/>
        <v>0</v>
      </c>
      <c r="AP300" s="733"/>
      <c r="AR300" s="906" t="s">
        <v>1147</v>
      </c>
      <c r="AS300" s="906"/>
      <c r="AT300" s="906"/>
      <c r="AU300" s="906"/>
      <c r="AV300" s="906"/>
      <c r="AW300" s="746" t="s">
        <v>1148</v>
      </c>
      <c r="AX300" s="317">
        <f>COUNTIF($A$1:$GO$103,AW300)</f>
        <v>0</v>
      </c>
      <c r="AY300" s="742"/>
      <c r="BA300" s="679"/>
    </row>
    <row r="301" spans="13:53" ht="17.25" customHeight="1" x14ac:dyDescent="0.25">
      <c r="M301" s="268"/>
      <c r="AA301" s="268"/>
      <c r="AI301" s="896" t="s">
        <v>1149</v>
      </c>
      <c r="AJ301" s="897"/>
      <c r="AK301" s="897"/>
      <c r="AL301" s="897"/>
      <c r="AM301" s="898"/>
      <c r="AN301" s="747" t="s">
        <v>1150</v>
      </c>
      <c r="AO301" s="317">
        <f t="shared" si="61"/>
        <v>0</v>
      </c>
      <c r="AP301" s="733"/>
      <c r="AR301" s="906" t="s">
        <v>1151</v>
      </c>
      <c r="AS301" s="906"/>
      <c r="AT301" s="906"/>
      <c r="AU301" s="906"/>
      <c r="AV301" s="906"/>
      <c r="AW301" s="748" t="s">
        <v>1152</v>
      </c>
      <c r="AX301" s="317">
        <f>COUNTIF($A$1:$GO$103,AW301)</f>
        <v>0</v>
      </c>
      <c r="AY301" s="742"/>
      <c r="BA301" s="679"/>
    </row>
    <row r="302" spans="13:53" ht="17.25" customHeight="1" x14ac:dyDescent="0.25">
      <c r="M302" s="268"/>
      <c r="AA302" s="268"/>
      <c r="AI302" s="896" t="s">
        <v>1153</v>
      </c>
      <c r="AJ302" s="897"/>
      <c r="AK302" s="897"/>
      <c r="AL302" s="897"/>
      <c r="AM302" s="898"/>
      <c r="AN302" s="749" t="s">
        <v>1154</v>
      </c>
      <c r="AO302" s="317">
        <f t="shared" si="61"/>
        <v>0</v>
      </c>
      <c r="AP302" s="733"/>
      <c r="AR302" s="899" t="s">
        <v>1155</v>
      </c>
      <c r="AS302" s="900"/>
      <c r="AT302" s="900"/>
      <c r="AU302" s="900"/>
      <c r="AV302" s="901"/>
      <c r="AW302" s="750"/>
      <c r="AX302" s="502">
        <f>SUM(AX298:AX301)</f>
        <v>0</v>
      </c>
      <c r="BA302" s="679"/>
    </row>
    <row r="303" spans="13:53" ht="17.25" customHeight="1" x14ac:dyDescent="0.25">
      <c r="M303" s="268"/>
      <c r="AA303" s="268"/>
      <c r="AI303" s="893" t="s">
        <v>1156</v>
      </c>
      <c r="AJ303" s="894"/>
      <c r="AK303" s="894"/>
      <c r="AL303" s="894"/>
      <c r="AM303" s="895"/>
      <c r="AN303" s="501"/>
      <c r="AO303" s="502">
        <f>SUM(AO293:AO302)</f>
        <v>0</v>
      </c>
      <c r="AP303" s="308"/>
      <c r="BA303" s="679"/>
    </row>
    <row r="304" spans="13:53" ht="17.25" customHeight="1" x14ac:dyDescent="0.25">
      <c r="M304" s="268"/>
      <c r="AA304" s="268"/>
      <c r="AI304" s="692"/>
      <c r="BA304" s="679"/>
    </row>
    <row r="305" spans="13:53" ht="17.25" customHeight="1" x14ac:dyDescent="0.25">
      <c r="M305" s="268"/>
      <c r="AA305" s="268"/>
      <c r="AI305" s="902" t="s">
        <v>385</v>
      </c>
      <c r="AJ305" s="903"/>
      <c r="AK305" s="903"/>
      <c r="AL305" s="903"/>
      <c r="AM305" s="903"/>
      <c r="AN305" s="904"/>
      <c r="AO305" s="309" t="s">
        <v>299</v>
      </c>
      <c r="AP305" s="310"/>
      <c r="BA305" s="679"/>
    </row>
    <row r="306" spans="13:53" ht="17.25" customHeight="1" x14ac:dyDescent="0.25">
      <c r="M306" s="268"/>
      <c r="AA306" s="268"/>
      <c r="AI306" s="896" t="s">
        <v>1157</v>
      </c>
      <c r="AJ306" s="897"/>
      <c r="AK306" s="897"/>
      <c r="AL306" s="897"/>
      <c r="AM306" s="897"/>
      <c r="AN306" s="751" t="s">
        <v>1158</v>
      </c>
      <c r="AO306" s="317">
        <f>COUNTIF($A$1:$GO$103,AN306)</f>
        <v>0</v>
      </c>
      <c r="AP306" s="728"/>
      <c r="BA306" s="679"/>
    </row>
    <row r="307" spans="13:53" ht="17.25" customHeight="1" x14ac:dyDescent="0.25">
      <c r="M307" s="268"/>
      <c r="AA307" s="268"/>
      <c r="AI307" s="896"/>
      <c r="AJ307" s="897"/>
      <c r="AK307" s="897"/>
      <c r="AL307" s="897"/>
      <c r="AM307" s="905"/>
      <c r="AN307" s="752"/>
      <c r="AO307" s="317"/>
      <c r="AP307" s="728"/>
      <c r="BA307" s="679"/>
    </row>
    <row r="308" spans="13:53" ht="17.25" customHeight="1" x14ac:dyDescent="0.25">
      <c r="M308" s="268"/>
      <c r="AA308" s="268"/>
      <c r="AI308" s="893" t="s">
        <v>1159</v>
      </c>
      <c r="AJ308" s="894"/>
      <c r="AK308" s="894"/>
      <c r="AL308" s="894"/>
      <c r="AM308" s="895"/>
      <c r="AN308" s="501"/>
      <c r="AO308" s="502">
        <f>SUM(AO306:AO307)</f>
        <v>0</v>
      </c>
      <c r="AP308" s="308"/>
      <c r="BA308" s="679"/>
    </row>
    <row r="309" spans="13:53" ht="17.25" customHeight="1" x14ac:dyDescent="0.25">
      <c r="M309" s="268"/>
      <c r="AA309" s="268"/>
      <c r="AI309" s="753"/>
      <c r="AJ309" s="754"/>
      <c r="AK309" s="754"/>
      <c r="AL309" s="754"/>
      <c r="AM309" s="754"/>
      <c r="AN309" s="755"/>
      <c r="AO309" s="756"/>
      <c r="AP309" s="308"/>
      <c r="BA309" s="679"/>
    </row>
    <row r="310" spans="13:53" ht="17.25" customHeight="1" x14ac:dyDescent="0.25">
      <c r="M310" s="268"/>
      <c r="AA310" s="268"/>
      <c r="AI310" s="753"/>
      <c r="AJ310" s="754"/>
      <c r="AK310" s="754"/>
      <c r="AL310" s="754"/>
      <c r="AM310" s="754"/>
      <c r="AN310" s="755"/>
      <c r="AO310" s="756"/>
      <c r="AP310" s="308"/>
      <c r="BA310" s="679"/>
    </row>
    <row r="311" spans="13:53" ht="17.25" customHeight="1" x14ac:dyDescent="0.25">
      <c r="M311" s="268"/>
      <c r="AA311" s="268"/>
      <c r="AI311" s="753"/>
      <c r="AJ311" s="754"/>
      <c r="AK311" s="754"/>
      <c r="AL311" s="754"/>
      <c r="AM311" s="754"/>
      <c r="AN311" s="755"/>
      <c r="AO311" s="756"/>
      <c r="AP311" s="308"/>
      <c r="BA311" s="679"/>
    </row>
    <row r="312" spans="13:53" ht="17.25" customHeight="1" x14ac:dyDescent="0.25">
      <c r="M312" s="268"/>
      <c r="AA312" s="268"/>
      <c r="AI312" s="753"/>
      <c r="AJ312" s="754"/>
      <c r="AK312" s="754"/>
      <c r="AL312" s="754"/>
      <c r="AM312" s="754"/>
      <c r="AN312" s="755"/>
      <c r="AO312" s="756"/>
      <c r="AP312" s="308"/>
      <c r="BA312" s="679"/>
    </row>
    <row r="313" spans="13:53" ht="17.25" customHeight="1" x14ac:dyDescent="0.25">
      <c r="M313" s="268"/>
      <c r="AA313" s="268"/>
      <c r="AI313" s="753"/>
      <c r="AJ313" s="754"/>
      <c r="AK313" s="754"/>
      <c r="AL313" s="754"/>
      <c r="AM313" s="754"/>
      <c r="AN313" s="755"/>
      <c r="AO313" s="756"/>
      <c r="AP313" s="308"/>
      <c r="BA313" s="679"/>
    </row>
    <row r="314" spans="13:53" ht="17.25" customHeight="1" x14ac:dyDescent="0.25">
      <c r="M314" s="268"/>
      <c r="AA314" s="268"/>
      <c r="AI314" s="753"/>
      <c r="AJ314" s="754"/>
      <c r="AK314" s="754"/>
      <c r="AL314" s="754"/>
      <c r="AM314" s="754"/>
      <c r="AN314" s="755"/>
      <c r="AO314" s="756"/>
      <c r="AP314" s="308"/>
      <c r="BA314" s="679"/>
    </row>
    <row r="315" spans="13:53" ht="17.25" customHeight="1" x14ac:dyDescent="0.25">
      <c r="M315" s="268"/>
      <c r="AA315" s="268"/>
      <c r="AI315" s="753"/>
      <c r="AJ315" s="754"/>
      <c r="AK315" s="754"/>
      <c r="AL315" s="754"/>
      <c r="AM315" s="754"/>
      <c r="AN315" s="755"/>
      <c r="AO315" s="756"/>
      <c r="AP315" s="308"/>
      <c r="BA315" s="679"/>
    </row>
    <row r="316" spans="13:53" ht="17.25" customHeight="1" x14ac:dyDescent="0.25">
      <c r="M316" s="268"/>
      <c r="AA316" s="268"/>
      <c r="AI316" s="753"/>
      <c r="AJ316" s="754"/>
      <c r="AK316" s="754"/>
      <c r="AL316" s="754"/>
      <c r="AM316" s="754"/>
      <c r="AN316" s="755"/>
      <c r="AO316" s="756"/>
      <c r="AP316" s="308"/>
      <c r="BA316" s="679"/>
    </row>
    <row r="317" spans="13:53" ht="17.25" customHeight="1" x14ac:dyDescent="0.25">
      <c r="M317" s="268"/>
      <c r="AA317" s="268"/>
      <c r="AI317" s="753"/>
      <c r="AJ317" s="754"/>
      <c r="AK317" s="754"/>
      <c r="AL317" s="754"/>
      <c r="AM317" s="754"/>
      <c r="AN317" s="755"/>
      <c r="AO317" s="756"/>
      <c r="AP317" s="308"/>
      <c r="BA317" s="679"/>
    </row>
    <row r="318" spans="13:53" ht="17.25" customHeight="1" x14ac:dyDescent="0.25">
      <c r="M318" s="268"/>
      <c r="AA318" s="268"/>
      <c r="AI318" s="753"/>
      <c r="AJ318" s="754"/>
      <c r="AK318" s="754"/>
      <c r="AL318" s="754"/>
      <c r="AM318" s="754"/>
      <c r="AN318" s="755"/>
      <c r="AO318" s="756"/>
      <c r="AP318" s="308"/>
      <c r="BA318" s="679"/>
    </row>
    <row r="319" spans="13:53" ht="17.25" customHeight="1" x14ac:dyDescent="0.25">
      <c r="M319" s="268"/>
      <c r="AA319" s="268"/>
      <c r="AI319" s="753"/>
      <c r="AJ319" s="754"/>
      <c r="AK319" s="754"/>
      <c r="AL319" s="754"/>
      <c r="AM319" s="754"/>
      <c r="AN319" s="755"/>
      <c r="AO319" s="756"/>
      <c r="AP319" s="308"/>
      <c r="BA319" s="679"/>
    </row>
    <row r="320" spans="13:53" ht="17.25" customHeight="1" x14ac:dyDescent="0.25">
      <c r="M320" s="268"/>
      <c r="AA320" s="268"/>
      <c r="AI320" s="692"/>
      <c r="BA320" s="679"/>
    </row>
    <row r="321" spans="13:53" ht="17.25" customHeight="1" thickBot="1" x14ac:dyDescent="0.3">
      <c r="M321" s="268"/>
      <c r="AA321" s="268"/>
      <c r="AI321" s="757"/>
      <c r="AJ321" s="758"/>
      <c r="AK321" s="758"/>
      <c r="AL321" s="758"/>
      <c r="AM321" s="758"/>
      <c r="AN321" s="758"/>
      <c r="AO321" s="758"/>
      <c r="AP321" s="758"/>
      <c r="AQ321" s="758"/>
      <c r="AR321" s="758"/>
      <c r="AS321" s="758"/>
      <c r="AT321" s="758"/>
      <c r="AU321" s="758"/>
      <c r="AV321" s="758"/>
      <c r="AW321" s="758"/>
      <c r="AX321" s="758"/>
      <c r="AY321" s="758"/>
      <c r="AZ321" s="758"/>
      <c r="BA321" s="759"/>
    </row>
    <row r="322" spans="13:53" ht="17.25" customHeight="1" x14ac:dyDescent="0.25">
      <c r="M322" s="268"/>
      <c r="AA322" s="268"/>
    </row>
    <row r="323" spans="13:53" ht="17.25" customHeight="1" x14ac:dyDescent="0.25">
      <c r="M323" s="268"/>
      <c r="AA323" s="268"/>
    </row>
    <row r="324" spans="13:53" ht="17.25" customHeight="1" x14ac:dyDescent="0.25">
      <c r="M324" s="268"/>
      <c r="AA324" s="268"/>
    </row>
    <row r="325" spans="13:53" ht="17.25" customHeight="1" x14ac:dyDescent="0.25">
      <c r="M325" s="268"/>
      <c r="AA325" s="268"/>
    </row>
    <row r="326" spans="13:53" ht="17.25" customHeight="1" x14ac:dyDescent="0.25">
      <c r="M326" s="268"/>
      <c r="AA326" s="268"/>
    </row>
    <row r="327" spans="13:53" ht="17.25" customHeight="1" x14ac:dyDescent="0.25">
      <c r="M327" s="268"/>
      <c r="AA327" s="268"/>
      <c r="AZ327" s="653"/>
    </row>
    <row r="328" spans="13:53" ht="17.25" customHeight="1" x14ac:dyDescent="0.25">
      <c r="M328" s="268"/>
      <c r="AA328" s="268"/>
      <c r="AI328" s="137"/>
      <c r="AJ328" s="137"/>
      <c r="AK328" s="137"/>
      <c r="AL328" s="137"/>
      <c r="AM328" s="137"/>
      <c r="AQ328" s="760"/>
    </row>
    <row r="329" spans="13:53" ht="17.25" customHeight="1" x14ac:dyDescent="0.25">
      <c r="M329" s="268"/>
      <c r="AA329" s="268"/>
      <c r="AI329" s="889"/>
      <c r="AJ329" s="889"/>
      <c r="AK329" s="889"/>
      <c r="AL329" s="889"/>
      <c r="AM329" s="889"/>
      <c r="AN329" s="889"/>
      <c r="AO329" s="760"/>
      <c r="AP329" s="760"/>
      <c r="AQ329" s="516"/>
      <c r="BA329" s="653"/>
    </row>
    <row r="330" spans="13:53" ht="17.25" customHeight="1" x14ac:dyDescent="0.25">
      <c r="M330" s="268"/>
      <c r="AA330" s="268"/>
      <c r="AI330" s="890"/>
      <c r="AJ330" s="890"/>
      <c r="AK330" s="890"/>
      <c r="AL330" s="890"/>
      <c r="AM330" s="890"/>
      <c r="AN330" s="10"/>
      <c r="AO330" s="516"/>
      <c r="AP330" s="516"/>
      <c r="AQ330" s="760"/>
      <c r="AZ330" s="653"/>
      <c r="BA330" s="760"/>
    </row>
    <row r="331" spans="13:53" ht="17.25" customHeight="1" x14ac:dyDescent="0.25">
      <c r="M331" s="268"/>
      <c r="AA331" s="268"/>
      <c r="AI331" s="889"/>
      <c r="AJ331" s="889"/>
      <c r="AK331" s="889"/>
      <c r="AL331" s="889"/>
      <c r="AM331" s="889"/>
      <c r="AN331" s="889"/>
      <c r="AO331" s="760"/>
      <c r="AP331" s="760"/>
      <c r="AQ331" s="761"/>
      <c r="AZ331" s="760"/>
      <c r="BA331" s="653"/>
    </row>
    <row r="332" spans="13:53" ht="17.25" customHeight="1" x14ac:dyDescent="0.25">
      <c r="M332" s="268"/>
      <c r="AA332" s="268"/>
      <c r="AI332" s="889"/>
      <c r="AJ332" s="889"/>
      <c r="AK332" s="889"/>
      <c r="AL332" s="889"/>
      <c r="AM332" s="889"/>
      <c r="AN332" s="889"/>
      <c r="AO332" s="761"/>
      <c r="AP332" s="761"/>
      <c r="AQ332" s="761"/>
      <c r="AZ332" s="653"/>
      <c r="BA332" s="653"/>
    </row>
    <row r="333" spans="13:53" ht="17.25" customHeight="1" x14ac:dyDescent="0.25">
      <c r="M333" s="268"/>
      <c r="AA333" s="268"/>
      <c r="AI333" s="653"/>
      <c r="AJ333" s="653"/>
      <c r="AK333" s="653"/>
      <c r="AL333" s="653"/>
      <c r="AM333" s="653"/>
      <c r="AN333" s="653"/>
      <c r="AO333" s="761"/>
      <c r="AP333" s="761"/>
      <c r="AQ333" s="761"/>
      <c r="AZ333" s="653"/>
      <c r="BA333" s="653"/>
    </row>
    <row r="334" spans="13:53" ht="17.25" customHeight="1" x14ac:dyDescent="0.25">
      <c r="M334" s="268"/>
      <c r="AA334" s="268"/>
      <c r="AI334" s="653"/>
      <c r="AJ334" s="653"/>
      <c r="AK334" s="653"/>
      <c r="AL334" s="653"/>
      <c r="AM334" s="653"/>
      <c r="AN334" s="653"/>
      <c r="AO334" s="761"/>
      <c r="AP334" s="761"/>
      <c r="AQ334" s="761"/>
      <c r="AZ334" s="653"/>
      <c r="BA334" s="653"/>
    </row>
    <row r="335" spans="13:53" ht="17.25" customHeight="1" x14ac:dyDescent="0.25">
      <c r="M335" s="268"/>
      <c r="AA335" s="268"/>
      <c r="AI335" s="653"/>
      <c r="AJ335" s="653"/>
      <c r="AK335" s="653"/>
      <c r="AL335" s="653"/>
      <c r="AM335" s="653"/>
      <c r="AN335" s="653"/>
      <c r="AO335" s="761"/>
      <c r="AP335" s="761"/>
      <c r="AQ335" s="761"/>
      <c r="AZ335" s="653"/>
      <c r="BA335" s="653"/>
    </row>
    <row r="336" spans="13:53" ht="17.25" customHeight="1" x14ac:dyDescent="0.25">
      <c r="M336" s="268"/>
      <c r="AA336" s="268"/>
      <c r="AI336" s="653"/>
      <c r="AJ336" s="653"/>
      <c r="AK336" s="653"/>
      <c r="AL336" s="653"/>
      <c r="AM336" s="653"/>
      <c r="AN336" s="653"/>
      <c r="AO336" s="761"/>
      <c r="AP336" s="761"/>
      <c r="AQ336" s="761"/>
      <c r="AZ336" s="653"/>
      <c r="BA336" s="653"/>
    </row>
    <row r="337" spans="13:53" ht="17.25" customHeight="1" x14ac:dyDescent="0.25">
      <c r="M337" s="268"/>
      <c r="AA337" s="268"/>
      <c r="AI337" s="653"/>
      <c r="AJ337" s="653"/>
      <c r="AK337" s="653"/>
      <c r="AL337" s="653"/>
      <c r="AM337" s="653"/>
      <c r="AN337" s="653"/>
      <c r="AO337" s="761"/>
      <c r="AP337" s="761"/>
      <c r="AQ337" s="761"/>
      <c r="AZ337" s="653"/>
      <c r="BA337" s="653"/>
    </row>
    <row r="338" spans="13:53" ht="17.25" customHeight="1" x14ac:dyDescent="0.25">
      <c r="M338" s="268"/>
      <c r="AA338" s="268"/>
      <c r="AI338" s="653"/>
      <c r="AJ338" s="653"/>
      <c r="AK338" s="653"/>
      <c r="AL338" s="653"/>
      <c r="AM338" s="653"/>
      <c r="AN338" s="653"/>
      <c r="AO338" s="761"/>
      <c r="AP338" s="761"/>
      <c r="AQ338" s="761"/>
      <c r="AZ338" s="653"/>
      <c r="BA338" s="653"/>
    </row>
    <row r="339" spans="13:53" ht="17.25" customHeight="1" x14ac:dyDescent="0.25">
      <c r="M339" s="268"/>
      <c r="AA339" s="268"/>
      <c r="AI339" s="653"/>
      <c r="AJ339" s="653"/>
      <c r="AK339" s="653"/>
      <c r="AL339" s="653"/>
      <c r="AM339" s="653"/>
      <c r="AN339" s="653"/>
      <c r="AO339" s="761"/>
      <c r="AP339" s="761"/>
      <c r="AQ339" s="761"/>
      <c r="AZ339" s="653"/>
      <c r="BA339" s="653"/>
    </row>
    <row r="340" spans="13:53" ht="17.25" customHeight="1" x14ac:dyDescent="0.25">
      <c r="M340" s="268"/>
      <c r="AA340" s="268"/>
      <c r="AI340" s="653"/>
      <c r="AJ340" s="653"/>
      <c r="AK340" s="653"/>
      <c r="AL340" s="653"/>
      <c r="AM340" s="653"/>
      <c r="AN340" s="653"/>
      <c r="AO340" s="761"/>
      <c r="AP340" s="761"/>
      <c r="AQ340" s="761"/>
      <c r="AZ340" s="653"/>
      <c r="BA340" s="653"/>
    </row>
    <row r="341" spans="13:53" ht="17.25" customHeight="1" x14ac:dyDescent="0.25">
      <c r="M341" s="268"/>
      <c r="AA341" s="268"/>
      <c r="AI341" s="653"/>
      <c r="AJ341" s="653"/>
      <c r="AK341" s="653"/>
      <c r="AL341" s="653"/>
      <c r="AM341" s="653"/>
      <c r="AN341" s="653"/>
      <c r="AO341" s="761"/>
      <c r="AP341" s="761"/>
      <c r="AQ341" s="761"/>
      <c r="AZ341" s="653"/>
      <c r="BA341" s="653"/>
    </row>
    <row r="342" spans="13:53" ht="17.25" customHeight="1" x14ac:dyDescent="0.25">
      <c r="M342" s="268"/>
      <c r="AA342" s="268"/>
      <c r="AI342" s="653"/>
      <c r="AJ342" s="653"/>
      <c r="AK342" s="653"/>
      <c r="AL342" s="653"/>
      <c r="AM342" s="653"/>
      <c r="AN342" s="653"/>
      <c r="AO342" s="761"/>
      <c r="AP342" s="761"/>
      <c r="AQ342" s="761"/>
      <c r="AZ342" s="653"/>
      <c r="BA342" s="653"/>
    </row>
    <row r="343" spans="13:53" ht="17.25" customHeight="1" x14ac:dyDescent="0.25">
      <c r="M343" s="268"/>
      <c r="AA343" s="268"/>
      <c r="AI343" s="653"/>
      <c r="AJ343" s="653"/>
      <c r="AK343" s="653"/>
      <c r="AL343" s="653"/>
      <c r="AM343" s="653"/>
      <c r="AN343" s="653"/>
      <c r="AO343" s="761"/>
      <c r="AP343" s="761"/>
      <c r="AQ343" s="761"/>
      <c r="AZ343" s="653"/>
      <c r="BA343" s="653"/>
    </row>
    <row r="344" spans="13:53" ht="17.25" customHeight="1" x14ac:dyDescent="0.25">
      <c r="M344" s="268"/>
      <c r="AA344" s="268"/>
      <c r="AI344" s="653"/>
      <c r="AJ344" s="653"/>
      <c r="AK344" s="653"/>
      <c r="AL344" s="653"/>
      <c r="AM344" s="653"/>
      <c r="AN344" s="653"/>
      <c r="AO344" s="761"/>
      <c r="AP344" s="761"/>
      <c r="AQ344" s="761"/>
      <c r="AZ344" s="653"/>
      <c r="BA344" s="653"/>
    </row>
    <row r="345" spans="13:53" ht="17.25" customHeight="1" x14ac:dyDescent="0.25">
      <c r="M345" s="268"/>
      <c r="AA345" s="268"/>
      <c r="AI345" s="137"/>
      <c r="AJ345" s="137"/>
      <c r="AK345" s="137"/>
      <c r="AL345" s="137"/>
      <c r="AM345" s="137"/>
      <c r="AQ345" s="761"/>
      <c r="AZ345" s="653"/>
      <c r="BA345" s="653"/>
    </row>
    <row r="346" spans="13:53" ht="17.25" customHeight="1" x14ac:dyDescent="0.25">
      <c r="M346" s="268"/>
      <c r="AA346" s="268"/>
      <c r="AI346" s="137"/>
      <c r="AJ346" s="137"/>
      <c r="AK346" s="137"/>
      <c r="AL346" s="137"/>
      <c r="AM346" s="137"/>
      <c r="AQ346" s="761"/>
      <c r="AZ346" s="653"/>
      <c r="BA346" s="653"/>
    </row>
    <row r="347" spans="13:53" ht="17.25" customHeight="1" x14ac:dyDescent="0.25">
      <c r="M347" s="268"/>
      <c r="AA347" s="268"/>
      <c r="AI347" s="137"/>
      <c r="AJ347" s="137"/>
      <c r="AK347" s="137"/>
      <c r="AL347" s="137"/>
      <c r="AM347" s="137"/>
      <c r="AQ347" s="761"/>
      <c r="AZ347" s="653"/>
      <c r="BA347" s="653"/>
    </row>
    <row r="348" spans="13:53" ht="17.25" customHeight="1" x14ac:dyDescent="0.25">
      <c r="M348" s="268"/>
      <c r="AA348" s="268"/>
      <c r="AI348" s="137"/>
      <c r="AJ348" s="137"/>
      <c r="AK348" s="137"/>
      <c r="AL348" s="137"/>
      <c r="AM348" s="137"/>
      <c r="AQ348" s="761"/>
      <c r="AZ348" s="653"/>
      <c r="BA348" s="653"/>
    </row>
    <row r="349" spans="13:53" ht="17.25" customHeight="1" x14ac:dyDescent="0.25">
      <c r="M349" s="268"/>
      <c r="AA349" s="268"/>
      <c r="AI349" s="137"/>
      <c r="AJ349" s="137"/>
      <c r="AK349" s="137"/>
      <c r="AL349" s="137"/>
      <c r="AM349" s="137"/>
      <c r="AQ349" s="761"/>
      <c r="AZ349" s="653"/>
      <c r="BA349" s="653"/>
    </row>
    <row r="350" spans="13:53" ht="17.25" customHeight="1" x14ac:dyDescent="0.25">
      <c r="M350" s="268"/>
      <c r="AA350" s="268"/>
      <c r="AI350" s="137"/>
      <c r="AJ350" s="137"/>
      <c r="AK350" s="137"/>
      <c r="AL350" s="137"/>
      <c r="AM350" s="137"/>
      <c r="AQ350" s="761"/>
      <c r="AZ350" s="653"/>
      <c r="BA350" s="653"/>
    </row>
    <row r="351" spans="13:53" ht="17.25" customHeight="1" x14ac:dyDescent="0.25">
      <c r="M351" s="268"/>
      <c r="AA351" s="268"/>
      <c r="AI351" s="137"/>
      <c r="AJ351" s="137"/>
      <c r="AK351" s="137"/>
      <c r="AL351" s="137"/>
      <c r="AM351" s="137"/>
      <c r="AQ351" s="761"/>
      <c r="AZ351" s="653"/>
      <c r="BA351" s="653"/>
    </row>
    <row r="352" spans="13:53" ht="17.25" customHeight="1" x14ac:dyDescent="0.25">
      <c r="M352" s="268"/>
      <c r="AA352" s="268"/>
      <c r="AI352" s="137"/>
      <c r="AJ352" s="137"/>
      <c r="AK352" s="137"/>
      <c r="AL352" s="137"/>
      <c r="AM352" s="137"/>
      <c r="AQ352" s="761"/>
      <c r="AZ352" s="653"/>
      <c r="BA352" s="653"/>
    </row>
    <row r="353" spans="13:53" ht="17.25" customHeight="1" x14ac:dyDescent="0.25">
      <c r="M353" s="268"/>
      <c r="AA353" s="268"/>
      <c r="AI353" s="137"/>
      <c r="AJ353" s="137"/>
      <c r="AK353" s="137"/>
      <c r="AL353" s="137"/>
      <c r="AM353" s="137"/>
      <c r="AQ353" s="761"/>
      <c r="AZ353" s="653"/>
      <c r="BA353" s="653"/>
    </row>
    <row r="354" spans="13:53" ht="17.25" customHeight="1" x14ac:dyDescent="0.25">
      <c r="M354" s="268"/>
      <c r="AA354" s="268"/>
      <c r="AI354" s="137"/>
      <c r="AJ354" s="137"/>
      <c r="AK354" s="137"/>
      <c r="AL354" s="137"/>
      <c r="AM354" s="137"/>
      <c r="AQ354" s="761"/>
      <c r="AZ354" s="653"/>
      <c r="BA354" s="653"/>
    </row>
    <row r="355" spans="13:53" ht="17.25" customHeight="1" x14ac:dyDescent="0.25">
      <c r="M355" s="268"/>
      <c r="AA355" s="268"/>
      <c r="AI355" s="137"/>
      <c r="AJ355" s="137"/>
      <c r="AK355" s="137"/>
      <c r="AL355" s="137"/>
      <c r="AM355" s="137"/>
      <c r="AQ355" s="761"/>
      <c r="AZ355" s="653"/>
      <c r="BA355" s="653"/>
    </row>
    <row r="356" spans="13:53" ht="17.25" customHeight="1" x14ac:dyDescent="0.25">
      <c r="M356" s="268"/>
      <c r="AA356" s="268"/>
      <c r="AI356" s="137"/>
      <c r="AJ356" s="137"/>
      <c r="AK356" s="137"/>
      <c r="AL356" s="137"/>
      <c r="AM356" s="137"/>
      <c r="AQ356" s="761"/>
      <c r="AZ356" s="653"/>
      <c r="BA356" s="653"/>
    </row>
    <row r="357" spans="13:53" ht="17.25" customHeight="1" x14ac:dyDescent="0.25">
      <c r="M357" s="268"/>
      <c r="AA357" s="268"/>
      <c r="AI357" s="137"/>
      <c r="AJ357" s="137"/>
      <c r="AK357" s="137"/>
      <c r="AL357" s="137"/>
      <c r="AM357" s="137"/>
      <c r="AQ357" s="761"/>
      <c r="AZ357" s="653"/>
      <c r="BA357" s="653"/>
    </row>
    <row r="358" spans="13:53" ht="17.25" customHeight="1" x14ac:dyDescent="0.25">
      <c r="M358" s="268"/>
      <c r="AI358" s="137"/>
      <c r="AJ358" s="137"/>
      <c r="AK358" s="137"/>
      <c r="AL358" s="137"/>
      <c r="AM358" s="137"/>
      <c r="AQ358" s="761"/>
      <c r="AZ358" s="653"/>
      <c r="BA358" s="653"/>
    </row>
    <row r="359" spans="13:53" ht="17.25" customHeight="1" x14ac:dyDescent="0.25">
      <c r="M359" s="268"/>
      <c r="AI359" s="137"/>
      <c r="AJ359" s="137"/>
      <c r="AK359" s="137"/>
      <c r="AL359" s="137"/>
      <c r="AM359" s="137"/>
      <c r="AQ359" s="761"/>
      <c r="AZ359" s="653"/>
      <c r="BA359" s="653"/>
    </row>
    <row r="360" spans="13:53" ht="17.25" customHeight="1" x14ac:dyDescent="0.25">
      <c r="M360" s="268"/>
      <c r="AI360" s="137"/>
      <c r="AJ360" s="137"/>
      <c r="AK360" s="137"/>
      <c r="AL360" s="137"/>
      <c r="AM360" s="137"/>
      <c r="AQ360" s="760"/>
      <c r="AZ360" s="653"/>
    </row>
    <row r="361" spans="13:53" ht="17.25" customHeight="1" x14ac:dyDescent="0.25">
      <c r="M361" s="268"/>
      <c r="AI361" s="137"/>
      <c r="AJ361" s="137"/>
      <c r="AK361" s="137"/>
      <c r="AL361" s="137"/>
      <c r="AM361" s="137"/>
      <c r="AQ361" s="516"/>
      <c r="BA361" s="653"/>
    </row>
    <row r="362" spans="13:53" ht="17.25" customHeight="1" x14ac:dyDescent="0.25">
      <c r="M362" s="268"/>
      <c r="AI362" s="890"/>
      <c r="AJ362" s="890"/>
      <c r="AK362" s="890"/>
      <c r="AL362" s="890"/>
      <c r="AM362" s="890"/>
      <c r="AN362" s="10"/>
      <c r="AO362" s="516"/>
      <c r="AP362" s="516"/>
      <c r="AQ362" s="516"/>
      <c r="AZ362" s="653"/>
      <c r="BA362" s="653"/>
    </row>
    <row r="363" spans="13:53" ht="17.25" customHeight="1" x14ac:dyDescent="0.25">
      <c r="M363" s="268"/>
      <c r="AI363" s="760"/>
      <c r="AJ363" s="760"/>
      <c r="AK363" s="760"/>
      <c r="AL363" s="760"/>
      <c r="AM363" s="760"/>
      <c r="AN363" s="10"/>
      <c r="AO363" s="516"/>
      <c r="AP363" s="516"/>
      <c r="AQ363" s="516"/>
      <c r="AZ363" s="653"/>
      <c r="BA363" s="653"/>
    </row>
    <row r="364" spans="13:53" ht="17.25" customHeight="1" x14ac:dyDescent="0.25">
      <c r="M364" s="268"/>
      <c r="AI364" s="760"/>
      <c r="AJ364" s="760"/>
      <c r="AK364" s="760"/>
      <c r="AL364" s="760"/>
      <c r="AM364" s="760"/>
      <c r="AN364" s="10"/>
      <c r="AO364" s="516"/>
      <c r="AP364" s="516"/>
      <c r="AQ364" s="760"/>
      <c r="AZ364" s="653"/>
      <c r="BA364" s="760"/>
    </row>
    <row r="365" spans="13:53" ht="17.25" customHeight="1" x14ac:dyDescent="0.25">
      <c r="M365" s="268"/>
      <c r="AI365" s="760"/>
      <c r="AJ365" s="760"/>
      <c r="AK365" s="760"/>
      <c r="AL365" s="760"/>
      <c r="AM365" s="760"/>
      <c r="AN365" s="10"/>
      <c r="AO365" s="516"/>
      <c r="AP365" s="516"/>
      <c r="AQ365" s="761"/>
      <c r="AR365" s="761"/>
      <c r="AS365" s="761"/>
      <c r="AT365" s="761"/>
      <c r="AU365" s="761"/>
      <c r="AZ365" s="760"/>
      <c r="BA365" s="653"/>
    </row>
    <row r="366" spans="13:53" ht="17.25" customHeight="1" x14ac:dyDescent="0.25">
      <c r="M366" s="268"/>
      <c r="AI366" s="889"/>
      <c r="AJ366" s="889"/>
      <c r="AK366" s="889"/>
      <c r="AL366" s="889"/>
      <c r="AM366" s="889"/>
      <c r="AN366" s="889"/>
      <c r="AO366" s="760"/>
      <c r="AP366" s="760"/>
      <c r="AW366" s="653"/>
      <c r="AX366" s="653"/>
      <c r="AY366" s="653"/>
      <c r="AZ366" s="653"/>
      <c r="BA366" s="653"/>
    </row>
    <row r="367" spans="13:53" ht="17.25" customHeight="1" x14ac:dyDescent="0.25">
      <c r="M367" s="268"/>
      <c r="AI367" s="889"/>
      <c r="AJ367" s="889"/>
      <c r="AK367" s="889"/>
      <c r="AL367" s="889"/>
      <c r="AM367" s="889"/>
      <c r="AN367" s="889"/>
      <c r="AO367" s="761"/>
      <c r="AP367" s="761"/>
      <c r="AQ367" s="760"/>
      <c r="AW367" s="653"/>
      <c r="AX367" s="653"/>
      <c r="AY367" s="653"/>
      <c r="AZ367" s="653"/>
      <c r="BA367" s="653"/>
    </row>
    <row r="368" spans="13:53" ht="17.25" customHeight="1" x14ac:dyDescent="0.25">
      <c r="M368" s="268"/>
      <c r="AQ368" s="760"/>
      <c r="AW368" s="653"/>
      <c r="AX368" s="653"/>
      <c r="AY368" s="653"/>
      <c r="AZ368" s="653"/>
    </row>
    <row r="369" spans="13:53" ht="17.25" customHeight="1" x14ac:dyDescent="0.25">
      <c r="M369" s="268"/>
      <c r="AI369" s="889"/>
      <c r="AJ369" s="889"/>
      <c r="AK369" s="889"/>
      <c r="AL369" s="889"/>
      <c r="AM369" s="889"/>
      <c r="AN369" s="889"/>
      <c r="AO369" s="760"/>
      <c r="AP369" s="760"/>
      <c r="AQ369" s="760"/>
      <c r="AR369" s="760"/>
      <c r="AS369" s="760"/>
      <c r="AT369" s="760"/>
      <c r="AU369" s="760"/>
      <c r="AW369" s="760"/>
      <c r="AX369" s="760"/>
      <c r="AY369" s="760"/>
    </row>
    <row r="370" spans="13:53" ht="17.25" customHeight="1" x14ac:dyDescent="0.25">
      <c r="M370" s="268"/>
      <c r="AI370" s="890"/>
      <c r="AJ370" s="890"/>
      <c r="AK370" s="890"/>
      <c r="AL370" s="890"/>
      <c r="AM370" s="890"/>
      <c r="AN370" s="10"/>
      <c r="AO370" s="516"/>
      <c r="AP370" s="516"/>
      <c r="AQ370" s="516"/>
      <c r="AR370" s="516"/>
      <c r="AS370" s="516"/>
      <c r="AT370" s="516"/>
      <c r="AU370" s="516"/>
      <c r="AW370" s="653"/>
      <c r="AX370" s="653"/>
      <c r="AY370" s="653"/>
      <c r="BA370" s="653"/>
    </row>
    <row r="371" spans="13:53" ht="17.25" customHeight="1" x14ac:dyDescent="0.25">
      <c r="M371" s="268"/>
      <c r="AI371" s="760"/>
      <c r="AJ371" s="760"/>
      <c r="AK371" s="760"/>
      <c r="AL371" s="760"/>
      <c r="AM371" s="760"/>
      <c r="AN371" s="10"/>
      <c r="AO371" s="516"/>
      <c r="AP371" s="516"/>
      <c r="AQ371" s="516"/>
      <c r="AR371" s="516"/>
      <c r="AS371" s="516"/>
      <c r="AT371" s="516"/>
      <c r="AU371" s="516"/>
      <c r="AW371" s="653"/>
      <c r="AX371" s="653"/>
      <c r="AY371" s="653"/>
      <c r="AZ371" s="653"/>
      <c r="BA371" s="653"/>
    </row>
    <row r="372" spans="13:53" ht="17.25" customHeight="1" x14ac:dyDescent="0.25">
      <c r="M372" s="268"/>
      <c r="AI372" s="760"/>
      <c r="AJ372" s="760"/>
      <c r="AK372" s="760"/>
      <c r="AL372" s="760"/>
      <c r="AM372" s="760"/>
      <c r="AN372" s="10"/>
      <c r="AO372" s="516"/>
      <c r="AP372" s="516"/>
      <c r="AQ372" s="516"/>
      <c r="AZ372" s="653"/>
      <c r="BA372" s="653"/>
    </row>
    <row r="373" spans="13:53" ht="17.25" customHeight="1" x14ac:dyDescent="0.25">
      <c r="M373" s="268"/>
      <c r="AI373" s="760"/>
      <c r="AJ373" s="760"/>
      <c r="AK373" s="760"/>
      <c r="AL373" s="760"/>
      <c r="AM373" s="760"/>
      <c r="AN373" s="10"/>
      <c r="AO373" s="516"/>
      <c r="AP373" s="516"/>
      <c r="AQ373" s="516"/>
      <c r="AZ373" s="653"/>
      <c r="BA373" s="653"/>
    </row>
    <row r="374" spans="13:53" ht="17.25" customHeight="1" x14ac:dyDescent="0.25">
      <c r="M374" s="268"/>
      <c r="AI374" s="760"/>
      <c r="AJ374" s="760"/>
      <c r="AK374" s="760"/>
      <c r="AL374" s="760"/>
      <c r="AM374" s="760"/>
      <c r="AN374" s="10"/>
      <c r="AO374" s="516"/>
      <c r="AP374" s="516"/>
      <c r="AQ374" s="516"/>
      <c r="AR374" s="761"/>
      <c r="AS374" s="761"/>
      <c r="AT374" s="761"/>
      <c r="AU374" s="761"/>
      <c r="AZ374" s="653"/>
      <c r="BA374" s="653"/>
    </row>
    <row r="375" spans="13:53" ht="17.25" customHeight="1" x14ac:dyDescent="0.25">
      <c r="M375" s="268"/>
      <c r="AI375" s="760"/>
      <c r="AJ375" s="760"/>
      <c r="AK375" s="760"/>
      <c r="AL375" s="760"/>
      <c r="AM375" s="760"/>
      <c r="AN375" s="10"/>
      <c r="AO375" s="516"/>
      <c r="AP375" s="516"/>
      <c r="AR375" s="761"/>
      <c r="AS375" s="761"/>
      <c r="AT375" s="761"/>
      <c r="AU375" s="761"/>
      <c r="AZ375" s="653"/>
      <c r="BA375" s="653"/>
    </row>
    <row r="376" spans="13:53" ht="17.25" customHeight="1" x14ac:dyDescent="0.25">
      <c r="M376" s="268"/>
      <c r="AI376" s="760"/>
      <c r="AJ376" s="760"/>
      <c r="AK376" s="760"/>
      <c r="AL376" s="760"/>
      <c r="AM376" s="760"/>
      <c r="AN376" s="10"/>
      <c r="AO376" s="516"/>
      <c r="AP376" s="516"/>
      <c r="AQ376" s="760"/>
      <c r="AR376" s="761"/>
      <c r="AS376" s="761"/>
      <c r="AT376" s="761"/>
      <c r="AU376" s="761"/>
      <c r="AZ376" s="653"/>
      <c r="BA376" s="653"/>
    </row>
    <row r="377" spans="13:53" ht="17.25" customHeight="1" x14ac:dyDescent="0.25">
      <c r="M377" s="268"/>
      <c r="AQ377" s="760"/>
      <c r="AW377" s="653"/>
      <c r="AX377" s="653"/>
      <c r="AY377" s="653"/>
      <c r="AZ377" s="653"/>
    </row>
    <row r="378" spans="13:53" ht="17.25" customHeight="1" x14ac:dyDescent="0.25">
      <c r="M378" s="268"/>
      <c r="AI378" s="889"/>
      <c r="AJ378" s="889"/>
      <c r="AK378" s="889"/>
      <c r="AL378" s="889"/>
      <c r="AM378" s="889"/>
      <c r="AN378" s="889"/>
      <c r="AO378" s="760"/>
      <c r="AP378" s="760"/>
      <c r="AQ378" s="516"/>
      <c r="AR378" s="760"/>
      <c r="AS378" s="760"/>
      <c r="AT378" s="760"/>
      <c r="AU378" s="760"/>
      <c r="AW378" s="760"/>
      <c r="AX378" s="760"/>
      <c r="AY378" s="760"/>
    </row>
    <row r="379" spans="13:53" ht="17.25" customHeight="1" x14ac:dyDescent="0.25">
      <c r="M379" s="268"/>
      <c r="AI379" s="890"/>
      <c r="AJ379" s="890"/>
      <c r="AK379" s="890"/>
      <c r="AL379" s="890"/>
      <c r="AM379" s="890"/>
      <c r="AN379" s="10"/>
      <c r="AO379" s="516"/>
      <c r="AP379" s="516"/>
      <c r="AQ379" s="760"/>
      <c r="AR379" s="516"/>
      <c r="AS379" s="516"/>
      <c r="AT379" s="516"/>
      <c r="AU379" s="516"/>
      <c r="AW379" s="653"/>
      <c r="AX379" s="653"/>
      <c r="AY379" s="653"/>
    </row>
    <row r="380" spans="13:53" ht="17.25" customHeight="1" x14ac:dyDescent="0.25">
      <c r="M380" s="268"/>
      <c r="AI380" s="889"/>
      <c r="AJ380" s="889"/>
      <c r="AK380" s="889"/>
      <c r="AL380" s="889"/>
      <c r="AM380" s="889"/>
      <c r="AN380" s="889"/>
      <c r="AO380" s="760"/>
      <c r="AP380" s="760"/>
      <c r="AQ380" s="761"/>
      <c r="AR380" s="760"/>
      <c r="AS380" s="760"/>
      <c r="AT380" s="760"/>
      <c r="AU380" s="760"/>
      <c r="AW380" s="653"/>
      <c r="AX380" s="653"/>
      <c r="AY380" s="653"/>
    </row>
    <row r="381" spans="13:53" ht="17.25" customHeight="1" x14ac:dyDescent="0.25">
      <c r="M381" s="268"/>
      <c r="AI381" s="889"/>
      <c r="AJ381" s="889"/>
      <c r="AK381" s="889"/>
      <c r="AL381" s="889"/>
      <c r="AM381" s="889"/>
      <c r="AN381" s="889"/>
      <c r="AO381" s="761"/>
      <c r="AP381" s="761"/>
      <c r="AR381" s="760"/>
      <c r="AS381" s="760"/>
      <c r="AT381" s="760"/>
      <c r="AU381" s="760"/>
      <c r="AW381" s="653"/>
      <c r="AX381" s="653"/>
      <c r="AY381" s="653"/>
    </row>
    <row r="382" spans="13:53" ht="17.25" customHeight="1" x14ac:dyDescent="0.25">
      <c r="M382" s="268"/>
      <c r="AI382" s="137"/>
      <c r="AJ382" s="137"/>
      <c r="AK382" s="137"/>
      <c r="AL382" s="137"/>
      <c r="AM382" s="137"/>
      <c r="AQ382" s="760"/>
      <c r="AR382" s="761"/>
      <c r="AS382" s="761"/>
      <c r="AT382" s="761"/>
      <c r="AU382" s="761"/>
    </row>
    <row r="383" spans="13:53" ht="17.25" customHeight="1" x14ac:dyDescent="0.25">
      <c r="M383" s="268"/>
      <c r="AI383" s="889"/>
      <c r="AJ383" s="889"/>
      <c r="AK383" s="889"/>
      <c r="AL383" s="889"/>
      <c r="AM383" s="889"/>
      <c r="AN383" s="889"/>
      <c r="AO383" s="760"/>
      <c r="AP383" s="760"/>
      <c r="AQ383" s="516"/>
      <c r="AW383" s="653"/>
      <c r="AX383" s="653"/>
      <c r="AY383" s="653"/>
    </row>
    <row r="384" spans="13:53" ht="17.25" customHeight="1" x14ac:dyDescent="0.25">
      <c r="M384" s="268"/>
      <c r="AI384" s="890"/>
      <c r="AJ384" s="890"/>
      <c r="AK384" s="890"/>
      <c r="AL384" s="890"/>
      <c r="AM384" s="890"/>
      <c r="AN384" s="10"/>
      <c r="AO384" s="516"/>
      <c r="AP384" s="516"/>
      <c r="AQ384" s="760"/>
      <c r="AR384" s="760"/>
      <c r="AS384" s="760"/>
      <c r="AT384" s="760"/>
      <c r="AU384" s="760"/>
      <c r="AW384" s="760"/>
      <c r="AX384" s="760"/>
      <c r="AY384" s="760"/>
    </row>
    <row r="385" spans="13:51" ht="17.25" customHeight="1" x14ac:dyDescent="0.25">
      <c r="M385" s="268"/>
      <c r="AI385" s="889"/>
      <c r="AJ385" s="889"/>
      <c r="AK385" s="889"/>
      <c r="AL385" s="889"/>
      <c r="AM385" s="889"/>
      <c r="AN385" s="889"/>
      <c r="AO385" s="760"/>
      <c r="AP385" s="760"/>
      <c r="AQ385" s="761"/>
      <c r="AR385" s="516"/>
      <c r="AS385" s="516"/>
      <c r="AT385" s="516"/>
      <c r="AU385" s="516"/>
      <c r="AW385" s="653"/>
      <c r="AX385" s="653"/>
      <c r="AY385" s="653"/>
    </row>
    <row r="386" spans="13:51" ht="17.25" customHeight="1" x14ac:dyDescent="0.25">
      <c r="M386" s="268"/>
      <c r="AI386" s="889"/>
      <c r="AJ386" s="889"/>
      <c r="AK386" s="889"/>
      <c r="AL386" s="889"/>
      <c r="AM386" s="889"/>
      <c r="AN386" s="889"/>
      <c r="AO386" s="761"/>
      <c r="AP386" s="761"/>
      <c r="AR386" s="760"/>
      <c r="AS386" s="760"/>
      <c r="AT386" s="760"/>
      <c r="AU386" s="760"/>
      <c r="AW386" s="653"/>
      <c r="AX386" s="653"/>
      <c r="AY386" s="653"/>
    </row>
    <row r="387" spans="13:51" ht="17.25" customHeight="1" x14ac:dyDescent="0.25">
      <c r="M387" s="268"/>
      <c r="AK387" s="308"/>
      <c r="AQ387" s="760"/>
      <c r="AR387" s="761"/>
      <c r="AS387" s="761"/>
      <c r="AT387" s="761"/>
      <c r="AU387" s="761"/>
    </row>
    <row r="388" spans="13:51" ht="17.25" customHeight="1" x14ac:dyDescent="0.25">
      <c r="M388" s="268"/>
      <c r="AI388" s="891"/>
      <c r="AJ388" s="891"/>
      <c r="AK388" s="891"/>
      <c r="AL388" s="891"/>
      <c r="AM388" s="891"/>
      <c r="AN388" s="891"/>
      <c r="AO388" s="760"/>
      <c r="AP388" s="760"/>
      <c r="AQ388" s="516"/>
    </row>
    <row r="389" spans="13:51" ht="17.25" customHeight="1" x14ac:dyDescent="0.25">
      <c r="M389" s="268"/>
      <c r="AI389" s="892"/>
      <c r="AJ389" s="892"/>
      <c r="AK389" s="892"/>
      <c r="AL389" s="892"/>
      <c r="AM389" s="892"/>
      <c r="AN389" s="10"/>
      <c r="AO389" s="516"/>
      <c r="AP389" s="516"/>
      <c r="AQ389" s="760"/>
      <c r="AR389" s="760"/>
      <c r="AS389" s="760"/>
      <c r="AT389" s="760"/>
      <c r="AU389" s="760"/>
    </row>
    <row r="390" spans="13:51" ht="17.25" customHeight="1" x14ac:dyDescent="0.25">
      <c r="M390" s="268"/>
      <c r="AI390" s="891"/>
      <c r="AJ390" s="891"/>
      <c r="AK390" s="891"/>
      <c r="AL390" s="891"/>
      <c r="AM390" s="891"/>
      <c r="AN390" s="891"/>
      <c r="AO390" s="760"/>
      <c r="AP390" s="760"/>
      <c r="AQ390" s="761"/>
      <c r="AR390" s="516"/>
      <c r="AS390" s="516"/>
      <c r="AT390" s="516"/>
      <c r="AU390" s="516"/>
    </row>
    <row r="391" spans="13:51" ht="17.25" customHeight="1" x14ac:dyDescent="0.25">
      <c r="M391" s="268"/>
      <c r="AI391" s="891"/>
      <c r="AJ391" s="891"/>
      <c r="AK391" s="891"/>
      <c r="AL391" s="891"/>
      <c r="AM391" s="891"/>
      <c r="AN391" s="891"/>
      <c r="AO391" s="761"/>
      <c r="AP391" s="761"/>
      <c r="AR391" s="760"/>
      <c r="AS391" s="760"/>
      <c r="AT391" s="760"/>
      <c r="AU391" s="760"/>
    </row>
    <row r="392" spans="13:51" ht="17.25" customHeight="1" x14ac:dyDescent="0.25">
      <c r="M392" s="268"/>
      <c r="AI392" s="137"/>
      <c r="AJ392" s="137"/>
      <c r="AK392" s="137"/>
      <c r="AL392" s="137"/>
      <c r="AM392" s="137"/>
      <c r="AQ392" s="760"/>
      <c r="AR392" s="761"/>
      <c r="AS392" s="761"/>
      <c r="AT392" s="761"/>
      <c r="AU392" s="761"/>
    </row>
    <row r="393" spans="13:51" ht="17.25" customHeight="1" x14ac:dyDescent="0.25">
      <c r="M393" s="268"/>
      <c r="AI393" s="889"/>
      <c r="AJ393" s="889"/>
      <c r="AK393" s="889"/>
      <c r="AL393" s="889"/>
      <c r="AM393" s="889"/>
      <c r="AN393" s="889"/>
      <c r="AO393" s="760"/>
      <c r="AP393" s="760"/>
      <c r="AQ393" s="516"/>
    </row>
    <row r="394" spans="13:51" ht="17.25" customHeight="1" x14ac:dyDescent="0.25">
      <c r="M394" s="268"/>
      <c r="AI394" s="890"/>
      <c r="AJ394" s="890"/>
      <c r="AK394" s="890"/>
      <c r="AL394" s="890"/>
      <c r="AM394" s="890"/>
      <c r="AN394" s="10"/>
      <c r="AO394" s="516"/>
      <c r="AP394" s="516"/>
      <c r="AQ394" s="760"/>
      <c r="AR394" s="760"/>
      <c r="AS394" s="760"/>
      <c r="AT394" s="760"/>
      <c r="AU394" s="760"/>
    </row>
    <row r="395" spans="13:51" ht="17.25" customHeight="1" x14ac:dyDescent="0.25">
      <c r="M395" s="268"/>
      <c r="AI395" s="889"/>
      <c r="AJ395" s="889"/>
      <c r="AK395" s="889"/>
      <c r="AL395" s="889"/>
      <c r="AM395" s="889"/>
      <c r="AN395" s="889"/>
      <c r="AO395" s="760"/>
      <c r="AP395" s="760"/>
      <c r="AQ395" s="761"/>
      <c r="AR395" s="516"/>
      <c r="AS395" s="516"/>
      <c r="AT395" s="516"/>
      <c r="AU395" s="516"/>
    </row>
    <row r="396" spans="13:51" ht="17.25" customHeight="1" x14ac:dyDescent="0.25">
      <c r="M396" s="268"/>
      <c r="AI396" s="889"/>
      <c r="AJ396" s="889"/>
      <c r="AK396" s="889"/>
      <c r="AL396" s="889"/>
      <c r="AM396" s="889"/>
      <c r="AN396" s="889"/>
      <c r="AO396" s="761"/>
      <c r="AP396" s="761"/>
      <c r="AR396" s="760"/>
      <c r="AS396" s="760"/>
      <c r="AT396" s="760"/>
      <c r="AU396" s="760"/>
    </row>
    <row r="397" spans="13:51" ht="17.25" customHeight="1" x14ac:dyDescent="0.25">
      <c r="M397" s="268"/>
      <c r="AR397" s="761"/>
      <c r="AS397" s="761"/>
      <c r="AT397" s="761"/>
      <c r="AU397" s="761"/>
    </row>
    <row r="398" spans="13:51" ht="17.25" customHeight="1" x14ac:dyDescent="0.25">
      <c r="M398" s="268"/>
      <c r="AI398" s="137"/>
      <c r="AJ398" s="137"/>
      <c r="AK398" s="137"/>
      <c r="AL398" s="137"/>
      <c r="AM398" s="137"/>
      <c r="AQ398" s="760"/>
    </row>
    <row r="399" spans="13:51" ht="17.25" customHeight="1" x14ac:dyDescent="0.25">
      <c r="M399" s="268"/>
      <c r="AI399" s="889"/>
      <c r="AJ399" s="889"/>
      <c r="AK399" s="889"/>
      <c r="AL399" s="889"/>
      <c r="AM399" s="889"/>
      <c r="AN399" s="889"/>
      <c r="AO399" s="760"/>
      <c r="AP399" s="760"/>
      <c r="AR399" s="760"/>
      <c r="AS399" s="760"/>
      <c r="AT399" s="760"/>
      <c r="AU399" s="760"/>
    </row>
    <row r="400" spans="13:51" ht="17.25" customHeight="1" x14ac:dyDescent="0.25">
      <c r="M400" s="268"/>
      <c r="AI400" s="890"/>
      <c r="AJ400" s="890"/>
      <c r="AK400" s="890"/>
      <c r="AL400" s="890"/>
      <c r="AM400" s="890"/>
      <c r="AN400" s="10"/>
      <c r="AO400" s="516"/>
      <c r="AP400" s="516"/>
      <c r="AR400" s="516"/>
      <c r="AS400" s="516"/>
      <c r="AT400" s="516"/>
      <c r="AU400" s="516"/>
    </row>
    <row r="401" spans="13:13" ht="17.25" customHeight="1" x14ac:dyDescent="0.25">
      <c r="M401" s="268"/>
    </row>
    <row r="402" spans="13:13" ht="17.25" customHeight="1" x14ac:dyDescent="0.25">
      <c r="M402" s="268"/>
    </row>
    <row r="403" spans="13:13" ht="17.25" customHeight="1" x14ac:dyDescent="0.25">
      <c r="M403" s="268"/>
    </row>
    <row r="404" spans="13:13" ht="17.25" customHeight="1" x14ac:dyDescent="0.25">
      <c r="M404" s="268"/>
    </row>
    <row r="405" spans="13:13" ht="17.25" customHeight="1" x14ac:dyDescent="0.25">
      <c r="M405" s="268"/>
    </row>
    <row r="406" spans="13:13" ht="17.25" customHeight="1" x14ac:dyDescent="0.25">
      <c r="M406" s="268"/>
    </row>
    <row r="407" spans="13:13" ht="17.25" customHeight="1" x14ac:dyDescent="0.25">
      <c r="M407" s="268"/>
    </row>
    <row r="408" spans="13:13" ht="17.25" customHeight="1" x14ac:dyDescent="0.25">
      <c r="M408" s="268"/>
    </row>
    <row r="409" spans="13:13" ht="17.25" customHeight="1" x14ac:dyDescent="0.25">
      <c r="M409" s="268"/>
    </row>
    <row r="410" spans="13:13" ht="17.25" customHeight="1" x14ac:dyDescent="0.25">
      <c r="M410" s="268"/>
    </row>
    <row r="411" spans="13:13" ht="17.25" customHeight="1" x14ac:dyDescent="0.25">
      <c r="M411" s="268"/>
    </row>
    <row r="412" spans="13:13" ht="17.25" customHeight="1" x14ac:dyDescent="0.25">
      <c r="M412" s="268"/>
    </row>
    <row r="413" spans="13:13" ht="17.25" customHeight="1" x14ac:dyDescent="0.25">
      <c r="M413" s="268"/>
    </row>
    <row r="414" spans="13:13" ht="17.25" customHeight="1" x14ac:dyDescent="0.25">
      <c r="M414" s="268"/>
    </row>
    <row r="415" spans="13:13" ht="17.25" customHeight="1" x14ac:dyDescent="0.25">
      <c r="M415" s="268"/>
    </row>
    <row r="416" spans="13:13" ht="17.25" customHeight="1" x14ac:dyDescent="0.25">
      <c r="M416" s="268"/>
    </row>
    <row r="417" spans="13:13" ht="17.25" customHeight="1" x14ac:dyDescent="0.25">
      <c r="M417" s="268"/>
    </row>
    <row r="418" spans="13:13" ht="17.25" customHeight="1" x14ac:dyDescent="0.25">
      <c r="M418" s="268"/>
    </row>
    <row r="419" spans="13:13" ht="17.25" customHeight="1" x14ac:dyDescent="0.25">
      <c r="M419" s="268"/>
    </row>
    <row r="420" spans="13:13" ht="17.25" customHeight="1" x14ac:dyDescent="0.25">
      <c r="M420" s="268"/>
    </row>
    <row r="421" spans="13:13" ht="17.25" customHeight="1" x14ac:dyDescent="0.25">
      <c r="M421" s="268"/>
    </row>
    <row r="422" spans="13:13" ht="17.25" customHeight="1" x14ac:dyDescent="0.25">
      <c r="M422" s="268"/>
    </row>
    <row r="423" spans="13:13" ht="17.25" customHeight="1" x14ac:dyDescent="0.25">
      <c r="M423" s="268"/>
    </row>
    <row r="424" spans="13:13" ht="17.25" customHeight="1" x14ac:dyDescent="0.25">
      <c r="M424" s="268"/>
    </row>
    <row r="425" spans="13:13" ht="17.25" customHeight="1" x14ac:dyDescent="0.25">
      <c r="M425" s="268"/>
    </row>
    <row r="426" spans="13:13" ht="17.25" customHeight="1" x14ac:dyDescent="0.25">
      <c r="M426" s="268"/>
    </row>
    <row r="427" spans="13:13" ht="17.25" customHeight="1" x14ac:dyDescent="0.25">
      <c r="M427" s="268"/>
    </row>
    <row r="428" spans="13:13" ht="17.25" customHeight="1" x14ac:dyDescent="0.25">
      <c r="M428" s="268"/>
    </row>
    <row r="429" spans="13:13" ht="17.25" customHeight="1" x14ac:dyDescent="0.25">
      <c r="M429" s="268"/>
    </row>
    <row r="430" spans="13:13" ht="17.25" customHeight="1" x14ac:dyDescent="0.25">
      <c r="M430" s="268"/>
    </row>
    <row r="431" spans="13:13" ht="17.25" customHeight="1" x14ac:dyDescent="0.25">
      <c r="M431" s="268"/>
    </row>
    <row r="432" spans="13:13" ht="17.25" customHeight="1" x14ac:dyDescent="0.25">
      <c r="M432" s="268"/>
    </row>
    <row r="433" spans="13:13" ht="17.25" customHeight="1" x14ac:dyDescent="0.25">
      <c r="M433" s="268"/>
    </row>
    <row r="434" spans="13:13" ht="17.25" customHeight="1" x14ac:dyDescent="0.25">
      <c r="M434" s="268"/>
    </row>
    <row r="435" spans="13:13" ht="17.25" customHeight="1" x14ac:dyDescent="0.25">
      <c r="M435" s="268"/>
    </row>
    <row r="436" spans="13:13" ht="17.25" customHeight="1" x14ac:dyDescent="0.25">
      <c r="M436" s="268"/>
    </row>
    <row r="437" spans="13:13" ht="17.25" customHeight="1" x14ac:dyDescent="0.25">
      <c r="M437" s="268"/>
    </row>
    <row r="438" spans="13:13" ht="17.25" customHeight="1" x14ac:dyDescent="0.25">
      <c r="M438" s="268"/>
    </row>
    <row r="439" spans="13:13" ht="17.25" customHeight="1" x14ac:dyDescent="0.25">
      <c r="M439" s="268"/>
    </row>
    <row r="440" spans="13:13" ht="17.25" customHeight="1" x14ac:dyDescent="0.25">
      <c r="M440" s="268"/>
    </row>
    <row r="441" spans="13:13" ht="17.25" customHeight="1" x14ac:dyDescent="0.25">
      <c r="M441" s="268"/>
    </row>
    <row r="442" spans="13:13" ht="17.25" customHeight="1" x14ac:dyDescent="0.25">
      <c r="M442" s="268"/>
    </row>
    <row r="443" spans="13:13" ht="17.25" customHeight="1" x14ac:dyDescent="0.25">
      <c r="M443" s="268"/>
    </row>
    <row r="444" spans="13:13" ht="17.25" customHeight="1" x14ac:dyDescent="0.25">
      <c r="M444" s="268"/>
    </row>
    <row r="445" spans="13:13" ht="17.25" customHeight="1" x14ac:dyDescent="0.25">
      <c r="M445" s="268"/>
    </row>
    <row r="446" spans="13:13" ht="17.25" customHeight="1" x14ac:dyDescent="0.25">
      <c r="M446" s="268"/>
    </row>
    <row r="447" spans="13:13" ht="17.25" customHeight="1" x14ac:dyDescent="0.25">
      <c r="M447" s="268"/>
    </row>
    <row r="448" spans="13:13" ht="17.25" customHeight="1" x14ac:dyDescent="0.25">
      <c r="M448" s="268"/>
    </row>
    <row r="449" spans="13:13" ht="17.25" customHeight="1" x14ac:dyDescent="0.25">
      <c r="M449" s="268"/>
    </row>
    <row r="450" spans="13:13" ht="17.25" customHeight="1" x14ac:dyDescent="0.25">
      <c r="M450" s="268"/>
    </row>
    <row r="451" spans="13:13" ht="17.25" customHeight="1" x14ac:dyDescent="0.25">
      <c r="M451" s="268"/>
    </row>
    <row r="452" spans="13:13" ht="17.25" customHeight="1" x14ac:dyDescent="0.25">
      <c r="M452" s="268"/>
    </row>
    <row r="453" spans="13:13" ht="17.25" customHeight="1" x14ac:dyDescent="0.25">
      <c r="M453" s="268"/>
    </row>
    <row r="454" spans="13:13" ht="17.25" customHeight="1" x14ac:dyDescent="0.25">
      <c r="M454" s="268"/>
    </row>
    <row r="455" spans="13:13" ht="17.25" customHeight="1" x14ac:dyDescent="0.25">
      <c r="M455" s="268"/>
    </row>
    <row r="456" spans="13:13" ht="17.25" customHeight="1" x14ac:dyDescent="0.25">
      <c r="M456" s="268"/>
    </row>
    <row r="457" spans="13:13" ht="17.25" customHeight="1" x14ac:dyDescent="0.25">
      <c r="M457" s="268"/>
    </row>
    <row r="458" spans="13:13" ht="17.25" customHeight="1" x14ac:dyDescent="0.25">
      <c r="M458" s="268"/>
    </row>
    <row r="459" spans="13:13" ht="17.25" customHeight="1" x14ac:dyDescent="0.25">
      <c r="M459" s="268"/>
    </row>
    <row r="460" spans="13:13" ht="17.25" customHeight="1" x14ac:dyDescent="0.25">
      <c r="M460" s="268"/>
    </row>
    <row r="461" spans="13:13" ht="17.25" customHeight="1" x14ac:dyDescent="0.25">
      <c r="M461" s="268"/>
    </row>
    <row r="462" spans="13:13" ht="17.25" customHeight="1" x14ac:dyDescent="0.25">
      <c r="M462" s="268"/>
    </row>
    <row r="463" spans="13:13" ht="17.25" customHeight="1" x14ac:dyDescent="0.25">
      <c r="M463" s="268"/>
    </row>
    <row r="464" spans="13:13" ht="17.25" customHeight="1" x14ac:dyDescent="0.25">
      <c r="M464" s="268"/>
    </row>
    <row r="465" spans="13:13" ht="17.25" customHeight="1" x14ac:dyDescent="0.25">
      <c r="M465" s="268"/>
    </row>
    <row r="466" spans="13:13" ht="17.25" customHeight="1" x14ac:dyDescent="0.25">
      <c r="M466" s="268"/>
    </row>
    <row r="467" spans="13:13" ht="17.25" customHeight="1" x14ac:dyDescent="0.25">
      <c r="M467" s="268"/>
    </row>
    <row r="468" spans="13:13" ht="17.25" customHeight="1" x14ac:dyDescent="0.25">
      <c r="M468" s="268"/>
    </row>
    <row r="469" spans="13:13" ht="17.25" customHeight="1" x14ac:dyDescent="0.25">
      <c r="M469" s="268"/>
    </row>
    <row r="470" spans="13:13" ht="17.25" customHeight="1" x14ac:dyDescent="0.25">
      <c r="M470" s="268"/>
    </row>
    <row r="471" spans="13:13" ht="17.25" customHeight="1" x14ac:dyDescent="0.25">
      <c r="M471" s="268"/>
    </row>
    <row r="472" spans="13:13" ht="17.25" customHeight="1" x14ac:dyDescent="0.25">
      <c r="M472" s="268"/>
    </row>
    <row r="473" spans="13:13" ht="17.25" customHeight="1" x14ac:dyDescent="0.25">
      <c r="M473" s="268"/>
    </row>
    <row r="474" spans="13:13" ht="17.25" customHeight="1" x14ac:dyDescent="0.25">
      <c r="M474" s="268"/>
    </row>
    <row r="475" spans="13:13" ht="17.25" customHeight="1" x14ac:dyDescent="0.25">
      <c r="M475" s="268"/>
    </row>
    <row r="476" spans="13:13" ht="17.25" customHeight="1" x14ac:dyDescent="0.25">
      <c r="M476" s="268"/>
    </row>
    <row r="477" spans="13:13" ht="17.25" customHeight="1" x14ac:dyDescent="0.25">
      <c r="M477" s="268"/>
    </row>
    <row r="478" spans="13:13" ht="17.25" customHeight="1" x14ac:dyDescent="0.25">
      <c r="M478" s="268"/>
    </row>
    <row r="479" spans="13:13" ht="17.25" customHeight="1" x14ac:dyDescent="0.25">
      <c r="M479" s="268"/>
    </row>
    <row r="480" spans="13:13" ht="17.25" customHeight="1" x14ac:dyDescent="0.25">
      <c r="M480" s="268"/>
    </row>
    <row r="481" spans="13:58" ht="17.25" customHeight="1" x14ac:dyDescent="0.25">
      <c r="M481" s="268"/>
    </row>
    <row r="482" spans="13:58" ht="17.25" customHeight="1" x14ac:dyDescent="0.25">
      <c r="M482" s="268"/>
    </row>
    <row r="483" spans="13:58" ht="17.25" customHeight="1" x14ac:dyDescent="0.25">
      <c r="M483" s="268"/>
    </row>
    <row r="484" spans="13:58" ht="17.25" customHeight="1" x14ac:dyDescent="0.25">
      <c r="M484" s="268"/>
    </row>
    <row r="485" spans="13:58" ht="17.25" customHeight="1" x14ac:dyDescent="0.25">
      <c r="M485" s="268"/>
    </row>
    <row r="486" spans="13:58" ht="17.25" customHeight="1" x14ac:dyDescent="0.25">
      <c r="M486" s="268"/>
    </row>
    <row r="487" spans="13:58" ht="17.25" customHeight="1" x14ac:dyDescent="0.25">
      <c r="M487" s="268"/>
    </row>
    <row r="488" spans="13:58" ht="17.25" customHeight="1" x14ac:dyDescent="0.25">
      <c r="M488" s="268"/>
    </row>
    <row r="489" spans="13:58" ht="17.25" customHeight="1" x14ac:dyDescent="0.25">
      <c r="M489" s="268"/>
    </row>
    <row r="490" spans="13:58" ht="17.25" customHeight="1" x14ac:dyDescent="0.25">
      <c r="M490" s="268"/>
    </row>
    <row r="491" spans="13:58" ht="17.25" customHeight="1" x14ac:dyDescent="0.25">
      <c r="M491" s="268"/>
    </row>
    <row r="492" spans="13:58" ht="17.25" customHeight="1" x14ac:dyDescent="0.25">
      <c r="M492" s="268"/>
    </row>
    <row r="493" spans="13:58" ht="17.25" customHeight="1" x14ac:dyDescent="0.25">
      <c r="M493" s="268"/>
    </row>
    <row r="494" spans="13:58" ht="17.25" customHeight="1" x14ac:dyDescent="0.25">
      <c r="M494" s="268"/>
    </row>
    <row r="495" spans="13:58" ht="17.25" customHeight="1" x14ac:dyDescent="0.25">
      <c r="M495" s="268"/>
      <c r="BF495" s="762" t="s">
        <v>1160</v>
      </c>
    </row>
  </sheetData>
  <mergeCells count="988">
    <mergeCell ref="AO26:AQ26"/>
    <mergeCell ref="B27:C27"/>
    <mergeCell ref="E31:H31"/>
    <mergeCell ref="A33:A36"/>
    <mergeCell ref="E34:H34"/>
    <mergeCell ref="AF34:AH34"/>
    <mergeCell ref="AC36:AE36"/>
    <mergeCell ref="A1:BI1"/>
    <mergeCell ref="U10:AU21"/>
    <mergeCell ref="E13:G13"/>
    <mergeCell ref="O14:P14"/>
    <mergeCell ref="A16:B16"/>
    <mergeCell ref="L18:M18"/>
    <mergeCell ref="P19:T19"/>
    <mergeCell ref="A44:B44"/>
    <mergeCell ref="C44:C45"/>
    <mergeCell ref="D44:D45"/>
    <mergeCell ref="J44:J45"/>
    <mergeCell ref="K44:K45"/>
    <mergeCell ref="W44:Z44"/>
    <mergeCell ref="C37:C38"/>
    <mergeCell ref="D37:D38"/>
    <mergeCell ref="I37:I38"/>
    <mergeCell ref="N38:O38"/>
    <mergeCell ref="Y39:Y40"/>
    <mergeCell ref="E41:I41"/>
    <mergeCell ref="BI57:BI59"/>
    <mergeCell ref="AX58:BC62"/>
    <mergeCell ref="E60:H60"/>
    <mergeCell ref="AB44:AE44"/>
    <mergeCell ref="AN44:AP44"/>
    <mergeCell ref="AV44:AX44"/>
    <mergeCell ref="AI46:AK46"/>
    <mergeCell ref="BF46:BI56"/>
    <mergeCell ref="E48:H48"/>
    <mergeCell ref="AB52:AE52"/>
    <mergeCell ref="Q43:R45"/>
    <mergeCell ref="V43:X43"/>
    <mergeCell ref="E67:H67"/>
    <mergeCell ref="AC70:AD73"/>
    <mergeCell ref="AF70:AI73"/>
    <mergeCell ref="E73:H73"/>
    <mergeCell ref="A75:B75"/>
    <mergeCell ref="I76:K76"/>
    <mergeCell ref="A53:B53"/>
    <mergeCell ref="AH53:AH54"/>
    <mergeCell ref="W55:Y55"/>
    <mergeCell ref="AC56:AE56"/>
    <mergeCell ref="W113:X113"/>
    <mergeCell ref="Y113:Z113"/>
    <mergeCell ref="A111:I111"/>
    <mergeCell ref="J111:M111"/>
    <mergeCell ref="Q111:T111"/>
    <mergeCell ref="W111:Z111"/>
    <mergeCell ref="Q112:R112"/>
    <mergeCell ref="S112:T112"/>
    <mergeCell ref="W112:X112"/>
    <mergeCell ref="Y112:Z112"/>
    <mergeCell ref="U114:V114"/>
    <mergeCell ref="A115:D115"/>
    <mergeCell ref="A116:D116"/>
    <mergeCell ref="A118:D118"/>
    <mergeCell ref="A119:D119"/>
    <mergeCell ref="A120:D120"/>
    <mergeCell ref="A113:F113"/>
    <mergeCell ref="G113:I113"/>
    <mergeCell ref="Q113:R113"/>
    <mergeCell ref="S113:T113"/>
    <mergeCell ref="A123:Z123"/>
    <mergeCell ref="D124:H124"/>
    <mergeCell ref="I124:J124"/>
    <mergeCell ref="Q124:U124"/>
    <mergeCell ref="V124:W124"/>
    <mergeCell ref="AC124:AF125"/>
    <mergeCell ref="D125:H125"/>
    <mergeCell ref="I125:J125"/>
    <mergeCell ref="Q125:U125"/>
    <mergeCell ref="V125:W125"/>
    <mergeCell ref="AI125:AN125"/>
    <mergeCell ref="AR125:AW125"/>
    <mergeCell ref="D126:H126"/>
    <mergeCell ref="I126:J126"/>
    <mergeCell ref="Q126:U126"/>
    <mergeCell ref="V126:W126"/>
    <mergeCell ref="AC126:AD126"/>
    <mergeCell ref="AI126:AM126"/>
    <mergeCell ref="AR126:AV126"/>
    <mergeCell ref="AI129:AM129"/>
    <mergeCell ref="AR129:AV129"/>
    <mergeCell ref="A130:I130"/>
    <mergeCell ref="N130:V130"/>
    <mergeCell ref="AI130:AM130"/>
    <mergeCell ref="AR130:AV130"/>
    <mergeCell ref="AR127:AV127"/>
    <mergeCell ref="D128:H128"/>
    <mergeCell ref="I128:J128"/>
    <mergeCell ref="Q128:U128"/>
    <mergeCell ref="V128:W128"/>
    <mergeCell ref="AI128:AM128"/>
    <mergeCell ref="AR128:AV128"/>
    <mergeCell ref="D127:H127"/>
    <mergeCell ref="I127:J127"/>
    <mergeCell ref="Q127:U127"/>
    <mergeCell ref="V127:W127"/>
    <mergeCell ref="AC127:AF127"/>
    <mergeCell ref="AI127:AM127"/>
    <mergeCell ref="A132:C132"/>
    <mergeCell ref="G132:I132"/>
    <mergeCell ref="N132:P132"/>
    <mergeCell ref="T132:V132"/>
    <mergeCell ref="AI132:AM132"/>
    <mergeCell ref="AR132:AV132"/>
    <mergeCell ref="A131:C131"/>
    <mergeCell ref="G131:I131"/>
    <mergeCell ref="N131:P131"/>
    <mergeCell ref="T131:V131"/>
    <mergeCell ref="AI131:AM131"/>
    <mergeCell ref="AR131:AV131"/>
    <mergeCell ref="A134:C134"/>
    <mergeCell ref="G134:I134"/>
    <mergeCell ref="N134:P134"/>
    <mergeCell ref="T134:V134"/>
    <mergeCell ref="AI134:AM134"/>
    <mergeCell ref="AR134:AV134"/>
    <mergeCell ref="A133:C133"/>
    <mergeCell ref="G133:I133"/>
    <mergeCell ref="N133:P133"/>
    <mergeCell ref="T133:V133"/>
    <mergeCell ref="AI133:AM133"/>
    <mergeCell ref="AR133:AV133"/>
    <mergeCell ref="A136:C136"/>
    <mergeCell ref="G136:I136"/>
    <mergeCell ref="N136:P136"/>
    <mergeCell ref="T136:V136"/>
    <mergeCell ref="AI136:AM136"/>
    <mergeCell ref="AR136:AV136"/>
    <mergeCell ref="A135:C135"/>
    <mergeCell ref="G135:I135"/>
    <mergeCell ref="N135:P135"/>
    <mergeCell ref="T135:V135"/>
    <mergeCell ref="AI135:AM135"/>
    <mergeCell ref="AR135:AV135"/>
    <mergeCell ref="A138:C138"/>
    <mergeCell ref="G138:I138"/>
    <mergeCell ref="N138:P138"/>
    <mergeCell ref="T138:V138"/>
    <mergeCell ref="AI138:AM138"/>
    <mergeCell ref="AR138:AV138"/>
    <mergeCell ref="A137:C137"/>
    <mergeCell ref="G137:I137"/>
    <mergeCell ref="N137:P137"/>
    <mergeCell ref="T137:V137"/>
    <mergeCell ref="AI137:AM137"/>
    <mergeCell ref="AR137:AV137"/>
    <mergeCell ref="A140:C140"/>
    <mergeCell ref="G140:I140"/>
    <mergeCell ref="N140:P140"/>
    <mergeCell ref="T140:V140"/>
    <mergeCell ref="AI140:AM140"/>
    <mergeCell ref="AR140:AV140"/>
    <mergeCell ref="A139:C139"/>
    <mergeCell ref="G139:I139"/>
    <mergeCell ref="N139:P139"/>
    <mergeCell ref="T139:V139"/>
    <mergeCell ref="AI139:AM139"/>
    <mergeCell ref="AR139:AV139"/>
    <mergeCell ref="A142:C142"/>
    <mergeCell ref="G142:I142"/>
    <mergeCell ref="N142:P142"/>
    <mergeCell ref="T142:V142"/>
    <mergeCell ref="AI142:AM142"/>
    <mergeCell ref="AR142:AV142"/>
    <mergeCell ref="A141:C141"/>
    <mergeCell ref="G141:I141"/>
    <mergeCell ref="N141:P141"/>
    <mergeCell ref="T141:V141"/>
    <mergeCell ref="AI141:AM141"/>
    <mergeCell ref="AR141:AV141"/>
    <mergeCell ref="A144:C144"/>
    <mergeCell ref="G144:I144"/>
    <mergeCell ref="N144:P144"/>
    <mergeCell ref="T144:V144"/>
    <mergeCell ref="AI144:AM144"/>
    <mergeCell ref="AR144:AV144"/>
    <mergeCell ref="A143:C143"/>
    <mergeCell ref="G143:I143"/>
    <mergeCell ref="N143:P143"/>
    <mergeCell ref="T143:V143"/>
    <mergeCell ref="AI143:AM143"/>
    <mergeCell ref="AR143:AV143"/>
    <mergeCell ref="A146:C146"/>
    <mergeCell ref="G146:I146"/>
    <mergeCell ref="N146:P146"/>
    <mergeCell ref="T146:V146"/>
    <mergeCell ref="AI146:AM146"/>
    <mergeCell ref="AR146:AV146"/>
    <mergeCell ref="A145:C145"/>
    <mergeCell ref="G145:I145"/>
    <mergeCell ref="N145:P145"/>
    <mergeCell ref="T145:V145"/>
    <mergeCell ref="AI145:AM145"/>
    <mergeCell ref="AR145:AV145"/>
    <mergeCell ref="A148:C148"/>
    <mergeCell ref="G148:I148"/>
    <mergeCell ref="N148:P148"/>
    <mergeCell ref="T148:V148"/>
    <mergeCell ref="AI148:AM148"/>
    <mergeCell ref="AR148:AV148"/>
    <mergeCell ref="A147:C147"/>
    <mergeCell ref="G147:I147"/>
    <mergeCell ref="N147:P147"/>
    <mergeCell ref="T147:V147"/>
    <mergeCell ref="AI147:AM147"/>
    <mergeCell ref="AR147:AV147"/>
    <mergeCell ref="A150:C150"/>
    <mergeCell ref="G150:I150"/>
    <mergeCell ref="N150:P150"/>
    <mergeCell ref="T150:V150"/>
    <mergeCell ref="AI150:AM150"/>
    <mergeCell ref="AR150:AV150"/>
    <mergeCell ref="A149:C149"/>
    <mergeCell ref="G149:I149"/>
    <mergeCell ref="N149:P149"/>
    <mergeCell ref="T149:V149"/>
    <mergeCell ref="AI149:AM149"/>
    <mergeCell ref="AR149:AV149"/>
    <mergeCell ref="AR151:AV151"/>
    <mergeCell ref="A152:E152"/>
    <mergeCell ref="G152:I152"/>
    <mergeCell ref="N152:R152"/>
    <mergeCell ref="T152:V152"/>
    <mergeCell ref="AI152:AM152"/>
    <mergeCell ref="AR152:AV152"/>
    <mergeCell ref="A151:C151"/>
    <mergeCell ref="G151:I151"/>
    <mergeCell ref="N151:P151"/>
    <mergeCell ref="T151:V151"/>
    <mergeCell ref="AC151:AF151"/>
    <mergeCell ref="AI151:AM151"/>
    <mergeCell ref="A153:I153"/>
    <mergeCell ref="N153:V153"/>
    <mergeCell ref="AI153:AM153"/>
    <mergeCell ref="AR153:AV153"/>
    <mergeCell ref="A154:C154"/>
    <mergeCell ref="G154:I154"/>
    <mergeCell ref="N154:P154"/>
    <mergeCell ref="T154:V154"/>
    <mergeCell ref="AI154:AM154"/>
    <mergeCell ref="AR154:AV154"/>
    <mergeCell ref="A156:C156"/>
    <mergeCell ref="G156:I156"/>
    <mergeCell ref="N156:P156"/>
    <mergeCell ref="T156:V156"/>
    <mergeCell ref="AI156:AM156"/>
    <mergeCell ref="AR156:AV156"/>
    <mergeCell ref="A155:C155"/>
    <mergeCell ref="G155:I155"/>
    <mergeCell ref="N155:P155"/>
    <mergeCell ref="T155:V155"/>
    <mergeCell ref="AI155:AM155"/>
    <mergeCell ref="AR155:AV155"/>
    <mergeCell ref="A158:C158"/>
    <mergeCell ref="G158:I158"/>
    <mergeCell ref="N158:P158"/>
    <mergeCell ref="T158:V158"/>
    <mergeCell ref="AI158:AM158"/>
    <mergeCell ref="AR158:AV158"/>
    <mergeCell ref="A157:C157"/>
    <mergeCell ref="G157:I157"/>
    <mergeCell ref="N157:P157"/>
    <mergeCell ref="T157:V157"/>
    <mergeCell ref="AI157:AM157"/>
    <mergeCell ref="AR157:AV157"/>
    <mergeCell ref="A160:C160"/>
    <mergeCell ref="G160:I160"/>
    <mergeCell ref="N160:P160"/>
    <mergeCell ref="T160:V160"/>
    <mergeCell ref="AI160:AM160"/>
    <mergeCell ref="AR160:AV160"/>
    <mergeCell ref="A159:C159"/>
    <mergeCell ref="G159:I159"/>
    <mergeCell ref="N159:P159"/>
    <mergeCell ref="T159:V159"/>
    <mergeCell ref="AI159:AM159"/>
    <mergeCell ref="AR159:AV159"/>
    <mergeCell ref="A162:C162"/>
    <mergeCell ref="G162:I162"/>
    <mergeCell ref="N162:P162"/>
    <mergeCell ref="T162:V162"/>
    <mergeCell ref="AI162:AM162"/>
    <mergeCell ref="AR162:AV162"/>
    <mergeCell ref="A161:C161"/>
    <mergeCell ref="G161:I161"/>
    <mergeCell ref="N161:P161"/>
    <mergeCell ref="T161:V161"/>
    <mergeCell ref="AI161:AM161"/>
    <mergeCell ref="AR161:AV161"/>
    <mergeCell ref="A165:C165"/>
    <mergeCell ref="G165:I165"/>
    <mergeCell ref="N165:P165"/>
    <mergeCell ref="T165:V165"/>
    <mergeCell ref="AI165:AM165"/>
    <mergeCell ref="AR165:AV165"/>
    <mergeCell ref="A163:C163"/>
    <mergeCell ref="G163:I163"/>
    <mergeCell ref="N163:P163"/>
    <mergeCell ref="T163:V163"/>
    <mergeCell ref="AI163:AM163"/>
    <mergeCell ref="A164:C164"/>
    <mergeCell ref="G164:I164"/>
    <mergeCell ref="N164:P164"/>
    <mergeCell ref="T164:V164"/>
    <mergeCell ref="AI164:AM164"/>
    <mergeCell ref="A167:C167"/>
    <mergeCell ref="G167:I167"/>
    <mergeCell ref="N167:P167"/>
    <mergeCell ref="T167:V167"/>
    <mergeCell ref="AI167:AM167"/>
    <mergeCell ref="AR167:AV167"/>
    <mergeCell ref="A166:C166"/>
    <mergeCell ref="G166:I166"/>
    <mergeCell ref="N166:P166"/>
    <mergeCell ref="T166:V166"/>
    <mergeCell ref="AI166:AM166"/>
    <mergeCell ref="AR166:AV166"/>
    <mergeCell ref="AR169:AW169"/>
    <mergeCell ref="A170:C170"/>
    <mergeCell ref="G170:I170"/>
    <mergeCell ref="N170:P170"/>
    <mergeCell ref="T170:V170"/>
    <mergeCell ref="AI170:AM170"/>
    <mergeCell ref="AR170:AV170"/>
    <mergeCell ref="A168:C168"/>
    <mergeCell ref="G168:I168"/>
    <mergeCell ref="N168:P168"/>
    <mergeCell ref="T168:V168"/>
    <mergeCell ref="AI168:AM168"/>
    <mergeCell ref="A169:C169"/>
    <mergeCell ref="G169:I169"/>
    <mergeCell ref="N169:P169"/>
    <mergeCell ref="T169:V169"/>
    <mergeCell ref="AI169:AM169"/>
    <mergeCell ref="A172:E172"/>
    <mergeCell ref="G172:I172"/>
    <mergeCell ref="N172:R172"/>
    <mergeCell ref="T172:V172"/>
    <mergeCell ref="AI172:AM172"/>
    <mergeCell ref="AR172:AV172"/>
    <mergeCell ref="A171:C171"/>
    <mergeCell ref="G171:I171"/>
    <mergeCell ref="N171:P171"/>
    <mergeCell ref="T171:V171"/>
    <mergeCell ref="AI171:AM171"/>
    <mergeCell ref="AR171:AV171"/>
    <mergeCell ref="A173:I173"/>
    <mergeCell ref="N173:V173"/>
    <mergeCell ref="AI173:AM173"/>
    <mergeCell ref="AR173:AV173"/>
    <mergeCell ref="A174:C174"/>
    <mergeCell ref="G174:I174"/>
    <mergeCell ref="N174:P174"/>
    <mergeCell ref="T174:V174"/>
    <mergeCell ref="AI174:AM174"/>
    <mergeCell ref="AR174:AV174"/>
    <mergeCell ref="A176:E176"/>
    <mergeCell ref="G176:I176"/>
    <mergeCell ref="N176:R176"/>
    <mergeCell ref="T176:V176"/>
    <mergeCell ref="AI176:AM176"/>
    <mergeCell ref="AR176:AV176"/>
    <mergeCell ref="A175:C175"/>
    <mergeCell ref="G175:I175"/>
    <mergeCell ref="N175:P175"/>
    <mergeCell ref="T175:V175"/>
    <mergeCell ref="AI175:AM175"/>
    <mergeCell ref="AR175:AV175"/>
    <mergeCell ref="A179:C179"/>
    <mergeCell ref="G179:I179"/>
    <mergeCell ref="N179:P179"/>
    <mergeCell ref="T179:V179"/>
    <mergeCell ref="AI179:AM179"/>
    <mergeCell ref="AR179:AV179"/>
    <mergeCell ref="A177:I177"/>
    <mergeCell ref="N177:V177"/>
    <mergeCell ref="AI177:AM177"/>
    <mergeCell ref="AR177:AV177"/>
    <mergeCell ref="A178:C178"/>
    <mergeCell ref="G178:I178"/>
    <mergeCell ref="N178:P178"/>
    <mergeCell ref="T178:V178"/>
    <mergeCell ref="AI178:AM178"/>
    <mergeCell ref="AR178:AV178"/>
    <mergeCell ref="A181:C181"/>
    <mergeCell ref="G181:I181"/>
    <mergeCell ref="N181:P181"/>
    <mergeCell ref="T181:V181"/>
    <mergeCell ref="AI181:AM181"/>
    <mergeCell ref="AR181:AV181"/>
    <mergeCell ref="A180:C180"/>
    <mergeCell ref="G180:I180"/>
    <mergeCell ref="N180:P180"/>
    <mergeCell ref="T180:V180"/>
    <mergeCell ref="AI180:AM180"/>
    <mergeCell ref="AR180:AV180"/>
    <mergeCell ref="A183:C183"/>
    <mergeCell ref="G183:I183"/>
    <mergeCell ref="N183:P183"/>
    <mergeCell ref="T183:V183"/>
    <mergeCell ref="AI183:AM183"/>
    <mergeCell ref="AR183:AV183"/>
    <mergeCell ref="A182:C182"/>
    <mergeCell ref="G182:I182"/>
    <mergeCell ref="N182:P182"/>
    <mergeCell ref="T182:V182"/>
    <mergeCell ref="AI182:AM182"/>
    <mergeCell ref="AR182:AV182"/>
    <mergeCell ref="A185:C185"/>
    <mergeCell ref="G185:I185"/>
    <mergeCell ref="N185:P185"/>
    <mergeCell ref="T185:V185"/>
    <mergeCell ref="AI185:AM185"/>
    <mergeCell ref="AR185:AV185"/>
    <mergeCell ref="A184:C184"/>
    <mergeCell ref="G184:I184"/>
    <mergeCell ref="N184:P184"/>
    <mergeCell ref="T184:V184"/>
    <mergeCell ref="AI184:AM184"/>
    <mergeCell ref="AR184:AV184"/>
    <mergeCell ref="A187:C187"/>
    <mergeCell ref="G187:I187"/>
    <mergeCell ref="N187:P187"/>
    <mergeCell ref="T187:V187"/>
    <mergeCell ref="AI187:AM187"/>
    <mergeCell ref="AR187:AV187"/>
    <mergeCell ref="A186:C186"/>
    <mergeCell ref="G186:I186"/>
    <mergeCell ref="N186:P186"/>
    <mergeCell ref="T186:V186"/>
    <mergeCell ref="AI186:AM186"/>
    <mergeCell ref="AR186:AV186"/>
    <mergeCell ref="A189:C189"/>
    <mergeCell ref="G189:I189"/>
    <mergeCell ref="N189:P189"/>
    <mergeCell ref="T189:V189"/>
    <mergeCell ref="AI189:AM189"/>
    <mergeCell ref="AR189:AV189"/>
    <mergeCell ref="A188:C188"/>
    <mergeCell ref="G188:I188"/>
    <mergeCell ref="N188:P188"/>
    <mergeCell ref="T188:V188"/>
    <mergeCell ref="AI188:AM188"/>
    <mergeCell ref="AR188:AV188"/>
    <mergeCell ref="A191:C191"/>
    <mergeCell ref="G191:I191"/>
    <mergeCell ref="N191:P191"/>
    <mergeCell ref="T191:V191"/>
    <mergeCell ref="AI191:AM191"/>
    <mergeCell ref="AR191:AV191"/>
    <mergeCell ref="A190:C190"/>
    <mergeCell ref="G190:I190"/>
    <mergeCell ref="N190:P190"/>
    <mergeCell ref="T190:V190"/>
    <mergeCell ref="AI190:AM190"/>
    <mergeCell ref="AR190:AV190"/>
    <mergeCell ref="A193:C193"/>
    <mergeCell ref="G193:I193"/>
    <mergeCell ref="N193:P193"/>
    <mergeCell ref="T193:V193"/>
    <mergeCell ref="AI193:AM193"/>
    <mergeCell ref="AR193:AV193"/>
    <mergeCell ref="A192:C192"/>
    <mergeCell ref="G192:I192"/>
    <mergeCell ref="N192:P192"/>
    <mergeCell ref="T192:V192"/>
    <mergeCell ref="AI192:AM192"/>
    <mergeCell ref="AR192:AV192"/>
    <mergeCell ref="A195:E195"/>
    <mergeCell ref="G195:I195"/>
    <mergeCell ref="N195:R195"/>
    <mergeCell ref="T195:V195"/>
    <mergeCell ref="AI195:AM195"/>
    <mergeCell ref="AR195:AV195"/>
    <mergeCell ref="A194:C194"/>
    <mergeCell ref="G194:I194"/>
    <mergeCell ref="N194:P194"/>
    <mergeCell ref="T194:V194"/>
    <mergeCell ref="AI194:AM194"/>
    <mergeCell ref="AR194:AV194"/>
    <mergeCell ref="AI196:AM196"/>
    <mergeCell ref="AR196:AV196"/>
    <mergeCell ref="AI197:AM197"/>
    <mergeCell ref="AR197:AV197"/>
    <mergeCell ref="A198:E198"/>
    <mergeCell ref="G198:I198"/>
    <mergeCell ref="N198:R198"/>
    <mergeCell ref="T198:V198"/>
    <mergeCell ref="AI198:AM198"/>
    <mergeCell ref="AR198:AV198"/>
    <mergeCell ref="AI199:AM199"/>
    <mergeCell ref="AR199:AV199"/>
    <mergeCell ref="A200:C200"/>
    <mergeCell ref="D200:E200"/>
    <mergeCell ref="G200:I200"/>
    <mergeCell ref="N200:P200"/>
    <mergeCell ref="Q200:R200"/>
    <mergeCell ref="T200:V200"/>
    <mergeCell ref="AI200:AM200"/>
    <mergeCell ref="AR200:AV200"/>
    <mergeCell ref="A199:C199"/>
    <mergeCell ref="D199:E199"/>
    <mergeCell ref="G199:I199"/>
    <mergeCell ref="N199:P199"/>
    <mergeCell ref="Q199:R199"/>
    <mergeCell ref="T199:V199"/>
    <mergeCell ref="A203:E203"/>
    <mergeCell ref="G203:I203"/>
    <mergeCell ref="N203:R203"/>
    <mergeCell ref="T203:V203"/>
    <mergeCell ref="AI203:AM203"/>
    <mergeCell ref="AR203:AV203"/>
    <mergeCell ref="AI201:AM201"/>
    <mergeCell ref="AR201:AV201"/>
    <mergeCell ref="A202:C202"/>
    <mergeCell ref="D202:E202"/>
    <mergeCell ref="G202:I202"/>
    <mergeCell ref="N202:P202"/>
    <mergeCell ref="Q202:R202"/>
    <mergeCell ref="T202:V202"/>
    <mergeCell ref="AI202:AM202"/>
    <mergeCell ref="AR202:AV202"/>
    <mergeCell ref="A201:C201"/>
    <mergeCell ref="D201:E201"/>
    <mergeCell ref="G201:I201"/>
    <mergeCell ref="N201:P201"/>
    <mergeCell ref="Q201:R201"/>
    <mergeCell ref="T201:V201"/>
    <mergeCell ref="AR204:AV204"/>
    <mergeCell ref="AI205:AN205"/>
    <mergeCell ref="AR205:AV205"/>
    <mergeCell ref="A206:E206"/>
    <mergeCell ref="G206:I206"/>
    <mergeCell ref="N206:R206"/>
    <mergeCell ref="T206:V206"/>
    <mergeCell ref="AI206:AM206"/>
    <mergeCell ref="AR206:AV206"/>
    <mergeCell ref="AI207:AM207"/>
    <mergeCell ref="AR207:AV207"/>
    <mergeCell ref="A208:C208"/>
    <mergeCell ref="D208:E208"/>
    <mergeCell ref="G208:I208"/>
    <mergeCell ref="N208:P208"/>
    <mergeCell ref="Q208:R208"/>
    <mergeCell ref="T208:V208"/>
    <mergeCell ref="AI208:AM208"/>
    <mergeCell ref="AR208:AV208"/>
    <mergeCell ref="A207:C207"/>
    <mergeCell ref="D207:E207"/>
    <mergeCell ref="G207:I207"/>
    <mergeCell ref="N207:P207"/>
    <mergeCell ref="Q207:R207"/>
    <mergeCell ref="T207:V207"/>
    <mergeCell ref="AI209:AM209"/>
    <mergeCell ref="AR209:AV209"/>
    <mergeCell ref="A210:E210"/>
    <mergeCell ref="G210:I210"/>
    <mergeCell ref="N210:R210"/>
    <mergeCell ref="T210:V210"/>
    <mergeCell ref="AI210:AM210"/>
    <mergeCell ref="AR210:AV210"/>
    <mergeCell ref="A209:C209"/>
    <mergeCell ref="D209:E209"/>
    <mergeCell ref="G209:I209"/>
    <mergeCell ref="N209:P209"/>
    <mergeCell ref="Q209:R209"/>
    <mergeCell ref="T209:V209"/>
    <mergeCell ref="AI211:AM211"/>
    <mergeCell ref="AR211:AV211"/>
    <mergeCell ref="AI212:AM212"/>
    <mergeCell ref="AR212:AV212"/>
    <mergeCell ref="A213:E213"/>
    <mergeCell ref="G213:I213"/>
    <mergeCell ref="N213:R213"/>
    <mergeCell ref="T213:V213"/>
    <mergeCell ref="AI213:AM213"/>
    <mergeCell ref="AR213:AV213"/>
    <mergeCell ref="AI214:AM214"/>
    <mergeCell ref="AR214:AV214"/>
    <mergeCell ref="A215:C215"/>
    <mergeCell ref="D215:E215"/>
    <mergeCell ref="G215:I215"/>
    <mergeCell ref="N215:P215"/>
    <mergeCell ref="Q215:R215"/>
    <mergeCell ref="T215:V215"/>
    <mergeCell ref="AI215:AM215"/>
    <mergeCell ref="AR215:AV215"/>
    <mergeCell ref="A214:C214"/>
    <mergeCell ref="D214:E214"/>
    <mergeCell ref="G214:I214"/>
    <mergeCell ref="N214:P214"/>
    <mergeCell ref="Q214:R214"/>
    <mergeCell ref="T214:V214"/>
    <mergeCell ref="A218:E218"/>
    <mergeCell ref="G218:I218"/>
    <mergeCell ref="N218:R218"/>
    <mergeCell ref="T218:V218"/>
    <mergeCell ref="AI218:AM218"/>
    <mergeCell ref="AR218:AV218"/>
    <mergeCell ref="AI216:AM216"/>
    <mergeCell ref="AR216:AV216"/>
    <mergeCell ref="A217:C217"/>
    <mergeCell ref="D217:E217"/>
    <mergeCell ref="G217:I217"/>
    <mergeCell ref="N217:P217"/>
    <mergeCell ref="Q217:R217"/>
    <mergeCell ref="T217:V217"/>
    <mergeCell ref="AI217:AM217"/>
    <mergeCell ref="AR217:AV217"/>
    <mergeCell ref="A216:C216"/>
    <mergeCell ref="D216:E216"/>
    <mergeCell ref="G216:I216"/>
    <mergeCell ref="N216:P216"/>
    <mergeCell ref="Q216:R216"/>
    <mergeCell ref="T216:V216"/>
    <mergeCell ref="AI219:AM219"/>
    <mergeCell ref="AR219:AV219"/>
    <mergeCell ref="AI220:AM220"/>
    <mergeCell ref="AR220:AV220"/>
    <mergeCell ref="A221:E221"/>
    <mergeCell ref="G221:I221"/>
    <mergeCell ref="N221:R221"/>
    <mergeCell ref="T221:V221"/>
    <mergeCell ref="AI221:AM221"/>
    <mergeCell ref="AR221:AV221"/>
    <mergeCell ref="AI222:AM222"/>
    <mergeCell ref="AR222:AV222"/>
    <mergeCell ref="A223:C223"/>
    <mergeCell ref="D223:E223"/>
    <mergeCell ref="G223:I223"/>
    <mergeCell ref="N223:P223"/>
    <mergeCell ref="Q223:R223"/>
    <mergeCell ref="T223:V223"/>
    <mergeCell ref="AI223:AM223"/>
    <mergeCell ref="AR223:AV223"/>
    <mergeCell ref="A222:C222"/>
    <mergeCell ref="D222:E222"/>
    <mergeCell ref="G222:I222"/>
    <mergeCell ref="N222:P222"/>
    <mergeCell ref="Q222:R222"/>
    <mergeCell ref="T222:V222"/>
    <mergeCell ref="AI224:AM224"/>
    <mergeCell ref="AR224:AV224"/>
    <mergeCell ref="A225:E225"/>
    <mergeCell ref="G225:I225"/>
    <mergeCell ref="N225:R225"/>
    <mergeCell ref="T225:V225"/>
    <mergeCell ref="AI225:AM225"/>
    <mergeCell ref="A224:C224"/>
    <mergeCell ref="D224:E224"/>
    <mergeCell ref="G224:I224"/>
    <mergeCell ref="N224:P224"/>
    <mergeCell ref="Q224:R224"/>
    <mergeCell ref="T224:V224"/>
    <mergeCell ref="AI226:AM226"/>
    <mergeCell ref="AR226:AW226"/>
    <mergeCell ref="AI227:AM227"/>
    <mergeCell ref="AR227:AV227"/>
    <mergeCell ref="A228:E228"/>
    <mergeCell ref="G228:I228"/>
    <mergeCell ref="N228:R228"/>
    <mergeCell ref="T228:V228"/>
    <mergeCell ref="AI228:AM228"/>
    <mergeCell ref="AR228:AV228"/>
    <mergeCell ref="A232:Z233"/>
    <mergeCell ref="AI232:AM232"/>
    <mergeCell ref="AR232:AV232"/>
    <mergeCell ref="AI233:AM233"/>
    <mergeCell ref="AR233:AV233"/>
    <mergeCell ref="AI234:AM234"/>
    <mergeCell ref="AR234:AV234"/>
    <mergeCell ref="AI229:AM229"/>
    <mergeCell ref="AR229:AV229"/>
    <mergeCell ref="AI230:AM230"/>
    <mergeCell ref="AR230:AV230"/>
    <mergeCell ref="AI231:AM231"/>
    <mergeCell ref="AR231:AV231"/>
    <mergeCell ref="AI238:AN238"/>
    <mergeCell ref="AR238:AV238"/>
    <mergeCell ref="A239:E239"/>
    <mergeCell ref="G239:I239"/>
    <mergeCell ref="N239:R239"/>
    <mergeCell ref="T239:V239"/>
    <mergeCell ref="AI239:AM239"/>
    <mergeCell ref="AR239:AV239"/>
    <mergeCell ref="A235:G235"/>
    <mergeCell ref="AI235:AM235"/>
    <mergeCell ref="AR235:AV235"/>
    <mergeCell ref="AR236:AV236"/>
    <mergeCell ref="A237:E237"/>
    <mergeCell ref="F237:G237"/>
    <mergeCell ref="N237:R237"/>
    <mergeCell ref="S237:T237"/>
    <mergeCell ref="AR237:AV237"/>
    <mergeCell ref="A241:E241"/>
    <mergeCell ref="G241:I241"/>
    <mergeCell ref="N241:R241"/>
    <mergeCell ref="T241:V241"/>
    <mergeCell ref="AI241:AM241"/>
    <mergeCell ref="AR241:AV241"/>
    <mergeCell ref="A240:E240"/>
    <mergeCell ref="G240:I240"/>
    <mergeCell ref="N240:R240"/>
    <mergeCell ref="T240:V240"/>
    <mergeCell ref="AI240:AM240"/>
    <mergeCell ref="AR240:AV240"/>
    <mergeCell ref="A244:E244"/>
    <mergeCell ref="G244:I244"/>
    <mergeCell ref="N244:R244"/>
    <mergeCell ref="T244:V244"/>
    <mergeCell ref="AI244:AN244"/>
    <mergeCell ref="AR244:AV244"/>
    <mergeCell ref="A242:E242"/>
    <mergeCell ref="G242:I242"/>
    <mergeCell ref="N242:R242"/>
    <mergeCell ref="T242:V242"/>
    <mergeCell ref="AR242:AV242"/>
    <mergeCell ref="A243:E243"/>
    <mergeCell ref="G243:I243"/>
    <mergeCell ref="N243:R243"/>
    <mergeCell ref="T243:V243"/>
    <mergeCell ref="AR243:AV243"/>
    <mergeCell ref="A246:E246"/>
    <mergeCell ref="G246:I246"/>
    <mergeCell ref="N246:R246"/>
    <mergeCell ref="T246:V246"/>
    <mergeCell ref="AI246:AM246"/>
    <mergeCell ref="AR246:AV246"/>
    <mergeCell ref="A245:E245"/>
    <mergeCell ref="G245:I245"/>
    <mergeCell ref="N245:R245"/>
    <mergeCell ref="T245:V245"/>
    <mergeCell ref="AI245:AM245"/>
    <mergeCell ref="AR245:AV245"/>
    <mergeCell ref="A247:E247"/>
    <mergeCell ref="N247:R247"/>
    <mergeCell ref="AI247:AM247"/>
    <mergeCell ref="AR247:AV247"/>
    <mergeCell ref="A248:E248"/>
    <mergeCell ref="G248:I248"/>
    <mergeCell ref="N248:R248"/>
    <mergeCell ref="T248:V248"/>
    <mergeCell ref="AI248:AM248"/>
    <mergeCell ref="AR248:AV248"/>
    <mergeCell ref="A250:E250"/>
    <mergeCell ref="G250:I250"/>
    <mergeCell ref="N250:R250"/>
    <mergeCell ref="T250:V250"/>
    <mergeCell ref="AI250:AM250"/>
    <mergeCell ref="AR250:AV250"/>
    <mergeCell ref="A249:E249"/>
    <mergeCell ref="G249:I249"/>
    <mergeCell ref="N249:R249"/>
    <mergeCell ref="T249:V249"/>
    <mergeCell ref="AI249:AM249"/>
    <mergeCell ref="AR249:AV249"/>
    <mergeCell ref="A252:E252"/>
    <mergeCell ref="G252:I252"/>
    <mergeCell ref="N252:R252"/>
    <mergeCell ref="T252:V252"/>
    <mergeCell ref="AI252:AM252"/>
    <mergeCell ref="AR252:AV252"/>
    <mergeCell ref="A251:E251"/>
    <mergeCell ref="G251:I251"/>
    <mergeCell ref="N251:R251"/>
    <mergeCell ref="T251:V251"/>
    <mergeCell ref="AI251:AM251"/>
    <mergeCell ref="AR251:AV251"/>
    <mergeCell ref="A255:E255"/>
    <mergeCell ref="G255:I255"/>
    <mergeCell ref="N255:R255"/>
    <mergeCell ref="T255:V255"/>
    <mergeCell ref="AI255:AN255"/>
    <mergeCell ref="AR255:AV255"/>
    <mergeCell ref="A253:E253"/>
    <mergeCell ref="G253:I253"/>
    <mergeCell ref="N253:R253"/>
    <mergeCell ref="T253:V253"/>
    <mergeCell ref="AR253:AV253"/>
    <mergeCell ref="A254:E254"/>
    <mergeCell ref="G254:I254"/>
    <mergeCell ref="N254:R254"/>
    <mergeCell ref="T254:V254"/>
    <mergeCell ref="AR254:AV254"/>
    <mergeCell ref="A257:E257"/>
    <mergeCell ref="G257:I257"/>
    <mergeCell ref="N257:R257"/>
    <mergeCell ref="T257:V257"/>
    <mergeCell ref="AI257:AM257"/>
    <mergeCell ref="AR257:AV257"/>
    <mergeCell ref="A256:E256"/>
    <mergeCell ref="G256:I256"/>
    <mergeCell ref="N256:R256"/>
    <mergeCell ref="T256:V256"/>
    <mergeCell ref="AI256:AM256"/>
    <mergeCell ref="AR256:AV256"/>
    <mergeCell ref="A259:E259"/>
    <mergeCell ref="G259:I259"/>
    <mergeCell ref="N259:R259"/>
    <mergeCell ref="T259:V259"/>
    <mergeCell ref="AI259:AM259"/>
    <mergeCell ref="AR259:AV259"/>
    <mergeCell ref="A258:E258"/>
    <mergeCell ref="G258:I258"/>
    <mergeCell ref="N258:R258"/>
    <mergeCell ref="T258:V258"/>
    <mergeCell ref="AI258:AM258"/>
    <mergeCell ref="AR258:AV258"/>
    <mergeCell ref="A261:E261"/>
    <mergeCell ref="G261:I261"/>
    <mergeCell ref="N261:R261"/>
    <mergeCell ref="T261:V261"/>
    <mergeCell ref="AI261:AM261"/>
    <mergeCell ref="AR261:AV261"/>
    <mergeCell ref="A260:E260"/>
    <mergeCell ref="G260:I260"/>
    <mergeCell ref="N260:R260"/>
    <mergeCell ref="T260:V260"/>
    <mergeCell ref="AI260:AM260"/>
    <mergeCell ref="AR260:AV260"/>
    <mergeCell ref="A262:E262"/>
    <mergeCell ref="N262:R262"/>
    <mergeCell ref="AI262:AM262"/>
    <mergeCell ref="AR262:AV262"/>
    <mergeCell ref="A263:E263"/>
    <mergeCell ref="G263:I263"/>
    <mergeCell ref="N263:R263"/>
    <mergeCell ref="T263:V263"/>
    <mergeCell ref="AI263:AM263"/>
    <mergeCell ref="AR263:AV263"/>
    <mergeCell ref="A265:E265"/>
    <mergeCell ref="G265:I265"/>
    <mergeCell ref="N265:R265"/>
    <mergeCell ref="T265:V265"/>
    <mergeCell ref="AI265:AM265"/>
    <mergeCell ref="AR265:AV265"/>
    <mergeCell ref="A264:E264"/>
    <mergeCell ref="G264:I264"/>
    <mergeCell ref="N264:R264"/>
    <mergeCell ref="T264:V264"/>
    <mergeCell ref="AI264:AM264"/>
    <mergeCell ref="AR264:AV264"/>
    <mergeCell ref="A266:E266"/>
    <mergeCell ref="G266:I266"/>
    <mergeCell ref="N266:R266"/>
    <mergeCell ref="T266:V266"/>
    <mergeCell ref="AI266:AM266"/>
    <mergeCell ref="A267:E267"/>
    <mergeCell ref="G267:I267"/>
    <mergeCell ref="N267:R267"/>
    <mergeCell ref="T267:V267"/>
    <mergeCell ref="AI267:AM267"/>
    <mergeCell ref="A269:E269"/>
    <mergeCell ref="G269:I269"/>
    <mergeCell ref="N269:R269"/>
    <mergeCell ref="T269:V269"/>
    <mergeCell ref="AI269:AM269"/>
    <mergeCell ref="AR269:AV269"/>
    <mergeCell ref="AR267:AW267"/>
    <mergeCell ref="A268:E268"/>
    <mergeCell ref="G268:I268"/>
    <mergeCell ref="N268:R268"/>
    <mergeCell ref="T268:V268"/>
    <mergeCell ref="AI268:AM268"/>
    <mergeCell ref="AR268:AV268"/>
    <mergeCell ref="A272:E272"/>
    <mergeCell ref="G272:I272"/>
    <mergeCell ref="N272:R272"/>
    <mergeCell ref="T272:V272"/>
    <mergeCell ref="AI272:AM272"/>
    <mergeCell ref="AR272:AW272"/>
    <mergeCell ref="A270:E270"/>
    <mergeCell ref="N270:R270"/>
    <mergeCell ref="AI270:AM270"/>
    <mergeCell ref="AR270:AV270"/>
    <mergeCell ref="A271:E271"/>
    <mergeCell ref="G271:I271"/>
    <mergeCell ref="N271:R271"/>
    <mergeCell ref="T271:V271"/>
    <mergeCell ref="AI271:AM271"/>
    <mergeCell ref="A275:E275"/>
    <mergeCell ref="G275:I275"/>
    <mergeCell ref="N275:R275"/>
    <mergeCell ref="T275:V275"/>
    <mergeCell ref="AI275:AM275"/>
    <mergeCell ref="AR275:AV275"/>
    <mergeCell ref="A273:E273"/>
    <mergeCell ref="G273:I273"/>
    <mergeCell ref="N273:R273"/>
    <mergeCell ref="T273:V273"/>
    <mergeCell ref="AR273:AV273"/>
    <mergeCell ref="A274:E274"/>
    <mergeCell ref="N274:R274"/>
    <mergeCell ref="AI274:AN274"/>
    <mergeCell ref="AR274:AV274"/>
    <mergeCell ref="A277:E277"/>
    <mergeCell ref="G277:I277"/>
    <mergeCell ref="N277:R277"/>
    <mergeCell ref="T277:V277"/>
    <mergeCell ref="AR277:AV277"/>
    <mergeCell ref="AR278:AV278"/>
    <mergeCell ref="A276:E276"/>
    <mergeCell ref="G276:I276"/>
    <mergeCell ref="N276:R276"/>
    <mergeCell ref="T276:V276"/>
    <mergeCell ref="AI276:AM276"/>
    <mergeCell ref="AR276:AV276"/>
    <mergeCell ref="AI283:AM283"/>
    <mergeCell ref="AR283:AV283"/>
    <mergeCell ref="AI284:AM284"/>
    <mergeCell ref="AI285:AM285"/>
    <mergeCell ref="AR285:AW285"/>
    <mergeCell ref="AR286:AV286"/>
    <mergeCell ref="AI279:AN279"/>
    <mergeCell ref="AR279:AV279"/>
    <mergeCell ref="AI280:AM280"/>
    <mergeCell ref="AI281:AM281"/>
    <mergeCell ref="AR281:AW281"/>
    <mergeCell ref="AI282:AM282"/>
    <mergeCell ref="AR282:AV282"/>
    <mergeCell ref="AR291:AV291"/>
    <mergeCell ref="AI292:AN292"/>
    <mergeCell ref="AI293:AM293"/>
    <mergeCell ref="AR293:AW293"/>
    <mergeCell ref="AI294:AM294"/>
    <mergeCell ref="AR294:AV294"/>
    <mergeCell ref="AI287:AN287"/>
    <mergeCell ref="AR287:AV287"/>
    <mergeCell ref="AI288:AM288"/>
    <mergeCell ref="AI289:AM289"/>
    <mergeCell ref="AR289:AW289"/>
    <mergeCell ref="AI290:AM290"/>
    <mergeCell ref="AR290:AV290"/>
    <mergeCell ref="AI299:AM299"/>
    <mergeCell ref="AR299:AV299"/>
    <mergeCell ref="AI300:AM300"/>
    <mergeCell ref="AR300:AV300"/>
    <mergeCell ref="AI301:AM301"/>
    <mergeCell ref="AR301:AV301"/>
    <mergeCell ref="AI295:AM295"/>
    <mergeCell ref="AR295:AV295"/>
    <mergeCell ref="AI296:AM296"/>
    <mergeCell ref="AI297:AM297"/>
    <mergeCell ref="AR297:AW297"/>
    <mergeCell ref="AI298:AM298"/>
    <mergeCell ref="AR298:AV298"/>
    <mergeCell ref="AI308:AM308"/>
    <mergeCell ref="AI329:AN329"/>
    <mergeCell ref="AI330:AM330"/>
    <mergeCell ref="AI331:AN331"/>
    <mergeCell ref="AI332:AN332"/>
    <mergeCell ref="AI362:AM362"/>
    <mergeCell ref="AI302:AM302"/>
    <mergeCell ref="AR302:AV302"/>
    <mergeCell ref="AI303:AM303"/>
    <mergeCell ref="AI305:AN305"/>
    <mergeCell ref="AI306:AM306"/>
    <mergeCell ref="AI307:AM307"/>
    <mergeCell ref="AI380:AN380"/>
    <mergeCell ref="AI381:AN381"/>
    <mergeCell ref="AI383:AN383"/>
    <mergeCell ref="AI384:AM384"/>
    <mergeCell ref="AI385:AN385"/>
    <mergeCell ref="AI386:AN386"/>
    <mergeCell ref="AI366:AN366"/>
    <mergeCell ref="AI367:AN367"/>
    <mergeCell ref="AI369:AN369"/>
    <mergeCell ref="AI370:AM370"/>
    <mergeCell ref="AI378:AN378"/>
    <mergeCell ref="AI379:AM379"/>
    <mergeCell ref="AI395:AN395"/>
    <mergeCell ref="AI396:AN396"/>
    <mergeCell ref="AI399:AN399"/>
    <mergeCell ref="AI400:AM400"/>
    <mergeCell ref="AI388:AN388"/>
    <mergeCell ref="AI389:AM389"/>
    <mergeCell ref="AI390:AN390"/>
    <mergeCell ref="AI391:AN391"/>
    <mergeCell ref="AI393:AN393"/>
    <mergeCell ref="AI394:AM394"/>
  </mergeCells>
  <phoneticPr fontId="0" type="noConversion"/>
  <conditionalFormatting sqref="A131:A151 A154:A164 N154:N164">
    <cfRule type="expression" dxfId="197" priority="61">
      <formula>IF(D131="DESC",1,0)</formula>
    </cfRule>
  </conditionalFormatting>
  <conditionalFormatting sqref="A174:A175">
    <cfRule type="expression" dxfId="196" priority="54">
      <formula>IF(D174="DESC",1,0)</formula>
    </cfRule>
  </conditionalFormatting>
  <conditionalFormatting sqref="A178:A194">
    <cfRule type="expression" dxfId="195" priority="57">
      <formula>IF(D178="DESC",1,0)</formula>
    </cfRule>
  </conditionalFormatting>
  <conditionalFormatting sqref="A240:A245">
    <cfRule type="expression" dxfId="194" priority="16">
      <formula>IF(#REF!="DESC",1,0)</formula>
    </cfRule>
  </conditionalFormatting>
  <conditionalFormatting sqref="A248:A260">
    <cfRule type="expression" dxfId="193" priority="4">
      <formula>IF(#REF!="DESC",1,0)</formula>
    </cfRule>
  </conditionalFormatting>
  <conditionalFormatting sqref="A263:A268">
    <cfRule type="expression" dxfId="192" priority="15">
      <formula>IF(#REF!="DESC",1,0)</formula>
    </cfRule>
  </conditionalFormatting>
  <conditionalFormatting sqref="A271:A272">
    <cfRule type="expression" dxfId="191" priority="14">
      <formula>IF(#REF!="DESC",1,0)</formula>
    </cfRule>
  </conditionalFormatting>
  <conditionalFormatting sqref="A275:A276">
    <cfRule type="expression" dxfId="190" priority="13">
      <formula>IF(#REF!="DESC",1,0)</formula>
    </cfRule>
  </conditionalFormatting>
  <conditionalFormatting sqref="A199:C202">
    <cfRule type="expression" dxfId="189" priority="27">
      <formula>IF(D199="DESC",1,0)</formula>
    </cfRule>
  </conditionalFormatting>
  <conditionalFormatting sqref="A207:C209">
    <cfRule type="expression" dxfId="188" priority="31">
      <formula>IF(D207="DESC",1,0)</formula>
    </cfRule>
  </conditionalFormatting>
  <conditionalFormatting sqref="A214:C217">
    <cfRule type="expression" dxfId="187" priority="29">
      <formula>IF(D214="DESC",1,0)</formula>
    </cfRule>
  </conditionalFormatting>
  <conditionalFormatting sqref="A222:C224">
    <cfRule type="expression" dxfId="186" priority="26">
      <formula>IF(D222="DESC",1,0)</formula>
    </cfRule>
  </conditionalFormatting>
  <conditionalFormatting sqref="A165:N170">
    <cfRule type="expression" dxfId="185" priority="55">
      <formula>IF(D165="DESC",1,0)</formula>
    </cfRule>
  </conditionalFormatting>
  <conditionalFormatting sqref="A171:P171">
    <cfRule type="expression" dxfId="184" priority="5">
      <formula>IF(D171="DESC",1,0)</formula>
    </cfRule>
  </conditionalFormatting>
  <conditionalFormatting sqref="F140">
    <cfRule type="expression" dxfId="183" priority="62">
      <formula>IF(D140="DESC",1,0)</formula>
    </cfRule>
  </conditionalFormatting>
  <conditionalFormatting sqref="F144">
    <cfRule type="expression" dxfId="182" priority="63">
      <formula>IF(D144="DESC",1,0)</formula>
    </cfRule>
  </conditionalFormatting>
  <conditionalFormatting sqref="F164">
    <cfRule type="expression" dxfId="181" priority="36">
      <formula>IF(D164="DESC",1,0)</formula>
    </cfRule>
  </conditionalFormatting>
  <conditionalFormatting sqref="F199:F202">
    <cfRule type="expression" dxfId="180" priority="28">
      <formula>IF(D199="DESC",1,0)</formula>
    </cfRule>
  </conditionalFormatting>
  <conditionalFormatting sqref="F207:F209">
    <cfRule type="expression" dxfId="179" priority="18">
      <formula>IF(D207="DESC",1,0)</formula>
    </cfRule>
  </conditionalFormatting>
  <conditionalFormatting sqref="F214:F217">
    <cfRule type="expression" dxfId="178" priority="30">
      <formula>IF(D214="DESC",1,0)</formula>
    </cfRule>
  </conditionalFormatting>
  <conditionalFormatting sqref="F222:F224">
    <cfRule type="expression" dxfId="177" priority="32">
      <formula>IF(D222="DESC",1,0)</formula>
    </cfRule>
  </conditionalFormatting>
  <conditionalFormatting sqref="F248:F260">
    <cfRule type="duplicateValues" dxfId="176" priority="3"/>
  </conditionalFormatting>
  <conditionalFormatting sqref="G248:N260">
    <cfRule type="expression" dxfId="175" priority="2">
      <formula>IF(#REF!="DESC",1,0)</formula>
    </cfRule>
  </conditionalFormatting>
  <conditionalFormatting sqref="M156:M157">
    <cfRule type="expression" dxfId="174" priority="6">
      <formula>IF(P156="DESC",1,0)</formula>
    </cfRule>
  </conditionalFormatting>
  <conditionalFormatting sqref="M162">
    <cfRule type="expression" dxfId="173" priority="7">
      <formula>IF(P162="DESC",1,0)</formula>
    </cfRule>
  </conditionalFormatting>
  <conditionalFormatting sqref="N131:N151">
    <cfRule type="expression" dxfId="172" priority="58">
      <formula>IF(Q131="DESC",1,0)</formula>
    </cfRule>
  </conditionalFormatting>
  <conditionalFormatting sqref="N174:N175">
    <cfRule type="expression" dxfId="171" priority="53">
      <formula>IF(Q174="DESC",1,0)</formula>
    </cfRule>
  </conditionalFormatting>
  <conditionalFormatting sqref="N178:N194">
    <cfRule type="expression" dxfId="170" priority="56">
      <formula>IF(Q178="DESC",1,0)</formula>
    </cfRule>
  </conditionalFormatting>
  <conditionalFormatting sqref="N240:N245">
    <cfRule type="expression" dxfId="169" priority="12">
      <formula>IF(#REF!="DESC",1,0)</formula>
    </cfRule>
  </conditionalFormatting>
  <conditionalFormatting sqref="N263:N268">
    <cfRule type="expression" dxfId="168" priority="11">
      <formula>IF(#REF!="DESC",1,0)</formula>
    </cfRule>
  </conditionalFormatting>
  <conditionalFormatting sqref="N271:N272">
    <cfRule type="expression" dxfId="167" priority="10">
      <formula>IF(#REF!="DESC",1,0)</formula>
    </cfRule>
  </conditionalFormatting>
  <conditionalFormatting sqref="N275:N276">
    <cfRule type="expression" dxfId="166" priority="9">
      <formula>IF(#REF!="DESC",1,0)</formula>
    </cfRule>
  </conditionalFormatting>
  <conditionalFormatting sqref="N199:P202">
    <cfRule type="expression" dxfId="165" priority="21">
      <formula>IF(Q199="DESC",1,0)</formula>
    </cfRule>
  </conditionalFormatting>
  <conditionalFormatting sqref="N207:P209">
    <cfRule type="expression" dxfId="164" priority="24">
      <formula>IF(Q207="DESC",1,0)</formula>
    </cfRule>
  </conditionalFormatting>
  <conditionalFormatting sqref="N214:P217">
    <cfRule type="expression" dxfId="163" priority="23">
      <formula>IF(Q214="DESC",1,0)</formula>
    </cfRule>
  </conditionalFormatting>
  <conditionalFormatting sqref="N222:P224">
    <cfRule type="expression" dxfId="162" priority="20">
      <formula>IF(Q222="DESC",1,0)</formula>
    </cfRule>
  </conditionalFormatting>
  <conditionalFormatting sqref="S140">
    <cfRule type="expression" dxfId="161" priority="59">
      <formula>IF(Q140="DESC",1,0)</formula>
    </cfRule>
  </conditionalFormatting>
  <conditionalFormatting sqref="S144">
    <cfRule type="expression" dxfId="160" priority="60">
      <formula>IF(Q144="DESC",1,0)</formula>
    </cfRule>
  </conditionalFormatting>
  <conditionalFormatting sqref="S164">
    <cfRule type="expression" dxfId="159" priority="35">
      <formula>IF(Q164="DESC",1,0)</formula>
    </cfRule>
  </conditionalFormatting>
  <conditionalFormatting sqref="S171">
    <cfRule type="expression" dxfId="158" priority="8">
      <formula>IF(V171="DESC",1,0)</formula>
    </cfRule>
  </conditionalFormatting>
  <conditionalFormatting sqref="S199:S202">
    <cfRule type="expression" dxfId="157" priority="22">
      <formula>IF(Q199="DESC",1,0)</formula>
    </cfRule>
  </conditionalFormatting>
  <conditionalFormatting sqref="S207:S209">
    <cfRule type="expression" dxfId="156" priority="17">
      <formula>IF(Q207="DESC",1,0)</formula>
    </cfRule>
  </conditionalFormatting>
  <conditionalFormatting sqref="S214:S217">
    <cfRule type="expression" dxfId="155" priority="19">
      <formula>IF(Q214="DESC",1,0)</formula>
    </cfRule>
  </conditionalFormatting>
  <conditionalFormatting sqref="S222:S224">
    <cfRule type="expression" dxfId="154" priority="25">
      <formula>IF(Q222="DESC",1,0)</formula>
    </cfRule>
  </conditionalFormatting>
  <conditionalFormatting sqref="S248:S260">
    <cfRule type="duplicateValues" dxfId="153" priority="1"/>
  </conditionalFormatting>
  <conditionalFormatting sqref="AD144">
    <cfRule type="duplicateValues" dxfId="152" priority="64"/>
  </conditionalFormatting>
  <conditionalFormatting sqref="AD149">
    <cfRule type="duplicateValues" dxfId="151" priority="38"/>
  </conditionalFormatting>
  <conditionalFormatting sqref="AD152:AD153 AD155 AD157:AD163 AD165:AD168">
    <cfRule type="duplicateValues" dxfId="150" priority="65"/>
  </conditionalFormatting>
  <conditionalFormatting sqref="AD154">
    <cfRule type="duplicateValues" dxfId="149" priority="50"/>
  </conditionalFormatting>
  <conditionalFormatting sqref="AD156">
    <cfRule type="duplicateValues" dxfId="148" priority="52"/>
  </conditionalFormatting>
  <conditionalFormatting sqref="AD164">
    <cfRule type="duplicateValues" dxfId="147" priority="51"/>
  </conditionalFormatting>
  <conditionalFormatting sqref="AD169">
    <cfRule type="duplicateValues" dxfId="146" priority="44"/>
  </conditionalFormatting>
  <conditionalFormatting sqref="AD170">
    <cfRule type="duplicateValues" dxfId="145" priority="37"/>
  </conditionalFormatting>
  <conditionalFormatting sqref="AD171 AD173:AD176 AD178 AD181:AD184 AD186:AD192 AD194:AD195 AD197:AD205 AD207:AD209 AD211:AD213 AD215:AD221">
    <cfRule type="duplicateValues" dxfId="144" priority="66"/>
  </conditionalFormatting>
  <conditionalFormatting sqref="AD172">
    <cfRule type="duplicateValues" dxfId="143" priority="43"/>
  </conditionalFormatting>
  <conditionalFormatting sqref="AD177">
    <cfRule type="duplicateValues" dxfId="142" priority="48"/>
  </conditionalFormatting>
  <conditionalFormatting sqref="AD179">
    <cfRule type="duplicateValues" dxfId="141" priority="34"/>
  </conditionalFormatting>
  <conditionalFormatting sqref="AD180">
    <cfRule type="duplicateValues" dxfId="140" priority="49"/>
  </conditionalFormatting>
  <conditionalFormatting sqref="AD185">
    <cfRule type="duplicateValues" dxfId="139" priority="41"/>
  </conditionalFormatting>
  <conditionalFormatting sqref="AD193">
    <cfRule type="duplicateValues" dxfId="138" priority="47"/>
  </conditionalFormatting>
  <conditionalFormatting sqref="AD196">
    <cfRule type="duplicateValues" dxfId="137" priority="33"/>
  </conditionalFormatting>
  <conditionalFormatting sqref="AD206">
    <cfRule type="duplicateValues" dxfId="136" priority="42"/>
  </conditionalFormatting>
  <conditionalFormatting sqref="AD210">
    <cfRule type="duplicateValues" dxfId="135" priority="46"/>
  </conditionalFormatting>
  <conditionalFormatting sqref="AD214">
    <cfRule type="duplicateValues" dxfId="134" priority="45"/>
  </conditionalFormatting>
  <conditionalFormatting sqref="AD223">
    <cfRule type="duplicateValues" dxfId="133" priority="40"/>
  </conditionalFormatting>
  <conditionalFormatting sqref="AD224">
    <cfRule type="duplicateValues" dxfId="132" priority="39"/>
  </conditionalFormatting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11">
    <tabColor theme="5"/>
  </sheetPr>
  <dimension ref="A1:CA495"/>
  <sheetViews>
    <sheetView topLeftCell="O28" zoomScale="60" zoomScaleNormal="60" workbookViewId="0">
      <selection activeCell="AI34" sqref="AI34"/>
    </sheetView>
  </sheetViews>
  <sheetFormatPr baseColWidth="10" defaultColWidth="16.7109375" defaultRowHeight="17.25" customHeight="1" x14ac:dyDescent="0.25"/>
  <cols>
    <col min="21" max="31" width="1" customWidth="1"/>
    <col min="32" max="32" width="3.140625" customWidth="1"/>
  </cols>
  <sheetData>
    <row r="1" spans="1:65" ht="17.25" customHeight="1" thickBot="1" x14ac:dyDescent="0.3">
      <c r="A1" s="1153" t="s">
        <v>149</v>
      </c>
      <c r="B1" s="1154"/>
      <c r="C1" s="1154"/>
      <c r="D1" s="1154"/>
      <c r="E1" s="1154"/>
      <c r="F1" s="1154"/>
      <c r="G1" s="1154"/>
      <c r="H1" s="1154"/>
      <c r="I1" s="1154"/>
      <c r="J1" s="1154"/>
      <c r="K1" s="1154"/>
      <c r="L1" s="1154"/>
      <c r="M1" s="1154"/>
      <c r="N1" s="1154"/>
      <c r="O1" s="1154"/>
      <c r="P1" s="1154"/>
      <c r="Q1" s="1154"/>
      <c r="R1" s="1154"/>
      <c r="S1" s="1154"/>
      <c r="T1" s="1154"/>
      <c r="U1" s="1154"/>
      <c r="V1" s="1154"/>
      <c r="W1" s="1154"/>
      <c r="X1" s="1154"/>
      <c r="Y1" s="1154"/>
      <c r="Z1" s="1154"/>
      <c r="AA1" s="1154"/>
      <c r="AB1" s="1154"/>
      <c r="AC1" s="1154"/>
      <c r="AD1" s="1154"/>
      <c r="AE1" s="1154"/>
      <c r="AF1" s="1154"/>
      <c r="AG1" s="1154"/>
      <c r="AH1" s="1154"/>
      <c r="AI1" s="1154"/>
      <c r="AJ1" s="1154"/>
      <c r="AK1" s="1154"/>
      <c r="AL1" s="1154"/>
      <c r="AM1" s="1154"/>
      <c r="AN1" s="1154"/>
      <c r="AO1" s="1154"/>
      <c r="AP1" s="1154"/>
      <c r="AQ1" s="1154"/>
      <c r="AR1" s="1154"/>
      <c r="AS1" s="1154"/>
      <c r="AT1" s="1154"/>
      <c r="AU1" s="1154"/>
      <c r="AV1" s="1154"/>
      <c r="AW1" s="1154"/>
      <c r="AX1" s="1154"/>
      <c r="AY1" s="1154"/>
      <c r="AZ1" s="1154"/>
      <c r="BA1" s="1154"/>
      <c r="BB1" s="1154"/>
      <c r="BC1" s="1154"/>
      <c r="BD1" s="1154"/>
      <c r="BE1" s="1154"/>
      <c r="BF1" s="1154"/>
      <c r="BG1" s="1154"/>
      <c r="BH1" s="1154"/>
      <c r="BI1" s="1155"/>
      <c r="BJ1" s="23"/>
      <c r="BK1" s="23"/>
      <c r="BL1" s="23"/>
      <c r="BM1" s="23"/>
    </row>
    <row r="2" spans="1:65" ht="17.25" customHeight="1" x14ac:dyDescent="0.25">
      <c r="A2" s="24"/>
      <c r="B2" s="24"/>
      <c r="C2" s="24"/>
      <c r="D2" s="23"/>
      <c r="E2" s="25"/>
      <c r="F2" s="25"/>
      <c r="G2" s="25"/>
      <c r="H2" s="25"/>
      <c r="I2" s="25"/>
      <c r="J2" s="25"/>
      <c r="K2" s="25"/>
      <c r="L2" s="25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  <c r="AQ2" s="24"/>
      <c r="AR2" s="24"/>
      <c r="AS2" s="24"/>
      <c r="AT2" s="24"/>
      <c r="AU2" s="24"/>
      <c r="AV2" s="24"/>
      <c r="AW2" s="24"/>
      <c r="AX2" s="24"/>
      <c r="AY2" s="24"/>
      <c r="AZ2" s="24"/>
      <c r="BA2" s="24"/>
      <c r="BB2" s="24"/>
      <c r="BC2" s="23"/>
      <c r="BD2" s="23"/>
      <c r="BE2" s="23"/>
      <c r="BF2" s="23"/>
      <c r="BG2" s="23"/>
      <c r="BH2" s="23"/>
      <c r="BI2" s="23"/>
      <c r="BJ2" s="23"/>
      <c r="BK2" s="23"/>
      <c r="BL2" s="23"/>
      <c r="BM2" s="23"/>
    </row>
    <row r="3" spans="1:65" ht="17.25" customHeight="1" thickBot="1" x14ac:dyDescent="0.3">
      <c r="A3" s="763"/>
      <c r="B3" s="27"/>
      <c r="C3" s="28"/>
      <c r="D3" s="28"/>
      <c r="E3" s="28"/>
      <c r="F3" s="28"/>
      <c r="G3" s="28"/>
      <c r="H3" s="28"/>
      <c r="I3" s="28"/>
      <c r="J3" s="28"/>
      <c r="K3" s="28"/>
      <c r="L3" s="29"/>
      <c r="M3" s="28"/>
      <c r="N3" s="30"/>
      <c r="O3" s="30"/>
      <c r="P3" s="31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0"/>
      <c r="AP3" s="30"/>
      <c r="AQ3" s="30"/>
      <c r="AR3" s="30"/>
      <c r="AS3" s="30"/>
      <c r="AT3" s="30"/>
      <c r="AU3" s="30"/>
      <c r="AV3" s="30"/>
      <c r="AW3" s="30"/>
      <c r="AX3" s="30"/>
      <c r="AY3" s="30"/>
      <c r="AZ3" s="30"/>
      <c r="BA3" s="30"/>
      <c r="BB3" s="30"/>
      <c r="BC3" s="30"/>
      <c r="BD3" s="30"/>
      <c r="BE3" s="30"/>
      <c r="BF3" s="30"/>
      <c r="BG3" s="30"/>
      <c r="BH3" s="30"/>
      <c r="BI3" s="30"/>
      <c r="BJ3" s="23"/>
      <c r="BK3" s="23"/>
      <c r="BL3" s="23"/>
      <c r="BM3" s="23"/>
    </row>
    <row r="4" spans="1:65" ht="17.25" customHeight="1" x14ac:dyDescent="0.25">
      <c r="A4" s="764"/>
      <c r="B4" s="153"/>
      <c r="C4" s="33"/>
      <c r="D4" s="836"/>
      <c r="E4" s="837"/>
      <c r="F4" s="838"/>
      <c r="G4" s="839"/>
      <c r="H4" s="836"/>
      <c r="I4" s="840"/>
      <c r="J4" s="840"/>
      <c r="K4" s="841"/>
      <c r="L4" s="33"/>
      <c r="M4" s="33"/>
      <c r="N4" s="40"/>
      <c r="O4" s="41"/>
      <c r="P4" s="42" t="s">
        <v>158</v>
      </c>
      <c r="Q4" s="42" t="s">
        <v>158</v>
      </c>
      <c r="R4" s="42" t="s">
        <v>158</v>
      </c>
      <c r="S4" s="42" t="s">
        <v>158</v>
      </c>
      <c r="T4" s="43"/>
      <c r="U4" s="23"/>
      <c r="V4" s="44"/>
      <c r="W4" s="45"/>
      <c r="X4" s="45"/>
      <c r="Y4" s="45"/>
      <c r="Z4" s="45"/>
      <c r="AA4" s="45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46"/>
      <c r="BK4" s="23"/>
      <c r="BL4" s="23"/>
      <c r="BM4" s="23"/>
    </row>
    <row r="5" spans="1:65" ht="17.25" customHeight="1" x14ac:dyDescent="0.25">
      <c r="A5" s="764"/>
      <c r="B5" s="192"/>
      <c r="C5" s="33"/>
      <c r="D5" s="153"/>
      <c r="E5" s="153"/>
      <c r="F5" s="153"/>
      <c r="G5" s="153"/>
      <c r="H5" s="153"/>
      <c r="I5" s="153"/>
      <c r="J5" s="153"/>
      <c r="K5" s="153"/>
      <c r="L5" s="47"/>
      <c r="M5" s="48"/>
      <c r="N5" s="44" t="s">
        <v>159</v>
      </c>
      <c r="O5" s="49"/>
      <c r="P5" s="50" t="s">
        <v>160</v>
      </c>
      <c r="Q5" s="50" t="s">
        <v>160</v>
      </c>
      <c r="R5" s="50" t="s">
        <v>160</v>
      </c>
      <c r="S5" s="50" t="s">
        <v>160</v>
      </c>
      <c r="T5" s="51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3"/>
      <c r="BD5" s="23"/>
      <c r="BE5" s="23"/>
      <c r="BF5" s="23"/>
      <c r="BG5" s="23"/>
      <c r="BH5" s="23"/>
      <c r="BI5" s="23"/>
      <c r="BJ5" s="46"/>
      <c r="BK5" s="23"/>
      <c r="BL5" s="23"/>
      <c r="BM5" s="23"/>
    </row>
    <row r="6" spans="1:65" ht="17.25" customHeight="1" x14ac:dyDescent="0.25">
      <c r="A6" s="764"/>
      <c r="B6" s="765"/>
      <c r="C6" s="33"/>
      <c r="D6" s="842"/>
      <c r="E6" s="842"/>
      <c r="F6" s="842"/>
      <c r="G6" s="842"/>
      <c r="H6" s="842"/>
      <c r="I6" s="842"/>
      <c r="J6" s="842"/>
      <c r="K6" s="842"/>
      <c r="L6" s="53"/>
      <c r="M6" s="48"/>
      <c r="N6" s="23"/>
      <c r="O6" s="23"/>
      <c r="P6" s="54">
        <v>1</v>
      </c>
      <c r="Q6" s="54">
        <v>2</v>
      </c>
      <c r="R6" s="54">
        <v>3</v>
      </c>
      <c r="S6" s="54">
        <v>4</v>
      </c>
      <c r="T6" s="55" t="s">
        <v>162</v>
      </c>
      <c r="U6" s="192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3"/>
      <c r="BA6" s="23"/>
      <c r="BB6" s="23"/>
      <c r="BC6" s="23"/>
      <c r="BD6" s="23"/>
      <c r="BE6" s="23"/>
      <c r="BF6" s="23"/>
      <c r="BG6" s="23"/>
      <c r="BH6" s="23"/>
      <c r="BI6" s="23"/>
      <c r="BJ6" s="46"/>
      <c r="BK6" s="23"/>
      <c r="BL6" s="23"/>
      <c r="BM6" s="23"/>
    </row>
    <row r="7" spans="1:65" ht="17.25" customHeight="1" x14ac:dyDescent="0.25">
      <c r="A7" s="764"/>
      <c r="B7" s="765"/>
      <c r="C7" s="33"/>
      <c r="D7" s="843"/>
      <c r="E7" s="844"/>
      <c r="F7" s="845"/>
      <c r="G7" s="845"/>
      <c r="H7" s="845"/>
      <c r="I7" s="845"/>
      <c r="J7" s="845"/>
      <c r="K7" s="845"/>
      <c r="L7" s="845"/>
      <c r="M7" s="845"/>
      <c r="N7" s="192"/>
      <c r="O7" s="192"/>
      <c r="P7" s="848"/>
      <c r="Q7" s="180"/>
      <c r="R7" s="59">
        <v>1</v>
      </c>
      <c r="S7" s="50" t="s">
        <v>160</v>
      </c>
      <c r="T7" s="60">
        <v>50</v>
      </c>
      <c r="U7" s="784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23"/>
      <c r="AY7" s="23"/>
      <c r="AZ7" s="23"/>
      <c r="BA7" s="23"/>
      <c r="BB7" s="23"/>
      <c r="BC7" s="23"/>
      <c r="BD7" s="23"/>
      <c r="BE7" s="23"/>
      <c r="BF7" s="23"/>
      <c r="BG7" s="23"/>
      <c r="BH7" s="23"/>
      <c r="BI7" s="23"/>
      <c r="BJ7" s="46"/>
      <c r="BK7" s="23"/>
      <c r="BL7" s="23"/>
      <c r="BM7" s="23"/>
    </row>
    <row r="8" spans="1:65" ht="17.25" customHeight="1" x14ac:dyDescent="0.25">
      <c r="A8" s="764"/>
      <c r="B8" s="765"/>
      <c r="C8" s="33"/>
      <c r="D8" s="774"/>
      <c r="E8" s="821"/>
      <c r="F8" s="821"/>
      <c r="G8" s="821"/>
      <c r="H8" s="192"/>
      <c r="I8" s="153"/>
      <c r="J8" s="153"/>
      <c r="K8" s="153"/>
      <c r="L8" s="153"/>
      <c r="M8" s="774"/>
      <c r="N8" s="782"/>
      <c r="O8" s="782"/>
      <c r="P8" s="782"/>
      <c r="Q8" s="782"/>
      <c r="R8" s="59">
        <v>2</v>
      </c>
      <c r="S8" s="50" t="s">
        <v>160</v>
      </c>
      <c r="T8" s="60">
        <v>50</v>
      </c>
      <c r="U8" s="23"/>
      <c r="V8" s="23"/>
      <c r="W8" s="23"/>
      <c r="X8" s="23"/>
      <c r="Y8" s="23"/>
      <c r="Z8" s="23"/>
      <c r="AA8" s="23"/>
      <c r="AB8" s="45"/>
      <c r="AC8" s="45"/>
      <c r="AD8" s="45"/>
      <c r="AE8" s="45"/>
      <c r="AF8" s="45"/>
      <c r="AG8" s="45"/>
      <c r="AH8" s="45"/>
      <c r="AI8" s="45"/>
      <c r="AJ8" s="45"/>
      <c r="AK8" s="45"/>
      <c r="AL8" s="45"/>
      <c r="AM8" s="45"/>
      <c r="AN8" s="23"/>
      <c r="AO8" s="23"/>
      <c r="AP8" s="23"/>
      <c r="AQ8" s="23"/>
      <c r="AR8" s="23"/>
      <c r="AS8" s="23"/>
      <c r="AT8" s="23"/>
      <c r="AU8" s="23"/>
      <c r="AV8" s="23"/>
      <c r="AW8" s="23"/>
      <c r="AX8" s="23"/>
      <c r="AY8" s="23"/>
      <c r="AZ8" s="23"/>
      <c r="BA8" s="23"/>
      <c r="BB8" s="23"/>
      <c r="BC8" s="23"/>
      <c r="BD8" s="23"/>
      <c r="BE8" s="23"/>
      <c r="BF8" s="23"/>
      <c r="BG8" s="23"/>
      <c r="BH8" s="23"/>
      <c r="BI8" s="23"/>
      <c r="BJ8" s="46"/>
      <c r="BK8" s="23"/>
      <c r="BL8" s="23"/>
      <c r="BM8" s="23"/>
    </row>
    <row r="9" spans="1:65" ht="17.25" customHeight="1" thickBot="1" x14ac:dyDescent="0.3">
      <c r="A9" s="764"/>
      <c r="B9" s="765"/>
      <c r="C9" s="33"/>
      <c r="D9" s="846"/>
      <c r="E9" s="770"/>
      <c r="F9" s="770"/>
      <c r="G9" s="770"/>
      <c r="H9" s="846"/>
      <c r="I9" s="153"/>
      <c r="J9" s="847"/>
      <c r="K9" s="847"/>
      <c r="L9" s="847"/>
      <c r="M9" s="782"/>
      <c r="N9" s="770"/>
      <c r="O9" s="770"/>
      <c r="P9" s="770"/>
      <c r="Q9" s="770"/>
      <c r="R9" s="59">
        <v>3</v>
      </c>
      <c r="S9" s="50" t="s">
        <v>160</v>
      </c>
      <c r="T9" s="60">
        <v>50</v>
      </c>
      <c r="U9" s="23"/>
      <c r="V9" s="23"/>
      <c r="W9" s="23"/>
      <c r="X9" s="23"/>
      <c r="Y9" s="23"/>
      <c r="Z9" s="23"/>
      <c r="AA9" s="23"/>
      <c r="AB9" s="45"/>
      <c r="AC9" s="45"/>
      <c r="AD9" s="45"/>
      <c r="AE9" s="45"/>
      <c r="AF9" s="68"/>
      <c r="AG9" s="68"/>
      <c r="AH9" s="45"/>
      <c r="AI9" s="45"/>
      <c r="AJ9" s="45"/>
      <c r="AK9" s="45"/>
      <c r="AL9" s="45"/>
      <c r="AM9" s="45"/>
      <c r="AN9" s="23"/>
      <c r="AO9" s="23"/>
      <c r="AP9" s="23"/>
      <c r="AQ9" s="23"/>
      <c r="AR9" s="23"/>
      <c r="AS9" s="23"/>
      <c r="AT9" s="23"/>
      <c r="AU9" s="23"/>
      <c r="AV9" s="23"/>
      <c r="AW9" s="23"/>
      <c r="AX9" s="23"/>
      <c r="AY9" s="23"/>
      <c r="AZ9" s="23"/>
      <c r="BA9" s="23"/>
      <c r="BB9" s="23"/>
      <c r="BC9" s="23"/>
      <c r="BD9" s="23"/>
      <c r="BE9" s="23"/>
      <c r="BF9" s="23"/>
      <c r="BG9" s="23"/>
      <c r="BH9" s="23"/>
      <c r="BI9" s="23"/>
      <c r="BJ9" s="46"/>
      <c r="BK9" s="23"/>
      <c r="BL9" s="23"/>
      <c r="BM9" s="23"/>
    </row>
    <row r="10" spans="1:65" ht="17.25" customHeight="1" x14ac:dyDescent="0.25">
      <c r="A10" s="766"/>
      <c r="B10" s="765"/>
      <c r="C10" s="33"/>
      <c r="D10" s="846"/>
      <c r="E10" s="770"/>
      <c r="F10" s="770"/>
      <c r="G10" s="770"/>
      <c r="H10" s="846"/>
      <c r="I10" s="153"/>
      <c r="J10" s="847"/>
      <c r="K10" s="847"/>
      <c r="L10" s="847"/>
      <c r="M10" s="782"/>
      <c r="N10" s="770"/>
      <c r="O10" s="770"/>
      <c r="P10" s="770"/>
      <c r="Q10" s="770"/>
      <c r="R10" s="59">
        <v>4</v>
      </c>
      <c r="S10" s="50" t="s">
        <v>160</v>
      </c>
      <c r="T10" s="70">
        <v>50</v>
      </c>
      <c r="U10" s="1156"/>
      <c r="V10" s="1157"/>
      <c r="W10" s="1157"/>
      <c r="X10" s="1157"/>
      <c r="Y10" s="1157"/>
      <c r="Z10" s="1157"/>
      <c r="AA10" s="1157"/>
      <c r="AB10" s="1157"/>
      <c r="AC10" s="1157"/>
      <c r="AD10" s="1157"/>
      <c r="AE10" s="1157"/>
      <c r="AF10" s="1157"/>
      <c r="AG10" s="1157"/>
      <c r="AH10" s="1157"/>
      <c r="AI10" s="1157"/>
      <c r="AJ10" s="1157"/>
      <c r="AK10" s="1157"/>
      <c r="AL10" s="1157"/>
      <c r="AM10" s="1157"/>
      <c r="AN10" s="1157"/>
      <c r="AO10" s="1157"/>
      <c r="AP10" s="1157"/>
      <c r="AQ10" s="1157"/>
      <c r="AR10" s="1157"/>
      <c r="AS10" s="1157"/>
      <c r="AT10" s="1157"/>
      <c r="AU10" s="1158"/>
      <c r="AV10" s="23"/>
      <c r="AW10" s="23"/>
      <c r="AX10" s="23"/>
      <c r="AY10" s="23"/>
      <c r="AZ10" s="23"/>
      <c r="BA10" s="23"/>
      <c r="BB10" s="23"/>
      <c r="BC10" s="23"/>
      <c r="BD10" s="23"/>
      <c r="BE10" s="23"/>
      <c r="BF10" s="23"/>
      <c r="BG10" s="23"/>
      <c r="BH10" s="23"/>
      <c r="BI10" s="23"/>
      <c r="BJ10" s="46"/>
      <c r="BK10" s="23"/>
      <c r="BL10" s="23"/>
      <c r="BM10" s="23"/>
    </row>
    <row r="11" spans="1:65" ht="17.25" customHeight="1" x14ac:dyDescent="0.25">
      <c r="A11" s="766"/>
      <c r="B11" s="767"/>
      <c r="C11" s="33"/>
      <c r="D11" s="784"/>
      <c r="E11" s="821"/>
      <c r="F11" s="821"/>
      <c r="G11" s="821"/>
      <c r="H11" s="848"/>
      <c r="I11" s="153"/>
      <c r="J11" s="784"/>
      <c r="K11" s="153"/>
      <c r="L11" s="153"/>
      <c r="M11" s="784"/>
      <c r="N11" s="782"/>
      <c r="O11" s="782"/>
      <c r="P11" s="782"/>
      <c r="Q11" s="782"/>
      <c r="R11" s="59">
        <v>5</v>
      </c>
      <c r="S11" s="50" t="s">
        <v>160</v>
      </c>
      <c r="T11" s="74">
        <v>50</v>
      </c>
      <c r="U11" s="1159"/>
      <c r="V11" s="1160"/>
      <c r="W11" s="1160"/>
      <c r="X11" s="1160"/>
      <c r="Y11" s="1160"/>
      <c r="Z11" s="1160"/>
      <c r="AA11" s="1160"/>
      <c r="AB11" s="1160"/>
      <c r="AC11" s="1160"/>
      <c r="AD11" s="1160"/>
      <c r="AE11" s="1160"/>
      <c r="AF11" s="1160"/>
      <c r="AG11" s="1160"/>
      <c r="AH11" s="1160"/>
      <c r="AI11" s="1160"/>
      <c r="AJ11" s="1160"/>
      <c r="AK11" s="1160"/>
      <c r="AL11" s="1160"/>
      <c r="AM11" s="1160"/>
      <c r="AN11" s="1160"/>
      <c r="AO11" s="1160"/>
      <c r="AP11" s="1160"/>
      <c r="AQ11" s="1160"/>
      <c r="AR11" s="1160"/>
      <c r="AS11" s="1160"/>
      <c r="AT11" s="1160"/>
      <c r="AU11" s="1161"/>
      <c r="AV11" s="23"/>
      <c r="AW11" s="23"/>
      <c r="AX11" s="23"/>
      <c r="AY11" s="23"/>
      <c r="AZ11" s="23"/>
      <c r="BA11" s="23"/>
      <c r="BB11" s="23"/>
      <c r="BC11" s="23"/>
      <c r="BD11" s="23"/>
      <c r="BE11" s="23"/>
      <c r="BF11" s="23"/>
      <c r="BG11" s="23"/>
      <c r="BH11" s="23"/>
      <c r="BI11" s="23"/>
      <c r="BJ11" s="46"/>
      <c r="BK11" s="23"/>
      <c r="BL11" s="23"/>
      <c r="BM11" s="23"/>
    </row>
    <row r="12" spans="1:65" ht="17.25" customHeight="1" x14ac:dyDescent="0.25">
      <c r="A12" s="766"/>
      <c r="B12" s="765"/>
      <c r="C12" s="33"/>
      <c r="D12" s="192"/>
      <c r="E12" s="844"/>
      <c r="F12" s="844"/>
      <c r="G12" s="844"/>
      <c r="H12" s="849"/>
      <c r="I12" s="153"/>
      <c r="J12" s="153"/>
      <c r="K12" s="153"/>
      <c r="L12" s="153"/>
      <c r="M12" s="153"/>
      <c r="N12" s="804"/>
      <c r="O12" s="804"/>
      <c r="P12" s="804"/>
      <c r="Q12" s="804"/>
      <c r="R12" s="59">
        <v>6</v>
      </c>
      <c r="S12" s="50" t="s">
        <v>160</v>
      </c>
      <c r="T12" s="79">
        <v>50</v>
      </c>
      <c r="U12" s="1159"/>
      <c r="V12" s="1160"/>
      <c r="W12" s="1160"/>
      <c r="X12" s="1160"/>
      <c r="Y12" s="1160"/>
      <c r="Z12" s="1160"/>
      <c r="AA12" s="1160"/>
      <c r="AB12" s="1160"/>
      <c r="AC12" s="1160"/>
      <c r="AD12" s="1160"/>
      <c r="AE12" s="1160"/>
      <c r="AF12" s="1160"/>
      <c r="AG12" s="1160"/>
      <c r="AH12" s="1160"/>
      <c r="AI12" s="1160"/>
      <c r="AJ12" s="1160"/>
      <c r="AK12" s="1160"/>
      <c r="AL12" s="1160"/>
      <c r="AM12" s="1160"/>
      <c r="AN12" s="1160"/>
      <c r="AO12" s="1160"/>
      <c r="AP12" s="1160"/>
      <c r="AQ12" s="1160"/>
      <c r="AR12" s="1160"/>
      <c r="AS12" s="1160"/>
      <c r="AT12" s="1160"/>
      <c r="AU12" s="1161"/>
      <c r="AV12" s="23"/>
      <c r="AW12" s="23"/>
      <c r="AX12" s="23"/>
      <c r="AY12" s="23"/>
      <c r="AZ12" s="23"/>
      <c r="BA12" s="23"/>
      <c r="BB12" s="23"/>
      <c r="BC12" s="23"/>
      <c r="BD12" s="23"/>
      <c r="BE12" s="23"/>
      <c r="BF12" s="23"/>
      <c r="BG12" s="23"/>
      <c r="BH12" s="23"/>
      <c r="BI12" s="23"/>
      <c r="BJ12" s="46"/>
      <c r="BK12" s="23"/>
      <c r="BL12" s="23"/>
      <c r="BM12" s="23"/>
    </row>
    <row r="13" spans="1:65" ht="17.25" customHeight="1" x14ac:dyDescent="0.25">
      <c r="A13" s="766"/>
      <c r="B13" s="765"/>
      <c r="C13" s="33"/>
      <c r="D13" s="192"/>
      <c r="E13" s="1099"/>
      <c r="F13" s="1099"/>
      <c r="G13" s="1099"/>
      <c r="H13" s="769"/>
      <c r="I13" s="153"/>
      <c r="J13" s="153"/>
      <c r="K13" s="153"/>
      <c r="L13" s="153"/>
      <c r="M13" s="153"/>
      <c r="N13" s="811"/>
      <c r="O13" s="811"/>
      <c r="P13" s="153"/>
      <c r="Q13" s="153"/>
      <c r="R13" s="59">
        <v>7</v>
      </c>
      <c r="S13" s="50" t="s">
        <v>160</v>
      </c>
      <c r="T13" s="11">
        <v>50</v>
      </c>
      <c r="U13" s="1159"/>
      <c r="V13" s="1160"/>
      <c r="W13" s="1160"/>
      <c r="X13" s="1160"/>
      <c r="Y13" s="1160"/>
      <c r="Z13" s="1160"/>
      <c r="AA13" s="1160"/>
      <c r="AB13" s="1160"/>
      <c r="AC13" s="1160"/>
      <c r="AD13" s="1160"/>
      <c r="AE13" s="1160"/>
      <c r="AF13" s="1160"/>
      <c r="AG13" s="1160"/>
      <c r="AH13" s="1160"/>
      <c r="AI13" s="1160"/>
      <c r="AJ13" s="1160"/>
      <c r="AK13" s="1160"/>
      <c r="AL13" s="1160"/>
      <c r="AM13" s="1160"/>
      <c r="AN13" s="1160"/>
      <c r="AO13" s="1160"/>
      <c r="AP13" s="1160"/>
      <c r="AQ13" s="1160"/>
      <c r="AR13" s="1160"/>
      <c r="AS13" s="1160"/>
      <c r="AT13" s="1160"/>
      <c r="AU13" s="1161"/>
      <c r="AV13" s="23"/>
      <c r="AW13" s="23"/>
      <c r="AX13" s="23"/>
      <c r="AY13" s="23"/>
      <c r="AZ13" s="23"/>
      <c r="BA13" s="23"/>
      <c r="BB13" s="23"/>
      <c r="BC13" s="23"/>
      <c r="BD13" s="23"/>
      <c r="BE13" s="23"/>
      <c r="BF13" s="23"/>
      <c r="BG13" s="23"/>
      <c r="BH13" s="23"/>
      <c r="BI13" s="23"/>
      <c r="BJ13" s="46"/>
      <c r="BK13" s="23"/>
      <c r="BL13" s="23"/>
      <c r="BM13" s="23"/>
    </row>
    <row r="14" spans="1:65" ht="17.25" customHeight="1" thickBot="1" x14ac:dyDescent="0.3">
      <c r="A14" s="763"/>
      <c r="B14" s="153"/>
      <c r="C14" s="23"/>
      <c r="D14" s="850"/>
      <c r="E14" s="157"/>
      <c r="F14" s="850"/>
      <c r="G14" s="157"/>
      <c r="H14" s="153"/>
      <c r="I14" s="153"/>
      <c r="J14" s="153"/>
      <c r="K14" s="768"/>
      <c r="L14" s="768"/>
      <c r="M14" s="811"/>
      <c r="N14" s="153"/>
      <c r="O14" s="1131"/>
      <c r="P14" s="1131"/>
      <c r="Q14" s="811"/>
      <c r="R14" s="59">
        <v>8</v>
      </c>
      <c r="S14" s="50" t="s">
        <v>160</v>
      </c>
      <c r="T14" s="84">
        <v>50</v>
      </c>
      <c r="U14" s="1159"/>
      <c r="V14" s="1160"/>
      <c r="W14" s="1160"/>
      <c r="X14" s="1160"/>
      <c r="Y14" s="1160"/>
      <c r="Z14" s="1160"/>
      <c r="AA14" s="1160"/>
      <c r="AB14" s="1160"/>
      <c r="AC14" s="1160"/>
      <c r="AD14" s="1160"/>
      <c r="AE14" s="1160"/>
      <c r="AF14" s="1160"/>
      <c r="AG14" s="1160"/>
      <c r="AH14" s="1160"/>
      <c r="AI14" s="1160"/>
      <c r="AJ14" s="1160"/>
      <c r="AK14" s="1160"/>
      <c r="AL14" s="1160"/>
      <c r="AM14" s="1160"/>
      <c r="AN14" s="1160"/>
      <c r="AO14" s="1160"/>
      <c r="AP14" s="1160"/>
      <c r="AQ14" s="1160"/>
      <c r="AR14" s="1160"/>
      <c r="AS14" s="1160"/>
      <c r="AT14" s="1160"/>
      <c r="AU14" s="1161"/>
      <c r="AV14" s="23"/>
      <c r="AW14" s="23"/>
      <c r="AX14" s="23"/>
      <c r="AY14" s="23"/>
      <c r="AZ14" s="23"/>
      <c r="BA14" s="23"/>
      <c r="BB14" s="23"/>
      <c r="BC14" s="23"/>
      <c r="BD14" s="23"/>
      <c r="BE14" s="23"/>
      <c r="BF14" s="23"/>
      <c r="BG14" s="23"/>
      <c r="BH14" s="23"/>
      <c r="BI14" s="23"/>
      <c r="BJ14" s="46"/>
      <c r="BK14" s="23"/>
      <c r="BL14" s="23"/>
      <c r="BM14" s="23"/>
    </row>
    <row r="15" spans="1:65" ht="17.25" customHeight="1" x14ac:dyDescent="0.25">
      <c r="A15" s="768"/>
      <c r="B15" s="153"/>
      <c r="C15" s="33"/>
      <c r="D15" s="153"/>
      <c r="E15" s="766"/>
      <c r="F15" s="766"/>
      <c r="G15" s="851"/>
      <c r="H15" s="153"/>
      <c r="I15" s="153"/>
      <c r="J15" s="153"/>
      <c r="K15" s="768"/>
      <c r="L15" s="768"/>
      <c r="M15" s="811"/>
      <c r="N15" s="766"/>
      <c r="O15" s="766"/>
      <c r="P15" s="766"/>
      <c r="Q15" s="766"/>
      <c r="R15" s="59">
        <v>9</v>
      </c>
      <c r="S15" s="50" t="s">
        <v>160</v>
      </c>
      <c r="T15" s="84">
        <v>50</v>
      </c>
      <c r="U15" s="1159"/>
      <c r="V15" s="1160"/>
      <c r="W15" s="1160"/>
      <c r="X15" s="1160"/>
      <c r="Y15" s="1160"/>
      <c r="Z15" s="1160"/>
      <c r="AA15" s="1160"/>
      <c r="AB15" s="1160"/>
      <c r="AC15" s="1160"/>
      <c r="AD15" s="1160"/>
      <c r="AE15" s="1160"/>
      <c r="AF15" s="1160"/>
      <c r="AG15" s="1160"/>
      <c r="AH15" s="1160"/>
      <c r="AI15" s="1160"/>
      <c r="AJ15" s="1160"/>
      <c r="AK15" s="1160"/>
      <c r="AL15" s="1160"/>
      <c r="AM15" s="1160"/>
      <c r="AN15" s="1160"/>
      <c r="AO15" s="1160"/>
      <c r="AP15" s="1160"/>
      <c r="AQ15" s="1160"/>
      <c r="AR15" s="1160"/>
      <c r="AS15" s="1160"/>
      <c r="AT15" s="1160"/>
      <c r="AU15" s="1161"/>
      <c r="AV15" s="23"/>
      <c r="AW15" s="23"/>
      <c r="AX15" s="23"/>
      <c r="AY15" s="23"/>
      <c r="AZ15" s="23"/>
      <c r="BA15" s="23"/>
      <c r="BB15" s="23"/>
      <c r="BC15" s="23"/>
      <c r="BD15" s="23"/>
      <c r="BE15" s="23"/>
      <c r="BF15" s="23"/>
      <c r="BG15" s="23"/>
      <c r="BH15" s="23"/>
      <c r="BI15" s="23"/>
      <c r="BJ15" s="46"/>
      <c r="BK15" s="23"/>
      <c r="BL15" s="23"/>
      <c r="BM15" s="23"/>
    </row>
    <row r="16" spans="1:65" ht="17.25" customHeight="1" x14ac:dyDescent="0.25">
      <c r="A16" s="1099"/>
      <c r="B16" s="1099"/>
      <c r="C16" s="153"/>
      <c r="D16" s="784"/>
      <c r="E16" s="766"/>
      <c r="F16" s="766"/>
      <c r="G16" s="851"/>
      <c r="H16" s="153"/>
      <c r="I16" s="153"/>
      <c r="J16" s="153"/>
      <c r="K16" s="768"/>
      <c r="L16" s="768"/>
      <c r="M16" s="849"/>
      <c r="N16" s="766"/>
      <c r="O16" s="766"/>
      <c r="P16" s="766"/>
      <c r="Q16" s="766"/>
      <c r="R16" s="59">
        <v>10</v>
      </c>
      <c r="S16" s="50" t="s">
        <v>160</v>
      </c>
      <c r="T16" s="87">
        <v>50</v>
      </c>
      <c r="U16" s="1159"/>
      <c r="V16" s="1160"/>
      <c r="W16" s="1160"/>
      <c r="X16" s="1160"/>
      <c r="Y16" s="1160"/>
      <c r="Z16" s="1160"/>
      <c r="AA16" s="1160"/>
      <c r="AB16" s="1160"/>
      <c r="AC16" s="1160"/>
      <c r="AD16" s="1160"/>
      <c r="AE16" s="1160"/>
      <c r="AF16" s="1160"/>
      <c r="AG16" s="1160"/>
      <c r="AH16" s="1160"/>
      <c r="AI16" s="1160"/>
      <c r="AJ16" s="1160"/>
      <c r="AK16" s="1160"/>
      <c r="AL16" s="1160"/>
      <c r="AM16" s="1160"/>
      <c r="AN16" s="1160"/>
      <c r="AO16" s="1160"/>
      <c r="AP16" s="1160"/>
      <c r="AQ16" s="1160"/>
      <c r="AR16" s="1160"/>
      <c r="AS16" s="1160"/>
      <c r="AT16" s="1160"/>
      <c r="AU16" s="1161"/>
      <c r="AV16" s="23"/>
      <c r="AW16" s="23"/>
      <c r="AX16" s="23"/>
      <c r="AY16" s="23"/>
      <c r="AZ16" s="23"/>
      <c r="BA16" s="23"/>
      <c r="BB16" s="23"/>
      <c r="BC16" s="23"/>
      <c r="BD16" s="23"/>
      <c r="BE16" s="23"/>
      <c r="BF16" s="23"/>
      <c r="BG16" s="23"/>
      <c r="BH16" s="23"/>
      <c r="BI16" s="23"/>
      <c r="BJ16" s="46"/>
      <c r="BK16" s="23"/>
      <c r="BL16" s="23"/>
      <c r="BM16" s="23"/>
    </row>
    <row r="17" spans="1:65" ht="17.25" customHeight="1" x14ac:dyDescent="0.25">
      <c r="A17" s="770"/>
      <c r="B17" s="771"/>
      <c r="C17" s="772"/>
      <c r="D17" s="822"/>
      <c r="E17" s="153"/>
      <c r="F17" s="153"/>
      <c r="G17" s="157"/>
      <c r="H17" s="153"/>
      <c r="I17" s="153"/>
      <c r="J17" s="153"/>
      <c r="K17" s="153"/>
      <c r="L17" s="784"/>
      <c r="M17" s="811"/>
      <c r="N17" s="849"/>
      <c r="O17" s="849"/>
      <c r="P17" s="153"/>
      <c r="Q17" s="153"/>
      <c r="R17" s="59">
        <v>11</v>
      </c>
      <c r="S17" s="50" t="s">
        <v>160</v>
      </c>
      <c r="T17" s="91">
        <v>50</v>
      </c>
      <c r="U17" s="1159"/>
      <c r="V17" s="1160"/>
      <c r="W17" s="1160"/>
      <c r="X17" s="1160"/>
      <c r="Y17" s="1160"/>
      <c r="Z17" s="1160"/>
      <c r="AA17" s="1160"/>
      <c r="AB17" s="1160"/>
      <c r="AC17" s="1160"/>
      <c r="AD17" s="1160"/>
      <c r="AE17" s="1160"/>
      <c r="AF17" s="1160"/>
      <c r="AG17" s="1160"/>
      <c r="AH17" s="1160"/>
      <c r="AI17" s="1160"/>
      <c r="AJ17" s="1160"/>
      <c r="AK17" s="1160"/>
      <c r="AL17" s="1160"/>
      <c r="AM17" s="1160"/>
      <c r="AN17" s="1160"/>
      <c r="AO17" s="1160"/>
      <c r="AP17" s="1160"/>
      <c r="AQ17" s="1160"/>
      <c r="AR17" s="1160"/>
      <c r="AS17" s="1160"/>
      <c r="AT17" s="1160"/>
      <c r="AU17" s="1161"/>
      <c r="AV17" s="23"/>
      <c r="AW17" s="23"/>
      <c r="AX17" s="23"/>
      <c r="AY17" s="23"/>
      <c r="AZ17" s="23"/>
      <c r="BA17" s="23"/>
      <c r="BB17" s="23"/>
      <c r="BC17" s="23"/>
      <c r="BD17" s="23"/>
      <c r="BE17" s="23"/>
      <c r="BF17" s="23"/>
      <c r="BG17" s="23"/>
      <c r="BH17" s="23"/>
      <c r="BI17" s="23"/>
      <c r="BJ17" s="46"/>
      <c r="BK17" s="23"/>
      <c r="BL17" s="23"/>
      <c r="BM17" s="23"/>
    </row>
    <row r="18" spans="1:65" ht="17.25" customHeight="1" thickBot="1" x14ac:dyDescent="0.3">
      <c r="A18" s="770"/>
      <c r="B18" s="771"/>
      <c r="C18" s="772"/>
      <c r="D18" s="153"/>
      <c r="E18" s="153"/>
      <c r="F18" s="153"/>
      <c r="G18" s="153"/>
      <c r="H18" s="153"/>
      <c r="I18" s="153"/>
      <c r="J18" s="153"/>
      <c r="K18" s="153"/>
      <c r="L18" s="1099"/>
      <c r="M18" s="1099"/>
      <c r="N18" s="153"/>
      <c r="O18" s="784"/>
      <c r="P18" s="92"/>
      <c r="Q18" s="33"/>
      <c r="R18" s="33"/>
      <c r="S18" s="59"/>
      <c r="T18" s="93"/>
      <c r="U18" s="1159"/>
      <c r="V18" s="1160"/>
      <c r="W18" s="1160"/>
      <c r="X18" s="1160"/>
      <c r="Y18" s="1160"/>
      <c r="Z18" s="1160"/>
      <c r="AA18" s="1160"/>
      <c r="AB18" s="1160"/>
      <c r="AC18" s="1160"/>
      <c r="AD18" s="1160"/>
      <c r="AE18" s="1160"/>
      <c r="AF18" s="1160"/>
      <c r="AG18" s="1160"/>
      <c r="AH18" s="1160"/>
      <c r="AI18" s="1160"/>
      <c r="AJ18" s="1160"/>
      <c r="AK18" s="1160"/>
      <c r="AL18" s="1160"/>
      <c r="AM18" s="1160"/>
      <c r="AN18" s="1160"/>
      <c r="AO18" s="1160"/>
      <c r="AP18" s="1160"/>
      <c r="AQ18" s="1160"/>
      <c r="AR18" s="1160"/>
      <c r="AS18" s="1160"/>
      <c r="AT18" s="1160"/>
      <c r="AU18" s="1161"/>
      <c r="AV18" s="23"/>
      <c r="AW18" s="23"/>
      <c r="AX18" s="23"/>
      <c r="AY18" s="23"/>
      <c r="AZ18" s="23"/>
      <c r="BA18" s="23"/>
      <c r="BB18" s="23"/>
      <c r="BC18" s="23"/>
      <c r="BD18" s="23"/>
      <c r="BE18" s="23"/>
      <c r="BF18" s="23"/>
      <c r="BG18" s="23"/>
      <c r="BH18" s="23"/>
      <c r="BI18" s="23"/>
      <c r="BJ18" s="46"/>
      <c r="BK18" s="23"/>
      <c r="BL18" s="23"/>
      <c r="BM18" s="23"/>
    </row>
    <row r="19" spans="1:65" ht="17.25" customHeight="1" x14ac:dyDescent="0.25">
      <c r="A19" s="770"/>
      <c r="B19" s="771"/>
      <c r="C19" s="772"/>
      <c r="D19" s="153"/>
      <c r="E19" s="153"/>
      <c r="F19" s="153"/>
      <c r="G19" s="153"/>
      <c r="H19" s="153"/>
      <c r="I19" s="153"/>
      <c r="J19" s="153"/>
      <c r="K19" s="774"/>
      <c r="L19" s="821"/>
      <c r="M19" s="821"/>
      <c r="N19" s="791"/>
      <c r="O19" s="153"/>
      <c r="P19" s="1165" t="s">
        <v>184</v>
      </c>
      <c r="Q19" s="1165"/>
      <c r="R19" s="1165"/>
      <c r="S19" s="1165"/>
      <c r="T19" s="1166"/>
      <c r="U19" s="1159"/>
      <c r="V19" s="1160"/>
      <c r="W19" s="1160"/>
      <c r="X19" s="1160"/>
      <c r="Y19" s="1160"/>
      <c r="Z19" s="1160"/>
      <c r="AA19" s="1160"/>
      <c r="AB19" s="1160"/>
      <c r="AC19" s="1160"/>
      <c r="AD19" s="1160"/>
      <c r="AE19" s="1160"/>
      <c r="AF19" s="1160"/>
      <c r="AG19" s="1160"/>
      <c r="AH19" s="1160"/>
      <c r="AI19" s="1160"/>
      <c r="AJ19" s="1160"/>
      <c r="AK19" s="1160"/>
      <c r="AL19" s="1160"/>
      <c r="AM19" s="1160"/>
      <c r="AN19" s="1160"/>
      <c r="AO19" s="1160"/>
      <c r="AP19" s="1160"/>
      <c r="AQ19" s="1160"/>
      <c r="AR19" s="1160"/>
      <c r="AS19" s="1160"/>
      <c r="AT19" s="1160"/>
      <c r="AU19" s="1161"/>
      <c r="AV19" s="95"/>
      <c r="AW19" s="95"/>
      <c r="AX19" s="95"/>
      <c r="AY19" s="95"/>
      <c r="AZ19" s="95"/>
      <c r="BA19" s="95"/>
      <c r="BB19" s="95"/>
      <c r="BC19" s="95"/>
      <c r="BD19" s="95"/>
      <c r="BE19" s="96"/>
      <c r="BF19" s="46"/>
      <c r="BG19" s="23"/>
      <c r="BH19" s="23"/>
      <c r="BI19" s="23"/>
      <c r="BJ19" s="46"/>
      <c r="BK19" s="23"/>
      <c r="BL19" s="23"/>
      <c r="BM19" s="23"/>
    </row>
    <row r="20" spans="1:65" ht="17.25" customHeight="1" x14ac:dyDescent="0.25">
      <c r="A20" s="770"/>
      <c r="B20" s="771"/>
      <c r="C20" s="772"/>
      <c r="D20" s="153"/>
      <c r="E20" s="153"/>
      <c r="F20" s="153"/>
      <c r="G20" s="153"/>
      <c r="H20" s="153"/>
      <c r="I20" s="153"/>
      <c r="J20" s="778"/>
      <c r="K20" s="821"/>
      <c r="L20" s="770"/>
      <c r="M20" s="770"/>
      <c r="N20" s="821"/>
      <c r="O20" s="772"/>
      <c r="P20" s="81"/>
      <c r="Q20" s="23"/>
      <c r="R20" s="33"/>
      <c r="S20" s="49" t="s">
        <v>164</v>
      </c>
      <c r="T20" s="98">
        <v>1</v>
      </c>
      <c r="U20" s="1159"/>
      <c r="V20" s="1160"/>
      <c r="W20" s="1160"/>
      <c r="X20" s="1160"/>
      <c r="Y20" s="1160"/>
      <c r="Z20" s="1160"/>
      <c r="AA20" s="1160"/>
      <c r="AB20" s="1160"/>
      <c r="AC20" s="1160"/>
      <c r="AD20" s="1160"/>
      <c r="AE20" s="1160"/>
      <c r="AF20" s="1160"/>
      <c r="AG20" s="1160"/>
      <c r="AH20" s="1160"/>
      <c r="AI20" s="1160"/>
      <c r="AJ20" s="1160"/>
      <c r="AK20" s="1160"/>
      <c r="AL20" s="1160"/>
      <c r="AM20" s="1160"/>
      <c r="AN20" s="1160"/>
      <c r="AO20" s="1160"/>
      <c r="AP20" s="1160"/>
      <c r="AQ20" s="1160"/>
      <c r="AR20" s="1160"/>
      <c r="AS20" s="1160"/>
      <c r="AT20" s="1160"/>
      <c r="AU20" s="1161"/>
      <c r="AV20" s="23"/>
      <c r="AW20" s="23"/>
      <c r="AX20" s="23"/>
      <c r="AY20" s="23"/>
      <c r="AZ20" s="23"/>
      <c r="BA20" s="23"/>
      <c r="BB20" s="23"/>
      <c r="BC20" s="23"/>
      <c r="BD20" s="23"/>
      <c r="BE20" s="99"/>
      <c r="BF20" s="46"/>
      <c r="BG20" s="23"/>
      <c r="BH20" s="23"/>
      <c r="BI20" s="23"/>
      <c r="BJ20" s="46"/>
      <c r="BK20" s="23"/>
      <c r="BL20" s="23"/>
      <c r="BM20" s="23"/>
    </row>
    <row r="21" spans="1:65" ht="17.25" customHeight="1" thickBot="1" x14ac:dyDescent="0.3">
      <c r="A21" s="770"/>
      <c r="B21" s="771"/>
      <c r="C21" s="772"/>
      <c r="D21" s="153"/>
      <c r="E21" s="153"/>
      <c r="F21" s="153"/>
      <c r="G21" s="153"/>
      <c r="H21" s="153"/>
      <c r="I21" s="153"/>
      <c r="J21" s="778"/>
      <c r="K21" s="821"/>
      <c r="L21" s="770"/>
      <c r="M21" s="770"/>
      <c r="N21" s="821"/>
      <c r="O21" s="772"/>
      <c r="P21" s="81"/>
      <c r="Q21" s="23"/>
      <c r="R21" s="61" t="s">
        <v>185</v>
      </c>
      <c r="S21" s="98">
        <v>2</v>
      </c>
      <c r="T21" s="100" t="s">
        <v>160</v>
      </c>
      <c r="U21" s="1162"/>
      <c r="V21" s="1163"/>
      <c r="W21" s="1163"/>
      <c r="X21" s="1163"/>
      <c r="Y21" s="1163"/>
      <c r="Z21" s="1163"/>
      <c r="AA21" s="1163"/>
      <c r="AB21" s="1163"/>
      <c r="AC21" s="1163"/>
      <c r="AD21" s="1163"/>
      <c r="AE21" s="1163"/>
      <c r="AF21" s="1163"/>
      <c r="AG21" s="1163"/>
      <c r="AH21" s="1163"/>
      <c r="AI21" s="1163"/>
      <c r="AJ21" s="1163"/>
      <c r="AK21" s="1163"/>
      <c r="AL21" s="1163"/>
      <c r="AM21" s="1163"/>
      <c r="AN21" s="1163"/>
      <c r="AO21" s="1163"/>
      <c r="AP21" s="1163"/>
      <c r="AQ21" s="1163"/>
      <c r="AR21" s="1163"/>
      <c r="AS21" s="1163"/>
      <c r="AT21" s="1163"/>
      <c r="AU21" s="1164"/>
      <c r="AV21" s="23"/>
      <c r="AW21" s="23"/>
      <c r="AX21" s="23"/>
      <c r="AY21" s="23"/>
      <c r="AZ21" s="23"/>
      <c r="BA21" s="23"/>
      <c r="BB21" s="23"/>
      <c r="BC21" s="23"/>
      <c r="BD21" s="23"/>
      <c r="BE21" s="99"/>
      <c r="BF21" s="46"/>
      <c r="BG21" s="23"/>
      <c r="BH21" s="23"/>
      <c r="BI21" s="23"/>
      <c r="BJ21" s="46"/>
      <c r="BK21" s="23"/>
      <c r="BL21" s="23"/>
      <c r="BM21" s="23"/>
    </row>
    <row r="22" spans="1:65" ht="17.25" customHeight="1" thickBot="1" x14ac:dyDescent="0.3">
      <c r="A22" s="770"/>
      <c r="B22" s="771"/>
      <c r="C22" s="772"/>
      <c r="D22" s="153"/>
      <c r="E22" s="766"/>
      <c r="F22" s="766"/>
      <c r="G22" s="766"/>
      <c r="H22" s="192"/>
      <c r="I22" s="192"/>
      <c r="J22" s="778"/>
      <c r="K22" s="821"/>
      <c r="L22" s="770"/>
      <c r="M22" s="770"/>
      <c r="N22" s="821"/>
      <c r="O22" s="772"/>
      <c r="P22" s="81"/>
      <c r="R22" s="98">
        <v>3</v>
      </c>
      <c r="S22" s="100" t="s">
        <v>160</v>
      </c>
      <c r="T22" s="101">
        <v>50</v>
      </c>
      <c r="U22" s="71"/>
      <c r="V22" s="76"/>
      <c r="W22" s="76"/>
      <c r="X22" s="76"/>
      <c r="Y22" s="76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76"/>
      <c r="AP22" s="76"/>
      <c r="AQ22" s="76"/>
      <c r="AR22" s="76"/>
      <c r="AS22" s="76"/>
      <c r="AT22" s="76"/>
      <c r="AU22" s="77"/>
      <c r="AV22" s="46"/>
      <c r="AW22" s="23"/>
      <c r="AX22" s="23"/>
      <c r="AY22" s="23"/>
      <c r="AZ22" s="192"/>
      <c r="BA22" s="192"/>
      <c r="BB22" s="192"/>
      <c r="BC22" s="23"/>
      <c r="BD22" s="23"/>
      <c r="BE22" s="99"/>
      <c r="BF22" s="46"/>
      <c r="BG22" s="23"/>
      <c r="BH22" s="23"/>
      <c r="BI22" s="23"/>
      <c r="BJ22" s="46"/>
      <c r="BK22" s="23"/>
      <c r="BL22" s="23"/>
      <c r="BM22" s="23"/>
    </row>
    <row r="23" spans="1:65" ht="17.25" customHeight="1" thickBot="1" x14ac:dyDescent="0.3">
      <c r="A23" s="770"/>
      <c r="B23" s="771"/>
      <c r="C23" s="773"/>
      <c r="D23" s="153"/>
      <c r="E23" s="766"/>
      <c r="F23" s="766"/>
      <c r="G23" s="766"/>
      <c r="H23" s="820"/>
      <c r="I23" s="192"/>
      <c r="J23" s="778"/>
      <c r="K23" s="821"/>
      <c r="L23" s="770"/>
      <c r="M23" s="770"/>
      <c r="N23" s="821"/>
      <c r="O23" s="772"/>
      <c r="P23" s="94" t="s">
        <v>186</v>
      </c>
      <c r="Q23" s="98">
        <v>4</v>
      </c>
      <c r="R23" s="100" t="s">
        <v>160</v>
      </c>
      <c r="S23" s="87">
        <v>50</v>
      </c>
      <c r="T23" s="852"/>
      <c r="U23" s="76"/>
      <c r="V23" s="33"/>
      <c r="X23" s="33"/>
      <c r="Y23" s="33"/>
      <c r="Z23" s="33"/>
      <c r="AA23" s="33"/>
      <c r="AB23" s="33"/>
      <c r="AC23" s="33"/>
      <c r="AD23" s="33"/>
      <c r="AE23" s="33"/>
      <c r="AF23" s="33"/>
      <c r="AG23" s="33"/>
      <c r="AH23" s="33"/>
      <c r="AI23" s="33"/>
      <c r="AJ23" s="33"/>
      <c r="AK23" s="33"/>
      <c r="AL23" s="33"/>
      <c r="AM23" s="33"/>
      <c r="AN23" s="33"/>
      <c r="AO23" s="33"/>
      <c r="AP23" s="33"/>
      <c r="AQ23" s="33"/>
      <c r="AR23" s="33"/>
      <c r="AS23" s="33"/>
      <c r="AT23" s="33"/>
      <c r="AU23" s="33"/>
      <c r="AV23" s="46"/>
      <c r="AW23" s="23"/>
      <c r="AX23" s="23"/>
      <c r="AY23" s="23"/>
      <c r="AZ23" s="192"/>
      <c r="BA23" s="192"/>
      <c r="BB23" s="192"/>
      <c r="BC23" s="23"/>
      <c r="BD23" s="23"/>
      <c r="BE23" s="99"/>
      <c r="BF23" s="46"/>
      <c r="BG23" s="23"/>
      <c r="BH23" s="23"/>
      <c r="BI23" s="23"/>
      <c r="BJ23" s="46"/>
      <c r="BK23" s="23"/>
      <c r="BL23" s="23"/>
      <c r="BM23" s="23"/>
    </row>
    <row r="24" spans="1:65" ht="17.25" customHeight="1" thickBot="1" x14ac:dyDescent="0.3">
      <c r="A24" s="770"/>
      <c r="B24" s="771"/>
      <c r="C24" s="773"/>
      <c r="D24" s="153"/>
      <c r="E24" s="784"/>
      <c r="F24" s="822"/>
      <c r="G24" s="822"/>
      <c r="H24" s="804"/>
      <c r="I24" s="192"/>
      <c r="J24" s="192"/>
      <c r="K24" s="790"/>
      <c r="L24" s="821"/>
      <c r="M24" s="821"/>
      <c r="N24" s="790"/>
      <c r="O24" s="811"/>
      <c r="P24" s="98">
        <v>5</v>
      </c>
      <c r="Q24" s="100" t="s">
        <v>160</v>
      </c>
      <c r="R24" s="106">
        <v>50</v>
      </c>
      <c r="S24" s="852"/>
      <c r="T24" s="784"/>
      <c r="U24" s="33"/>
      <c r="V24" s="33"/>
      <c r="W24" s="33"/>
      <c r="X24" s="33"/>
      <c r="AA24" s="33"/>
      <c r="AB24" s="33"/>
      <c r="AC24" s="33"/>
      <c r="AD24" s="33"/>
      <c r="AE24" s="33"/>
      <c r="AF24" s="33"/>
      <c r="AG24" s="33"/>
      <c r="AH24" s="33"/>
      <c r="AI24" s="33"/>
      <c r="AJ24" s="33"/>
      <c r="AK24" s="33"/>
      <c r="AL24" s="33"/>
      <c r="AM24" s="33"/>
      <c r="AN24" s="33"/>
      <c r="AO24" s="33"/>
      <c r="AP24" s="33"/>
      <c r="AQ24" s="33"/>
      <c r="AR24" s="33"/>
      <c r="AS24" s="33"/>
      <c r="AT24" s="33"/>
      <c r="AU24" s="33"/>
      <c r="AV24" s="46"/>
      <c r="AW24" s="23"/>
      <c r="AX24" s="23"/>
      <c r="AY24" s="23"/>
      <c r="AZ24" s="192"/>
      <c r="BA24" s="888"/>
      <c r="BB24" s="192"/>
      <c r="BC24" s="23"/>
      <c r="BD24" s="23"/>
      <c r="BE24" s="99"/>
      <c r="BF24" s="46"/>
      <c r="BG24" s="108"/>
      <c r="BH24" s="108"/>
      <c r="BI24" s="109"/>
      <c r="BJ24" s="46"/>
      <c r="BK24" s="23"/>
      <c r="BL24" s="23"/>
      <c r="BM24" s="23"/>
    </row>
    <row r="25" spans="1:65" ht="17.25" customHeight="1" thickBot="1" x14ac:dyDescent="0.3">
      <c r="A25" s="770"/>
      <c r="B25" s="771"/>
      <c r="C25" s="773"/>
      <c r="D25" s="153"/>
      <c r="E25" s="823"/>
      <c r="F25" s="823"/>
      <c r="G25" s="823"/>
      <c r="H25" s="823"/>
      <c r="I25" s="823"/>
      <c r="J25" s="192"/>
      <c r="K25" s="776"/>
      <c r="L25" s="33"/>
      <c r="M25" s="23"/>
      <c r="N25" s="98">
        <v>7</v>
      </c>
      <c r="O25" s="112">
        <v>6</v>
      </c>
      <c r="P25" s="100" t="s">
        <v>160</v>
      </c>
      <c r="Q25" s="113">
        <v>50</v>
      </c>
      <c r="R25" s="852"/>
      <c r="S25" s="157"/>
      <c r="T25" s="23"/>
      <c r="U25" s="33"/>
      <c r="V25" s="33"/>
      <c r="X25" s="33"/>
      <c r="AA25" s="33"/>
      <c r="AB25" s="33"/>
      <c r="AC25" s="33"/>
      <c r="AD25" s="33"/>
      <c r="AE25" s="33"/>
      <c r="AF25" s="33"/>
      <c r="AG25" s="33"/>
      <c r="AH25" s="33"/>
      <c r="AI25" s="33"/>
      <c r="AJ25" s="33"/>
      <c r="AK25" s="33"/>
      <c r="AL25" s="33"/>
      <c r="AM25" s="153"/>
      <c r="AN25" s="153"/>
      <c r="AO25" s="153"/>
      <c r="AP25" s="153"/>
      <c r="AQ25" s="153"/>
      <c r="AR25" s="153"/>
      <c r="AS25" s="153"/>
      <c r="AT25" s="153"/>
      <c r="AU25" s="153"/>
      <c r="AV25" s="878"/>
      <c r="AW25" s="23"/>
      <c r="AX25" s="23"/>
      <c r="AY25" s="23"/>
      <c r="AZ25" s="192"/>
      <c r="BA25" s="192"/>
      <c r="BB25" s="192"/>
      <c r="BC25" s="23"/>
      <c r="BD25" s="23"/>
      <c r="BE25" s="99"/>
      <c r="BF25" s="46"/>
      <c r="BG25" s="23"/>
      <c r="BH25" s="23"/>
      <c r="BI25" s="23"/>
      <c r="BJ25" s="46"/>
      <c r="BK25" s="23"/>
      <c r="BL25" s="23"/>
      <c r="BM25" s="23"/>
    </row>
    <row r="26" spans="1:65" ht="17.25" customHeight="1" thickBot="1" x14ac:dyDescent="0.3">
      <c r="A26" s="770"/>
      <c r="B26" s="771"/>
      <c r="C26" s="773"/>
      <c r="D26" s="153"/>
      <c r="E26" s="824"/>
      <c r="F26" s="804"/>
      <c r="G26" s="804"/>
      <c r="H26" s="804"/>
      <c r="I26" s="804"/>
      <c r="J26" s="825"/>
      <c r="K26" s="819"/>
      <c r="L26" s="33"/>
      <c r="M26" s="98"/>
      <c r="N26" s="100" t="s">
        <v>160</v>
      </c>
      <c r="O26" s="100" t="s">
        <v>160</v>
      </c>
      <c r="P26" s="117">
        <v>50</v>
      </c>
      <c r="Q26" s="852"/>
      <c r="R26" s="1"/>
      <c r="S26" s="23"/>
      <c r="T26" s="33"/>
      <c r="U26" s="33"/>
      <c r="V26" s="33"/>
      <c r="W26" s="33"/>
      <c r="X26" s="33"/>
      <c r="AA26" s="153"/>
      <c r="AB26" s="153"/>
      <c r="AC26" s="153"/>
      <c r="AD26" s="33"/>
      <c r="AE26" s="33"/>
      <c r="AF26" s="33"/>
      <c r="AG26" s="33"/>
      <c r="AH26" s="33"/>
      <c r="AI26" s="33"/>
      <c r="AJ26" s="33"/>
      <c r="AK26" s="33"/>
      <c r="AL26" s="33"/>
      <c r="AM26" s="153"/>
      <c r="AN26" s="153"/>
      <c r="AO26" s="1099"/>
      <c r="AP26" s="1099"/>
      <c r="AQ26" s="1099"/>
      <c r="AR26" s="153"/>
      <c r="AS26" s="153"/>
      <c r="AT26" s="153"/>
      <c r="AU26" s="153"/>
      <c r="AV26" s="878"/>
      <c r="AW26" s="23"/>
      <c r="AX26" s="23"/>
      <c r="AY26" s="23"/>
      <c r="AZ26" s="192"/>
      <c r="BA26" s="192"/>
      <c r="BB26" s="192"/>
      <c r="BC26" s="23"/>
      <c r="BD26" s="23"/>
      <c r="BE26" s="99"/>
      <c r="BF26" s="46"/>
      <c r="BG26" s="23"/>
      <c r="BH26" s="23"/>
      <c r="BI26" s="23"/>
      <c r="BJ26" s="46"/>
      <c r="BK26" s="23"/>
      <c r="BL26" s="23"/>
      <c r="BM26" s="23"/>
    </row>
    <row r="27" spans="1:65" ht="17.25" customHeight="1" thickBot="1" x14ac:dyDescent="0.3">
      <c r="A27" s="774"/>
      <c r="B27" s="1146"/>
      <c r="C27" s="1146"/>
      <c r="D27" s="153"/>
      <c r="E27" s="768"/>
      <c r="F27" s="768"/>
      <c r="G27" s="768"/>
      <c r="H27" s="768"/>
      <c r="I27" s="826"/>
      <c r="J27" s="153"/>
      <c r="K27" s="192"/>
      <c r="L27" s="98"/>
      <c r="M27" s="100"/>
      <c r="N27" s="121" t="s">
        <v>196</v>
      </c>
      <c r="O27" s="122" t="s">
        <v>196</v>
      </c>
      <c r="P27" s="852"/>
      <c r="Q27" s="1"/>
      <c r="R27" s="1"/>
      <c r="S27" s="23"/>
      <c r="T27" s="33"/>
      <c r="U27" s="33"/>
      <c r="W27" s="33"/>
      <c r="X27" s="33"/>
      <c r="AA27" s="153"/>
      <c r="AB27" s="153"/>
      <c r="AC27" s="153"/>
      <c r="AD27" s="33"/>
      <c r="AE27" s="33"/>
      <c r="AF27" s="33"/>
      <c r="AG27" s="33"/>
      <c r="AH27" s="33"/>
      <c r="AI27" s="153"/>
      <c r="AJ27" s="153"/>
      <c r="AK27" s="153"/>
      <c r="AL27" s="33"/>
      <c r="AM27" s="153"/>
      <c r="AN27" s="153"/>
      <c r="AO27" s="153"/>
      <c r="AP27" s="853"/>
      <c r="AQ27" s="153"/>
      <c r="AR27" s="153"/>
      <c r="AS27" s="153"/>
      <c r="AT27" s="153"/>
      <c r="AU27" s="153"/>
      <c r="AV27" s="878"/>
      <c r="AW27" s="192"/>
      <c r="AX27" s="192"/>
      <c r="AY27" s="192"/>
      <c r="AZ27" s="192"/>
      <c r="BA27" s="192"/>
      <c r="BB27" s="192"/>
      <c r="BC27" s="192"/>
      <c r="BD27" s="192"/>
      <c r="BE27" s="884"/>
      <c r="BF27" s="46"/>
      <c r="BG27" s="23"/>
      <c r="BH27" s="23"/>
      <c r="BI27" s="23"/>
      <c r="BJ27" s="46"/>
      <c r="BK27" s="23"/>
      <c r="BL27" s="23"/>
      <c r="BM27" s="23"/>
    </row>
    <row r="28" spans="1:65" ht="17.25" customHeight="1" x14ac:dyDescent="0.25">
      <c r="A28" s="770"/>
      <c r="B28" s="771"/>
      <c r="C28" s="776"/>
      <c r="D28" s="784"/>
      <c r="E28" s="768"/>
      <c r="F28" s="768"/>
      <c r="G28" s="768"/>
      <c r="H28" s="768"/>
      <c r="I28" s="827"/>
      <c r="J28" s="153"/>
      <c r="K28" s="828"/>
      <c r="L28" s="100" t="s">
        <v>160</v>
      </c>
      <c r="M28" s="126" t="s">
        <v>196</v>
      </c>
      <c r="N28" s="75"/>
      <c r="O28" s="76"/>
      <c r="P28" s="1"/>
      <c r="Q28" s="81"/>
      <c r="R28" s="1"/>
      <c r="T28" s="33"/>
      <c r="U28" s="33"/>
      <c r="V28" s="33"/>
      <c r="W28" s="33"/>
      <c r="X28" s="33"/>
      <c r="AA28" s="153"/>
      <c r="AB28" s="153"/>
      <c r="AC28" s="157"/>
      <c r="AD28" s="1"/>
      <c r="AE28" s="1"/>
      <c r="AF28" s="33"/>
      <c r="AG28" s="33"/>
      <c r="AH28" s="33"/>
      <c r="AI28" s="157"/>
      <c r="AJ28" s="192"/>
      <c r="AK28" s="192"/>
      <c r="AL28" s="23"/>
      <c r="AM28" s="192"/>
      <c r="AN28" s="192"/>
      <c r="AO28" s="854"/>
      <c r="AP28" s="879"/>
      <c r="AQ28" s="153"/>
      <c r="AR28" s="153"/>
      <c r="AS28" s="192"/>
      <c r="AT28" s="192"/>
      <c r="AU28" s="153"/>
      <c r="AV28" s="878"/>
      <c r="AW28" s="192"/>
      <c r="AX28" s="192"/>
      <c r="AY28" s="192"/>
      <c r="AZ28" s="192"/>
      <c r="BA28" s="192"/>
      <c r="BB28" s="192"/>
      <c r="BC28" s="192"/>
      <c r="BD28" s="192"/>
      <c r="BE28" s="884"/>
      <c r="BF28" s="46"/>
      <c r="BG28" s="23"/>
      <c r="BH28" s="23"/>
      <c r="BI28" s="23"/>
      <c r="BJ28" s="46"/>
      <c r="BK28" s="23"/>
      <c r="BL28" s="23"/>
      <c r="BM28" s="23"/>
    </row>
    <row r="29" spans="1:65" ht="17.25" customHeight="1" thickBot="1" x14ac:dyDescent="0.3">
      <c r="A29" s="770"/>
      <c r="B29" s="771"/>
      <c r="C29" s="776"/>
      <c r="D29" s="827"/>
      <c r="E29" s="829"/>
      <c r="F29" s="192"/>
      <c r="G29" s="192"/>
      <c r="H29" s="192"/>
      <c r="I29" s="827"/>
      <c r="J29" s="153"/>
      <c r="K29" s="828"/>
      <c r="L29" s="100" t="s">
        <v>160</v>
      </c>
      <c r="M29" s="126" t="s">
        <v>196</v>
      </c>
      <c r="N29" s="75"/>
      <c r="O29" s="61"/>
      <c r="P29" s="1"/>
      <c r="R29" s="1"/>
      <c r="S29" s="23"/>
      <c r="T29" s="33"/>
      <c r="U29" s="153"/>
      <c r="V29" s="153"/>
      <c r="W29" s="153"/>
      <c r="X29" s="153"/>
      <c r="Y29" s="336"/>
      <c r="Z29" s="336"/>
      <c r="AA29" s="153"/>
      <c r="AB29" s="153"/>
      <c r="AC29" s="153"/>
      <c r="AD29" s="1"/>
      <c r="AE29" s="1"/>
      <c r="AF29" s="33"/>
      <c r="AG29" s="1"/>
      <c r="AH29" s="33"/>
      <c r="AI29" s="153"/>
      <c r="AJ29" s="794"/>
      <c r="AK29" s="192"/>
      <c r="AL29" s="23"/>
      <c r="AM29" s="153"/>
      <c r="AN29" s="192"/>
      <c r="AO29" s="880"/>
      <c r="AP29" s="770"/>
      <c r="AQ29" s="880"/>
      <c r="AR29" s="153"/>
      <c r="AS29" s="192"/>
      <c r="AT29" s="192"/>
      <c r="AU29" s="153"/>
      <c r="AV29" s="881"/>
      <c r="AW29" s="192"/>
      <c r="AX29" s="868"/>
      <c r="AY29" s="868"/>
      <c r="AZ29" s="868"/>
      <c r="BA29" s="868"/>
      <c r="BB29" s="868"/>
      <c r="BC29" s="868"/>
      <c r="BD29" s="868"/>
      <c r="BE29" s="885"/>
      <c r="BF29" s="46"/>
      <c r="BG29" s="133"/>
      <c r="BH29" s="133"/>
      <c r="BI29" s="134"/>
      <c r="BJ29" s="46"/>
      <c r="BK29" s="135"/>
      <c r="BL29" s="135"/>
      <c r="BM29" s="135"/>
    </row>
    <row r="30" spans="1:65" ht="17.25" customHeight="1" x14ac:dyDescent="0.25">
      <c r="A30" s="770"/>
      <c r="B30" s="771"/>
      <c r="C30" s="776"/>
      <c r="D30" s="830"/>
      <c r="E30" s="790"/>
      <c r="F30" s="790"/>
      <c r="G30" s="790"/>
      <c r="H30" s="790"/>
      <c r="I30" s="192"/>
      <c r="J30" s="153"/>
      <c r="K30" s="828"/>
      <c r="L30" s="100" t="s">
        <v>160</v>
      </c>
      <c r="M30" s="126" t="s">
        <v>196</v>
      </c>
      <c r="N30" s="75"/>
      <c r="O30" s="137"/>
      <c r="R30" s="1"/>
      <c r="S30" s="23"/>
      <c r="T30" s="33"/>
      <c r="U30" s="153"/>
      <c r="V30" s="153"/>
      <c r="W30" s="153"/>
      <c r="X30" s="153"/>
      <c r="Y30" s="336"/>
      <c r="Z30" s="336"/>
      <c r="AA30" s="153"/>
      <c r="AB30" s="859"/>
      <c r="AC30" s="153"/>
      <c r="AD30" s="33"/>
      <c r="AE30" s="23"/>
      <c r="AF30" s="33"/>
      <c r="AG30" s="1"/>
      <c r="AH30" s="33"/>
      <c r="AI30" s="794"/>
      <c r="AJ30" s="192"/>
      <c r="AK30" s="794"/>
      <c r="AL30" s="1"/>
      <c r="AM30" s="882"/>
      <c r="AN30" s="879"/>
      <c r="AO30" s="770"/>
      <c r="AP30" s="880"/>
      <c r="AQ30" s="770"/>
      <c r="AR30" s="879"/>
      <c r="AS30" s="883"/>
      <c r="AT30" s="157"/>
      <c r="AU30" s="153"/>
      <c r="AV30" s="157"/>
      <c r="AW30" s="886"/>
      <c r="AX30" s="766"/>
      <c r="AY30" s="766"/>
      <c r="AZ30" s="766"/>
      <c r="BA30" s="766"/>
      <c r="BB30" s="766"/>
      <c r="BC30" s="764"/>
      <c r="BD30" s="764"/>
      <c r="BE30" s="764"/>
      <c r="BF30" s="46"/>
      <c r="BG30" s="23"/>
      <c r="BH30" s="23"/>
      <c r="BI30" s="23"/>
      <c r="BJ30" s="46"/>
      <c r="BK30" s="135"/>
      <c r="BL30" s="142"/>
      <c r="BM30" s="135"/>
    </row>
    <row r="31" spans="1:65" ht="17.25" customHeight="1" x14ac:dyDescent="0.25">
      <c r="A31" s="770"/>
      <c r="B31" s="771"/>
      <c r="C31" s="776"/>
      <c r="D31" s="192"/>
      <c r="E31" s="1131"/>
      <c r="F31" s="1131"/>
      <c r="G31" s="1131"/>
      <c r="H31" s="1131"/>
      <c r="I31" s="153"/>
      <c r="J31" s="153"/>
      <c r="K31" s="828"/>
      <c r="L31" s="100" t="s">
        <v>160</v>
      </c>
      <c r="M31" s="126" t="s">
        <v>196</v>
      </c>
      <c r="N31" s="75"/>
      <c r="O31" s="1"/>
      <c r="P31" s="1"/>
      <c r="Q31" s="81"/>
      <c r="R31" s="1"/>
      <c r="S31" s="23"/>
      <c r="T31" s="33"/>
      <c r="U31" s="153"/>
      <c r="V31" s="768"/>
      <c r="W31" s="153"/>
      <c r="X31" s="153"/>
      <c r="Y31" s="336"/>
      <c r="Z31" s="336"/>
      <c r="AA31" s="859"/>
      <c r="AB31" s="784"/>
      <c r="AC31" s="859"/>
      <c r="AD31" s="33"/>
      <c r="AE31" s="23"/>
      <c r="AF31" s="33"/>
      <c r="AG31" s="1"/>
      <c r="AH31" s="33"/>
      <c r="AI31" s="153"/>
      <c r="AJ31" s="794"/>
      <c r="AK31" s="157"/>
      <c r="AL31" s="1"/>
      <c r="AM31" s="157"/>
      <c r="AN31" s="192"/>
      <c r="AO31" s="880"/>
      <c r="AP31" s="770"/>
      <c r="AQ31" s="880"/>
      <c r="AR31" s="153"/>
      <c r="AS31" s="811"/>
      <c r="AT31" s="811"/>
      <c r="AU31" s="153"/>
      <c r="AV31" s="811"/>
      <c r="AW31" s="811"/>
      <c r="AX31" s="811"/>
      <c r="AY31" s="811"/>
      <c r="AZ31" s="811"/>
      <c r="BA31" s="811"/>
      <c r="BB31" s="157"/>
      <c r="BC31" s="157"/>
      <c r="BD31" s="157"/>
      <c r="BE31" s="157"/>
      <c r="BF31" s="46"/>
      <c r="BG31" s="23"/>
      <c r="BH31" s="23"/>
      <c r="BI31" s="23"/>
      <c r="BJ31" s="46"/>
      <c r="BK31" s="142"/>
      <c r="BL31" s="135"/>
      <c r="BM31" s="142"/>
    </row>
    <row r="32" spans="1:65" ht="17.25" customHeight="1" thickBot="1" x14ac:dyDescent="0.3">
      <c r="A32" s="771"/>
      <c r="B32" s="336"/>
      <c r="C32" s="776"/>
      <c r="D32" s="192"/>
      <c r="E32" s="768"/>
      <c r="F32" s="768"/>
      <c r="G32" s="768"/>
      <c r="H32" s="768"/>
      <c r="I32" s="153"/>
      <c r="J32" s="157"/>
      <c r="K32" s="831"/>
      <c r="L32" s="98"/>
      <c r="M32" s="100"/>
      <c r="N32" s="810"/>
      <c r="O32" s="137"/>
      <c r="P32" s="1"/>
      <c r="Q32" s="81"/>
      <c r="R32" s="1"/>
      <c r="S32" s="23"/>
      <c r="T32" s="33"/>
      <c r="U32" s="768"/>
      <c r="V32" s="784"/>
      <c r="W32" s="768"/>
      <c r="X32" s="153"/>
      <c r="Y32" s="336"/>
      <c r="Z32" s="336"/>
      <c r="AA32" s="771"/>
      <c r="AB32" s="859"/>
      <c r="AC32" s="771"/>
      <c r="AD32" s="192"/>
      <c r="AE32" s="192"/>
      <c r="AF32" s="153"/>
      <c r="AG32" s="157"/>
      <c r="AH32" s="157"/>
      <c r="AI32" s="153"/>
      <c r="AJ32" s="192"/>
      <c r="AK32" s="153"/>
      <c r="AL32" s="33"/>
      <c r="AM32" s="153"/>
      <c r="AN32" s="192"/>
      <c r="AO32" s="784"/>
      <c r="AP32" s="879"/>
      <c r="AQ32" s="153"/>
      <c r="AR32" s="153"/>
      <c r="AS32" s="153"/>
      <c r="AT32" s="153"/>
      <c r="AU32" s="153"/>
      <c r="AV32" s="157"/>
      <c r="AW32" s="157"/>
      <c r="AX32" s="157"/>
      <c r="AY32" s="157"/>
      <c r="AZ32" s="157"/>
      <c r="BA32" s="157"/>
      <c r="BB32" s="157"/>
      <c r="BC32" s="157"/>
      <c r="BD32" s="157"/>
      <c r="BE32" s="157"/>
      <c r="BF32" s="46"/>
      <c r="BG32" s="23"/>
      <c r="BH32" s="23"/>
      <c r="BI32" s="23"/>
      <c r="BJ32" s="46"/>
      <c r="BK32" s="142"/>
      <c r="BL32" s="135"/>
      <c r="BM32" s="142"/>
    </row>
    <row r="33" spans="1:65" ht="17.25" customHeight="1" x14ac:dyDescent="0.25">
      <c r="A33" s="1147"/>
      <c r="B33" s="153"/>
      <c r="C33" s="776"/>
      <c r="D33" s="784"/>
      <c r="E33" s="768"/>
      <c r="F33" s="768"/>
      <c r="G33" s="768"/>
      <c r="H33" s="768"/>
      <c r="I33" s="153"/>
      <c r="J33" s="811"/>
      <c r="K33" s="153"/>
      <c r="L33" s="61" t="s">
        <v>209</v>
      </c>
      <c r="M33" s="146"/>
      <c r="N33" s="810"/>
      <c r="O33" s="1"/>
      <c r="P33" s="1"/>
      <c r="Q33" s="81"/>
      <c r="R33" s="1"/>
      <c r="S33" s="23"/>
      <c r="T33" s="23"/>
      <c r="U33" s="153"/>
      <c r="V33" s="768"/>
      <c r="W33" s="153"/>
      <c r="X33" s="153"/>
      <c r="Y33" s="336"/>
      <c r="Z33" s="336"/>
      <c r="AA33" s="153"/>
      <c r="AB33" s="771"/>
      <c r="AC33" s="771"/>
      <c r="AD33" s="771"/>
      <c r="AE33" s="192"/>
      <c r="AF33" s="153"/>
      <c r="AG33" s="157"/>
      <c r="AH33" s="157"/>
      <c r="AI33" s="192"/>
      <c r="AJ33" s="192"/>
      <c r="AK33" s="153"/>
      <c r="AL33" s="33"/>
      <c r="AM33" s="153"/>
      <c r="AN33" s="192"/>
      <c r="AO33" s="153"/>
      <c r="AP33" s="853"/>
      <c r="AQ33" s="153"/>
      <c r="AR33" s="153"/>
      <c r="AS33" s="157"/>
      <c r="AT33" s="157"/>
      <c r="AU33" s="153"/>
      <c r="AV33" s="153"/>
      <c r="AW33" s="153"/>
      <c r="AX33" s="153"/>
      <c r="AY33" s="157"/>
      <c r="AZ33" s="157"/>
      <c r="BA33" s="157"/>
      <c r="BB33" s="157"/>
      <c r="BC33" s="157"/>
      <c r="BD33" s="157"/>
      <c r="BE33" s="887"/>
      <c r="BF33" s="46"/>
      <c r="BG33" s="23"/>
      <c r="BH33" s="23"/>
      <c r="BI33" s="99"/>
      <c r="BJ33" s="46"/>
      <c r="BK33" s="135"/>
      <c r="BL33" s="142"/>
      <c r="BM33" s="135"/>
    </row>
    <row r="34" spans="1:65" ht="17.25" customHeight="1" x14ac:dyDescent="0.25">
      <c r="A34" s="1148"/>
      <c r="B34" s="92"/>
      <c r="C34" s="776"/>
      <c r="D34" s="819"/>
      <c r="E34" s="1150"/>
      <c r="F34" s="1150"/>
      <c r="G34" s="1150"/>
      <c r="H34" s="1150"/>
      <c r="I34" s="805"/>
      <c r="J34" s="192"/>
      <c r="K34" s="831"/>
      <c r="L34" s="808"/>
      <c r="M34" s="809"/>
      <c r="N34" s="810"/>
      <c r="O34" s="153"/>
      <c r="P34" s="153"/>
      <c r="Q34" s="336"/>
      <c r="R34" s="811"/>
      <c r="S34" s="23"/>
      <c r="T34" s="23"/>
      <c r="U34" s="153"/>
      <c r="V34" s="153"/>
      <c r="W34" s="153"/>
      <c r="X34" s="157"/>
      <c r="Y34" s="336"/>
      <c r="Z34" s="336"/>
      <c r="AA34" s="33"/>
      <c r="AB34" s="153"/>
      <c r="AC34" s="153"/>
      <c r="AD34" s="771"/>
      <c r="AE34" s="192"/>
      <c r="AF34" s="1151"/>
      <c r="AG34" s="1151"/>
      <c r="AH34" s="1151"/>
      <c r="AI34" s="192"/>
      <c r="AJ34" s="192"/>
      <c r="AK34" s="153"/>
      <c r="AL34" s="33"/>
      <c r="AM34" s="153"/>
      <c r="AN34" s="153"/>
      <c r="AO34" s="153"/>
      <c r="AP34" s="764"/>
      <c r="AQ34" s="764"/>
      <c r="AR34" s="764"/>
      <c r="AS34" s="764"/>
      <c r="AT34" s="764"/>
      <c r="AU34" s="153"/>
      <c r="AV34" s="153"/>
      <c r="AW34" s="766"/>
      <c r="AX34" s="766"/>
      <c r="AY34" s="766"/>
      <c r="AZ34" s="153"/>
      <c r="BA34" s="766"/>
      <c r="BB34" s="887"/>
      <c r="BC34" s="887"/>
      <c r="BD34" s="157"/>
      <c r="BE34" s="766"/>
      <c r="BF34" s="878"/>
      <c r="BG34" s="192"/>
      <c r="BH34" s="192"/>
      <c r="BI34" s="884"/>
      <c r="BJ34" s="46"/>
      <c r="BK34" s="135"/>
      <c r="BL34" s="135"/>
      <c r="BM34" s="135"/>
    </row>
    <row r="35" spans="1:65" ht="17.25" customHeight="1" x14ac:dyDescent="0.25">
      <c r="A35" s="1148"/>
      <c r="B35" s="153"/>
      <c r="C35" s="153"/>
      <c r="D35" s="819"/>
      <c r="E35" s="804"/>
      <c r="F35" s="804"/>
      <c r="G35" s="804"/>
      <c r="H35" s="804"/>
      <c r="I35" s="824"/>
      <c r="J35" s="192"/>
      <c r="K35" s="831"/>
      <c r="L35" s="808"/>
      <c r="M35" s="809"/>
      <c r="N35" s="810"/>
      <c r="O35" s="153"/>
      <c r="P35" s="153"/>
      <c r="Q35" s="811"/>
      <c r="R35" s="811"/>
      <c r="S35" s="23"/>
      <c r="T35" s="23"/>
      <c r="U35" s="157"/>
      <c r="V35" s="157"/>
      <c r="W35" s="157"/>
      <c r="X35" s="157"/>
      <c r="Y35" s="153"/>
      <c r="Z35" s="771"/>
      <c r="AA35" s="33"/>
      <c r="AB35" s="771"/>
      <c r="AC35" s="771"/>
      <c r="AD35" s="192"/>
      <c r="AE35" s="192"/>
      <c r="AF35" s="153"/>
      <c r="AG35" s="153"/>
      <c r="AH35" s="153"/>
      <c r="AI35" s="192"/>
      <c r="AJ35" s="192"/>
      <c r="AK35" s="153"/>
      <c r="AL35" s="33"/>
      <c r="AM35" s="153"/>
      <c r="AN35" s="153"/>
      <c r="AO35" s="153"/>
      <c r="AP35" s="764"/>
      <c r="AQ35" s="764"/>
      <c r="AR35" s="764"/>
      <c r="AS35" s="764"/>
      <c r="AT35" s="764"/>
      <c r="AU35" s="153"/>
      <c r="AV35" s="153"/>
      <c r="AW35" s="766"/>
      <c r="AX35" s="766"/>
      <c r="AY35" s="766"/>
      <c r="AZ35" s="153"/>
      <c r="BA35" s="766"/>
      <c r="BB35" s="887"/>
      <c r="BC35" s="887"/>
      <c r="BD35" s="157"/>
      <c r="BE35" s="766"/>
      <c r="BF35" s="878"/>
      <c r="BG35" s="192"/>
      <c r="BH35" s="192"/>
      <c r="BI35" s="884"/>
      <c r="BJ35" s="151"/>
      <c r="BK35" s="23"/>
      <c r="BL35" s="23"/>
      <c r="BM35" s="23"/>
    </row>
    <row r="36" spans="1:65" ht="17.25" customHeight="1" thickBot="1" x14ac:dyDescent="0.3">
      <c r="A36" s="1149"/>
      <c r="B36" s="153"/>
      <c r="C36" s="192"/>
      <c r="D36" s="774"/>
      <c r="E36" s="832"/>
      <c r="F36" s="832"/>
      <c r="G36" s="832"/>
      <c r="H36" s="832"/>
      <c r="I36" s="791"/>
      <c r="J36" s="153"/>
      <c r="K36" s="831"/>
      <c r="L36" s="808"/>
      <c r="M36" s="809"/>
      <c r="N36" s="812"/>
      <c r="O36" s="153"/>
      <c r="P36" s="153"/>
      <c r="Q36" s="157"/>
      <c r="R36" s="157"/>
      <c r="S36" s="23"/>
      <c r="T36" s="23"/>
      <c r="U36" s="157"/>
      <c r="V36" s="157"/>
      <c r="W36" s="157"/>
      <c r="X36" s="157"/>
      <c r="Y36" s="153"/>
      <c r="Z36" s="192"/>
      <c r="AA36" s="23"/>
      <c r="AB36" s="192"/>
      <c r="AC36" s="1152"/>
      <c r="AD36" s="1152"/>
      <c r="AE36" s="1152"/>
      <c r="AF36" s="157"/>
      <c r="AG36" s="153"/>
      <c r="AH36" s="153"/>
      <c r="AI36" s="192"/>
      <c r="AJ36" s="153"/>
      <c r="AK36" s="153"/>
      <c r="AL36" s="1"/>
      <c r="AM36" s="153"/>
      <c r="AN36" s="157"/>
      <c r="AO36" s="153"/>
      <c r="AP36" s="157"/>
      <c r="AQ36" s="157"/>
      <c r="AR36" s="157"/>
      <c r="AS36" s="157"/>
      <c r="AT36" s="157"/>
      <c r="AU36" s="153"/>
      <c r="AV36" s="784"/>
      <c r="AW36" s="153"/>
      <c r="AX36" s="153"/>
      <c r="AY36" s="153"/>
      <c r="AZ36" s="153"/>
      <c r="BA36" s="153"/>
      <c r="BB36" s="153"/>
      <c r="BC36" s="153"/>
      <c r="BD36" s="157"/>
      <c r="BE36" s="766"/>
      <c r="BF36" s="878"/>
      <c r="BG36" s="192"/>
      <c r="BH36" s="192"/>
      <c r="BI36" s="884"/>
      <c r="BJ36" s="46"/>
      <c r="BK36" s="154"/>
      <c r="BL36" s="23"/>
      <c r="BM36" s="23"/>
    </row>
    <row r="37" spans="1:65" ht="17.25" customHeight="1" x14ac:dyDescent="0.25">
      <c r="A37" s="777"/>
      <c r="B37" s="192"/>
      <c r="C37" s="1138"/>
      <c r="D37" s="1142"/>
      <c r="E37" s="770"/>
      <c r="F37" s="770"/>
      <c r="G37" s="770"/>
      <c r="H37" s="770"/>
      <c r="I37" s="1143"/>
      <c r="J37" s="153"/>
      <c r="K37" s="831"/>
      <c r="L37" s="808"/>
      <c r="M37" s="809"/>
      <c r="N37" s="812"/>
      <c r="O37" s="774"/>
      <c r="P37" s="153"/>
      <c r="Q37" s="811"/>
      <c r="R37" s="157"/>
      <c r="S37" s="23"/>
      <c r="T37" s="23"/>
      <c r="U37" s="157"/>
      <c r="V37" s="853"/>
      <c r="W37" s="853"/>
      <c r="X37" s="853"/>
      <c r="Y37" s="153"/>
      <c r="Z37" s="853"/>
      <c r="AA37" s="33"/>
      <c r="AB37" s="192"/>
      <c r="AC37" s="153"/>
      <c r="AD37" s="199"/>
      <c r="AE37" s="153"/>
      <c r="AF37" s="157"/>
      <c r="AG37" s="153"/>
      <c r="AH37" s="153"/>
      <c r="AI37" s="192"/>
      <c r="AJ37" s="153"/>
      <c r="AK37" s="153"/>
      <c r="AL37" s="1"/>
      <c r="AM37" s="199"/>
      <c r="AN37" s="811"/>
      <c r="AO37" s="153"/>
      <c r="AP37" s="811"/>
      <c r="AQ37" s="157"/>
      <c r="AR37" s="157"/>
      <c r="AS37" s="157"/>
      <c r="AT37" s="157"/>
      <c r="AU37" s="157"/>
      <c r="AV37" s="157"/>
      <c r="AW37" s="153"/>
      <c r="AX37" s="153"/>
      <c r="AY37" s="153"/>
      <c r="AZ37" s="153"/>
      <c r="BA37" s="153"/>
      <c r="BB37" s="153"/>
      <c r="BC37" s="153"/>
      <c r="BD37" s="157"/>
      <c r="BE37" s="766"/>
      <c r="BF37" s="878"/>
      <c r="BG37" s="888"/>
      <c r="BH37" s="192"/>
      <c r="BI37" s="884"/>
      <c r="BJ37" s="46"/>
      <c r="BK37" s="154"/>
      <c r="BL37" s="23"/>
      <c r="BM37" s="23"/>
    </row>
    <row r="38" spans="1:65" ht="17.25" customHeight="1" thickBot="1" x14ac:dyDescent="0.3">
      <c r="A38" s="766"/>
      <c r="B38" s="192"/>
      <c r="C38" s="1138"/>
      <c r="D38" s="1142"/>
      <c r="E38" s="770"/>
      <c r="F38" s="770"/>
      <c r="G38" s="770"/>
      <c r="H38" s="770"/>
      <c r="I38" s="1143"/>
      <c r="J38" s="153"/>
      <c r="K38" s="831"/>
      <c r="L38" s="808"/>
      <c r="M38" s="809"/>
      <c r="N38" s="1098"/>
      <c r="O38" s="1099"/>
      <c r="P38" s="153"/>
      <c r="Q38" s="153"/>
      <c r="R38" s="157"/>
      <c r="S38" s="23"/>
      <c r="T38" s="23"/>
      <c r="U38" s="854"/>
      <c r="V38" s="855"/>
      <c r="W38" s="855"/>
      <c r="X38" s="855"/>
      <c r="Y38" s="791"/>
      <c r="Z38" s="153"/>
      <c r="AA38" s="33"/>
      <c r="AB38" s="192"/>
      <c r="AC38" s="854"/>
      <c r="AD38" s="781"/>
      <c r="AE38" s="199"/>
      <c r="AF38" s="811"/>
      <c r="AG38" s="153"/>
      <c r="AH38" s="153"/>
      <c r="AI38" s="769"/>
      <c r="AJ38" s="768"/>
      <c r="AK38" s="153"/>
      <c r="AL38" s="33"/>
      <c r="AM38" s="153"/>
      <c r="AN38" s="153"/>
      <c r="AO38" s="768"/>
      <c r="AP38" s="153"/>
      <c r="AQ38" s="877"/>
      <c r="AR38" s="811"/>
      <c r="AS38" s="766"/>
      <c r="AT38" s="766"/>
      <c r="AU38" s="766"/>
      <c r="AV38" s="766"/>
      <c r="AW38" s="153"/>
      <c r="AX38" s="764"/>
      <c r="AY38" s="764"/>
      <c r="AZ38" s="153"/>
      <c r="BA38" s="794"/>
      <c r="BB38" s="794"/>
      <c r="BC38" s="794"/>
      <c r="BD38" s="157"/>
      <c r="BE38" s="784"/>
      <c r="BF38" s="878"/>
      <c r="BG38" s="192"/>
      <c r="BH38" s="192"/>
      <c r="BI38" s="884"/>
      <c r="BJ38" s="151"/>
      <c r="BK38" s="23"/>
      <c r="BL38" s="23"/>
      <c r="BM38" s="23"/>
    </row>
    <row r="39" spans="1:65" ht="17.25" customHeight="1" x14ac:dyDescent="0.25">
      <c r="A39" s="766"/>
      <c r="B39" s="192"/>
      <c r="C39" s="779"/>
      <c r="D39" s="784"/>
      <c r="E39" s="832"/>
      <c r="F39" s="832"/>
      <c r="G39" s="832"/>
      <c r="H39" s="832"/>
      <c r="I39" s="833"/>
      <c r="J39" s="153"/>
      <c r="K39" s="831"/>
      <c r="L39" s="808"/>
      <c r="M39" s="813"/>
      <c r="N39" s="814"/>
      <c r="O39" s="782"/>
      <c r="P39" s="783"/>
      <c r="Q39" s="157"/>
      <c r="R39" s="157"/>
      <c r="S39" s="23"/>
      <c r="T39" s="23"/>
      <c r="U39" s="821"/>
      <c r="V39" s="770"/>
      <c r="W39" s="770"/>
      <c r="X39" s="770"/>
      <c r="Y39" s="1144"/>
      <c r="Z39" s="153"/>
      <c r="AA39" s="33"/>
      <c r="AB39" s="192"/>
      <c r="AC39" s="781"/>
      <c r="AD39" s="770"/>
      <c r="AE39" s="781"/>
      <c r="AF39" s="153"/>
      <c r="AG39" s="153"/>
      <c r="AH39" s="153"/>
      <c r="AI39" s="768"/>
      <c r="AJ39" s="861"/>
      <c r="AK39" s="768"/>
      <c r="AL39" s="33"/>
      <c r="AM39" s="153"/>
      <c r="AN39" s="768"/>
      <c r="AO39" s="157"/>
      <c r="AP39" s="768"/>
      <c r="AQ39" s="153"/>
      <c r="AR39" s="811"/>
      <c r="AS39" s="766"/>
      <c r="AT39" s="766"/>
      <c r="AU39" s="766"/>
      <c r="AV39" s="766"/>
      <c r="AW39" s="153"/>
      <c r="AX39" s="764"/>
      <c r="AY39" s="764"/>
      <c r="AZ39" s="153"/>
      <c r="BA39" s="794"/>
      <c r="BB39" s="794"/>
      <c r="BC39" s="794"/>
      <c r="BD39" s="157"/>
      <c r="BE39" s="167"/>
      <c r="BF39" s="878"/>
      <c r="BG39" s="192"/>
      <c r="BH39" s="192"/>
      <c r="BI39" s="884"/>
      <c r="BJ39" s="46"/>
      <c r="BK39" s="23"/>
      <c r="BL39" s="23"/>
      <c r="BM39" s="23"/>
    </row>
    <row r="40" spans="1:65" ht="17.25" customHeight="1" thickBot="1" x14ac:dyDescent="0.3">
      <c r="A40" s="780"/>
      <c r="B40" s="192"/>
      <c r="C40" s="779"/>
      <c r="D40" s="819"/>
      <c r="E40" s="804"/>
      <c r="F40" s="804"/>
      <c r="G40" s="804"/>
      <c r="H40" s="804"/>
      <c r="I40" s="819"/>
      <c r="J40" s="192"/>
      <c r="K40" s="831"/>
      <c r="L40" s="808"/>
      <c r="M40" s="813"/>
      <c r="N40" s="814"/>
      <c r="O40" s="782"/>
      <c r="P40" s="772"/>
      <c r="Q40" s="811"/>
      <c r="R40" s="811"/>
      <c r="S40" s="23"/>
      <c r="T40" s="23"/>
      <c r="U40" s="821"/>
      <c r="V40" s="770"/>
      <c r="W40" s="770"/>
      <c r="X40" s="770"/>
      <c r="Y40" s="1145"/>
      <c r="Z40" s="153"/>
      <c r="AA40" s="33"/>
      <c r="AB40" s="781"/>
      <c r="AC40" s="770"/>
      <c r="AD40" s="781"/>
      <c r="AE40" s="770"/>
      <c r="AF40" s="781"/>
      <c r="AG40" s="153"/>
      <c r="AH40" s="153"/>
      <c r="AI40" s="153"/>
      <c r="AJ40" s="768"/>
      <c r="AK40" s="153"/>
      <c r="AL40" s="33"/>
      <c r="AM40" s="153"/>
      <c r="AN40" s="153"/>
      <c r="AO40" s="768"/>
      <c r="AP40" s="153"/>
      <c r="AQ40" s="153"/>
      <c r="AR40" s="811"/>
      <c r="AS40" s="157"/>
      <c r="AT40" s="157"/>
      <c r="AU40" s="157"/>
      <c r="AV40" s="157"/>
      <c r="AW40" s="153"/>
      <c r="AX40" s="153"/>
      <c r="AY40" s="153"/>
      <c r="AZ40" s="153"/>
      <c r="BA40" s="153"/>
      <c r="BB40" s="153"/>
      <c r="BC40" s="153"/>
      <c r="BD40" s="153"/>
      <c r="BE40" s="167"/>
      <c r="BF40" s="878"/>
      <c r="BG40" s="192"/>
      <c r="BH40" s="192"/>
      <c r="BI40" s="884"/>
      <c r="BJ40" s="46"/>
      <c r="BK40" s="23"/>
      <c r="BL40" s="23"/>
      <c r="BM40" s="23"/>
    </row>
    <row r="41" spans="1:65" ht="17.25" customHeight="1" x14ac:dyDescent="0.25">
      <c r="A41" s="336"/>
      <c r="B41" s="192"/>
      <c r="C41" s="779"/>
      <c r="D41" s="192"/>
      <c r="E41" s="1099"/>
      <c r="F41" s="1099"/>
      <c r="G41" s="1099"/>
      <c r="H41" s="1099"/>
      <c r="I41" s="1099"/>
      <c r="J41" s="192"/>
      <c r="K41" s="834"/>
      <c r="L41" s="808"/>
      <c r="M41" s="813"/>
      <c r="N41" s="814"/>
      <c r="O41" s="782"/>
      <c r="P41" s="772"/>
      <c r="Q41" s="157"/>
      <c r="R41" s="157"/>
      <c r="S41" s="23"/>
      <c r="T41" s="23"/>
      <c r="U41" s="784"/>
      <c r="V41" s="855"/>
      <c r="W41" s="855"/>
      <c r="X41" s="855"/>
      <c r="Y41" s="856"/>
      <c r="Z41" s="153"/>
      <c r="AA41" s="33"/>
      <c r="AB41" s="153"/>
      <c r="AC41" s="781"/>
      <c r="AD41" s="770"/>
      <c r="AE41" s="781"/>
      <c r="AF41" s="860"/>
      <c r="AG41" s="153"/>
      <c r="AH41" s="153"/>
      <c r="AI41" s="192"/>
      <c r="AJ41" s="153"/>
      <c r="AK41" s="153"/>
      <c r="AL41" s="33"/>
      <c r="AM41" s="153"/>
      <c r="AN41" s="153"/>
      <c r="AO41" s="877"/>
      <c r="AP41" s="153"/>
      <c r="AQ41" s="153"/>
      <c r="AR41" s="811"/>
      <c r="AS41" s="1"/>
      <c r="AT41" s="1"/>
      <c r="AU41" s="1"/>
      <c r="AV41" s="33"/>
      <c r="AW41" s="153"/>
      <c r="AX41" s="153"/>
      <c r="AY41" s="153"/>
      <c r="AZ41" s="153"/>
      <c r="BA41" s="157"/>
      <c r="BB41" s="157"/>
      <c r="BC41" s="157"/>
      <c r="BD41" s="157"/>
      <c r="BE41" s="167"/>
      <c r="BF41" s="878"/>
      <c r="BG41" s="192"/>
      <c r="BH41" s="192"/>
      <c r="BI41" s="884"/>
      <c r="BJ41" s="46"/>
      <c r="BK41" s="23"/>
      <c r="BL41" s="23"/>
      <c r="BM41" s="23"/>
    </row>
    <row r="42" spans="1:65" ht="17.25" customHeight="1" thickBot="1" x14ac:dyDescent="0.3">
      <c r="A42" s="172"/>
      <c r="B42" s="192"/>
      <c r="C42" s="779"/>
      <c r="D42" s="192"/>
      <c r="E42" s="804"/>
      <c r="F42" s="804"/>
      <c r="G42" s="804"/>
      <c r="H42" s="804"/>
      <c r="I42" s="804"/>
      <c r="J42" s="192"/>
      <c r="K42" s="834"/>
      <c r="L42" s="808"/>
      <c r="M42" s="813"/>
      <c r="N42" s="815"/>
      <c r="O42" s="816"/>
      <c r="P42" s="817"/>
      <c r="Q42" s="157"/>
      <c r="R42" s="157"/>
      <c r="S42" s="23"/>
      <c r="T42" s="23"/>
      <c r="U42" s="853"/>
      <c r="V42" s="853"/>
      <c r="W42" s="853"/>
      <c r="X42" s="853"/>
      <c r="Y42" s="192"/>
      <c r="Z42" s="153"/>
      <c r="AA42" s="153"/>
      <c r="AB42" s="819"/>
      <c r="AC42" s="784"/>
      <c r="AD42" s="781"/>
      <c r="AE42" s="153"/>
      <c r="AF42" s="153"/>
      <c r="AG42" s="153"/>
      <c r="AH42" s="153"/>
      <c r="AI42" s="153"/>
      <c r="AJ42" s="819"/>
      <c r="AK42" s="199"/>
      <c r="AL42" s="1"/>
      <c r="AM42" s="153"/>
      <c r="AN42" s="811"/>
      <c r="AO42" s="153"/>
      <c r="AP42" s="153"/>
      <c r="AQ42" s="153"/>
      <c r="AR42" s="153"/>
      <c r="AS42" s="33"/>
      <c r="AT42" s="33"/>
      <c r="AU42" s="33"/>
      <c r="AV42" s="81"/>
      <c r="AW42" s="81"/>
      <c r="AX42" s="33"/>
      <c r="AY42" s="33"/>
      <c r="AZ42" s="33"/>
      <c r="BA42" s="33"/>
      <c r="BB42" s="33"/>
      <c r="BC42" s="33"/>
      <c r="BD42" s="90"/>
      <c r="BE42" s="167"/>
      <c r="BF42" s="878"/>
      <c r="BG42" s="192"/>
      <c r="BH42" s="192"/>
      <c r="BI42" s="884"/>
      <c r="BJ42" s="46"/>
      <c r="BK42" s="23"/>
      <c r="BL42" s="23"/>
      <c r="BM42" s="23"/>
    </row>
    <row r="43" spans="1:65" ht="17.25" customHeight="1" x14ac:dyDescent="0.25">
      <c r="A43" s="774"/>
      <c r="B43" s="153"/>
      <c r="C43" s="779"/>
      <c r="D43" s="774"/>
      <c r="E43" s="832"/>
      <c r="F43" s="832"/>
      <c r="G43" s="832"/>
      <c r="H43" s="832"/>
      <c r="I43" s="832"/>
      <c r="J43" s="791"/>
      <c r="K43" s="834"/>
      <c r="L43" s="157"/>
      <c r="M43" s="157"/>
      <c r="N43" s="157"/>
      <c r="O43" s="818"/>
      <c r="P43" s="818"/>
      <c r="Q43" s="1132"/>
      <c r="R43" s="1133"/>
      <c r="S43" s="23"/>
      <c r="T43" s="176"/>
      <c r="U43" s="157"/>
      <c r="V43" s="1104"/>
      <c r="W43" s="1104"/>
      <c r="X43" s="1104"/>
      <c r="Y43" s="180"/>
      <c r="Z43" s="153"/>
      <c r="AA43" s="153"/>
      <c r="AB43" s="819"/>
      <c r="AC43" s="199"/>
      <c r="AD43" s="199"/>
      <c r="AE43" s="153"/>
      <c r="AF43" s="811"/>
      <c r="AG43" s="853"/>
      <c r="AH43" s="153"/>
      <c r="AI43" s="153"/>
      <c r="AJ43" s="819"/>
      <c r="AK43" s="157"/>
      <c r="AL43" s="1"/>
      <c r="AM43" s="1"/>
      <c r="AN43" s="116"/>
      <c r="AP43" s="33"/>
      <c r="AQ43" s="116"/>
      <c r="AR43" s="116"/>
      <c r="AS43" s="116"/>
      <c r="AT43" s="116"/>
      <c r="AU43" s="192"/>
      <c r="AV43" s="192"/>
      <c r="AW43" s="192"/>
      <c r="AX43" s="192"/>
      <c r="AY43" s="192"/>
      <c r="AZ43" s="192"/>
      <c r="BA43" s="23"/>
      <c r="BB43" s="23"/>
      <c r="BC43" s="23"/>
      <c r="BD43" s="23"/>
      <c r="BE43" s="167"/>
      <c r="BF43" s="878"/>
      <c r="BG43" s="192"/>
      <c r="BH43" s="192"/>
      <c r="BI43" s="884"/>
      <c r="BJ43" s="46"/>
      <c r="BK43" s="23"/>
      <c r="BL43" s="23"/>
      <c r="BM43" s="23"/>
    </row>
    <row r="44" spans="1:65" ht="17.25" customHeight="1" x14ac:dyDescent="0.25">
      <c r="A44" s="1098"/>
      <c r="B44" s="1099"/>
      <c r="C44" s="1138"/>
      <c r="D44" s="1139"/>
      <c r="E44" s="770"/>
      <c r="F44" s="770"/>
      <c r="G44" s="770"/>
      <c r="H44" s="770"/>
      <c r="I44" s="770"/>
      <c r="J44" s="1140"/>
      <c r="K44" s="1141"/>
      <c r="L44" s="192"/>
      <c r="M44" s="192"/>
      <c r="N44" s="819"/>
      <c r="O44" s="153"/>
      <c r="P44" s="153"/>
      <c r="Q44" s="1134"/>
      <c r="R44" s="1135"/>
      <c r="S44" s="176"/>
      <c r="T44" s="23"/>
      <c r="U44" s="192"/>
      <c r="V44" s="819"/>
      <c r="W44" s="1099"/>
      <c r="X44" s="1099"/>
      <c r="Y44" s="1099"/>
      <c r="Z44" s="1099"/>
      <c r="AA44" s="819"/>
      <c r="AB44" s="1117"/>
      <c r="AC44" s="1117"/>
      <c r="AD44" s="1117"/>
      <c r="AE44" s="1117"/>
      <c r="AF44" s="819"/>
      <c r="AG44" s="819"/>
      <c r="AH44" s="819"/>
      <c r="AI44" s="819"/>
      <c r="AJ44" s="819"/>
      <c r="AK44" s="192"/>
      <c r="AL44" s="116"/>
      <c r="AM44" s="116"/>
      <c r="AN44" s="1118"/>
      <c r="AO44" s="1118"/>
      <c r="AP44" s="1118"/>
      <c r="AQ44" s="33"/>
      <c r="AR44" s="33"/>
      <c r="AS44" s="33"/>
      <c r="AT44" s="23"/>
      <c r="AU44" s="192"/>
      <c r="AV44" s="1119"/>
      <c r="AW44" s="1119"/>
      <c r="AX44" s="1119"/>
      <c r="AY44" s="192"/>
      <c r="AZ44" s="192"/>
      <c r="BA44" s="23"/>
      <c r="BB44" s="23"/>
      <c r="BC44" s="23"/>
      <c r="BD44" s="23"/>
      <c r="BE44" s="167"/>
      <c r="BF44" s="878"/>
      <c r="BG44" s="192"/>
      <c r="BH44" s="192"/>
      <c r="BI44" s="884"/>
      <c r="BJ44" s="46"/>
      <c r="BK44" s="23"/>
      <c r="BL44" s="23"/>
      <c r="BM44" s="23"/>
    </row>
    <row r="45" spans="1:65" ht="17.25" customHeight="1" thickBot="1" x14ac:dyDescent="0.3">
      <c r="A45" s="781"/>
      <c r="B45" s="774"/>
      <c r="C45" s="1138"/>
      <c r="D45" s="1139"/>
      <c r="E45" s="770"/>
      <c r="F45" s="770"/>
      <c r="G45" s="770"/>
      <c r="H45" s="770"/>
      <c r="I45" s="770"/>
      <c r="J45" s="1140"/>
      <c r="K45" s="1141"/>
      <c r="L45" s="192"/>
      <c r="M45" s="192"/>
      <c r="N45" s="819"/>
      <c r="O45" s="192"/>
      <c r="P45" s="811"/>
      <c r="Q45" s="1136"/>
      <c r="R45" s="1137"/>
      <c r="S45" s="176"/>
      <c r="T45" s="23"/>
      <c r="U45" s="192"/>
      <c r="V45" s="153"/>
      <c r="W45" s="804"/>
      <c r="X45" s="804"/>
      <c r="Y45" s="804"/>
      <c r="Z45" s="804"/>
      <c r="AA45" s="789"/>
      <c r="AB45" s="804"/>
      <c r="AC45" s="804"/>
      <c r="AD45" s="804"/>
      <c r="AE45" s="804"/>
      <c r="AF45" s="825"/>
      <c r="AG45" s="811"/>
      <c r="AH45" s="811"/>
      <c r="AI45" s="811"/>
      <c r="AJ45" s="811"/>
      <c r="AK45" s="153"/>
      <c r="AL45" s="33"/>
      <c r="AM45" s="33"/>
      <c r="AN45" s="153"/>
      <c r="AO45" s="153"/>
      <c r="AP45" s="153"/>
      <c r="AQ45" s="153"/>
      <c r="AR45" s="33"/>
      <c r="AS45" s="33"/>
      <c r="AT45" s="33"/>
      <c r="AU45" s="153"/>
      <c r="AV45" s="876"/>
      <c r="AW45" s="180"/>
      <c r="AX45" s="876"/>
      <c r="AY45" s="157"/>
      <c r="AZ45" s="192"/>
      <c r="BA45" s="23"/>
      <c r="BB45" s="23"/>
      <c r="BC45" s="23"/>
      <c r="BD45" s="23"/>
      <c r="BE45" s="181"/>
      <c r="BF45" s="881"/>
      <c r="BG45" s="868"/>
      <c r="BH45" s="868"/>
      <c r="BI45" s="885"/>
      <c r="BJ45" s="46"/>
      <c r="BK45" s="23"/>
      <c r="BL45" s="23"/>
      <c r="BM45" s="23"/>
    </row>
    <row r="46" spans="1:65" ht="17.25" customHeight="1" thickBot="1" x14ac:dyDescent="0.3">
      <c r="A46" s="770"/>
      <c r="B46" s="782"/>
      <c r="C46" s="783"/>
      <c r="D46" s="784"/>
      <c r="E46" s="832"/>
      <c r="F46" s="832"/>
      <c r="G46" s="832"/>
      <c r="H46" s="832"/>
      <c r="I46" s="832"/>
      <c r="J46" s="819"/>
      <c r="K46" s="835"/>
      <c r="L46" s="23"/>
      <c r="M46" s="23"/>
      <c r="N46" s="116"/>
      <c r="O46" s="23"/>
      <c r="P46" s="81"/>
      <c r="Q46" s="183"/>
      <c r="R46" s="33"/>
      <c r="S46" s="176"/>
      <c r="T46" s="23"/>
      <c r="U46" s="192"/>
      <c r="V46" s="774"/>
      <c r="W46" s="790"/>
      <c r="X46" s="790"/>
      <c r="Y46" s="790"/>
      <c r="Z46" s="790"/>
      <c r="AA46" s="774"/>
      <c r="AB46" s="857"/>
      <c r="AC46" s="857"/>
      <c r="AD46" s="857"/>
      <c r="AE46" s="857"/>
      <c r="AF46" s="791"/>
      <c r="AG46" s="811"/>
      <c r="AH46" s="157"/>
      <c r="AI46" s="1120"/>
      <c r="AJ46" s="1120"/>
      <c r="AK46" s="1120"/>
      <c r="AL46" s="33"/>
      <c r="AM46" s="33"/>
      <c r="AN46" s="153"/>
      <c r="AO46" s="153"/>
      <c r="AP46" s="153"/>
      <c r="AQ46" s="153"/>
      <c r="AR46" s="33"/>
      <c r="AS46" s="33"/>
      <c r="AT46" s="33"/>
      <c r="AU46" s="791"/>
      <c r="AV46" s="821"/>
      <c r="AW46" s="821"/>
      <c r="AX46" s="821"/>
      <c r="AY46" s="774"/>
      <c r="AZ46" s="192"/>
      <c r="BA46" s="23"/>
      <c r="BB46" s="23"/>
      <c r="BC46" s="23"/>
      <c r="BD46" s="23"/>
      <c r="BE46" s="33"/>
      <c r="BF46" s="1121"/>
      <c r="BG46" s="1122"/>
      <c r="BH46" s="1122"/>
      <c r="BI46" s="1123"/>
      <c r="BJ46" s="46"/>
      <c r="BK46" s="23"/>
      <c r="BL46" s="23"/>
      <c r="BM46" s="23"/>
    </row>
    <row r="47" spans="1:65" ht="17.25" customHeight="1" thickBot="1" x14ac:dyDescent="0.3">
      <c r="A47" s="770"/>
      <c r="B47" s="782"/>
      <c r="C47" s="772"/>
      <c r="D47" s="194"/>
      <c r="E47" s="804"/>
      <c r="F47" s="804"/>
      <c r="G47" s="804"/>
      <c r="H47" s="804"/>
      <c r="I47" s="804"/>
      <c r="J47" s="192"/>
      <c r="K47" s="192"/>
      <c r="L47" s="23"/>
      <c r="M47" s="23"/>
      <c r="N47" s="23"/>
      <c r="O47" s="1"/>
      <c r="P47" s="185"/>
      <c r="Q47" s="796"/>
      <c r="R47" s="33"/>
      <c r="S47" s="176"/>
      <c r="T47" s="23"/>
      <c r="U47" s="192"/>
      <c r="V47" s="804"/>
      <c r="W47" s="770"/>
      <c r="X47" s="770"/>
      <c r="Y47" s="770"/>
      <c r="Z47" s="770"/>
      <c r="AA47" s="830"/>
      <c r="AB47" s="770"/>
      <c r="AC47" s="770"/>
      <c r="AD47" s="770"/>
      <c r="AE47" s="770"/>
      <c r="AF47" s="830"/>
      <c r="AG47" s="33"/>
      <c r="AH47" s="33"/>
      <c r="AI47" s="768"/>
      <c r="AJ47" s="768"/>
      <c r="AK47" s="768"/>
      <c r="AL47" s="33"/>
      <c r="AM47" s="33"/>
      <c r="AN47" s="153"/>
      <c r="AO47" s="153"/>
      <c r="AP47" s="768"/>
      <c r="AQ47" s="153"/>
      <c r="AR47" s="33"/>
      <c r="AS47" s="33"/>
      <c r="AT47" s="33"/>
      <c r="AU47" s="821"/>
      <c r="AV47" s="770"/>
      <c r="AW47" s="770"/>
      <c r="AX47" s="770"/>
      <c r="AY47" s="821"/>
      <c r="AZ47" s="192"/>
      <c r="BA47" s="23"/>
      <c r="BB47" s="23"/>
      <c r="BC47" s="23"/>
      <c r="BD47" s="23"/>
      <c r="BE47" s="181"/>
      <c r="BF47" s="1124"/>
      <c r="BG47" s="1125"/>
      <c r="BH47" s="1125"/>
      <c r="BI47" s="1126"/>
      <c r="BJ47" s="46"/>
      <c r="BK47" s="23"/>
      <c r="BL47" s="23"/>
      <c r="BM47" s="23"/>
    </row>
    <row r="48" spans="1:65" ht="17.25" customHeight="1" x14ac:dyDescent="0.25">
      <c r="A48" s="770"/>
      <c r="B48" s="782"/>
      <c r="C48" s="772"/>
      <c r="D48" s="180"/>
      <c r="E48" s="1130"/>
      <c r="F48" s="1130"/>
      <c r="G48" s="1130"/>
      <c r="H48" s="1130"/>
      <c r="I48" s="157"/>
      <c r="J48" s="157"/>
      <c r="K48" s="192"/>
      <c r="L48" s="23"/>
      <c r="M48" s="23"/>
      <c r="N48" s="23"/>
      <c r="O48" s="795"/>
      <c r="P48" s="796"/>
      <c r="Q48" s="190"/>
      <c r="R48" s="33"/>
      <c r="S48" s="176"/>
      <c r="T48" s="23"/>
      <c r="U48" s="192"/>
      <c r="V48" s="804"/>
      <c r="W48" s="770"/>
      <c r="X48" s="770"/>
      <c r="Y48" s="770"/>
      <c r="Z48" s="770"/>
      <c r="AA48" s="830"/>
      <c r="AB48" s="770"/>
      <c r="AC48" s="770"/>
      <c r="AD48" s="770"/>
      <c r="AE48" s="770"/>
      <c r="AF48" s="830"/>
      <c r="AG48" s="33"/>
      <c r="AH48" s="33"/>
      <c r="AI48" s="768"/>
      <c r="AJ48" s="768"/>
      <c r="AK48" s="768"/>
      <c r="AL48" s="33"/>
      <c r="AM48" s="33"/>
      <c r="AN48" s="784"/>
      <c r="AO48" s="768"/>
      <c r="AP48" s="153"/>
      <c r="AQ48" s="768"/>
      <c r="AR48" s="33"/>
      <c r="AS48" s="33"/>
      <c r="AT48" s="33"/>
      <c r="AU48" s="821"/>
      <c r="AV48" s="770"/>
      <c r="AW48" s="770"/>
      <c r="AX48" s="770"/>
      <c r="AY48" s="821"/>
      <c r="AZ48" s="192"/>
      <c r="BA48" s="23"/>
      <c r="BB48" s="23"/>
      <c r="BC48" s="23"/>
      <c r="BD48" s="23"/>
      <c r="BE48" s="181"/>
      <c r="BF48" s="1124"/>
      <c r="BG48" s="1125"/>
      <c r="BH48" s="1125"/>
      <c r="BI48" s="1126"/>
      <c r="BJ48" s="46"/>
      <c r="BK48" s="23"/>
      <c r="BL48" s="23"/>
      <c r="BM48" s="23"/>
    </row>
    <row r="49" spans="1:65" ht="17.25" customHeight="1" x14ac:dyDescent="0.25">
      <c r="A49" s="770"/>
      <c r="B49" s="782"/>
      <c r="C49" s="772"/>
      <c r="D49" s="180"/>
      <c r="E49" s="804"/>
      <c r="F49" s="804"/>
      <c r="G49" s="804"/>
      <c r="H49" s="804"/>
      <c r="I49" s="804"/>
      <c r="J49" s="157"/>
      <c r="K49" s="192"/>
      <c r="L49" s="23"/>
      <c r="M49" s="23"/>
      <c r="N49" s="33"/>
      <c r="O49" s="795"/>
      <c r="P49" s="796"/>
      <c r="Q49" s="33"/>
      <c r="R49" s="176"/>
      <c r="S49" s="176"/>
      <c r="T49" s="23"/>
      <c r="U49" s="192"/>
      <c r="V49" s="791"/>
      <c r="W49" s="790"/>
      <c r="X49" s="790"/>
      <c r="Y49" s="790"/>
      <c r="Z49" s="790"/>
      <c r="AA49" s="784"/>
      <c r="AB49" s="857"/>
      <c r="AC49" s="857"/>
      <c r="AD49" s="857"/>
      <c r="AE49" s="857"/>
      <c r="AF49" s="784"/>
      <c r="AG49" s="1"/>
      <c r="AH49" s="1"/>
      <c r="AI49" s="784"/>
      <c r="AJ49" s="153"/>
      <c r="AK49" s="153"/>
      <c r="AL49" s="33"/>
      <c r="AM49" s="33"/>
      <c r="AN49" s="153"/>
      <c r="AO49" s="153"/>
      <c r="AP49" s="768"/>
      <c r="AQ49" s="153"/>
      <c r="AR49" s="33"/>
      <c r="AS49" s="33"/>
      <c r="AT49" s="33"/>
      <c r="AU49" s="153"/>
      <c r="AV49" s="821"/>
      <c r="AW49" s="821"/>
      <c r="AX49" s="821"/>
      <c r="AY49" s="157"/>
      <c r="AZ49" s="192"/>
      <c r="BB49" s="23"/>
      <c r="BC49" s="23"/>
      <c r="BD49" s="191"/>
      <c r="BE49" s="192"/>
      <c r="BF49" s="1125"/>
      <c r="BG49" s="1125"/>
      <c r="BH49" s="1125"/>
      <c r="BI49" s="1126"/>
      <c r="BJ49" s="46"/>
      <c r="BK49" s="23"/>
      <c r="BL49" s="23"/>
      <c r="BM49" s="23"/>
    </row>
    <row r="50" spans="1:65" ht="17.25" customHeight="1" x14ac:dyDescent="0.25">
      <c r="A50" s="781"/>
      <c r="B50" s="780"/>
      <c r="C50" s="772"/>
      <c r="D50" s="774"/>
      <c r="E50" s="92"/>
      <c r="F50" s="92"/>
      <c r="G50" s="92"/>
      <c r="H50" s="92"/>
      <c r="I50" s="804"/>
      <c r="J50" s="157"/>
      <c r="K50" s="192"/>
      <c r="L50" s="23"/>
      <c r="M50" s="23"/>
      <c r="N50" s="33"/>
      <c r="O50" s="795"/>
      <c r="P50" s="796"/>
      <c r="Q50" s="176"/>
      <c r="R50" s="176"/>
      <c r="S50" s="81"/>
      <c r="T50" s="23"/>
      <c r="U50" s="192"/>
      <c r="V50" s="192"/>
      <c r="W50" s="804"/>
      <c r="X50" s="804"/>
      <c r="Y50" s="804"/>
      <c r="Z50" s="804"/>
      <c r="AA50" s="153"/>
      <c r="AB50" s="804"/>
      <c r="AC50" s="804"/>
      <c r="AD50" s="804"/>
      <c r="AE50" s="804"/>
      <c r="AF50" s="192"/>
      <c r="AG50" s="1"/>
      <c r="AH50" s="1"/>
      <c r="AI50" s="180"/>
      <c r="AJ50" s="157"/>
      <c r="AK50" s="157"/>
      <c r="AL50" s="33"/>
      <c r="AM50" s="33"/>
      <c r="AN50" s="153"/>
      <c r="AO50" s="153"/>
      <c r="AP50" s="153"/>
      <c r="AQ50" s="153"/>
      <c r="AR50" s="33"/>
      <c r="AS50" s="33"/>
      <c r="AT50" s="33"/>
      <c r="AU50" s="153"/>
      <c r="AV50" s="876"/>
      <c r="AW50" s="199"/>
      <c r="AX50" s="876"/>
      <c r="AY50" s="153"/>
      <c r="AZ50" s="192"/>
      <c r="BB50" s="191"/>
      <c r="BC50" s="194"/>
      <c r="BD50" s="157"/>
      <c r="BE50" s="191"/>
      <c r="BF50" s="1125"/>
      <c r="BG50" s="1125"/>
      <c r="BH50" s="1125"/>
      <c r="BI50" s="1126"/>
      <c r="BJ50" s="46"/>
      <c r="BK50" s="23"/>
      <c r="BL50" s="23"/>
      <c r="BM50" s="23"/>
    </row>
    <row r="51" spans="1:65" ht="17.25" customHeight="1" x14ac:dyDescent="0.25">
      <c r="A51" s="768"/>
      <c r="B51" s="774"/>
      <c r="C51" s="772"/>
      <c r="D51" s="771"/>
      <c r="E51" s="770"/>
      <c r="F51" s="770"/>
      <c r="G51" s="770"/>
      <c r="H51" s="770"/>
      <c r="I51" s="771"/>
      <c r="J51" s="157"/>
      <c r="K51" s="192"/>
      <c r="L51" s="23"/>
      <c r="M51" s="23"/>
      <c r="N51" s="33"/>
      <c r="O51" s="795"/>
      <c r="P51" s="797"/>
      <c r="Q51" s="176"/>
      <c r="R51" s="176"/>
      <c r="S51" s="81"/>
      <c r="T51" s="23"/>
      <c r="U51" s="192"/>
      <c r="V51" s="192"/>
      <c r="W51" s="192"/>
      <c r="X51" s="858"/>
      <c r="Y51" s="858"/>
      <c r="Z51" s="858"/>
      <c r="AA51" s="153"/>
      <c r="AB51" s="192"/>
      <c r="AC51" s="192"/>
      <c r="AD51" s="192"/>
      <c r="AE51" s="192"/>
      <c r="AF51" s="192"/>
      <c r="AG51" s="1"/>
      <c r="AH51" s="1"/>
      <c r="AI51" s="197">
        <v>1</v>
      </c>
      <c r="AJ51" s="197">
        <v>2</v>
      </c>
      <c r="AK51" s="197">
        <v>3</v>
      </c>
      <c r="AL51" s="33"/>
      <c r="AM51" s="33"/>
      <c r="AN51" s="33"/>
      <c r="AO51" s="1"/>
      <c r="AP51" s="197">
        <v>1</v>
      </c>
      <c r="AQ51" s="197">
        <v>2</v>
      </c>
      <c r="AR51" s="197">
        <v>3</v>
      </c>
      <c r="AS51" s="33"/>
      <c r="AT51" s="33"/>
      <c r="AU51" s="336"/>
      <c r="AV51" s="875"/>
      <c r="AW51" s="875"/>
      <c r="AX51" s="875"/>
      <c r="AY51" s="153"/>
      <c r="AZ51" s="192"/>
      <c r="BB51" s="194"/>
      <c r="BC51" s="191"/>
      <c r="BD51" s="191"/>
      <c r="BE51" s="199"/>
      <c r="BF51" s="1125"/>
      <c r="BG51" s="1125"/>
      <c r="BH51" s="1125"/>
      <c r="BI51" s="1126"/>
      <c r="BJ51" s="46"/>
      <c r="BK51" s="23"/>
      <c r="BL51" s="23"/>
      <c r="BM51" s="23"/>
    </row>
    <row r="52" spans="1:65" ht="17.25" customHeight="1" thickBot="1" x14ac:dyDescent="0.3">
      <c r="A52" s="774"/>
      <c r="B52" s="153"/>
      <c r="C52" s="153"/>
      <c r="D52" s="771"/>
      <c r="E52" s="770"/>
      <c r="F52" s="770"/>
      <c r="G52" s="770"/>
      <c r="H52" s="770"/>
      <c r="I52" s="771"/>
      <c r="J52" s="157"/>
      <c r="K52" s="192"/>
      <c r="L52" s="23"/>
      <c r="M52" s="23"/>
      <c r="N52" s="33"/>
      <c r="O52" s="795"/>
      <c r="P52" s="797"/>
      <c r="Q52" s="176"/>
      <c r="R52" s="176"/>
      <c r="S52" s="81"/>
      <c r="T52" s="23"/>
      <c r="U52" s="192"/>
      <c r="V52" s="192"/>
      <c r="W52" s="784"/>
      <c r="X52" s="157"/>
      <c r="Y52" s="157"/>
      <c r="Z52" s="157"/>
      <c r="AA52" s="153"/>
      <c r="AB52" s="1131"/>
      <c r="AC52" s="1131"/>
      <c r="AD52" s="1131"/>
      <c r="AE52" s="1131"/>
      <c r="AF52" s="192"/>
      <c r="AG52" s="200"/>
      <c r="AH52" s="146" t="s">
        <v>183</v>
      </c>
      <c r="AI52" s="100" t="s">
        <v>160</v>
      </c>
      <c r="AJ52" s="100" t="s">
        <v>160</v>
      </c>
      <c r="AK52" s="100" t="s">
        <v>160</v>
      </c>
      <c r="AL52" s="118" t="s">
        <v>250</v>
      </c>
      <c r="AM52" s="33"/>
      <c r="AN52" s="33"/>
      <c r="AO52" s="49" t="s">
        <v>251</v>
      </c>
      <c r="AP52" s="50" t="s">
        <v>160</v>
      </c>
      <c r="AQ52" s="50" t="s">
        <v>160</v>
      </c>
      <c r="AR52" s="50" t="s">
        <v>160</v>
      </c>
      <c r="AS52" s="146"/>
      <c r="AT52" s="33"/>
      <c r="AU52" s="201"/>
      <c r="AY52" s="201"/>
      <c r="AZ52" s="23"/>
      <c r="BB52" s="157"/>
      <c r="BC52" s="153"/>
      <c r="BD52" s="157"/>
      <c r="BE52" s="153"/>
      <c r="BF52" s="1125"/>
      <c r="BG52" s="1125"/>
      <c r="BH52" s="1125"/>
      <c r="BI52" s="1126"/>
      <c r="BJ52" s="46"/>
      <c r="BK52" s="23"/>
      <c r="BL52" s="23"/>
      <c r="BM52" s="23"/>
    </row>
    <row r="53" spans="1:65" ht="17.25" customHeight="1" x14ac:dyDescent="0.25">
      <c r="A53" s="1099"/>
      <c r="B53" s="1099"/>
      <c r="C53" s="192"/>
      <c r="D53" s="784"/>
      <c r="E53" s="92"/>
      <c r="F53" s="92"/>
      <c r="G53" s="92"/>
      <c r="H53" s="92"/>
      <c r="I53" s="806"/>
      <c r="J53" s="157"/>
      <c r="K53" s="192"/>
      <c r="L53" s="23"/>
      <c r="M53" s="23"/>
      <c r="N53" s="33"/>
      <c r="O53" s="795"/>
      <c r="P53" s="797"/>
      <c r="Q53" s="176"/>
      <c r="R53" s="176"/>
      <c r="S53" s="81"/>
      <c r="T53" s="23"/>
      <c r="U53" s="192"/>
      <c r="V53" s="192"/>
      <c r="W53" s="794"/>
      <c r="X53" s="794"/>
      <c r="Y53" s="794"/>
      <c r="Z53" s="157"/>
      <c r="AA53" s="153"/>
      <c r="AB53" s="796"/>
      <c r="AC53" s="796"/>
      <c r="AD53" s="796"/>
      <c r="AE53" s="796"/>
      <c r="AF53" s="192"/>
      <c r="AG53" s="197"/>
      <c r="AH53" s="1101" t="s">
        <v>253</v>
      </c>
      <c r="AI53" s="203">
        <v>50</v>
      </c>
      <c r="AJ53" s="204">
        <v>50</v>
      </c>
      <c r="AK53" s="203">
        <v>50</v>
      </c>
      <c r="AL53" s="100"/>
      <c r="AM53" s="197"/>
      <c r="AN53" s="197"/>
      <c r="AO53" s="50"/>
      <c r="AP53" s="205">
        <v>50</v>
      </c>
      <c r="AQ53" s="206">
        <v>50</v>
      </c>
      <c r="AR53" s="205">
        <v>50</v>
      </c>
      <c r="AS53" s="50"/>
      <c r="AT53" s="197"/>
      <c r="AU53" s="207"/>
      <c r="AV53" s="208"/>
      <c r="AW53" s="208"/>
      <c r="AX53" s="209"/>
      <c r="AZ53" s="201"/>
      <c r="BA53" s="23"/>
      <c r="BB53" s="194"/>
      <c r="BC53" s="194"/>
      <c r="BD53" s="33"/>
      <c r="BE53" s="1"/>
      <c r="BF53" s="1124"/>
      <c r="BG53" s="1125"/>
      <c r="BH53" s="1125"/>
      <c r="BI53" s="1126"/>
      <c r="BJ53" s="46"/>
      <c r="BK53" s="23"/>
      <c r="BL53" s="23"/>
      <c r="BM53" s="23"/>
    </row>
    <row r="54" spans="1:65" ht="17.25" customHeight="1" thickBot="1" x14ac:dyDescent="0.3">
      <c r="A54" s="92"/>
      <c r="B54" s="774"/>
      <c r="C54" s="192"/>
      <c r="D54" s="787"/>
      <c r="E54" s="804"/>
      <c r="F54" s="804"/>
      <c r="G54" s="804"/>
      <c r="H54" s="804"/>
      <c r="I54" s="153"/>
      <c r="J54" s="157"/>
      <c r="K54" s="192"/>
      <c r="L54" s="23"/>
      <c r="M54" s="23"/>
      <c r="N54" s="23"/>
      <c r="O54" s="793"/>
      <c r="P54" s="797"/>
      <c r="Q54" s="176"/>
      <c r="R54" s="176"/>
      <c r="S54" s="81"/>
      <c r="T54" s="23"/>
      <c r="U54" s="192"/>
      <c r="V54" s="192"/>
      <c r="W54" s="794"/>
      <c r="X54" s="794"/>
      <c r="Y54" s="794"/>
      <c r="Z54" s="157"/>
      <c r="AA54" s="153"/>
      <c r="AB54" s="796"/>
      <c r="AC54" s="796"/>
      <c r="AD54" s="796"/>
      <c r="AE54" s="796"/>
      <c r="AF54" s="192"/>
      <c r="AG54" s="197"/>
      <c r="AH54" s="1102"/>
      <c r="AI54" s="212">
        <v>50</v>
      </c>
      <c r="AJ54" s="212">
        <v>50</v>
      </c>
      <c r="AK54" s="212">
        <v>50</v>
      </c>
      <c r="AL54" s="100"/>
      <c r="AM54" s="197"/>
      <c r="AN54" s="197"/>
      <c r="AO54" s="50"/>
      <c r="AP54" s="11">
        <v>50</v>
      </c>
      <c r="AQ54" s="11">
        <v>50</v>
      </c>
      <c r="AR54" s="213">
        <v>50</v>
      </c>
      <c r="AS54" s="50"/>
      <c r="AT54" s="197"/>
      <c r="AU54" s="207"/>
      <c r="AV54" s="209"/>
      <c r="AW54" s="214"/>
      <c r="AX54" s="214"/>
      <c r="AZ54" s="201"/>
      <c r="BA54" s="23"/>
      <c r="BB54" s="194"/>
      <c r="BC54" s="33"/>
      <c r="BD54" s="33"/>
      <c r="BE54" s="33"/>
      <c r="BF54" s="1124"/>
      <c r="BG54" s="1125"/>
      <c r="BH54" s="1125"/>
      <c r="BI54" s="1126"/>
      <c r="BJ54" s="46"/>
      <c r="BK54" s="23"/>
      <c r="BL54" s="23"/>
      <c r="BM54" s="23"/>
    </row>
    <row r="55" spans="1:65" ht="17.25" customHeight="1" x14ac:dyDescent="0.25">
      <c r="A55" s="770"/>
      <c r="B55" s="92"/>
      <c r="C55" s="783"/>
      <c r="D55" s="807"/>
      <c r="E55" s="794"/>
      <c r="F55" s="794"/>
      <c r="G55" s="794"/>
      <c r="H55" s="794"/>
      <c r="I55" s="153"/>
      <c r="J55" s="157"/>
      <c r="K55" s="192"/>
      <c r="L55" s="23"/>
      <c r="M55" s="23"/>
      <c r="N55" s="33"/>
      <c r="O55" s="793"/>
      <c r="P55" s="797"/>
      <c r="Q55" s="176"/>
      <c r="R55" s="176"/>
      <c r="S55" s="81"/>
      <c r="T55" s="23"/>
      <c r="U55" s="192"/>
      <c r="V55" s="192"/>
      <c r="W55" s="1103"/>
      <c r="X55" s="1103"/>
      <c r="Y55" s="1103"/>
      <c r="Z55" s="157"/>
      <c r="AA55" s="153"/>
      <c r="AB55" s="784"/>
      <c r="AC55" s="216"/>
      <c r="AD55" s="216"/>
      <c r="AE55" s="157"/>
      <c r="AF55" s="192"/>
      <c r="AG55" s="1"/>
      <c r="AH55" s="197"/>
      <c r="AI55" s="100" t="s">
        <v>160</v>
      </c>
      <c r="AJ55" s="100" t="s">
        <v>160</v>
      </c>
      <c r="AK55" s="100" t="s">
        <v>160</v>
      </c>
      <c r="AL55" s="197"/>
      <c r="AM55" s="33"/>
      <c r="AN55" s="33"/>
      <c r="AO55" s="197"/>
      <c r="AP55" s="50" t="s">
        <v>160</v>
      </c>
      <c r="AQ55" s="50" t="s">
        <v>160</v>
      </c>
      <c r="AR55" s="50" t="s">
        <v>160</v>
      </c>
      <c r="AS55" s="197"/>
      <c r="AT55" s="81"/>
      <c r="AU55" s="201"/>
      <c r="AV55" s="199"/>
      <c r="AX55" s="336"/>
      <c r="AY55" s="775"/>
      <c r="AZ55" s="192"/>
      <c r="BA55" s="192"/>
      <c r="BB55" s="194"/>
      <c r="BC55" s="194"/>
      <c r="BD55" s="23"/>
      <c r="BE55" s="23"/>
      <c r="BF55" s="1124"/>
      <c r="BG55" s="1125"/>
      <c r="BH55" s="1125"/>
      <c r="BI55" s="1126"/>
      <c r="BJ55" s="46"/>
      <c r="BK55" s="23"/>
      <c r="BL55" s="23"/>
      <c r="BM55" s="23"/>
    </row>
    <row r="56" spans="1:65" ht="17.25" customHeight="1" thickBot="1" x14ac:dyDescent="0.3">
      <c r="A56" s="770"/>
      <c r="B56" s="92"/>
      <c r="C56" s="772"/>
      <c r="D56" s="784"/>
      <c r="E56" s="794"/>
      <c r="F56" s="794"/>
      <c r="G56" s="794"/>
      <c r="H56" s="794"/>
      <c r="I56" s="192"/>
      <c r="J56" s="192"/>
      <c r="K56" s="192"/>
      <c r="L56" s="23"/>
      <c r="M56" s="23"/>
      <c r="N56" s="33"/>
      <c r="O56" s="798"/>
      <c r="P56" s="799"/>
      <c r="Q56" s="176"/>
      <c r="R56" s="176"/>
      <c r="S56" s="81"/>
      <c r="T56" s="23"/>
      <c r="U56" s="192"/>
      <c r="V56" s="192"/>
      <c r="W56" s="153"/>
      <c r="X56" s="153"/>
      <c r="Y56" s="153"/>
      <c r="Z56" s="153"/>
      <c r="AA56" s="153"/>
      <c r="AB56" s="153"/>
      <c r="AC56" s="1104"/>
      <c r="AD56" s="1104"/>
      <c r="AE56" s="1104"/>
      <c r="AF56" s="153"/>
      <c r="AG56" s="33"/>
      <c r="AH56" s="199"/>
      <c r="AI56" s="197">
        <v>6</v>
      </c>
      <c r="AJ56" s="197">
        <v>5</v>
      </c>
      <c r="AK56" s="197">
        <v>4</v>
      </c>
      <c r="AL56" s="1"/>
      <c r="AM56" s="33"/>
      <c r="AN56" s="33"/>
      <c r="AO56" s="199"/>
      <c r="AP56" s="197">
        <v>6</v>
      </c>
      <c r="AQ56" s="197">
        <v>5</v>
      </c>
      <c r="AR56" s="197">
        <v>4</v>
      </c>
      <c r="AS56" s="33"/>
      <c r="AT56" s="1"/>
      <c r="AV56" s="198"/>
      <c r="AW56" s="198"/>
      <c r="AX56" s="875"/>
      <c r="AY56" s="153"/>
      <c r="AZ56" s="192"/>
      <c r="BA56" s="192"/>
      <c r="BB56" s="194"/>
      <c r="BC56" s="194"/>
      <c r="BD56" s="23"/>
      <c r="BE56" s="23"/>
      <c r="BF56" s="1127"/>
      <c r="BG56" s="1128"/>
      <c r="BH56" s="1128"/>
      <c r="BI56" s="1129"/>
      <c r="BJ56" s="46"/>
      <c r="BK56" s="23"/>
      <c r="BL56" s="23"/>
      <c r="BM56" s="23"/>
    </row>
    <row r="57" spans="1:65" ht="17.25" customHeight="1" thickBot="1" x14ac:dyDescent="0.3">
      <c r="A57" s="770"/>
      <c r="B57" s="92"/>
      <c r="C57" s="772"/>
      <c r="D57" s="153"/>
      <c r="E57" s="153"/>
      <c r="F57" s="153"/>
      <c r="G57" s="153"/>
      <c r="H57" s="153"/>
      <c r="I57" s="153"/>
      <c r="J57" s="153"/>
      <c r="K57" s="153"/>
      <c r="L57" s="33"/>
      <c r="M57" s="33"/>
      <c r="N57" s="33"/>
      <c r="O57" s="798"/>
      <c r="P57" s="799"/>
      <c r="Q57" s="137"/>
      <c r="R57" s="81"/>
      <c r="S57" s="81"/>
      <c r="T57" s="23"/>
      <c r="U57" s="192"/>
      <c r="V57" s="192"/>
      <c r="W57" s="157"/>
      <c r="X57" s="157"/>
      <c r="Y57" s="157"/>
      <c r="Z57" s="157"/>
      <c r="AA57" s="157"/>
      <c r="AB57" s="153"/>
      <c r="AC57" s="853"/>
      <c r="AD57" s="853"/>
      <c r="AE57" s="853"/>
      <c r="AF57" s="153"/>
      <c r="AG57" s="33"/>
      <c r="AH57" s="33"/>
      <c r="AI57" s="219"/>
      <c r="AJ57" s="219"/>
      <c r="AK57" s="219"/>
      <c r="AL57" s="23"/>
      <c r="AM57" s="23"/>
      <c r="AN57" s="33"/>
      <c r="AO57" s="33"/>
      <c r="AP57" s="33"/>
      <c r="AQ57" s="33"/>
      <c r="AR57" s="33"/>
      <c r="AS57" s="33"/>
      <c r="AT57" s="33"/>
      <c r="AX57" s="336"/>
      <c r="AY57" s="336"/>
      <c r="AZ57" s="194"/>
      <c r="BA57" s="194"/>
      <c r="BB57" s="194"/>
      <c r="BC57" s="194"/>
      <c r="BD57" s="23"/>
      <c r="BE57" s="23"/>
      <c r="BF57" s="192"/>
      <c r="BG57" s="192"/>
      <c r="BH57" s="192"/>
      <c r="BI57" s="1105"/>
      <c r="BJ57" s="46"/>
      <c r="BK57" s="23"/>
      <c r="BL57" s="23"/>
      <c r="BM57" s="23"/>
    </row>
    <row r="58" spans="1:65" ht="17.25" customHeight="1" x14ac:dyDescent="0.25">
      <c r="A58" s="770"/>
      <c r="B58" s="92"/>
      <c r="C58" s="772"/>
      <c r="D58" s="153"/>
      <c r="E58" s="764"/>
      <c r="F58" s="764"/>
      <c r="G58" s="764"/>
      <c r="H58" s="153"/>
      <c r="I58" s="153"/>
      <c r="J58" s="153"/>
      <c r="K58" s="153"/>
      <c r="L58" s="33"/>
      <c r="M58" s="33"/>
      <c r="N58" s="33"/>
      <c r="O58" s="798"/>
      <c r="P58" s="799"/>
      <c r="Q58" s="137"/>
      <c r="R58" s="81"/>
      <c r="S58" s="81"/>
      <c r="T58" s="23"/>
      <c r="U58" s="192"/>
      <c r="V58" s="192"/>
      <c r="W58" s="847"/>
      <c r="X58" s="847"/>
      <c r="Y58" s="847"/>
      <c r="Z58" s="847"/>
      <c r="AA58" s="153"/>
      <c r="AB58" s="854"/>
      <c r="AC58" s="855"/>
      <c r="AD58" s="855"/>
      <c r="AE58" s="855"/>
      <c r="AF58" s="791"/>
      <c r="AG58" s="23"/>
      <c r="AH58" s="33"/>
      <c r="AI58" s="1"/>
      <c r="AJ58" s="1"/>
      <c r="AK58" s="33"/>
      <c r="AL58" s="33"/>
      <c r="AM58" s="33"/>
      <c r="AN58" s="219"/>
      <c r="AO58" s="33"/>
      <c r="AP58" s="33"/>
      <c r="AQ58" s="33"/>
      <c r="AR58" s="33"/>
      <c r="AS58" s="33"/>
      <c r="AT58" s="33"/>
      <c r="AU58" s="1"/>
      <c r="AV58" s="23"/>
      <c r="AW58" s="23"/>
      <c r="AX58" s="1107"/>
      <c r="AY58" s="1108"/>
      <c r="AZ58" s="1108"/>
      <c r="BA58" s="1108"/>
      <c r="BB58" s="1108"/>
      <c r="BC58" s="1109"/>
      <c r="BD58" s="23"/>
      <c r="BE58" s="23"/>
      <c r="BF58" s="192"/>
      <c r="BG58" s="192"/>
      <c r="BH58" s="192"/>
      <c r="BI58" s="1105"/>
      <c r="BJ58" s="46"/>
      <c r="BK58" s="23"/>
      <c r="BL58" s="23"/>
      <c r="BM58" s="23"/>
    </row>
    <row r="59" spans="1:65" ht="17.25" customHeight="1" thickBot="1" x14ac:dyDescent="0.3">
      <c r="A59" s="768"/>
      <c r="B59" s="784"/>
      <c r="C59" s="153"/>
      <c r="D59" s="153"/>
      <c r="E59" s="764"/>
      <c r="F59" s="764"/>
      <c r="G59" s="764"/>
      <c r="H59" s="153"/>
      <c r="I59" s="153"/>
      <c r="J59" s="153"/>
      <c r="K59" s="153"/>
      <c r="L59" s="33"/>
      <c r="M59" s="33"/>
      <c r="N59" s="33"/>
      <c r="O59" s="798"/>
      <c r="P59" s="799"/>
      <c r="Q59" s="137"/>
      <c r="R59" s="81"/>
      <c r="S59" s="81"/>
      <c r="T59" s="23"/>
      <c r="U59" s="192"/>
      <c r="V59" s="192"/>
      <c r="W59" s="847"/>
      <c r="X59" s="847"/>
      <c r="Y59" s="847"/>
      <c r="Z59" s="847"/>
      <c r="AA59" s="153"/>
      <c r="AB59" s="855"/>
      <c r="AC59" s="770"/>
      <c r="AD59" s="770"/>
      <c r="AE59" s="770"/>
      <c r="AF59" s="855"/>
      <c r="AG59" s="33"/>
      <c r="AH59" s="153"/>
      <c r="AI59" s="153"/>
      <c r="AJ59" s="153"/>
      <c r="AK59" s="153"/>
      <c r="AL59" s="33"/>
      <c r="AM59" s="33"/>
      <c r="AN59" s="33"/>
      <c r="AO59" s="220"/>
      <c r="AP59" s="221">
        <v>1</v>
      </c>
      <c r="AQ59" s="221">
        <v>2</v>
      </c>
      <c r="AR59" s="221">
        <v>3</v>
      </c>
      <c r="AS59" s="222"/>
      <c r="AT59" s="33"/>
      <c r="AU59" s="33"/>
      <c r="AV59" s="33"/>
      <c r="AW59" s="23"/>
      <c r="AX59" s="1110"/>
      <c r="AY59" s="1111"/>
      <c r="AZ59" s="1111"/>
      <c r="BA59" s="1111"/>
      <c r="BB59" s="1111"/>
      <c r="BC59" s="1112"/>
      <c r="BD59" s="132"/>
      <c r="BE59" s="133"/>
      <c r="BF59" s="868"/>
      <c r="BG59" s="868"/>
      <c r="BH59" s="885"/>
      <c r="BI59" s="1106"/>
      <c r="BJ59" s="46"/>
      <c r="BK59" s="23"/>
      <c r="BL59" s="23"/>
      <c r="BM59" s="23"/>
    </row>
    <row r="60" spans="1:65" ht="17.25" customHeight="1" x14ac:dyDescent="0.25">
      <c r="A60" s="785"/>
      <c r="B60" s="153"/>
      <c r="C60" s="153"/>
      <c r="D60" s="192"/>
      <c r="E60" s="1116"/>
      <c r="F60" s="1116"/>
      <c r="G60" s="1116"/>
      <c r="H60" s="1116"/>
      <c r="I60" s="192"/>
      <c r="J60" s="192"/>
      <c r="K60" s="192"/>
      <c r="L60" s="23"/>
      <c r="M60" s="23"/>
      <c r="N60" s="33"/>
      <c r="O60" s="798"/>
      <c r="P60" s="799"/>
      <c r="Q60" s="137"/>
      <c r="R60" s="81"/>
      <c r="S60" s="81"/>
      <c r="T60" s="23"/>
      <c r="U60" s="192"/>
      <c r="V60" s="192"/>
      <c r="W60" s="784"/>
      <c r="X60" s="153"/>
      <c r="Y60" s="153"/>
      <c r="Z60" s="153"/>
      <c r="AA60" s="153"/>
      <c r="AB60" s="855"/>
      <c r="AC60" s="770"/>
      <c r="AD60" s="770"/>
      <c r="AE60" s="770"/>
      <c r="AF60" s="855"/>
      <c r="AG60" s="33"/>
      <c r="AH60" s="153"/>
      <c r="AI60" s="157"/>
      <c r="AJ60" s="157"/>
      <c r="AK60" s="157"/>
      <c r="AL60" s="33"/>
      <c r="AM60" s="33"/>
      <c r="AN60" s="33"/>
      <c r="AO60" s="146" t="s">
        <v>193</v>
      </c>
      <c r="AP60" s="100" t="s">
        <v>160</v>
      </c>
      <c r="AQ60" s="100" t="s">
        <v>160</v>
      </c>
      <c r="AR60" s="100" t="s">
        <v>160</v>
      </c>
      <c r="AS60" s="146"/>
      <c r="AT60" s="33"/>
      <c r="AU60" s="33"/>
      <c r="AV60" s="33"/>
      <c r="AW60" s="23"/>
      <c r="AX60" s="1110"/>
      <c r="AY60" s="1111"/>
      <c r="AZ60" s="1111"/>
      <c r="BA60" s="1111"/>
      <c r="BB60" s="1111"/>
      <c r="BC60" s="1112"/>
      <c r="BD60" s="23"/>
      <c r="BE60" s="23"/>
      <c r="BF60" s="23"/>
      <c r="BG60" s="23"/>
      <c r="BH60" s="23"/>
      <c r="BI60" s="23"/>
      <c r="BJ60" s="46"/>
      <c r="BK60" s="23"/>
      <c r="BL60" s="23"/>
      <c r="BM60" s="23"/>
    </row>
    <row r="61" spans="1:65" ht="17.25" customHeight="1" x14ac:dyDescent="0.25">
      <c r="A61" s="785"/>
      <c r="B61" s="153"/>
      <c r="C61" s="153"/>
      <c r="D61" s="153"/>
      <c r="E61" s="789"/>
      <c r="F61" s="789"/>
      <c r="G61" s="789"/>
      <c r="H61" s="789"/>
      <c r="I61" s="153"/>
      <c r="J61" s="153"/>
      <c r="K61" s="153"/>
      <c r="L61" s="23"/>
      <c r="M61" s="23"/>
      <c r="N61" s="33"/>
      <c r="O61" s="798"/>
      <c r="P61" s="799"/>
      <c r="Q61" s="1"/>
      <c r="R61" s="81"/>
      <c r="S61" s="81"/>
      <c r="T61" s="23"/>
      <c r="U61" s="192"/>
      <c r="V61" s="192"/>
      <c r="W61" s="157"/>
      <c r="X61" s="157"/>
      <c r="Y61" s="192"/>
      <c r="Z61" s="157"/>
      <c r="AA61" s="157"/>
      <c r="AB61" s="784"/>
      <c r="AC61" s="855"/>
      <c r="AD61" s="855"/>
      <c r="AE61" s="855"/>
      <c r="AF61" s="192"/>
      <c r="AG61" s="23"/>
      <c r="AH61" s="153"/>
      <c r="AI61" s="862"/>
      <c r="AJ61" s="863"/>
      <c r="AK61" s="863"/>
      <c r="AL61" s="33"/>
      <c r="AM61" s="33"/>
      <c r="AN61" s="221"/>
      <c r="AO61" s="100"/>
      <c r="AP61" s="12">
        <v>50</v>
      </c>
      <c r="AQ61" s="12">
        <v>50</v>
      </c>
      <c r="AR61" s="226">
        <v>50</v>
      </c>
      <c r="AS61" s="100"/>
      <c r="AT61" s="146"/>
      <c r="AU61" s="33"/>
      <c r="AV61" s="33"/>
      <c r="AW61" s="23"/>
      <c r="AX61" s="1110"/>
      <c r="AY61" s="1111"/>
      <c r="AZ61" s="1111"/>
      <c r="BA61" s="1111"/>
      <c r="BB61" s="1111"/>
      <c r="BC61" s="1112"/>
      <c r="BD61" s="23"/>
      <c r="BE61" s="23"/>
      <c r="BF61" s="23"/>
      <c r="BG61" s="23"/>
      <c r="BH61" s="23"/>
      <c r="BI61" s="23"/>
      <c r="BJ61" s="46"/>
      <c r="BK61" s="23"/>
      <c r="BL61" s="23"/>
      <c r="BM61" s="23"/>
    </row>
    <row r="62" spans="1:65" ht="17.25" customHeight="1" thickBot="1" x14ac:dyDescent="0.3">
      <c r="A62" s="785"/>
      <c r="B62" s="180"/>
      <c r="C62" s="153"/>
      <c r="D62" s="774"/>
      <c r="E62" s="790"/>
      <c r="F62" s="790"/>
      <c r="G62" s="790"/>
      <c r="H62" s="790"/>
      <c r="I62" s="791"/>
      <c r="J62" s="153"/>
      <c r="K62" s="153"/>
      <c r="L62" s="23"/>
      <c r="M62" s="23"/>
      <c r="N62" s="33"/>
      <c r="O62" s="153"/>
      <c r="P62" s="799"/>
      <c r="Q62" s="1"/>
      <c r="R62" s="81"/>
      <c r="S62" s="81"/>
      <c r="T62" s="23"/>
      <c r="U62" s="192"/>
      <c r="V62" s="192"/>
      <c r="W62" s="157"/>
      <c r="X62" s="157"/>
      <c r="Y62" s="192"/>
      <c r="Z62" s="157"/>
      <c r="AA62" s="157"/>
      <c r="AB62" s="157"/>
      <c r="AC62" s="853"/>
      <c r="AD62" s="853"/>
      <c r="AE62" s="853"/>
      <c r="AF62" s="153"/>
      <c r="AG62" s="33"/>
      <c r="AH62" s="153"/>
      <c r="AI62" s="863"/>
      <c r="AJ62" s="864"/>
      <c r="AK62" s="864"/>
      <c r="AL62" s="33"/>
      <c r="AM62" s="33"/>
      <c r="AN62" s="221"/>
      <c r="AO62" s="100"/>
      <c r="AP62" s="14">
        <v>50</v>
      </c>
      <c r="AQ62" s="14">
        <v>50</v>
      </c>
      <c r="AR62" s="228">
        <v>50</v>
      </c>
      <c r="AS62" s="100"/>
      <c r="AT62" s="146"/>
      <c r="AU62" s="33"/>
      <c r="AV62" s="33"/>
      <c r="AW62" s="23"/>
      <c r="AX62" s="1113"/>
      <c r="AY62" s="1114"/>
      <c r="AZ62" s="1114"/>
      <c r="BA62" s="1114"/>
      <c r="BB62" s="1114"/>
      <c r="BC62" s="1115"/>
      <c r="BD62" s="23"/>
      <c r="BE62" s="23"/>
      <c r="BF62" s="23"/>
      <c r="BG62" s="23"/>
      <c r="BH62" s="23"/>
      <c r="BI62" s="23"/>
      <c r="BJ62" s="46"/>
      <c r="BK62" s="23"/>
      <c r="BL62" s="23"/>
      <c r="BM62" s="23"/>
    </row>
    <row r="63" spans="1:65" ht="17.25" customHeight="1" x14ac:dyDescent="0.25">
      <c r="A63" s="785"/>
      <c r="B63" s="180"/>
      <c r="C63" s="153"/>
      <c r="D63" s="790"/>
      <c r="E63" s="770"/>
      <c r="F63" s="770"/>
      <c r="G63" s="770"/>
      <c r="H63" s="770"/>
      <c r="I63" s="790"/>
      <c r="J63" s="153"/>
      <c r="K63" s="153"/>
      <c r="L63" s="23"/>
      <c r="M63" s="23"/>
      <c r="N63" s="33"/>
      <c r="O63" s="153"/>
      <c r="P63" s="799"/>
      <c r="Q63" s="1"/>
      <c r="R63" s="31"/>
      <c r="S63" s="33"/>
      <c r="T63" s="23"/>
      <c r="U63" s="192"/>
      <c r="V63" s="192"/>
      <c r="W63" s="157"/>
      <c r="X63" s="153"/>
      <c r="Y63" s="192"/>
      <c r="Z63" s="157"/>
      <c r="AA63" s="153"/>
      <c r="AB63" s="153"/>
      <c r="AC63" s="153"/>
      <c r="AD63" s="157"/>
      <c r="AE63" s="157"/>
      <c r="AF63" s="153"/>
      <c r="AG63" s="33"/>
      <c r="AH63" s="153"/>
      <c r="AI63" s="157"/>
      <c r="AJ63" s="157"/>
      <c r="AK63" s="157"/>
      <c r="AL63" s="33"/>
      <c r="AM63" s="33"/>
      <c r="AN63" s="33"/>
      <c r="AO63" s="221"/>
      <c r="AP63" s="100" t="s">
        <v>160</v>
      </c>
      <c r="AQ63" s="100" t="s">
        <v>160</v>
      </c>
      <c r="AR63" s="100" t="s">
        <v>160</v>
      </c>
      <c r="AS63" s="221"/>
      <c r="AT63" s="33"/>
      <c r="AU63" s="33"/>
      <c r="AV63" s="33"/>
      <c r="AW63" s="23"/>
      <c r="AX63" s="229"/>
      <c r="AY63" s="181"/>
      <c r="AZ63" s="23"/>
      <c r="BA63" s="230"/>
      <c r="BB63" s="230"/>
      <c r="BC63" s="23"/>
      <c r="BD63" s="23"/>
      <c r="BE63" s="23"/>
      <c r="BF63" s="23"/>
      <c r="BG63" s="23"/>
      <c r="BH63" s="23"/>
      <c r="BI63" s="23"/>
      <c r="BJ63" s="46"/>
      <c r="BK63" s="23"/>
      <c r="BL63" s="23"/>
      <c r="BM63" s="23"/>
    </row>
    <row r="64" spans="1:65" ht="17.25" customHeight="1" x14ac:dyDescent="0.25">
      <c r="A64" s="785"/>
      <c r="B64" s="180"/>
      <c r="C64" s="153"/>
      <c r="D64" s="790"/>
      <c r="E64" s="770"/>
      <c r="F64" s="770"/>
      <c r="G64" s="770"/>
      <c r="H64" s="770"/>
      <c r="I64" s="790"/>
      <c r="J64" s="153"/>
      <c r="K64" s="153"/>
      <c r="L64" s="23"/>
      <c r="M64" s="33"/>
      <c r="N64" s="33"/>
      <c r="O64" s="153"/>
      <c r="P64" s="799"/>
      <c r="Q64" s="137"/>
      <c r="R64" s="31"/>
      <c r="S64" s="33"/>
      <c r="T64" s="23"/>
      <c r="U64" s="192"/>
      <c r="V64" s="192"/>
      <c r="W64" s="231"/>
      <c r="X64" s="153"/>
      <c r="Y64" s="153"/>
      <c r="Z64" s="153"/>
      <c r="AA64" s="153"/>
      <c r="AB64" s="153"/>
      <c r="AC64" s="157"/>
      <c r="AD64" s="157"/>
      <c r="AE64" s="157"/>
      <c r="AF64" s="153"/>
      <c r="AG64" s="33"/>
      <c r="AH64" s="33"/>
      <c r="AI64" s="1"/>
      <c r="AJ64" s="1"/>
      <c r="AK64" s="1"/>
      <c r="AO64" s="199"/>
      <c r="AP64" s="221">
        <v>6</v>
      </c>
      <c r="AQ64" s="221">
        <v>5</v>
      </c>
      <c r="AR64" s="221">
        <v>4</v>
      </c>
      <c r="AS64" s="220"/>
      <c r="AT64" s="33"/>
      <c r="AU64" s="33"/>
      <c r="AV64" s="33"/>
      <c r="AW64" s="23"/>
      <c r="AX64" s="232"/>
      <c r="AY64" s="181"/>
      <c r="AZ64" s="230"/>
      <c r="BA64" s="230"/>
      <c r="BB64" s="230"/>
      <c r="BC64" s="23"/>
      <c r="BD64" s="23"/>
      <c r="BE64" s="23"/>
      <c r="BF64" s="23"/>
      <c r="BG64" s="23"/>
      <c r="BH64" s="23"/>
      <c r="BI64" s="23"/>
      <c r="BJ64" s="46"/>
      <c r="BK64" s="23"/>
      <c r="BL64" s="23"/>
      <c r="BM64" s="23"/>
    </row>
    <row r="65" spans="1:65" ht="17.25" customHeight="1" x14ac:dyDescent="0.25">
      <c r="A65" s="785"/>
      <c r="B65" s="153"/>
      <c r="C65" s="153"/>
      <c r="D65" s="784"/>
      <c r="E65" s="790"/>
      <c r="F65" s="790"/>
      <c r="G65" s="790"/>
      <c r="H65" s="790"/>
      <c r="I65" s="153"/>
      <c r="J65" s="153"/>
      <c r="K65" s="153"/>
      <c r="L65" s="23"/>
      <c r="M65" s="33"/>
      <c r="N65" s="33"/>
      <c r="O65" s="153"/>
      <c r="P65" s="799"/>
      <c r="Q65" s="137"/>
      <c r="R65" s="31"/>
      <c r="S65" s="81"/>
      <c r="T65" s="23"/>
      <c r="U65" s="192"/>
      <c r="V65" s="192"/>
      <c r="W65" s="157"/>
      <c r="X65" s="157"/>
      <c r="Y65" s="153"/>
      <c r="Z65" s="153"/>
      <c r="AA65" s="153"/>
      <c r="AB65" s="157"/>
      <c r="AC65" s="157"/>
      <c r="AD65" s="157"/>
      <c r="AE65" s="157"/>
      <c r="AF65" s="192"/>
      <c r="AG65" s="23"/>
      <c r="AH65" s="23"/>
      <c r="AI65" s="1"/>
      <c r="AJ65" s="1"/>
      <c r="AK65" s="1"/>
      <c r="AO65" s="233"/>
      <c r="AP65" s="1"/>
      <c r="AQ65" s="33"/>
      <c r="AR65" s="33"/>
      <c r="AS65" s="33"/>
      <c r="AT65" s="33"/>
      <c r="AU65" s="33"/>
      <c r="AV65" s="181"/>
      <c r="AW65" s="181"/>
      <c r="AX65" s="232"/>
      <c r="AY65" s="230"/>
      <c r="AZ65" s="230"/>
      <c r="BA65" s="234"/>
      <c r="BB65" s="230"/>
      <c r="BC65" s="23"/>
      <c r="BD65" s="23"/>
      <c r="BE65" s="23"/>
      <c r="BF65" s="23"/>
      <c r="BG65" s="23"/>
      <c r="BH65" s="23"/>
      <c r="BI65" s="23"/>
      <c r="BJ65" s="46"/>
      <c r="BK65" s="23"/>
      <c r="BL65" s="23"/>
      <c r="BM65" s="23"/>
    </row>
    <row r="66" spans="1:65" ht="17.25" customHeight="1" x14ac:dyDescent="0.25">
      <c r="A66" s="785"/>
      <c r="B66" s="153"/>
      <c r="C66" s="153"/>
      <c r="D66" s="192"/>
      <c r="E66" s="789"/>
      <c r="F66" s="789"/>
      <c r="G66" s="789"/>
      <c r="H66" s="789"/>
      <c r="I66" s="192"/>
      <c r="J66" s="153"/>
      <c r="K66" s="153"/>
      <c r="L66" s="23"/>
      <c r="M66" s="33"/>
      <c r="N66" s="33"/>
      <c r="O66" s="800"/>
      <c r="P66" s="799"/>
      <c r="Q66" s="137"/>
      <c r="R66" s="1"/>
      <c r="S66" s="1"/>
      <c r="T66" s="23"/>
      <c r="U66" s="23"/>
      <c r="V66" s="23"/>
      <c r="W66" s="1"/>
      <c r="X66" s="157"/>
      <c r="Y66" s="192"/>
      <c r="Z66" s="153"/>
      <c r="AA66" s="153"/>
      <c r="AB66" s="153"/>
      <c r="AC66" s="153"/>
      <c r="AD66" s="153"/>
      <c r="AE66" s="153"/>
      <c r="AF66" s="153"/>
      <c r="AG66" s="192"/>
      <c r="AH66" s="865"/>
      <c r="AI66" s="157"/>
      <c r="AJ66" s="157"/>
      <c r="AK66" s="1"/>
      <c r="AL66" s="33"/>
      <c r="AM66" s="237"/>
      <c r="AN66" s="33"/>
      <c r="AO66" s="237"/>
      <c r="AP66" s="238"/>
      <c r="AQ66" s="33"/>
      <c r="AR66" s="33"/>
      <c r="AS66" s="33"/>
      <c r="AT66" s="33"/>
      <c r="AU66" s="33"/>
      <c r="AV66" s="181"/>
      <c r="AW66" s="239"/>
      <c r="AX66" s="181"/>
      <c r="AY66" s="230"/>
      <c r="AZ66" s="230"/>
      <c r="BA66" s="73"/>
      <c r="BB66" s="230"/>
      <c r="BC66" s="23"/>
      <c r="BD66" s="23"/>
      <c r="BE66" s="23"/>
      <c r="BF66" s="23"/>
      <c r="BG66" s="23"/>
      <c r="BH66" s="23"/>
      <c r="BI66" s="23"/>
      <c r="BJ66" s="46"/>
      <c r="BK66" s="23"/>
      <c r="BL66" s="23"/>
      <c r="BM66" s="23"/>
    </row>
    <row r="67" spans="1:65" ht="17.25" customHeight="1" thickBot="1" x14ac:dyDescent="0.3">
      <c r="A67" s="785"/>
      <c r="B67" s="153"/>
      <c r="C67" s="153"/>
      <c r="D67" s="192"/>
      <c r="E67" s="1082"/>
      <c r="F67" s="1082"/>
      <c r="G67" s="1082"/>
      <c r="H67" s="1082"/>
      <c r="I67" s="192"/>
      <c r="J67" s="153"/>
      <c r="K67" s="153"/>
      <c r="L67" s="23"/>
      <c r="M67" s="33"/>
      <c r="N67" s="33"/>
      <c r="O67" s="800"/>
      <c r="P67" s="799"/>
      <c r="Q67" s="1"/>
      <c r="R67" s="1"/>
      <c r="S67" s="1"/>
      <c r="T67" s="1"/>
      <c r="U67" s="23"/>
      <c r="V67" s="23"/>
      <c r="W67" s="1"/>
      <c r="X67" s="157"/>
      <c r="Y67" s="157"/>
      <c r="Z67" s="157"/>
      <c r="AA67" s="157"/>
      <c r="AB67" s="157"/>
      <c r="AC67" s="157"/>
      <c r="AD67" s="157"/>
      <c r="AE67" s="157"/>
      <c r="AF67" s="157"/>
      <c r="AG67" s="153"/>
      <c r="AH67" s="866"/>
      <c r="AI67" s="867"/>
      <c r="AJ67" s="153"/>
      <c r="AK67" s="237"/>
      <c r="AL67" s="233"/>
      <c r="AM67" s="241"/>
      <c r="AN67" s="33"/>
      <c r="AO67" s="33"/>
      <c r="AS67" s="33"/>
      <c r="AT67" s="33"/>
      <c r="AU67" s="33"/>
      <c r="AV67" s="33"/>
      <c r="AW67" s="239"/>
      <c r="AX67" s="23"/>
      <c r="AY67" s="23"/>
      <c r="AZ67" s="23"/>
      <c r="BA67" s="23"/>
      <c r="BB67" s="23"/>
      <c r="BC67" s="23"/>
      <c r="BD67" s="23"/>
      <c r="BE67" s="23"/>
      <c r="BF67" s="23"/>
      <c r="BG67" s="23"/>
      <c r="BH67" s="23"/>
      <c r="BI67" s="23"/>
      <c r="BJ67" s="46"/>
      <c r="BK67" s="23"/>
      <c r="BL67" s="23"/>
      <c r="BM67" s="23"/>
    </row>
    <row r="68" spans="1:65" ht="17.25" customHeight="1" thickBot="1" x14ac:dyDescent="0.3">
      <c r="A68" s="786"/>
      <c r="B68" s="153"/>
      <c r="C68" s="153"/>
      <c r="D68" s="192"/>
      <c r="E68" s="789"/>
      <c r="F68" s="789"/>
      <c r="G68" s="789"/>
      <c r="H68" s="789"/>
      <c r="I68" s="192"/>
      <c r="J68" s="153"/>
      <c r="K68" s="192"/>
      <c r="L68" s="192"/>
      <c r="M68" s="153"/>
      <c r="N68" s="153"/>
      <c r="O68" s="800"/>
      <c r="P68" s="801"/>
      <c r="Q68" s="1"/>
      <c r="R68" s="1"/>
      <c r="S68" s="1"/>
      <c r="T68" s="1"/>
      <c r="U68" s="33"/>
      <c r="V68" s="33"/>
      <c r="W68" s="23"/>
      <c r="X68" s="192"/>
      <c r="Y68" s="192"/>
      <c r="Z68" s="192"/>
      <c r="AA68" s="192"/>
      <c r="AB68" s="153"/>
      <c r="AC68" s="153"/>
      <c r="AD68" s="153"/>
      <c r="AE68" s="153"/>
      <c r="AF68" s="153"/>
      <c r="AG68" s="153"/>
      <c r="AH68" s="866"/>
      <c r="AI68" s="157"/>
      <c r="AJ68" s="867"/>
      <c r="AK68" s="1"/>
      <c r="AL68" s="1"/>
      <c r="AM68" s="33"/>
      <c r="AN68" s="33"/>
      <c r="AO68" s="33"/>
      <c r="AS68" s="33"/>
      <c r="AT68" s="33"/>
      <c r="AU68" s="33"/>
      <c r="AV68" s="33"/>
      <c r="AW68" s="244"/>
      <c r="AX68" s="23"/>
      <c r="AY68" s="23"/>
      <c r="AZ68" s="23"/>
      <c r="BA68" s="23"/>
      <c r="BB68" s="23"/>
      <c r="BC68" s="23"/>
      <c r="BD68" s="23"/>
      <c r="BE68" s="23"/>
      <c r="BF68" s="23"/>
      <c r="BG68" s="23"/>
      <c r="BH68" s="23"/>
      <c r="BI68" s="23"/>
      <c r="BJ68" s="46"/>
      <c r="BK68" s="23"/>
      <c r="BL68" s="23"/>
      <c r="BM68" s="23"/>
    </row>
    <row r="69" spans="1:65" ht="17.25" customHeight="1" thickBot="1" x14ac:dyDescent="0.3">
      <c r="A69" s="781"/>
      <c r="B69" s="774"/>
      <c r="C69" s="153"/>
      <c r="D69" s="774"/>
      <c r="E69" s="790"/>
      <c r="F69" s="790"/>
      <c r="G69" s="790"/>
      <c r="H69" s="790"/>
      <c r="I69" s="791"/>
      <c r="J69" s="153"/>
      <c r="K69" s="192"/>
      <c r="L69" s="192"/>
      <c r="M69" s="192"/>
      <c r="N69" s="153"/>
      <c r="O69" s="800"/>
      <c r="P69" s="797"/>
      <c r="Q69" s="1"/>
      <c r="R69" s="1"/>
      <c r="S69" s="1"/>
      <c r="T69" s="1"/>
      <c r="U69" s="245"/>
      <c r="V69" s="245"/>
      <c r="W69" s="245"/>
      <c r="X69" s="868"/>
      <c r="Y69" s="868"/>
      <c r="Z69" s="868"/>
      <c r="AA69" s="868"/>
      <c r="AB69" s="868"/>
      <c r="AC69" s="868"/>
      <c r="AD69" s="868"/>
      <c r="AE69" s="868"/>
      <c r="AF69" s="153"/>
      <c r="AG69" s="153"/>
      <c r="AH69" s="157"/>
      <c r="AI69" s="157"/>
      <c r="AJ69" s="869"/>
      <c r="AK69" s="246"/>
      <c r="AL69" s="246"/>
      <c r="AM69" s="246"/>
      <c r="AN69" s="246"/>
      <c r="AO69" s="247"/>
      <c r="AP69" s="247"/>
      <c r="AQ69" s="248" t="s">
        <v>204</v>
      </c>
      <c r="AR69" s="247"/>
      <c r="AS69" s="247"/>
      <c r="AT69" s="247"/>
      <c r="AU69" s="247"/>
      <c r="AV69" s="247"/>
      <c r="AW69" s="249"/>
      <c r="AX69" s="31"/>
      <c r="AY69" s="31"/>
      <c r="AZ69" s="31"/>
      <c r="BA69" s="31"/>
      <c r="BB69" s="31"/>
      <c r="BC69" s="23"/>
      <c r="BD69" s="23"/>
      <c r="BE69" s="23"/>
      <c r="BF69" s="23"/>
      <c r="BG69" s="23"/>
      <c r="BH69" s="23"/>
      <c r="BI69" s="23"/>
      <c r="BJ69" s="46"/>
      <c r="BK69" s="23"/>
      <c r="BL69" s="23"/>
      <c r="BM69" s="23"/>
    </row>
    <row r="70" spans="1:65" ht="17.25" customHeight="1" x14ac:dyDescent="0.25">
      <c r="A70" s="770"/>
      <c r="B70" s="781"/>
      <c r="C70" s="783"/>
      <c r="D70" s="790"/>
      <c r="E70" s="770"/>
      <c r="F70" s="770"/>
      <c r="G70" s="770"/>
      <c r="H70" s="770"/>
      <c r="I70" s="790"/>
      <c r="J70" s="153"/>
      <c r="K70" s="766"/>
      <c r="L70" s="785"/>
      <c r="M70" s="785"/>
      <c r="N70" s="153"/>
      <c r="O70" s="800"/>
      <c r="P70" s="797"/>
      <c r="Q70" s="1"/>
      <c r="R70" s="1"/>
      <c r="S70" s="1"/>
      <c r="T70" s="1"/>
      <c r="U70" s="250"/>
      <c r="V70" s="177"/>
      <c r="W70" s="251"/>
      <c r="X70" s="870"/>
      <c r="Y70" s="870"/>
      <c r="Z70" s="870"/>
      <c r="AA70" s="870"/>
      <c r="AB70" s="870"/>
      <c r="AC70" s="1083"/>
      <c r="AD70" s="1084"/>
      <c r="AE70" s="870"/>
      <c r="AF70" s="1089"/>
      <c r="AG70" s="1090"/>
      <c r="AH70" s="1090"/>
      <c r="AI70" s="1091"/>
      <c r="AJ70" s="157"/>
      <c r="AK70" s="1"/>
      <c r="AL70" s="1"/>
      <c r="AM70" s="1"/>
      <c r="AN70" s="1"/>
      <c r="AO70" s="33"/>
      <c r="AP70" s="1"/>
      <c r="AQ70" s="1"/>
      <c r="AR70" s="1"/>
      <c r="AS70" s="1"/>
      <c r="AT70" s="31"/>
      <c r="AU70" s="31"/>
      <c r="AV70" s="31"/>
      <c r="AW70" s="31"/>
      <c r="AX70" s="31"/>
      <c r="AY70" s="31"/>
      <c r="AZ70" s="31"/>
      <c r="BA70" s="31"/>
      <c r="BB70" s="31"/>
      <c r="BC70" s="23"/>
      <c r="BD70" s="23"/>
      <c r="BE70" s="23"/>
      <c r="BF70" s="23"/>
      <c r="BG70" s="23"/>
      <c r="BH70" s="23"/>
      <c r="BI70" s="23"/>
      <c r="BJ70" s="46"/>
      <c r="BK70" s="23"/>
      <c r="BL70" s="23"/>
      <c r="BM70" s="23"/>
    </row>
    <row r="71" spans="1:65" ht="17.25" customHeight="1" x14ac:dyDescent="0.25">
      <c r="A71" s="770"/>
      <c r="B71" s="781"/>
      <c r="C71" s="772"/>
      <c r="D71" s="790"/>
      <c r="E71" s="770"/>
      <c r="F71" s="770"/>
      <c r="G71" s="770"/>
      <c r="H71" s="770"/>
      <c r="I71" s="790"/>
      <c r="J71" s="153"/>
      <c r="K71" s="766"/>
      <c r="L71" s="785"/>
      <c r="M71" s="785"/>
      <c r="N71" s="792"/>
      <c r="O71" s="800"/>
      <c r="P71" s="802"/>
      <c r="Q71" s="1"/>
      <c r="R71" s="1"/>
      <c r="S71" s="1"/>
      <c r="T71" s="1"/>
      <c r="U71" s="1"/>
      <c r="V71" s="251"/>
      <c r="W71" s="251"/>
      <c r="X71" s="871"/>
      <c r="Y71" s="872"/>
      <c r="Z71" s="872"/>
      <c r="AA71" s="872"/>
      <c r="AB71" s="872"/>
      <c r="AC71" s="1085"/>
      <c r="AD71" s="1086"/>
      <c r="AE71" s="873"/>
      <c r="AF71" s="1092"/>
      <c r="AG71" s="1093"/>
      <c r="AH71" s="1093"/>
      <c r="AI71" s="1094"/>
      <c r="AJ71" s="157"/>
      <c r="AK71" s="1"/>
      <c r="AL71" s="1"/>
      <c r="AM71" s="194"/>
      <c r="AN71" s="31"/>
      <c r="AO71" s="1"/>
      <c r="AP71" s="1"/>
      <c r="AQ71" s="1"/>
      <c r="AR71" s="1"/>
      <c r="AS71" s="1"/>
      <c r="AT71" s="1"/>
      <c r="AU71" s="1"/>
      <c r="AV71" s="1"/>
      <c r="AW71" s="1"/>
      <c r="AX71" s="23"/>
      <c r="AY71" s="23"/>
      <c r="AZ71" s="23"/>
      <c r="BA71" s="23"/>
      <c r="BB71" s="23"/>
      <c r="BC71" s="23"/>
      <c r="BD71" s="23"/>
      <c r="BE71" s="23"/>
      <c r="BF71" s="23"/>
      <c r="BG71" s="23"/>
      <c r="BH71" s="23"/>
      <c r="BI71" s="23"/>
      <c r="BJ71" s="46"/>
      <c r="BK71" s="23"/>
      <c r="BL71" s="23"/>
      <c r="BM71" s="23"/>
    </row>
    <row r="72" spans="1:65" ht="17.25" customHeight="1" x14ac:dyDescent="0.25">
      <c r="A72" s="770"/>
      <c r="B72" s="781"/>
      <c r="C72" s="772"/>
      <c r="D72" s="784"/>
      <c r="E72" s="790"/>
      <c r="F72" s="790"/>
      <c r="G72" s="790"/>
      <c r="H72" s="790"/>
      <c r="I72" s="153"/>
      <c r="J72" s="153"/>
      <c r="K72" s="784"/>
      <c r="L72" s="192"/>
      <c r="M72" s="192"/>
      <c r="N72" s="792"/>
      <c r="O72" s="192"/>
      <c r="P72" s="803"/>
      <c r="Q72" s="258"/>
      <c r="R72" s="258"/>
      <c r="S72" s="1"/>
      <c r="T72" s="1"/>
      <c r="U72" s="1"/>
      <c r="V72" s="251"/>
      <c r="W72" s="251"/>
      <c r="X72" s="870"/>
      <c r="Y72" s="870"/>
      <c r="Z72" s="870"/>
      <c r="AA72" s="870"/>
      <c r="AB72" s="870"/>
      <c r="AC72" s="1085"/>
      <c r="AD72" s="1086"/>
      <c r="AE72" s="870"/>
      <c r="AF72" s="1092"/>
      <c r="AG72" s="1093"/>
      <c r="AH72" s="1093"/>
      <c r="AI72" s="1094"/>
      <c r="AJ72" s="157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23"/>
      <c r="AY72" s="23"/>
      <c r="AZ72" s="23"/>
      <c r="BA72" s="23"/>
      <c r="BB72" s="23"/>
      <c r="BC72" s="23"/>
      <c r="BD72" s="23"/>
      <c r="BE72" s="23"/>
      <c r="BF72" s="23"/>
      <c r="BG72" s="23"/>
      <c r="BH72" s="23"/>
      <c r="BI72" s="23"/>
      <c r="BJ72" s="46"/>
      <c r="BK72" s="23"/>
      <c r="BL72" s="23"/>
      <c r="BM72" s="23"/>
    </row>
    <row r="73" spans="1:65" ht="17.25" customHeight="1" thickBot="1" x14ac:dyDescent="0.3">
      <c r="A73" s="770"/>
      <c r="B73" s="781"/>
      <c r="C73" s="772"/>
      <c r="D73" s="153"/>
      <c r="E73" s="1082"/>
      <c r="F73" s="1082"/>
      <c r="G73" s="1082"/>
      <c r="H73" s="1082"/>
      <c r="I73" s="153"/>
      <c r="J73" s="153"/>
      <c r="K73" s="192"/>
      <c r="L73" s="192"/>
      <c r="M73" s="192"/>
      <c r="N73" s="792"/>
      <c r="O73" s="259"/>
      <c r="P73" s="260"/>
      <c r="Q73" s="259"/>
      <c r="R73" s="258"/>
      <c r="S73" s="33"/>
      <c r="T73" s="261"/>
      <c r="U73" s="259"/>
      <c r="V73" s="259"/>
      <c r="W73" s="259"/>
      <c r="X73" s="874"/>
      <c r="Y73" s="874"/>
      <c r="Z73" s="874"/>
      <c r="AA73" s="874"/>
      <c r="AB73" s="874"/>
      <c r="AC73" s="1087"/>
      <c r="AD73" s="1088"/>
      <c r="AE73" s="874"/>
      <c r="AF73" s="1095"/>
      <c r="AG73" s="1096"/>
      <c r="AH73" s="1096"/>
      <c r="AI73" s="1097"/>
      <c r="AJ73" s="869"/>
      <c r="AK73" s="246"/>
      <c r="AL73" s="246"/>
      <c r="AM73" s="246"/>
      <c r="AN73" s="246"/>
      <c r="AO73" s="246"/>
      <c r="AP73" s="246"/>
      <c r="AQ73" s="246"/>
      <c r="AR73" s="246"/>
      <c r="AS73" s="246"/>
      <c r="AT73" s="246"/>
      <c r="AU73" s="246"/>
      <c r="AV73" s="246"/>
      <c r="AW73" s="246"/>
      <c r="AX73" s="133"/>
      <c r="AY73" s="133"/>
      <c r="AZ73" s="133"/>
      <c r="BA73" s="133"/>
      <c r="BB73" s="133"/>
      <c r="BC73" s="133"/>
      <c r="BD73" s="133"/>
      <c r="BE73" s="133"/>
      <c r="BF73" s="133"/>
      <c r="BG73" s="133"/>
      <c r="BH73" s="133"/>
      <c r="BI73" s="133"/>
      <c r="BJ73" s="46"/>
      <c r="BK73" s="23"/>
      <c r="BL73" s="23"/>
      <c r="BM73" s="23"/>
    </row>
    <row r="74" spans="1:65" ht="17.25" customHeight="1" x14ac:dyDescent="0.25">
      <c r="A74" s="781"/>
      <c r="B74" s="784"/>
      <c r="C74" s="153"/>
      <c r="D74" s="153"/>
      <c r="E74" s="789"/>
      <c r="F74" s="789"/>
      <c r="G74" s="789"/>
      <c r="H74" s="789"/>
      <c r="I74" s="792"/>
      <c r="J74" s="153"/>
      <c r="K74" s="792"/>
      <c r="L74" s="792"/>
      <c r="M74" s="153"/>
      <c r="N74" s="153"/>
      <c r="O74" s="263"/>
      <c r="P74" s="210"/>
      <c r="Q74" s="210"/>
      <c r="R74" s="264"/>
      <c r="S74" s="264"/>
      <c r="T74" s="31"/>
      <c r="U74" s="31"/>
      <c r="V74" s="31"/>
      <c r="W74" s="31"/>
      <c r="X74" s="180"/>
      <c r="Y74" s="180"/>
      <c r="Z74" s="180"/>
      <c r="AA74" s="180"/>
      <c r="AB74" s="180"/>
      <c r="AC74" s="180"/>
      <c r="AD74" s="180"/>
      <c r="AE74" s="180"/>
      <c r="AF74" s="180"/>
      <c r="AG74" s="180"/>
      <c r="AH74" s="180"/>
      <c r="AI74" s="180"/>
      <c r="AJ74" s="192"/>
      <c r="AK74" s="23"/>
      <c r="AL74" s="23"/>
      <c r="AM74" s="23"/>
      <c r="AN74" s="23"/>
      <c r="AO74" s="23"/>
      <c r="AP74" s="23"/>
      <c r="AQ74" s="23"/>
      <c r="AR74" s="23"/>
      <c r="AS74" s="23"/>
      <c r="AT74" s="23"/>
      <c r="AU74" s="23"/>
      <c r="AV74" s="23"/>
      <c r="AW74" s="23"/>
      <c r="AX74" s="23"/>
      <c r="AY74" s="23"/>
      <c r="AZ74" s="23"/>
      <c r="BA74" s="31"/>
      <c r="BB74" s="31"/>
      <c r="BC74" s="31"/>
      <c r="BD74" s="31"/>
      <c r="BE74" s="23"/>
      <c r="BF74" s="23"/>
      <c r="BG74" s="23"/>
      <c r="BH74" s="23"/>
      <c r="BI74" s="23"/>
      <c r="BJ74" s="23"/>
      <c r="BK74" s="23"/>
      <c r="BL74" s="23"/>
      <c r="BM74" s="23"/>
    </row>
    <row r="75" spans="1:65" ht="17.25" customHeight="1" x14ac:dyDescent="0.25">
      <c r="A75" s="1098"/>
      <c r="B75" s="1099"/>
      <c r="C75" s="153"/>
      <c r="D75" s="153"/>
      <c r="E75" s="153"/>
      <c r="F75" s="153"/>
      <c r="G75" s="153"/>
      <c r="H75" s="153"/>
      <c r="I75" s="792"/>
      <c r="J75" s="153"/>
      <c r="K75" s="792"/>
      <c r="L75" s="153"/>
      <c r="M75" s="153"/>
      <c r="N75" s="153"/>
      <c r="O75" s="263"/>
      <c r="P75" s="265"/>
      <c r="Q75" s="265"/>
      <c r="R75" s="265"/>
      <c r="S75" s="265"/>
      <c r="T75" s="31"/>
      <c r="U75" s="31"/>
      <c r="V75" s="31"/>
      <c r="W75" s="31"/>
      <c r="X75" s="31"/>
      <c r="Y75" s="31"/>
      <c r="Z75" s="31"/>
      <c r="AA75" s="31"/>
      <c r="AB75" s="31"/>
      <c r="AC75" s="31"/>
      <c r="AD75" s="31"/>
      <c r="AE75" s="31"/>
      <c r="AF75" s="31"/>
      <c r="AG75" s="31"/>
      <c r="AH75" s="31"/>
      <c r="AI75" s="31"/>
      <c r="AJ75" s="31"/>
      <c r="AK75" s="31"/>
      <c r="AL75" s="31"/>
      <c r="AM75" s="31"/>
      <c r="AN75" s="266"/>
      <c r="AO75" s="266"/>
      <c r="AP75" s="266"/>
      <c r="AQ75" s="266"/>
      <c r="AR75" s="266"/>
      <c r="AS75" s="266"/>
      <c r="AT75" s="266"/>
      <c r="AU75" s="266"/>
      <c r="AV75" s="266"/>
      <c r="AW75" s="266"/>
      <c r="AX75" s="108"/>
      <c r="AY75" s="108"/>
      <c r="AZ75" s="108"/>
      <c r="BA75" s="108"/>
      <c r="BB75" s="108"/>
      <c r="BC75" s="108"/>
      <c r="BD75" s="108"/>
      <c r="BE75" s="108"/>
      <c r="BF75" s="108"/>
      <c r="BG75" s="108"/>
      <c r="BH75" s="108"/>
      <c r="BI75" s="108"/>
      <c r="BJ75" s="108"/>
      <c r="BK75" s="108"/>
      <c r="BL75" s="108"/>
      <c r="BM75" s="108"/>
    </row>
    <row r="76" spans="1:65" ht="17.25" customHeight="1" x14ac:dyDescent="0.25">
      <c r="A76" s="785"/>
      <c r="B76" s="787"/>
      <c r="C76" s="153"/>
      <c r="D76" s="153"/>
      <c r="E76" s="153"/>
      <c r="F76" s="153"/>
      <c r="G76" s="153"/>
      <c r="H76" s="153"/>
      <c r="I76" s="1100"/>
      <c r="J76" s="1100"/>
      <c r="K76" s="1100"/>
      <c r="L76" s="153"/>
      <c r="M76" s="153"/>
      <c r="N76" s="766"/>
      <c r="O76" s="26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  <c r="AA76" s="33"/>
      <c r="AB76" s="33"/>
      <c r="AC76" s="33"/>
      <c r="AD76" s="33"/>
      <c r="AE76" s="33"/>
      <c r="AF76" s="33"/>
      <c r="AG76" s="33"/>
      <c r="AH76" s="33"/>
      <c r="AI76" s="33"/>
      <c r="AJ76" s="33"/>
      <c r="AK76" s="33"/>
      <c r="AL76" s="33"/>
      <c r="AM76" s="33"/>
      <c r="AN76" s="33"/>
      <c r="AO76" s="33"/>
      <c r="AP76" s="33"/>
      <c r="AQ76" s="33"/>
      <c r="AR76" s="33"/>
      <c r="AS76" s="33"/>
      <c r="AT76" s="33"/>
      <c r="AU76" s="33"/>
      <c r="AV76" s="33"/>
      <c r="AW76" s="33"/>
      <c r="AX76" s="33"/>
      <c r="AY76" s="33"/>
      <c r="AZ76" s="33"/>
      <c r="BA76" s="33"/>
      <c r="BB76" s="33"/>
      <c r="BC76" s="33"/>
      <c r="BD76" s="33"/>
      <c r="BE76" s="33"/>
      <c r="BF76" s="33"/>
      <c r="BG76" s="33"/>
      <c r="BH76" s="33"/>
      <c r="BI76" s="33"/>
      <c r="BJ76" s="33"/>
      <c r="BK76" s="33"/>
      <c r="BL76" s="33"/>
      <c r="BM76" s="33"/>
    </row>
    <row r="77" spans="1:65" ht="17.25" customHeight="1" x14ac:dyDescent="0.25">
      <c r="A77" s="785"/>
      <c r="B77" s="788"/>
      <c r="C77" s="788"/>
      <c r="D77" s="153"/>
      <c r="E77" s="793"/>
      <c r="F77" s="793"/>
      <c r="G77" s="793"/>
      <c r="H77" s="192"/>
      <c r="I77" s="794"/>
      <c r="J77" s="794"/>
      <c r="K77" s="794"/>
      <c r="L77" s="153"/>
      <c r="M77" s="153"/>
      <c r="N77" s="766"/>
      <c r="O77" s="26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  <c r="AA77" s="33"/>
      <c r="AB77" s="33"/>
      <c r="AC77" s="33"/>
      <c r="AD77" s="33"/>
      <c r="AE77" s="33"/>
      <c r="AF77" s="33"/>
      <c r="AG77" s="33"/>
      <c r="AH77" s="33"/>
      <c r="AI77" s="33"/>
      <c r="AJ77" s="33"/>
      <c r="AK77" s="33"/>
      <c r="AL77" s="33"/>
      <c r="AM77" s="33"/>
      <c r="AN77" s="33"/>
      <c r="AO77" s="33"/>
      <c r="AP77" s="33"/>
      <c r="AQ77" s="33"/>
      <c r="AR77" s="33"/>
      <c r="AS77" s="33"/>
      <c r="AT77" s="33"/>
      <c r="AU77" s="33"/>
      <c r="AV77" s="33"/>
      <c r="AW77" s="33"/>
      <c r="AX77" s="33"/>
      <c r="AY77" s="33"/>
      <c r="AZ77" s="33"/>
      <c r="BA77" s="33"/>
      <c r="BB77" s="33"/>
      <c r="BC77" s="33"/>
      <c r="BD77" s="33"/>
      <c r="BE77" s="33"/>
      <c r="BF77" s="33"/>
      <c r="BG77" s="33"/>
      <c r="BH77" s="33"/>
      <c r="BI77" s="33"/>
      <c r="BJ77" s="33"/>
      <c r="BK77" s="33"/>
      <c r="BL77" s="33"/>
      <c r="BM77" s="33"/>
    </row>
    <row r="78" spans="1:65" ht="17.25" customHeight="1" x14ac:dyDescent="0.25">
      <c r="A78" s="785"/>
      <c r="B78" s="153"/>
      <c r="C78" s="153"/>
      <c r="D78" s="153"/>
      <c r="E78" s="793"/>
      <c r="F78" s="793"/>
      <c r="G78" s="793"/>
      <c r="H78" s="192"/>
      <c r="I78" s="794"/>
      <c r="J78" s="794"/>
      <c r="K78" s="794"/>
      <c r="L78" s="153"/>
      <c r="M78" s="153"/>
      <c r="N78" s="766"/>
      <c r="O78" s="26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  <c r="AA78" s="33"/>
      <c r="AB78" s="33"/>
      <c r="AC78" s="33"/>
      <c r="AD78" s="33"/>
      <c r="AE78" s="33"/>
      <c r="AF78" s="33"/>
      <c r="AG78" s="33"/>
      <c r="AH78" s="33"/>
      <c r="AI78" s="33"/>
      <c r="AJ78" s="33"/>
      <c r="AK78" s="33"/>
      <c r="AL78" s="33"/>
      <c r="AM78" s="33"/>
      <c r="AN78" s="33"/>
      <c r="AO78" s="33"/>
      <c r="AP78" s="33"/>
      <c r="AQ78" s="33"/>
      <c r="AR78" s="33"/>
      <c r="AS78" s="33"/>
      <c r="AT78" s="33"/>
      <c r="AU78" s="33"/>
      <c r="AV78" s="33"/>
      <c r="AW78" s="33"/>
      <c r="AX78" s="33"/>
      <c r="AY78" s="33"/>
      <c r="AZ78" s="33"/>
      <c r="BA78" s="33"/>
      <c r="BB78" s="33"/>
      <c r="BC78" s="33"/>
      <c r="BD78" s="33"/>
      <c r="BE78" s="33"/>
      <c r="BF78" s="33"/>
      <c r="BG78" s="33"/>
      <c r="BH78" s="33"/>
      <c r="BI78" s="33"/>
      <c r="BJ78" s="33"/>
      <c r="BK78" s="33"/>
      <c r="BL78" s="33"/>
      <c r="BM78" s="33"/>
    </row>
    <row r="79" spans="1:65" ht="17.25" customHeight="1" x14ac:dyDescent="0.25">
      <c r="A79" s="784"/>
      <c r="B79" s="33"/>
      <c r="C79" s="33"/>
      <c r="D79" s="153"/>
      <c r="E79" s="784"/>
      <c r="F79" s="153"/>
      <c r="G79" s="153"/>
      <c r="H79" s="153"/>
      <c r="I79" s="153"/>
      <c r="J79" s="153"/>
      <c r="K79" s="784"/>
      <c r="L79" s="153"/>
      <c r="M79" s="153"/>
      <c r="N79" s="766"/>
      <c r="O79" s="26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  <c r="AA79" s="33"/>
      <c r="AB79" s="33"/>
      <c r="AC79" s="33"/>
      <c r="AD79" s="33"/>
      <c r="AE79" s="33"/>
      <c r="AF79" s="33"/>
      <c r="AG79" s="33"/>
      <c r="AH79" s="33"/>
      <c r="AI79" s="33"/>
      <c r="AJ79" s="33"/>
      <c r="AK79" s="33"/>
      <c r="AL79" s="33"/>
      <c r="AM79" s="33"/>
      <c r="AN79" s="33"/>
      <c r="AO79" s="33"/>
      <c r="AP79" s="33"/>
      <c r="AQ79" s="33"/>
      <c r="AR79" s="33"/>
      <c r="AS79" s="33"/>
      <c r="AT79" s="33"/>
      <c r="AU79" s="33"/>
      <c r="AV79" s="33"/>
      <c r="AW79" s="33"/>
      <c r="AX79" s="33"/>
      <c r="AY79" s="33"/>
      <c r="AZ79" s="33"/>
      <c r="BA79" s="33"/>
      <c r="BB79" s="33"/>
      <c r="BC79" s="33"/>
      <c r="BD79" s="33"/>
      <c r="BE79" s="33"/>
      <c r="BF79" s="33"/>
      <c r="BG79" s="33"/>
      <c r="BH79" s="33"/>
      <c r="BI79" s="33"/>
      <c r="BJ79" s="33"/>
      <c r="BK79" s="33"/>
      <c r="BL79" s="33"/>
      <c r="BM79" s="33"/>
    </row>
    <row r="80" spans="1:65" ht="17.25" customHeight="1" x14ac:dyDescent="0.25">
      <c r="A80" s="33"/>
      <c r="B80" s="33"/>
      <c r="C80" s="33"/>
      <c r="D80" s="33"/>
      <c r="E80" s="33"/>
      <c r="F80" s="33"/>
      <c r="G80" s="33"/>
      <c r="H80" s="33"/>
      <c r="I80" s="33"/>
      <c r="J80" s="33"/>
      <c r="K80" s="23"/>
      <c r="L80" s="33"/>
      <c r="M80" s="33"/>
      <c r="N80" s="33"/>
      <c r="O80" s="26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  <c r="AA80" s="33"/>
      <c r="AB80" s="33"/>
      <c r="AC80" s="33"/>
      <c r="AD80" s="33"/>
      <c r="AE80" s="33"/>
      <c r="AF80" s="33"/>
      <c r="AG80" s="33"/>
      <c r="AH80" s="33"/>
      <c r="AI80" s="33"/>
      <c r="AJ80" s="33"/>
      <c r="AK80" s="33"/>
      <c r="AL80" s="33"/>
      <c r="AM80" s="33"/>
      <c r="AN80" s="33"/>
      <c r="AO80" s="33"/>
      <c r="AP80" s="33"/>
      <c r="AQ80" s="33"/>
      <c r="AR80" s="33"/>
      <c r="AS80" s="33"/>
      <c r="AT80" s="33"/>
      <c r="AU80" s="33"/>
      <c r="AV80" s="33"/>
      <c r="AW80" s="33"/>
      <c r="AX80" s="33"/>
      <c r="AY80" s="33"/>
      <c r="AZ80" s="33"/>
      <c r="BA80" s="33"/>
      <c r="BB80" s="33"/>
      <c r="BC80" s="33"/>
      <c r="BD80" s="33"/>
      <c r="BE80" s="33"/>
      <c r="BF80" s="33"/>
      <c r="BG80" s="33"/>
      <c r="BH80" s="33"/>
      <c r="BI80" s="33"/>
      <c r="BJ80" s="33"/>
      <c r="BK80" s="33"/>
      <c r="BL80" s="33"/>
      <c r="BM80" s="33"/>
    </row>
    <row r="81" spans="1:79" ht="17.25" customHeight="1" thickBot="1" x14ac:dyDescent="0.3">
      <c r="A81" s="28"/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134"/>
      <c r="O81" s="26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  <c r="AA81" s="33"/>
      <c r="AB81" s="33"/>
      <c r="AC81" s="33"/>
      <c r="AD81" s="33"/>
      <c r="AE81" s="33"/>
      <c r="AF81" s="33"/>
      <c r="AG81" s="33"/>
      <c r="AH81" s="33"/>
      <c r="AI81" s="33"/>
      <c r="AJ81" s="33"/>
      <c r="AK81" s="33"/>
      <c r="AL81" s="33"/>
      <c r="AM81" s="33"/>
      <c r="AN81" s="33"/>
      <c r="AO81" s="33"/>
      <c r="AP81" s="33"/>
      <c r="AQ81" s="33"/>
      <c r="AR81" s="33"/>
      <c r="AS81" s="33"/>
      <c r="AT81" s="33"/>
      <c r="AU81" s="33"/>
      <c r="AV81" s="33"/>
      <c r="AW81" s="33"/>
      <c r="AX81" s="33"/>
      <c r="AY81" s="33"/>
      <c r="AZ81" s="33"/>
      <c r="BA81" s="33"/>
      <c r="BB81" s="33"/>
      <c r="BC81" s="33"/>
      <c r="BD81" s="33"/>
      <c r="BE81" s="33"/>
      <c r="BF81" s="33"/>
      <c r="BG81" s="33"/>
      <c r="BH81" s="33"/>
      <c r="BI81" s="33"/>
      <c r="BJ81" s="33"/>
      <c r="BK81" s="33"/>
      <c r="BL81" s="33"/>
      <c r="BM81" s="33"/>
    </row>
    <row r="82" spans="1:79" ht="17.25" customHeight="1" x14ac:dyDescent="0.25">
      <c r="A82" s="33"/>
      <c r="B82" s="33"/>
      <c r="C82" s="33"/>
      <c r="D82" s="33"/>
      <c r="E82" s="33"/>
      <c r="F82" s="33"/>
      <c r="G82" s="33"/>
      <c r="H82" s="33"/>
      <c r="I82" s="33"/>
      <c r="J82" s="33"/>
      <c r="K82" s="33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  <c r="AA82" s="33"/>
      <c r="AB82" s="33"/>
      <c r="AC82" s="33"/>
      <c r="AD82" s="33"/>
      <c r="AE82" s="33"/>
      <c r="AF82" s="33"/>
      <c r="AG82" s="33"/>
      <c r="AH82" s="33"/>
      <c r="AI82" s="33"/>
      <c r="AJ82" s="33"/>
      <c r="AK82" s="33"/>
      <c r="AL82" s="33"/>
      <c r="AM82" s="33"/>
      <c r="AN82" s="33"/>
      <c r="AO82" s="33"/>
      <c r="AP82" s="33"/>
      <c r="AQ82" s="33"/>
      <c r="AR82" s="33"/>
      <c r="AS82" s="33"/>
      <c r="AT82" s="33"/>
      <c r="AU82" s="33"/>
      <c r="AV82" s="33"/>
      <c r="AW82" s="33"/>
      <c r="AX82" s="33"/>
      <c r="AY82" s="33"/>
      <c r="AZ82" s="33"/>
      <c r="BA82" s="33"/>
      <c r="BB82" s="33"/>
      <c r="BC82" s="33"/>
      <c r="BD82" s="33"/>
      <c r="BE82" s="33"/>
      <c r="BF82" s="33"/>
      <c r="BG82" s="33"/>
      <c r="BH82" s="33"/>
      <c r="BI82" s="33"/>
      <c r="BJ82" s="33"/>
      <c r="BK82" s="33"/>
      <c r="BL82" s="33"/>
      <c r="BM82" s="33"/>
    </row>
    <row r="83" spans="1:79" ht="17.25" customHeight="1" x14ac:dyDescent="0.25">
      <c r="A83" s="33"/>
      <c r="B83" s="33"/>
      <c r="C83" s="33"/>
      <c r="D83" s="33"/>
      <c r="E83" s="33"/>
      <c r="F83" s="33"/>
      <c r="G83" s="33"/>
      <c r="H83" s="33"/>
      <c r="I83" s="33"/>
      <c r="J83" s="33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  <c r="AA83" s="33"/>
      <c r="AB83" s="33"/>
      <c r="AC83" s="33"/>
      <c r="AD83" s="33"/>
      <c r="AE83" s="33"/>
      <c r="AF83" s="33"/>
      <c r="AG83" s="33"/>
      <c r="AH83" s="33"/>
      <c r="AI83" s="33"/>
      <c r="AJ83" s="33"/>
      <c r="AK83" s="33"/>
      <c r="AL83" s="33"/>
      <c r="AM83" s="33"/>
      <c r="AN83" s="33"/>
      <c r="AO83" s="33"/>
      <c r="AP83" s="33"/>
      <c r="AQ83" s="33"/>
      <c r="AR83" s="33"/>
      <c r="AS83" s="33"/>
      <c r="AT83" s="33"/>
      <c r="AU83" s="33"/>
      <c r="AV83" s="33"/>
      <c r="AW83" s="33"/>
      <c r="AX83" s="33"/>
      <c r="AY83" s="33"/>
      <c r="AZ83" s="33"/>
      <c r="BA83" s="33"/>
      <c r="BB83" s="33"/>
      <c r="BC83" s="33"/>
      <c r="BD83" s="33"/>
      <c r="BE83" s="33"/>
      <c r="BF83" s="33"/>
      <c r="BG83" s="33"/>
      <c r="BH83" s="33"/>
      <c r="BI83" s="33"/>
      <c r="BJ83" s="33"/>
      <c r="BK83" s="33"/>
      <c r="BL83" s="33"/>
      <c r="BM83" s="33"/>
    </row>
    <row r="84" spans="1:79" ht="17.25" customHeight="1" x14ac:dyDescent="0.25">
      <c r="A84" s="220"/>
      <c r="B84" s="220"/>
      <c r="C84" s="220"/>
      <c r="D84" s="220"/>
      <c r="E84" s="220"/>
      <c r="F84" s="220"/>
      <c r="G84" s="220"/>
      <c r="H84" s="220"/>
      <c r="I84" s="220"/>
      <c r="J84" s="220"/>
      <c r="K84" s="220"/>
      <c r="L84" s="220"/>
      <c r="M84" s="220"/>
      <c r="N84" s="220"/>
      <c r="O84" s="220"/>
      <c r="P84" s="220"/>
      <c r="Q84" s="220"/>
      <c r="R84" s="220"/>
      <c r="S84" s="220"/>
      <c r="T84" s="220"/>
      <c r="U84" s="220"/>
      <c r="V84" s="220"/>
      <c r="W84" s="220"/>
      <c r="X84" s="220"/>
      <c r="Y84" s="220"/>
      <c r="Z84" s="220"/>
      <c r="AA84" s="220"/>
      <c r="AB84" s="220"/>
      <c r="AC84" s="220"/>
      <c r="AD84" s="220"/>
      <c r="AE84" s="220"/>
      <c r="AF84" s="220"/>
      <c r="AG84" s="220"/>
      <c r="AH84" s="220"/>
      <c r="AI84" s="220"/>
      <c r="AJ84" s="220"/>
      <c r="AK84" s="220"/>
      <c r="AL84" s="220"/>
      <c r="AM84" s="220"/>
      <c r="AN84" s="220"/>
      <c r="AO84" s="220"/>
      <c r="AP84" s="220"/>
      <c r="AQ84" s="220"/>
      <c r="AR84" s="220"/>
      <c r="AS84" s="220"/>
      <c r="AT84" s="220"/>
      <c r="AU84" s="220"/>
      <c r="AV84" s="220"/>
      <c r="AW84" s="220"/>
      <c r="AX84" s="220"/>
      <c r="AY84" s="220"/>
      <c r="AZ84" s="220"/>
      <c r="BA84" s="220"/>
      <c r="BB84" s="220"/>
      <c r="BC84" s="220"/>
      <c r="BD84" s="220"/>
      <c r="BE84" s="220"/>
      <c r="BF84" s="220"/>
      <c r="BG84" s="220"/>
      <c r="BH84" s="220"/>
      <c r="BI84" s="220"/>
      <c r="BJ84" s="220"/>
      <c r="BK84" s="220"/>
      <c r="BL84" s="220"/>
      <c r="BM84" s="220"/>
      <c r="BN84" s="220"/>
      <c r="BO84" s="220"/>
      <c r="BP84" s="220"/>
      <c r="BQ84" s="220"/>
      <c r="BR84" s="220"/>
      <c r="BS84" s="220"/>
      <c r="BT84" s="220"/>
      <c r="BU84" s="220"/>
      <c r="BV84" s="220"/>
      <c r="BW84" s="220"/>
      <c r="BX84" s="220"/>
      <c r="BY84" s="220"/>
      <c r="BZ84" s="220"/>
      <c r="CA84" s="220"/>
    </row>
    <row r="85" spans="1:79" ht="17.25" customHeight="1" x14ac:dyDescent="0.25">
      <c r="A85" s="220"/>
      <c r="B85" s="220"/>
      <c r="C85" s="220"/>
      <c r="D85" s="220"/>
      <c r="E85" s="220"/>
      <c r="F85" s="220"/>
      <c r="G85" s="220"/>
      <c r="H85" s="220"/>
      <c r="I85" s="220"/>
      <c r="J85" s="220"/>
      <c r="K85" s="220"/>
      <c r="L85" s="220"/>
      <c r="M85" s="220"/>
      <c r="N85" s="220"/>
      <c r="O85" s="220"/>
      <c r="P85" s="220"/>
      <c r="Q85" s="220"/>
      <c r="R85" s="220"/>
      <c r="S85" s="220"/>
      <c r="T85" s="220"/>
      <c r="U85" s="220"/>
      <c r="V85" s="220"/>
      <c r="W85" s="220"/>
      <c r="X85" s="220"/>
      <c r="Y85" s="220"/>
      <c r="Z85" s="220"/>
      <c r="AA85" s="220"/>
      <c r="AB85" s="220"/>
      <c r="AC85" s="220"/>
      <c r="AD85" s="220"/>
      <c r="AE85" s="220"/>
      <c r="AF85" s="220"/>
      <c r="AG85" s="220"/>
      <c r="AH85" s="220"/>
      <c r="AI85" s="220"/>
      <c r="AJ85" s="220"/>
      <c r="AK85" s="220"/>
      <c r="AL85" s="220"/>
      <c r="AM85" s="220"/>
      <c r="AN85" s="220"/>
      <c r="AO85" s="220"/>
      <c r="AP85" s="220"/>
      <c r="AQ85" s="220"/>
      <c r="AR85" s="220"/>
      <c r="AS85" s="220"/>
      <c r="AT85" s="220"/>
      <c r="AU85" s="220"/>
      <c r="AV85" s="220"/>
      <c r="AW85" s="220"/>
      <c r="AX85" s="220"/>
      <c r="AY85" s="220"/>
      <c r="AZ85" s="220"/>
      <c r="BA85" s="220"/>
      <c r="BB85" s="220"/>
      <c r="BC85" s="220"/>
      <c r="BD85" s="220"/>
      <c r="BE85" s="220"/>
      <c r="BF85" s="220"/>
      <c r="BG85" s="220"/>
      <c r="BH85" s="220"/>
      <c r="BI85" s="220"/>
      <c r="BJ85" s="220"/>
      <c r="BK85" s="220"/>
      <c r="BL85" s="220"/>
      <c r="BM85" s="220"/>
      <c r="BN85" s="220"/>
      <c r="BO85" s="220"/>
      <c r="BP85" s="220"/>
      <c r="BQ85" s="220"/>
      <c r="BR85" s="220"/>
      <c r="BS85" s="220"/>
      <c r="BT85" s="220"/>
      <c r="BU85" s="220"/>
      <c r="BV85" s="220"/>
      <c r="BW85" s="220"/>
      <c r="BX85" s="220"/>
      <c r="BY85" s="220"/>
      <c r="BZ85" s="220"/>
      <c r="CA85" s="220"/>
    </row>
    <row r="86" spans="1:79" ht="17.25" customHeight="1" x14ac:dyDescent="0.25">
      <c r="A86" s="220"/>
      <c r="B86" s="220"/>
      <c r="C86" s="220"/>
      <c r="D86" s="220"/>
      <c r="E86" s="220"/>
      <c r="F86" s="220"/>
      <c r="G86" s="220"/>
      <c r="H86" s="220"/>
      <c r="I86" s="220"/>
      <c r="J86" s="220"/>
      <c r="K86" s="220"/>
      <c r="L86" s="220"/>
      <c r="M86" s="220"/>
      <c r="N86" s="220"/>
      <c r="O86" s="220"/>
      <c r="P86" s="220"/>
      <c r="Q86" s="220"/>
      <c r="R86" s="220"/>
      <c r="S86" s="220"/>
      <c r="T86" s="220"/>
      <c r="U86" s="220"/>
      <c r="V86" s="220"/>
      <c r="W86" s="220"/>
      <c r="X86" s="220"/>
      <c r="Y86" s="220"/>
      <c r="Z86" s="220"/>
      <c r="AA86" s="220"/>
      <c r="AB86" s="220"/>
      <c r="AC86" s="220"/>
      <c r="AD86" s="220"/>
      <c r="AE86" s="220"/>
      <c r="AF86" s="220"/>
      <c r="AG86" s="220"/>
      <c r="AH86" s="220"/>
      <c r="AI86" s="220"/>
      <c r="AJ86" s="220"/>
      <c r="AK86" s="220"/>
      <c r="AL86" s="220"/>
      <c r="AM86" s="220"/>
      <c r="AN86" s="220"/>
      <c r="AO86" s="220"/>
      <c r="AP86" s="220"/>
      <c r="AQ86" s="220"/>
      <c r="AR86" s="220"/>
      <c r="AS86" s="220"/>
      <c r="AT86" s="220"/>
      <c r="AU86" s="220"/>
      <c r="AV86" s="220"/>
      <c r="AW86" s="220"/>
      <c r="AX86" s="220"/>
      <c r="AY86" s="220"/>
      <c r="AZ86" s="220"/>
      <c r="BA86" s="220"/>
      <c r="BB86" s="220"/>
      <c r="BC86" s="220"/>
      <c r="BD86" s="220"/>
      <c r="BE86" s="220"/>
      <c r="BF86" s="220"/>
      <c r="BG86" s="220"/>
      <c r="BH86" s="220"/>
      <c r="BI86" s="220"/>
      <c r="BJ86" s="220"/>
      <c r="BK86" s="220"/>
      <c r="BL86" s="220"/>
      <c r="BM86" s="220"/>
      <c r="BN86" s="220"/>
      <c r="BO86" s="220"/>
      <c r="BP86" s="220"/>
      <c r="BQ86" s="220"/>
      <c r="BR86" s="220"/>
      <c r="BS86" s="220"/>
      <c r="BT86" s="220"/>
      <c r="BU86" s="220"/>
      <c r="BV86" s="220"/>
      <c r="BW86" s="220"/>
      <c r="BX86" s="220"/>
      <c r="BY86" s="220"/>
      <c r="BZ86" s="220"/>
      <c r="CA86" s="220"/>
    </row>
    <row r="87" spans="1:79" ht="17.25" customHeight="1" x14ac:dyDescent="0.25">
      <c r="A87" s="220"/>
      <c r="B87" s="220"/>
      <c r="C87" s="220"/>
      <c r="D87" s="220"/>
      <c r="E87" s="220"/>
      <c r="F87" s="220"/>
      <c r="G87" s="220"/>
      <c r="H87" s="220"/>
      <c r="I87" s="220"/>
      <c r="J87" s="220"/>
      <c r="K87" s="220"/>
      <c r="L87" s="220"/>
      <c r="M87" s="220"/>
      <c r="N87" s="220"/>
      <c r="O87" s="220"/>
      <c r="P87" s="220"/>
      <c r="Q87" s="220"/>
      <c r="R87" s="220"/>
      <c r="S87" s="220"/>
      <c r="T87" s="220"/>
      <c r="U87" s="220"/>
      <c r="V87" s="220"/>
      <c r="W87" s="220"/>
      <c r="X87" s="220"/>
      <c r="Y87" s="220"/>
      <c r="Z87" s="220"/>
      <c r="AA87" s="220"/>
      <c r="AB87" s="220"/>
      <c r="AC87" s="220"/>
      <c r="AD87" s="220"/>
      <c r="AE87" s="220"/>
      <c r="AF87" s="220"/>
      <c r="AG87" s="220"/>
      <c r="AH87" s="220"/>
      <c r="AI87" s="220"/>
      <c r="AJ87" s="220"/>
      <c r="AK87" s="220"/>
      <c r="AL87" s="220"/>
      <c r="AM87" s="220"/>
      <c r="AN87" s="220"/>
      <c r="AO87" s="220"/>
      <c r="AP87" s="220"/>
      <c r="AQ87" s="220"/>
      <c r="AR87" s="220"/>
      <c r="AS87" s="220"/>
      <c r="AT87" s="220"/>
      <c r="AU87" s="220"/>
      <c r="AV87" s="220"/>
      <c r="AW87" s="220"/>
      <c r="AX87" s="220"/>
      <c r="AY87" s="220"/>
      <c r="AZ87" s="220"/>
      <c r="BA87" s="220"/>
      <c r="BB87" s="220"/>
      <c r="BC87" s="220"/>
      <c r="BD87" s="220"/>
      <c r="BE87" s="220"/>
      <c r="BF87" s="220"/>
      <c r="BG87" s="220"/>
      <c r="BH87" s="220"/>
      <c r="BI87" s="220"/>
      <c r="BJ87" s="220"/>
      <c r="BK87" s="220"/>
      <c r="BL87" s="220"/>
      <c r="BM87" s="220"/>
      <c r="BN87" s="220"/>
      <c r="BO87" s="220"/>
      <c r="BP87" s="220"/>
      <c r="BQ87" s="220"/>
      <c r="BR87" s="220"/>
      <c r="BS87" s="220"/>
      <c r="BT87" s="220"/>
      <c r="BU87" s="220"/>
      <c r="BV87" s="220"/>
      <c r="BW87" s="220"/>
      <c r="BX87" s="220"/>
      <c r="BY87" s="220"/>
      <c r="BZ87" s="220"/>
      <c r="CA87" s="220"/>
    </row>
    <row r="88" spans="1:79" ht="17.25" customHeight="1" x14ac:dyDescent="0.25">
      <c r="A88" s="220"/>
      <c r="B88" s="220"/>
      <c r="C88" s="220"/>
      <c r="D88" s="220"/>
      <c r="E88" s="220"/>
      <c r="F88" s="220"/>
      <c r="G88" s="220"/>
      <c r="H88" s="220"/>
      <c r="I88" s="220"/>
      <c r="J88" s="220"/>
      <c r="K88" s="220"/>
      <c r="L88" s="220"/>
      <c r="M88" s="220"/>
      <c r="N88" s="220"/>
      <c r="O88" s="220"/>
      <c r="P88" s="220"/>
      <c r="Q88" s="220"/>
      <c r="R88" s="220"/>
      <c r="S88" s="220"/>
      <c r="T88" s="220"/>
      <c r="U88" s="220"/>
      <c r="V88" s="220"/>
      <c r="W88" s="220"/>
      <c r="X88" s="220"/>
      <c r="Y88" s="220"/>
      <c r="Z88" s="220"/>
      <c r="AA88" s="220"/>
      <c r="AB88" s="220"/>
      <c r="AC88" s="220"/>
      <c r="AD88" s="220"/>
      <c r="AE88" s="220"/>
      <c r="AF88" s="220"/>
      <c r="AG88" s="220"/>
      <c r="AH88" s="220"/>
      <c r="AI88" s="220"/>
      <c r="AJ88" s="220"/>
      <c r="AK88" s="220"/>
      <c r="AL88" s="220"/>
      <c r="AM88" s="220"/>
      <c r="AN88" s="220"/>
      <c r="AO88" s="220"/>
      <c r="AP88" s="220"/>
      <c r="AQ88" s="220"/>
      <c r="AR88" s="220"/>
      <c r="AS88" s="220"/>
      <c r="AT88" s="220"/>
      <c r="AU88" s="220"/>
      <c r="AV88" s="220"/>
      <c r="AW88" s="220"/>
      <c r="AX88" s="220"/>
      <c r="AY88" s="220"/>
      <c r="AZ88" s="220"/>
      <c r="BA88" s="220"/>
      <c r="BB88" s="220"/>
      <c r="BC88" s="220"/>
      <c r="BD88" s="220"/>
      <c r="BE88" s="220"/>
      <c r="BF88" s="220"/>
      <c r="BG88" s="220"/>
      <c r="BH88" s="220"/>
      <c r="BI88" s="220"/>
      <c r="BJ88" s="220"/>
      <c r="BK88" s="220"/>
      <c r="BL88" s="220"/>
      <c r="BM88" s="220"/>
      <c r="BN88" s="220"/>
      <c r="BO88" s="220"/>
      <c r="BP88" s="220"/>
      <c r="BQ88" s="220"/>
      <c r="BR88" s="220"/>
      <c r="BS88" s="220"/>
      <c r="BT88" s="220"/>
      <c r="BU88" s="220"/>
      <c r="BV88" s="220"/>
      <c r="BW88" s="220"/>
      <c r="BX88" s="220"/>
      <c r="BY88" s="220"/>
      <c r="BZ88" s="220"/>
      <c r="CA88" s="220"/>
    </row>
    <row r="89" spans="1:79" ht="17.25" customHeight="1" x14ac:dyDescent="0.25">
      <c r="A89" s="220"/>
      <c r="B89" s="220"/>
      <c r="C89" s="220"/>
      <c r="D89" s="220"/>
      <c r="E89" s="220"/>
      <c r="F89" s="220"/>
      <c r="G89" s="220"/>
      <c r="H89" s="220"/>
      <c r="I89" s="220"/>
      <c r="J89" s="220"/>
      <c r="K89" s="220"/>
      <c r="L89" s="220"/>
      <c r="M89" s="220"/>
      <c r="N89" s="220"/>
      <c r="O89" s="220"/>
      <c r="P89" s="220"/>
      <c r="Q89" s="220"/>
      <c r="R89" s="220"/>
      <c r="S89" s="220"/>
      <c r="T89" s="220"/>
      <c r="U89" s="220"/>
      <c r="V89" s="220"/>
      <c r="W89" s="220"/>
      <c r="X89" s="220"/>
      <c r="Y89" s="220"/>
      <c r="Z89" s="220"/>
      <c r="AA89" s="220"/>
      <c r="AB89" s="220"/>
      <c r="AC89" s="220"/>
      <c r="AD89" s="220"/>
      <c r="AE89" s="220"/>
      <c r="AF89" s="220"/>
      <c r="AG89" s="220"/>
      <c r="AH89" s="220"/>
      <c r="AI89" s="220"/>
      <c r="AJ89" s="220"/>
      <c r="AK89" s="220"/>
      <c r="AL89" s="220"/>
      <c r="AM89" s="220"/>
      <c r="AN89" s="220"/>
      <c r="AO89" s="220"/>
      <c r="AP89" s="220"/>
      <c r="AQ89" s="220"/>
      <c r="AR89" s="220"/>
      <c r="AS89" s="220"/>
      <c r="AT89" s="220"/>
      <c r="AU89" s="220"/>
      <c r="AV89" s="220"/>
      <c r="AW89" s="220"/>
      <c r="AX89" s="220"/>
      <c r="AY89" s="220"/>
      <c r="AZ89" s="220"/>
      <c r="BA89" s="220"/>
      <c r="BB89" s="220"/>
      <c r="BC89" s="220"/>
      <c r="BD89" s="220"/>
      <c r="BE89" s="220"/>
      <c r="BF89" s="220"/>
      <c r="BG89" s="220"/>
      <c r="BH89" s="220"/>
      <c r="BI89" s="220"/>
      <c r="BJ89" s="220"/>
      <c r="BK89" s="220"/>
      <c r="BL89" s="220"/>
      <c r="BM89" s="220"/>
      <c r="BN89" s="220"/>
      <c r="BO89" s="220"/>
      <c r="BP89" s="220"/>
      <c r="BQ89" s="220"/>
      <c r="BR89" s="220"/>
      <c r="BS89" s="220"/>
      <c r="BT89" s="220"/>
      <c r="BU89" s="220"/>
      <c r="BV89" s="220"/>
      <c r="BW89" s="220"/>
      <c r="BX89" s="220"/>
      <c r="BY89" s="220"/>
      <c r="BZ89" s="220"/>
      <c r="CA89" s="220"/>
    </row>
    <row r="94" spans="1:79" ht="17.25" customHeight="1" x14ac:dyDescent="0.25">
      <c r="M94" s="268"/>
    </row>
    <row r="95" spans="1:79" ht="17.25" customHeight="1" x14ac:dyDescent="0.25">
      <c r="M95" s="268"/>
    </row>
    <row r="96" spans="1:79" ht="17.25" customHeight="1" x14ac:dyDescent="0.25">
      <c r="M96" s="268"/>
    </row>
    <row r="101" spans="1:33" ht="17.25" customHeight="1" x14ac:dyDescent="0.25">
      <c r="M101" s="268"/>
    </row>
    <row r="102" spans="1:33" ht="17.25" customHeight="1" x14ac:dyDescent="0.25">
      <c r="M102" s="268"/>
    </row>
    <row r="103" spans="1:33" ht="17.25" customHeight="1" x14ac:dyDescent="0.25">
      <c r="M103" s="268"/>
    </row>
    <row r="108" spans="1:33" ht="17.25" customHeight="1" x14ac:dyDescent="0.25">
      <c r="M108" s="268"/>
    </row>
    <row r="109" spans="1:33" ht="17.25" customHeight="1" x14ac:dyDescent="0.25">
      <c r="M109" s="268"/>
    </row>
    <row r="110" spans="1:33" ht="17.25" customHeight="1" thickBot="1" x14ac:dyDescent="0.3">
      <c r="M110" s="268"/>
    </row>
    <row r="111" spans="1:33" ht="17.25" customHeight="1" thickBot="1" x14ac:dyDescent="0.3">
      <c r="A111" s="1074" t="s">
        <v>289</v>
      </c>
      <c r="B111" s="1075"/>
      <c r="C111" s="1075"/>
      <c r="D111" s="1075"/>
      <c r="E111" s="1075"/>
      <c r="F111" s="1075"/>
      <c r="G111" s="1075"/>
      <c r="H111" s="1075"/>
      <c r="I111" s="1076"/>
      <c r="J111" s="1077">
        <f>IFERROR(SUM(AE128:AE244)+G113,"")</f>
        <v>1</v>
      </c>
      <c r="K111" s="1078"/>
      <c r="L111" s="1078"/>
      <c r="M111" s="1079"/>
      <c r="Q111" s="1080" t="s">
        <v>290</v>
      </c>
      <c r="R111" s="1080"/>
      <c r="S111" s="1080"/>
      <c r="T111" s="1080"/>
      <c r="W111" s="1080" t="s">
        <v>291</v>
      </c>
      <c r="X111" s="1080"/>
      <c r="Y111" s="1080"/>
      <c r="Z111" s="1080"/>
      <c r="AB111" s="269"/>
      <c r="AC111" s="269"/>
      <c r="AD111" s="269"/>
      <c r="AE111" s="269"/>
      <c r="AF111" s="269"/>
      <c r="AG111" s="269"/>
    </row>
    <row r="112" spans="1:33" ht="17.25" customHeight="1" thickBot="1" x14ac:dyDescent="0.35">
      <c r="A112" s="270" t="s">
        <v>292</v>
      </c>
      <c r="B112" s="271"/>
      <c r="C112" s="271"/>
      <c r="D112" s="271"/>
      <c r="E112" s="271"/>
      <c r="F112" s="271"/>
      <c r="G112" s="271"/>
      <c r="H112" s="271"/>
      <c r="I112" s="271"/>
      <c r="J112" s="271"/>
      <c r="K112" s="271"/>
      <c r="L112" s="271"/>
      <c r="M112" s="272"/>
      <c r="Q112" s="1081" t="s">
        <v>293</v>
      </c>
      <c r="R112" s="1081"/>
      <c r="S112" s="1081" t="s">
        <v>294</v>
      </c>
      <c r="T112" s="1081"/>
      <c r="W112" s="1081" t="s">
        <v>293</v>
      </c>
      <c r="X112" s="1081"/>
      <c r="Y112" s="1081" t="s">
        <v>294</v>
      </c>
      <c r="Z112" s="1081"/>
      <c r="AB112" s="273"/>
      <c r="AC112" s="273"/>
      <c r="AD112" s="273"/>
      <c r="AE112" s="273"/>
      <c r="AF112" s="273"/>
      <c r="AG112" s="273"/>
    </row>
    <row r="113" spans="1:58" ht="17.25" customHeight="1" thickBot="1" x14ac:dyDescent="0.35">
      <c r="A113" s="1066" t="s">
        <v>295</v>
      </c>
      <c r="B113" s="1067"/>
      <c r="C113" s="1067"/>
      <c r="D113" s="1067"/>
      <c r="E113" s="1067"/>
      <c r="F113" s="1068"/>
      <c r="G113" s="1069">
        <f>I128+V128</f>
        <v>0</v>
      </c>
      <c r="H113" s="1070"/>
      <c r="I113" s="1071"/>
      <c r="Q113" s="1072">
        <v>45041</v>
      </c>
      <c r="R113" s="1072"/>
      <c r="S113" s="1073" t="s">
        <v>296</v>
      </c>
      <c r="T113" s="1073"/>
      <c r="W113" s="1072">
        <v>45182</v>
      </c>
      <c r="X113" s="1072"/>
      <c r="Y113" s="1073" t="s">
        <v>297</v>
      </c>
      <c r="Z113" s="1073"/>
      <c r="AB113" s="273"/>
      <c r="AC113" s="273"/>
      <c r="AD113" s="273"/>
      <c r="AE113" s="273"/>
      <c r="AF113" s="273"/>
      <c r="AG113" s="273"/>
    </row>
    <row r="114" spans="1:58" ht="17.25" customHeight="1" thickBot="1" x14ac:dyDescent="0.4">
      <c r="A114" s="274"/>
      <c r="B114" s="274"/>
      <c r="C114" s="274"/>
      <c r="D114" s="274"/>
      <c r="E114" s="274"/>
      <c r="F114" s="274"/>
      <c r="G114" s="274"/>
      <c r="H114" s="274"/>
      <c r="I114" s="274"/>
      <c r="Q114" s="275" t="s">
        <v>298</v>
      </c>
      <c r="R114" s="276" t="s">
        <v>299</v>
      </c>
      <c r="S114" s="277" t="s">
        <v>300</v>
      </c>
      <c r="T114" s="277" t="s">
        <v>301</v>
      </c>
      <c r="U114" s="1059" t="s">
        <v>302</v>
      </c>
      <c r="V114" s="1060"/>
      <c r="W114" s="275" t="s">
        <v>298</v>
      </c>
      <c r="X114" s="276" t="s">
        <v>299</v>
      </c>
      <c r="Y114" s="277" t="s">
        <v>300</v>
      </c>
      <c r="Z114" s="277" t="s">
        <v>301</v>
      </c>
      <c r="AF114" s="278"/>
      <c r="AG114" s="278"/>
    </row>
    <row r="115" spans="1:58" ht="17.25" customHeight="1" thickTop="1" thickBot="1" x14ac:dyDescent="0.3">
      <c r="A115" s="1061" t="s">
        <v>303</v>
      </c>
      <c r="B115" s="1062"/>
      <c r="C115" s="1062"/>
      <c r="D115" s="1062"/>
      <c r="E115" s="279">
        <f>I124+V124</f>
        <v>0</v>
      </c>
      <c r="F115" s="274"/>
      <c r="G115" s="274"/>
      <c r="H115" s="274"/>
      <c r="I115" s="274"/>
      <c r="Q115" s="280" t="s">
        <v>304</v>
      </c>
      <c r="R115" s="281" t="str">
        <f>IF(ISBLANK(Q114)," ",IFERROR(VLOOKUP("TOTAL",#REF!,13,0),""))</f>
        <v/>
      </c>
      <c r="S115" s="281" t="str">
        <f>IF(ISBLANK(Q114)," ",IFERROR(VLOOKUP("TOTAL F POWER",#REF!,13,0),""))</f>
        <v/>
      </c>
      <c r="T115" s="281" t="str">
        <f>IF(ISBLANK(Q114)," ",IFERROR(VLOOKUP("TOTAL SIN F POWER",#REF!,13,0),""))</f>
        <v/>
      </c>
      <c r="W115" s="280" t="s">
        <v>304</v>
      </c>
      <c r="X115" s="281" t="str">
        <f>IF(ISBLANK(W114)," ",IFERROR(VLOOKUP("TOTAL",#REF!,13,0),""))</f>
        <v/>
      </c>
      <c r="Y115" s="281" t="str">
        <f>IF(ISBLANK(W114)," ",IFERROR(VLOOKUP("TOTAL F POWER",#REF!,13,0),""))</f>
        <v/>
      </c>
      <c r="Z115" s="281" t="str">
        <f>IF(ISBLANK(W114)," ",IFERROR(VLOOKUP("TOTAL SIN F POWER",#REF!,13,0),""))</f>
        <v/>
      </c>
      <c r="AF115" s="282"/>
      <c r="AG115" s="282"/>
    </row>
    <row r="116" spans="1:58" ht="17.25" customHeight="1" thickTop="1" thickBot="1" x14ac:dyDescent="0.3">
      <c r="A116" s="1061" t="s">
        <v>305</v>
      </c>
      <c r="B116" s="1062"/>
      <c r="C116" s="1062"/>
      <c r="D116" s="1062"/>
      <c r="E116" s="279">
        <f>I125+V125</f>
        <v>44</v>
      </c>
      <c r="F116" s="274"/>
      <c r="G116" s="274"/>
      <c r="H116" s="274"/>
      <c r="I116" s="283"/>
      <c r="Q116" s="284" t="s">
        <v>306</v>
      </c>
      <c r="R116" s="285" t="str">
        <f>IF(ISBLANK(Q114)," ",IFERROR(VLOOKUP("TOTAL",#REF!,4,0),""))</f>
        <v/>
      </c>
      <c r="S116" s="285" t="str">
        <f>IF(ISBLANK(Q114)," ",IFERROR(VLOOKUP("TOTAL F POWER",#REF!,4,0),""))</f>
        <v/>
      </c>
      <c r="T116" s="285" t="str">
        <f>IF(ISBLANK(Q114)," ",IFERROR(VLOOKUP("TOTAL SIN F POWER",#REF!,4,0),""))</f>
        <v/>
      </c>
      <c r="W116" s="284" t="s">
        <v>306</v>
      </c>
      <c r="X116" s="286" t="str">
        <f>IF(ISBLANK(W114)," ",IFERROR(VLOOKUP("TOTAL",#REF!,4,0),""))</f>
        <v/>
      </c>
      <c r="Y116" s="286" t="str">
        <f>IF(ISBLANK(W114)," ",IFERROR(VLOOKUP("TOTAL F POWER",#REF!,4,0),""))</f>
        <v/>
      </c>
      <c r="Z116" s="286" t="str">
        <f>IF(ISBLANK(W114)," ",IFERROR(VLOOKUP("TOTAL SIN F POWER",#REF!,4,0),""))</f>
        <v/>
      </c>
      <c r="AF116" s="282"/>
      <c r="AG116" s="282"/>
    </row>
    <row r="117" spans="1:58" ht="17.25" customHeight="1" thickBot="1" x14ac:dyDescent="0.3">
      <c r="F117" s="287"/>
      <c r="G117" s="274"/>
      <c r="H117" s="274"/>
      <c r="I117" s="274"/>
      <c r="Q117" s="288" t="s">
        <v>307</v>
      </c>
      <c r="R117" s="289" t="str">
        <f>IF(ISBLANK(Q115)," ",IFERROR(VLOOKUP("TOTAL",#REF!,14,0),""))</f>
        <v/>
      </c>
      <c r="S117" s="289" t="str">
        <f>IF(ISBLANK(Q115)," ",IFERROR(VLOOKUP("TOTAL F POWER",#REF!,14,0),""))</f>
        <v/>
      </c>
      <c r="T117" s="289" t="str">
        <f>IF(ISBLANK(Q115)," ",IFERROR(VLOOKUP("TOTAL SIN F POWER",#REF!,14,0),""))</f>
        <v/>
      </c>
      <c r="W117" s="288" t="s">
        <v>307</v>
      </c>
      <c r="X117" s="289" t="str">
        <f>IF(ISBLANK(W114)," ",IFERROR(VLOOKUP("TOTAL",#REF!,14,0),""))</f>
        <v/>
      </c>
      <c r="Y117" s="289" t="str">
        <f>IF(ISBLANK(W114)," ",IFERROR(VLOOKUP("TOTAL F POWER",#REF!,14,0),""))</f>
        <v/>
      </c>
      <c r="Z117" s="289" t="str">
        <f>IF(ISBLANK(W114)," ",IFERROR(VLOOKUP("TOTAL SIN F POWER",#REF!,14,0),""))</f>
        <v/>
      </c>
      <c r="AF117" s="290"/>
      <c r="AG117" s="290"/>
    </row>
    <row r="118" spans="1:58" ht="17.25" customHeight="1" thickBot="1" x14ac:dyDescent="0.3">
      <c r="A118" s="1063" t="s">
        <v>308</v>
      </c>
      <c r="B118" s="1064"/>
      <c r="C118" s="1064"/>
      <c r="D118" s="1065"/>
      <c r="E118" s="291">
        <f>K228+X228</f>
        <v>0</v>
      </c>
      <c r="F118" s="274"/>
      <c r="G118" s="274"/>
      <c r="H118" s="274"/>
      <c r="I118" s="274"/>
      <c r="Q118" s="292" t="s">
        <v>309</v>
      </c>
      <c r="R118" s="293" t="str">
        <f>IF(ISBLANK(Q114)," ",IFERROR(VLOOKUP("TOTAL",#REF!,11,0),""))</f>
        <v/>
      </c>
      <c r="S118" s="293" t="str">
        <f>IF(ISBLANK(Q114)," ",IFERROR(VLOOKUP("TOTAL F POWER",#REF!,11,0),""))</f>
        <v/>
      </c>
      <c r="T118" s="293" t="str">
        <f>IF(ISBLANK(Q114)," ",IFERROR(VLOOKUP("TOTAL SIN F POWER",#REF!,11,0),""))</f>
        <v/>
      </c>
      <c r="W118" s="292" t="s">
        <v>309</v>
      </c>
      <c r="X118" s="294" t="str">
        <f>IF(ISBLANK(W114)," ",IFERROR(VLOOKUP("TOTAL",#REF!,11,0),""))</f>
        <v/>
      </c>
      <c r="Y118" s="294" t="str">
        <f>IF(ISBLANK(W114)," ",IFERROR(VLOOKUP("TOTAL F POWER",#REF!,11,0),""))</f>
        <v/>
      </c>
      <c r="Z118" s="294" t="str">
        <f>IF(ISBLANK(W114)," ",IFERROR(VLOOKUP("TOTAL SIN F POWER",#REF!,11,0),""))</f>
        <v/>
      </c>
    </row>
    <row r="119" spans="1:58" ht="17.25" customHeight="1" thickBot="1" x14ac:dyDescent="0.3">
      <c r="A119" s="1063" t="s">
        <v>310</v>
      </c>
      <c r="B119" s="1064"/>
      <c r="C119" s="1064"/>
      <c r="D119" s="1065"/>
      <c r="E119" s="295">
        <f>L228+Y228</f>
        <v>0</v>
      </c>
      <c r="F119" s="274"/>
      <c r="G119" s="274"/>
      <c r="H119" s="274"/>
      <c r="I119" s="274"/>
      <c r="Q119" s="296" t="s">
        <v>311</v>
      </c>
      <c r="R119" s="297" t="str">
        <f>IF(ISBLANK(Q114)," ",IFERROR(VLOOKUP("TOTAL",#REF!,15,0),""))</f>
        <v/>
      </c>
      <c r="S119" s="297" t="str">
        <f>IF(ISBLANK(Q114)," ",IFERROR(VLOOKUP("TOTAL F POWER",#REF!,15,0),""))</f>
        <v/>
      </c>
      <c r="T119" s="297" t="str">
        <f>IF(ISBLANK(Q114)," ",IFERROR(VLOOKUP("TOTAL SIN F POWER",#REF!,15,0),""))</f>
        <v/>
      </c>
      <c r="W119" s="296" t="s">
        <v>311</v>
      </c>
      <c r="X119" s="298" t="str">
        <f>IF(ISBLANK(W114)," ",IFERROR(VLOOKUP("TOTAL",#REF!,15,0),""))</f>
        <v/>
      </c>
      <c r="Y119" s="298" t="str">
        <f>IF(ISBLANK(W114)," ",IFERROR(VLOOKUP("TOTAL F POWER",#REF!,15,0),""))</f>
        <v/>
      </c>
      <c r="Z119" s="298" t="str">
        <f>IF(ISBLANK(W114)," ",IFERROR(VLOOKUP("TOTAL SIN F POWER",#REF!,15,0),""))</f>
        <v/>
      </c>
    </row>
    <row r="120" spans="1:58" ht="17.25" customHeight="1" thickBot="1" x14ac:dyDescent="0.3">
      <c r="A120" s="1063" t="s">
        <v>312</v>
      </c>
      <c r="B120" s="1064"/>
      <c r="C120" s="1064"/>
      <c r="D120" s="1065"/>
      <c r="E120" s="299">
        <f>J228+W228</f>
        <v>0</v>
      </c>
      <c r="Q120" s="300" t="s">
        <v>313</v>
      </c>
      <c r="R120" s="301" t="str">
        <f>IF(ISBLANK(Q114)," ",IFERROR(VLOOKUP("TOTAL",#REF!,16,0),""))</f>
        <v/>
      </c>
      <c r="S120" s="301" t="str">
        <f>IF(ISBLANK(Q114)," ",IFERROR(VLOOKUP("TOTAL F POWER",#REF!,16,0),""))</f>
        <v/>
      </c>
      <c r="T120" s="301" t="str">
        <f>IF(ISBLANK(Q114)," ",IFERROR(VLOOKUP("TOTAL SIN F POWER",#REF!,16,0),""))</f>
        <v/>
      </c>
      <c r="W120" s="300" t="s">
        <v>313</v>
      </c>
      <c r="X120" s="302" t="str">
        <f>IF(ISBLANK(W114)," ",IFERROR(VLOOKUP("TOTAL",#REF!,16,0),""))</f>
        <v/>
      </c>
      <c r="Y120" s="302" t="str">
        <f>IF(ISBLANK(W114)," ",IFERROR(VLOOKUP("TOTAL F POWER",#REF!,16,0),""))</f>
        <v/>
      </c>
      <c r="Z120" s="302" t="str">
        <f>IF(ISBLANK(W114)," ",IFERROR(VLOOKUP("TOTAL SIN F POWER",#REF!,16,0),""))</f>
        <v/>
      </c>
    </row>
    <row r="123" spans="1:58" ht="17.25" customHeight="1" thickBot="1" x14ac:dyDescent="0.75">
      <c r="A123" s="1049" t="s">
        <v>314</v>
      </c>
      <c r="B123" s="1050"/>
      <c r="C123" s="1050"/>
      <c r="D123" s="1050"/>
      <c r="E123" s="1050"/>
      <c r="F123" s="1050"/>
      <c r="G123" s="1050"/>
      <c r="H123" s="1050"/>
      <c r="I123" s="1050"/>
      <c r="J123" s="1050"/>
      <c r="K123" s="1050"/>
      <c r="L123" s="1050"/>
      <c r="M123" s="1050"/>
      <c r="N123" s="1050"/>
      <c r="O123" s="1050"/>
      <c r="P123" s="1050"/>
      <c r="Q123" s="1050"/>
      <c r="R123" s="1050"/>
      <c r="S123" s="1050"/>
      <c r="T123" s="1050"/>
      <c r="U123" s="1050"/>
      <c r="V123" s="1050"/>
      <c r="W123" s="1050"/>
      <c r="X123" s="1050"/>
      <c r="Y123" s="1050"/>
      <c r="Z123" s="1050"/>
      <c r="AA123" s="272"/>
    </row>
    <row r="124" spans="1:58" ht="17.25" customHeight="1" thickTop="1" thickBot="1" x14ac:dyDescent="0.45">
      <c r="D124" s="1037" t="s">
        <v>315</v>
      </c>
      <c r="E124" s="1038"/>
      <c r="F124" s="1038"/>
      <c r="G124" s="1039"/>
      <c r="H124" s="1039"/>
      <c r="I124" s="1051">
        <f>COUNTIF($A$4:$M$42,"25C")+COUNTIF($A$43:$O$81,"25C")+COUNTIF($N$4:$T$19,"25C")+COUNTIF($O$20:$S$23,"25C")+COUNTIF($N$24:$Q$25,"25C")+COUNTIF($N$26:$P$26,"25C")+COUNTIF($P$42,"25C")+COUNTIF($T$21:$T$22,"25C")+COUNTIF($R$24,"25C")+COUNTIF($N$27:$O$28,"25C")</f>
        <v>0</v>
      </c>
      <c r="J124" s="1052"/>
      <c r="M124" s="268"/>
      <c r="Q124" s="1037" t="s">
        <v>316</v>
      </c>
      <c r="R124" s="1038"/>
      <c r="S124" s="1038"/>
      <c r="T124" s="1039"/>
      <c r="U124" s="1039"/>
      <c r="V124" s="1051">
        <f>COUNTIF($T$23:$BI$73,"25C")+COUNTIF($N$29:$S$39,"25C")+COUNTIF($P$47:$S$68,"25C")+COUNTIF($Q$40:$S$42,"25C")+COUNTIF($P$27:$S$28,"25C")+COUNTIF($R$25:$S$25,"25C")+COUNTIF($S$24:$S$24,"25C")</f>
        <v>0</v>
      </c>
      <c r="W124" s="1052"/>
      <c r="AA124" s="303"/>
      <c r="AB124" s="304"/>
      <c r="AC124" s="1053" t="s">
        <v>317</v>
      </c>
      <c r="AD124" s="1054"/>
      <c r="AE124" s="1054"/>
      <c r="AF124" s="1055"/>
      <c r="AG124" s="304"/>
      <c r="AI124" s="305"/>
      <c r="AJ124" s="306"/>
      <c r="AK124" s="306"/>
      <c r="AL124" s="306"/>
      <c r="AM124" s="306"/>
      <c r="AN124" s="306"/>
      <c r="AO124" s="306"/>
      <c r="AP124" s="306"/>
      <c r="AQ124" s="306"/>
      <c r="AR124" s="306"/>
      <c r="AS124" s="306"/>
      <c r="AT124" s="306"/>
      <c r="AU124" s="306"/>
      <c r="AV124" s="306"/>
      <c r="AW124" s="306"/>
      <c r="AX124" s="306"/>
      <c r="AY124" s="306"/>
      <c r="AZ124" s="306"/>
      <c r="BA124" s="307"/>
    </row>
    <row r="125" spans="1:58" ht="17.25" customHeight="1" thickTop="1" thickBot="1" x14ac:dyDescent="0.4">
      <c r="D125" s="1037" t="s">
        <v>318</v>
      </c>
      <c r="E125" s="1038"/>
      <c r="F125" s="1038"/>
      <c r="G125" s="1039"/>
      <c r="H125" s="1039"/>
      <c r="I125" s="1051">
        <f>COUNTIF($A$4:$M$42,"50C")+COUNTIF($A$43:$O$81,"50C")+COUNTIF($N$4:$T$19,"50C")+COUNTIF($O$20:$S$23,"50C")+COUNTIF($N$24:$Q$25,"50C")+COUNTIF($N$26:$P$26,"50C")+COUNTIF($P$42,"50C")+COUNTIF($T$21:$T$22,"50C")+COUNTIF($R$24,"50C")+COUNTIF($N$27:$O$28,"50C")</f>
        <v>26</v>
      </c>
      <c r="J125" s="1052"/>
      <c r="M125" s="268"/>
      <c r="Q125" s="1037" t="s">
        <v>319</v>
      </c>
      <c r="R125" s="1038"/>
      <c r="S125" s="1038"/>
      <c r="T125" s="1039"/>
      <c r="U125" s="1039"/>
      <c r="V125" s="1051">
        <f>COUNTIF($T$23:$BI$73,"50C")+COUNTIF($N$29:$S$39,"50C")+COUNTIF($P$47:$S$68,"50C")+COUNTIF($Q$40:$S$42,"50C")+COUNTIF($P$27:$S$28,"50C")+COUNTIF($R$25:$S$25,"50C")+COUNTIF($S$24:$S$24,"50C")</f>
        <v>18</v>
      </c>
      <c r="W125" s="1052"/>
      <c r="AA125" s="303"/>
      <c r="AC125" s="1056"/>
      <c r="AD125" s="1057"/>
      <c r="AE125" s="1057"/>
      <c r="AF125" s="1058"/>
      <c r="AH125" s="308"/>
      <c r="AI125" s="1044" t="s">
        <v>320</v>
      </c>
      <c r="AJ125" s="1045"/>
      <c r="AK125" s="1045"/>
      <c r="AL125" s="1045"/>
      <c r="AM125" s="1045"/>
      <c r="AN125" s="1046"/>
      <c r="AO125" s="309" t="s">
        <v>299</v>
      </c>
      <c r="AP125" s="310"/>
      <c r="AQ125" s="308"/>
      <c r="AR125" s="907" t="s">
        <v>321</v>
      </c>
      <c r="AS125" s="908"/>
      <c r="AT125" s="908"/>
      <c r="AU125" s="908"/>
      <c r="AV125" s="908"/>
      <c r="AW125" s="904"/>
      <c r="AX125" s="309" t="s">
        <v>299</v>
      </c>
      <c r="AY125" s="310"/>
      <c r="AZ125" s="308"/>
      <c r="BA125" s="311"/>
    </row>
    <row r="126" spans="1:58" ht="17.25" customHeight="1" thickBot="1" x14ac:dyDescent="0.45">
      <c r="A126" s="271"/>
      <c r="B126" s="271"/>
      <c r="C126" s="271"/>
      <c r="D126" s="1037" t="s">
        <v>322</v>
      </c>
      <c r="E126" s="1038"/>
      <c r="F126" s="1038"/>
      <c r="G126" s="1039"/>
      <c r="H126" s="1040"/>
      <c r="I126" s="1041">
        <f>G152</f>
        <v>0</v>
      </c>
      <c r="J126" s="1042"/>
      <c r="K126" s="271"/>
      <c r="L126" s="158"/>
      <c r="M126" s="303"/>
      <c r="N126" s="303"/>
      <c r="O126" s="312"/>
      <c r="P126" s="312"/>
      <c r="Q126" s="1037" t="s">
        <v>323</v>
      </c>
      <c r="R126" s="1038"/>
      <c r="S126" s="1038"/>
      <c r="T126" s="1038"/>
      <c r="U126" s="1043"/>
      <c r="V126" s="1041">
        <f>T152</f>
        <v>0</v>
      </c>
      <c r="W126" s="1042"/>
      <c r="X126" s="312"/>
      <c r="Y126" s="312"/>
      <c r="Z126" s="313"/>
      <c r="AA126" s="303"/>
      <c r="AC126" s="1047" t="s">
        <v>324</v>
      </c>
      <c r="AD126" s="1048"/>
      <c r="AE126" s="314" t="s">
        <v>325</v>
      </c>
      <c r="AF126" s="315" t="s">
        <v>326</v>
      </c>
      <c r="AH126" s="308"/>
      <c r="AI126" s="896" t="s">
        <v>327</v>
      </c>
      <c r="AJ126" s="897"/>
      <c r="AK126" s="897"/>
      <c r="AL126" s="897"/>
      <c r="AM126" s="897"/>
      <c r="AN126" s="316" t="s">
        <v>328</v>
      </c>
      <c r="AO126" s="317">
        <f t="shared" ref="AO126:AO189" si="0">COUNTIF($A$1:$GO$103,AN126)</f>
        <v>0</v>
      </c>
      <c r="AP126" s="318"/>
      <c r="AQ126" s="308"/>
      <c r="AR126" s="911" t="s">
        <v>329</v>
      </c>
      <c r="AS126" s="912"/>
      <c r="AT126" s="912"/>
      <c r="AU126" s="912"/>
      <c r="AV126" s="912"/>
      <c r="AW126" s="321" t="s">
        <v>330</v>
      </c>
      <c r="AX126" s="317">
        <f t="shared" ref="AX126:AX166" si="1">COUNTIF($A$1:$GO$103,AW126)</f>
        <v>0</v>
      </c>
      <c r="AY126" s="322"/>
      <c r="AZ126" s="308"/>
      <c r="BA126" s="311"/>
      <c r="BC126" s="323"/>
      <c r="BD126" s="323"/>
      <c r="BE126" s="323"/>
      <c r="BF126" s="323"/>
    </row>
    <row r="127" spans="1:58" ht="17.25" customHeight="1" thickBot="1" x14ac:dyDescent="0.4">
      <c r="C127" s="324" t="b">
        <v>0</v>
      </c>
      <c r="D127" s="1037" t="s">
        <v>331</v>
      </c>
      <c r="E127" s="1038"/>
      <c r="F127" s="1038"/>
      <c r="G127" s="1039"/>
      <c r="H127" s="1040"/>
      <c r="I127" s="1041">
        <f>G176</f>
        <v>0</v>
      </c>
      <c r="J127" s="1042"/>
      <c r="M127" s="268"/>
      <c r="Q127" s="1037" t="s">
        <v>332</v>
      </c>
      <c r="R127" s="1038"/>
      <c r="S127" s="1038"/>
      <c r="T127" s="1038"/>
      <c r="U127" s="1043"/>
      <c r="V127" s="1041">
        <f>T176</f>
        <v>0</v>
      </c>
      <c r="W127" s="1042"/>
      <c r="AA127" s="324"/>
      <c r="AC127" s="1027" t="s">
        <v>333</v>
      </c>
      <c r="AD127" s="1028"/>
      <c r="AE127" s="1028"/>
      <c r="AF127" s="1028"/>
      <c r="AH127" s="308"/>
      <c r="AI127" s="896" t="s">
        <v>334</v>
      </c>
      <c r="AJ127" s="897"/>
      <c r="AK127" s="897"/>
      <c r="AL127" s="897"/>
      <c r="AM127" s="897"/>
      <c r="AN127" s="325" t="s">
        <v>335</v>
      </c>
      <c r="AO127" s="317">
        <f t="shared" si="0"/>
        <v>0</v>
      </c>
      <c r="AP127" s="318"/>
      <c r="AQ127" s="308"/>
      <c r="AR127" s="911" t="s">
        <v>336</v>
      </c>
      <c r="AS127" s="912"/>
      <c r="AT127" s="912"/>
      <c r="AU127" s="912"/>
      <c r="AV127" s="912"/>
      <c r="AW127" s="326" t="s">
        <v>337</v>
      </c>
      <c r="AX127" s="317">
        <f t="shared" si="1"/>
        <v>0</v>
      </c>
      <c r="AY127" s="327"/>
      <c r="AZ127" s="308"/>
      <c r="BA127" s="311"/>
      <c r="BC127" s="328"/>
      <c r="BD127" s="328"/>
      <c r="BE127" s="329"/>
      <c r="BF127" s="329"/>
    </row>
    <row r="128" spans="1:58" ht="17.25" customHeight="1" thickBot="1" x14ac:dyDescent="0.4">
      <c r="C128" s="324" t="b">
        <v>0</v>
      </c>
      <c r="D128" s="1032" t="s">
        <v>338</v>
      </c>
      <c r="E128" s="1033"/>
      <c r="F128" s="1033"/>
      <c r="G128" s="1033"/>
      <c r="H128" s="1034"/>
      <c r="I128" s="1035">
        <f>G228</f>
        <v>0</v>
      </c>
      <c r="J128" s="1036"/>
      <c r="M128" s="268"/>
      <c r="Q128" s="1032" t="s">
        <v>339</v>
      </c>
      <c r="R128" s="1033"/>
      <c r="S128" s="1033"/>
      <c r="T128" s="1033"/>
      <c r="U128" s="1034"/>
      <c r="V128" s="1035">
        <f>T228</f>
        <v>0</v>
      </c>
      <c r="W128" s="1036"/>
      <c r="AA128" s="268"/>
      <c r="AC128" s="330" t="s">
        <v>320</v>
      </c>
      <c r="AD128" s="331" t="s">
        <v>320</v>
      </c>
      <c r="AE128" s="332">
        <f>AO202</f>
        <v>0</v>
      </c>
      <c r="AF128" s="333" t="str">
        <f>IFERROR(AE128/$J$4,"")</f>
        <v/>
      </c>
      <c r="AH128" s="308"/>
      <c r="AI128" s="896" t="s">
        <v>340</v>
      </c>
      <c r="AJ128" s="897"/>
      <c r="AK128" s="897"/>
      <c r="AL128" s="897"/>
      <c r="AM128" s="897"/>
      <c r="AN128" s="334" t="s">
        <v>341</v>
      </c>
      <c r="AO128" s="317">
        <f t="shared" si="0"/>
        <v>0</v>
      </c>
      <c r="AP128" s="318"/>
      <c r="AQ128" s="308"/>
      <c r="AR128" s="911" t="s">
        <v>342</v>
      </c>
      <c r="AS128" s="912"/>
      <c r="AT128" s="912"/>
      <c r="AU128" s="912"/>
      <c r="AV128" s="912"/>
      <c r="AW128" s="335" t="s">
        <v>343</v>
      </c>
      <c r="AX128" s="317">
        <f t="shared" si="1"/>
        <v>0</v>
      </c>
      <c r="AY128" s="327"/>
      <c r="AZ128" s="308"/>
      <c r="BA128" s="311"/>
      <c r="BC128" s="328"/>
      <c r="BD128" s="328"/>
      <c r="BE128" s="329"/>
      <c r="BF128" s="329"/>
    </row>
    <row r="129" spans="1:58" ht="17.25" customHeight="1" x14ac:dyDescent="0.35">
      <c r="A129" s="336"/>
      <c r="B129" s="336"/>
      <c r="C129" s="337"/>
      <c r="D129" s="338"/>
      <c r="E129" s="338"/>
      <c r="F129" s="338"/>
      <c r="G129" s="338"/>
      <c r="H129" s="338"/>
      <c r="I129" s="339"/>
      <c r="J129" s="339"/>
      <c r="K129" s="336"/>
      <c r="L129" s="336"/>
      <c r="M129" s="340"/>
      <c r="N129" s="336"/>
      <c r="O129" s="336"/>
      <c r="P129" s="336"/>
      <c r="Q129" s="338"/>
      <c r="R129" s="338"/>
      <c r="S129" s="338"/>
      <c r="T129" s="338"/>
      <c r="U129" s="338"/>
      <c r="V129" s="339"/>
      <c r="W129" s="339"/>
      <c r="X129" s="336"/>
      <c r="Y129" s="336"/>
      <c r="Z129" s="336"/>
      <c r="AA129" s="324"/>
      <c r="AC129" s="330" t="s">
        <v>344</v>
      </c>
      <c r="AD129" s="341" t="s">
        <v>345</v>
      </c>
      <c r="AE129" s="332">
        <f>AX302</f>
        <v>0</v>
      </c>
      <c r="AF129" s="333" t="str">
        <f t="shared" ref="AF129:AF150" si="2">IFERROR(AE129/$J$4,"")</f>
        <v/>
      </c>
      <c r="AH129" s="308"/>
      <c r="AI129" s="896" t="s">
        <v>346</v>
      </c>
      <c r="AJ129" s="897"/>
      <c r="AK129" s="897"/>
      <c r="AL129" s="897"/>
      <c r="AM129" s="897"/>
      <c r="AN129" s="342" t="s">
        <v>347</v>
      </c>
      <c r="AO129" s="317">
        <f t="shared" si="0"/>
        <v>0</v>
      </c>
      <c r="AP129" s="318"/>
      <c r="AQ129" s="308"/>
      <c r="AR129" s="911" t="s">
        <v>348</v>
      </c>
      <c r="AS129" s="912"/>
      <c r="AT129" s="912"/>
      <c r="AU129" s="912"/>
      <c r="AV129" s="912"/>
      <c r="AW129" s="343" t="s">
        <v>349</v>
      </c>
      <c r="AX129" s="317">
        <f t="shared" si="1"/>
        <v>0</v>
      </c>
      <c r="AY129" s="327"/>
      <c r="AZ129" s="308"/>
      <c r="BA129" s="311"/>
      <c r="BC129" s="344"/>
      <c r="BD129" s="344"/>
      <c r="BE129" s="345"/>
      <c r="BF129" s="345"/>
    </row>
    <row r="130" spans="1:58" ht="17.25" customHeight="1" thickBot="1" x14ac:dyDescent="0.3">
      <c r="A130" s="1029" t="s">
        <v>350</v>
      </c>
      <c r="B130" s="1030"/>
      <c r="C130" s="1030"/>
      <c r="D130" s="1030"/>
      <c r="E130" s="1030"/>
      <c r="F130" s="1030"/>
      <c r="G130" s="1030"/>
      <c r="H130" s="1030"/>
      <c r="I130" s="1031"/>
      <c r="J130" s="346" t="s">
        <v>351</v>
      </c>
      <c r="K130" s="346" t="s">
        <v>352</v>
      </c>
      <c r="L130" s="346" t="s">
        <v>353</v>
      </c>
      <c r="M130" s="324"/>
      <c r="N130" s="1029" t="s">
        <v>350</v>
      </c>
      <c r="O130" s="1030"/>
      <c r="P130" s="1030"/>
      <c r="Q130" s="1030"/>
      <c r="R130" s="1030"/>
      <c r="S130" s="1030"/>
      <c r="T130" s="1030"/>
      <c r="U130" s="1030"/>
      <c r="V130" s="1031"/>
      <c r="W130" s="347" t="s">
        <v>351</v>
      </c>
      <c r="X130" s="347" t="s">
        <v>352</v>
      </c>
      <c r="Y130" s="347" t="s">
        <v>353</v>
      </c>
      <c r="Z130" s="347" t="s">
        <v>354</v>
      </c>
      <c r="AA130" s="324"/>
      <c r="AC130" s="330" t="s">
        <v>355</v>
      </c>
      <c r="AD130" s="348" t="s">
        <v>356</v>
      </c>
      <c r="AE130" s="332">
        <f>AO235</f>
        <v>0</v>
      </c>
      <c r="AF130" s="333" t="str">
        <f t="shared" si="2"/>
        <v/>
      </c>
      <c r="AH130" s="308"/>
      <c r="AI130" s="896" t="s">
        <v>357</v>
      </c>
      <c r="AJ130" s="897"/>
      <c r="AK130" s="897"/>
      <c r="AL130" s="897"/>
      <c r="AM130" s="897"/>
      <c r="AN130" s="349" t="s">
        <v>358</v>
      </c>
      <c r="AO130" s="317">
        <f t="shared" si="0"/>
        <v>0</v>
      </c>
      <c r="AP130" s="318"/>
      <c r="AQ130" s="308"/>
      <c r="AR130" s="911" t="s">
        <v>359</v>
      </c>
      <c r="AS130" s="912"/>
      <c r="AT130" s="912"/>
      <c r="AU130" s="912"/>
      <c r="AV130" s="912"/>
      <c r="AW130" s="343" t="s">
        <v>360</v>
      </c>
      <c r="AX130" s="317">
        <f t="shared" si="1"/>
        <v>0</v>
      </c>
      <c r="AY130" s="327"/>
      <c r="AZ130" s="308"/>
      <c r="BA130" s="311"/>
      <c r="BC130" s="328"/>
      <c r="BD130" s="328"/>
      <c r="BE130" s="350"/>
      <c r="BF130" s="350"/>
    </row>
    <row r="131" spans="1:58" ht="17.25" customHeight="1" thickBot="1" x14ac:dyDescent="0.3">
      <c r="A131" s="978" t="s">
        <v>70</v>
      </c>
      <c r="B131" s="979"/>
      <c r="C131" s="980"/>
      <c r="D131" s="351" t="s">
        <v>25</v>
      </c>
      <c r="E131" s="352"/>
      <c r="F131" s="353" t="s">
        <v>69</v>
      </c>
      <c r="G131" s="926">
        <f t="shared" ref="G131:G151" si="3">COUNTIF($A$4:$M$42,F131)+COUNTIF($A$43:$O$81,F131)+COUNTIF($N$4:$T$19,F131)+COUNTIF($O$20:$S$23,F131)+COUNTIF($N$24:$Q$25,F131)+COUNTIF($N$26:$P$26,F131)+COUNTIF($P$42,F131)+COUNTIF($T$21:$T$22,F131)+COUNTIF($R$24,F131)+COUNTIF($N$27:$O$28,F131)</f>
        <v>0</v>
      </c>
      <c r="H131" s="927"/>
      <c r="I131" s="928"/>
      <c r="J131" s="354">
        <v>0</v>
      </c>
      <c r="K131" s="355">
        <v>0</v>
      </c>
      <c r="L131" s="356">
        <f>G131-K131-J131</f>
        <v>0</v>
      </c>
      <c r="M131" s="324"/>
      <c r="N131" s="978" t="s">
        <v>70</v>
      </c>
      <c r="O131" s="979"/>
      <c r="P131" s="980"/>
      <c r="Q131" s="351" t="s">
        <v>25</v>
      </c>
      <c r="R131" s="352"/>
      <c r="S131" s="353" t="s">
        <v>69</v>
      </c>
      <c r="T131" s="929">
        <f t="shared" ref="T131:T151" si="4">COUNTIF($T$23:$BI$73,S131)+COUNTIF($N$29:$S$39,S131)+COUNTIF($P$47:$S$68,S131)+COUNTIF($Q$40:$S$42,S131)+COUNTIF($P$27:$S$28,S131)+COUNTIF($R$25:$S$25,S131)+COUNTIF($S$24:$S$24,S131)</f>
        <v>0</v>
      </c>
      <c r="U131" s="929"/>
      <c r="V131" s="929"/>
      <c r="W131" s="354">
        <v>0</v>
      </c>
      <c r="X131" s="355">
        <v>0</v>
      </c>
      <c r="Y131" s="356">
        <f t="shared" ref="Y131:Y151" si="5">T131-X131-W131</f>
        <v>0</v>
      </c>
      <c r="Z131" s="357">
        <f t="shared" ref="Z131:Z195" si="6">T131+G131</f>
        <v>0</v>
      </c>
      <c r="AA131" s="324"/>
      <c r="AC131" s="330" t="s">
        <v>361</v>
      </c>
      <c r="AD131" s="358" t="s">
        <v>362</v>
      </c>
      <c r="AE131" s="332">
        <f>AX279</f>
        <v>0</v>
      </c>
      <c r="AF131" s="333" t="str">
        <f t="shared" si="2"/>
        <v/>
      </c>
      <c r="AH131" s="308"/>
      <c r="AI131" s="896" t="s">
        <v>363</v>
      </c>
      <c r="AJ131" s="897"/>
      <c r="AK131" s="897"/>
      <c r="AL131" s="897"/>
      <c r="AM131" s="897"/>
      <c r="AN131" s="359" t="s">
        <v>364</v>
      </c>
      <c r="AO131" s="317">
        <f t="shared" si="0"/>
        <v>0</v>
      </c>
      <c r="AP131" s="318"/>
      <c r="AQ131" s="308"/>
      <c r="AR131" s="911" t="s">
        <v>365</v>
      </c>
      <c r="AS131" s="912"/>
      <c r="AT131" s="912"/>
      <c r="AU131" s="912"/>
      <c r="AV131" s="912"/>
      <c r="AW131" s="360" t="s">
        <v>366</v>
      </c>
      <c r="AX131" s="317">
        <f t="shared" si="1"/>
        <v>0</v>
      </c>
      <c r="AY131" s="327"/>
      <c r="AZ131" s="308"/>
      <c r="BA131" s="311"/>
      <c r="BC131" s="328"/>
      <c r="BD131" s="328"/>
      <c r="BE131" s="328"/>
      <c r="BF131" s="328"/>
    </row>
    <row r="132" spans="1:58" ht="17.25" customHeight="1" thickBot="1" x14ac:dyDescent="0.3">
      <c r="A132" s="978" t="s">
        <v>28</v>
      </c>
      <c r="B132" s="979"/>
      <c r="C132" s="980"/>
      <c r="D132" s="351"/>
      <c r="E132" s="352" t="s">
        <v>367</v>
      </c>
      <c r="F132" s="361" t="s">
        <v>25</v>
      </c>
      <c r="G132" s="926">
        <f t="shared" si="3"/>
        <v>0</v>
      </c>
      <c r="H132" s="927"/>
      <c r="I132" s="928"/>
      <c r="J132" s="354">
        <v>0</v>
      </c>
      <c r="K132" s="355">
        <v>0</v>
      </c>
      <c r="L132" s="356">
        <f t="shared" ref="L132:L151" si="7">G132-K132-J132</f>
        <v>0</v>
      </c>
      <c r="M132" s="324"/>
      <c r="N132" s="978" t="s">
        <v>28</v>
      </c>
      <c r="O132" s="979"/>
      <c r="P132" s="980"/>
      <c r="Q132" s="351"/>
      <c r="R132" s="352" t="s">
        <v>367</v>
      </c>
      <c r="S132" s="361" t="s">
        <v>25</v>
      </c>
      <c r="T132" s="929">
        <f t="shared" si="4"/>
        <v>0</v>
      </c>
      <c r="U132" s="929"/>
      <c r="V132" s="929"/>
      <c r="W132" s="354">
        <v>0</v>
      </c>
      <c r="X132" s="355">
        <v>0</v>
      </c>
      <c r="Y132" s="356">
        <f t="shared" si="5"/>
        <v>0</v>
      </c>
      <c r="Z132" s="357">
        <f t="shared" si="6"/>
        <v>0</v>
      </c>
      <c r="AA132" s="324"/>
      <c r="AC132" s="330" t="s">
        <v>368</v>
      </c>
      <c r="AD132" s="362" t="s">
        <v>368</v>
      </c>
      <c r="AE132" s="332">
        <f>AX224</f>
        <v>0</v>
      </c>
      <c r="AF132" s="333" t="str">
        <f t="shared" si="2"/>
        <v/>
      </c>
      <c r="AH132" s="308"/>
      <c r="AI132" s="896" t="s">
        <v>369</v>
      </c>
      <c r="AJ132" s="897"/>
      <c r="AK132" s="897"/>
      <c r="AL132" s="897"/>
      <c r="AM132" s="897"/>
      <c r="AN132" s="363" t="s">
        <v>370</v>
      </c>
      <c r="AO132" s="317">
        <f t="shared" si="0"/>
        <v>0</v>
      </c>
      <c r="AP132" s="318"/>
      <c r="AQ132" s="308"/>
      <c r="AR132" s="911" t="s">
        <v>371</v>
      </c>
      <c r="AS132" s="912"/>
      <c r="AT132" s="912"/>
      <c r="AU132" s="912"/>
      <c r="AV132" s="912"/>
      <c r="AW132" s="364" t="s">
        <v>372</v>
      </c>
      <c r="AX132" s="317">
        <f t="shared" si="1"/>
        <v>0</v>
      </c>
      <c r="AY132" s="327"/>
      <c r="AZ132" s="308"/>
      <c r="BA132" s="311"/>
      <c r="BC132" s="328"/>
      <c r="BD132" s="328"/>
      <c r="BE132" s="329"/>
      <c r="BF132" s="329"/>
    </row>
    <row r="133" spans="1:58" ht="17.25" customHeight="1" thickBot="1" x14ac:dyDescent="0.3">
      <c r="A133" s="978" t="s">
        <v>22</v>
      </c>
      <c r="B133" s="979"/>
      <c r="C133" s="980"/>
      <c r="D133" s="351"/>
      <c r="E133" s="352" t="s">
        <v>367</v>
      </c>
      <c r="F133" s="365" t="s">
        <v>71</v>
      </c>
      <c r="G133" s="926">
        <f t="shared" si="3"/>
        <v>0</v>
      </c>
      <c r="H133" s="927"/>
      <c r="I133" s="928"/>
      <c r="J133" s="354">
        <v>0</v>
      </c>
      <c r="K133" s="355">
        <v>0</v>
      </c>
      <c r="L133" s="356">
        <f t="shared" si="7"/>
        <v>0</v>
      </c>
      <c r="M133" s="324"/>
      <c r="N133" s="978" t="s">
        <v>22</v>
      </c>
      <c r="O133" s="979"/>
      <c r="P133" s="980"/>
      <c r="Q133" s="351"/>
      <c r="R133" s="352" t="s">
        <v>367</v>
      </c>
      <c r="S133" s="365" t="s">
        <v>71</v>
      </c>
      <c r="T133" s="929">
        <f t="shared" si="4"/>
        <v>0</v>
      </c>
      <c r="U133" s="929"/>
      <c r="V133" s="929"/>
      <c r="W133" s="354">
        <v>0</v>
      </c>
      <c r="X133" s="355">
        <v>0</v>
      </c>
      <c r="Y133" s="356">
        <f t="shared" si="5"/>
        <v>0</v>
      </c>
      <c r="Z133" s="357">
        <f t="shared" si="6"/>
        <v>0</v>
      </c>
      <c r="AA133" s="324"/>
      <c r="AC133" s="330" t="s">
        <v>373</v>
      </c>
      <c r="AD133" s="366" t="s">
        <v>373</v>
      </c>
      <c r="AE133" s="332">
        <f>AO241</f>
        <v>0</v>
      </c>
      <c r="AF133" s="333" t="str">
        <f t="shared" si="2"/>
        <v/>
      </c>
      <c r="AH133" s="308"/>
      <c r="AI133" s="896" t="s">
        <v>374</v>
      </c>
      <c r="AJ133" s="897"/>
      <c r="AK133" s="897"/>
      <c r="AL133" s="897"/>
      <c r="AM133" s="897"/>
      <c r="AN133" s="367" t="s">
        <v>375</v>
      </c>
      <c r="AO133" s="317">
        <f t="shared" si="0"/>
        <v>0</v>
      </c>
      <c r="AP133" s="318"/>
      <c r="AQ133" s="308"/>
      <c r="AR133" s="911" t="s">
        <v>376</v>
      </c>
      <c r="AS133" s="912"/>
      <c r="AT133" s="912"/>
      <c r="AU133" s="912"/>
      <c r="AV133" s="912"/>
      <c r="AW133" s="368" t="s">
        <v>377</v>
      </c>
      <c r="AX133" s="317">
        <f t="shared" si="1"/>
        <v>0</v>
      </c>
      <c r="AY133" s="327"/>
      <c r="AZ133" s="308"/>
      <c r="BA133" s="311"/>
      <c r="BC133" s="344"/>
      <c r="BD133" s="344"/>
      <c r="BE133" s="369"/>
      <c r="BF133" s="369"/>
    </row>
    <row r="134" spans="1:58" ht="17.25" customHeight="1" thickBot="1" x14ac:dyDescent="0.3">
      <c r="A134" s="978" t="s">
        <v>73</v>
      </c>
      <c r="B134" s="979"/>
      <c r="C134" s="980"/>
      <c r="D134" s="351" t="s">
        <v>378</v>
      </c>
      <c r="E134" s="352" t="s">
        <v>367</v>
      </c>
      <c r="F134" s="370" t="s">
        <v>72</v>
      </c>
      <c r="G134" s="926">
        <f t="shared" si="3"/>
        <v>0</v>
      </c>
      <c r="H134" s="927"/>
      <c r="I134" s="928"/>
      <c r="J134" s="354">
        <v>0</v>
      </c>
      <c r="K134" s="355">
        <v>0</v>
      </c>
      <c r="L134" s="356">
        <f t="shared" si="7"/>
        <v>0</v>
      </c>
      <c r="M134" s="324"/>
      <c r="N134" s="978" t="s">
        <v>73</v>
      </c>
      <c r="O134" s="979"/>
      <c r="P134" s="980"/>
      <c r="Q134" s="351" t="s">
        <v>378</v>
      </c>
      <c r="R134" s="352" t="s">
        <v>367</v>
      </c>
      <c r="S134" s="370" t="s">
        <v>72</v>
      </c>
      <c r="T134" s="929">
        <f t="shared" si="4"/>
        <v>0</v>
      </c>
      <c r="U134" s="929"/>
      <c r="V134" s="929"/>
      <c r="W134" s="354">
        <v>0</v>
      </c>
      <c r="X134" s="355">
        <v>0</v>
      </c>
      <c r="Y134" s="356">
        <f t="shared" si="5"/>
        <v>0</v>
      </c>
      <c r="Z134" s="357">
        <f t="shared" si="6"/>
        <v>0</v>
      </c>
      <c r="AA134" s="324"/>
      <c r="AC134" s="330" t="s">
        <v>379</v>
      </c>
      <c r="AD134" s="371" t="s">
        <v>380</v>
      </c>
      <c r="AE134" s="332">
        <f>AO252</f>
        <v>0</v>
      </c>
      <c r="AF134" s="333" t="str">
        <f t="shared" si="2"/>
        <v/>
      </c>
      <c r="AH134" s="308"/>
      <c r="AI134" s="896" t="s">
        <v>381</v>
      </c>
      <c r="AJ134" s="897"/>
      <c r="AK134" s="897"/>
      <c r="AL134" s="897"/>
      <c r="AM134" s="897"/>
      <c r="AN134" s="372" t="s">
        <v>382</v>
      </c>
      <c r="AO134" s="317">
        <f t="shared" si="0"/>
        <v>0</v>
      </c>
      <c r="AP134" s="318"/>
      <c r="AQ134" s="308"/>
      <c r="AR134" s="911" t="s">
        <v>383</v>
      </c>
      <c r="AS134" s="912"/>
      <c r="AT134" s="912"/>
      <c r="AU134" s="912"/>
      <c r="AV134" s="912"/>
      <c r="AW134" s="373" t="s">
        <v>384</v>
      </c>
      <c r="AX134" s="317">
        <f t="shared" si="1"/>
        <v>0</v>
      </c>
      <c r="AY134" s="327"/>
      <c r="AZ134" s="308"/>
      <c r="BA134" s="311"/>
    </row>
    <row r="135" spans="1:58" ht="17.25" customHeight="1" thickBot="1" x14ac:dyDescent="0.3">
      <c r="A135" s="978" t="s">
        <v>45</v>
      </c>
      <c r="B135" s="979"/>
      <c r="C135" s="980"/>
      <c r="D135" s="351"/>
      <c r="E135" s="352" t="s">
        <v>367</v>
      </c>
      <c r="F135" s="374" t="s">
        <v>46</v>
      </c>
      <c r="G135" s="926">
        <f t="shared" si="3"/>
        <v>0</v>
      </c>
      <c r="H135" s="927"/>
      <c r="I135" s="928"/>
      <c r="J135" s="354">
        <v>0</v>
      </c>
      <c r="K135" s="355">
        <v>0</v>
      </c>
      <c r="L135" s="356">
        <f t="shared" si="7"/>
        <v>0</v>
      </c>
      <c r="M135" s="324"/>
      <c r="N135" s="978" t="s">
        <v>45</v>
      </c>
      <c r="O135" s="979"/>
      <c r="P135" s="980"/>
      <c r="Q135" s="351"/>
      <c r="R135" s="352" t="s">
        <v>367</v>
      </c>
      <c r="S135" s="374" t="s">
        <v>46</v>
      </c>
      <c r="T135" s="929">
        <f t="shared" si="4"/>
        <v>0</v>
      </c>
      <c r="U135" s="929"/>
      <c r="V135" s="929"/>
      <c r="W135" s="354">
        <v>0</v>
      </c>
      <c r="X135" s="355">
        <v>0</v>
      </c>
      <c r="Y135" s="356">
        <f t="shared" si="5"/>
        <v>0</v>
      </c>
      <c r="Z135" s="357">
        <f t="shared" si="6"/>
        <v>0</v>
      </c>
      <c r="AA135" s="324" t="b">
        <f>IFERROR(T137&gt;0.5,FALSE)</f>
        <v>0</v>
      </c>
      <c r="AC135" s="330" t="s">
        <v>385</v>
      </c>
      <c r="AD135" s="375" t="s">
        <v>386</v>
      </c>
      <c r="AE135" s="332">
        <f>AO308</f>
        <v>0</v>
      </c>
      <c r="AF135" s="333" t="str">
        <f t="shared" si="2"/>
        <v/>
      </c>
      <c r="AH135" s="308"/>
      <c r="AI135" s="896" t="s">
        <v>387</v>
      </c>
      <c r="AJ135" s="897"/>
      <c r="AK135" s="897"/>
      <c r="AL135" s="897"/>
      <c r="AM135" s="897"/>
      <c r="AN135" s="376" t="s">
        <v>388</v>
      </c>
      <c r="AO135" s="317">
        <f t="shared" si="0"/>
        <v>0</v>
      </c>
      <c r="AP135" s="318"/>
      <c r="AQ135" s="308"/>
      <c r="AR135" s="911" t="s">
        <v>389</v>
      </c>
      <c r="AS135" s="912"/>
      <c r="AT135" s="912"/>
      <c r="AU135" s="912"/>
      <c r="AV135" s="912"/>
      <c r="AW135" s="377" t="s">
        <v>390</v>
      </c>
      <c r="AX135" s="317">
        <f t="shared" si="1"/>
        <v>0</v>
      </c>
      <c r="AY135" s="327"/>
      <c r="AZ135" s="308"/>
      <c r="BA135" s="311"/>
    </row>
    <row r="136" spans="1:58" ht="17.25" customHeight="1" thickBot="1" x14ac:dyDescent="0.3">
      <c r="A136" s="978" t="s">
        <v>75</v>
      </c>
      <c r="B136" s="979"/>
      <c r="C136" s="980"/>
      <c r="D136" s="351" t="s">
        <v>137</v>
      </c>
      <c r="E136" s="352" t="s">
        <v>367</v>
      </c>
      <c r="F136" s="378" t="s">
        <v>74</v>
      </c>
      <c r="G136" s="926">
        <f t="shared" si="3"/>
        <v>0</v>
      </c>
      <c r="H136" s="927"/>
      <c r="I136" s="928"/>
      <c r="J136" s="354">
        <v>0</v>
      </c>
      <c r="K136" s="355">
        <v>0</v>
      </c>
      <c r="L136" s="356">
        <f t="shared" si="7"/>
        <v>0</v>
      </c>
      <c r="M136" s="324"/>
      <c r="N136" s="978" t="s">
        <v>75</v>
      </c>
      <c r="O136" s="979"/>
      <c r="P136" s="980"/>
      <c r="Q136" s="351" t="s">
        <v>137</v>
      </c>
      <c r="R136" s="352" t="s">
        <v>367</v>
      </c>
      <c r="S136" s="378" t="s">
        <v>74</v>
      </c>
      <c r="T136" s="929">
        <f t="shared" si="4"/>
        <v>0</v>
      </c>
      <c r="U136" s="929"/>
      <c r="V136" s="929"/>
      <c r="W136" s="354">
        <v>0</v>
      </c>
      <c r="X136" s="355">
        <v>0</v>
      </c>
      <c r="Y136" s="356">
        <f t="shared" si="5"/>
        <v>0</v>
      </c>
      <c r="Z136" s="357">
        <f t="shared" si="6"/>
        <v>0</v>
      </c>
      <c r="AA136" s="324" t="b">
        <f>IFERROR(T138&gt;0.5,FALSE)</f>
        <v>0</v>
      </c>
      <c r="AC136" s="330" t="s">
        <v>391</v>
      </c>
      <c r="AD136" s="379" t="s">
        <v>392</v>
      </c>
      <c r="AE136" s="332">
        <f>AO272</f>
        <v>0</v>
      </c>
      <c r="AF136" s="333" t="str">
        <f t="shared" si="2"/>
        <v/>
      </c>
      <c r="AH136" s="308"/>
      <c r="AI136" s="896" t="s">
        <v>393</v>
      </c>
      <c r="AJ136" s="897"/>
      <c r="AK136" s="897"/>
      <c r="AL136" s="897"/>
      <c r="AM136" s="897"/>
      <c r="AN136" s="380" t="s">
        <v>394</v>
      </c>
      <c r="AO136" s="317">
        <f t="shared" si="0"/>
        <v>0</v>
      </c>
      <c r="AP136" s="318"/>
      <c r="AQ136" s="308"/>
      <c r="AR136" s="911" t="s">
        <v>395</v>
      </c>
      <c r="AS136" s="912"/>
      <c r="AT136" s="912"/>
      <c r="AU136" s="912"/>
      <c r="AV136" s="912"/>
      <c r="AW136" s="381" t="s">
        <v>396</v>
      </c>
      <c r="AX136" s="317">
        <f t="shared" si="1"/>
        <v>0</v>
      </c>
      <c r="AY136" s="327"/>
      <c r="AZ136" s="308"/>
      <c r="BA136" s="311"/>
    </row>
    <row r="137" spans="1:58" ht="17.25" customHeight="1" thickBot="1" x14ac:dyDescent="0.3">
      <c r="A137" s="978" t="s">
        <v>8</v>
      </c>
      <c r="B137" s="979"/>
      <c r="C137" s="980"/>
      <c r="D137" s="351"/>
      <c r="E137" s="352" t="s">
        <v>367</v>
      </c>
      <c r="F137" s="382" t="s">
        <v>9</v>
      </c>
      <c r="G137" s="926">
        <f t="shared" si="3"/>
        <v>0</v>
      </c>
      <c r="H137" s="927"/>
      <c r="I137" s="928"/>
      <c r="J137" s="354">
        <v>0</v>
      </c>
      <c r="K137" s="355">
        <v>0</v>
      </c>
      <c r="L137" s="356">
        <f t="shared" si="7"/>
        <v>0</v>
      </c>
      <c r="M137" s="324"/>
      <c r="N137" s="978" t="s">
        <v>8</v>
      </c>
      <c r="O137" s="979"/>
      <c r="P137" s="980"/>
      <c r="Q137" s="351"/>
      <c r="R137" s="352" t="s">
        <v>367</v>
      </c>
      <c r="S137" s="382" t="s">
        <v>9</v>
      </c>
      <c r="T137" s="929">
        <f t="shared" si="4"/>
        <v>0</v>
      </c>
      <c r="U137" s="929"/>
      <c r="V137" s="929"/>
      <c r="W137" s="354">
        <v>0</v>
      </c>
      <c r="X137" s="355">
        <v>0</v>
      </c>
      <c r="Y137" s="356">
        <f t="shared" si="5"/>
        <v>0</v>
      </c>
      <c r="Z137" s="357">
        <f t="shared" si="6"/>
        <v>0</v>
      </c>
      <c r="AA137" s="324"/>
      <c r="AC137" s="330" t="s">
        <v>397</v>
      </c>
      <c r="AD137" s="383" t="s">
        <v>57</v>
      </c>
      <c r="AE137" s="332">
        <f>AX265</f>
        <v>0</v>
      </c>
      <c r="AF137" s="333" t="str">
        <f t="shared" si="2"/>
        <v/>
      </c>
      <c r="AH137" s="308"/>
      <c r="AI137" s="896" t="s">
        <v>398</v>
      </c>
      <c r="AJ137" s="897"/>
      <c r="AK137" s="897"/>
      <c r="AL137" s="897"/>
      <c r="AM137" s="897"/>
      <c r="AN137" s="384" t="s">
        <v>399</v>
      </c>
      <c r="AO137" s="317">
        <f t="shared" si="0"/>
        <v>0</v>
      </c>
      <c r="AP137" s="318"/>
      <c r="AQ137" s="308"/>
      <c r="AR137" s="911" t="s">
        <v>400</v>
      </c>
      <c r="AS137" s="912"/>
      <c r="AT137" s="912"/>
      <c r="AU137" s="912"/>
      <c r="AV137" s="912"/>
      <c r="AW137" s="385" t="s">
        <v>401</v>
      </c>
      <c r="AX137" s="317">
        <f t="shared" si="1"/>
        <v>0</v>
      </c>
      <c r="AY137" s="327"/>
      <c r="AZ137" s="308"/>
      <c r="BA137" s="311"/>
    </row>
    <row r="138" spans="1:58" ht="17.25" customHeight="1" thickBot="1" x14ac:dyDescent="0.3">
      <c r="A138" s="978" t="s">
        <v>15</v>
      </c>
      <c r="B138" s="979"/>
      <c r="C138" s="980"/>
      <c r="D138" s="351"/>
      <c r="E138" s="352"/>
      <c r="F138" s="386" t="s">
        <v>14</v>
      </c>
      <c r="G138" s="926">
        <f t="shared" si="3"/>
        <v>0</v>
      </c>
      <c r="H138" s="927"/>
      <c r="I138" s="928"/>
      <c r="J138" s="354">
        <v>0</v>
      </c>
      <c r="K138" s="355">
        <v>0</v>
      </c>
      <c r="L138" s="356">
        <f t="shared" si="7"/>
        <v>0</v>
      </c>
      <c r="M138" s="324"/>
      <c r="N138" s="978" t="s">
        <v>15</v>
      </c>
      <c r="O138" s="979"/>
      <c r="P138" s="980"/>
      <c r="Q138" s="351"/>
      <c r="R138" s="352"/>
      <c r="S138" s="386" t="s">
        <v>14</v>
      </c>
      <c r="T138" s="929">
        <f t="shared" si="4"/>
        <v>0</v>
      </c>
      <c r="U138" s="929"/>
      <c r="V138" s="929"/>
      <c r="W138" s="354">
        <v>0</v>
      </c>
      <c r="X138" s="355">
        <v>0</v>
      </c>
      <c r="Y138" s="356">
        <f t="shared" si="5"/>
        <v>0</v>
      </c>
      <c r="Z138" s="357">
        <f t="shared" si="6"/>
        <v>0</v>
      </c>
      <c r="AA138" s="324"/>
      <c r="AC138" s="330" t="s">
        <v>402</v>
      </c>
      <c r="AD138" s="387" t="s">
        <v>402</v>
      </c>
      <c r="AE138" s="332">
        <f>AX270</f>
        <v>0</v>
      </c>
      <c r="AF138" s="333" t="str">
        <f t="shared" si="2"/>
        <v/>
      </c>
      <c r="AH138" s="308"/>
      <c r="AI138" s="896" t="s">
        <v>403</v>
      </c>
      <c r="AJ138" s="897"/>
      <c r="AK138" s="897"/>
      <c r="AL138" s="897"/>
      <c r="AM138" s="897"/>
      <c r="AN138" s="384" t="s">
        <v>404</v>
      </c>
      <c r="AO138" s="317">
        <f t="shared" si="0"/>
        <v>0</v>
      </c>
      <c r="AP138" s="318"/>
      <c r="AQ138" s="308"/>
      <c r="AR138" s="911" t="s">
        <v>405</v>
      </c>
      <c r="AS138" s="912"/>
      <c r="AT138" s="912"/>
      <c r="AU138" s="912"/>
      <c r="AV138" s="912"/>
      <c r="AW138" s="388" t="s">
        <v>406</v>
      </c>
      <c r="AX138" s="317">
        <f t="shared" si="1"/>
        <v>0</v>
      </c>
      <c r="AY138" s="327"/>
      <c r="AZ138" s="308"/>
      <c r="BA138" s="311"/>
    </row>
    <row r="139" spans="1:58" ht="17.25" customHeight="1" thickBot="1" x14ac:dyDescent="0.3">
      <c r="A139" s="978" t="s">
        <v>29</v>
      </c>
      <c r="B139" s="979"/>
      <c r="C139" s="980"/>
      <c r="D139" s="351"/>
      <c r="E139" s="352"/>
      <c r="F139" s="389" t="s">
        <v>26</v>
      </c>
      <c r="G139" s="926">
        <f t="shared" si="3"/>
        <v>0</v>
      </c>
      <c r="H139" s="927"/>
      <c r="I139" s="928"/>
      <c r="J139" s="354">
        <v>0</v>
      </c>
      <c r="K139" s="355">
        <v>0</v>
      </c>
      <c r="L139" s="356">
        <f t="shared" si="7"/>
        <v>0</v>
      </c>
      <c r="M139" s="324"/>
      <c r="N139" s="978" t="s">
        <v>29</v>
      </c>
      <c r="O139" s="979"/>
      <c r="P139" s="980"/>
      <c r="Q139" s="351"/>
      <c r="R139" s="352"/>
      <c r="S139" s="389" t="s">
        <v>26</v>
      </c>
      <c r="T139" s="929">
        <f t="shared" si="4"/>
        <v>0</v>
      </c>
      <c r="U139" s="929"/>
      <c r="V139" s="929"/>
      <c r="W139" s="354">
        <v>0</v>
      </c>
      <c r="X139" s="355">
        <v>0</v>
      </c>
      <c r="Y139" s="356">
        <f t="shared" si="5"/>
        <v>0</v>
      </c>
      <c r="Z139" s="357">
        <f t="shared" si="6"/>
        <v>0</v>
      </c>
      <c r="AA139" s="324"/>
      <c r="AC139" s="390" t="s">
        <v>407</v>
      </c>
      <c r="AD139" s="391" t="s">
        <v>408</v>
      </c>
      <c r="AE139" s="332">
        <f>AX283</f>
        <v>0</v>
      </c>
      <c r="AF139" s="333" t="str">
        <f t="shared" si="2"/>
        <v/>
      </c>
      <c r="AH139" s="308"/>
      <c r="AI139" s="896" t="s">
        <v>409</v>
      </c>
      <c r="AJ139" s="897"/>
      <c r="AK139" s="897"/>
      <c r="AL139" s="897"/>
      <c r="AM139" s="897"/>
      <c r="AN139" s="392" t="s">
        <v>410</v>
      </c>
      <c r="AO139" s="317">
        <f t="shared" si="0"/>
        <v>0</v>
      </c>
      <c r="AP139" s="318"/>
      <c r="AQ139" s="308"/>
      <c r="AR139" s="911" t="s">
        <v>411</v>
      </c>
      <c r="AS139" s="912"/>
      <c r="AT139" s="912"/>
      <c r="AU139" s="912"/>
      <c r="AV139" s="912"/>
      <c r="AW139" s="393" t="s">
        <v>412</v>
      </c>
      <c r="AX139" s="317">
        <f t="shared" si="1"/>
        <v>0</v>
      </c>
      <c r="AY139" s="327"/>
      <c r="AZ139" s="308"/>
      <c r="BA139" s="311"/>
    </row>
    <row r="140" spans="1:58" ht="17.25" customHeight="1" x14ac:dyDescent="0.25">
      <c r="A140" s="978" t="s">
        <v>77</v>
      </c>
      <c r="B140" s="979"/>
      <c r="C140" s="980"/>
      <c r="D140" s="351"/>
      <c r="E140" s="352" t="s">
        <v>367</v>
      </c>
      <c r="F140" s="2" t="s">
        <v>76</v>
      </c>
      <c r="G140" s="926">
        <f t="shared" si="3"/>
        <v>0</v>
      </c>
      <c r="H140" s="927"/>
      <c r="I140" s="928"/>
      <c r="J140" s="354">
        <v>0</v>
      </c>
      <c r="K140" s="355">
        <v>0</v>
      </c>
      <c r="L140" s="356">
        <f t="shared" si="7"/>
        <v>0</v>
      </c>
      <c r="M140" s="324"/>
      <c r="N140" s="978" t="s">
        <v>77</v>
      </c>
      <c r="O140" s="979"/>
      <c r="P140" s="980"/>
      <c r="Q140" s="351"/>
      <c r="R140" s="352" t="s">
        <v>367</v>
      </c>
      <c r="S140" s="2" t="s">
        <v>76</v>
      </c>
      <c r="T140" s="929">
        <f t="shared" si="4"/>
        <v>0</v>
      </c>
      <c r="U140" s="929"/>
      <c r="V140" s="929"/>
      <c r="W140" s="354">
        <v>0</v>
      </c>
      <c r="X140" s="355">
        <v>0</v>
      </c>
      <c r="Y140" s="356">
        <f t="shared" si="5"/>
        <v>0</v>
      </c>
      <c r="Z140" s="357">
        <f t="shared" si="6"/>
        <v>0</v>
      </c>
      <c r="AA140" s="324"/>
      <c r="AC140" s="390" t="s">
        <v>413</v>
      </c>
      <c r="AD140" s="394" t="s">
        <v>414</v>
      </c>
      <c r="AE140" s="332" t="s">
        <v>415</v>
      </c>
      <c r="AF140" s="333" t="str">
        <f t="shared" si="2"/>
        <v/>
      </c>
      <c r="AH140" s="308"/>
      <c r="AI140" s="896" t="s">
        <v>416</v>
      </c>
      <c r="AJ140" s="897"/>
      <c r="AK140" s="897"/>
      <c r="AL140" s="897"/>
      <c r="AM140" s="897"/>
      <c r="AN140" s="395" t="s">
        <v>417</v>
      </c>
      <c r="AO140" s="317">
        <f t="shared" si="0"/>
        <v>0</v>
      </c>
      <c r="AP140" s="318"/>
      <c r="AQ140" s="308"/>
      <c r="AR140" s="911" t="s">
        <v>418</v>
      </c>
      <c r="AS140" s="912"/>
      <c r="AT140" s="912"/>
      <c r="AU140" s="912"/>
      <c r="AV140" s="912"/>
      <c r="AW140" s="396" t="s">
        <v>419</v>
      </c>
      <c r="AX140" s="317">
        <f t="shared" si="1"/>
        <v>0</v>
      </c>
      <c r="AY140" s="327"/>
      <c r="AZ140" s="308"/>
      <c r="BA140" s="311"/>
    </row>
    <row r="141" spans="1:58" ht="17.25" customHeight="1" thickBot="1" x14ac:dyDescent="0.3">
      <c r="A141" s="978" t="s">
        <v>79</v>
      </c>
      <c r="B141" s="979"/>
      <c r="C141" s="980"/>
      <c r="D141" s="351"/>
      <c r="E141" s="352" t="s">
        <v>367</v>
      </c>
      <c r="F141" s="397" t="s">
        <v>78</v>
      </c>
      <c r="G141" s="926">
        <f t="shared" si="3"/>
        <v>0</v>
      </c>
      <c r="H141" s="927"/>
      <c r="I141" s="928"/>
      <c r="J141" s="354">
        <v>0</v>
      </c>
      <c r="K141" s="355">
        <v>0</v>
      </c>
      <c r="L141" s="356">
        <f t="shared" si="7"/>
        <v>0</v>
      </c>
      <c r="M141" s="324"/>
      <c r="N141" s="978" t="s">
        <v>79</v>
      </c>
      <c r="O141" s="979"/>
      <c r="P141" s="980"/>
      <c r="Q141" s="351"/>
      <c r="R141" s="352" t="s">
        <v>367</v>
      </c>
      <c r="S141" s="397" t="s">
        <v>78</v>
      </c>
      <c r="T141" s="929">
        <f t="shared" si="4"/>
        <v>0</v>
      </c>
      <c r="U141" s="929"/>
      <c r="V141" s="929"/>
      <c r="W141" s="354">
        <v>0</v>
      </c>
      <c r="X141" s="355">
        <v>0</v>
      </c>
      <c r="Y141" s="356">
        <f t="shared" si="5"/>
        <v>0</v>
      </c>
      <c r="Z141" s="357">
        <f t="shared" si="6"/>
        <v>0</v>
      </c>
      <c r="AA141" s="324"/>
      <c r="AC141" s="390" t="s">
        <v>420</v>
      </c>
      <c r="AD141" s="398" t="s">
        <v>421</v>
      </c>
      <c r="AE141" s="332">
        <f>AX287</f>
        <v>0</v>
      </c>
      <c r="AF141" s="333" t="str">
        <f t="shared" si="2"/>
        <v/>
      </c>
      <c r="AH141" s="308"/>
      <c r="AI141" s="896" t="s">
        <v>422</v>
      </c>
      <c r="AJ141" s="897"/>
      <c r="AK141" s="897"/>
      <c r="AL141" s="897"/>
      <c r="AM141" s="897"/>
      <c r="AN141" s="399" t="s">
        <v>423</v>
      </c>
      <c r="AO141" s="317">
        <f t="shared" si="0"/>
        <v>0</v>
      </c>
      <c r="AP141" s="318"/>
      <c r="AQ141" s="308"/>
      <c r="AR141" s="911" t="s">
        <v>424</v>
      </c>
      <c r="AS141" s="912"/>
      <c r="AT141" s="912"/>
      <c r="AU141" s="912"/>
      <c r="AV141" s="912"/>
      <c r="AW141" s="400" t="s">
        <v>425</v>
      </c>
      <c r="AX141" s="317">
        <f t="shared" si="1"/>
        <v>0</v>
      </c>
      <c r="AY141" s="327"/>
      <c r="AZ141" s="308"/>
      <c r="BA141" s="311"/>
    </row>
    <row r="142" spans="1:58" ht="17.25" customHeight="1" thickBot="1" x14ac:dyDescent="0.3">
      <c r="A142" s="978" t="s">
        <v>80</v>
      </c>
      <c r="B142" s="979"/>
      <c r="C142" s="980"/>
      <c r="D142" s="351"/>
      <c r="E142" s="352"/>
      <c r="F142" s="401" t="s">
        <v>115</v>
      </c>
      <c r="G142" s="926">
        <f t="shared" si="3"/>
        <v>0</v>
      </c>
      <c r="H142" s="927"/>
      <c r="I142" s="928"/>
      <c r="J142" s="354">
        <v>0</v>
      </c>
      <c r="K142" s="355">
        <v>0</v>
      </c>
      <c r="L142" s="356">
        <f t="shared" si="7"/>
        <v>0</v>
      </c>
      <c r="M142" s="324"/>
      <c r="N142" s="978" t="s">
        <v>80</v>
      </c>
      <c r="O142" s="979"/>
      <c r="P142" s="980"/>
      <c r="Q142" s="351"/>
      <c r="R142" s="352"/>
      <c r="S142" s="401" t="s">
        <v>115</v>
      </c>
      <c r="T142" s="929">
        <f t="shared" si="4"/>
        <v>0</v>
      </c>
      <c r="U142" s="929"/>
      <c r="V142" s="929"/>
      <c r="W142" s="354">
        <v>0</v>
      </c>
      <c r="X142" s="355">
        <v>0</v>
      </c>
      <c r="Y142" s="356">
        <f t="shared" si="5"/>
        <v>0</v>
      </c>
      <c r="Z142" s="357">
        <f t="shared" si="6"/>
        <v>0</v>
      </c>
      <c r="AA142" s="324"/>
      <c r="AC142" s="390" t="s">
        <v>426</v>
      </c>
      <c r="AD142" s="402" t="s">
        <v>427</v>
      </c>
      <c r="AE142" s="332">
        <f>AO290</f>
        <v>0</v>
      </c>
      <c r="AF142" s="333" t="str">
        <f t="shared" si="2"/>
        <v/>
      </c>
      <c r="AH142" s="308"/>
      <c r="AI142" s="896" t="s">
        <v>428</v>
      </c>
      <c r="AJ142" s="897"/>
      <c r="AK142" s="897"/>
      <c r="AL142" s="897"/>
      <c r="AM142" s="897"/>
      <c r="AN142" s="403" t="s">
        <v>429</v>
      </c>
      <c r="AO142" s="317">
        <f t="shared" si="0"/>
        <v>0</v>
      </c>
      <c r="AP142" s="318"/>
      <c r="AQ142" s="308"/>
      <c r="AR142" s="911" t="s">
        <v>430</v>
      </c>
      <c r="AS142" s="912"/>
      <c r="AT142" s="912"/>
      <c r="AU142" s="912"/>
      <c r="AV142" s="912"/>
      <c r="AW142" s="404" t="s">
        <v>431</v>
      </c>
      <c r="AX142" s="317">
        <f t="shared" si="1"/>
        <v>0</v>
      </c>
      <c r="AY142" s="327"/>
      <c r="AZ142" s="308"/>
      <c r="BA142" s="311"/>
    </row>
    <row r="143" spans="1:58" ht="17.25" customHeight="1" thickBot="1" x14ac:dyDescent="0.3">
      <c r="A143" s="978" t="s">
        <v>36</v>
      </c>
      <c r="B143" s="979"/>
      <c r="C143" s="980"/>
      <c r="D143" s="351"/>
      <c r="E143" s="352" t="s">
        <v>367</v>
      </c>
      <c r="F143" s="405" t="s">
        <v>37</v>
      </c>
      <c r="G143" s="926">
        <f t="shared" si="3"/>
        <v>0</v>
      </c>
      <c r="H143" s="927"/>
      <c r="I143" s="928"/>
      <c r="J143" s="354">
        <v>0</v>
      </c>
      <c r="K143" s="355">
        <v>0</v>
      </c>
      <c r="L143" s="356">
        <f t="shared" si="7"/>
        <v>0</v>
      </c>
      <c r="M143" s="324"/>
      <c r="N143" s="978" t="s">
        <v>36</v>
      </c>
      <c r="O143" s="979"/>
      <c r="P143" s="980"/>
      <c r="Q143" s="351"/>
      <c r="R143" s="352" t="s">
        <v>367</v>
      </c>
      <c r="S143" s="405" t="s">
        <v>37</v>
      </c>
      <c r="T143" s="929">
        <f t="shared" si="4"/>
        <v>0</v>
      </c>
      <c r="U143" s="929"/>
      <c r="V143" s="929"/>
      <c r="W143" s="354">
        <v>0</v>
      </c>
      <c r="X143" s="355">
        <v>0</v>
      </c>
      <c r="Y143" s="356">
        <f t="shared" si="5"/>
        <v>0</v>
      </c>
      <c r="Z143" s="357">
        <f t="shared" si="6"/>
        <v>0</v>
      </c>
      <c r="AA143" s="324"/>
      <c r="AC143" s="390" t="s">
        <v>321</v>
      </c>
      <c r="AD143" s="406" t="s">
        <v>432</v>
      </c>
      <c r="AE143" s="332">
        <f>AX167</f>
        <v>0</v>
      </c>
      <c r="AF143" s="333" t="str">
        <f t="shared" si="2"/>
        <v/>
      </c>
      <c r="AH143" s="308"/>
      <c r="AI143" s="896" t="s">
        <v>433</v>
      </c>
      <c r="AJ143" s="897"/>
      <c r="AK143" s="897"/>
      <c r="AL143" s="897"/>
      <c r="AM143" s="897"/>
      <c r="AN143" s="407" t="s">
        <v>434</v>
      </c>
      <c r="AO143" s="317">
        <f t="shared" si="0"/>
        <v>0</v>
      </c>
      <c r="AP143" s="318"/>
      <c r="AQ143" s="308"/>
      <c r="AR143" s="911" t="s">
        <v>435</v>
      </c>
      <c r="AS143" s="912"/>
      <c r="AT143" s="912"/>
      <c r="AU143" s="912"/>
      <c r="AV143" s="912"/>
      <c r="AW143" s="404" t="s">
        <v>436</v>
      </c>
      <c r="AX143" s="317">
        <f t="shared" si="1"/>
        <v>0</v>
      </c>
      <c r="AY143" s="327"/>
      <c r="AZ143" s="308"/>
      <c r="BA143" s="311"/>
    </row>
    <row r="144" spans="1:58" ht="17.25" customHeight="1" x14ac:dyDescent="0.25">
      <c r="A144" s="978" t="s">
        <v>43</v>
      </c>
      <c r="B144" s="979"/>
      <c r="C144" s="980"/>
      <c r="D144" s="351"/>
      <c r="E144" s="352"/>
      <c r="F144" s="408" t="s">
        <v>44</v>
      </c>
      <c r="G144" s="926">
        <f t="shared" si="3"/>
        <v>0</v>
      </c>
      <c r="H144" s="927"/>
      <c r="I144" s="928"/>
      <c r="J144" s="354">
        <v>0</v>
      </c>
      <c r="K144" s="355">
        <v>0</v>
      </c>
      <c r="L144" s="356">
        <f t="shared" si="7"/>
        <v>0</v>
      </c>
      <c r="M144" s="324"/>
      <c r="N144" s="978" t="s">
        <v>43</v>
      </c>
      <c r="O144" s="979"/>
      <c r="P144" s="980"/>
      <c r="Q144" s="351"/>
      <c r="R144" s="352"/>
      <c r="S144" s="408" t="s">
        <v>44</v>
      </c>
      <c r="T144" s="929">
        <f t="shared" si="4"/>
        <v>0</v>
      </c>
      <c r="U144" s="929"/>
      <c r="V144" s="929"/>
      <c r="W144" s="354">
        <v>0</v>
      </c>
      <c r="X144" s="355">
        <v>0</v>
      </c>
      <c r="Y144" s="356">
        <f t="shared" si="5"/>
        <v>0</v>
      </c>
      <c r="Z144" s="357">
        <f t="shared" si="6"/>
        <v>0</v>
      </c>
      <c r="AA144" s="324"/>
      <c r="AC144" s="409" t="s">
        <v>166</v>
      </c>
      <c r="AD144" s="410" t="s">
        <v>437</v>
      </c>
      <c r="AE144" s="332">
        <f t="shared" ref="AE144" si="8">COUNTIF($P$1:$Q$1,AD144)</f>
        <v>0</v>
      </c>
      <c r="AF144" s="333" t="str">
        <f t="shared" si="2"/>
        <v/>
      </c>
      <c r="AH144" s="308"/>
      <c r="AI144" s="896" t="s">
        <v>438</v>
      </c>
      <c r="AJ144" s="897"/>
      <c r="AK144" s="897"/>
      <c r="AL144" s="897"/>
      <c r="AM144" s="897"/>
      <c r="AN144" s="411" t="s">
        <v>439</v>
      </c>
      <c r="AO144" s="317">
        <f t="shared" si="0"/>
        <v>0</v>
      </c>
      <c r="AP144" s="318"/>
      <c r="AQ144" s="308"/>
      <c r="AR144" s="911" t="s">
        <v>440</v>
      </c>
      <c r="AS144" s="912"/>
      <c r="AT144" s="912"/>
      <c r="AU144" s="912"/>
      <c r="AV144" s="912"/>
      <c r="AW144" s="412" t="s">
        <v>441</v>
      </c>
      <c r="AX144" s="317">
        <f t="shared" si="1"/>
        <v>0</v>
      </c>
      <c r="AY144" s="327"/>
      <c r="AZ144" s="308"/>
      <c r="BA144" s="311"/>
      <c r="BB144" s="308"/>
      <c r="BC144" s="308"/>
      <c r="BD144" s="308"/>
      <c r="BE144" s="308"/>
      <c r="BF144" s="308"/>
    </row>
    <row r="145" spans="1:58" ht="17.25" customHeight="1" thickBot="1" x14ac:dyDescent="0.3">
      <c r="A145" s="978" t="s">
        <v>16</v>
      </c>
      <c r="B145" s="979"/>
      <c r="C145" s="980"/>
      <c r="D145" s="351"/>
      <c r="E145" s="352"/>
      <c r="F145" s="413" t="s">
        <v>7</v>
      </c>
      <c r="G145" s="926">
        <f t="shared" si="3"/>
        <v>0</v>
      </c>
      <c r="H145" s="927"/>
      <c r="I145" s="928"/>
      <c r="J145" s="354">
        <v>0</v>
      </c>
      <c r="K145" s="355">
        <v>0</v>
      </c>
      <c r="L145" s="356">
        <f t="shared" si="7"/>
        <v>0</v>
      </c>
      <c r="M145" s="324"/>
      <c r="N145" s="978" t="s">
        <v>16</v>
      </c>
      <c r="O145" s="979"/>
      <c r="P145" s="980"/>
      <c r="Q145" s="351"/>
      <c r="R145" s="352"/>
      <c r="S145" s="413" t="s">
        <v>7</v>
      </c>
      <c r="T145" s="929">
        <f t="shared" si="4"/>
        <v>0</v>
      </c>
      <c r="U145" s="929"/>
      <c r="V145" s="929"/>
      <c r="W145" s="354">
        <v>0</v>
      </c>
      <c r="X145" s="355">
        <v>0</v>
      </c>
      <c r="Y145" s="356">
        <f t="shared" si="5"/>
        <v>0</v>
      </c>
      <c r="Z145" s="357">
        <f t="shared" si="6"/>
        <v>0</v>
      </c>
      <c r="AA145" s="324"/>
      <c r="AC145" s="390" t="s">
        <v>442</v>
      </c>
      <c r="AD145" s="414" t="s">
        <v>443</v>
      </c>
      <c r="AE145" s="332">
        <f>COUNTIF($P$1:$Q$1,AD145)</f>
        <v>0</v>
      </c>
      <c r="AF145" s="333" t="str">
        <f t="shared" si="2"/>
        <v/>
      </c>
      <c r="AH145" s="308"/>
      <c r="AI145" s="896" t="s">
        <v>444</v>
      </c>
      <c r="AJ145" s="897"/>
      <c r="AK145" s="897"/>
      <c r="AL145" s="897"/>
      <c r="AM145" s="897"/>
      <c r="AN145" s="415" t="s">
        <v>445</v>
      </c>
      <c r="AO145" s="317">
        <f t="shared" si="0"/>
        <v>0</v>
      </c>
      <c r="AP145" s="318"/>
      <c r="AQ145" s="308"/>
      <c r="AR145" s="911" t="s">
        <v>446</v>
      </c>
      <c r="AS145" s="912"/>
      <c r="AT145" s="912"/>
      <c r="AU145" s="912"/>
      <c r="AV145" s="912"/>
      <c r="AW145" s="416" t="s">
        <v>447</v>
      </c>
      <c r="AX145" s="317">
        <f t="shared" si="1"/>
        <v>0</v>
      </c>
      <c r="AY145" s="327"/>
      <c r="AZ145" s="308"/>
      <c r="BA145" s="311"/>
      <c r="BB145" s="308"/>
      <c r="BC145" s="308"/>
      <c r="BD145" s="308"/>
      <c r="BE145" s="308"/>
      <c r="BF145" s="308"/>
    </row>
    <row r="146" spans="1:58" ht="17.25" customHeight="1" thickBot="1" x14ac:dyDescent="0.3">
      <c r="A146" s="978" t="s">
        <v>21</v>
      </c>
      <c r="B146" s="979"/>
      <c r="C146" s="980"/>
      <c r="D146" s="351"/>
      <c r="E146" s="352"/>
      <c r="F146" s="417" t="s">
        <v>11</v>
      </c>
      <c r="G146" s="926">
        <f t="shared" si="3"/>
        <v>0</v>
      </c>
      <c r="H146" s="927"/>
      <c r="I146" s="928"/>
      <c r="J146" s="354">
        <v>0</v>
      </c>
      <c r="K146" s="355">
        <v>0</v>
      </c>
      <c r="L146" s="356">
        <f t="shared" si="7"/>
        <v>0</v>
      </c>
      <c r="M146" s="324"/>
      <c r="N146" s="978" t="s">
        <v>21</v>
      </c>
      <c r="O146" s="979"/>
      <c r="P146" s="980"/>
      <c r="Q146" s="351"/>
      <c r="R146" s="352"/>
      <c r="S146" s="417" t="s">
        <v>11</v>
      </c>
      <c r="T146" s="929">
        <f t="shared" si="4"/>
        <v>0</v>
      </c>
      <c r="U146" s="929"/>
      <c r="V146" s="929"/>
      <c r="W146" s="354">
        <v>0</v>
      </c>
      <c r="X146" s="355">
        <v>0</v>
      </c>
      <c r="Y146" s="356">
        <f t="shared" si="5"/>
        <v>0</v>
      </c>
      <c r="Z146" s="357">
        <f t="shared" si="6"/>
        <v>0</v>
      </c>
      <c r="AA146" s="324"/>
      <c r="AC146" s="390" t="s">
        <v>448</v>
      </c>
      <c r="AD146" s="418" t="s">
        <v>449</v>
      </c>
      <c r="AE146" s="332">
        <f>AO303</f>
        <v>0</v>
      </c>
      <c r="AF146" s="333" t="str">
        <f t="shared" si="2"/>
        <v/>
      </c>
      <c r="AH146" s="308"/>
      <c r="AI146" s="896" t="s">
        <v>450</v>
      </c>
      <c r="AJ146" s="897"/>
      <c r="AK146" s="897"/>
      <c r="AL146" s="897"/>
      <c r="AM146" s="897"/>
      <c r="AN146" s="419" t="s">
        <v>451</v>
      </c>
      <c r="AO146" s="317">
        <f t="shared" si="0"/>
        <v>0</v>
      </c>
      <c r="AP146" s="318"/>
      <c r="AQ146" s="308"/>
      <c r="AR146" s="911" t="s">
        <v>452</v>
      </c>
      <c r="AS146" s="912"/>
      <c r="AT146" s="912"/>
      <c r="AU146" s="912"/>
      <c r="AV146" s="912"/>
      <c r="AW146" s="420" t="s">
        <v>453</v>
      </c>
      <c r="AX146" s="317">
        <f t="shared" si="1"/>
        <v>0</v>
      </c>
      <c r="AY146" s="327"/>
      <c r="AZ146" s="308"/>
      <c r="BA146" s="311"/>
    </row>
    <row r="147" spans="1:58" ht="17.25" customHeight="1" thickBot="1" x14ac:dyDescent="0.3">
      <c r="A147" s="978" t="s">
        <v>81</v>
      </c>
      <c r="B147" s="979"/>
      <c r="C147" s="980"/>
      <c r="D147" s="351"/>
      <c r="E147" s="352" t="s">
        <v>367</v>
      </c>
      <c r="F147" s="421" t="s">
        <v>35</v>
      </c>
      <c r="G147" s="926">
        <f t="shared" si="3"/>
        <v>0</v>
      </c>
      <c r="H147" s="927"/>
      <c r="I147" s="928"/>
      <c r="J147" s="354">
        <v>0</v>
      </c>
      <c r="K147" s="355">
        <v>0</v>
      </c>
      <c r="L147" s="356">
        <f t="shared" si="7"/>
        <v>0</v>
      </c>
      <c r="M147" s="324"/>
      <c r="N147" s="978" t="s">
        <v>81</v>
      </c>
      <c r="O147" s="979"/>
      <c r="P147" s="980"/>
      <c r="Q147" s="351"/>
      <c r="R147" s="352" t="s">
        <v>367</v>
      </c>
      <c r="S147" s="421" t="s">
        <v>35</v>
      </c>
      <c r="T147" s="929">
        <f t="shared" si="4"/>
        <v>0</v>
      </c>
      <c r="U147" s="929"/>
      <c r="V147" s="929"/>
      <c r="W147" s="354">
        <v>0</v>
      </c>
      <c r="X147" s="355">
        <v>0</v>
      </c>
      <c r="Y147" s="356">
        <f t="shared" si="5"/>
        <v>0</v>
      </c>
      <c r="Z147" s="357">
        <f t="shared" si="6"/>
        <v>0</v>
      </c>
      <c r="AA147" s="324"/>
      <c r="AC147" s="390" t="s">
        <v>454</v>
      </c>
      <c r="AD147" s="422" t="s">
        <v>455</v>
      </c>
      <c r="AE147" s="332">
        <f>AX295</f>
        <v>0</v>
      </c>
      <c r="AF147" s="333" t="str">
        <f t="shared" si="2"/>
        <v/>
      </c>
      <c r="AH147" s="308"/>
      <c r="AI147" s="896" t="s">
        <v>456</v>
      </c>
      <c r="AJ147" s="897"/>
      <c r="AK147" s="897"/>
      <c r="AL147" s="897"/>
      <c r="AM147" s="897"/>
      <c r="AN147" s="423" t="s">
        <v>457</v>
      </c>
      <c r="AO147" s="317">
        <f t="shared" si="0"/>
        <v>0</v>
      </c>
      <c r="AP147" s="318"/>
      <c r="AQ147" s="308"/>
      <c r="AR147" s="911" t="s">
        <v>458</v>
      </c>
      <c r="AS147" s="912"/>
      <c r="AT147" s="912"/>
      <c r="AU147" s="912"/>
      <c r="AV147" s="912"/>
      <c r="AW147" s="381" t="s">
        <v>459</v>
      </c>
      <c r="AX147" s="317">
        <f t="shared" si="1"/>
        <v>0</v>
      </c>
      <c r="AY147" s="327"/>
      <c r="AZ147" s="308"/>
      <c r="BA147" s="311"/>
    </row>
    <row r="148" spans="1:58" ht="17.25" customHeight="1" thickBot="1" x14ac:dyDescent="0.3">
      <c r="A148" s="978" t="s">
        <v>12</v>
      </c>
      <c r="B148" s="979"/>
      <c r="C148" s="980"/>
      <c r="D148" s="351"/>
      <c r="E148" s="352"/>
      <c r="F148" s="424" t="s">
        <v>13</v>
      </c>
      <c r="G148" s="926">
        <f t="shared" si="3"/>
        <v>0</v>
      </c>
      <c r="H148" s="927"/>
      <c r="I148" s="928"/>
      <c r="J148" s="354">
        <v>0</v>
      </c>
      <c r="K148" s="355">
        <v>0</v>
      </c>
      <c r="L148" s="356">
        <f t="shared" si="7"/>
        <v>0</v>
      </c>
      <c r="M148" s="324"/>
      <c r="N148" s="978" t="s">
        <v>12</v>
      </c>
      <c r="O148" s="979"/>
      <c r="P148" s="980"/>
      <c r="Q148" s="351"/>
      <c r="R148" s="352"/>
      <c r="S148" s="424" t="s">
        <v>13</v>
      </c>
      <c r="T148" s="929">
        <f t="shared" si="4"/>
        <v>0</v>
      </c>
      <c r="U148" s="929"/>
      <c r="V148" s="929"/>
      <c r="W148" s="354">
        <v>0</v>
      </c>
      <c r="X148" s="355">
        <v>0</v>
      </c>
      <c r="Y148" s="356">
        <f t="shared" si="5"/>
        <v>0</v>
      </c>
      <c r="Z148" s="357">
        <f t="shared" si="6"/>
        <v>0</v>
      </c>
      <c r="AA148" s="324"/>
      <c r="AC148" s="390" t="s">
        <v>460</v>
      </c>
      <c r="AD148" s="425" t="s">
        <v>461</v>
      </c>
      <c r="AE148" s="332">
        <f>AO285</f>
        <v>0</v>
      </c>
      <c r="AF148" s="333" t="str">
        <f t="shared" si="2"/>
        <v/>
      </c>
      <c r="AH148" s="308"/>
      <c r="AI148" s="896" t="s">
        <v>462</v>
      </c>
      <c r="AJ148" s="897"/>
      <c r="AK148" s="897"/>
      <c r="AL148" s="897"/>
      <c r="AM148" s="897"/>
      <c r="AN148" s="415" t="s">
        <v>463</v>
      </c>
      <c r="AO148" s="317">
        <f t="shared" si="0"/>
        <v>0</v>
      </c>
      <c r="AP148" s="318"/>
      <c r="AQ148" s="308"/>
      <c r="AR148" s="911" t="s">
        <v>464</v>
      </c>
      <c r="AS148" s="912"/>
      <c r="AT148" s="912"/>
      <c r="AU148" s="912"/>
      <c r="AV148" s="912"/>
      <c r="AW148" s="426" t="s">
        <v>465</v>
      </c>
      <c r="AX148" s="317">
        <f t="shared" si="1"/>
        <v>0</v>
      </c>
      <c r="AY148" s="327"/>
      <c r="AZ148" s="308"/>
      <c r="BA148" s="311"/>
    </row>
    <row r="149" spans="1:58" ht="17.25" customHeight="1" thickBot="1" x14ac:dyDescent="0.3">
      <c r="A149" s="978" t="s">
        <v>83</v>
      </c>
      <c r="B149" s="979"/>
      <c r="C149" s="980"/>
      <c r="D149" s="351" t="s">
        <v>46</v>
      </c>
      <c r="E149" s="352"/>
      <c r="F149" s="427" t="s">
        <v>82</v>
      </c>
      <c r="G149" s="926">
        <f t="shared" si="3"/>
        <v>0</v>
      </c>
      <c r="H149" s="927"/>
      <c r="I149" s="928"/>
      <c r="J149" s="354">
        <v>0</v>
      </c>
      <c r="K149" s="355">
        <v>0</v>
      </c>
      <c r="L149" s="356">
        <f t="shared" si="7"/>
        <v>0</v>
      </c>
      <c r="M149" s="324"/>
      <c r="N149" s="978" t="s">
        <v>83</v>
      </c>
      <c r="O149" s="979"/>
      <c r="P149" s="980"/>
      <c r="Q149" s="351" t="s">
        <v>46</v>
      </c>
      <c r="R149" s="352"/>
      <c r="S149" s="427" t="s">
        <v>82</v>
      </c>
      <c r="T149" s="929">
        <f t="shared" si="4"/>
        <v>0</v>
      </c>
      <c r="U149" s="929"/>
      <c r="V149" s="929"/>
      <c r="W149" s="354">
        <v>0</v>
      </c>
      <c r="X149" s="355">
        <v>0</v>
      </c>
      <c r="Y149" s="356">
        <f t="shared" si="5"/>
        <v>0</v>
      </c>
      <c r="Z149" s="357">
        <f t="shared" si="6"/>
        <v>0</v>
      </c>
      <c r="AA149" s="324"/>
      <c r="AC149" s="409" t="s">
        <v>466</v>
      </c>
      <c r="AD149" s="428" t="s">
        <v>467</v>
      </c>
      <c r="AE149" s="332">
        <f>AX291</f>
        <v>0</v>
      </c>
      <c r="AF149" s="333" t="str">
        <f t="shared" si="2"/>
        <v/>
      </c>
      <c r="AH149" s="308"/>
      <c r="AI149" s="896" t="s">
        <v>468</v>
      </c>
      <c r="AJ149" s="897"/>
      <c r="AK149" s="897"/>
      <c r="AL149" s="897"/>
      <c r="AM149" s="897"/>
      <c r="AN149" s="429" t="s">
        <v>469</v>
      </c>
      <c r="AO149" s="317">
        <f t="shared" si="0"/>
        <v>0</v>
      </c>
      <c r="AP149" s="318"/>
      <c r="AQ149" s="308"/>
      <c r="AR149" s="911" t="s">
        <v>470</v>
      </c>
      <c r="AS149" s="912"/>
      <c r="AT149" s="912"/>
      <c r="AU149" s="912"/>
      <c r="AV149" s="912"/>
      <c r="AW149" s="430" t="s">
        <v>471</v>
      </c>
      <c r="AX149" s="317">
        <f t="shared" si="1"/>
        <v>0</v>
      </c>
      <c r="AY149" s="327"/>
      <c r="AZ149" s="308"/>
      <c r="BA149" s="311"/>
    </row>
    <row r="150" spans="1:58" ht="17.25" customHeight="1" thickBot="1" x14ac:dyDescent="0.3">
      <c r="A150" s="978" t="s">
        <v>85</v>
      </c>
      <c r="B150" s="979"/>
      <c r="C150" s="980"/>
      <c r="D150" s="351"/>
      <c r="E150" s="352" t="s">
        <v>367</v>
      </c>
      <c r="F150" s="431" t="s">
        <v>84</v>
      </c>
      <c r="G150" s="926">
        <f t="shared" si="3"/>
        <v>0</v>
      </c>
      <c r="H150" s="927"/>
      <c r="I150" s="928"/>
      <c r="J150" s="354">
        <v>0</v>
      </c>
      <c r="K150" s="355">
        <v>0</v>
      </c>
      <c r="L150" s="356">
        <f t="shared" si="7"/>
        <v>0</v>
      </c>
      <c r="M150" s="324"/>
      <c r="N150" s="978" t="s">
        <v>85</v>
      </c>
      <c r="O150" s="979"/>
      <c r="P150" s="980"/>
      <c r="Q150" s="351"/>
      <c r="R150" s="352" t="s">
        <v>367</v>
      </c>
      <c r="S150" s="431" t="s">
        <v>84</v>
      </c>
      <c r="T150" s="929">
        <f t="shared" si="4"/>
        <v>0</v>
      </c>
      <c r="U150" s="929"/>
      <c r="V150" s="929"/>
      <c r="W150" s="354">
        <v>0</v>
      </c>
      <c r="X150" s="355">
        <v>0</v>
      </c>
      <c r="Y150" s="356">
        <f t="shared" si="5"/>
        <v>0</v>
      </c>
      <c r="Z150" s="357">
        <f t="shared" si="6"/>
        <v>0</v>
      </c>
      <c r="AA150" s="324"/>
      <c r="AC150" s="390" t="s">
        <v>472</v>
      </c>
      <c r="AD150" s="425" t="s">
        <v>473</v>
      </c>
      <c r="AE150" s="332">
        <f>COUNTIF($A$1:$GO$103,AD150)</f>
        <v>0</v>
      </c>
      <c r="AF150" s="333" t="str">
        <f t="shared" si="2"/>
        <v/>
      </c>
      <c r="AH150" s="308"/>
      <c r="AI150" s="896" t="s">
        <v>474</v>
      </c>
      <c r="AJ150" s="897"/>
      <c r="AK150" s="897"/>
      <c r="AL150" s="897"/>
      <c r="AM150" s="897"/>
      <c r="AN150" s="432" t="s">
        <v>475</v>
      </c>
      <c r="AO150" s="317">
        <f t="shared" si="0"/>
        <v>0</v>
      </c>
      <c r="AP150" s="318"/>
      <c r="AQ150" s="308"/>
      <c r="AR150" s="911" t="s">
        <v>476</v>
      </c>
      <c r="AS150" s="912"/>
      <c r="AT150" s="912"/>
      <c r="AU150" s="912"/>
      <c r="AV150" s="912"/>
      <c r="AW150" s="433" t="s">
        <v>477</v>
      </c>
      <c r="AX150" s="317">
        <f t="shared" si="1"/>
        <v>0</v>
      </c>
      <c r="AY150" s="327"/>
      <c r="AZ150" s="308"/>
      <c r="BA150" s="311"/>
    </row>
    <row r="151" spans="1:58" ht="17.25" customHeight="1" thickBot="1" x14ac:dyDescent="0.3">
      <c r="A151" s="978" t="s">
        <v>87</v>
      </c>
      <c r="B151" s="979"/>
      <c r="C151" s="980"/>
      <c r="D151" s="351" t="s">
        <v>9</v>
      </c>
      <c r="E151" s="352" t="s">
        <v>367</v>
      </c>
      <c r="F151" s="434" t="s">
        <v>86</v>
      </c>
      <c r="G151" s="926">
        <f t="shared" si="3"/>
        <v>0</v>
      </c>
      <c r="H151" s="927"/>
      <c r="I151" s="928"/>
      <c r="J151" s="354">
        <v>0</v>
      </c>
      <c r="K151" s="355">
        <v>0</v>
      </c>
      <c r="L151" s="356">
        <f t="shared" si="7"/>
        <v>0</v>
      </c>
      <c r="M151" s="324"/>
      <c r="N151" s="978" t="s">
        <v>87</v>
      </c>
      <c r="O151" s="979"/>
      <c r="P151" s="980"/>
      <c r="Q151" s="351" t="s">
        <v>9</v>
      </c>
      <c r="R151" s="352" t="s">
        <v>367</v>
      </c>
      <c r="S151" s="434" t="s">
        <v>86</v>
      </c>
      <c r="T151" s="926">
        <f t="shared" si="4"/>
        <v>0</v>
      </c>
      <c r="U151" s="927"/>
      <c r="V151" s="928"/>
      <c r="W151" s="354">
        <v>0</v>
      </c>
      <c r="X151" s="355">
        <v>0</v>
      </c>
      <c r="Y151" s="356">
        <f t="shared" si="5"/>
        <v>0</v>
      </c>
      <c r="Z151" s="357">
        <f t="shared" si="6"/>
        <v>0</v>
      </c>
      <c r="AA151" s="324"/>
      <c r="AC151" s="1027" t="s">
        <v>478</v>
      </c>
      <c r="AD151" s="1028"/>
      <c r="AE151" s="1028"/>
      <c r="AF151" s="1028"/>
      <c r="AH151" s="308"/>
      <c r="AI151" s="896" t="s">
        <v>479</v>
      </c>
      <c r="AJ151" s="897"/>
      <c r="AK151" s="897"/>
      <c r="AL151" s="897"/>
      <c r="AM151" s="897"/>
      <c r="AN151" s="435" t="s">
        <v>480</v>
      </c>
      <c r="AO151" s="317">
        <f t="shared" si="0"/>
        <v>0</v>
      </c>
      <c r="AP151" s="318"/>
      <c r="AQ151" s="308"/>
      <c r="AR151" s="911" t="s">
        <v>481</v>
      </c>
      <c r="AS151" s="912"/>
      <c r="AT151" s="912"/>
      <c r="AU151" s="912"/>
      <c r="AV151" s="912"/>
      <c r="AW151" s="436" t="s">
        <v>482</v>
      </c>
      <c r="AX151" s="317">
        <f t="shared" si="1"/>
        <v>0</v>
      </c>
      <c r="AY151" s="327"/>
      <c r="AZ151" s="308"/>
      <c r="BA151" s="437"/>
    </row>
    <row r="152" spans="1:58" ht="17.25" customHeight="1" x14ac:dyDescent="0.25">
      <c r="A152" s="1024" t="s">
        <v>299</v>
      </c>
      <c r="B152" s="1025"/>
      <c r="C152" s="1025"/>
      <c r="D152" s="1025"/>
      <c r="E152" s="1025"/>
      <c r="F152" s="438"/>
      <c r="G152" s="1026">
        <f>SUM(G131:I151)</f>
        <v>0</v>
      </c>
      <c r="H152" s="1026"/>
      <c r="I152" s="1026"/>
      <c r="J152" s="439">
        <f>SUM(J131:J151)</f>
        <v>0</v>
      </c>
      <c r="K152" s="440">
        <f>SUM(K131:K151)</f>
        <v>0</v>
      </c>
      <c r="L152" s="356">
        <f>SUM(L131:L151)</f>
        <v>0</v>
      </c>
      <c r="M152" s="324"/>
      <c r="N152" s="1001" t="s">
        <v>299</v>
      </c>
      <c r="O152" s="1002"/>
      <c r="P152" s="1002"/>
      <c r="Q152" s="1002"/>
      <c r="R152" s="1002"/>
      <c r="S152" s="441"/>
      <c r="T152" s="1000">
        <f>SUM(T131:V151)</f>
        <v>0</v>
      </c>
      <c r="U152" s="1000"/>
      <c r="V152" s="1000"/>
      <c r="W152" s="439">
        <f>SUM(W131:W151)</f>
        <v>0</v>
      </c>
      <c r="X152" s="440">
        <f>SUM(X131:X151)</f>
        <v>0</v>
      </c>
      <c r="Y152" s="356">
        <f>SUM(Y131:Y151)</f>
        <v>0</v>
      </c>
      <c r="Z152" s="357">
        <f t="shared" si="6"/>
        <v>0</v>
      </c>
      <c r="AA152" s="324"/>
      <c r="AC152" s="442" t="s">
        <v>483</v>
      </c>
      <c r="AD152" s="443" t="s">
        <v>167</v>
      </c>
      <c r="AE152" s="332">
        <f t="shared" ref="AE152:AE215" si="9">COUNTIF($A$1:$GO$103,AD152)</f>
        <v>0</v>
      </c>
      <c r="AF152" s="333" t="str">
        <f>IFERROR(AE152/$J$4,"")</f>
        <v/>
      </c>
      <c r="AH152" s="308"/>
      <c r="AI152" s="896" t="s">
        <v>484</v>
      </c>
      <c r="AJ152" s="897"/>
      <c r="AK152" s="897"/>
      <c r="AL152" s="897"/>
      <c r="AM152" s="897"/>
      <c r="AN152" s="444" t="s">
        <v>485</v>
      </c>
      <c r="AO152" s="317">
        <f t="shared" si="0"/>
        <v>0</v>
      </c>
      <c r="AP152" s="318"/>
      <c r="AQ152" s="308"/>
      <c r="AR152" s="911" t="s">
        <v>486</v>
      </c>
      <c r="AS152" s="912"/>
      <c r="AT152" s="912"/>
      <c r="AU152" s="912"/>
      <c r="AV152" s="912"/>
      <c r="AW152" s="445" t="s">
        <v>487</v>
      </c>
      <c r="AX152" s="317">
        <f t="shared" si="1"/>
        <v>0</v>
      </c>
      <c r="AY152" s="327"/>
      <c r="AZ152" s="308"/>
      <c r="BA152" s="437"/>
    </row>
    <row r="153" spans="1:58" ht="17.25" customHeight="1" x14ac:dyDescent="0.25">
      <c r="A153" s="1021" t="s">
        <v>488</v>
      </c>
      <c r="B153" s="1022"/>
      <c r="C153" s="1022"/>
      <c r="D153" s="1022"/>
      <c r="E153" s="1022"/>
      <c r="F153" s="1022"/>
      <c r="G153" s="1022"/>
      <c r="H153" s="1022"/>
      <c r="I153" s="1023"/>
      <c r="J153" s="346" t="s">
        <v>351</v>
      </c>
      <c r="K153" s="346" t="s">
        <v>352</v>
      </c>
      <c r="L153" s="346" t="s">
        <v>353</v>
      </c>
      <c r="M153" s="324"/>
      <c r="N153" s="1021" t="s">
        <v>488</v>
      </c>
      <c r="O153" s="1022"/>
      <c r="P153" s="1022"/>
      <c r="Q153" s="1022"/>
      <c r="R153" s="1022"/>
      <c r="S153" s="1022"/>
      <c r="T153" s="1022"/>
      <c r="U153" s="1022"/>
      <c r="V153" s="1023"/>
      <c r="W153" s="347" t="s">
        <v>351</v>
      </c>
      <c r="X153" s="347" t="s">
        <v>352</v>
      </c>
      <c r="Y153" s="347" t="s">
        <v>353</v>
      </c>
      <c r="Z153" s="446"/>
      <c r="AA153" s="324"/>
      <c r="AC153" s="442" t="s">
        <v>489</v>
      </c>
      <c r="AD153" s="447" t="s">
        <v>490</v>
      </c>
      <c r="AE153" s="332">
        <f t="shared" si="9"/>
        <v>0</v>
      </c>
      <c r="AF153" s="333" t="str">
        <f t="shared" ref="AF153:AF216" si="10">IFERROR(AE153/$J$4,"")</f>
        <v/>
      </c>
      <c r="AH153" s="308"/>
      <c r="AI153" s="896" t="s">
        <v>491</v>
      </c>
      <c r="AJ153" s="897"/>
      <c r="AK153" s="897"/>
      <c r="AL153" s="897"/>
      <c r="AM153" s="897"/>
      <c r="AN153" s="448" t="s">
        <v>492</v>
      </c>
      <c r="AO153" s="317">
        <f t="shared" si="0"/>
        <v>0</v>
      </c>
      <c r="AP153" s="318"/>
      <c r="AQ153" s="308"/>
      <c r="AR153" s="911" t="s">
        <v>493</v>
      </c>
      <c r="AS153" s="912"/>
      <c r="AT153" s="912"/>
      <c r="AU153" s="912"/>
      <c r="AV153" s="912"/>
      <c r="AW153" s="449" t="s">
        <v>494</v>
      </c>
      <c r="AX153" s="317">
        <f t="shared" si="1"/>
        <v>0</v>
      </c>
      <c r="AY153" s="327"/>
      <c r="AZ153" s="308"/>
      <c r="BA153" s="311"/>
    </row>
    <row r="154" spans="1:58" ht="17.25" customHeight="1" x14ac:dyDescent="0.25">
      <c r="A154" s="1016" t="s">
        <v>17</v>
      </c>
      <c r="B154" s="1017"/>
      <c r="C154" s="1018"/>
      <c r="D154" s="450"/>
      <c r="E154" s="451" t="s">
        <v>367</v>
      </c>
      <c r="F154" s="452" t="s">
        <v>6</v>
      </c>
      <c r="G154" s="1019">
        <f t="shared" ref="G154:G171" si="11">COUNTIF($A$4:$M$42,F154)+COUNTIF($A$43:$O$81,F154)+COUNTIF($N$4:$T$19,F154)+COUNTIF($O$20:$S$23,F154)+COUNTIF($N$24:$Q$25,F154)+COUNTIF($N$26:$P$26,F154)+COUNTIF($P$42,F154)+COUNTIF($T$21:$T$22,F154)+COUNTIF($R$24,F154)+COUNTIF($N$27:$O$28,F154)</f>
        <v>0</v>
      </c>
      <c r="H154" s="986"/>
      <c r="I154" s="987"/>
      <c r="J154" s="354">
        <v>0</v>
      </c>
      <c r="K154" s="355">
        <v>0</v>
      </c>
      <c r="L154" s="356">
        <f t="shared" ref="L154:L171" si="12">G154-K154-J154</f>
        <v>0</v>
      </c>
      <c r="M154" s="324"/>
      <c r="N154" s="1016" t="s">
        <v>17</v>
      </c>
      <c r="O154" s="1017"/>
      <c r="P154" s="1018"/>
      <c r="Q154" s="450"/>
      <c r="R154" s="451" t="s">
        <v>367</v>
      </c>
      <c r="S154" s="452" t="s">
        <v>6</v>
      </c>
      <c r="T154" s="929">
        <f t="shared" ref="T154:T171" si="13">COUNTIF($T$23:$BI$73,S154)+COUNTIF($N$29:$S$39,S154)+COUNTIF($P$47:$S$68,S154)+COUNTIF($Q$40:$S$42,S154)+COUNTIF($P$27:$S$28,S154)+COUNTIF($R$25:$S$25,S154)+COUNTIF($S$24:$S$24,S154)</f>
        <v>0</v>
      </c>
      <c r="U154" s="929"/>
      <c r="V154" s="929"/>
      <c r="W154" s="354">
        <v>0</v>
      </c>
      <c r="X154" s="355">
        <v>0</v>
      </c>
      <c r="Y154" s="356">
        <f t="shared" ref="Y154:Y171" si="14">T154-X154-W154</f>
        <v>0</v>
      </c>
      <c r="Z154" s="357">
        <f t="shared" ref="Z154:Z172" si="15">T154+G154</f>
        <v>0</v>
      </c>
      <c r="AA154" s="324"/>
      <c r="AC154" s="442" t="s">
        <v>495</v>
      </c>
      <c r="AD154" s="453" t="s">
        <v>496</v>
      </c>
      <c r="AE154" s="332">
        <f t="shared" si="9"/>
        <v>0</v>
      </c>
      <c r="AF154" s="333" t="str">
        <f t="shared" si="10"/>
        <v/>
      </c>
      <c r="AH154" s="308"/>
      <c r="AI154" s="896" t="s">
        <v>497</v>
      </c>
      <c r="AJ154" s="897"/>
      <c r="AK154" s="897"/>
      <c r="AL154" s="897"/>
      <c r="AM154" s="897"/>
      <c r="AN154" s="454" t="s">
        <v>498</v>
      </c>
      <c r="AO154" s="317">
        <f t="shared" si="0"/>
        <v>0</v>
      </c>
      <c r="AP154" s="318"/>
      <c r="AQ154" s="308"/>
      <c r="AR154" s="911" t="s">
        <v>499</v>
      </c>
      <c r="AS154" s="912"/>
      <c r="AT154" s="912"/>
      <c r="AU154" s="912"/>
      <c r="AV154" s="912"/>
      <c r="AW154" s="455" t="s">
        <v>500</v>
      </c>
      <c r="AX154" s="317">
        <f t="shared" si="1"/>
        <v>0</v>
      </c>
      <c r="AY154" s="327"/>
      <c r="AZ154" s="308"/>
      <c r="BA154" s="311"/>
    </row>
    <row r="155" spans="1:58" ht="17.25" customHeight="1" thickBot="1" x14ac:dyDescent="0.3">
      <c r="A155" s="1010" t="s">
        <v>89</v>
      </c>
      <c r="B155" s="1011"/>
      <c r="C155" s="1012"/>
      <c r="D155" s="351" t="s">
        <v>31</v>
      </c>
      <c r="E155" s="456"/>
      <c r="F155" s="13" t="s">
        <v>88</v>
      </c>
      <c r="G155" s="926">
        <f t="shared" si="11"/>
        <v>0</v>
      </c>
      <c r="H155" s="927"/>
      <c r="I155" s="928"/>
      <c r="J155" s="354">
        <v>0</v>
      </c>
      <c r="K155" s="355">
        <v>0</v>
      </c>
      <c r="L155" s="356">
        <f t="shared" si="12"/>
        <v>0</v>
      </c>
      <c r="M155" s="324"/>
      <c r="N155" s="1010" t="s">
        <v>89</v>
      </c>
      <c r="O155" s="1011"/>
      <c r="P155" s="1012"/>
      <c r="Q155" s="351" t="s">
        <v>31</v>
      </c>
      <c r="R155" s="352"/>
      <c r="S155" s="457" t="s">
        <v>88</v>
      </c>
      <c r="T155" s="929">
        <f t="shared" si="13"/>
        <v>0</v>
      </c>
      <c r="U155" s="929"/>
      <c r="V155" s="929"/>
      <c r="W155" s="354">
        <v>0</v>
      </c>
      <c r="X155" s="355">
        <v>0</v>
      </c>
      <c r="Y155" s="356">
        <f t="shared" si="14"/>
        <v>0</v>
      </c>
      <c r="Z155" s="357">
        <f t="shared" si="15"/>
        <v>0</v>
      </c>
      <c r="AA155" s="324"/>
      <c r="AC155" s="442" t="s">
        <v>501</v>
      </c>
      <c r="AD155" s="458" t="s">
        <v>502</v>
      </c>
      <c r="AE155" s="332">
        <f t="shared" si="9"/>
        <v>0</v>
      </c>
      <c r="AF155" s="333" t="str">
        <f t="shared" si="10"/>
        <v/>
      </c>
      <c r="AH155" s="308"/>
      <c r="AI155" s="896" t="s">
        <v>503</v>
      </c>
      <c r="AJ155" s="897"/>
      <c r="AK155" s="897"/>
      <c r="AL155" s="897"/>
      <c r="AM155" s="897"/>
      <c r="AN155" s="459" t="s">
        <v>504</v>
      </c>
      <c r="AO155" s="317">
        <f t="shared" si="0"/>
        <v>0</v>
      </c>
      <c r="AP155" s="318"/>
      <c r="AQ155" s="308"/>
      <c r="AR155" s="911" t="s">
        <v>505</v>
      </c>
      <c r="AS155" s="912"/>
      <c r="AT155" s="912"/>
      <c r="AU155" s="912"/>
      <c r="AV155" s="912"/>
      <c r="AW155" s="455" t="s">
        <v>506</v>
      </c>
      <c r="AX155" s="317">
        <f t="shared" si="1"/>
        <v>0</v>
      </c>
      <c r="AY155" s="327"/>
      <c r="AZ155" s="308"/>
      <c r="BA155" s="311"/>
    </row>
    <row r="156" spans="1:58" ht="17.25" customHeight="1" x14ac:dyDescent="0.25">
      <c r="A156" s="1010" t="s">
        <v>138</v>
      </c>
      <c r="B156" s="1011"/>
      <c r="C156" s="1012"/>
      <c r="D156" s="351"/>
      <c r="E156" s="352"/>
      <c r="F156" s="460" t="s">
        <v>133</v>
      </c>
      <c r="G156" s="926">
        <f t="shared" si="11"/>
        <v>0</v>
      </c>
      <c r="H156" s="927"/>
      <c r="I156" s="928"/>
      <c r="J156" s="354">
        <v>0</v>
      </c>
      <c r="K156" s="355">
        <v>0</v>
      </c>
      <c r="L156" s="356">
        <f t="shared" si="12"/>
        <v>0</v>
      </c>
      <c r="M156" s="324"/>
      <c r="N156" s="1010" t="s">
        <v>138</v>
      </c>
      <c r="O156" s="1011"/>
      <c r="P156" s="1012"/>
      <c r="Q156" s="351"/>
      <c r="R156" s="352"/>
      <c r="S156" s="460" t="s">
        <v>133</v>
      </c>
      <c r="T156" s="929">
        <f t="shared" si="13"/>
        <v>0</v>
      </c>
      <c r="U156" s="929"/>
      <c r="V156" s="929"/>
      <c r="W156" s="354">
        <v>0</v>
      </c>
      <c r="X156" s="355">
        <v>0</v>
      </c>
      <c r="Y156" s="356">
        <f t="shared" si="14"/>
        <v>0</v>
      </c>
      <c r="Z156" s="357">
        <f t="shared" si="15"/>
        <v>0</v>
      </c>
      <c r="AA156" s="324"/>
      <c r="AC156" s="442" t="s">
        <v>166</v>
      </c>
      <c r="AD156" s="410" t="s">
        <v>166</v>
      </c>
      <c r="AE156" s="332">
        <f t="shared" si="9"/>
        <v>0</v>
      </c>
      <c r="AF156" s="333" t="str">
        <f t="shared" si="10"/>
        <v/>
      </c>
      <c r="AH156" s="308"/>
      <c r="AI156" s="896" t="s">
        <v>507</v>
      </c>
      <c r="AJ156" s="897"/>
      <c r="AK156" s="897"/>
      <c r="AL156" s="897"/>
      <c r="AM156" s="897"/>
      <c r="AN156" s="419" t="s">
        <v>508</v>
      </c>
      <c r="AO156" s="317">
        <f t="shared" si="0"/>
        <v>0</v>
      </c>
      <c r="AP156" s="318"/>
      <c r="AQ156" s="308"/>
      <c r="AR156" s="911" t="s">
        <v>509</v>
      </c>
      <c r="AS156" s="912"/>
      <c r="AT156" s="912"/>
      <c r="AU156" s="912"/>
      <c r="AV156" s="912"/>
      <c r="AW156" s="461" t="s">
        <v>510</v>
      </c>
      <c r="AX156" s="317">
        <f t="shared" si="1"/>
        <v>0</v>
      </c>
      <c r="AY156" s="327"/>
      <c r="AZ156" s="308"/>
      <c r="BA156" s="311"/>
    </row>
    <row r="157" spans="1:58" ht="17.25" customHeight="1" thickBot="1" x14ac:dyDescent="0.3">
      <c r="A157" s="1010" t="s">
        <v>139</v>
      </c>
      <c r="B157" s="1011"/>
      <c r="C157" s="1012"/>
      <c r="D157" s="351"/>
      <c r="E157" s="352"/>
      <c r="F157" s="462" t="s">
        <v>135</v>
      </c>
      <c r="G157" s="926">
        <f t="shared" si="11"/>
        <v>0</v>
      </c>
      <c r="H157" s="927"/>
      <c r="I157" s="928"/>
      <c r="J157" s="354">
        <v>0</v>
      </c>
      <c r="K157" s="355">
        <v>0</v>
      </c>
      <c r="L157" s="356">
        <f t="shared" si="12"/>
        <v>0</v>
      </c>
      <c r="M157" s="324"/>
      <c r="N157" s="1010" t="s">
        <v>139</v>
      </c>
      <c r="O157" s="1011"/>
      <c r="P157" s="1012"/>
      <c r="Q157" s="351"/>
      <c r="R157" s="352"/>
      <c r="S157" s="462" t="s">
        <v>135</v>
      </c>
      <c r="T157" s="929">
        <f t="shared" si="13"/>
        <v>0</v>
      </c>
      <c r="U157" s="929"/>
      <c r="V157" s="929"/>
      <c r="W157" s="354">
        <v>0</v>
      </c>
      <c r="X157" s="355">
        <v>0</v>
      </c>
      <c r="Y157" s="356">
        <f t="shared" si="14"/>
        <v>0</v>
      </c>
      <c r="Z157" s="357">
        <f t="shared" si="15"/>
        <v>0</v>
      </c>
      <c r="AA157" s="324"/>
      <c r="AC157" s="442" t="s">
        <v>511</v>
      </c>
      <c r="AD157" s="463" t="s">
        <v>177</v>
      </c>
      <c r="AE157" s="332">
        <f t="shared" si="9"/>
        <v>0</v>
      </c>
      <c r="AF157" s="333" t="str">
        <f t="shared" si="10"/>
        <v/>
      </c>
      <c r="AH157" s="308"/>
      <c r="AI157" s="896" t="s">
        <v>512</v>
      </c>
      <c r="AJ157" s="897"/>
      <c r="AK157" s="897"/>
      <c r="AL157" s="897"/>
      <c r="AM157" s="897"/>
      <c r="AN157" s="464" t="s">
        <v>513</v>
      </c>
      <c r="AO157" s="317">
        <f t="shared" si="0"/>
        <v>0</v>
      </c>
      <c r="AP157" s="318"/>
      <c r="AQ157" s="308"/>
      <c r="AR157" s="911" t="s">
        <v>514</v>
      </c>
      <c r="AS157" s="912"/>
      <c r="AT157" s="912"/>
      <c r="AU157" s="912"/>
      <c r="AV157" s="912"/>
      <c r="AW157" s="465" t="s">
        <v>515</v>
      </c>
      <c r="AX157" s="317">
        <f t="shared" si="1"/>
        <v>0</v>
      </c>
      <c r="AY157" s="327"/>
      <c r="AZ157" s="308"/>
      <c r="BA157" s="311"/>
    </row>
    <row r="158" spans="1:58" ht="17.25" customHeight="1" thickBot="1" x14ac:dyDescent="0.3">
      <c r="A158" s="1010" t="s">
        <v>30</v>
      </c>
      <c r="B158" s="1011"/>
      <c r="C158" s="1012"/>
      <c r="D158" s="351"/>
      <c r="E158" s="352" t="s">
        <v>367</v>
      </c>
      <c r="F158" s="466" t="s">
        <v>31</v>
      </c>
      <c r="G158" s="926">
        <f t="shared" si="11"/>
        <v>0</v>
      </c>
      <c r="H158" s="927"/>
      <c r="I158" s="928"/>
      <c r="J158" s="354">
        <v>0</v>
      </c>
      <c r="K158" s="355">
        <v>0</v>
      </c>
      <c r="L158" s="356">
        <f t="shared" si="12"/>
        <v>0</v>
      </c>
      <c r="M158" s="324"/>
      <c r="N158" s="1010" t="s">
        <v>30</v>
      </c>
      <c r="O158" s="1011"/>
      <c r="P158" s="1012"/>
      <c r="Q158" s="351"/>
      <c r="R158" s="352" t="s">
        <v>367</v>
      </c>
      <c r="S158" s="466" t="s">
        <v>31</v>
      </c>
      <c r="T158" s="929">
        <f t="shared" si="13"/>
        <v>0</v>
      </c>
      <c r="U158" s="929"/>
      <c r="V158" s="929"/>
      <c r="W158" s="354">
        <v>0</v>
      </c>
      <c r="X158" s="355">
        <v>0</v>
      </c>
      <c r="Y158" s="356">
        <f t="shared" si="14"/>
        <v>0</v>
      </c>
      <c r="Z158" s="357">
        <f t="shared" si="15"/>
        <v>0</v>
      </c>
      <c r="AA158" s="324"/>
      <c r="AC158" s="442" t="s">
        <v>516</v>
      </c>
      <c r="AD158" s="467" t="s">
        <v>517</v>
      </c>
      <c r="AE158" s="332">
        <f t="shared" si="9"/>
        <v>0</v>
      </c>
      <c r="AF158" s="333" t="str">
        <f t="shared" si="10"/>
        <v/>
      </c>
      <c r="AH158" s="308"/>
      <c r="AI158" s="896" t="s">
        <v>518</v>
      </c>
      <c r="AJ158" s="897"/>
      <c r="AK158" s="897"/>
      <c r="AL158" s="897"/>
      <c r="AM158" s="897"/>
      <c r="AN158" s="468" t="s">
        <v>519</v>
      </c>
      <c r="AO158" s="317">
        <f t="shared" si="0"/>
        <v>0</v>
      </c>
      <c r="AP158" s="318"/>
      <c r="AQ158" s="308"/>
      <c r="AR158" s="911" t="s">
        <v>520</v>
      </c>
      <c r="AS158" s="912"/>
      <c r="AT158" s="912"/>
      <c r="AU158" s="912"/>
      <c r="AV158" s="912"/>
      <c r="AW158" s="469" t="s">
        <v>521</v>
      </c>
      <c r="AX158" s="317">
        <f t="shared" si="1"/>
        <v>0</v>
      </c>
      <c r="AY158" s="327"/>
      <c r="AZ158" s="308"/>
      <c r="BA158" s="311"/>
    </row>
    <row r="159" spans="1:58" ht="17.25" customHeight="1" thickBot="1" x14ac:dyDescent="0.3">
      <c r="A159" s="1010" t="s">
        <v>27</v>
      </c>
      <c r="B159" s="1011"/>
      <c r="C159" s="1012"/>
      <c r="D159" s="351"/>
      <c r="E159" s="352"/>
      <c r="F159" s="470" t="s">
        <v>24</v>
      </c>
      <c r="G159" s="926">
        <f t="shared" si="11"/>
        <v>0</v>
      </c>
      <c r="H159" s="927"/>
      <c r="I159" s="928"/>
      <c r="J159" s="354">
        <v>0</v>
      </c>
      <c r="K159" s="355">
        <v>0</v>
      </c>
      <c r="L159" s="356">
        <f t="shared" si="12"/>
        <v>0</v>
      </c>
      <c r="M159" s="324"/>
      <c r="N159" s="1010" t="s">
        <v>27</v>
      </c>
      <c r="O159" s="1011"/>
      <c r="P159" s="1012"/>
      <c r="Q159" s="351"/>
      <c r="R159" s="352"/>
      <c r="S159" s="470" t="s">
        <v>24</v>
      </c>
      <c r="T159" s="929">
        <f t="shared" si="13"/>
        <v>0</v>
      </c>
      <c r="U159" s="929"/>
      <c r="V159" s="929"/>
      <c r="W159" s="354">
        <v>0</v>
      </c>
      <c r="X159" s="355">
        <v>0</v>
      </c>
      <c r="Y159" s="356">
        <f t="shared" si="14"/>
        <v>0</v>
      </c>
      <c r="Z159" s="357">
        <f t="shared" si="15"/>
        <v>0</v>
      </c>
      <c r="AA159" s="324"/>
      <c r="AC159" s="442" t="s">
        <v>522</v>
      </c>
      <c r="AD159" s="471" t="s">
        <v>522</v>
      </c>
      <c r="AE159" s="332">
        <f t="shared" si="9"/>
        <v>0</v>
      </c>
      <c r="AF159" s="333" t="str">
        <f t="shared" si="10"/>
        <v/>
      </c>
      <c r="AH159" s="308"/>
      <c r="AI159" s="896" t="s">
        <v>523</v>
      </c>
      <c r="AJ159" s="897"/>
      <c r="AK159" s="897"/>
      <c r="AL159" s="897"/>
      <c r="AM159" s="897"/>
      <c r="AN159" s="472" t="s">
        <v>524</v>
      </c>
      <c r="AO159" s="317">
        <f t="shared" si="0"/>
        <v>0</v>
      </c>
      <c r="AP159" s="318"/>
      <c r="AQ159" s="308"/>
      <c r="AR159" s="911" t="s">
        <v>525</v>
      </c>
      <c r="AS159" s="912"/>
      <c r="AT159" s="912"/>
      <c r="AU159" s="912"/>
      <c r="AV159" s="912"/>
      <c r="AW159" s="473" t="s">
        <v>526</v>
      </c>
      <c r="AX159" s="317">
        <f t="shared" si="1"/>
        <v>0</v>
      </c>
      <c r="AY159" s="474"/>
      <c r="AZ159" s="308"/>
      <c r="BA159" s="311"/>
    </row>
    <row r="160" spans="1:58" ht="17.25" customHeight="1" x14ac:dyDescent="0.25">
      <c r="A160" s="1010" t="s">
        <v>114</v>
      </c>
      <c r="B160" s="1011"/>
      <c r="C160" s="1012"/>
      <c r="D160" s="351"/>
      <c r="E160" s="352"/>
      <c r="F160" s="475" t="s">
        <v>113</v>
      </c>
      <c r="G160" s="926">
        <f t="shared" si="11"/>
        <v>0</v>
      </c>
      <c r="H160" s="927"/>
      <c r="I160" s="928"/>
      <c r="J160" s="354">
        <v>0</v>
      </c>
      <c r="K160" s="355">
        <v>0</v>
      </c>
      <c r="L160" s="356">
        <f t="shared" si="12"/>
        <v>0</v>
      </c>
      <c r="M160" s="324"/>
      <c r="N160" s="1010" t="s">
        <v>114</v>
      </c>
      <c r="O160" s="1011"/>
      <c r="P160" s="1012"/>
      <c r="Q160" s="351"/>
      <c r="R160" s="352"/>
      <c r="S160" s="475" t="s">
        <v>113</v>
      </c>
      <c r="T160" s="929">
        <f t="shared" si="13"/>
        <v>0</v>
      </c>
      <c r="U160" s="929"/>
      <c r="V160" s="929"/>
      <c r="W160" s="354">
        <v>0</v>
      </c>
      <c r="X160" s="355">
        <v>0</v>
      </c>
      <c r="Y160" s="356">
        <f t="shared" si="14"/>
        <v>0</v>
      </c>
      <c r="Z160" s="357">
        <f t="shared" si="15"/>
        <v>0</v>
      </c>
      <c r="AA160" s="324"/>
      <c r="AC160" s="442" t="s">
        <v>527</v>
      </c>
      <c r="AD160" s="476" t="s">
        <v>528</v>
      </c>
      <c r="AE160" s="332">
        <f t="shared" si="9"/>
        <v>0</v>
      </c>
      <c r="AF160" s="333" t="str">
        <f t="shared" si="10"/>
        <v/>
      </c>
      <c r="AH160" s="308"/>
      <c r="AI160" s="896" t="s">
        <v>529</v>
      </c>
      <c r="AJ160" s="897"/>
      <c r="AK160" s="897"/>
      <c r="AL160" s="897"/>
      <c r="AM160" s="897"/>
      <c r="AN160" s="477" t="s">
        <v>530</v>
      </c>
      <c r="AO160" s="317">
        <f t="shared" si="0"/>
        <v>0</v>
      </c>
      <c r="AP160" s="318"/>
      <c r="AQ160" s="308"/>
      <c r="AR160" s="911" t="s">
        <v>531</v>
      </c>
      <c r="AS160" s="912"/>
      <c r="AT160" s="912"/>
      <c r="AU160" s="912"/>
      <c r="AV160" s="912"/>
      <c r="AW160" s="478" t="s">
        <v>532</v>
      </c>
      <c r="AX160" s="317">
        <f t="shared" si="1"/>
        <v>0</v>
      </c>
      <c r="AY160" s="474"/>
      <c r="AZ160" s="308"/>
      <c r="BA160" s="311"/>
    </row>
    <row r="161" spans="1:58" ht="17.25" customHeight="1" thickBot="1" x14ac:dyDescent="0.3">
      <c r="A161" s="1010" t="s">
        <v>112</v>
      </c>
      <c r="B161" s="1011"/>
      <c r="C161" s="1012"/>
      <c r="D161" s="351"/>
      <c r="E161" s="352"/>
      <c r="F161" s="479" t="s">
        <v>111</v>
      </c>
      <c r="G161" s="926">
        <f t="shared" si="11"/>
        <v>0</v>
      </c>
      <c r="H161" s="927"/>
      <c r="I161" s="928"/>
      <c r="J161" s="354">
        <v>0</v>
      </c>
      <c r="K161" s="355">
        <v>0</v>
      </c>
      <c r="L161" s="356">
        <f t="shared" si="12"/>
        <v>0</v>
      </c>
      <c r="M161" s="324"/>
      <c r="N161" s="1010" t="s">
        <v>112</v>
      </c>
      <c r="O161" s="1011"/>
      <c r="P161" s="1012"/>
      <c r="Q161" s="351"/>
      <c r="R161" s="352"/>
      <c r="S161" s="480" t="s">
        <v>111</v>
      </c>
      <c r="T161" s="929">
        <f t="shared" si="13"/>
        <v>0</v>
      </c>
      <c r="U161" s="929"/>
      <c r="V161" s="929"/>
      <c r="W161" s="354">
        <v>0</v>
      </c>
      <c r="X161" s="355">
        <v>0</v>
      </c>
      <c r="Y161" s="356">
        <f t="shared" si="14"/>
        <v>0</v>
      </c>
      <c r="Z161" s="357">
        <f t="shared" si="15"/>
        <v>0</v>
      </c>
      <c r="AA161" s="324"/>
      <c r="AC161" s="442" t="s">
        <v>533</v>
      </c>
      <c r="AD161" s="481" t="s">
        <v>534</v>
      </c>
      <c r="AE161" s="332">
        <f t="shared" si="9"/>
        <v>0</v>
      </c>
      <c r="AF161" s="333" t="str">
        <f t="shared" si="10"/>
        <v/>
      </c>
      <c r="AH161" s="308"/>
      <c r="AI161" s="896" t="s">
        <v>535</v>
      </c>
      <c r="AJ161" s="897"/>
      <c r="AK161" s="897"/>
      <c r="AL161" s="897"/>
      <c r="AM161" s="897"/>
      <c r="AN161" s="360" t="s">
        <v>536</v>
      </c>
      <c r="AO161" s="317">
        <f t="shared" si="0"/>
        <v>0</v>
      </c>
      <c r="AP161" s="318"/>
      <c r="AQ161" s="308"/>
      <c r="AR161" s="911" t="s">
        <v>537</v>
      </c>
      <c r="AS161" s="912"/>
      <c r="AT161" s="912"/>
      <c r="AU161" s="912"/>
      <c r="AV161" s="912"/>
      <c r="AW161" s="482" t="s">
        <v>538</v>
      </c>
      <c r="AX161" s="317">
        <f t="shared" si="1"/>
        <v>0</v>
      </c>
      <c r="AY161" s="327"/>
      <c r="AZ161" s="308"/>
      <c r="BA161" s="311"/>
    </row>
    <row r="162" spans="1:58" ht="17.25" customHeight="1" x14ac:dyDescent="0.25">
      <c r="A162" s="1010" t="s">
        <v>140</v>
      </c>
      <c r="B162" s="1011"/>
      <c r="C162" s="1012"/>
      <c r="D162" s="351"/>
      <c r="E162" s="352"/>
      <c r="F162" s="483" t="s">
        <v>134</v>
      </c>
      <c r="G162" s="926">
        <f t="shared" si="11"/>
        <v>0</v>
      </c>
      <c r="H162" s="927"/>
      <c r="I162" s="928"/>
      <c r="J162" s="484"/>
      <c r="K162" s="485"/>
      <c r="L162" s="356"/>
      <c r="M162" s="324"/>
      <c r="N162" s="1010" t="s">
        <v>140</v>
      </c>
      <c r="O162" s="1011"/>
      <c r="P162" s="1012"/>
      <c r="Q162" s="351"/>
      <c r="R162" s="352"/>
      <c r="S162" s="483" t="s">
        <v>134</v>
      </c>
      <c r="T162" s="929">
        <f t="shared" si="13"/>
        <v>0</v>
      </c>
      <c r="U162" s="929"/>
      <c r="V162" s="929"/>
      <c r="W162" s="354">
        <v>0</v>
      </c>
      <c r="X162" s="355">
        <v>0</v>
      </c>
      <c r="Y162" s="356">
        <f t="shared" si="14"/>
        <v>0</v>
      </c>
      <c r="Z162" s="357">
        <f t="shared" si="15"/>
        <v>0</v>
      </c>
      <c r="AA162" s="324"/>
      <c r="AC162" s="442" t="s">
        <v>539</v>
      </c>
      <c r="AD162" s="486" t="s">
        <v>539</v>
      </c>
      <c r="AE162" s="332">
        <f t="shared" si="9"/>
        <v>0</v>
      </c>
      <c r="AF162" s="333" t="str">
        <f t="shared" si="10"/>
        <v/>
      </c>
      <c r="AH162" s="308"/>
      <c r="AI162" s="896" t="s">
        <v>540</v>
      </c>
      <c r="AJ162" s="897"/>
      <c r="AK162" s="897"/>
      <c r="AL162" s="897"/>
      <c r="AM162" s="897"/>
      <c r="AN162" s="468" t="s">
        <v>541</v>
      </c>
      <c r="AO162" s="317">
        <f t="shared" si="0"/>
        <v>0</v>
      </c>
      <c r="AP162" s="318"/>
      <c r="AQ162" s="308"/>
      <c r="AR162" s="911" t="s">
        <v>542</v>
      </c>
      <c r="AS162" s="912"/>
      <c r="AT162" s="912"/>
      <c r="AU162" s="912"/>
      <c r="AV162" s="912"/>
      <c r="AW162" s="487" t="s">
        <v>543</v>
      </c>
      <c r="AX162" s="317">
        <f t="shared" si="1"/>
        <v>0</v>
      </c>
      <c r="AY162" s="327"/>
      <c r="AZ162" s="308"/>
      <c r="BA162" s="311"/>
      <c r="BC162" s="308"/>
      <c r="BD162" s="308"/>
      <c r="BE162" s="308"/>
      <c r="BF162" s="308"/>
    </row>
    <row r="163" spans="1:58" ht="17.25" customHeight="1" thickBot="1" x14ac:dyDescent="0.3">
      <c r="A163" s="1010" t="s">
        <v>42</v>
      </c>
      <c r="B163" s="1011"/>
      <c r="C163" s="1012"/>
      <c r="D163" s="351"/>
      <c r="E163" s="352"/>
      <c r="F163" s="488" t="s">
        <v>42</v>
      </c>
      <c r="G163" s="926">
        <f t="shared" si="11"/>
        <v>0</v>
      </c>
      <c r="H163" s="927"/>
      <c r="I163" s="928"/>
      <c r="J163" s="354">
        <v>0</v>
      </c>
      <c r="K163" s="355">
        <v>0</v>
      </c>
      <c r="L163" s="356">
        <f t="shared" si="12"/>
        <v>0</v>
      </c>
      <c r="M163" s="324"/>
      <c r="N163" s="1010" t="s">
        <v>42</v>
      </c>
      <c r="O163" s="1011"/>
      <c r="P163" s="1012"/>
      <c r="Q163" s="351"/>
      <c r="R163" s="352"/>
      <c r="S163" s="489" t="s">
        <v>42</v>
      </c>
      <c r="T163" s="929">
        <f t="shared" si="13"/>
        <v>0</v>
      </c>
      <c r="U163" s="929"/>
      <c r="V163" s="929"/>
      <c r="W163" s="354">
        <v>0</v>
      </c>
      <c r="X163" s="355">
        <v>0</v>
      </c>
      <c r="Y163" s="356">
        <f t="shared" si="14"/>
        <v>0</v>
      </c>
      <c r="Z163" s="357">
        <f t="shared" si="15"/>
        <v>0</v>
      </c>
      <c r="AA163" s="324"/>
      <c r="AC163" s="442" t="s">
        <v>544</v>
      </c>
      <c r="AD163" s="316" t="s">
        <v>175</v>
      </c>
      <c r="AE163" s="332">
        <f t="shared" si="9"/>
        <v>0</v>
      </c>
      <c r="AF163" s="333" t="str">
        <f t="shared" si="10"/>
        <v/>
      </c>
      <c r="AH163" s="308"/>
      <c r="AI163" s="896" t="s">
        <v>545</v>
      </c>
      <c r="AJ163" s="897"/>
      <c r="AK163" s="897"/>
      <c r="AL163" s="897"/>
      <c r="AM163" s="897"/>
      <c r="AN163" s="423" t="s">
        <v>546</v>
      </c>
      <c r="AO163" s="317">
        <f t="shared" si="0"/>
        <v>0</v>
      </c>
      <c r="AP163" s="318"/>
      <c r="AQ163" s="308"/>
      <c r="AR163" s="319" t="s">
        <v>547</v>
      </c>
      <c r="AS163" s="320"/>
      <c r="AT163" s="320"/>
      <c r="AU163" s="320"/>
      <c r="AV163" s="320"/>
      <c r="AW163" s="490" t="s">
        <v>548</v>
      </c>
      <c r="AX163" s="317">
        <f t="shared" si="1"/>
        <v>0</v>
      </c>
      <c r="AY163" s="474"/>
      <c r="AZ163" s="308"/>
      <c r="BA163" s="311"/>
      <c r="BB163" s="308"/>
      <c r="BC163" s="308"/>
      <c r="BD163" s="308"/>
      <c r="BE163" s="308"/>
      <c r="BF163" s="308"/>
    </row>
    <row r="164" spans="1:58" ht="17.25" customHeight="1" x14ac:dyDescent="0.25">
      <c r="A164" s="1010" t="s">
        <v>141</v>
      </c>
      <c r="B164" s="1011"/>
      <c r="C164" s="1012"/>
      <c r="D164" s="351"/>
      <c r="E164" s="352"/>
      <c r="F164" s="22" t="s">
        <v>119</v>
      </c>
      <c r="G164" s="926">
        <f t="shared" si="11"/>
        <v>0</v>
      </c>
      <c r="H164" s="927"/>
      <c r="I164" s="928"/>
      <c r="J164" s="354">
        <v>0</v>
      </c>
      <c r="K164" s="355">
        <v>0</v>
      </c>
      <c r="L164" s="356">
        <f t="shared" si="12"/>
        <v>0</v>
      </c>
      <c r="M164" s="324"/>
      <c r="N164" s="1010" t="s">
        <v>141</v>
      </c>
      <c r="O164" s="1011"/>
      <c r="P164" s="1012"/>
      <c r="Q164" s="351"/>
      <c r="R164" s="352"/>
      <c r="S164" s="22" t="s">
        <v>119</v>
      </c>
      <c r="T164" s="929">
        <f t="shared" si="13"/>
        <v>0</v>
      </c>
      <c r="U164" s="929"/>
      <c r="V164" s="929"/>
      <c r="W164" s="354">
        <v>0</v>
      </c>
      <c r="X164" s="355">
        <v>0</v>
      </c>
      <c r="Y164" s="356">
        <f t="shared" si="14"/>
        <v>0</v>
      </c>
      <c r="Z164" s="357">
        <f t="shared" si="15"/>
        <v>0</v>
      </c>
      <c r="AA164" s="324"/>
      <c r="AC164" s="442" t="s">
        <v>549</v>
      </c>
      <c r="AD164" s="491" t="s">
        <v>550</v>
      </c>
      <c r="AE164" s="332">
        <f t="shared" si="9"/>
        <v>0</v>
      </c>
      <c r="AF164" s="333" t="str">
        <f t="shared" si="10"/>
        <v/>
      </c>
      <c r="AH164" s="308"/>
      <c r="AI164" s="896" t="s">
        <v>551</v>
      </c>
      <c r="AJ164" s="897"/>
      <c r="AK164" s="897"/>
      <c r="AL164" s="897"/>
      <c r="AM164" s="897"/>
      <c r="AN164" s="468" t="s">
        <v>552</v>
      </c>
      <c r="AO164" s="317">
        <f t="shared" si="0"/>
        <v>0</v>
      </c>
      <c r="AP164" s="318"/>
      <c r="AQ164" s="308"/>
      <c r="AR164" s="319" t="s">
        <v>553</v>
      </c>
      <c r="AS164" s="320"/>
      <c r="AT164" s="320"/>
      <c r="AU164" s="320"/>
      <c r="AV164" s="320"/>
      <c r="AW164" s="404" t="s">
        <v>554</v>
      </c>
      <c r="AX164" s="317">
        <f t="shared" si="1"/>
        <v>0</v>
      </c>
      <c r="AY164" s="474"/>
      <c r="AZ164" s="308"/>
      <c r="BA164" s="311"/>
      <c r="BB164" s="308"/>
      <c r="BC164" s="308"/>
      <c r="BD164" s="308"/>
      <c r="BE164" s="308"/>
      <c r="BF164" s="308"/>
    </row>
    <row r="165" spans="1:58" ht="17.25" customHeight="1" thickBot="1" x14ac:dyDescent="0.3">
      <c r="A165" s="978" t="s">
        <v>91</v>
      </c>
      <c r="B165" s="979"/>
      <c r="C165" s="980"/>
      <c r="D165" s="351"/>
      <c r="E165" s="352" t="s">
        <v>367</v>
      </c>
      <c r="F165" s="492" t="s">
        <v>90</v>
      </c>
      <c r="G165" s="926">
        <f t="shared" si="11"/>
        <v>0</v>
      </c>
      <c r="H165" s="927"/>
      <c r="I165" s="928"/>
      <c r="J165" s="354">
        <v>0</v>
      </c>
      <c r="K165" s="355">
        <v>0</v>
      </c>
      <c r="L165" s="356">
        <f t="shared" si="12"/>
        <v>0</v>
      </c>
      <c r="M165" s="324"/>
      <c r="N165" s="978" t="s">
        <v>91</v>
      </c>
      <c r="O165" s="979"/>
      <c r="P165" s="980"/>
      <c r="Q165" s="351"/>
      <c r="R165" s="352" t="s">
        <v>367</v>
      </c>
      <c r="S165" s="492" t="s">
        <v>90</v>
      </c>
      <c r="T165" s="929">
        <f t="shared" si="13"/>
        <v>0</v>
      </c>
      <c r="U165" s="929"/>
      <c r="V165" s="929"/>
      <c r="W165" s="354">
        <v>0</v>
      </c>
      <c r="X165" s="355">
        <v>0</v>
      </c>
      <c r="Y165" s="356">
        <f t="shared" si="14"/>
        <v>0</v>
      </c>
      <c r="Z165" s="357">
        <f t="shared" si="15"/>
        <v>0</v>
      </c>
      <c r="AA165" s="324"/>
      <c r="AC165" s="442" t="s">
        <v>555</v>
      </c>
      <c r="AD165" s="447" t="s">
        <v>556</v>
      </c>
      <c r="AE165" s="332">
        <f t="shared" si="9"/>
        <v>0</v>
      </c>
      <c r="AF165" s="333" t="str">
        <f t="shared" si="10"/>
        <v/>
      </c>
      <c r="AH165" s="308"/>
      <c r="AI165" s="896" t="s">
        <v>557</v>
      </c>
      <c r="AJ165" s="897"/>
      <c r="AK165" s="897"/>
      <c r="AL165" s="897"/>
      <c r="AM165" s="897"/>
      <c r="AN165" s="493" t="s">
        <v>558</v>
      </c>
      <c r="AO165" s="317">
        <f t="shared" si="0"/>
        <v>0</v>
      </c>
      <c r="AP165" s="318"/>
      <c r="AQ165" s="308"/>
      <c r="AR165" s="948" t="s">
        <v>559</v>
      </c>
      <c r="AS165" s="949"/>
      <c r="AT165" s="949"/>
      <c r="AU165" s="949"/>
      <c r="AV165" s="1020"/>
      <c r="AW165" s="494" t="s">
        <v>560</v>
      </c>
      <c r="AX165" s="317">
        <f t="shared" si="1"/>
        <v>0</v>
      </c>
      <c r="AY165" s="327"/>
      <c r="AZ165" s="308"/>
      <c r="BA165" s="311"/>
      <c r="BB165" s="308"/>
      <c r="BC165" s="308"/>
      <c r="BD165" s="308"/>
      <c r="BE165" s="308"/>
      <c r="BF165" s="308"/>
    </row>
    <row r="166" spans="1:58" ht="17.25" customHeight="1" thickBot="1" x14ac:dyDescent="0.3">
      <c r="A166" s="1010" t="s">
        <v>93</v>
      </c>
      <c r="B166" s="1011"/>
      <c r="C166" s="1012"/>
      <c r="D166" s="351"/>
      <c r="E166" s="352" t="s">
        <v>367</v>
      </c>
      <c r="F166" s="495" t="s">
        <v>92</v>
      </c>
      <c r="G166" s="926">
        <f t="shared" si="11"/>
        <v>0</v>
      </c>
      <c r="H166" s="927"/>
      <c r="I166" s="928"/>
      <c r="J166" s="354">
        <v>0</v>
      </c>
      <c r="K166" s="355">
        <v>0</v>
      </c>
      <c r="L166" s="356">
        <f t="shared" si="12"/>
        <v>0</v>
      </c>
      <c r="M166" s="324"/>
      <c r="N166" s="1010" t="s">
        <v>93</v>
      </c>
      <c r="O166" s="1011"/>
      <c r="P166" s="1012"/>
      <c r="Q166" s="351"/>
      <c r="R166" s="352" t="s">
        <v>367</v>
      </c>
      <c r="S166" s="495" t="s">
        <v>92</v>
      </c>
      <c r="T166" s="929">
        <f t="shared" si="13"/>
        <v>0</v>
      </c>
      <c r="U166" s="929"/>
      <c r="V166" s="929"/>
      <c r="W166" s="354">
        <v>0</v>
      </c>
      <c r="X166" s="355">
        <v>0</v>
      </c>
      <c r="Y166" s="356">
        <f t="shared" si="14"/>
        <v>0</v>
      </c>
      <c r="Z166" s="357">
        <f t="shared" si="15"/>
        <v>0</v>
      </c>
      <c r="AA166" s="324"/>
      <c r="AC166" s="442" t="s">
        <v>561</v>
      </c>
      <c r="AD166" s="496" t="s">
        <v>562</v>
      </c>
      <c r="AE166" s="332">
        <f t="shared" si="9"/>
        <v>0</v>
      </c>
      <c r="AF166" s="333" t="str">
        <f t="shared" si="10"/>
        <v/>
      </c>
      <c r="AH166" s="308"/>
      <c r="AI166" s="896" t="s">
        <v>563</v>
      </c>
      <c r="AJ166" s="897"/>
      <c r="AK166" s="897"/>
      <c r="AL166" s="897"/>
      <c r="AM166" s="897"/>
      <c r="AN166" s="468" t="s">
        <v>564</v>
      </c>
      <c r="AO166" s="317">
        <f t="shared" si="0"/>
        <v>0</v>
      </c>
      <c r="AP166" s="318"/>
      <c r="AQ166" s="308"/>
      <c r="AR166" s="914" t="s">
        <v>565</v>
      </c>
      <c r="AS166" s="915"/>
      <c r="AT166" s="915"/>
      <c r="AU166" s="915"/>
      <c r="AV166" s="915"/>
      <c r="AW166" s="497" t="s">
        <v>566</v>
      </c>
      <c r="AX166" s="317">
        <f t="shared" si="1"/>
        <v>0</v>
      </c>
      <c r="AY166" s="498"/>
      <c r="AZ166" s="308"/>
      <c r="BA166" s="311"/>
      <c r="BB166" s="308"/>
      <c r="BC166" s="308"/>
      <c r="BD166" s="308"/>
      <c r="BE166" s="308"/>
      <c r="BF166" s="308"/>
    </row>
    <row r="167" spans="1:58" ht="17.25" customHeight="1" thickBot="1" x14ac:dyDescent="0.3">
      <c r="A167" s="1010" t="s">
        <v>116</v>
      </c>
      <c r="B167" s="1011"/>
      <c r="C167" s="1012"/>
      <c r="D167" s="351" t="s">
        <v>6</v>
      </c>
      <c r="E167" s="352" t="s">
        <v>367</v>
      </c>
      <c r="F167" s="499" t="s">
        <v>117</v>
      </c>
      <c r="G167" s="926">
        <f t="shared" si="11"/>
        <v>0</v>
      </c>
      <c r="H167" s="927"/>
      <c r="I167" s="928"/>
      <c r="J167" s="354">
        <v>0</v>
      </c>
      <c r="K167" s="355">
        <v>0</v>
      </c>
      <c r="L167" s="356">
        <f t="shared" si="12"/>
        <v>0</v>
      </c>
      <c r="M167" s="324"/>
      <c r="N167" s="1010" t="s">
        <v>116</v>
      </c>
      <c r="O167" s="1011"/>
      <c r="P167" s="1012"/>
      <c r="Q167" s="351" t="s">
        <v>6</v>
      </c>
      <c r="R167" s="352" t="s">
        <v>367</v>
      </c>
      <c r="S167" s="499" t="s">
        <v>117</v>
      </c>
      <c r="T167" s="929">
        <f t="shared" si="13"/>
        <v>0</v>
      </c>
      <c r="U167" s="929"/>
      <c r="V167" s="929"/>
      <c r="W167" s="354">
        <v>0</v>
      </c>
      <c r="X167" s="355">
        <v>0</v>
      </c>
      <c r="Y167" s="356">
        <f t="shared" si="14"/>
        <v>0</v>
      </c>
      <c r="Z167" s="357">
        <f t="shared" si="15"/>
        <v>0</v>
      </c>
      <c r="AA167" s="324"/>
      <c r="AC167" s="442" t="s">
        <v>567</v>
      </c>
      <c r="AD167" s="394" t="s">
        <v>568</v>
      </c>
      <c r="AE167" s="332">
        <f t="shared" si="9"/>
        <v>0</v>
      </c>
      <c r="AF167" s="333" t="str">
        <f t="shared" si="10"/>
        <v/>
      </c>
      <c r="AH167" s="308"/>
      <c r="AI167" s="896" t="s">
        <v>569</v>
      </c>
      <c r="AJ167" s="897"/>
      <c r="AK167" s="897"/>
      <c r="AL167" s="897"/>
      <c r="AM167" s="897"/>
      <c r="AN167" s="500" t="s">
        <v>570</v>
      </c>
      <c r="AO167" s="317">
        <f t="shared" si="0"/>
        <v>0</v>
      </c>
      <c r="AP167" s="318"/>
      <c r="AQ167" s="308"/>
      <c r="AR167" s="951" t="s">
        <v>571</v>
      </c>
      <c r="AS167" s="952"/>
      <c r="AT167" s="952"/>
      <c r="AU167" s="952"/>
      <c r="AV167" s="953"/>
      <c r="AW167" s="501"/>
      <c r="AX167" s="502">
        <f>SUM(AX126:AX166)</f>
        <v>0</v>
      </c>
      <c r="AY167" s="308"/>
      <c r="AZ167" s="308"/>
      <c r="BA167" s="311"/>
      <c r="BB167" s="308"/>
      <c r="BC167" s="308"/>
      <c r="BD167" s="308"/>
      <c r="BE167" s="308"/>
      <c r="BF167" s="308"/>
    </row>
    <row r="168" spans="1:58" ht="17.25" customHeight="1" thickBot="1" x14ac:dyDescent="0.3">
      <c r="A168" s="1010" t="s">
        <v>33</v>
      </c>
      <c r="B168" s="1011"/>
      <c r="C168" s="1012"/>
      <c r="D168" s="351"/>
      <c r="E168" s="352" t="s">
        <v>367</v>
      </c>
      <c r="F168" s="503" t="s">
        <v>34</v>
      </c>
      <c r="G168" s="926">
        <f t="shared" si="11"/>
        <v>0</v>
      </c>
      <c r="H168" s="927"/>
      <c r="I168" s="928"/>
      <c r="J168" s="354">
        <v>0</v>
      </c>
      <c r="K168" s="355">
        <v>0</v>
      </c>
      <c r="L168" s="356">
        <f t="shared" si="12"/>
        <v>0</v>
      </c>
      <c r="M168" s="324"/>
      <c r="N168" s="1010" t="s">
        <v>33</v>
      </c>
      <c r="O168" s="1011"/>
      <c r="P168" s="1012"/>
      <c r="Q168" s="351"/>
      <c r="R168" s="352" t="s">
        <v>367</v>
      </c>
      <c r="S168" s="503" t="s">
        <v>34</v>
      </c>
      <c r="T168" s="929">
        <f t="shared" si="13"/>
        <v>0</v>
      </c>
      <c r="U168" s="929"/>
      <c r="V168" s="929"/>
      <c r="W168" s="354">
        <v>0</v>
      </c>
      <c r="X168" s="355">
        <v>0</v>
      </c>
      <c r="Y168" s="356">
        <f t="shared" si="14"/>
        <v>0</v>
      </c>
      <c r="Z168" s="357">
        <f t="shared" si="15"/>
        <v>0</v>
      </c>
      <c r="AA168" s="324"/>
      <c r="AC168" s="442" t="s">
        <v>407</v>
      </c>
      <c r="AD168" s="504" t="s">
        <v>572</v>
      </c>
      <c r="AE168" s="332">
        <f t="shared" si="9"/>
        <v>0</v>
      </c>
      <c r="AF168" s="333" t="str">
        <f t="shared" si="10"/>
        <v/>
      </c>
      <c r="AH168" s="308"/>
      <c r="AI168" s="896" t="s">
        <v>573</v>
      </c>
      <c r="AJ168" s="897"/>
      <c r="AK168" s="897"/>
      <c r="AL168" s="897"/>
      <c r="AM168" s="897"/>
      <c r="AN168" s="505" t="s">
        <v>574</v>
      </c>
      <c r="AO168" s="317">
        <f t="shared" si="0"/>
        <v>0</v>
      </c>
      <c r="AP168" s="318"/>
      <c r="AQ168" s="308"/>
      <c r="AR168" s="308"/>
      <c r="AS168" s="308"/>
      <c r="AT168" s="308"/>
      <c r="AU168" s="308"/>
      <c r="AV168" s="308"/>
      <c r="AW168" s="308"/>
      <c r="AX168" s="308"/>
      <c r="AY168" s="308"/>
      <c r="AZ168" s="308"/>
      <c r="BA168" s="311"/>
      <c r="BB168" s="308"/>
      <c r="BC168" s="308"/>
      <c r="BD168" s="308"/>
      <c r="BE168" s="308"/>
      <c r="BF168" s="308"/>
    </row>
    <row r="169" spans="1:58" ht="17.25" customHeight="1" thickBot="1" x14ac:dyDescent="0.3">
      <c r="A169" s="1010" t="s">
        <v>95</v>
      </c>
      <c r="B169" s="1011"/>
      <c r="C169" s="1012"/>
      <c r="D169" s="351"/>
      <c r="E169" s="352" t="s">
        <v>367</v>
      </c>
      <c r="F169" s="506" t="s">
        <v>94</v>
      </c>
      <c r="G169" s="926">
        <f t="shared" si="11"/>
        <v>0</v>
      </c>
      <c r="H169" s="927"/>
      <c r="I169" s="928"/>
      <c r="J169" s="354">
        <v>0</v>
      </c>
      <c r="K169" s="355">
        <v>0</v>
      </c>
      <c r="L169" s="356">
        <f t="shared" si="12"/>
        <v>0</v>
      </c>
      <c r="M169" s="324"/>
      <c r="N169" s="1010" t="s">
        <v>95</v>
      </c>
      <c r="O169" s="1011"/>
      <c r="P169" s="1012"/>
      <c r="Q169" s="351"/>
      <c r="R169" s="352" t="s">
        <v>367</v>
      </c>
      <c r="S169" s="506" t="s">
        <v>94</v>
      </c>
      <c r="T169" s="929">
        <f t="shared" si="13"/>
        <v>0</v>
      </c>
      <c r="U169" s="929"/>
      <c r="V169" s="929"/>
      <c r="W169" s="354">
        <v>0</v>
      </c>
      <c r="X169" s="355">
        <v>0</v>
      </c>
      <c r="Y169" s="356">
        <f t="shared" si="14"/>
        <v>0</v>
      </c>
      <c r="Z169" s="357">
        <f t="shared" si="15"/>
        <v>0</v>
      </c>
      <c r="AA169" s="324"/>
      <c r="AC169" s="442" t="s">
        <v>575</v>
      </c>
      <c r="AD169" s="507" t="s">
        <v>576</v>
      </c>
      <c r="AE169" s="332">
        <f t="shared" si="9"/>
        <v>0</v>
      </c>
      <c r="AF169" s="333" t="str">
        <f t="shared" si="10"/>
        <v/>
      </c>
      <c r="AH169" s="308"/>
      <c r="AI169" s="896" t="s">
        <v>577</v>
      </c>
      <c r="AJ169" s="897"/>
      <c r="AK169" s="897"/>
      <c r="AL169" s="897"/>
      <c r="AM169" s="897"/>
      <c r="AN169" s="505" t="s">
        <v>578</v>
      </c>
      <c r="AO169" s="317">
        <f t="shared" si="0"/>
        <v>0</v>
      </c>
      <c r="AP169" s="318"/>
      <c r="AQ169" s="308"/>
      <c r="AR169" s="907" t="s">
        <v>368</v>
      </c>
      <c r="AS169" s="908"/>
      <c r="AT169" s="908"/>
      <c r="AU169" s="908"/>
      <c r="AV169" s="908"/>
      <c r="AW169" s="904"/>
      <c r="AX169" s="309" t="s">
        <v>299</v>
      </c>
      <c r="AY169" s="310"/>
      <c r="AZ169" s="308"/>
      <c r="BA169" s="311"/>
      <c r="BB169" s="308"/>
      <c r="BC169" s="308"/>
      <c r="BD169" s="308"/>
      <c r="BE169" s="308"/>
      <c r="BF169" s="308"/>
    </row>
    <row r="170" spans="1:58" ht="17.25" customHeight="1" thickBot="1" x14ac:dyDescent="0.3">
      <c r="A170" s="1010" t="s">
        <v>97</v>
      </c>
      <c r="B170" s="1011"/>
      <c r="C170" s="1012"/>
      <c r="D170" s="351"/>
      <c r="E170" s="352" t="s">
        <v>367</v>
      </c>
      <c r="F170" s="508" t="s">
        <v>96</v>
      </c>
      <c r="G170" s="926">
        <f t="shared" si="11"/>
        <v>0</v>
      </c>
      <c r="H170" s="927"/>
      <c r="I170" s="928"/>
      <c r="J170" s="354">
        <v>0</v>
      </c>
      <c r="K170" s="355">
        <v>0</v>
      </c>
      <c r="L170" s="356">
        <f t="shared" si="12"/>
        <v>0</v>
      </c>
      <c r="M170" s="324"/>
      <c r="N170" s="1010" t="s">
        <v>97</v>
      </c>
      <c r="O170" s="1011"/>
      <c r="P170" s="1012"/>
      <c r="Q170" s="351"/>
      <c r="R170" s="352" t="s">
        <v>367</v>
      </c>
      <c r="S170" s="508" t="s">
        <v>96</v>
      </c>
      <c r="T170" s="929">
        <f t="shared" si="13"/>
        <v>0</v>
      </c>
      <c r="U170" s="929"/>
      <c r="V170" s="929"/>
      <c r="W170" s="354">
        <v>0</v>
      </c>
      <c r="X170" s="355">
        <v>0</v>
      </c>
      <c r="Y170" s="356">
        <f t="shared" si="14"/>
        <v>0</v>
      </c>
      <c r="Z170" s="357">
        <f t="shared" si="15"/>
        <v>0</v>
      </c>
      <c r="AA170" s="324"/>
      <c r="AC170" s="509" t="s">
        <v>48</v>
      </c>
      <c r="AD170" s="66" t="s">
        <v>48</v>
      </c>
      <c r="AE170" s="332">
        <f t="shared" si="9"/>
        <v>0</v>
      </c>
      <c r="AF170" s="333" t="str">
        <f t="shared" si="10"/>
        <v/>
      </c>
      <c r="AH170" s="308"/>
      <c r="AI170" s="896" t="s">
        <v>579</v>
      </c>
      <c r="AJ170" s="897"/>
      <c r="AK170" s="897"/>
      <c r="AL170" s="897"/>
      <c r="AM170" s="897"/>
      <c r="AN170" s="510" t="s">
        <v>580</v>
      </c>
      <c r="AO170" s="317">
        <f t="shared" si="0"/>
        <v>0</v>
      </c>
      <c r="AP170" s="318"/>
      <c r="AQ170" s="308"/>
      <c r="AR170" s="954" t="s">
        <v>581</v>
      </c>
      <c r="AS170" s="955"/>
      <c r="AT170" s="955"/>
      <c r="AU170" s="955"/>
      <c r="AV170" s="955"/>
      <c r="AW170" s="511" t="s">
        <v>582</v>
      </c>
      <c r="AX170" s="317">
        <f t="shared" ref="AX170:AX223" si="16">COUNTIF($A$1:$GO$103,AW170)</f>
        <v>0</v>
      </c>
      <c r="AY170" s="512"/>
      <c r="AZ170" s="308"/>
      <c r="BA170" s="311"/>
      <c r="BB170" s="308"/>
    </row>
    <row r="171" spans="1:58" ht="17.25" customHeight="1" x14ac:dyDescent="0.25">
      <c r="A171" s="1010" t="s">
        <v>142</v>
      </c>
      <c r="B171" s="1011"/>
      <c r="C171" s="1012"/>
      <c r="D171" s="513"/>
      <c r="E171" s="456"/>
      <c r="F171" s="514" t="s">
        <v>136</v>
      </c>
      <c r="G171" s="926">
        <f t="shared" si="11"/>
        <v>0</v>
      </c>
      <c r="H171" s="927"/>
      <c r="I171" s="928"/>
      <c r="J171" s="354">
        <v>0</v>
      </c>
      <c r="K171" s="355">
        <v>0</v>
      </c>
      <c r="L171" s="356">
        <f t="shared" si="12"/>
        <v>0</v>
      </c>
      <c r="M171" s="324"/>
      <c r="N171" s="1010" t="s">
        <v>142</v>
      </c>
      <c r="O171" s="1011"/>
      <c r="P171" s="1012"/>
      <c r="Q171" s="515"/>
      <c r="R171" s="516"/>
      <c r="S171" s="514" t="s">
        <v>136</v>
      </c>
      <c r="T171" s="929">
        <f t="shared" si="13"/>
        <v>0</v>
      </c>
      <c r="U171" s="929"/>
      <c r="V171" s="929"/>
      <c r="W171" s="354">
        <v>0</v>
      </c>
      <c r="X171" s="355">
        <v>0</v>
      </c>
      <c r="Y171" s="356">
        <f t="shared" si="14"/>
        <v>0</v>
      </c>
      <c r="Z171" s="357">
        <f t="shared" si="15"/>
        <v>0</v>
      </c>
      <c r="AA171" s="324"/>
      <c r="AC171" s="442" t="s">
        <v>583</v>
      </c>
      <c r="AD171" s="321" t="s">
        <v>584</v>
      </c>
      <c r="AE171" s="332">
        <f t="shared" si="9"/>
        <v>0</v>
      </c>
      <c r="AF171" s="333" t="str">
        <f t="shared" si="10"/>
        <v/>
      </c>
      <c r="AH171" s="308"/>
      <c r="AI171" s="896" t="s">
        <v>585</v>
      </c>
      <c r="AJ171" s="897"/>
      <c r="AK171" s="897"/>
      <c r="AL171" s="897"/>
      <c r="AM171" s="897"/>
      <c r="AN171" s="411" t="s">
        <v>586</v>
      </c>
      <c r="AO171" s="317">
        <f t="shared" si="0"/>
        <v>0</v>
      </c>
      <c r="AP171" s="318"/>
      <c r="AQ171" s="308"/>
      <c r="AR171" s="954" t="s">
        <v>587</v>
      </c>
      <c r="AS171" s="955"/>
      <c r="AT171" s="955"/>
      <c r="AU171" s="955"/>
      <c r="AV171" s="955"/>
      <c r="AW171" s="517" t="s">
        <v>588</v>
      </c>
      <c r="AX171" s="317">
        <f t="shared" si="16"/>
        <v>0</v>
      </c>
      <c r="AY171" s="512"/>
      <c r="AZ171" s="308"/>
      <c r="BA171" s="311"/>
      <c r="BB171" s="308"/>
    </row>
    <row r="172" spans="1:58" ht="17.25" customHeight="1" x14ac:dyDescent="0.25">
      <c r="A172" s="972" t="s">
        <v>299</v>
      </c>
      <c r="B172" s="973"/>
      <c r="C172" s="973"/>
      <c r="D172" s="973"/>
      <c r="E172" s="973"/>
      <c r="F172" s="518"/>
      <c r="G172" s="1000">
        <f>SUM(G154:I171)</f>
        <v>0</v>
      </c>
      <c r="H172" s="1000"/>
      <c r="I172" s="1000"/>
      <c r="J172" s="439">
        <f>SUM(J154:J171)</f>
        <v>0</v>
      </c>
      <c r="K172" s="440">
        <f>SUM(K154:K171)</f>
        <v>0</v>
      </c>
      <c r="L172" s="356">
        <f>SUM(L154:L171)</f>
        <v>0</v>
      </c>
      <c r="M172" s="324"/>
      <c r="N172" s="1001" t="s">
        <v>299</v>
      </c>
      <c r="O172" s="1002"/>
      <c r="P172" s="1002"/>
      <c r="Q172" s="1002"/>
      <c r="R172" s="1002"/>
      <c r="S172" s="519"/>
      <c r="T172" s="1003">
        <f>SUM(T154:V171)</f>
        <v>0</v>
      </c>
      <c r="U172" s="1003"/>
      <c r="V172" s="1003"/>
      <c r="W172" s="439">
        <f>SUM(W154:W171)</f>
        <v>0</v>
      </c>
      <c r="X172" s="440">
        <f>SUM(X154:X171)</f>
        <v>0</v>
      </c>
      <c r="Y172" s="356">
        <f>SUM(Y154:Y171)</f>
        <v>0</v>
      </c>
      <c r="Z172" s="357">
        <f t="shared" si="15"/>
        <v>0</v>
      </c>
      <c r="AA172" s="324"/>
      <c r="AC172" s="442" t="s">
        <v>589</v>
      </c>
      <c r="AD172" s="520" t="s">
        <v>590</v>
      </c>
      <c r="AE172" s="332">
        <f t="shared" si="9"/>
        <v>0</v>
      </c>
      <c r="AF172" s="333" t="str">
        <f t="shared" si="10"/>
        <v/>
      </c>
      <c r="AH172" s="308"/>
      <c r="AI172" s="896" t="s">
        <v>591</v>
      </c>
      <c r="AJ172" s="897"/>
      <c r="AK172" s="897"/>
      <c r="AL172" s="897"/>
      <c r="AM172" s="897"/>
      <c r="AN172" s="521" t="s">
        <v>592</v>
      </c>
      <c r="AO172" s="317">
        <f t="shared" si="0"/>
        <v>0</v>
      </c>
      <c r="AP172" s="318"/>
      <c r="AQ172" s="308"/>
      <c r="AR172" s="954" t="s">
        <v>593</v>
      </c>
      <c r="AS172" s="955"/>
      <c r="AT172" s="955"/>
      <c r="AU172" s="955"/>
      <c r="AV172" s="955"/>
      <c r="AW172" s="517" t="s">
        <v>594</v>
      </c>
      <c r="AX172" s="317">
        <f t="shared" si="16"/>
        <v>0</v>
      </c>
      <c r="AY172" s="512"/>
      <c r="AZ172" s="308"/>
      <c r="BA172" s="311"/>
      <c r="BB172" s="308"/>
    </row>
    <row r="173" spans="1:58" ht="17.25" customHeight="1" x14ac:dyDescent="0.25">
      <c r="A173" s="1013" t="s">
        <v>595</v>
      </c>
      <c r="B173" s="1014"/>
      <c r="C173" s="1014"/>
      <c r="D173" s="1014"/>
      <c r="E173" s="1014"/>
      <c r="F173" s="1014"/>
      <c r="G173" s="1014"/>
      <c r="H173" s="1014"/>
      <c r="I173" s="1015"/>
      <c r="J173" s="346" t="s">
        <v>351</v>
      </c>
      <c r="K173" s="346" t="s">
        <v>352</v>
      </c>
      <c r="L173" s="346" t="s">
        <v>353</v>
      </c>
      <c r="M173" s="324"/>
      <c r="N173" s="1013" t="s">
        <v>595</v>
      </c>
      <c r="O173" s="1014"/>
      <c r="P173" s="1014"/>
      <c r="Q173" s="1014"/>
      <c r="R173" s="1014"/>
      <c r="S173" s="1014"/>
      <c r="T173" s="1014"/>
      <c r="U173" s="1014"/>
      <c r="V173" s="1015"/>
      <c r="W173" s="347" t="s">
        <v>351</v>
      </c>
      <c r="X173" s="347" t="s">
        <v>352</v>
      </c>
      <c r="Y173" s="347" t="s">
        <v>353</v>
      </c>
      <c r="Z173" s="446"/>
      <c r="AA173" s="324"/>
      <c r="AC173" s="442" t="s">
        <v>596</v>
      </c>
      <c r="AD173" s="522" t="s">
        <v>597</v>
      </c>
      <c r="AE173" s="332">
        <f t="shared" si="9"/>
        <v>0</v>
      </c>
      <c r="AF173" s="333" t="str">
        <f t="shared" si="10"/>
        <v/>
      </c>
      <c r="AH173" s="308"/>
      <c r="AI173" s="896" t="s">
        <v>598</v>
      </c>
      <c r="AJ173" s="897"/>
      <c r="AK173" s="897"/>
      <c r="AL173" s="897"/>
      <c r="AM173" s="897"/>
      <c r="AN173" s="468" t="s">
        <v>599</v>
      </c>
      <c r="AO173" s="317">
        <f t="shared" si="0"/>
        <v>0</v>
      </c>
      <c r="AP173" s="318"/>
      <c r="AQ173" s="308"/>
      <c r="AR173" s="954" t="s">
        <v>600</v>
      </c>
      <c r="AS173" s="955"/>
      <c r="AT173" s="955"/>
      <c r="AU173" s="955"/>
      <c r="AV173" s="955"/>
      <c r="AW173" s="523" t="s">
        <v>601</v>
      </c>
      <c r="AX173" s="317">
        <f t="shared" si="16"/>
        <v>0</v>
      </c>
      <c r="AY173" s="512"/>
      <c r="AZ173" s="308"/>
      <c r="BA173" s="311"/>
    </row>
    <row r="174" spans="1:58" ht="17.25" customHeight="1" thickBot="1" x14ac:dyDescent="0.3">
      <c r="A174" s="1016" t="s">
        <v>143</v>
      </c>
      <c r="B174" s="1017"/>
      <c r="C174" s="1018"/>
      <c r="D174" s="450"/>
      <c r="E174" s="451"/>
      <c r="F174" s="365" t="s">
        <v>122</v>
      </c>
      <c r="G174" s="1019">
        <f>COUNTIF($A$4:$M$42,F174)+COUNTIF($A$43:$O$81,F174)+COUNTIF($N$4:$T$19,F174)+COUNTIF($O$20:$S$23,F174)+COUNTIF($N$24:$Q$25,F174)+COUNTIF($N$26:$P$26,F174)+COUNTIF($P$42,F174)+COUNTIF($T$21:$T$22,F174)+COUNTIF($R$24,F174)+COUNTIF($N$27:$O$28,F174)</f>
        <v>0</v>
      </c>
      <c r="H174" s="986"/>
      <c r="I174" s="987"/>
      <c r="J174" s="354">
        <v>0</v>
      </c>
      <c r="K174" s="355">
        <v>0</v>
      </c>
      <c r="L174" s="356">
        <f t="shared" ref="L174:L175" si="17">G174-K174-J174</f>
        <v>0</v>
      </c>
      <c r="M174" s="324"/>
      <c r="N174" s="1016" t="s">
        <v>143</v>
      </c>
      <c r="O174" s="1017"/>
      <c r="P174" s="1018"/>
      <c r="Q174" s="450"/>
      <c r="R174" s="451"/>
      <c r="S174" s="365" t="s">
        <v>122</v>
      </c>
      <c r="T174" s="929">
        <f>COUNTIF($T$23:$BI$73,S174)+COUNTIF($N$29:$S$39,S174)+COUNTIF($P$47:$S$68,S174)+COUNTIF($Q$40:$S$42,S174)+COUNTIF($P$27:$S$28,S174)+COUNTIF($R$25:$S$25,S174)+COUNTIF($S$24:$S$24,S174)</f>
        <v>0</v>
      </c>
      <c r="U174" s="929"/>
      <c r="V174" s="929"/>
      <c r="W174" s="354">
        <v>0</v>
      </c>
      <c r="X174" s="355">
        <v>0</v>
      </c>
      <c r="Y174" s="356">
        <f t="shared" ref="Y174:Y175" si="18">T174-X174-W174</f>
        <v>0</v>
      </c>
      <c r="Z174" s="357">
        <f t="shared" ref="Z174:Z176" si="19">T174+G174</f>
        <v>0</v>
      </c>
      <c r="AA174" s="324"/>
      <c r="AC174" s="442" t="s">
        <v>602</v>
      </c>
      <c r="AD174" s="524" t="s">
        <v>603</v>
      </c>
      <c r="AE174" s="332">
        <f t="shared" si="9"/>
        <v>0</v>
      </c>
      <c r="AF174" s="333" t="str">
        <f t="shared" si="10"/>
        <v/>
      </c>
      <c r="AH174" s="308"/>
      <c r="AI174" s="896" t="s">
        <v>604</v>
      </c>
      <c r="AJ174" s="897"/>
      <c r="AK174" s="897"/>
      <c r="AL174" s="897"/>
      <c r="AM174" s="897"/>
      <c r="AN174" s="525" t="s">
        <v>605</v>
      </c>
      <c r="AO174" s="317">
        <f t="shared" si="0"/>
        <v>0</v>
      </c>
      <c r="AP174" s="318"/>
      <c r="AQ174" s="308"/>
      <c r="AR174" s="954" t="s">
        <v>606</v>
      </c>
      <c r="AS174" s="955"/>
      <c r="AT174" s="955"/>
      <c r="AU174" s="955"/>
      <c r="AV174" s="955"/>
      <c r="AW174" s="412" t="s">
        <v>155</v>
      </c>
      <c r="AX174" s="317">
        <f t="shared" si="16"/>
        <v>0</v>
      </c>
      <c r="AY174" s="512"/>
      <c r="AZ174" s="308"/>
      <c r="BA174" s="311"/>
    </row>
    <row r="175" spans="1:58" ht="17.25" customHeight="1" thickBot="1" x14ac:dyDescent="0.3">
      <c r="A175" s="1010" t="s">
        <v>144</v>
      </c>
      <c r="B175" s="1011"/>
      <c r="C175" s="1012"/>
      <c r="D175" s="351"/>
      <c r="E175" s="352"/>
      <c r="F175" s="466" t="s">
        <v>123</v>
      </c>
      <c r="G175" s="926">
        <f>COUNTIF($A$4:$M$42,F175)+COUNTIF($A$43:$O$81,F175)+COUNTIF($N$4:$T$19,F175)+COUNTIF($O$20:$S$23,F175)+COUNTIF($N$24:$Q$25,F175)+COUNTIF($N$26:$P$26,F175)+COUNTIF($P$42,F175)+COUNTIF($T$21:$T$22,F175)+COUNTIF($R$24,F175)+COUNTIF($N$27:$O$28,F175)</f>
        <v>0</v>
      </c>
      <c r="H175" s="927"/>
      <c r="I175" s="928"/>
      <c r="J175" s="354">
        <v>0</v>
      </c>
      <c r="K175" s="355">
        <v>0</v>
      </c>
      <c r="L175" s="356">
        <f t="shared" si="17"/>
        <v>0</v>
      </c>
      <c r="M175" s="324"/>
      <c r="N175" s="1010" t="s">
        <v>144</v>
      </c>
      <c r="O175" s="1011"/>
      <c r="P175" s="1012"/>
      <c r="Q175" s="351"/>
      <c r="R175" s="352"/>
      <c r="S175" s="466" t="s">
        <v>123</v>
      </c>
      <c r="T175" s="929">
        <f>COUNTIF($T$23:$BI$73,S175)+COUNTIF($N$29:$S$39,S175)+COUNTIF($P$47:$S$68,S175)+COUNTIF($Q$40:$S$42,S175)+COUNTIF($P$27:$S$28,S175)+COUNTIF($R$25:$S$25,S175)+COUNTIF($S$24:$S$24,S175)</f>
        <v>0</v>
      </c>
      <c r="U175" s="929"/>
      <c r="V175" s="929"/>
      <c r="W175" s="354">
        <v>0</v>
      </c>
      <c r="X175" s="355">
        <v>0</v>
      </c>
      <c r="Y175" s="356">
        <f t="shared" si="18"/>
        <v>0</v>
      </c>
      <c r="Z175" s="357">
        <f t="shared" si="19"/>
        <v>0</v>
      </c>
      <c r="AA175" s="324"/>
      <c r="AC175" s="442" t="s">
        <v>607</v>
      </c>
      <c r="AD175" s="526" t="s">
        <v>607</v>
      </c>
      <c r="AE175" s="332">
        <f t="shared" si="9"/>
        <v>0</v>
      </c>
      <c r="AF175" s="333" t="str">
        <f t="shared" si="10"/>
        <v/>
      </c>
      <c r="AH175" s="308"/>
      <c r="AI175" s="896" t="s">
        <v>608</v>
      </c>
      <c r="AJ175" s="897"/>
      <c r="AK175" s="897"/>
      <c r="AL175" s="897"/>
      <c r="AM175" s="897"/>
      <c r="AN175" s="527" t="s">
        <v>609</v>
      </c>
      <c r="AO175" s="317">
        <f t="shared" si="0"/>
        <v>0</v>
      </c>
      <c r="AP175" s="318"/>
      <c r="AQ175" s="308"/>
      <c r="AR175" s="954" t="s">
        <v>610</v>
      </c>
      <c r="AS175" s="955"/>
      <c r="AT175" s="955"/>
      <c r="AU175" s="955"/>
      <c r="AV175" s="955"/>
      <c r="AW175" s="412" t="s">
        <v>611</v>
      </c>
      <c r="AX175" s="317">
        <f t="shared" si="16"/>
        <v>0</v>
      </c>
      <c r="AY175" s="512"/>
      <c r="AZ175" s="308"/>
      <c r="BA175" s="311"/>
    </row>
    <row r="176" spans="1:58" ht="17.25" customHeight="1" x14ac:dyDescent="0.25">
      <c r="A176" s="972" t="s">
        <v>299</v>
      </c>
      <c r="B176" s="973"/>
      <c r="C176" s="973"/>
      <c r="D176" s="973"/>
      <c r="E176" s="973"/>
      <c r="F176" s="518"/>
      <c r="G176" s="1000">
        <f>SUM(G174:I175)</f>
        <v>0</v>
      </c>
      <c r="H176" s="1000"/>
      <c r="I176" s="1000"/>
      <c r="J176" s="439">
        <f>SUM(J174:J175)</f>
        <v>0</v>
      </c>
      <c r="K176" s="440">
        <f>SUM(K174:K175)</f>
        <v>0</v>
      </c>
      <c r="L176" s="356">
        <f>SUM(L174:L175)</f>
        <v>0</v>
      </c>
      <c r="M176" s="324"/>
      <c r="N176" s="1001" t="s">
        <v>299</v>
      </c>
      <c r="O176" s="1002"/>
      <c r="P176" s="1002"/>
      <c r="Q176" s="1002"/>
      <c r="R176" s="1002"/>
      <c r="S176" s="519"/>
      <c r="T176" s="1003">
        <f>SUM(T174:V175)</f>
        <v>0</v>
      </c>
      <c r="U176" s="1003"/>
      <c r="V176" s="1003"/>
      <c r="W176" s="439">
        <f>SUM(W174:W175)</f>
        <v>0</v>
      </c>
      <c r="X176" s="440">
        <f>SUM(X174:X175)</f>
        <v>0</v>
      </c>
      <c r="Y176" s="356">
        <f>SUM(Y174:Y175)</f>
        <v>0</v>
      </c>
      <c r="Z176" s="357">
        <f t="shared" si="19"/>
        <v>0</v>
      </c>
      <c r="AA176" s="324"/>
      <c r="AC176" s="442" t="s">
        <v>612</v>
      </c>
      <c r="AD176" s="528" t="s">
        <v>613</v>
      </c>
      <c r="AE176" s="332">
        <f t="shared" si="9"/>
        <v>0</v>
      </c>
      <c r="AF176" s="333" t="str">
        <f t="shared" si="10"/>
        <v/>
      </c>
      <c r="AH176" s="308"/>
      <c r="AI176" s="896" t="s">
        <v>614</v>
      </c>
      <c r="AJ176" s="897"/>
      <c r="AK176" s="897"/>
      <c r="AL176" s="897"/>
      <c r="AM176" s="897"/>
      <c r="AN176" s="529" t="s">
        <v>615</v>
      </c>
      <c r="AO176" s="317">
        <f t="shared" si="0"/>
        <v>0</v>
      </c>
      <c r="AP176" s="318"/>
      <c r="AQ176" s="308"/>
      <c r="AR176" s="954" t="s">
        <v>616</v>
      </c>
      <c r="AS176" s="955"/>
      <c r="AT176" s="955"/>
      <c r="AU176" s="955"/>
      <c r="AV176" s="955"/>
      <c r="AW176" s="412" t="s">
        <v>617</v>
      </c>
      <c r="AX176" s="317">
        <f t="shared" si="16"/>
        <v>0</v>
      </c>
      <c r="AY176" s="530"/>
      <c r="AZ176" s="308"/>
      <c r="BA176" s="311"/>
    </row>
    <row r="177" spans="1:53" ht="17.25" customHeight="1" x14ac:dyDescent="0.25">
      <c r="A177" s="1004" t="s">
        <v>618</v>
      </c>
      <c r="B177" s="1005"/>
      <c r="C177" s="1005"/>
      <c r="D177" s="1005"/>
      <c r="E177" s="1005"/>
      <c r="F177" s="1005"/>
      <c r="G177" s="1005"/>
      <c r="H177" s="1005"/>
      <c r="I177" s="1006"/>
      <c r="J177" s="346" t="s">
        <v>351</v>
      </c>
      <c r="K177" s="346" t="s">
        <v>352</v>
      </c>
      <c r="L177" s="346" t="s">
        <v>353</v>
      </c>
      <c r="M177" s="324"/>
      <c r="N177" s="1004" t="s">
        <v>618</v>
      </c>
      <c r="O177" s="1005"/>
      <c r="P177" s="1005"/>
      <c r="Q177" s="1005"/>
      <c r="R177" s="1005"/>
      <c r="S177" s="1005"/>
      <c r="T177" s="1005"/>
      <c r="U177" s="1005"/>
      <c r="V177" s="1006"/>
      <c r="W177" s="347" t="s">
        <v>351</v>
      </c>
      <c r="X177" s="347" t="s">
        <v>352</v>
      </c>
      <c r="Y177" s="347" t="s">
        <v>353</v>
      </c>
      <c r="Z177" s="446"/>
      <c r="AA177" s="324"/>
      <c r="AC177" s="442" t="s">
        <v>619</v>
      </c>
      <c r="AD177" s="531" t="s">
        <v>620</v>
      </c>
      <c r="AE177" s="332">
        <f t="shared" si="9"/>
        <v>0</v>
      </c>
      <c r="AF177" s="333" t="str">
        <f t="shared" si="10"/>
        <v/>
      </c>
      <c r="AH177" s="308"/>
      <c r="AI177" s="896" t="s">
        <v>621</v>
      </c>
      <c r="AJ177" s="897"/>
      <c r="AK177" s="897"/>
      <c r="AL177" s="897"/>
      <c r="AM177" s="897"/>
      <c r="AN177" s="532" t="s">
        <v>621</v>
      </c>
      <c r="AO177" s="317">
        <f t="shared" si="0"/>
        <v>0</v>
      </c>
      <c r="AP177" s="318"/>
      <c r="AQ177" s="308"/>
      <c r="AR177" s="954" t="s">
        <v>622</v>
      </c>
      <c r="AS177" s="955"/>
      <c r="AT177" s="955"/>
      <c r="AU177" s="955"/>
      <c r="AV177" s="955"/>
      <c r="AW177" s="533" t="s">
        <v>623</v>
      </c>
      <c r="AX177" s="317">
        <f t="shared" si="16"/>
        <v>0</v>
      </c>
      <c r="AY177" s="530"/>
      <c r="AZ177" s="308"/>
      <c r="BA177" s="311"/>
    </row>
    <row r="178" spans="1:53" ht="17.25" customHeight="1" thickBot="1" x14ac:dyDescent="0.3">
      <c r="A178" s="978" t="s">
        <v>99</v>
      </c>
      <c r="B178" s="979"/>
      <c r="C178" s="980"/>
      <c r="D178" s="351" t="s">
        <v>624</v>
      </c>
      <c r="E178" s="352" t="s">
        <v>367</v>
      </c>
      <c r="F178" s="534" t="s">
        <v>98</v>
      </c>
      <c r="G178" s="1007">
        <f t="shared" ref="G178:G194" si="20">COUNTIF($A$4:$M$42,F178)+COUNTIF($A$43:$O$81,F178)+COUNTIF($N$4:$T$19,F178)+COUNTIF($O$20:$S$23,F178)+COUNTIF($N$24:$Q$25,F178)+COUNTIF($N$26:$P$26,F178)+COUNTIF($P$42,F178)+COUNTIF($T$21:$T$22,F178)+COUNTIF($R$24,F178)+COUNTIF($N$27:$O$28,F178)</f>
        <v>0</v>
      </c>
      <c r="H178" s="1008"/>
      <c r="I178" s="1009"/>
      <c r="J178" s="354">
        <v>0</v>
      </c>
      <c r="K178" s="355">
        <v>0</v>
      </c>
      <c r="L178" s="356">
        <f t="shared" ref="L178:L194" si="21">G178-K178-J178</f>
        <v>0</v>
      </c>
      <c r="M178" s="324"/>
      <c r="N178" s="978" t="s">
        <v>99</v>
      </c>
      <c r="O178" s="979"/>
      <c r="P178" s="980"/>
      <c r="Q178" s="351" t="s">
        <v>624</v>
      </c>
      <c r="R178" s="352" t="s">
        <v>367</v>
      </c>
      <c r="S178" s="534" t="s">
        <v>98</v>
      </c>
      <c r="T178" s="929">
        <f t="shared" ref="T178:T194" si="22">COUNTIF($T$23:$BI$73,S178)+COUNTIF($N$29:$S$39,S178)+COUNTIF($P$47:$S$68,S178)+COUNTIF($Q$40:$S$42,S178)+COUNTIF($P$27:$S$28,S178)+COUNTIF($R$25:$S$25,S178)+COUNTIF($S$24:$S$24,S178)</f>
        <v>0</v>
      </c>
      <c r="U178" s="929"/>
      <c r="V178" s="929"/>
      <c r="W178" s="354">
        <v>0</v>
      </c>
      <c r="X178" s="355">
        <v>0</v>
      </c>
      <c r="Y178" s="356">
        <f t="shared" ref="Y178:Y194" si="23">T178-X178-W178</f>
        <v>0</v>
      </c>
      <c r="Z178" s="357">
        <f t="shared" si="6"/>
        <v>0</v>
      </c>
      <c r="AA178" s="324" t="b">
        <f>IFERROR(#REF!&gt;0.5,FALSE)</f>
        <v>0</v>
      </c>
      <c r="AC178" s="442" t="s">
        <v>625</v>
      </c>
      <c r="AD178" s="535" t="s">
        <v>626</v>
      </c>
      <c r="AE178" s="332">
        <f t="shared" si="9"/>
        <v>0</v>
      </c>
      <c r="AF178" s="333" t="str">
        <f t="shared" si="10"/>
        <v/>
      </c>
      <c r="AH178" s="308"/>
      <c r="AI178" s="896" t="s">
        <v>627</v>
      </c>
      <c r="AJ178" s="897"/>
      <c r="AK178" s="897"/>
      <c r="AL178" s="897"/>
      <c r="AM178" s="897"/>
      <c r="AN178" s="536" t="s">
        <v>628</v>
      </c>
      <c r="AO178" s="317">
        <f t="shared" si="0"/>
        <v>0</v>
      </c>
      <c r="AP178" s="318"/>
      <c r="AQ178" s="308"/>
      <c r="AR178" s="954" t="s">
        <v>629</v>
      </c>
      <c r="AS178" s="955"/>
      <c r="AT178" s="955"/>
      <c r="AU178" s="955"/>
      <c r="AV178" s="955"/>
      <c r="AW178" s="533" t="s">
        <v>630</v>
      </c>
      <c r="AX178" s="317">
        <f t="shared" si="16"/>
        <v>0</v>
      </c>
      <c r="AY178" s="530"/>
      <c r="AZ178" s="308"/>
      <c r="BA178" s="311"/>
    </row>
    <row r="179" spans="1:53" ht="17.25" customHeight="1" x14ac:dyDescent="0.25">
      <c r="A179" s="978" t="s">
        <v>145</v>
      </c>
      <c r="B179" s="979"/>
      <c r="C179" s="980"/>
      <c r="D179" s="351"/>
      <c r="E179" s="352"/>
      <c r="F179" s="537" t="s">
        <v>146</v>
      </c>
      <c r="G179" s="927">
        <f t="shared" si="20"/>
        <v>0</v>
      </c>
      <c r="H179" s="927"/>
      <c r="I179" s="928"/>
      <c r="J179" s="354">
        <v>0</v>
      </c>
      <c r="K179" s="355">
        <v>0</v>
      </c>
      <c r="L179" s="356">
        <f t="shared" si="21"/>
        <v>0</v>
      </c>
      <c r="M179" s="324"/>
      <c r="N179" s="978" t="s">
        <v>145</v>
      </c>
      <c r="O179" s="979"/>
      <c r="P179" s="980"/>
      <c r="Q179" s="351"/>
      <c r="R179" s="352"/>
      <c r="S179" s="537" t="s">
        <v>146</v>
      </c>
      <c r="T179" s="928">
        <f t="shared" si="22"/>
        <v>0</v>
      </c>
      <c r="U179" s="929"/>
      <c r="V179" s="929"/>
      <c r="W179" s="354">
        <v>0</v>
      </c>
      <c r="X179" s="355">
        <v>0</v>
      </c>
      <c r="Y179" s="356">
        <f t="shared" si="23"/>
        <v>0</v>
      </c>
      <c r="Z179" s="357">
        <f t="shared" si="6"/>
        <v>0</v>
      </c>
      <c r="AA179" s="324"/>
      <c r="AC179" s="409" t="s">
        <v>631</v>
      </c>
      <c r="AD179" s="538" t="s">
        <v>632</v>
      </c>
      <c r="AE179" s="332">
        <f t="shared" si="9"/>
        <v>0</v>
      </c>
      <c r="AF179" s="333" t="str">
        <f t="shared" si="10"/>
        <v/>
      </c>
      <c r="AH179" s="308"/>
      <c r="AI179" s="896" t="s">
        <v>633</v>
      </c>
      <c r="AJ179" s="897"/>
      <c r="AK179" s="897"/>
      <c r="AL179" s="897"/>
      <c r="AM179" s="897"/>
      <c r="AN179" s="186" t="s">
        <v>634</v>
      </c>
      <c r="AO179" s="317">
        <f t="shared" si="0"/>
        <v>0</v>
      </c>
      <c r="AP179" s="318"/>
      <c r="AQ179" s="308"/>
      <c r="AR179" s="954" t="s">
        <v>635</v>
      </c>
      <c r="AS179" s="955"/>
      <c r="AT179" s="955"/>
      <c r="AU179" s="955"/>
      <c r="AV179" s="955"/>
      <c r="AW179" s="539" t="s">
        <v>636</v>
      </c>
      <c r="AX179" s="317">
        <f t="shared" si="16"/>
        <v>0</v>
      </c>
      <c r="AY179" s="530"/>
      <c r="AZ179" s="308"/>
      <c r="BA179" s="311"/>
    </row>
    <row r="180" spans="1:53" ht="17.25" customHeight="1" thickBot="1" x14ac:dyDescent="0.3">
      <c r="A180" s="978" t="s">
        <v>100</v>
      </c>
      <c r="B180" s="979"/>
      <c r="C180" s="980"/>
      <c r="D180" s="351"/>
      <c r="E180" s="352"/>
      <c r="F180" s="540" t="s">
        <v>0</v>
      </c>
      <c r="G180" s="927">
        <f t="shared" si="20"/>
        <v>0</v>
      </c>
      <c r="H180" s="927"/>
      <c r="I180" s="928"/>
      <c r="J180" s="354">
        <v>0</v>
      </c>
      <c r="K180" s="355">
        <v>0</v>
      </c>
      <c r="L180" s="356">
        <f t="shared" si="21"/>
        <v>0</v>
      </c>
      <c r="M180" s="324"/>
      <c r="N180" s="978" t="s">
        <v>100</v>
      </c>
      <c r="O180" s="979"/>
      <c r="P180" s="980"/>
      <c r="Q180" s="351"/>
      <c r="R180" s="352"/>
      <c r="S180" s="540" t="s">
        <v>0</v>
      </c>
      <c r="T180" s="928">
        <f t="shared" si="22"/>
        <v>0</v>
      </c>
      <c r="U180" s="929"/>
      <c r="V180" s="929"/>
      <c r="W180" s="354">
        <v>0</v>
      </c>
      <c r="X180" s="355">
        <v>0</v>
      </c>
      <c r="Y180" s="356">
        <f t="shared" si="23"/>
        <v>0</v>
      </c>
      <c r="Z180" s="357">
        <f t="shared" si="6"/>
        <v>0</v>
      </c>
      <c r="AA180" s="324"/>
      <c r="AC180" s="442" t="s">
        <v>637</v>
      </c>
      <c r="AD180" s="541" t="s">
        <v>638</v>
      </c>
      <c r="AE180" s="332">
        <f t="shared" si="9"/>
        <v>0</v>
      </c>
      <c r="AF180" s="333" t="str">
        <f t="shared" si="10"/>
        <v/>
      </c>
      <c r="AH180" s="308"/>
      <c r="AI180" s="896" t="s">
        <v>639</v>
      </c>
      <c r="AJ180" s="897"/>
      <c r="AK180" s="897"/>
      <c r="AL180" s="897"/>
      <c r="AM180" s="897"/>
      <c r="AN180" s="542" t="s">
        <v>640</v>
      </c>
      <c r="AO180" s="317">
        <f t="shared" si="0"/>
        <v>0</v>
      </c>
      <c r="AP180" s="543"/>
      <c r="AQ180" s="308"/>
      <c r="AR180" s="954" t="s">
        <v>641</v>
      </c>
      <c r="AS180" s="955"/>
      <c r="AT180" s="955"/>
      <c r="AU180" s="955"/>
      <c r="AV180" s="955"/>
      <c r="AW180" s="533" t="s">
        <v>642</v>
      </c>
      <c r="AX180" s="317">
        <f t="shared" si="16"/>
        <v>0</v>
      </c>
      <c r="AY180" s="512"/>
      <c r="AZ180" s="308"/>
      <c r="BA180" s="311"/>
    </row>
    <row r="181" spans="1:53" ht="17.25" customHeight="1" thickBot="1" x14ac:dyDescent="0.3">
      <c r="A181" s="978" t="s">
        <v>102</v>
      </c>
      <c r="B181" s="979"/>
      <c r="C181" s="980"/>
      <c r="D181" s="351" t="s">
        <v>0</v>
      </c>
      <c r="E181" s="352"/>
      <c r="F181" s="544" t="s">
        <v>101</v>
      </c>
      <c r="G181" s="927">
        <f t="shared" si="20"/>
        <v>0</v>
      </c>
      <c r="H181" s="927"/>
      <c r="I181" s="928"/>
      <c r="J181" s="354">
        <v>0</v>
      </c>
      <c r="K181" s="355">
        <v>0</v>
      </c>
      <c r="L181" s="356">
        <f t="shared" si="21"/>
        <v>0</v>
      </c>
      <c r="M181" s="324"/>
      <c r="N181" s="978" t="s">
        <v>102</v>
      </c>
      <c r="O181" s="979"/>
      <c r="P181" s="980"/>
      <c r="Q181" s="351" t="s">
        <v>0</v>
      </c>
      <c r="R181" s="352"/>
      <c r="S181" s="544" t="s">
        <v>101</v>
      </c>
      <c r="T181" s="928">
        <f t="shared" si="22"/>
        <v>0</v>
      </c>
      <c r="U181" s="929"/>
      <c r="V181" s="929"/>
      <c r="W181" s="354">
        <v>0</v>
      </c>
      <c r="X181" s="355">
        <v>0</v>
      </c>
      <c r="Y181" s="356">
        <f t="shared" si="23"/>
        <v>0</v>
      </c>
      <c r="Z181" s="357">
        <f t="shared" si="6"/>
        <v>0</v>
      </c>
      <c r="AA181" s="324"/>
      <c r="AC181" s="442" t="s">
        <v>643</v>
      </c>
      <c r="AD181" s="545" t="s">
        <v>644</v>
      </c>
      <c r="AE181" s="332">
        <f t="shared" si="9"/>
        <v>0</v>
      </c>
      <c r="AF181" s="333" t="str">
        <f t="shared" si="10"/>
        <v/>
      </c>
      <c r="AH181" s="308"/>
      <c r="AI181" s="896" t="s">
        <v>645</v>
      </c>
      <c r="AJ181" s="897"/>
      <c r="AK181" s="897"/>
      <c r="AL181" s="897"/>
      <c r="AM181" s="897"/>
      <c r="AN181" s="447" t="s">
        <v>646</v>
      </c>
      <c r="AO181" s="317">
        <f t="shared" si="0"/>
        <v>0</v>
      </c>
      <c r="AP181" s="318"/>
      <c r="AQ181" s="308"/>
      <c r="AR181" s="954" t="s">
        <v>647</v>
      </c>
      <c r="AS181" s="955"/>
      <c r="AT181" s="955"/>
      <c r="AU181" s="955"/>
      <c r="AV181" s="955"/>
      <c r="AW181" s="546" t="s">
        <v>648</v>
      </c>
      <c r="AX181" s="317">
        <f t="shared" si="16"/>
        <v>0</v>
      </c>
      <c r="AY181" s="512"/>
      <c r="AZ181" s="308"/>
      <c r="BA181" s="437"/>
    </row>
    <row r="182" spans="1:53" ht="17.25" customHeight="1" thickBot="1" x14ac:dyDescent="0.3">
      <c r="A182" s="978" t="s">
        <v>18</v>
      </c>
      <c r="B182" s="979"/>
      <c r="C182" s="980"/>
      <c r="D182" s="351"/>
      <c r="E182" s="352"/>
      <c r="F182" s="547" t="s">
        <v>1</v>
      </c>
      <c r="G182" s="927">
        <f t="shared" si="20"/>
        <v>0</v>
      </c>
      <c r="H182" s="927"/>
      <c r="I182" s="928"/>
      <c r="J182" s="354">
        <v>0</v>
      </c>
      <c r="K182" s="355">
        <v>0</v>
      </c>
      <c r="L182" s="356">
        <f t="shared" si="21"/>
        <v>0</v>
      </c>
      <c r="M182" s="324"/>
      <c r="N182" s="978" t="s">
        <v>18</v>
      </c>
      <c r="O182" s="979"/>
      <c r="P182" s="980"/>
      <c r="Q182" s="351"/>
      <c r="R182" s="352"/>
      <c r="S182" s="547" t="s">
        <v>1</v>
      </c>
      <c r="T182" s="928">
        <f t="shared" si="22"/>
        <v>0</v>
      </c>
      <c r="U182" s="929"/>
      <c r="V182" s="929"/>
      <c r="W182" s="354">
        <v>0</v>
      </c>
      <c r="X182" s="355">
        <v>0</v>
      </c>
      <c r="Y182" s="356">
        <f t="shared" si="23"/>
        <v>0</v>
      </c>
      <c r="Z182" s="357">
        <f t="shared" si="6"/>
        <v>0</v>
      </c>
      <c r="AC182" s="442" t="s">
        <v>204</v>
      </c>
      <c r="AD182" s="548" t="s">
        <v>204</v>
      </c>
      <c r="AE182" s="332">
        <f t="shared" si="9"/>
        <v>1</v>
      </c>
      <c r="AF182" s="333" t="str">
        <f t="shared" si="10"/>
        <v/>
      </c>
      <c r="AH182" s="308"/>
      <c r="AI182" s="896" t="s">
        <v>649</v>
      </c>
      <c r="AJ182" s="897"/>
      <c r="AK182" s="897"/>
      <c r="AL182" s="897"/>
      <c r="AM182" s="897"/>
      <c r="AN182" s="536" t="s">
        <v>650</v>
      </c>
      <c r="AO182" s="317">
        <f t="shared" si="0"/>
        <v>0</v>
      </c>
      <c r="AP182" s="318"/>
      <c r="AQ182" s="308"/>
      <c r="AR182" s="954" t="s">
        <v>651</v>
      </c>
      <c r="AS182" s="955"/>
      <c r="AT182" s="955"/>
      <c r="AU182" s="955"/>
      <c r="AV182" s="955"/>
      <c r="AW182" s="549" t="s">
        <v>652</v>
      </c>
      <c r="AX182" s="317">
        <f t="shared" si="16"/>
        <v>0</v>
      </c>
      <c r="AY182" s="512"/>
      <c r="AZ182" s="308"/>
      <c r="BA182" s="437"/>
    </row>
    <row r="183" spans="1:53" ht="17.25" customHeight="1" x14ac:dyDescent="0.25">
      <c r="A183" s="978" t="s">
        <v>147</v>
      </c>
      <c r="B183" s="979"/>
      <c r="C183" s="980"/>
      <c r="D183" s="351"/>
      <c r="E183" s="352"/>
      <c r="F183" s="550" t="s">
        <v>148</v>
      </c>
      <c r="G183" s="926">
        <f t="shared" si="20"/>
        <v>0</v>
      </c>
      <c r="H183" s="927"/>
      <c r="I183" s="928"/>
      <c r="J183" s="354">
        <v>0</v>
      </c>
      <c r="K183" s="355">
        <v>0</v>
      </c>
      <c r="L183" s="356">
        <f t="shared" si="21"/>
        <v>0</v>
      </c>
      <c r="M183" s="324"/>
      <c r="N183" s="978" t="s">
        <v>147</v>
      </c>
      <c r="O183" s="979"/>
      <c r="P183" s="980"/>
      <c r="Q183" s="351"/>
      <c r="R183" s="352"/>
      <c r="S183" s="550" t="s">
        <v>148</v>
      </c>
      <c r="T183" s="929">
        <f t="shared" si="22"/>
        <v>0</v>
      </c>
      <c r="U183" s="929"/>
      <c r="V183" s="929"/>
      <c r="W183" s="354">
        <v>0</v>
      </c>
      <c r="X183" s="355">
        <v>0</v>
      </c>
      <c r="Y183" s="356">
        <f t="shared" si="23"/>
        <v>0</v>
      </c>
      <c r="Z183" s="357">
        <f t="shared" si="6"/>
        <v>0</v>
      </c>
      <c r="AC183" s="442" t="s">
        <v>653</v>
      </c>
      <c r="AD183" s="551" t="s">
        <v>654</v>
      </c>
      <c r="AE183" s="332">
        <f t="shared" si="9"/>
        <v>0</v>
      </c>
      <c r="AF183" s="333" t="str">
        <f t="shared" si="10"/>
        <v/>
      </c>
      <c r="AH183" s="308"/>
      <c r="AI183" s="896" t="s">
        <v>655</v>
      </c>
      <c r="AJ183" s="897"/>
      <c r="AK183" s="897"/>
      <c r="AL183" s="897"/>
      <c r="AM183" s="897"/>
      <c r="AN183" s="552" t="s">
        <v>656</v>
      </c>
      <c r="AO183" s="317">
        <f t="shared" si="0"/>
        <v>0</v>
      </c>
      <c r="AP183" s="318"/>
      <c r="AQ183" s="308"/>
      <c r="AR183" s="954" t="s">
        <v>657</v>
      </c>
      <c r="AS183" s="955"/>
      <c r="AT183" s="955"/>
      <c r="AU183" s="955"/>
      <c r="AV183" s="955"/>
      <c r="AW183" s="553" t="s">
        <v>658</v>
      </c>
      <c r="AX183" s="317">
        <f t="shared" si="16"/>
        <v>0</v>
      </c>
      <c r="AY183" s="512"/>
      <c r="AZ183" s="308"/>
      <c r="BA183" s="437"/>
    </row>
    <row r="184" spans="1:53" ht="17.25" customHeight="1" x14ac:dyDescent="0.25">
      <c r="A184" s="978" t="s">
        <v>32</v>
      </c>
      <c r="B184" s="979"/>
      <c r="C184" s="980"/>
      <c r="D184" s="351"/>
      <c r="E184" s="352" t="s">
        <v>367</v>
      </c>
      <c r="F184" s="382" t="s">
        <v>68</v>
      </c>
      <c r="G184" s="926">
        <f t="shared" si="20"/>
        <v>0</v>
      </c>
      <c r="H184" s="927"/>
      <c r="I184" s="928"/>
      <c r="J184" s="354">
        <v>0</v>
      </c>
      <c r="K184" s="355">
        <v>0</v>
      </c>
      <c r="L184" s="356">
        <f t="shared" si="21"/>
        <v>0</v>
      </c>
      <c r="M184" s="324"/>
      <c r="N184" s="978" t="s">
        <v>32</v>
      </c>
      <c r="O184" s="979"/>
      <c r="P184" s="980"/>
      <c r="Q184" s="351"/>
      <c r="R184" s="352" t="s">
        <v>367</v>
      </c>
      <c r="S184" s="382" t="s">
        <v>68</v>
      </c>
      <c r="T184" s="929">
        <f t="shared" si="22"/>
        <v>0</v>
      </c>
      <c r="U184" s="929"/>
      <c r="V184" s="929"/>
      <c r="W184" s="354">
        <v>0</v>
      </c>
      <c r="X184" s="355">
        <v>0</v>
      </c>
      <c r="Y184" s="356">
        <f t="shared" si="23"/>
        <v>0</v>
      </c>
      <c r="Z184" s="357">
        <f t="shared" si="6"/>
        <v>0</v>
      </c>
      <c r="AC184" s="442" t="s">
        <v>659</v>
      </c>
      <c r="AD184" s="554" t="s">
        <v>660</v>
      </c>
      <c r="AE184" s="332">
        <f t="shared" si="9"/>
        <v>0</v>
      </c>
      <c r="AF184" s="333" t="str">
        <f t="shared" si="10"/>
        <v/>
      </c>
      <c r="AH184" s="308"/>
      <c r="AI184" s="896" t="s">
        <v>661</v>
      </c>
      <c r="AJ184" s="897"/>
      <c r="AK184" s="897"/>
      <c r="AL184" s="897"/>
      <c r="AM184" s="897"/>
      <c r="AN184" s="468" t="s">
        <v>662</v>
      </c>
      <c r="AO184" s="317">
        <f t="shared" si="0"/>
        <v>0</v>
      </c>
      <c r="AP184" s="318"/>
      <c r="AQ184" s="308"/>
      <c r="AR184" s="954" t="s">
        <v>663</v>
      </c>
      <c r="AS184" s="955"/>
      <c r="AT184" s="955"/>
      <c r="AU184" s="955"/>
      <c r="AV184" s="955"/>
      <c r="AW184" s="555" t="s">
        <v>664</v>
      </c>
      <c r="AX184" s="317">
        <f t="shared" si="16"/>
        <v>0</v>
      </c>
      <c r="AY184" s="512"/>
      <c r="AZ184" s="308"/>
      <c r="BA184" s="437"/>
    </row>
    <row r="185" spans="1:53" ht="17.25" customHeight="1" x14ac:dyDescent="0.25">
      <c r="A185" s="978" t="s">
        <v>110</v>
      </c>
      <c r="B185" s="979"/>
      <c r="C185" s="980"/>
      <c r="D185" s="351"/>
      <c r="E185" s="352"/>
      <c r="F185" s="556" t="s">
        <v>109</v>
      </c>
      <c r="G185" s="926">
        <f t="shared" si="20"/>
        <v>0</v>
      </c>
      <c r="H185" s="927"/>
      <c r="I185" s="928"/>
      <c r="J185" s="354">
        <v>0</v>
      </c>
      <c r="K185" s="355">
        <v>0</v>
      </c>
      <c r="L185" s="356">
        <f t="shared" si="21"/>
        <v>0</v>
      </c>
      <c r="M185" s="324"/>
      <c r="N185" s="978" t="s">
        <v>110</v>
      </c>
      <c r="O185" s="979"/>
      <c r="P185" s="980"/>
      <c r="Q185" s="351"/>
      <c r="R185" s="352"/>
      <c r="S185" s="556" t="s">
        <v>109</v>
      </c>
      <c r="T185" s="929">
        <f t="shared" si="22"/>
        <v>0</v>
      </c>
      <c r="U185" s="929"/>
      <c r="V185" s="929"/>
      <c r="W185" s="354">
        <v>0</v>
      </c>
      <c r="X185" s="355">
        <v>0</v>
      </c>
      <c r="Y185" s="356">
        <f t="shared" si="23"/>
        <v>0</v>
      </c>
      <c r="Z185" s="357">
        <f t="shared" si="6"/>
        <v>0</v>
      </c>
      <c r="AC185" s="442" t="s">
        <v>665</v>
      </c>
      <c r="AD185" s="557" t="s">
        <v>666</v>
      </c>
      <c r="AE185" s="332">
        <f t="shared" si="9"/>
        <v>0</v>
      </c>
      <c r="AF185" s="333" t="str">
        <f t="shared" si="10"/>
        <v/>
      </c>
      <c r="AH185" s="308"/>
      <c r="AI185" s="896" t="s">
        <v>667</v>
      </c>
      <c r="AJ185" s="897"/>
      <c r="AK185" s="897"/>
      <c r="AL185" s="897"/>
      <c r="AM185" s="897"/>
      <c r="AN185" s="558" t="s">
        <v>668</v>
      </c>
      <c r="AO185" s="317">
        <f t="shared" si="0"/>
        <v>0</v>
      </c>
      <c r="AP185" s="318"/>
      <c r="AQ185" s="308"/>
      <c r="AR185" s="954" t="s">
        <v>669</v>
      </c>
      <c r="AS185" s="955"/>
      <c r="AT185" s="955"/>
      <c r="AU185" s="955"/>
      <c r="AV185" s="955"/>
      <c r="AW185" s="559" t="s">
        <v>670</v>
      </c>
      <c r="AX185" s="317">
        <f t="shared" si="16"/>
        <v>0</v>
      </c>
      <c r="AY185" s="530"/>
      <c r="AZ185" s="308"/>
      <c r="BA185" s="311"/>
    </row>
    <row r="186" spans="1:53" ht="17.25" customHeight="1" x14ac:dyDescent="0.25">
      <c r="A186" s="978" t="s">
        <v>106</v>
      </c>
      <c r="B186" s="979"/>
      <c r="C186" s="980"/>
      <c r="D186" s="351"/>
      <c r="E186" s="352"/>
      <c r="F186" s="560" t="s">
        <v>105</v>
      </c>
      <c r="G186" s="926">
        <f t="shared" si="20"/>
        <v>0</v>
      </c>
      <c r="H186" s="927"/>
      <c r="I186" s="928"/>
      <c r="J186" s="354">
        <v>0</v>
      </c>
      <c r="K186" s="355">
        <v>0</v>
      </c>
      <c r="L186" s="356">
        <f t="shared" si="21"/>
        <v>0</v>
      </c>
      <c r="M186" s="324"/>
      <c r="N186" s="978" t="s">
        <v>106</v>
      </c>
      <c r="O186" s="979"/>
      <c r="P186" s="980"/>
      <c r="Q186" s="351"/>
      <c r="R186" s="352"/>
      <c r="S186" s="560" t="s">
        <v>105</v>
      </c>
      <c r="T186" s="929">
        <f t="shared" si="22"/>
        <v>0</v>
      </c>
      <c r="U186" s="929"/>
      <c r="V186" s="929"/>
      <c r="W186" s="354">
        <v>0</v>
      </c>
      <c r="X186" s="355">
        <v>0</v>
      </c>
      <c r="Y186" s="356">
        <f t="shared" si="23"/>
        <v>0</v>
      </c>
      <c r="Z186" s="357">
        <f t="shared" si="6"/>
        <v>0</v>
      </c>
      <c r="AC186" s="442" t="s">
        <v>671</v>
      </c>
      <c r="AD186" s="557" t="s">
        <v>672</v>
      </c>
      <c r="AE186" s="332">
        <f t="shared" si="9"/>
        <v>0</v>
      </c>
      <c r="AF186" s="333" t="str">
        <f t="shared" si="10"/>
        <v/>
      </c>
      <c r="AH186" s="308"/>
      <c r="AI186" s="896" t="s">
        <v>673</v>
      </c>
      <c r="AJ186" s="897"/>
      <c r="AK186" s="897"/>
      <c r="AL186" s="897"/>
      <c r="AM186" s="897"/>
      <c r="AN186" s="561" t="s">
        <v>674</v>
      </c>
      <c r="AO186" s="317">
        <f t="shared" si="0"/>
        <v>0</v>
      </c>
      <c r="AP186" s="318"/>
      <c r="AQ186" s="308"/>
      <c r="AR186" s="954" t="s">
        <v>675</v>
      </c>
      <c r="AS186" s="955"/>
      <c r="AT186" s="955"/>
      <c r="AU186" s="955"/>
      <c r="AV186" s="955"/>
      <c r="AW186" s="562" t="s">
        <v>676</v>
      </c>
      <c r="AX186" s="317">
        <f t="shared" si="16"/>
        <v>0</v>
      </c>
      <c r="AY186" s="512"/>
      <c r="AZ186" s="308"/>
      <c r="BA186" s="311"/>
    </row>
    <row r="187" spans="1:53" ht="17.25" customHeight="1" thickBot="1" x14ac:dyDescent="0.3">
      <c r="A187" s="978" t="s">
        <v>10</v>
      </c>
      <c r="B187" s="979"/>
      <c r="C187" s="980"/>
      <c r="D187" s="351"/>
      <c r="E187" s="352"/>
      <c r="F187" s="544" t="s">
        <v>47</v>
      </c>
      <c r="G187" s="926">
        <f t="shared" si="20"/>
        <v>0</v>
      </c>
      <c r="H187" s="927"/>
      <c r="I187" s="928"/>
      <c r="J187" s="354">
        <v>0</v>
      </c>
      <c r="K187" s="355">
        <v>0</v>
      </c>
      <c r="L187" s="356">
        <f t="shared" si="21"/>
        <v>0</v>
      </c>
      <c r="M187" s="324"/>
      <c r="N187" s="978" t="s">
        <v>10</v>
      </c>
      <c r="O187" s="979"/>
      <c r="P187" s="980"/>
      <c r="Q187" s="351"/>
      <c r="R187" s="352"/>
      <c r="S187" s="544" t="s">
        <v>47</v>
      </c>
      <c r="T187" s="929">
        <f t="shared" si="22"/>
        <v>0</v>
      </c>
      <c r="U187" s="929"/>
      <c r="V187" s="929"/>
      <c r="W187" s="354">
        <v>0</v>
      </c>
      <c r="X187" s="355">
        <v>0</v>
      </c>
      <c r="Y187" s="356">
        <f t="shared" si="23"/>
        <v>0</v>
      </c>
      <c r="Z187" s="357">
        <f t="shared" si="6"/>
        <v>0</v>
      </c>
      <c r="AC187" s="442" t="s">
        <v>677</v>
      </c>
      <c r="AD187" s="563" t="s">
        <v>678</v>
      </c>
      <c r="AE187" s="332">
        <f t="shared" si="9"/>
        <v>0</v>
      </c>
      <c r="AF187" s="333" t="str">
        <f t="shared" si="10"/>
        <v/>
      </c>
      <c r="AH187" s="308"/>
      <c r="AI187" s="896" t="s">
        <v>679</v>
      </c>
      <c r="AJ187" s="897"/>
      <c r="AK187" s="897"/>
      <c r="AL187" s="897"/>
      <c r="AM187" s="897"/>
      <c r="AN187" s="564" t="s">
        <v>680</v>
      </c>
      <c r="AO187" s="317">
        <f t="shared" si="0"/>
        <v>0</v>
      </c>
      <c r="AP187" s="318"/>
      <c r="AQ187" s="308"/>
      <c r="AR187" s="954" t="s">
        <v>681</v>
      </c>
      <c r="AS187" s="955"/>
      <c r="AT187" s="955"/>
      <c r="AU187" s="955"/>
      <c r="AV187" s="955"/>
      <c r="AW187" s="565" t="s">
        <v>682</v>
      </c>
      <c r="AX187" s="317">
        <f t="shared" si="16"/>
        <v>0</v>
      </c>
      <c r="AY187" s="512"/>
      <c r="AZ187" s="308"/>
      <c r="BA187" s="437"/>
    </row>
    <row r="188" spans="1:53" ht="17.25" customHeight="1" thickBot="1" x14ac:dyDescent="0.3">
      <c r="A188" s="978" t="s">
        <v>38</v>
      </c>
      <c r="B188" s="979"/>
      <c r="C188" s="980"/>
      <c r="D188" s="351"/>
      <c r="E188" s="352"/>
      <c r="F188" s="566" t="s">
        <v>39</v>
      </c>
      <c r="G188" s="926">
        <f t="shared" si="20"/>
        <v>0</v>
      </c>
      <c r="H188" s="927"/>
      <c r="I188" s="928"/>
      <c r="J188" s="354">
        <v>0</v>
      </c>
      <c r="K188" s="355">
        <v>0</v>
      </c>
      <c r="L188" s="356">
        <f t="shared" si="21"/>
        <v>0</v>
      </c>
      <c r="M188" s="324"/>
      <c r="N188" s="978" t="s">
        <v>38</v>
      </c>
      <c r="O188" s="979"/>
      <c r="P188" s="980"/>
      <c r="Q188" s="351"/>
      <c r="R188" s="352"/>
      <c r="S188" s="566" t="s">
        <v>39</v>
      </c>
      <c r="T188" s="929">
        <f t="shared" si="22"/>
        <v>0</v>
      </c>
      <c r="U188" s="929"/>
      <c r="V188" s="929"/>
      <c r="W188" s="354">
        <v>0</v>
      </c>
      <c r="X188" s="355">
        <v>0</v>
      </c>
      <c r="Y188" s="356">
        <f t="shared" si="23"/>
        <v>0</v>
      </c>
      <c r="Z188" s="357">
        <f t="shared" si="6"/>
        <v>0</v>
      </c>
      <c r="AC188" s="442" t="s">
        <v>683</v>
      </c>
      <c r="AD188" s="567" t="s">
        <v>684</v>
      </c>
      <c r="AE188" s="332">
        <f t="shared" si="9"/>
        <v>0</v>
      </c>
      <c r="AF188" s="333" t="str">
        <f t="shared" si="10"/>
        <v/>
      </c>
      <c r="AH188" s="308"/>
      <c r="AI188" s="896" t="s">
        <v>685</v>
      </c>
      <c r="AJ188" s="897"/>
      <c r="AK188" s="897"/>
      <c r="AL188" s="897"/>
      <c r="AM188" s="897"/>
      <c r="AN188" s="568" t="s">
        <v>686</v>
      </c>
      <c r="AO188" s="317">
        <f t="shared" si="0"/>
        <v>0</v>
      </c>
      <c r="AP188" s="318"/>
      <c r="AQ188" s="308"/>
      <c r="AR188" s="954" t="s">
        <v>687</v>
      </c>
      <c r="AS188" s="955"/>
      <c r="AT188" s="955"/>
      <c r="AU188" s="955"/>
      <c r="AV188" s="955"/>
      <c r="AW188" s="565" t="s">
        <v>688</v>
      </c>
      <c r="AX188" s="317">
        <f t="shared" si="16"/>
        <v>0</v>
      </c>
      <c r="AY188" s="512"/>
      <c r="AZ188" s="308"/>
      <c r="BA188" s="437"/>
    </row>
    <row r="189" spans="1:53" ht="17.25" customHeight="1" thickBot="1" x14ac:dyDescent="0.3">
      <c r="A189" s="978" t="s">
        <v>104</v>
      </c>
      <c r="B189" s="979"/>
      <c r="C189" s="980"/>
      <c r="D189" s="351" t="s">
        <v>2</v>
      </c>
      <c r="E189" s="352"/>
      <c r="F189" s="544" t="s">
        <v>103</v>
      </c>
      <c r="G189" s="926">
        <f t="shared" si="20"/>
        <v>0</v>
      </c>
      <c r="H189" s="927"/>
      <c r="I189" s="928"/>
      <c r="J189" s="354">
        <v>0</v>
      </c>
      <c r="K189" s="355">
        <v>0</v>
      </c>
      <c r="L189" s="356">
        <f t="shared" si="21"/>
        <v>0</v>
      </c>
      <c r="M189" s="324"/>
      <c r="N189" s="978" t="s">
        <v>104</v>
      </c>
      <c r="O189" s="979"/>
      <c r="P189" s="980"/>
      <c r="Q189" s="351" t="s">
        <v>2</v>
      </c>
      <c r="R189" s="352"/>
      <c r="S189" s="544" t="s">
        <v>103</v>
      </c>
      <c r="T189" s="929">
        <f t="shared" si="22"/>
        <v>0</v>
      </c>
      <c r="U189" s="929"/>
      <c r="V189" s="929"/>
      <c r="W189" s="354">
        <v>0</v>
      </c>
      <c r="X189" s="355">
        <v>0</v>
      </c>
      <c r="Y189" s="356">
        <f t="shared" si="23"/>
        <v>0</v>
      </c>
      <c r="Z189" s="357">
        <f t="shared" si="6"/>
        <v>0</v>
      </c>
      <c r="AC189" s="442" t="s">
        <v>689</v>
      </c>
      <c r="AD189" s="567" t="s">
        <v>690</v>
      </c>
      <c r="AE189" s="332">
        <f t="shared" si="9"/>
        <v>0</v>
      </c>
      <c r="AF189" s="333" t="str">
        <f t="shared" si="10"/>
        <v/>
      </c>
      <c r="AH189" s="308"/>
      <c r="AI189" s="896" t="s">
        <v>691</v>
      </c>
      <c r="AJ189" s="897"/>
      <c r="AK189" s="897"/>
      <c r="AL189" s="897"/>
      <c r="AM189" s="897"/>
      <c r="AN189" s="569" t="s">
        <v>692</v>
      </c>
      <c r="AO189" s="317">
        <f t="shared" si="0"/>
        <v>0</v>
      </c>
      <c r="AP189" s="318"/>
      <c r="AQ189" s="308"/>
      <c r="AR189" s="954" t="s">
        <v>693</v>
      </c>
      <c r="AS189" s="955"/>
      <c r="AT189" s="955"/>
      <c r="AU189" s="955"/>
      <c r="AV189" s="955"/>
      <c r="AW189" s="570" t="s">
        <v>694</v>
      </c>
      <c r="AX189" s="317">
        <f t="shared" si="16"/>
        <v>0</v>
      </c>
      <c r="AY189" s="512"/>
      <c r="AZ189" s="308"/>
      <c r="BA189" s="437"/>
    </row>
    <row r="190" spans="1:53" ht="17.25" customHeight="1" thickBot="1" x14ac:dyDescent="0.3">
      <c r="A190" s="978" t="s">
        <v>23</v>
      </c>
      <c r="B190" s="979"/>
      <c r="C190" s="980"/>
      <c r="D190" s="351"/>
      <c r="E190" s="352" t="s">
        <v>367</v>
      </c>
      <c r="F190" s="571" t="s">
        <v>4</v>
      </c>
      <c r="G190" s="926">
        <f t="shared" si="20"/>
        <v>0</v>
      </c>
      <c r="H190" s="927"/>
      <c r="I190" s="928"/>
      <c r="J190" s="354">
        <v>0</v>
      </c>
      <c r="K190" s="355">
        <v>0</v>
      </c>
      <c r="L190" s="356">
        <f t="shared" si="21"/>
        <v>0</v>
      </c>
      <c r="M190" s="324"/>
      <c r="N190" s="978" t="s">
        <v>23</v>
      </c>
      <c r="O190" s="979"/>
      <c r="P190" s="980"/>
      <c r="Q190" s="351"/>
      <c r="R190" s="352" t="s">
        <v>367</v>
      </c>
      <c r="S190" s="571" t="s">
        <v>4</v>
      </c>
      <c r="T190" s="929">
        <f t="shared" si="22"/>
        <v>0</v>
      </c>
      <c r="U190" s="929"/>
      <c r="V190" s="929"/>
      <c r="W190" s="354">
        <v>0</v>
      </c>
      <c r="X190" s="355">
        <v>0</v>
      </c>
      <c r="Y190" s="356">
        <f t="shared" si="23"/>
        <v>0</v>
      </c>
      <c r="Z190" s="357">
        <f t="shared" si="6"/>
        <v>0</v>
      </c>
      <c r="AC190" s="442" t="s">
        <v>695</v>
      </c>
      <c r="AD190" s="572" t="s">
        <v>696</v>
      </c>
      <c r="AE190" s="332">
        <f t="shared" si="9"/>
        <v>0</v>
      </c>
      <c r="AF190" s="333" t="str">
        <f t="shared" si="10"/>
        <v/>
      </c>
      <c r="AH190" s="308"/>
      <c r="AI190" s="896" t="s">
        <v>697</v>
      </c>
      <c r="AJ190" s="897"/>
      <c r="AK190" s="897"/>
      <c r="AL190" s="897"/>
      <c r="AM190" s="898"/>
      <c r="AN190" s="505" t="s">
        <v>698</v>
      </c>
      <c r="AO190" s="317">
        <f t="shared" ref="AO190:AO201" si="24">COUNTIF($A$1:$GO$103,AN190)</f>
        <v>0</v>
      </c>
      <c r="AP190" s="318"/>
      <c r="AQ190" s="308"/>
      <c r="AR190" s="954" t="s">
        <v>699</v>
      </c>
      <c r="AS190" s="955"/>
      <c r="AT190" s="955"/>
      <c r="AU190" s="955"/>
      <c r="AV190" s="955"/>
      <c r="AW190" s="573" t="s">
        <v>700</v>
      </c>
      <c r="AX190" s="317">
        <f t="shared" si="16"/>
        <v>0</v>
      </c>
      <c r="AY190" s="512"/>
      <c r="AZ190" s="308"/>
      <c r="BA190" s="437"/>
    </row>
    <row r="191" spans="1:53" ht="17.25" customHeight="1" x14ac:dyDescent="0.25">
      <c r="A191" s="978" t="s">
        <v>19</v>
      </c>
      <c r="B191" s="979"/>
      <c r="C191" s="980"/>
      <c r="D191" s="351"/>
      <c r="E191" s="352"/>
      <c r="F191" s="574" t="s">
        <v>2</v>
      </c>
      <c r="G191" s="926">
        <f t="shared" si="20"/>
        <v>0</v>
      </c>
      <c r="H191" s="927"/>
      <c r="I191" s="928"/>
      <c r="J191" s="354">
        <v>0</v>
      </c>
      <c r="K191" s="355">
        <v>0</v>
      </c>
      <c r="L191" s="356">
        <f t="shared" si="21"/>
        <v>0</v>
      </c>
      <c r="M191" s="324"/>
      <c r="N191" s="978" t="s">
        <v>19</v>
      </c>
      <c r="O191" s="979"/>
      <c r="P191" s="980"/>
      <c r="Q191" s="351"/>
      <c r="R191" s="352"/>
      <c r="S191" s="574" t="s">
        <v>2</v>
      </c>
      <c r="T191" s="929">
        <f t="shared" si="22"/>
        <v>0</v>
      </c>
      <c r="U191" s="929"/>
      <c r="V191" s="929"/>
      <c r="W191" s="354">
        <v>0</v>
      </c>
      <c r="X191" s="355">
        <v>0</v>
      </c>
      <c r="Y191" s="356">
        <f t="shared" si="23"/>
        <v>0</v>
      </c>
      <c r="Z191" s="357">
        <f t="shared" si="6"/>
        <v>0</v>
      </c>
      <c r="AC191" s="442" t="s">
        <v>701</v>
      </c>
      <c r="AD191" s="575" t="s">
        <v>702</v>
      </c>
      <c r="AE191" s="332">
        <f t="shared" si="9"/>
        <v>0</v>
      </c>
      <c r="AF191" s="333" t="str">
        <f t="shared" si="10"/>
        <v/>
      </c>
      <c r="AH191" s="308"/>
      <c r="AI191" s="896" t="s">
        <v>703</v>
      </c>
      <c r="AJ191" s="897"/>
      <c r="AK191" s="897"/>
      <c r="AL191" s="897"/>
      <c r="AM191" s="897"/>
      <c r="AN191" s="372" t="s">
        <v>124</v>
      </c>
      <c r="AO191" s="317">
        <f t="shared" si="24"/>
        <v>0</v>
      </c>
      <c r="AP191" s="318"/>
      <c r="AQ191" s="308"/>
      <c r="AR191" s="954" t="s">
        <v>704</v>
      </c>
      <c r="AS191" s="955"/>
      <c r="AT191" s="955"/>
      <c r="AU191" s="955"/>
      <c r="AV191" s="955"/>
      <c r="AW191" s="573" t="s">
        <v>705</v>
      </c>
      <c r="AX191" s="317">
        <f t="shared" si="16"/>
        <v>0</v>
      </c>
      <c r="AY191" s="512"/>
      <c r="AZ191" s="308"/>
      <c r="BA191" s="437"/>
    </row>
    <row r="192" spans="1:53" ht="17.25" customHeight="1" x14ac:dyDescent="0.25">
      <c r="A192" s="978" t="s">
        <v>40</v>
      </c>
      <c r="B192" s="979"/>
      <c r="C192" s="980"/>
      <c r="D192" s="351"/>
      <c r="E192" s="352"/>
      <c r="F192" s="576" t="s">
        <v>41</v>
      </c>
      <c r="G192" s="926">
        <f t="shared" si="20"/>
        <v>0</v>
      </c>
      <c r="H192" s="927"/>
      <c r="I192" s="928"/>
      <c r="J192" s="354">
        <v>0</v>
      </c>
      <c r="K192" s="355">
        <v>0</v>
      </c>
      <c r="L192" s="356">
        <f t="shared" si="21"/>
        <v>0</v>
      </c>
      <c r="M192" s="324"/>
      <c r="N192" s="978" t="s">
        <v>40</v>
      </c>
      <c r="O192" s="979"/>
      <c r="P192" s="980"/>
      <c r="Q192" s="351"/>
      <c r="R192" s="352"/>
      <c r="S192" s="576" t="s">
        <v>41</v>
      </c>
      <c r="T192" s="929">
        <f t="shared" si="22"/>
        <v>0</v>
      </c>
      <c r="U192" s="929"/>
      <c r="V192" s="929"/>
      <c r="W192" s="354">
        <v>0</v>
      </c>
      <c r="X192" s="355">
        <v>0</v>
      </c>
      <c r="Y192" s="356">
        <f t="shared" si="23"/>
        <v>0</v>
      </c>
      <c r="Z192" s="357">
        <f t="shared" si="6"/>
        <v>0</v>
      </c>
      <c r="AC192" s="442" t="s">
        <v>706</v>
      </c>
      <c r="AD192" s="577" t="s">
        <v>707</v>
      </c>
      <c r="AE192" s="332">
        <f t="shared" si="9"/>
        <v>0</v>
      </c>
      <c r="AF192" s="333" t="str">
        <f t="shared" si="10"/>
        <v/>
      </c>
      <c r="AH192" s="308"/>
      <c r="AI192" s="896" t="s">
        <v>708</v>
      </c>
      <c r="AJ192" s="897"/>
      <c r="AK192" s="897"/>
      <c r="AL192" s="897"/>
      <c r="AM192" s="897"/>
      <c r="AN192" s="578" t="s">
        <v>709</v>
      </c>
      <c r="AO192" s="317">
        <f t="shared" si="24"/>
        <v>0</v>
      </c>
      <c r="AP192" s="318"/>
      <c r="AQ192" s="308"/>
      <c r="AR192" s="954" t="s">
        <v>710</v>
      </c>
      <c r="AS192" s="955"/>
      <c r="AT192" s="955"/>
      <c r="AU192" s="955"/>
      <c r="AV192" s="955"/>
      <c r="AW192" s="579" t="s">
        <v>711</v>
      </c>
      <c r="AX192" s="317">
        <f t="shared" si="16"/>
        <v>0</v>
      </c>
      <c r="AY192" s="512"/>
      <c r="AZ192" s="308"/>
      <c r="BA192" s="437"/>
    </row>
    <row r="193" spans="1:53" ht="17.25" customHeight="1" x14ac:dyDescent="0.25">
      <c r="A193" s="978" t="s">
        <v>20</v>
      </c>
      <c r="B193" s="979"/>
      <c r="C193" s="980"/>
      <c r="D193" s="351"/>
      <c r="E193" s="352"/>
      <c r="F193" s="580" t="s">
        <v>3</v>
      </c>
      <c r="G193" s="926">
        <f t="shared" si="20"/>
        <v>0</v>
      </c>
      <c r="H193" s="927"/>
      <c r="I193" s="928"/>
      <c r="J193" s="354">
        <v>0</v>
      </c>
      <c r="K193" s="355">
        <v>0</v>
      </c>
      <c r="L193" s="356">
        <f t="shared" si="21"/>
        <v>0</v>
      </c>
      <c r="M193" s="324"/>
      <c r="N193" s="978" t="s">
        <v>20</v>
      </c>
      <c r="O193" s="979"/>
      <c r="P193" s="980"/>
      <c r="Q193" s="351"/>
      <c r="R193" s="352"/>
      <c r="S193" s="580" t="s">
        <v>3</v>
      </c>
      <c r="T193" s="929">
        <f t="shared" si="22"/>
        <v>0</v>
      </c>
      <c r="U193" s="929"/>
      <c r="V193" s="929"/>
      <c r="W193" s="354">
        <v>0</v>
      </c>
      <c r="X193" s="355">
        <v>0</v>
      </c>
      <c r="Y193" s="356">
        <f t="shared" si="23"/>
        <v>0</v>
      </c>
      <c r="Z193" s="357">
        <f t="shared" si="6"/>
        <v>0</v>
      </c>
      <c r="AC193" s="442" t="s">
        <v>187</v>
      </c>
      <c r="AD193" s="581" t="s">
        <v>187</v>
      </c>
      <c r="AE193" s="332">
        <f t="shared" si="9"/>
        <v>0</v>
      </c>
      <c r="AF193" s="333" t="str">
        <f t="shared" si="10"/>
        <v/>
      </c>
      <c r="AH193" s="308"/>
      <c r="AI193" s="896" t="s">
        <v>712</v>
      </c>
      <c r="AJ193" s="897"/>
      <c r="AK193" s="897"/>
      <c r="AL193" s="897"/>
      <c r="AM193" s="897"/>
      <c r="AN193" s="582" t="s">
        <v>713</v>
      </c>
      <c r="AO193" s="317">
        <f t="shared" si="24"/>
        <v>0</v>
      </c>
      <c r="AP193" s="318"/>
      <c r="AQ193" s="308"/>
      <c r="AR193" s="954" t="s">
        <v>714</v>
      </c>
      <c r="AS193" s="955"/>
      <c r="AT193" s="955"/>
      <c r="AU193" s="955"/>
      <c r="AV193" s="955"/>
      <c r="AW193" s="517" t="s">
        <v>715</v>
      </c>
      <c r="AX193" s="317">
        <f t="shared" si="16"/>
        <v>0</v>
      </c>
      <c r="AY193" s="512"/>
      <c r="AZ193" s="308"/>
      <c r="BA193" s="437"/>
    </row>
    <row r="194" spans="1:53" ht="17.25" customHeight="1" thickBot="1" x14ac:dyDescent="0.3">
      <c r="A194" s="978" t="s">
        <v>108</v>
      </c>
      <c r="B194" s="979"/>
      <c r="C194" s="980"/>
      <c r="D194" s="351" t="s">
        <v>3</v>
      </c>
      <c r="E194" s="352" t="s">
        <v>367</v>
      </c>
      <c r="F194" s="583" t="s">
        <v>107</v>
      </c>
      <c r="G194" s="926">
        <f t="shared" si="20"/>
        <v>0</v>
      </c>
      <c r="H194" s="927"/>
      <c r="I194" s="928"/>
      <c r="J194" s="354">
        <v>0</v>
      </c>
      <c r="K194" s="355">
        <v>0</v>
      </c>
      <c r="L194" s="356">
        <f t="shared" si="21"/>
        <v>0</v>
      </c>
      <c r="M194" s="324"/>
      <c r="N194" s="978" t="s">
        <v>108</v>
      </c>
      <c r="O194" s="979"/>
      <c r="P194" s="980"/>
      <c r="Q194" s="351" t="s">
        <v>3</v>
      </c>
      <c r="R194" s="352" t="s">
        <v>367</v>
      </c>
      <c r="S194" s="583" t="s">
        <v>107</v>
      </c>
      <c r="T194" s="929">
        <f t="shared" si="22"/>
        <v>0</v>
      </c>
      <c r="U194" s="929"/>
      <c r="V194" s="929"/>
      <c r="W194" s="354">
        <v>0</v>
      </c>
      <c r="X194" s="355">
        <v>0</v>
      </c>
      <c r="Y194" s="356">
        <f t="shared" si="23"/>
        <v>0</v>
      </c>
      <c r="Z194" s="357">
        <f t="shared" si="6"/>
        <v>0</v>
      </c>
      <c r="AC194" s="442" t="s">
        <v>716</v>
      </c>
      <c r="AD194" s="584" t="s">
        <v>717</v>
      </c>
      <c r="AE194" s="332">
        <f t="shared" si="9"/>
        <v>0</v>
      </c>
      <c r="AF194" s="333" t="str">
        <f t="shared" si="10"/>
        <v/>
      </c>
      <c r="AH194" s="308"/>
      <c r="AI194" s="896" t="s">
        <v>718</v>
      </c>
      <c r="AJ194" s="897"/>
      <c r="AK194" s="897"/>
      <c r="AL194" s="897"/>
      <c r="AM194" s="897"/>
      <c r="AN194" s="372" t="s">
        <v>719</v>
      </c>
      <c r="AO194" s="317">
        <f t="shared" si="24"/>
        <v>0</v>
      </c>
      <c r="AP194" s="318"/>
      <c r="AQ194" s="308"/>
      <c r="AR194" s="954" t="s">
        <v>720</v>
      </c>
      <c r="AS194" s="955"/>
      <c r="AT194" s="955"/>
      <c r="AU194" s="955"/>
      <c r="AV194" s="955"/>
      <c r="AW194" s="335" t="s">
        <v>721</v>
      </c>
      <c r="AX194" s="317">
        <f t="shared" si="16"/>
        <v>0</v>
      </c>
      <c r="AY194" s="512"/>
      <c r="AZ194" s="308"/>
      <c r="BA194" s="437"/>
    </row>
    <row r="195" spans="1:53" ht="17.25" customHeight="1" x14ac:dyDescent="0.25">
      <c r="A195" s="972" t="s">
        <v>299</v>
      </c>
      <c r="B195" s="973"/>
      <c r="C195" s="973"/>
      <c r="D195" s="973"/>
      <c r="E195" s="973"/>
      <c r="F195" s="518"/>
      <c r="G195" s="1000">
        <f>SUM(G178:I194)</f>
        <v>0</v>
      </c>
      <c r="H195" s="1000"/>
      <c r="I195" s="1000"/>
      <c r="J195" s="439">
        <f>SUM(J178:J194)</f>
        <v>0</v>
      </c>
      <c r="K195" s="440">
        <f>SUM(K178:K194)</f>
        <v>0</v>
      </c>
      <c r="L195" s="356">
        <f>SUM(L178:L194)</f>
        <v>0</v>
      </c>
      <c r="M195" s="324"/>
      <c r="N195" s="1001" t="s">
        <v>299</v>
      </c>
      <c r="O195" s="1002"/>
      <c r="P195" s="1002"/>
      <c r="Q195" s="1002"/>
      <c r="R195" s="1002"/>
      <c r="S195" s="519"/>
      <c r="T195" s="1003">
        <f>SUM(T178:V194)</f>
        <v>0</v>
      </c>
      <c r="U195" s="1003"/>
      <c r="V195" s="1003"/>
      <c r="W195" s="439">
        <f>SUM(W178:W194)</f>
        <v>0</v>
      </c>
      <c r="X195" s="440">
        <f>SUM(X178:X194)</f>
        <v>0</v>
      </c>
      <c r="Y195" s="356">
        <f>SUM(Y178:Y194)</f>
        <v>0</v>
      </c>
      <c r="Z195" s="357">
        <f t="shared" si="6"/>
        <v>0</v>
      </c>
      <c r="AC195" s="442" t="s">
        <v>722</v>
      </c>
      <c r="AD195" s="585" t="s">
        <v>723</v>
      </c>
      <c r="AE195" s="332">
        <f t="shared" si="9"/>
        <v>0</v>
      </c>
      <c r="AF195" s="333" t="str">
        <f t="shared" si="10"/>
        <v/>
      </c>
      <c r="AH195" s="308"/>
      <c r="AI195" s="896" t="s">
        <v>724</v>
      </c>
      <c r="AJ195" s="897"/>
      <c r="AK195" s="897"/>
      <c r="AL195" s="897"/>
      <c r="AM195" s="897"/>
      <c r="AN195" s="586" t="s">
        <v>725</v>
      </c>
      <c r="AO195" s="317">
        <f t="shared" si="24"/>
        <v>0</v>
      </c>
      <c r="AP195" s="318"/>
      <c r="AQ195" s="308"/>
      <c r="AR195" s="954" t="s">
        <v>726</v>
      </c>
      <c r="AS195" s="955"/>
      <c r="AT195" s="955"/>
      <c r="AU195" s="955"/>
      <c r="AV195" s="955"/>
      <c r="AW195" s="335" t="s">
        <v>157</v>
      </c>
      <c r="AX195" s="317">
        <f t="shared" si="16"/>
        <v>0</v>
      </c>
      <c r="AY195" s="512"/>
      <c r="AZ195" s="308"/>
      <c r="BA195" s="437"/>
    </row>
    <row r="196" spans="1:53" ht="17.25" customHeight="1" x14ac:dyDescent="0.25">
      <c r="A196" s="587"/>
      <c r="B196" s="587"/>
      <c r="C196" s="587"/>
      <c r="D196" s="587"/>
      <c r="E196" s="587"/>
      <c r="F196" s="588"/>
      <c r="J196" s="589"/>
      <c r="K196" s="589"/>
      <c r="M196" s="268"/>
      <c r="N196" s="587"/>
      <c r="O196" s="587"/>
      <c r="P196" s="587"/>
      <c r="Q196" s="587"/>
      <c r="R196" s="587"/>
      <c r="S196" s="588"/>
      <c r="W196" s="589"/>
      <c r="X196" s="589"/>
      <c r="AC196" s="409" t="s">
        <v>727</v>
      </c>
      <c r="AD196" s="428" t="s">
        <v>728</v>
      </c>
      <c r="AE196" s="332">
        <f t="shared" si="9"/>
        <v>0</v>
      </c>
      <c r="AF196" s="333" t="str">
        <f t="shared" si="10"/>
        <v/>
      </c>
      <c r="AH196" s="308"/>
      <c r="AI196" s="896" t="s">
        <v>729</v>
      </c>
      <c r="AJ196" s="897"/>
      <c r="AK196" s="897"/>
      <c r="AL196" s="897"/>
      <c r="AM196" s="897"/>
      <c r="AN196" s="372" t="s">
        <v>730</v>
      </c>
      <c r="AO196" s="317">
        <f t="shared" si="24"/>
        <v>0</v>
      </c>
      <c r="AP196" s="318"/>
      <c r="AQ196" s="308"/>
      <c r="AR196" s="954" t="s">
        <v>731</v>
      </c>
      <c r="AS196" s="955"/>
      <c r="AT196" s="955"/>
      <c r="AU196" s="955"/>
      <c r="AV196" s="955"/>
      <c r="AW196" s="404" t="s">
        <v>732</v>
      </c>
      <c r="AX196" s="317">
        <f t="shared" si="16"/>
        <v>0</v>
      </c>
      <c r="AY196" s="512"/>
      <c r="AZ196" s="308"/>
      <c r="BA196" s="437"/>
    </row>
    <row r="197" spans="1:53" ht="17.25" customHeight="1" x14ac:dyDescent="0.25">
      <c r="A197" s="587"/>
      <c r="B197" s="587"/>
      <c r="C197" s="587"/>
      <c r="D197" s="587"/>
      <c r="E197" s="587"/>
      <c r="F197" s="588"/>
      <c r="J197" s="589"/>
      <c r="K197" s="589"/>
      <c r="M197" s="268"/>
      <c r="N197" s="587"/>
      <c r="O197" s="587"/>
      <c r="P197" s="587"/>
      <c r="Q197" s="587"/>
      <c r="R197" s="587"/>
      <c r="S197" s="588"/>
      <c r="W197" s="589"/>
      <c r="X197" s="589"/>
      <c r="AC197" s="442" t="s">
        <v>733</v>
      </c>
      <c r="AD197" s="428" t="s">
        <v>734</v>
      </c>
      <c r="AE197" s="332">
        <f t="shared" si="9"/>
        <v>0</v>
      </c>
      <c r="AF197" s="333" t="str">
        <f t="shared" si="10"/>
        <v/>
      </c>
      <c r="AH197" s="308"/>
      <c r="AI197" s="896" t="s">
        <v>735</v>
      </c>
      <c r="AJ197" s="897"/>
      <c r="AK197" s="897"/>
      <c r="AL197" s="897"/>
      <c r="AM197" s="897"/>
      <c r="AN197" s="578" t="s">
        <v>736</v>
      </c>
      <c r="AO197" s="317">
        <f t="shared" si="24"/>
        <v>0</v>
      </c>
      <c r="AP197" s="318"/>
      <c r="AQ197" s="308"/>
      <c r="AR197" s="954" t="s">
        <v>737</v>
      </c>
      <c r="AS197" s="955"/>
      <c r="AT197" s="955"/>
      <c r="AU197" s="955"/>
      <c r="AV197" s="955"/>
      <c r="AW197" s="590" t="s">
        <v>738</v>
      </c>
      <c r="AX197" s="317">
        <f t="shared" si="16"/>
        <v>0</v>
      </c>
      <c r="AY197" s="512"/>
      <c r="AZ197" s="308"/>
      <c r="BA197" s="437"/>
    </row>
    <row r="198" spans="1:53" ht="17.25" customHeight="1" x14ac:dyDescent="0.25">
      <c r="A198" s="997" t="s">
        <v>739</v>
      </c>
      <c r="B198" s="998"/>
      <c r="C198" s="998"/>
      <c r="D198" s="998"/>
      <c r="E198" s="999"/>
      <c r="F198" s="591"/>
      <c r="G198" s="986"/>
      <c r="H198" s="986"/>
      <c r="I198" s="987"/>
      <c r="J198" s="592" t="s">
        <v>351</v>
      </c>
      <c r="K198" s="593" t="s">
        <v>352</v>
      </c>
      <c r="L198" s="592" t="s">
        <v>353</v>
      </c>
      <c r="M198" s="268"/>
      <c r="N198" s="997" t="s">
        <v>739</v>
      </c>
      <c r="O198" s="998"/>
      <c r="P198" s="998"/>
      <c r="Q198" s="998"/>
      <c r="R198" s="999"/>
      <c r="S198" s="591"/>
      <c r="T198" s="986"/>
      <c r="U198" s="986"/>
      <c r="V198" s="987"/>
      <c r="W198" s="592" t="s">
        <v>351</v>
      </c>
      <c r="X198" s="593" t="s">
        <v>352</v>
      </c>
      <c r="Y198" s="592" t="s">
        <v>353</v>
      </c>
      <c r="AC198" s="442" t="s">
        <v>740</v>
      </c>
      <c r="AD198" s="428" t="s">
        <v>741</v>
      </c>
      <c r="AE198" s="332">
        <f t="shared" si="9"/>
        <v>0</v>
      </c>
      <c r="AF198" s="333" t="str">
        <f t="shared" si="10"/>
        <v/>
      </c>
      <c r="AH198" s="308"/>
      <c r="AI198" s="896" t="s">
        <v>742</v>
      </c>
      <c r="AJ198" s="897"/>
      <c r="AK198" s="897"/>
      <c r="AL198" s="897"/>
      <c r="AM198" s="897"/>
      <c r="AN198" s="582" t="s">
        <v>743</v>
      </c>
      <c r="AO198" s="317">
        <f t="shared" si="24"/>
        <v>0</v>
      </c>
      <c r="AP198" s="318"/>
      <c r="AQ198" s="308"/>
      <c r="AR198" s="954" t="s">
        <v>744</v>
      </c>
      <c r="AS198" s="955"/>
      <c r="AT198" s="955"/>
      <c r="AU198" s="955"/>
      <c r="AV198" s="955"/>
      <c r="AW198" s="590" t="s">
        <v>745</v>
      </c>
      <c r="AX198" s="317">
        <f t="shared" si="16"/>
        <v>0</v>
      </c>
      <c r="AY198" s="530"/>
      <c r="AZ198" s="308"/>
      <c r="BA198" s="437"/>
    </row>
    <row r="199" spans="1:53" ht="17.25" customHeight="1" x14ac:dyDescent="0.25">
      <c r="A199" s="978" t="s">
        <v>56</v>
      </c>
      <c r="B199" s="979"/>
      <c r="C199" s="980"/>
      <c r="D199" s="981"/>
      <c r="E199" s="982"/>
      <c r="F199" s="3" t="s">
        <v>55</v>
      </c>
      <c r="G199" s="926">
        <f>COUNTIF($A$4:$M$42,F199)+COUNTIF($A$43:$O$81,F199)+COUNTIF($N$4:$T$19,F199)+COUNTIF($O$20:$S$23,F199)+COUNTIF($N$24:$Q$25,F199)+COUNTIF($N$26:$P$26,F199)+COUNTIF($P$42,F199)+COUNTIF($T$21:$T$22,F199)+COUNTIF($R$24,F199)+COUNTIF($N$27:$O$28,F199)</f>
        <v>0</v>
      </c>
      <c r="H199" s="927"/>
      <c r="I199" s="928"/>
      <c r="J199" s="354">
        <v>0</v>
      </c>
      <c r="K199" s="355">
        <v>0</v>
      </c>
      <c r="L199" s="356">
        <f t="shared" ref="L199:L202" si="25">G199-K199-J199</f>
        <v>0</v>
      </c>
      <c r="M199" s="268"/>
      <c r="N199" s="978" t="s">
        <v>56</v>
      </c>
      <c r="O199" s="979"/>
      <c r="P199" s="980"/>
      <c r="Q199" s="981"/>
      <c r="R199" s="982"/>
      <c r="S199" s="3" t="s">
        <v>55</v>
      </c>
      <c r="T199" s="929">
        <f>COUNTIF($T$23:$BI$73,S199)+COUNTIF($N$29:$S$39,S199)+COUNTIF($P$47:$S$68,S199)+COUNTIF($Q$40:$S$42,S199)+COUNTIF($P$27:$S$28,S199)+COUNTIF($R$25:$S$25,S199)+COUNTIF($S$24:$S$24,S199)</f>
        <v>0</v>
      </c>
      <c r="U199" s="929"/>
      <c r="V199" s="929"/>
      <c r="W199" s="354">
        <v>0</v>
      </c>
      <c r="X199" s="355">
        <v>0</v>
      </c>
      <c r="Y199" s="356">
        <f t="shared" ref="Y199:Y202" si="26">T199-X199-W199</f>
        <v>0</v>
      </c>
      <c r="Z199" s="357">
        <f t="shared" ref="Z199:Z203" si="27">T199+G199</f>
        <v>0</v>
      </c>
      <c r="AC199" s="442" t="s">
        <v>746</v>
      </c>
      <c r="AD199" s="594" t="s">
        <v>747</v>
      </c>
      <c r="AE199" s="332">
        <f t="shared" si="9"/>
        <v>0</v>
      </c>
      <c r="AF199" s="333" t="str">
        <f t="shared" si="10"/>
        <v/>
      </c>
      <c r="AH199" s="308"/>
      <c r="AI199" s="896" t="s">
        <v>748</v>
      </c>
      <c r="AJ199" s="897"/>
      <c r="AK199" s="897"/>
      <c r="AL199" s="897"/>
      <c r="AM199" s="897"/>
      <c r="AN199" s="595" t="s">
        <v>749</v>
      </c>
      <c r="AO199" s="317">
        <f t="shared" si="24"/>
        <v>0</v>
      </c>
      <c r="AP199" s="318"/>
      <c r="AQ199" s="308"/>
      <c r="AR199" s="954" t="s">
        <v>750</v>
      </c>
      <c r="AS199" s="955"/>
      <c r="AT199" s="955"/>
      <c r="AU199" s="955"/>
      <c r="AV199" s="955"/>
      <c r="AW199" s="590" t="s">
        <v>751</v>
      </c>
      <c r="AX199" s="317">
        <f t="shared" si="16"/>
        <v>0</v>
      </c>
      <c r="AY199" s="530"/>
      <c r="AZ199" s="308"/>
      <c r="BA199" s="311"/>
    </row>
    <row r="200" spans="1:53" ht="17.25" customHeight="1" x14ac:dyDescent="0.25">
      <c r="A200" s="978" t="s">
        <v>53</v>
      </c>
      <c r="B200" s="979"/>
      <c r="C200" s="980"/>
      <c r="D200" s="981"/>
      <c r="E200" s="982"/>
      <c r="F200" s="4" t="s">
        <v>54</v>
      </c>
      <c r="G200" s="926">
        <f>COUNTIF($A$4:$M$42,F200)+COUNTIF($A$43:$O$81,F200)+COUNTIF($N$4:$T$19,F200)+COUNTIF($O$20:$S$23,F200)+COUNTIF($N$24:$Q$25,F200)+COUNTIF($N$26:$P$26,F200)+COUNTIF($P$42,F200)+COUNTIF($T$21:$T$22,F200)+COUNTIF($R$24,F200)+COUNTIF($N$27:$O$28,F200)</f>
        <v>0</v>
      </c>
      <c r="H200" s="927"/>
      <c r="I200" s="928"/>
      <c r="J200" s="354">
        <v>0</v>
      </c>
      <c r="K200" s="355">
        <v>0</v>
      </c>
      <c r="L200" s="356">
        <f t="shared" si="25"/>
        <v>0</v>
      </c>
      <c r="M200" s="268"/>
      <c r="N200" s="978" t="s">
        <v>53</v>
      </c>
      <c r="O200" s="979"/>
      <c r="P200" s="980"/>
      <c r="Q200" s="981"/>
      <c r="R200" s="982"/>
      <c r="S200" s="4" t="s">
        <v>54</v>
      </c>
      <c r="T200" s="929">
        <f>COUNTIF($T$23:$BI$73,S200)+COUNTIF($N$29:$S$39,S200)+COUNTIF($P$47:$S$68,S200)+COUNTIF($Q$40:$S$42,S200)+COUNTIF($P$27:$S$28,S200)+COUNTIF($R$25:$S$25,S200)+COUNTIF($S$24:$S$24,S200)</f>
        <v>0</v>
      </c>
      <c r="U200" s="929"/>
      <c r="V200" s="929"/>
      <c r="W200" s="354">
        <v>0</v>
      </c>
      <c r="X200" s="355">
        <v>0</v>
      </c>
      <c r="Y200" s="356">
        <f t="shared" si="26"/>
        <v>0</v>
      </c>
      <c r="Z200" s="357">
        <f t="shared" si="27"/>
        <v>0</v>
      </c>
      <c r="AC200" s="442" t="s">
        <v>752</v>
      </c>
      <c r="AD200" s="596" t="s">
        <v>752</v>
      </c>
      <c r="AE200" s="332">
        <f t="shared" si="9"/>
        <v>0</v>
      </c>
      <c r="AF200" s="333" t="str">
        <f t="shared" si="10"/>
        <v/>
      </c>
      <c r="AH200" s="308"/>
      <c r="AI200" s="896" t="s">
        <v>753</v>
      </c>
      <c r="AJ200" s="897"/>
      <c r="AK200" s="897"/>
      <c r="AL200" s="897"/>
      <c r="AM200" s="897"/>
      <c r="AN200" s="597" t="s">
        <v>754</v>
      </c>
      <c r="AO200" s="317">
        <f t="shared" si="24"/>
        <v>0</v>
      </c>
      <c r="AP200" s="318"/>
      <c r="AQ200" s="308"/>
      <c r="AR200" s="954" t="s">
        <v>755</v>
      </c>
      <c r="AS200" s="955"/>
      <c r="AT200" s="955"/>
      <c r="AU200" s="955"/>
      <c r="AV200" s="955"/>
      <c r="AW200" s="598" t="s">
        <v>756</v>
      </c>
      <c r="AX200" s="317">
        <f t="shared" si="16"/>
        <v>0</v>
      </c>
      <c r="AY200" s="530"/>
      <c r="BA200" s="311"/>
    </row>
    <row r="201" spans="1:53" ht="17.25" customHeight="1" x14ac:dyDescent="0.25">
      <c r="A201" s="978" t="s">
        <v>51</v>
      </c>
      <c r="B201" s="979"/>
      <c r="C201" s="980"/>
      <c r="D201" s="981"/>
      <c r="E201" s="982"/>
      <c r="F201" s="5" t="s">
        <v>52</v>
      </c>
      <c r="G201" s="926">
        <f>COUNTIF($A$4:$M$42,F201)+COUNTIF($A$43:$O$81,F201)+COUNTIF($N$4:$T$19,F201)+COUNTIF($O$20:$S$23,F201)+COUNTIF($N$24:$Q$25,F201)+COUNTIF($N$26:$P$26,F201)+COUNTIF($P$42,F201)+COUNTIF($T$21:$T$22,F201)+COUNTIF($R$24,F201)+COUNTIF($N$27:$O$28,F201)</f>
        <v>0</v>
      </c>
      <c r="H201" s="927"/>
      <c r="I201" s="928"/>
      <c r="J201" s="354">
        <v>0</v>
      </c>
      <c r="K201" s="355">
        <v>0</v>
      </c>
      <c r="L201" s="356">
        <f t="shared" si="25"/>
        <v>0</v>
      </c>
      <c r="M201" s="268"/>
      <c r="N201" s="978" t="s">
        <v>51</v>
      </c>
      <c r="O201" s="979"/>
      <c r="P201" s="980"/>
      <c r="Q201" s="981"/>
      <c r="R201" s="982"/>
      <c r="S201" s="5" t="s">
        <v>52</v>
      </c>
      <c r="T201" s="929">
        <f>COUNTIF($T$23:$BI$73,S201)+COUNTIF($N$29:$S$39,S201)+COUNTIF($P$47:$S$68,S201)+COUNTIF($Q$40:$S$42,S201)+COUNTIF($P$27:$S$28,S201)+COUNTIF($R$25:$S$25,S201)+COUNTIF($S$24:$S$24,S201)</f>
        <v>0</v>
      </c>
      <c r="U201" s="929"/>
      <c r="V201" s="929"/>
      <c r="W201" s="354">
        <v>0</v>
      </c>
      <c r="X201" s="355">
        <v>0</v>
      </c>
      <c r="Y201" s="356">
        <f t="shared" si="26"/>
        <v>0</v>
      </c>
      <c r="Z201" s="357">
        <f t="shared" si="27"/>
        <v>0</v>
      </c>
      <c r="AC201" s="442" t="s">
        <v>757</v>
      </c>
      <c r="AD201" s="375" t="s">
        <v>260</v>
      </c>
      <c r="AE201" s="332">
        <f t="shared" si="9"/>
        <v>0</v>
      </c>
      <c r="AF201" s="333" t="str">
        <f t="shared" si="10"/>
        <v/>
      </c>
      <c r="AH201" s="308"/>
      <c r="AI201" s="896" t="s">
        <v>758</v>
      </c>
      <c r="AJ201" s="897"/>
      <c r="AK201" s="897"/>
      <c r="AL201" s="897"/>
      <c r="AM201" s="897"/>
      <c r="AN201" s="599" t="s">
        <v>759</v>
      </c>
      <c r="AO201" s="317">
        <f t="shared" si="24"/>
        <v>0</v>
      </c>
      <c r="AP201" s="318"/>
      <c r="AQ201" s="308"/>
      <c r="AR201" s="954" t="s">
        <v>760</v>
      </c>
      <c r="AS201" s="955"/>
      <c r="AT201" s="955"/>
      <c r="AU201" s="955"/>
      <c r="AV201" s="955"/>
      <c r="AW201" s="600" t="s">
        <v>761</v>
      </c>
      <c r="AX201" s="317">
        <f t="shared" si="16"/>
        <v>0</v>
      </c>
      <c r="AY201" s="530"/>
      <c r="BA201" s="311"/>
    </row>
    <row r="202" spans="1:53" ht="17.25" customHeight="1" thickBot="1" x14ac:dyDescent="0.3">
      <c r="A202" s="978" t="s">
        <v>49</v>
      </c>
      <c r="B202" s="979"/>
      <c r="C202" s="980"/>
      <c r="D202" s="981"/>
      <c r="E202" s="982"/>
      <c r="F202" s="6" t="s">
        <v>50</v>
      </c>
      <c r="G202" s="926">
        <f>COUNTIF($A$4:$M$42,F202)+COUNTIF($A$43:$O$81,F202)+COUNTIF($N$4:$T$19,F202)+COUNTIF($O$20:$S$23,F202)+COUNTIF($N$24:$Q$25,F202)+COUNTIF($N$26:$P$26,F202)+COUNTIF($P$42,F202)+COUNTIF($T$21:$T$22,F202)+COUNTIF($R$24,F202)+COUNTIF($N$27:$O$28,F202)</f>
        <v>0</v>
      </c>
      <c r="H202" s="927"/>
      <c r="I202" s="928"/>
      <c r="J202" s="354">
        <v>0</v>
      </c>
      <c r="K202" s="355">
        <v>0</v>
      </c>
      <c r="L202" s="356">
        <f t="shared" si="25"/>
        <v>0</v>
      </c>
      <c r="M202" s="268"/>
      <c r="N202" s="978" t="s">
        <v>49</v>
      </c>
      <c r="O202" s="979"/>
      <c r="P202" s="980"/>
      <c r="Q202" s="981"/>
      <c r="R202" s="982"/>
      <c r="S202" s="6" t="s">
        <v>50</v>
      </c>
      <c r="T202" s="929">
        <f>COUNTIF($T$23:$BI$73,S202)+COUNTIF($N$29:$S$39,S202)+COUNTIF($P$47:$S$68,S202)+COUNTIF($Q$40:$S$42,S202)+COUNTIF($P$27:$S$28,S202)+COUNTIF($R$25:$S$25,S202)+COUNTIF($S$24:$S$24,S202)</f>
        <v>0</v>
      </c>
      <c r="U202" s="929"/>
      <c r="V202" s="929"/>
      <c r="W202" s="354">
        <v>0</v>
      </c>
      <c r="X202" s="355">
        <v>0</v>
      </c>
      <c r="Y202" s="356">
        <f t="shared" si="26"/>
        <v>0</v>
      </c>
      <c r="Z202" s="357">
        <f t="shared" si="27"/>
        <v>0</v>
      </c>
      <c r="AC202" s="442" t="s">
        <v>762</v>
      </c>
      <c r="AD202" s="601" t="s">
        <v>763</v>
      </c>
      <c r="AE202" s="332">
        <f t="shared" si="9"/>
        <v>0</v>
      </c>
      <c r="AF202" s="333" t="str">
        <f t="shared" si="10"/>
        <v/>
      </c>
      <c r="AH202" s="308"/>
      <c r="AI202" s="996" t="s">
        <v>764</v>
      </c>
      <c r="AJ202" s="952"/>
      <c r="AK202" s="952"/>
      <c r="AL202" s="952"/>
      <c r="AM202" s="953"/>
      <c r="AN202" s="602"/>
      <c r="AO202" s="502">
        <f>SUM(AO126:AO200)</f>
        <v>0</v>
      </c>
      <c r="AQ202" s="308"/>
      <c r="AR202" s="954" t="s">
        <v>765</v>
      </c>
      <c r="AS202" s="955"/>
      <c r="AT202" s="955"/>
      <c r="AU202" s="955"/>
      <c r="AV202" s="955"/>
      <c r="AW202" s="536" t="s">
        <v>766</v>
      </c>
      <c r="AX202" s="317">
        <f t="shared" si="16"/>
        <v>0</v>
      </c>
      <c r="AY202" s="530"/>
      <c r="BA202" s="311"/>
    </row>
    <row r="203" spans="1:53" ht="17.25" customHeight="1" thickBot="1" x14ac:dyDescent="0.35">
      <c r="A203" s="976" t="s">
        <v>767</v>
      </c>
      <c r="B203" s="976"/>
      <c r="C203" s="976"/>
      <c r="D203" s="976"/>
      <c r="E203" s="976"/>
      <c r="F203" s="588"/>
      <c r="G203" s="977">
        <f>SUM(G199:I202)</f>
        <v>0</v>
      </c>
      <c r="H203" s="977"/>
      <c r="I203" s="977"/>
      <c r="J203" s="603">
        <f t="shared" ref="J203:L203" si="28">SUM(J199:J202)</f>
        <v>0</v>
      </c>
      <c r="K203" s="604">
        <f t="shared" si="28"/>
        <v>0</v>
      </c>
      <c r="L203" s="605">
        <f t="shared" si="28"/>
        <v>0</v>
      </c>
      <c r="M203" s="268"/>
      <c r="N203" s="976" t="s">
        <v>767</v>
      </c>
      <c r="O203" s="976"/>
      <c r="P203" s="976"/>
      <c r="Q203" s="976"/>
      <c r="R203" s="976"/>
      <c r="S203" s="588"/>
      <c r="T203" s="977">
        <f>SUM(T199:V202)</f>
        <v>0</v>
      </c>
      <c r="U203" s="977"/>
      <c r="V203" s="977"/>
      <c r="W203" s="603">
        <f t="shared" ref="W203:Y203" si="29">SUM(W199:W202)</f>
        <v>0</v>
      </c>
      <c r="X203" s="604">
        <f t="shared" si="29"/>
        <v>0</v>
      </c>
      <c r="Y203" s="605">
        <f t="shared" si="29"/>
        <v>0</v>
      </c>
      <c r="Z203" s="357">
        <f t="shared" si="27"/>
        <v>0</v>
      </c>
      <c r="AC203" s="442" t="s">
        <v>768</v>
      </c>
      <c r="AD203" s="606" t="s">
        <v>200</v>
      </c>
      <c r="AE203" s="332">
        <f t="shared" si="9"/>
        <v>0</v>
      </c>
      <c r="AF203" s="333" t="str">
        <f t="shared" si="10"/>
        <v/>
      </c>
      <c r="AH203" s="308"/>
      <c r="AI203" s="994" t="s">
        <v>769</v>
      </c>
      <c r="AJ203" s="995"/>
      <c r="AK203" s="995"/>
      <c r="AL203" s="995"/>
      <c r="AM203" s="995"/>
      <c r="AN203" s="607" t="s">
        <v>770</v>
      </c>
      <c r="AO203" s="317">
        <f>COUNTIF($P$1:$Q$1,"O-FUT")</f>
        <v>0</v>
      </c>
      <c r="AQ203" s="308"/>
      <c r="AR203" s="954" t="s">
        <v>771</v>
      </c>
      <c r="AS203" s="955"/>
      <c r="AT203" s="955"/>
      <c r="AU203" s="955"/>
      <c r="AV203" s="955"/>
      <c r="AW203" s="469" t="s">
        <v>772</v>
      </c>
      <c r="AX203" s="317">
        <f t="shared" si="16"/>
        <v>0</v>
      </c>
      <c r="AY203" s="530"/>
      <c r="BA203" s="311"/>
    </row>
    <row r="204" spans="1:53" ht="17.25" customHeight="1" x14ac:dyDescent="0.25">
      <c r="A204" s="587"/>
      <c r="B204" s="587"/>
      <c r="C204" s="587"/>
      <c r="D204" s="587"/>
      <c r="E204" s="587"/>
      <c r="F204" s="588"/>
      <c r="J204" s="589"/>
      <c r="K204" s="589"/>
      <c r="M204" s="268"/>
      <c r="N204" s="587"/>
      <c r="O204" s="587"/>
      <c r="P204" s="587"/>
      <c r="Q204" s="587"/>
      <c r="R204" s="587"/>
      <c r="S204" s="588"/>
      <c r="W204" s="589"/>
      <c r="X204" s="589"/>
      <c r="AA204" s="324"/>
      <c r="AC204" s="442" t="s">
        <v>773</v>
      </c>
      <c r="AD204" s="608" t="s">
        <v>774</v>
      </c>
      <c r="AE204" s="332">
        <f t="shared" si="9"/>
        <v>0</v>
      </c>
      <c r="AF204" s="333" t="str">
        <f t="shared" si="10"/>
        <v/>
      </c>
      <c r="AH204" s="308"/>
      <c r="AI204" s="609"/>
      <c r="AJ204" s="610"/>
      <c r="AK204" s="610"/>
      <c r="AL204" s="610"/>
      <c r="AM204" s="610"/>
      <c r="AQ204" s="308"/>
      <c r="AR204" s="954" t="s">
        <v>775</v>
      </c>
      <c r="AS204" s="955"/>
      <c r="AT204" s="955"/>
      <c r="AU204" s="955"/>
      <c r="AV204" s="955"/>
      <c r="AW204" s="393" t="s">
        <v>776</v>
      </c>
      <c r="AX204" s="317">
        <f t="shared" si="16"/>
        <v>0</v>
      </c>
      <c r="AY204" s="530"/>
      <c r="BA204" s="311"/>
    </row>
    <row r="205" spans="1:53" ht="17.25" customHeight="1" x14ac:dyDescent="0.25">
      <c r="A205" s="587"/>
      <c r="B205" s="587"/>
      <c r="C205" s="587"/>
      <c r="D205" s="587"/>
      <c r="E205" s="587"/>
      <c r="F205" s="588"/>
      <c r="J205" s="589"/>
      <c r="K205" s="589"/>
      <c r="M205" s="268"/>
      <c r="N205" s="587"/>
      <c r="O205" s="587"/>
      <c r="P205" s="587"/>
      <c r="Q205" s="587"/>
      <c r="R205" s="587"/>
      <c r="S205" s="588"/>
      <c r="W205" s="589"/>
      <c r="X205" s="589"/>
      <c r="AA205" s="324"/>
      <c r="AC205" s="442" t="s">
        <v>777</v>
      </c>
      <c r="AD205" s="611" t="s">
        <v>202</v>
      </c>
      <c r="AE205" s="332">
        <f t="shared" si="9"/>
        <v>0</v>
      </c>
      <c r="AF205" s="333" t="str">
        <f t="shared" si="10"/>
        <v/>
      </c>
      <c r="AH205" s="308"/>
      <c r="AI205" s="918" t="s">
        <v>355</v>
      </c>
      <c r="AJ205" s="908"/>
      <c r="AK205" s="908"/>
      <c r="AL205" s="908"/>
      <c r="AM205" s="908"/>
      <c r="AN205" s="904"/>
      <c r="AO205" s="309" t="s">
        <v>299</v>
      </c>
      <c r="AP205" s="612"/>
      <c r="AQ205" s="308"/>
      <c r="AR205" s="954" t="s">
        <v>778</v>
      </c>
      <c r="AS205" s="955"/>
      <c r="AT205" s="955"/>
      <c r="AU205" s="955"/>
      <c r="AV205" s="955"/>
      <c r="AW205" s="393" t="s">
        <v>153</v>
      </c>
      <c r="AX205" s="317">
        <f t="shared" si="16"/>
        <v>0</v>
      </c>
      <c r="AY205" s="530"/>
      <c r="BA205" s="311"/>
    </row>
    <row r="206" spans="1:53" ht="17.25" customHeight="1" x14ac:dyDescent="0.25">
      <c r="A206" s="991" t="s">
        <v>779</v>
      </c>
      <c r="B206" s="992"/>
      <c r="C206" s="992"/>
      <c r="D206" s="992"/>
      <c r="E206" s="993"/>
      <c r="F206" s="591"/>
      <c r="G206" s="986"/>
      <c r="H206" s="986"/>
      <c r="I206" s="987"/>
      <c r="J206" s="592" t="s">
        <v>351</v>
      </c>
      <c r="K206" s="593" t="s">
        <v>352</v>
      </c>
      <c r="L206" s="592" t="s">
        <v>353</v>
      </c>
      <c r="M206" s="268"/>
      <c r="N206" s="991" t="s">
        <v>779</v>
      </c>
      <c r="O206" s="992"/>
      <c r="P206" s="992"/>
      <c r="Q206" s="992"/>
      <c r="R206" s="993"/>
      <c r="S206" s="591"/>
      <c r="T206" s="986"/>
      <c r="U206" s="986"/>
      <c r="V206" s="987"/>
      <c r="W206" s="592" t="s">
        <v>351</v>
      </c>
      <c r="X206" s="593" t="s">
        <v>352</v>
      </c>
      <c r="Y206" s="592" t="s">
        <v>353</v>
      </c>
      <c r="AA206" s="324"/>
      <c r="AC206" s="442" t="s">
        <v>780</v>
      </c>
      <c r="AD206" s="601" t="s">
        <v>781</v>
      </c>
      <c r="AE206" s="332">
        <f t="shared" si="9"/>
        <v>0</v>
      </c>
      <c r="AF206" s="333" t="str">
        <f t="shared" si="10"/>
        <v/>
      </c>
      <c r="AH206" s="308"/>
      <c r="AI206" s="914" t="s">
        <v>782</v>
      </c>
      <c r="AJ206" s="915"/>
      <c r="AK206" s="915"/>
      <c r="AL206" s="915"/>
      <c r="AM206" s="915"/>
      <c r="AN206" s="613" t="s">
        <v>783</v>
      </c>
      <c r="AO206" s="317">
        <f t="shared" ref="AO206:AO234" si="30">COUNTIF($A$1:$GO$103,AN206)</f>
        <v>0</v>
      </c>
      <c r="AP206" s="614"/>
      <c r="AQ206" s="308"/>
      <c r="AR206" s="954" t="s">
        <v>784</v>
      </c>
      <c r="AS206" s="955"/>
      <c r="AT206" s="955"/>
      <c r="AU206" s="955"/>
      <c r="AV206" s="955"/>
      <c r="AW206" s="396" t="s">
        <v>156</v>
      </c>
      <c r="AX206" s="317">
        <f t="shared" si="16"/>
        <v>0</v>
      </c>
      <c r="AY206" s="530"/>
      <c r="BA206" s="311"/>
    </row>
    <row r="207" spans="1:53" ht="17.25" customHeight="1" x14ac:dyDescent="0.25">
      <c r="A207" s="978" t="s">
        <v>125</v>
      </c>
      <c r="B207" s="979"/>
      <c r="C207" s="980"/>
      <c r="D207" s="981"/>
      <c r="E207" s="982"/>
      <c r="F207" s="15" t="s">
        <v>65</v>
      </c>
      <c r="G207" s="926">
        <f>COUNTIF($A$4:$M$42,F207)+COUNTIF($A$43:$O$81,F207)+COUNTIF($N$4:$T$19,F207)+COUNTIF($O$20:$S$23,F207)+COUNTIF($N$24:$Q$25,F207)+COUNTIF($N$26:$P$26,F207)+COUNTIF($P$42,F207)+COUNTIF($T$21:$T$22,F207)+COUNTIF($R$24,F207)+COUNTIF($N$27:$O$28,F207)</f>
        <v>0</v>
      </c>
      <c r="H207" s="927"/>
      <c r="I207" s="928"/>
      <c r="J207" s="354">
        <v>0</v>
      </c>
      <c r="K207" s="355">
        <v>0</v>
      </c>
      <c r="L207" s="356">
        <f t="shared" ref="L207:L209" si="31">G207-K207-J207</f>
        <v>0</v>
      </c>
      <c r="M207" s="268"/>
      <c r="N207" s="978" t="s">
        <v>125</v>
      </c>
      <c r="O207" s="979"/>
      <c r="P207" s="980"/>
      <c r="Q207" s="981"/>
      <c r="R207" s="982"/>
      <c r="S207" s="15" t="s">
        <v>65</v>
      </c>
      <c r="T207" s="929">
        <f>COUNTIF($T$23:$BI$73,S207)+COUNTIF($N$29:$S$39,S207)+COUNTIF($P$47:$S$68,S207)+COUNTIF($Q$40:$S$42,S207)+COUNTIF($P$27:$S$28,S207)+COUNTIF($R$25:$S$25,S207)+COUNTIF($S$24:$S$24,S207)</f>
        <v>0</v>
      </c>
      <c r="U207" s="929"/>
      <c r="V207" s="929"/>
      <c r="W207" s="354">
        <v>0</v>
      </c>
      <c r="X207" s="355">
        <v>0</v>
      </c>
      <c r="Y207" s="356">
        <f t="shared" ref="Y207:Y209" si="32">T207-X207-W207</f>
        <v>0</v>
      </c>
      <c r="Z207" s="357">
        <f t="shared" ref="Z207:Z210" si="33">T207+G207</f>
        <v>0</v>
      </c>
      <c r="AA207" s="324"/>
      <c r="AC207" s="442" t="s">
        <v>785</v>
      </c>
      <c r="AD207" s="615" t="s">
        <v>786</v>
      </c>
      <c r="AE207" s="332">
        <f t="shared" si="9"/>
        <v>0</v>
      </c>
      <c r="AF207" s="333" t="str">
        <f t="shared" si="10"/>
        <v/>
      </c>
      <c r="AH207" s="308"/>
      <c r="AI207" s="914" t="s">
        <v>787</v>
      </c>
      <c r="AJ207" s="915"/>
      <c r="AK207" s="915"/>
      <c r="AL207" s="915"/>
      <c r="AM207" s="915"/>
      <c r="AN207" s="616" t="s">
        <v>788</v>
      </c>
      <c r="AO207" s="317">
        <f t="shared" si="30"/>
        <v>0</v>
      </c>
      <c r="AP207" s="614"/>
      <c r="AQ207" s="308"/>
      <c r="AR207" s="954" t="s">
        <v>789</v>
      </c>
      <c r="AS207" s="955"/>
      <c r="AT207" s="955"/>
      <c r="AU207" s="955"/>
      <c r="AV207" s="955"/>
      <c r="AW207" s="465" t="s">
        <v>790</v>
      </c>
      <c r="AX207" s="317">
        <f t="shared" si="16"/>
        <v>0</v>
      </c>
      <c r="AY207" s="530"/>
      <c r="BA207" s="311"/>
    </row>
    <row r="208" spans="1:53" ht="17.25" customHeight="1" x14ac:dyDescent="0.25">
      <c r="A208" s="978" t="s">
        <v>126</v>
      </c>
      <c r="B208" s="979"/>
      <c r="C208" s="980"/>
      <c r="D208" s="981"/>
      <c r="E208" s="982"/>
      <c r="F208" s="16" t="s">
        <v>64</v>
      </c>
      <c r="G208" s="926">
        <f>COUNTIF($A$4:$M$42,F208)+COUNTIF($A$43:$O$81,F208)+COUNTIF($N$4:$T$19,F208)+COUNTIF($O$20:$S$23,F208)+COUNTIF($N$24:$Q$25,F208)+COUNTIF($N$26:$P$26,F208)+COUNTIF($P$42,F208)+COUNTIF($T$21:$T$22,F208)+COUNTIF($R$24,F208)+COUNTIF($N$27:$O$28,F208)</f>
        <v>0</v>
      </c>
      <c r="H208" s="927"/>
      <c r="I208" s="928"/>
      <c r="J208" s="354">
        <v>0</v>
      </c>
      <c r="K208" s="355">
        <v>0</v>
      </c>
      <c r="L208" s="356">
        <f t="shared" si="31"/>
        <v>0</v>
      </c>
      <c r="M208" s="268"/>
      <c r="N208" s="978" t="s">
        <v>126</v>
      </c>
      <c r="O208" s="979"/>
      <c r="P208" s="980"/>
      <c r="Q208" s="981"/>
      <c r="R208" s="982"/>
      <c r="S208" s="16" t="s">
        <v>64</v>
      </c>
      <c r="T208" s="929">
        <f>COUNTIF($T$23:$BI$73,S208)+COUNTIF($N$29:$S$39,S208)+COUNTIF($P$47:$S$68,S208)+COUNTIF($Q$40:$S$42,S208)+COUNTIF($P$27:$S$28,S208)+COUNTIF($R$25:$S$25,S208)+COUNTIF($S$24:$S$24,S208)</f>
        <v>0</v>
      </c>
      <c r="U208" s="929"/>
      <c r="V208" s="929"/>
      <c r="W208" s="354">
        <v>0</v>
      </c>
      <c r="X208" s="355">
        <v>0</v>
      </c>
      <c r="Y208" s="356">
        <f t="shared" si="32"/>
        <v>0</v>
      </c>
      <c r="Z208" s="357">
        <f t="shared" si="33"/>
        <v>0</v>
      </c>
      <c r="AA208" s="324"/>
      <c r="AC208" s="442" t="s">
        <v>791</v>
      </c>
      <c r="AD208" s="617" t="s">
        <v>792</v>
      </c>
      <c r="AE208" s="332">
        <f t="shared" si="9"/>
        <v>0</v>
      </c>
      <c r="AF208" s="333" t="str">
        <f t="shared" si="10"/>
        <v/>
      </c>
      <c r="AH208" s="308"/>
      <c r="AI208" s="914" t="s">
        <v>793</v>
      </c>
      <c r="AJ208" s="915"/>
      <c r="AK208" s="915"/>
      <c r="AL208" s="915"/>
      <c r="AM208" s="915"/>
      <c r="AN208" s="618" t="s">
        <v>794</v>
      </c>
      <c r="AO208" s="317">
        <f t="shared" si="30"/>
        <v>0</v>
      </c>
      <c r="AP208" s="614"/>
      <c r="AQ208" s="308"/>
      <c r="AR208" s="954" t="s">
        <v>795</v>
      </c>
      <c r="AS208" s="955"/>
      <c r="AT208" s="955"/>
      <c r="AU208" s="955"/>
      <c r="AV208" s="955"/>
      <c r="AW208" s="465" t="s">
        <v>796</v>
      </c>
      <c r="AX208" s="317">
        <f t="shared" si="16"/>
        <v>0</v>
      </c>
      <c r="AY208" s="530"/>
      <c r="BA208" s="311"/>
    </row>
    <row r="209" spans="1:58" ht="17.25" customHeight="1" x14ac:dyDescent="0.25">
      <c r="A209" s="978" t="s">
        <v>66</v>
      </c>
      <c r="B209" s="979"/>
      <c r="C209" s="980"/>
      <c r="D209" s="981"/>
      <c r="E209" s="982"/>
      <c r="F209" s="17" t="s">
        <v>67</v>
      </c>
      <c r="G209" s="926">
        <f>COUNTIF($A$4:$M$42,F209)+COUNTIF($A$43:$O$81,F209)+COUNTIF($N$4:$T$19,F209)+COUNTIF($O$20:$S$23,F209)+COUNTIF($N$24:$Q$25,F209)+COUNTIF($N$26:$P$26,F209)+COUNTIF($P$42,F209)+COUNTIF($T$21:$T$22,F209)+COUNTIF($R$24,F209)+COUNTIF($N$27:$O$28,F209)</f>
        <v>0</v>
      </c>
      <c r="H209" s="927"/>
      <c r="I209" s="928"/>
      <c r="J209" s="354">
        <v>0</v>
      </c>
      <c r="K209" s="355">
        <v>0</v>
      </c>
      <c r="L209" s="356">
        <f t="shared" si="31"/>
        <v>0</v>
      </c>
      <c r="M209" s="268"/>
      <c r="N209" s="978" t="s">
        <v>66</v>
      </c>
      <c r="O209" s="979"/>
      <c r="P209" s="980"/>
      <c r="Q209" s="981"/>
      <c r="R209" s="982"/>
      <c r="S209" s="17" t="s">
        <v>67</v>
      </c>
      <c r="T209" s="929">
        <f>COUNTIF($T$23:$BI$73,S209)+COUNTIF($N$29:$S$39,S209)+COUNTIF($P$47:$S$68,S209)+COUNTIF($Q$40:$S$42,S209)+COUNTIF($P$27:$S$28,S209)+COUNTIF($R$25:$S$25,S209)+COUNTIF($S$24:$S$24,S209)</f>
        <v>0</v>
      </c>
      <c r="U209" s="929"/>
      <c r="V209" s="929"/>
      <c r="W209" s="354">
        <v>0</v>
      </c>
      <c r="X209" s="355">
        <v>0</v>
      </c>
      <c r="Y209" s="356">
        <f t="shared" si="32"/>
        <v>0</v>
      </c>
      <c r="Z209" s="357">
        <f t="shared" si="33"/>
        <v>0</v>
      </c>
      <c r="AA209" s="324"/>
      <c r="AC209" s="442" t="s">
        <v>797</v>
      </c>
      <c r="AD209" s="619" t="s">
        <v>798</v>
      </c>
      <c r="AE209" s="332">
        <f t="shared" si="9"/>
        <v>0</v>
      </c>
      <c r="AF209" s="333" t="str">
        <f t="shared" si="10"/>
        <v/>
      </c>
      <c r="AH209" s="308"/>
      <c r="AI209" s="914" t="s">
        <v>799</v>
      </c>
      <c r="AJ209" s="915"/>
      <c r="AK209" s="915"/>
      <c r="AL209" s="915"/>
      <c r="AM209" s="915"/>
      <c r="AN209" s="620" t="s">
        <v>800</v>
      </c>
      <c r="AO209" s="317">
        <f t="shared" si="30"/>
        <v>0</v>
      </c>
      <c r="AP209" s="614"/>
      <c r="AQ209" s="308"/>
      <c r="AR209" s="954" t="s">
        <v>801</v>
      </c>
      <c r="AS209" s="955"/>
      <c r="AT209" s="955"/>
      <c r="AU209" s="955"/>
      <c r="AV209" s="955"/>
      <c r="AW209" s="465" t="s">
        <v>802</v>
      </c>
      <c r="AX209" s="317">
        <f t="shared" si="16"/>
        <v>0</v>
      </c>
      <c r="AY209" s="530"/>
      <c r="BA209" s="311"/>
    </row>
    <row r="210" spans="1:58" ht="17.25" customHeight="1" x14ac:dyDescent="0.25">
      <c r="A210" s="976" t="s">
        <v>803</v>
      </c>
      <c r="B210" s="976"/>
      <c r="C210" s="976"/>
      <c r="D210" s="976"/>
      <c r="E210" s="976"/>
      <c r="F210" s="588"/>
      <c r="G210" s="977">
        <f t="shared" ref="G210:L210" si="34">SUM(G207:I209)</f>
        <v>0</v>
      </c>
      <c r="H210" s="977"/>
      <c r="I210" s="977"/>
      <c r="J210" s="603">
        <f t="shared" si="34"/>
        <v>0</v>
      </c>
      <c r="K210" s="604">
        <f t="shared" si="34"/>
        <v>0</v>
      </c>
      <c r="L210" s="356">
        <f t="shared" si="34"/>
        <v>0</v>
      </c>
      <c r="M210" s="268"/>
      <c r="N210" s="976" t="s">
        <v>803</v>
      </c>
      <c r="O210" s="976"/>
      <c r="P210" s="976"/>
      <c r="Q210" s="976"/>
      <c r="R210" s="976"/>
      <c r="S210" s="588"/>
      <c r="T210" s="977">
        <f t="shared" ref="T210" si="35">SUM(T207:V209)</f>
        <v>0</v>
      </c>
      <c r="U210" s="977"/>
      <c r="V210" s="977"/>
      <c r="W210" s="603">
        <f t="shared" ref="W210:X210" si="36">SUM(W207:Y209)</f>
        <v>0</v>
      </c>
      <c r="X210" s="604">
        <f t="shared" si="36"/>
        <v>0</v>
      </c>
      <c r="Y210" s="356">
        <f>SUM(Y203:AA205)</f>
        <v>0</v>
      </c>
      <c r="Z210" s="357">
        <f t="shared" si="33"/>
        <v>0</v>
      </c>
      <c r="AA210" s="324" t="b">
        <f>IFERROR(#REF!&gt;0.5,FALSE)</f>
        <v>0</v>
      </c>
      <c r="AC210" s="442" t="s">
        <v>804</v>
      </c>
      <c r="AD210" s="621" t="s">
        <v>805</v>
      </c>
      <c r="AE210" s="332">
        <f t="shared" si="9"/>
        <v>0</v>
      </c>
      <c r="AF210" s="333" t="str">
        <f t="shared" si="10"/>
        <v/>
      </c>
      <c r="AH210" s="308"/>
      <c r="AI210" s="914" t="s">
        <v>806</v>
      </c>
      <c r="AJ210" s="915"/>
      <c r="AK210" s="915"/>
      <c r="AL210" s="915"/>
      <c r="AM210" s="915"/>
      <c r="AN210" s="622" t="s">
        <v>807</v>
      </c>
      <c r="AO210" s="317">
        <f t="shared" si="30"/>
        <v>0</v>
      </c>
      <c r="AP210" s="614"/>
      <c r="AQ210" s="308"/>
      <c r="AR210" s="954" t="s">
        <v>808</v>
      </c>
      <c r="AS210" s="955"/>
      <c r="AT210" s="955"/>
      <c r="AU210" s="955"/>
      <c r="AV210" s="955"/>
      <c r="AW210" s="461" t="s">
        <v>152</v>
      </c>
      <c r="AX210" s="317">
        <f t="shared" si="16"/>
        <v>0</v>
      </c>
      <c r="AY210" s="530"/>
      <c r="BA210" s="311"/>
    </row>
    <row r="211" spans="1:58" ht="17.25" customHeight="1" x14ac:dyDescent="0.25">
      <c r="A211" s="587"/>
      <c r="B211" s="587"/>
      <c r="C211" s="587"/>
      <c r="D211" s="587"/>
      <c r="E211" s="587"/>
      <c r="F211" s="588"/>
      <c r="J211" s="589"/>
      <c r="K211" s="589"/>
      <c r="M211" s="268"/>
      <c r="N211" s="587"/>
      <c r="O211" s="587"/>
      <c r="P211" s="587"/>
      <c r="Q211" s="587"/>
      <c r="R211" s="587"/>
      <c r="S211" s="588"/>
      <c r="W211" s="589"/>
      <c r="X211" s="589"/>
      <c r="AA211" s="324"/>
      <c r="AC211" s="442" t="s">
        <v>809</v>
      </c>
      <c r="AD211" s="621" t="s">
        <v>809</v>
      </c>
      <c r="AE211" s="332">
        <f t="shared" si="9"/>
        <v>0</v>
      </c>
      <c r="AF211" s="333" t="str">
        <f t="shared" si="10"/>
        <v/>
      </c>
      <c r="AH211" s="308"/>
      <c r="AI211" s="914" t="s">
        <v>810</v>
      </c>
      <c r="AJ211" s="915"/>
      <c r="AK211" s="915"/>
      <c r="AL211" s="915"/>
      <c r="AM211" s="915"/>
      <c r="AN211" s="623" t="s">
        <v>811</v>
      </c>
      <c r="AO211" s="317">
        <f t="shared" si="30"/>
        <v>0</v>
      </c>
      <c r="AP211" s="614"/>
      <c r="AQ211" s="308"/>
      <c r="AR211" s="954" t="s">
        <v>812</v>
      </c>
      <c r="AS211" s="955"/>
      <c r="AT211" s="955"/>
      <c r="AU211" s="955"/>
      <c r="AV211" s="955"/>
      <c r="AW211" s="461" t="s">
        <v>813</v>
      </c>
      <c r="AX211" s="317">
        <f t="shared" si="16"/>
        <v>0</v>
      </c>
      <c r="AY211" s="530"/>
      <c r="BA211" s="311"/>
    </row>
    <row r="212" spans="1:58" ht="17.25" customHeight="1" x14ac:dyDescent="0.25">
      <c r="A212" s="587"/>
      <c r="B212" s="587"/>
      <c r="C212" s="587"/>
      <c r="D212" s="587"/>
      <c r="E212" s="587"/>
      <c r="F212" s="588"/>
      <c r="J212" s="589"/>
      <c r="K212" s="589"/>
      <c r="M212" s="268"/>
      <c r="N212" s="587"/>
      <c r="O212" s="587"/>
      <c r="P212" s="587"/>
      <c r="Q212" s="587"/>
      <c r="R212" s="587"/>
      <c r="S212" s="588"/>
      <c r="W212" s="589"/>
      <c r="X212" s="589"/>
      <c r="AA212" s="324"/>
      <c r="AC212" s="442" t="s">
        <v>361</v>
      </c>
      <c r="AD212" s="624" t="s">
        <v>814</v>
      </c>
      <c r="AE212" s="332">
        <f t="shared" si="9"/>
        <v>0</v>
      </c>
      <c r="AF212" s="333" t="str">
        <f t="shared" si="10"/>
        <v/>
      </c>
      <c r="AH212" s="308"/>
      <c r="AI212" s="914" t="s">
        <v>815</v>
      </c>
      <c r="AJ212" s="915"/>
      <c r="AK212" s="915"/>
      <c r="AL212" s="915"/>
      <c r="AM212" s="915"/>
      <c r="AN212" s="393" t="s">
        <v>816</v>
      </c>
      <c r="AO212" s="317">
        <f t="shared" si="30"/>
        <v>0</v>
      </c>
      <c r="AP212" s="614"/>
      <c r="AQ212" s="308"/>
      <c r="AR212" s="954" t="s">
        <v>817</v>
      </c>
      <c r="AS212" s="955"/>
      <c r="AT212" s="955"/>
      <c r="AU212" s="955"/>
      <c r="AV212" s="955"/>
      <c r="AW212" s="321" t="s">
        <v>154</v>
      </c>
      <c r="AX212" s="317">
        <f t="shared" si="16"/>
        <v>0</v>
      </c>
      <c r="AY212" s="530"/>
      <c r="BA212" s="311"/>
      <c r="BC212" s="625"/>
      <c r="BD212" s="625"/>
      <c r="BE212" s="625"/>
      <c r="BF212" s="625"/>
    </row>
    <row r="213" spans="1:58" ht="17.25" customHeight="1" x14ac:dyDescent="0.25">
      <c r="A213" s="988" t="s">
        <v>818</v>
      </c>
      <c r="B213" s="989"/>
      <c r="C213" s="989"/>
      <c r="D213" s="989"/>
      <c r="E213" s="990"/>
      <c r="F213" s="591"/>
      <c r="G213" s="986"/>
      <c r="H213" s="986"/>
      <c r="I213" s="987"/>
      <c r="J213" s="592" t="s">
        <v>351</v>
      </c>
      <c r="K213" s="593" t="s">
        <v>352</v>
      </c>
      <c r="L213" s="592" t="s">
        <v>353</v>
      </c>
      <c r="M213" s="268"/>
      <c r="N213" s="988" t="s">
        <v>818</v>
      </c>
      <c r="O213" s="989"/>
      <c r="P213" s="989"/>
      <c r="Q213" s="989"/>
      <c r="R213" s="990"/>
      <c r="S213" s="591"/>
      <c r="T213" s="986"/>
      <c r="U213" s="986"/>
      <c r="V213" s="987"/>
      <c r="W213" s="592" t="s">
        <v>351</v>
      </c>
      <c r="X213" s="593" t="s">
        <v>352</v>
      </c>
      <c r="Y213" s="592" t="s">
        <v>353</v>
      </c>
      <c r="AA213" s="324"/>
      <c r="AC213" s="442" t="s">
        <v>819</v>
      </c>
      <c r="AD213" s="32" t="s">
        <v>151</v>
      </c>
      <c r="AE213" s="332">
        <f t="shared" si="9"/>
        <v>0</v>
      </c>
      <c r="AF213" s="333" t="str">
        <f t="shared" si="10"/>
        <v/>
      </c>
      <c r="AH213" s="308"/>
      <c r="AI213" s="914" t="s">
        <v>820</v>
      </c>
      <c r="AJ213" s="915"/>
      <c r="AK213" s="915"/>
      <c r="AL213" s="915"/>
      <c r="AM213" s="915"/>
      <c r="AN213" s="321" t="s">
        <v>821</v>
      </c>
      <c r="AO213" s="317">
        <f t="shared" si="30"/>
        <v>0</v>
      </c>
      <c r="AP213" s="614"/>
      <c r="AQ213" s="308"/>
      <c r="AR213" s="954" t="s">
        <v>822</v>
      </c>
      <c r="AS213" s="955"/>
      <c r="AT213" s="955"/>
      <c r="AU213" s="955"/>
      <c r="AV213" s="955"/>
      <c r="AW213" s="626" t="s">
        <v>823</v>
      </c>
      <c r="AX213" s="317">
        <f t="shared" si="16"/>
        <v>0</v>
      </c>
      <c r="AY213" s="530"/>
      <c r="BA213" s="311"/>
      <c r="BC213" s="627"/>
      <c r="BD213" s="627"/>
      <c r="BE213" s="627"/>
      <c r="BF213" s="627"/>
    </row>
    <row r="214" spans="1:58" ht="17.25" customHeight="1" x14ac:dyDescent="0.25">
      <c r="A214" s="978" t="s">
        <v>127</v>
      </c>
      <c r="B214" s="979"/>
      <c r="C214" s="980"/>
      <c r="D214" s="981"/>
      <c r="E214" s="982"/>
      <c r="F214" s="18" t="s">
        <v>128</v>
      </c>
      <c r="G214" s="926">
        <f>COUNTIF($A$4:$M$42,F214)+COUNTIF($A$43:$O$81,F214)+COUNTIF($N$4:$T$19,F214)+COUNTIF($O$20:$S$23,F214)+COUNTIF($N$24:$Q$25,F214)+COUNTIF($N$26:$P$26,F214)+COUNTIF($P$42,F214)+COUNTIF($T$21:$T$22,F214)+COUNTIF($R$24,F214)+COUNTIF($N$27:$O$28,F214)</f>
        <v>0</v>
      </c>
      <c r="H214" s="927"/>
      <c r="I214" s="928"/>
      <c r="J214" s="354">
        <v>0</v>
      </c>
      <c r="K214" s="355">
        <v>0</v>
      </c>
      <c r="L214" s="356">
        <f t="shared" ref="L214:L217" si="37">G214-K214-J214</f>
        <v>0</v>
      </c>
      <c r="M214" s="268"/>
      <c r="N214" s="978" t="s">
        <v>127</v>
      </c>
      <c r="O214" s="979"/>
      <c r="P214" s="980"/>
      <c r="Q214" s="981"/>
      <c r="R214" s="982"/>
      <c r="S214" s="18" t="s">
        <v>128</v>
      </c>
      <c r="T214" s="929">
        <f>COUNTIF($T$23:$BI$73,S214)+COUNTIF($N$29:$S$39,S214)+COUNTIF($P$47:$S$68,S214)+COUNTIF($Q$40:$S$42,S214)+COUNTIF($P$27:$S$28,S214)+COUNTIF($R$25:$S$25,S214)+COUNTIF($S$24:$S$24,S214)</f>
        <v>0</v>
      </c>
      <c r="U214" s="929"/>
      <c r="V214" s="929"/>
      <c r="W214" s="354">
        <v>0</v>
      </c>
      <c r="X214" s="355">
        <v>0</v>
      </c>
      <c r="Y214" s="356">
        <f t="shared" ref="Y214:Y217" si="38">T214-X214-W214</f>
        <v>0</v>
      </c>
      <c r="Z214" s="357">
        <f t="shared" ref="Z214:Z218" si="39">T214+G214</f>
        <v>0</v>
      </c>
      <c r="AA214" s="324"/>
      <c r="AC214" s="442" t="s">
        <v>824</v>
      </c>
      <c r="AD214" s="628" t="s">
        <v>825</v>
      </c>
      <c r="AE214" s="332">
        <f t="shared" si="9"/>
        <v>0</v>
      </c>
      <c r="AF214" s="333" t="str">
        <f t="shared" si="10"/>
        <v/>
      </c>
      <c r="AH214" s="308"/>
      <c r="AI214" s="914" t="s">
        <v>826</v>
      </c>
      <c r="AJ214" s="915"/>
      <c r="AK214" s="915"/>
      <c r="AL214" s="915"/>
      <c r="AM214" s="915"/>
      <c r="AN214" s="461" t="s">
        <v>827</v>
      </c>
      <c r="AO214" s="317">
        <f t="shared" si="30"/>
        <v>0</v>
      </c>
      <c r="AP214" s="614"/>
      <c r="AQ214" s="308"/>
      <c r="AR214" s="954" t="s">
        <v>828</v>
      </c>
      <c r="AS214" s="955"/>
      <c r="AT214" s="955"/>
      <c r="AU214" s="955"/>
      <c r="AV214" s="955"/>
      <c r="AW214" s="629" t="s">
        <v>829</v>
      </c>
      <c r="AX214" s="317">
        <f t="shared" si="16"/>
        <v>0</v>
      </c>
      <c r="AY214" s="530"/>
      <c r="BA214" s="311"/>
      <c r="BC214" s="625"/>
      <c r="BD214" s="625"/>
      <c r="BE214" s="625"/>
      <c r="BF214" s="625"/>
    </row>
    <row r="215" spans="1:58" ht="17.25" customHeight="1" x14ac:dyDescent="0.25">
      <c r="A215" s="978" t="s">
        <v>129</v>
      </c>
      <c r="B215" s="979"/>
      <c r="C215" s="980"/>
      <c r="D215" s="981"/>
      <c r="E215" s="982"/>
      <c r="F215" s="19" t="s">
        <v>130</v>
      </c>
      <c r="G215" s="926">
        <f>COUNTIF($A$4:$M$42,F215)+COUNTIF($A$43:$O$81,F215)+COUNTIF($N$4:$T$19,F215)+COUNTIF($O$20:$S$23,F215)+COUNTIF($N$24:$Q$25,F215)+COUNTIF($N$26:$P$26,F215)+COUNTIF($P$42,F215)+COUNTIF($T$21:$T$22,F215)+COUNTIF($R$24,F215)+COUNTIF($N$27:$O$28,F215)</f>
        <v>0</v>
      </c>
      <c r="H215" s="927"/>
      <c r="I215" s="928"/>
      <c r="J215" s="354">
        <v>0</v>
      </c>
      <c r="K215" s="355">
        <v>0</v>
      </c>
      <c r="L215" s="356">
        <f t="shared" si="37"/>
        <v>0</v>
      </c>
      <c r="M215" s="268"/>
      <c r="N215" s="978" t="s">
        <v>129</v>
      </c>
      <c r="O215" s="979"/>
      <c r="P215" s="980"/>
      <c r="Q215" s="981"/>
      <c r="R215" s="982"/>
      <c r="S215" s="19" t="s">
        <v>130</v>
      </c>
      <c r="T215" s="929">
        <f>COUNTIF($T$23:$BI$73,S215)+COUNTIF($N$29:$S$39,S215)+COUNTIF($P$47:$S$68,S215)+COUNTIF($Q$40:$S$42,S215)+COUNTIF($P$27:$S$28,S215)+COUNTIF($R$25:$S$25,S215)+COUNTIF($S$24:$S$24,S215)</f>
        <v>0</v>
      </c>
      <c r="U215" s="929"/>
      <c r="V215" s="929"/>
      <c r="W215" s="354">
        <v>0</v>
      </c>
      <c r="X215" s="355">
        <v>0</v>
      </c>
      <c r="Y215" s="356">
        <f t="shared" si="38"/>
        <v>0</v>
      </c>
      <c r="Z215" s="357">
        <f t="shared" si="39"/>
        <v>0</v>
      </c>
      <c r="AA215" s="324"/>
      <c r="AC215" s="442" t="s">
        <v>830</v>
      </c>
      <c r="AD215" s="630" t="s">
        <v>831</v>
      </c>
      <c r="AE215" s="332">
        <f t="shared" si="9"/>
        <v>0</v>
      </c>
      <c r="AF215" s="333" t="str">
        <f t="shared" si="10"/>
        <v/>
      </c>
      <c r="AH215" s="308"/>
      <c r="AI215" s="914" t="s">
        <v>832</v>
      </c>
      <c r="AJ215" s="915"/>
      <c r="AK215" s="915"/>
      <c r="AL215" s="915"/>
      <c r="AM215" s="915"/>
      <c r="AN215" s="461" t="s">
        <v>5</v>
      </c>
      <c r="AO215" s="317">
        <f t="shared" si="30"/>
        <v>0</v>
      </c>
      <c r="AP215" s="614"/>
      <c r="AQ215" s="308"/>
      <c r="AR215" s="954" t="s">
        <v>833</v>
      </c>
      <c r="AS215" s="955"/>
      <c r="AT215" s="955"/>
      <c r="AU215" s="955"/>
      <c r="AV215" s="955"/>
      <c r="AW215" s="631" t="s">
        <v>834</v>
      </c>
      <c r="AX215" s="317">
        <f t="shared" si="16"/>
        <v>0</v>
      </c>
      <c r="AY215" s="530"/>
      <c r="BA215" s="311"/>
      <c r="BC215" s="632"/>
      <c r="BD215" s="632"/>
      <c r="BE215" s="632"/>
      <c r="BF215" s="632"/>
    </row>
    <row r="216" spans="1:58" ht="17.25" customHeight="1" x14ac:dyDescent="0.25">
      <c r="A216" s="978" t="s">
        <v>131</v>
      </c>
      <c r="B216" s="979"/>
      <c r="C216" s="980"/>
      <c r="D216" s="981"/>
      <c r="E216" s="982"/>
      <c r="F216" s="20" t="s">
        <v>120</v>
      </c>
      <c r="G216" s="926">
        <f>COUNTIF($A$4:$M$42,F216)+COUNTIF($A$43:$O$81,F216)+COUNTIF($N$4:$T$19,F216)+COUNTIF($O$20:$S$23,F216)+COUNTIF($N$24:$Q$25,F216)+COUNTIF($N$26:$P$26,F216)+COUNTIF($P$42,F216)+COUNTIF($T$21:$T$22,F216)+COUNTIF($R$24,F216)+COUNTIF($N$27:$O$28,F216)</f>
        <v>0</v>
      </c>
      <c r="H216" s="927"/>
      <c r="I216" s="928"/>
      <c r="J216" s="354">
        <v>0</v>
      </c>
      <c r="K216" s="355">
        <v>0</v>
      </c>
      <c r="L216" s="356">
        <f t="shared" si="37"/>
        <v>0</v>
      </c>
      <c r="M216" s="268"/>
      <c r="N216" s="978" t="s">
        <v>131</v>
      </c>
      <c r="O216" s="979"/>
      <c r="P216" s="980"/>
      <c r="Q216" s="981"/>
      <c r="R216" s="982"/>
      <c r="S216" s="20" t="s">
        <v>120</v>
      </c>
      <c r="T216" s="929">
        <f>COUNTIF($T$23:$BI$73,S216)+COUNTIF($N$29:$S$39,S216)+COUNTIF($P$47:$S$68,S216)+COUNTIF($Q$40:$S$42,S216)+COUNTIF($P$27:$S$28,S216)+COUNTIF($R$25:$S$25,S216)+COUNTIF($S$24:$S$24,S216)</f>
        <v>0</v>
      </c>
      <c r="U216" s="929"/>
      <c r="V216" s="929"/>
      <c r="W216" s="354">
        <v>0</v>
      </c>
      <c r="X216" s="355">
        <v>0</v>
      </c>
      <c r="Y216" s="356">
        <f t="shared" si="38"/>
        <v>0</v>
      </c>
      <c r="Z216" s="357">
        <f t="shared" si="39"/>
        <v>0</v>
      </c>
      <c r="AA216" s="324"/>
      <c r="AC216" s="442" t="s">
        <v>835</v>
      </c>
      <c r="AD216" s="630" t="s">
        <v>836</v>
      </c>
      <c r="AE216" s="332">
        <f t="shared" ref="AE216:AE224" si="40">COUNTIF($A$1:$GO$103,AD216)</f>
        <v>0</v>
      </c>
      <c r="AF216" s="333" t="str">
        <f t="shared" si="10"/>
        <v/>
      </c>
      <c r="AH216" s="308"/>
      <c r="AI216" s="914" t="s">
        <v>837</v>
      </c>
      <c r="AJ216" s="915"/>
      <c r="AK216" s="915"/>
      <c r="AL216" s="915"/>
      <c r="AM216" s="915"/>
      <c r="AN216" s="633" t="s">
        <v>838</v>
      </c>
      <c r="AO216" s="317">
        <f t="shared" si="30"/>
        <v>0</v>
      </c>
      <c r="AP216" s="614"/>
      <c r="AQ216" s="308"/>
      <c r="AR216" s="954" t="s">
        <v>839</v>
      </c>
      <c r="AS216" s="955"/>
      <c r="AT216" s="955"/>
      <c r="AU216" s="955"/>
      <c r="AV216" s="955"/>
      <c r="AW216" s="631" t="s">
        <v>840</v>
      </c>
      <c r="AX216" s="317">
        <f t="shared" si="16"/>
        <v>0</v>
      </c>
      <c r="AY216" s="530"/>
      <c r="BA216" s="311"/>
    </row>
    <row r="217" spans="1:58" ht="17.25" customHeight="1" x14ac:dyDescent="0.25">
      <c r="A217" s="978" t="s">
        <v>132</v>
      </c>
      <c r="B217" s="979"/>
      <c r="C217" s="980"/>
      <c r="D217" s="981"/>
      <c r="E217" s="982"/>
      <c r="F217" s="21" t="s">
        <v>121</v>
      </c>
      <c r="G217" s="926">
        <f>COUNTIF($A$4:$M$42,F217)+COUNTIF($A$43:$O$81,F217)+COUNTIF($N$4:$T$19,F217)+COUNTIF($O$20:$S$23,F217)+COUNTIF($N$24:$Q$25,F217)+COUNTIF($N$26:$P$26,F217)+COUNTIF($P$42,F217)+COUNTIF($T$21:$T$22,F217)+COUNTIF($R$24,F217)+COUNTIF($N$27:$O$28,F217)</f>
        <v>0</v>
      </c>
      <c r="H217" s="927"/>
      <c r="I217" s="928"/>
      <c r="J217" s="354">
        <v>0</v>
      </c>
      <c r="K217" s="355">
        <v>0</v>
      </c>
      <c r="L217" s="356">
        <f t="shared" si="37"/>
        <v>0</v>
      </c>
      <c r="M217" s="268"/>
      <c r="N217" s="978" t="s">
        <v>132</v>
      </c>
      <c r="O217" s="979"/>
      <c r="P217" s="980"/>
      <c r="Q217" s="981"/>
      <c r="R217" s="982"/>
      <c r="S217" s="21" t="s">
        <v>121</v>
      </c>
      <c r="T217" s="929">
        <f>COUNTIF($T$23:$BI$73,S217)+COUNTIF($N$29:$S$39,S217)+COUNTIF($P$47:$S$68,S217)+COUNTIF($Q$40:$S$42,S217)+COUNTIF($P$27:$S$28,S217)+COUNTIF($R$25:$S$25,S217)+COUNTIF($S$24:$S$24,S217)</f>
        <v>0</v>
      </c>
      <c r="U217" s="929"/>
      <c r="V217" s="929"/>
      <c r="W217" s="354">
        <v>0</v>
      </c>
      <c r="X217" s="355">
        <v>0</v>
      </c>
      <c r="Y217" s="356">
        <f t="shared" si="38"/>
        <v>0</v>
      </c>
      <c r="Z217" s="357">
        <f t="shared" si="39"/>
        <v>0</v>
      </c>
      <c r="AA217" s="324"/>
      <c r="AC217" s="442" t="s">
        <v>841</v>
      </c>
      <c r="AD217" s="634" t="s">
        <v>842</v>
      </c>
      <c r="AE217" s="332">
        <f t="shared" si="40"/>
        <v>0</v>
      </c>
      <c r="AF217" s="333" t="str">
        <f t="shared" ref="AF217:AF224" si="41">IFERROR(AE217/$J$4,"")</f>
        <v/>
      </c>
      <c r="AH217" s="308"/>
      <c r="AI217" s="914" t="s">
        <v>843</v>
      </c>
      <c r="AJ217" s="915"/>
      <c r="AK217" s="915"/>
      <c r="AL217" s="915"/>
      <c r="AM217" s="915"/>
      <c r="AN217" s="335" t="s">
        <v>844</v>
      </c>
      <c r="AO217" s="317">
        <f t="shared" si="30"/>
        <v>0</v>
      </c>
      <c r="AP217" s="614"/>
      <c r="AQ217" s="308"/>
      <c r="AR217" s="954" t="s">
        <v>845</v>
      </c>
      <c r="AS217" s="955"/>
      <c r="AT217" s="955"/>
      <c r="AU217" s="955"/>
      <c r="AV217" s="955"/>
      <c r="AW217" s="635" t="s">
        <v>846</v>
      </c>
      <c r="AX217" s="317">
        <f t="shared" si="16"/>
        <v>0</v>
      </c>
      <c r="AY217" s="530"/>
      <c r="BA217" s="311"/>
      <c r="BC217" s="625"/>
      <c r="BD217" s="625"/>
      <c r="BE217" s="625"/>
      <c r="BF217" s="625"/>
    </row>
    <row r="218" spans="1:58" ht="17.25" customHeight="1" x14ac:dyDescent="0.25">
      <c r="A218" s="976" t="s">
        <v>847</v>
      </c>
      <c r="B218" s="976"/>
      <c r="C218" s="976"/>
      <c r="D218" s="976"/>
      <c r="E218" s="976"/>
      <c r="F218" s="588"/>
      <c r="G218" s="977">
        <f>SUM(G214:I217)</f>
        <v>0</v>
      </c>
      <c r="H218" s="977"/>
      <c r="I218" s="977"/>
      <c r="J218" s="603">
        <f t="shared" ref="J218:L218" si="42">SUM(J214:J217)</f>
        <v>0</v>
      </c>
      <c r="K218" s="604">
        <f t="shared" si="42"/>
        <v>0</v>
      </c>
      <c r="L218" s="605">
        <f t="shared" si="42"/>
        <v>0</v>
      </c>
      <c r="M218" s="268"/>
      <c r="N218" s="976" t="s">
        <v>847</v>
      </c>
      <c r="O218" s="976"/>
      <c r="P218" s="976"/>
      <c r="Q218" s="976"/>
      <c r="R218" s="976"/>
      <c r="S218" s="588"/>
      <c r="T218" s="977">
        <f>SUM(T214:V217)</f>
        <v>0</v>
      </c>
      <c r="U218" s="977"/>
      <c r="V218" s="977"/>
      <c r="W218" s="603">
        <f t="shared" ref="W218:Y218" si="43">SUM(W214:W217)</f>
        <v>0</v>
      </c>
      <c r="X218" s="604">
        <f t="shared" si="43"/>
        <v>0</v>
      </c>
      <c r="Y218" s="605">
        <f t="shared" si="43"/>
        <v>0</v>
      </c>
      <c r="Z218" s="357">
        <f t="shared" si="39"/>
        <v>0</v>
      </c>
      <c r="AA218" s="324"/>
      <c r="AC218" s="442" t="s">
        <v>848</v>
      </c>
      <c r="AD218" s="611" t="s">
        <v>849</v>
      </c>
      <c r="AE218" s="332">
        <f t="shared" si="40"/>
        <v>0</v>
      </c>
      <c r="AF218" s="333" t="str">
        <f t="shared" si="41"/>
        <v/>
      </c>
      <c r="AI218" s="914" t="s">
        <v>850</v>
      </c>
      <c r="AJ218" s="915"/>
      <c r="AK218" s="915"/>
      <c r="AL218" s="915"/>
      <c r="AM218" s="915"/>
      <c r="AN218" s="412" t="s">
        <v>851</v>
      </c>
      <c r="AO218" s="317">
        <f t="shared" si="30"/>
        <v>0</v>
      </c>
      <c r="AP218" s="614"/>
      <c r="AQ218" s="308"/>
      <c r="AR218" s="954" t="s">
        <v>852</v>
      </c>
      <c r="AS218" s="955"/>
      <c r="AT218" s="955"/>
      <c r="AU218" s="955"/>
      <c r="AV218" s="955"/>
      <c r="AW218" s="636" t="s">
        <v>853</v>
      </c>
      <c r="AX218" s="317">
        <f t="shared" si="16"/>
        <v>0</v>
      </c>
      <c r="AY218" s="530"/>
      <c r="BA218" s="311"/>
      <c r="BC218" s="627"/>
      <c r="BD218" s="627"/>
      <c r="BE218" s="627"/>
      <c r="BF218" s="627"/>
    </row>
    <row r="219" spans="1:58" ht="17.25" customHeight="1" x14ac:dyDescent="0.25">
      <c r="A219" s="587"/>
      <c r="B219" s="587"/>
      <c r="C219" s="587"/>
      <c r="D219" s="587"/>
      <c r="E219" s="587"/>
      <c r="F219" s="588"/>
      <c r="J219" s="589"/>
      <c r="K219" s="589"/>
      <c r="M219" s="268"/>
      <c r="N219" s="587"/>
      <c r="O219" s="587"/>
      <c r="P219" s="587"/>
      <c r="Q219" s="587"/>
      <c r="R219" s="587"/>
      <c r="S219" s="588"/>
      <c r="W219" s="589"/>
      <c r="X219" s="589"/>
      <c r="AA219" s="324"/>
      <c r="AC219" s="442" t="s">
        <v>854</v>
      </c>
      <c r="AD219" s="628" t="s">
        <v>855</v>
      </c>
      <c r="AE219" s="332">
        <f t="shared" si="40"/>
        <v>0</v>
      </c>
      <c r="AF219" s="333" t="str">
        <f t="shared" si="41"/>
        <v/>
      </c>
      <c r="AI219" s="914" t="s">
        <v>856</v>
      </c>
      <c r="AJ219" s="915"/>
      <c r="AK219" s="915"/>
      <c r="AL219" s="915"/>
      <c r="AM219" s="915"/>
      <c r="AN219" s="469" t="s">
        <v>857</v>
      </c>
      <c r="AO219" s="317">
        <f t="shared" si="30"/>
        <v>0</v>
      </c>
      <c r="AP219" s="614"/>
      <c r="AQ219" s="308"/>
      <c r="AR219" s="954" t="s">
        <v>858</v>
      </c>
      <c r="AS219" s="955"/>
      <c r="AT219" s="955"/>
      <c r="AU219" s="955"/>
      <c r="AV219" s="955"/>
      <c r="AW219" s="637" t="s">
        <v>859</v>
      </c>
      <c r="AX219" s="317">
        <f t="shared" si="16"/>
        <v>0</v>
      </c>
      <c r="AY219" s="530"/>
      <c r="BA219" s="311"/>
      <c r="BC219" s="625"/>
      <c r="BD219" s="625"/>
      <c r="BE219" s="625"/>
      <c r="BF219" s="625"/>
    </row>
    <row r="220" spans="1:58" ht="17.25" customHeight="1" x14ac:dyDescent="0.25">
      <c r="A220" s="587"/>
      <c r="B220" s="587"/>
      <c r="C220" s="587"/>
      <c r="D220" s="587"/>
      <c r="E220" s="587"/>
      <c r="F220" s="588"/>
      <c r="J220" s="589"/>
      <c r="K220" s="589"/>
      <c r="M220" s="268"/>
      <c r="N220" s="587"/>
      <c r="O220" s="587"/>
      <c r="P220" s="587"/>
      <c r="Q220" s="587"/>
      <c r="R220" s="587"/>
      <c r="S220" s="588"/>
      <c r="W220" s="589"/>
      <c r="X220" s="589"/>
      <c r="AA220" s="324"/>
      <c r="AC220" s="442" t="s">
        <v>860</v>
      </c>
      <c r="AD220" s="638" t="s">
        <v>861</v>
      </c>
      <c r="AE220" s="332">
        <f t="shared" si="40"/>
        <v>0</v>
      </c>
      <c r="AF220" s="333" t="str">
        <f t="shared" si="41"/>
        <v/>
      </c>
      <c r="AI220" s="914" t="s">
        <v>862</v>
      </c>
      <c r="AJ220" s="915"/>
      <c r="AK220" s="915"/>
      <c r="AL220" s="915"/>
      <c r="AM220" s="915"/>
      <c r="AN220" s="465" t="s">
        <v>863</v>
      </c>
      <c r="AO220" s="317">
        <f t="shared" si="30"/>
        <v>0</v>
      </c>
      <c r="AP220" s="614"/>
      <c r="AQ220" s="308"/>
      <c r="AR220" s="954" t="s">
        <v>864</v>
      </c>
      <c r="AS220" s="955"/>
      <c r="AT220" s="955"/>
      <c r="AU220" s="955"/>
      <c r="AV220" s="955"/>
      <c r="AW220" s="639" t="s">
        <v>865</v>
      </c>
      <c r="AX220" s="317">
        <f t="shared" si="16"/>
        <v>0</v>
      </c>
      <c r="AY220" s="530"/>
      <c r="BA220" s="311"/>
      <c r="BC220" s="632"/>
      <c r="BD220" s="632"/>
      <c r="BE220" s="632"/>
      <c r="BF220" s="632"/>
    </row>
    <row r="221" spans="1:58" ht="17.25" customHeight="1" x14ac:dyDescent="0.25">
      <c r="A221" s="983" t="s">
        <v>866</v>
      </c>
      <c r="B221" s="984"/>
      <c r="C221" s="984"/>
      <c r="D221" s="984"/>
      <c r="E221" s="985"/>
      <c r="F221" s="591"/>
      <c r="G221" s="986"/>
      <c r="H221" s="986"/>
      <c r="I221" s="987"/>
      <c r="J221" s="592" t="s">
        <v>351</v>
      </c>
      <c r="K221" s="593" t="s">
        <v>352</v>
      </c>
      <c r="L221" s="592" t="s">
        <v>353</v>
      </c>
      <c r="M221" s="268"/>
      <c r="N221" s="983" t="s">
        <v>866</v>
      </c>
      <c r="O221" s="984"/>
      <c r="P221" s="984"/>
      <c r="Q221" s="984"/>
      <c r="R221" s="985"/>
      <c r="S221" s="591"/>
      <c r="T221" s="986"/>
      <c r="U221" s="986"/>
      <c r="V221" s="987"/>
      <c r="W221" s="592" t="s">
        <v>351</v>
      </c>
      <c r="X221" s="593" t="s">
        <v>352</v>
      </c>
      <c r="Y221" s="592" t="s">
        <v>353</v>
      </c>
      <c r="AA221" s="324"/>
      <c r="AC221" s="442" t="s">
        <v>867</v>
      </c>
      <c r="AD221" s="640" t="s">
        <v>867</v>
      </c>
      <c r="AE221" s="332">
        <f t="shared" si="40"/>
        <v>0</v>
      </c>
      <c r="AF221" s="333" t="str">
        <f t="shared" si="41"/>
        <v/>
      </c>
      <c r="AI221" s="914" t="s">
        <v>868</v>
      </c>
      <c r="AJ221" s="915"/>
      <c r="AK221" s="915"/>
      <c r="AL221" s="915"/>
      <c r="AM221" s="915"/>
      <c r="AN221" s="478" t="s">
        <v>869</v>
      </c>
      <c r="AO221" s="317">
        <f t="shared" si="30"/>
        <v>0</v>
      </c>
      <c r="AP221" s="614"/>
      <c r="AQ221" s="308"/>
      <c r="AR221" s="954" t="s">
        <v>870</v>
      </c>
      <c r="AS221" s="955"/>
      <c r="AT221" s="955"/>
      <c r="AU221" s="955"/>
      <c r="AV221" s="955"/>
      <c r="AW221" s="641" t="s">
        <v>871</v>
      </c>
      <c r="AX221" s="317">
        <f t="shared" si="16"/>
        <v>0</v>
      </c>
      <c r="AY221" s="530"/>
      <c r="BA221" s="311"/>
    </row>
    <row r="222" spans="1:58" ht="17.25" customHeight="1" x14ac:dyDescent="0.25">
      <c r="A222" s="978" t="s">
        <v>58</v>
      </c>
      <c r="B222" s="979"/>
      <c r="C222" s="980"/>
      <c r="D222" s="981"/>
      <c r="E222" s="982"/>
      <c r="F222" s="7" t="s">
        <v>59</v>
      </c>
      <c r="G222" s="926">
        <f>COUNTIF($A$4:$M$42,F222)+COUNTIF($A$43:$O$81,F222)+COUNTIF($N$4:$T$19,F222)+COUNTIF($O$20:$S$23,F222)+COUNTIF($N$24:$Q$25,F222)+COUNTIF($N$26:$P$26,F222)+COUNTIF($P$42,F222)+COUNTIF($T$21:$T$22,F222)+COUNTIF($R$24,F222)+COUNTIF($N$27:$O$28,F222)</f>
        <v>0</v>
      </c>
      <c r="H222" s="927"/>
      <c r="I222" s="928"/>
      <c r="J222" s="354">
        <v>0</v>
      </c>
      <c r="K222" s="355">
        <v>0</v>
      </c>
      <c r="L222" s="356">
        <f t="shared" ref="L222:L224" si="44">G222-K222-J222</f>
        <v>0</v>
      </c>
      <c r="M222" s="268"/>
      <c r="N222" s="978" t="s">
        <v>58</v>
      </c>
      <c r="O222" s="979"/>
      <c r="P222" s="980"/>
      <c r="Q222" s="981"/>
      <c r="R222" s="982"/>
      <c r="S222" s="7" t="s">
        <v>59</v>
      </c>
      <c r="T222" s="929">
        <f>COUNTIF($T$23:$BI$73,S222)+COUNTIF($N$29:$S$39,S222)+COUNTIF($P$47:$S$68,S222)+COUNTIF($Q$40:$S$42,S222)+COUNTIF($P$27:$S$28,S222)+COUNTIF($R$25:$S$25,S222)+COUNTIF($S$24:$S$24,S222)</f>
        <v>0</v>
      </c>
      <c r="U222" s="929"/>
      <c r="V222" s="929"/>
      <c r="W222" s="354">
        <v>0</v>
      </c>
      <c r="X222" s="355">
        <v>0</v>
      </c>
      <c r="Y222" s="356">
        <f t="shared" ref="Y222:Y224" si="45">T222-X222-W222</f>
        <v>0</v>
      </c>
      <c r="Z222" s="357">
        <f t="shared" ref="Z222:Z225" si="46">T222+G222</f>
        <v>0</v>
      </c>
      <c r="AA222" s="324"/>
      <c r="AC222" s="442" t="s">
        <v>872</v>
      </c>
      <c r="AD222" s="379" t="s">
        <v>195</v>
      </c>
      <c r="AE222" s="332">
        <f t="shared" si="40"/>
        <v>0</v>
      </c>
      <c r="AF222" s="333" t="str">
        <f t="shared" si="41"/>
        <v/>
      </c>
      <c r="AI222" s="914" t="s">
        <v>873</v>
      </c>
      <c r="AJ222" s="915"/>
      <c r="AK222" s="915"/>
      <c r="AL222" s="915"/>
      <c r="AM222" s="915"/>
      <c r="AN222" s="626" t="s">
        <v>874</v>
      </c>
      <c r="AO222" s="317">
        <f t="shared" si="30"/>
        <v>0</v>
      </c>
      <c r="AP222" s="614"/>
      <c r="AQ222" s="308"/>
      <c r="AR222" s="954" t="s">
        <v>875</v>
      </c>
      <c r="AS222" s="955"/>
      <c r="AT222" s="955"/>
      <c r="AU222" s="955"/>
      <c r="AV222" s="955"/>
      <c r="AW222" s="478" t="s">
        <v>876</v>
      </c>
      <c r="AX222" s="317">
        <f t="shared" si="16"/>
        <v>0</v>
      </c>
      <c r="AY222" s="530"/>
      <c r="BA222" s="311"/>
      <c r="BC222" s="625"/>
      <c r="BD222" s="625"/>
      <c r="BE222" s="625"/>
      <c r="BF222" s="625"/>
    </row>
    <row r="223" spans="1:58" ht="17.25" customHeight="1" x14ac:dyDescent="0.25">
      <c r="A223" s="978" t="s">
        <v>60</v>
      </c>
      <c r="B223" s="979"/>
      <c r="C223" s="980"/>
      <c r="D223" s="981"/>
      <c r="E223" s="982"/>
      <c r="F223" s="8" t="s">
        <v>61</v>
      </c>
      <c r="G223" s="926">
        <f>COUNTIF($A$4:$M$42,F223)+COUNTIF($A$43:$O$81,F223)+COUNTIF($N$4:$T$19,F223)+COUNTIF($O$20:$S$23,F223)+COUNTIF($N$24:$Q$25,F223)+COUNTIF($N$26:$P$26,F223)+COUNTIF($P$42,F223)+COUNTIF($T$21:$T$22,F223)+COUNTIF($R$24,F223)+COUNTIF($N$27:$O$28,F223)</f>
        <v>0</v>
      </c>
      <c r="H223" s="927"/>
      <c r="I223" s="928"/>
      <c r="J223" s="354">
        <v>0</v>
      </c>
      <c r="K223" s="355">
        <v>0</v>
      </c>
      <c r="L223" s="356">
        <f t="shared" si="44"/>
        <v>0</v>
      </c>
      <c r="M223" s="268"/>
      <c r="N223" s="978" t="s">
        <v>60</v>
      </c>
      <c r="O223" s="979"/>
      <c r="P223" s="980"/>
      <c r="Q223" s="981"/>
      <c r="R223" s="982"/>
      <c r="S223" s="8" t="s">
        <v>61</v>
      </c>
      <c r="T223" s="929">
        <f>COUNTIF($T$23:$BI$73,S223)+COUNTIF($N$29:$S$39,S223)+COUNTIF($P$47:$S$68,S223)+COUNTIF($Q$40:$S$42,S223)+COUNTIF($P$27:$S$28,S223)+COUNTIF($R$25:$S$25,S223)+COUNTIF($S$24:$S$24,S223)</f>
        <v>0</v>
      </c>
      <c r="U223" s="929"/>
      <c r="V223" s="929"/>
      <c r="W223" s="354">
        <v>0</v>
      </c>
      <c r="X223" s="355">
        <v>0</v>
      </c>
      <c r="Y223" s="356">
        <f t="shared" si="45"/>
        <v>0</v>
      </c>
      <c r="Z223" s="357">
        <f t="shared" si="46"/>
        <v>0</v>
      </c>
      <c r="AA223" s="324"/>
      <c r="AC223" s="442" t="s">
        <v>877</v>
      </c>
      <c r="AD223" s="563" t="s">
        <v>878</v>
      </c>
      <c r="AE223" s="332">
        <f t="shared" si="40"/>
        <v>0</v>
      </c>
      <c r="AF223" s="333" t="str">
        <f t="shared" si="41"/>
        <v/>
      </c>
      <c r="AI223" s="914" t="s">
        <v>879</v>
      </c>
      <c r="AJ223" s="915"/>
      <c r="AK223" s="915"/>
      <c r="AL223" s="915"/>
      <c r="AM223" s="915"/>
      <c r="AN223" s="642" t="s">
        <v>880</v>
      </c>
      <c r="AO223" s="317">
        <f t="shared" si="30"/>
        <v>0</v>
      </c>
      <c r="AP223" s="614"/>
      <c r="AQ223" s="308"/>
      <c r="AR223" s="954" t="s">
        <v>881</v>
      </c>
      <c r="AS223" s="955"/>
      <c r="AT223" s="955"/>
      <c r="AU223" s="955"/>
      <c r="AV223" s="955"/>
      <c r="AW223" s="643" t="s">
        <v>882</v>
      </c>
      <c r="AX223" s="317">
        <f t="shared" si="16"/>
        <v>0</v>
      </c>
      <c r="AY223" s="530"/>
      <c r="BA223" s="311"/>
      <c r="BC223" s="627"/>
      <c r="BD223" s="627"/>
      <c r="BE223" s="627"/>
      <c r="BF223" s="627"/>
    </row>
    <row r="224" spans="1:58" ht="17.25" customHeight="1" x14ac:dyDescent="0.25">
      <c r="A224" s="978" t="s">
        <v>62</v>
      </c>
      <c r="B224" s="979"/>
      <c r="C224" s="980"/>
      <c r="D224" s="981"/>
      <c r="E224" s="982"/>
      <c r="F224" s="9" t="s">
        <v>63</v>
      </c>
      <c r="G224" s="926">
        <f>COUNTIF($A$4:$M$42,F224)+COUNTIF($A$43:$O$81,F224)+COUNTIF($N$4:$T$19,F224)+COUNTIF($O$20:$S$23,F224)+COUNTIF($N$24:$Q$25,F224)+COUNTIF($N$26:$P$26,F224)+COUNTIF($P$42,F224)+COUNTIF($T$21:$T$22,F224)+COUNTIF($R$24,F224)+COUNTIF($N$27:$O$28,F224)</f>
        <v>0</v>
      </c>
      <c r="H224" s="927"/>
      <c r="I224" s="928"/>
      <c r="J224" s="354">
        <v>0</v>
      </c>
      <c r="K224" s="355">
        <v>0</v>
      </c>
      <c r="L224" s="356">
        <f t="shared" si="44"/>
        <v>0</v>
      </c>
      <c r="M224" s="268"/>
      <c r="N224" s="978" t="s">
        <v>62</v>
      </c>
      <c r="O224" s="979"/>
      <c r="P224" s="980"/>
      <c r="Q224" s="981"/>
      <c r="R224" s="982"/>
      <c r="S224" s="9" t="s">
        <v>63</v>
      </c>
      <c r="T224" s="929">
        <f>COUNTIF($T$23:$BI$73,S224)+COUNTIF($N$29:$S$39,S224)+COUNTIF($P$47:$S$68,S224)+COUNTIF($Q$40:$S$42,S224)+COUNTIF($P$27:$S$28,S224)+COUNTIF($R$25:$S$25,S224)+COUNTIF($S$24:$S$24,S224)</f>
        <v>0</v>
      </c>
      <c r="U224" s="929"/>
      <c r="V224" s="929"/>
      <c r="W224" s="354">
        <v>0</v>
      </c>
      <c r="X224" s="355">
        <v>0</v>
      </c>
      <c r="Y224" s="356">
        <f t="shared" si="45"/>
        <v>0</v>
      </c>
      <c r="Z224" s="357">
        <f t="shared" si="46"/>
        <v>0</v>
      </c>
      <c r="AA224" s="324"/>
      <c r="AC224" s="442" t="s">
        <v>883</v>
      </c>
      <c r="AD224" s="644" t="s">
        <v>884</v>
      </c>
      <c r="AE224" s="332">
        <f t="shared" si="40"/>
        <v>0</v>
      </c>
      <c r="AF224" s="333" t="str">
        <f t="shared" si="41"/>
        <v/>
      </c>
      <c r="AI224" s="914" t="s">
        <v>885</v>
      </c>
      <c r="AJ224" s="915"/>
      <c r="AK224" s="915"/>
      <c r="AL224" s="915"/>
      <c r="AM224" s="915"/>
      <c r="AN224" s="645" t="s">
        <v>886</v>
      </c>
      <c r="AO224" s="317">
        <f t="shared" si="30"/>
        <v>0</v>
      </c>
      <c r="AP224" s="614"/>
      <c r="AQ224" s="308"/>
      <c r="AR224" s="951" t="s">
        <v>887</v>
      </c>
      <c r="AS224" s="952"/>
      <c r="AT224" s="952"/>
      <c r="AU224" s="952"/>
      <c r="AV224" s="953"/>
      <c r="AW224" s="501"/>
      <c r="AX224" s="502">
        <f>SUM(AX170:AX223)</f>
        <v>0</v>
      </c>
      <c r="AY224" s="308"/>
      <c r="BA224" s="311"/>
      <c r="BC224" s="625"/>
      <c r="BD224" s="625"/>
      <c r="BE224" s="625"/>
      <c r="BF224" s="625"/>
    </row>
    <row r="225" spans="1:58" ht="17.25" customHeight="1" x14ac:dyDescent="0.25">
      <c r="A225" s="975" t="s">
        <v>888</v>
      </c>
      <c r="B225" s="976"/>
      <c r="C225" s="976"/>
      <c r="D225" s="976"/>
      <c r="E225" s="976"/>
      <c r="F225" s="588"/>
      <c r="G225" s="977">
        <f t="shared" ref="G225" si="47">SUM(G222:I224)</f>
        <v>0</v>
      </c>
      <c r="H225" s="977"/>
      <c r="I225" s="977"/>
      <c r="J225" s="603">
        <f t="shared" ref="J225:L225" si="48">SUM(J222:L224)</f>
        <v>0</v>
      </c>
      <c r="K225" s="604">
        <f t="shared" si="48"/>
        <v>0</v>
      </c>
      <c r="L225" s="356">
        <f t="shared" si="48"/>
        <v>0</v>
      </c>
      <c r="M225" s="268"/>
      <c r="N225" s="975" t="s">
        <v>888</v>
      </c>
      <c r="O225" s="976"/>
      <c r="P225" s="976"/>
      <c r="Q225" s="976"/>
      <c r="R225" s="976"/>
      <c r="S225" s="588"/>
      <c r="T225" s="977">
        <f t="shared" ref="T225" si="49">SUM(T222:V224)</f>
        <v>0</v>
      </c>
      <c r="U225" s="977"/>
      <c r="V225" s="977"/>
      <c r="W225" s="603">
        <f t="shared" ref="W225:X225" si="50">SUM(W222:Y224)</f>
        <v>0</v>
      </c>
      <c r="X225" s="604">
        <f t="shared" si="50"/>
        <v>0</v>
      </c>
      <c r="Y225" s="356">
        <f>SUM(Y218:AA220)</f>
        <v>0</v>
      </c>
      <c r="Z225" s="357">
        <f t="shared" si="46"/>
        <v>0</v>
      </c>
      <c r="AA225" s="324"/>
      <c r="AI225" s="914" t="s">
        <v>889</v>
      </c>
      <c r="AJ225" s="915"/>
      <c r="AK225" s="915"/>
      <c r="AL225" s="915"/>
      <c r="AM225" s="915"/>
      <c r="AN225" s="565" t="s">
        <v>890</v>
      </c>
      <c r="AO225" s="317">
        <f t="shared" si="30"/>
        <v>0</v>
      </c>
      <c r="AP225" s="614"/>
      <c r="AQ225" s="308"/>
      <c r="AR225" s="308"/>
      <c r="AS225" s="308"/>
      <c r="AT225" s="308"/>
      <c r="AU225" s="308"/>
      <c r="AV225" s="308"/>
      <c r="AW225" s="308"/>
      <c r="AX225" s="308"/>
      <c r="AY225" s="308"/>
      <c r="BA225" s="311"/>
      <c r="BC225" s="632"/>
      <c r="BD225" s="632"/>
      <c r="BE225" s="632"/>
      <c r="BF225" s="632"/>
    </row>
    <row r="226" spans="1:58" ht="17.25" customHeight="1" x14ac:dyDescent="0.25">
      <c r="M226" s="268"/>
      <c r="AA226" s="324"/>
      <c r="AI226" s="914" t="s">
        <v>891</v>
      </c>
      <c r="AJ226" s="915"/>
      <c r="AK226" s="915"/>
      <c r="AL226" s="915"/>
      <c r="AM226" s="915"/>
      <c r="AN226" s="646" t="s">
        <v>892</v>
      </c>
      <c r="AO226" s="317">
        <f t="shared" si="30"/>
        <v>0</v>
      </c>
      <c r="AP226" s="614"/>
      <c r="AQ226" s="308"/>
      <c r="AR226" s="907" t="s">
        <v>397</v>
      </c>
      <c r="AS226" s="908"/>
      <c r="AT226" s="908"/>
      <c r="AU226" s="908"/>
      <c r="AV226" s="908"/>
      <c r="AW226" s="904"/>
      <c r="AX226" s="309" t="s">
        <v>299</v>
      </c>
      <c r="AY226" s="310"/>
      <c r="BA226" s="311"/>
    </row>
    <row r="227" spans="1:58" ht="17.25" customHeight="1" x14ac:dyDescent="0.25">
      <c r="M227" s="268"/>
      <c r="AA227" s="324"/>
      <c r="AI227" s="914" t="s">
        <v>893</v>
      </c>
      <c r="AJ227" s="915"/>
      <c r="AK227" s="915"/>
      <c r="AL227" s="915"/>
      <c r="AM227" s="915"/>
      <c r="AN227" s="646" t="s">
        <v>894</v>
      </c>
      <c r="AO227" s="317">
        <f t="shared" si="30"/>
        <v>0</v>
      </c>
      <c r="AP227" s="614"/>
      <c r="AQ227" s="308"/>
      <c r="AR227" s="954" t="s">
        <v>895</v>
      </c>
      <c r="AS227" s="955"/>
      <c r="AT227" s="955"/>
      <c r="AU227" s="955"/>
      <c r="AV227" s="955"/>
      <c r="AW227" s="647" t="s">
        <v>896</v>
      </c>
      <c r="AX227" s="317">
        <f t="shared" ref="AX227:AX264" si="51">COUNTIF($A$1:$GO$103,AW227)</f>
        <v>0</v>
      </c>
      <c r="AY227" s="648"/>
      <c r="BA227" s="311"/>
      <c r="BC227" s="625"/>
      <c r="BD227" s="625"/>
      <c r="BE227" s="625"/>
      <c r="BF227" s="625"/>
    </row>
    <row r="228" spans="1:58" ht="17.25" customHeight="1" x14ac:dyDescent="0.25">
      <c r="A228" s="972" t="s">
        <v>897</v>
      </c>
      <c r="B228" s="973"/>
      <c r="C228" s="973"/>
      <c r="D228" s="973"/>
      <c r="E228" s="973"/>
      <c r="F228" s="441"/>
      <c r="G228" s="974">
        <f>G195+G152+G176+G225+G218+G210+G203+G172</f>
        <v>0</v>
      </c>
      <c r="H228" s="974"/>
      <c r="I228" s="974"/>
      <c r="J228" s="649">
        <f>J195+J152+J176+J225+J218+J210+J203+J172</f>
        <v>0</v>
      </c>
      <c r="K228" s="440">
        <f>K195+K152+K176+K225+K218+K210+K203+K172</f>
        <v>0</v>
      </c>
      <c r="L228" s="356">
        <f>L195+L152+L176+L225+L218+L210+L203+L172</f>
        <v>0</v>
      </c>
      <c r="M228" s="324"/>
      <c r="N228" s="972" t="s">
        <v>897</v>
      </c>
      <c r="O228" s="973"/>
      <c r="P228" s="973"/>
      <c r="Q228" s="973"/>
      <c r="R228" s="973"/>
      <c r="S228" s="441"/>
      <c r="T228" s="974">
        <f>T195+T152+T176+T225+T218+T210+T203+T172</f>
        <v>0</v>
      </c>
      <c r="U228" s="974"/>
      <c r="V228" s="974"/>
      <c r="W228" s="649">
        <f>W195+W152+W176+W225+W218+W210+W203+W172</f>
        <v>0</v>
      </c>
      <c r="X228" s="440">
        <f>X195+X152+X176+X225+X218+X210+X203+X172</f>
        <v>0</v>
      </c>
      <c r="Y228" s="356">
        <f>Y195+Y152+Y176+Y225+Y218+Y210+Y203+Y172</f>
        <v>0</v>
      </c>
      <c r="Z228" s="357">
        <f>T228+G228</f>
        <v>0</v>
      </c>
      <c r="AA228" s="324"/>
      <c r="AI228" s="914" t="s">
        <v>898</v>
      </c>
      <c r="AJ228" s="915"/>
      <c r="AK228" s="915"/>
      <c r="AL228" s="915"/>
      <c r="AM228" s="915"/>
      <c r="AN228" s="650" t="s">
        <v>899</v>
      </c>
      <c r="AO228" s="317">
        <f t="shared" si="30"/>
        <v>0</v>
      </c>
      <c r="AP228" s="614"/>
      <c r="AQ228" s="308"/>
      <c r="AR228" s="954" t="s">
        <v>900</v>
      </c>
      <c r="AS228" s="955"/>
      <c r="AT228" s="955"/>
      <c r="AU228" s="955"/>
      <c r="AV228" s="955"/>
      <c r="AW228" s="412" t="s">
        <v>901</v>
      </c>
      <c r="AX228" s="317">
        <f t="shared" si="51"/>
        <v>0</v>
      </c>
      <c r="AY228" s="648"/>
      <c r="BA228" s="311"/>
      <c r="BC228" s="625"/>
      <c r="BD228" s="625"/>
      <c r="BE228" s="625"/>
      <c r="BF228" s="625"/>
    </row>
    <row r="229" spans="1:58" ht="17.25" customHeight="1" x14ac:dyDescent="0.25">
      <c r="M229" s="268"/>
      <c r="AA229" s="324"/>
      <c r="AI229" s="914" t="s">
        <v>902</v>
      </c>
      <c r="AJ229" s="915"/>
      <c r="AK229" s="915"/>
      <c r="AL229" s="915"/>
      <c r="AM229" s="915"/>
      <c r="AN229" s="651" t="s">
        <v>903</v>
      </c>
      <c r="AO229" s="317">
        <f t="shared" si="30"/>
        <v>0</v>
      </c>
      <c r="AP229" s="614"/>
      <c r="AQ229" s="308"/>
      <c r="AR229" s="954" t="s">
        <v>904</v>
      </c>
      <c r="AS229" s="955"/>
      <c r="AT229" s="955"/>
      <c r="AU229" s="955"/>
      <c r="AV229" s="955"/>
      <c r="AW229" s="652" t="s">
        <v>905</v>
      </c>
      <c r="AX229" s="317">
        <f t="shared" si="51"/>
        <v>0</v>
      </c>
      <c r="AY229" s="648"/>
      <c r="BA229" s="311"/>
      <c r="BB229" s="653"/>
      <c r="BC229" s="632"/>
      <c r="BD229" s="632"/>
      <c r="BE229" s="632"/>
      <c r="BF229" s="632"/>
    </row>
    <row r="230" spans="1:58" ht="17.25" customHeight="1" x14ac:dyDescent="0.25">
      <c r="M230" s="268"/>
      <c r="AA230" s="324"/>
      <c r="AI230" s="914" t="s">
        <v>906</v>
      </c>
      <c r="AJ230" s="915"/>
      <c r="AK230" s="915"/>
      <c r="AL230" s="915"/>
      <c r="AM230" s="915"/>
      <c r="AN230" s="396" t="s">
        <v>906</v>
      </c>
      <c r="AO230" s="317">
        <f t="shared" si="30"/>
        <v>0</v>
      </c>
      <c r="AP230" s="614"/>
      <c r="AQ230" s="308"/>
      <c r="AR230" s="954" t="s">
        <v>907</v>
      </c>
      <c r="AS230" s="955"/>
      <c r="AT230" s="955"/>
      <c r="AU230" s="955"/>
      <c r="AV230" s="955"/>
      <c r="AW230" s="654" t="s">
        <v>908</v>
      </c>
      <c r="AX230" s="317">
        <f t="shared" si="51"/>
        <v>0</v>
      </c>
      <c r="AY230" s="648"/>
      <c r="BA230" s="311"/>
      <c r="BB230" s="10"/>
    </row>
    <row r="231" spans="1:58" ht="17.25" customHeight="1" x14ac:dyDescent="0.25">
      <c r="M231" s="268"/>
      <c r="AA231" s="324"/>
      <c r="AI231" s="914" t="s">
        <v>909</v>
      </c>
      <c r="AJ231" s="915"/>
      <c r="AK231" s="915"/>
      <c r="AL231" s="915"/>
      <c r="AM231" s="915"/>
      <c r="AN231" s="655" t="s">
        <v>910</v>
      </c>
      <c r="AO231" s="317">
        <f t="shared" si="30"/>
        <v>0</v>
      </c>
      <c r="AP231" s="614"/>
      <c r="AQ231" s="308"/>
      <c r="AR231" s="954" t="s">
        <v>911</v>
      </c>
      <c r="AS231" s="955"/>
      <c r="AT231" s="955"/>
      <c r="AU231" s="955"/>
      <c r="AV231" s="955"/>
      <c r="AW231" s="656" t="s">
        <v>912</v>
      </c>
      <c r="AX231" s="317">
        <f t="shared" si="51"/>
        <v>0</v>
      </c>
      <c r="AY231" s="648"/>
      <c r="BA231" s="311"/>
      <c r="BB231" s="653"/>
      <c r="BC231" s="625"/>
      <c r="BD231" s="625"/>
      <c r="BE231" s="625"/>
      <c r="BF231" s="625"/>
    </row>
    <row r="232" spans="1:58" ht="17.25" customHeight="1" x14ac:dyDescent="0.25">
      <c r="A232" s="971" t="s">
        <v>913</v>
      </c>
      <c r="B232" s="971"/>
      <c r="C232" s="971"/>
      <c r="D232" s="971"/>
      <c r="E232" s="971"/>
      <c r="F232" s="971"/>
      <c r="G232" s="971"/>
      <c r="H232" s="971"/>
      <c r="I232" s="971"/>
      <c r="J232" s="971"/>
      <c r="K232" s="971"/>
      <c r="L232" s="971"/>
      <c r="M232" s="971"/>
      <c r="N232" s="971"/>
      <c r="O232" s="971"/>
      <c r="P232" s="971"/>
      <c r="Q232" s="971"/>
      <c r="R232" s="971"/>
      <c r="S232" s="971"/>
      <c r="T232" s="971"/>
      <c r="U232" s="971"/>
      <c r="V232" s="971"/>
      <c r="W232" s="971"/>
      <c r="X232" s="971"/>
      <c r="Y232" s="971"/>
      <c r="Z232" s="971"/>
      <c r="AA232" s="324"/>
      <c r="AI232" s="914" t="s">
        <v>914</v>
      </c>
      <c r="AJ232" s="915"/>
      <c r="AK232" s="915"/>
      <c r="AL232" s="915"/>
      <c r="AM232" s="915"/>
      <c r="AN232" s="657" t="s">
        <v>915</v>
      </c>
      <c r="AO232" s="317">
        <f t="shared" si="30"/>
        <v>0</v>
      </c>
      <c r="AP232" s="614"/>
      <c r="AQ232" s="308"/>
      <c r="AR232" s="954" t="s">
        <v>916</v>
      </c>
      <c r="AS232" s="955"/>
      <c r="AT232" s="955"/>
      <c r="AU232" s="955"/>
      <c r="AV232" s="955"/>
      <c r="AW232" s="658" t="s">
        <v>917</v>
      </c>
      <c r="AX232" s="317">
        <f t="shared" si="51"/>
        <v>0</v>
      </c>
      <c r="AY232" s="648"/>
      <c r="BA232" s="311"/>
      <c r="BB232" s="653"/>
      <c r="BC232" s="627"/>
      <c r="BD232" s="627"/>
      <c r="BE232" s="627"/>
      <c r="BF232" s="627"/>
    </row>
    <row r="233" spans="1:58" ht="17.25" customHeight="1" x14ac:dyDescent="0.25">
      <c r="A233" s="971"/>
      <c r="B233" s="971"/>
      <c r="C233" s="971"/>
      <c r="D233" s="971"/>
      <c r="E233" s="971"/>
      <c r="F233" s="971"/>
      <c r="G233" s="971"/>
      <c r="H233" s="971"/>
      <c r="I233" s="971"/>
      <c r="J233" s="971"/>
      <c r="K233" s="971"/>
      <c r="L233" s="971"/>
      <c r="M233" s="971"/>
      <c r="N233" s="971"/>
      <c r="O233" s="971"/>
      <c r="P233" s="971"/>
      <c r="Q233" s="971"/>
      <c r="R233" s="971"/>
      <c r="S233" s="971"/>
      <c r="T233" s="971"/>
      <c r="U233" s="971"/>
      <c r="V233" s="971"/>
      <c r="W233" s="971"/>
      <c r="X233" s="971"/>
      <c r="Y233" s="971"/>
      <c r="Z233" s="971"/>
      <c r="AA233" s="324" t="b">
        <f>IFERROR(#REF!&gt;0.5,FALSE)</f>
        <v>0</v>
      </c>
      <c r="AI233" s="914" t="s">
        <v>918</v>
      </c>
      <c r="AJ233" s="915"/>
      <c r="AK233" s="915"/>
      <c r="AL233" s="915"/>
      <c r="AM233" s="915"/>
      <c r="AN233" s="659" t="s">
        <v>919</v>
      </c>
      <c r="AO233" s="317">
        <f t="shared" si="30"/>
        <v>0</v>
      </c>
      <c r="AP233" s="614"/>
      <c r="AQ233" s="308"/>
      <c r="AR233" s="954" t="s">
        <v>920</v>
      </c>
      <c r="AS233" s="955"/>
      <c r="AT233" s="955"/>
      <c r="AU233" s="955"/>
      <c r="AV233" s="955"/>
      <c r="AW233" s="658" t="s">
        <v>921</v>
      </c>
      <c r="AX233" s="317">
        <f t="shared" si="51"/>
        <v>0</v>
      </c>
      <c r="AY233" s="648"/>
      <c r="BA233" s="311"/>
      <c r="BC233" s="625"/>
      <c r="BD233" s="625"/>
      <c r="BE233" s="625"/>
      <c r="BF233" s="625"/>
    </row>
    <row r="234" spans="1:58" ht="17.25" customHeight="1" thickBot="1" x14ac:dyDescent="0.3">
      <c r="AA234" s="324" t="b">
        <f>IFERROR(#REF!&gt;0.5,FALSE)</f>
        <v>0</v>
      </c>
      <c r="AI234" s="914" t="s">
        <v>922</v>
      </c>
      <c r="AJ234" s="915"/>
      <c r="AK234" s="915"/>
      <c r="AL234" s="915"/>
      <c r="AM234" s="915"/>
      <c r="AN234" s="660" t="s">
        <v>923</v>
      </c>
      <c r="AO234" s="317">
        <f t="shared" si="30"/>
        <v>0</v>
      </c>
      <c r="AP234" s="614"/>
      <c r="AQ234" s="308"/>
      <c r="AR234" s="954" t="s">
        <v>924</v>
      </c>
      <c r="AS234" s="955"/>
      <c r="AT234" s="955"/>
      <c r="AU234" s="955"/>
      <c r="AV234" s="955"/>
      <c r="AW234" s="658" t="s">
        <v>925</v>
      </c>
      <c r="AX234" s="317">
        <f t="shared" si="51"/>
        <v>0</v>
      </c>
      <c r="AY234" s="648"/>
      <c r="BA234" s="311"/>
      <c r="BB234" s="653"/>
      <c r="BC234" s="632"/>
      <c r="BD234" s="632"/>
      <c r="BE234" s="632"/>
      <c r="BF234" s="632"/>
    </row>
    <row r="235" spans="1:58" ht="17.25" customHeight="1" thickBot="1" x14ac:dyDescent="0.3">
      <c r="A235" s="963" t="s">
        <v>926</v>
      </c>
      <c r="B235" s="964"/>
      <c r="C235" s="964"/>
      <c r="D235" s="964"/>
      <c r="E235" s="964"/>
      <c r="F235" s="964"/>
      <c r="G235" s="965"/>
      <c r="H235" s="661">
        <f>F237+S237</f>
        <v>1</v>
      </c>
      <c r="AA235" s="324"/>
      <c r="AI235" s="893" t="s">
        <v>927</v>
      </c>
      <c r="AJ235" s="894"/>
      <c r="AK235" s="894"/>
      <c r="AL235" s="894"/>
      <c r="AM235" s="895"/>
      <c r="AN235" s="501"/>
      <c r="AO235" s="502">
        <f>SUM(AO206:AO234)</f>
        <v>0</v>
      </c>
      <c r="AP235" s="308"/>
      <c r="AQ235" s="308"/>
      <c r="AR235" s="954" t="s">
        <v>928</v>
      </c>
      <c r="AS235" s="955"/>
      <c r="AT235" s="955"/>
      <c r="AU235" s="955"/>
      <c r="AV235" s="955"/>
      <c r="AW235" s="662" t="s">
        <v>929</v>
      </c>
      <c r="AX235" s="317">
        <f t="shared" si="51"/>
        <v>0</v>
      </c>
      <c r="AY235" s="648"/>
      <c r="BA235" s="311"/>
      <c r="BB235" s="10"/>
    </row>
    <row r="236" spans="1:58" ht="17.25" customHeight="1" thickBot="1" x14ac:dyDescent="0.3">
      <c r="AA236" s="324"/>
      <c r="AI236" s="663"/>
      <c r="AJ236" s="308"/>
      <c r="AK236" s="308"/>
      <c r="AL236" s="308"/>
      <c r="AM236" s="308"/>
      <c r="AN236" s="308"/>
      <c r="AO236" s="308"/>
      <c r="AP236" s="308"/>
      <c r="AQ236" s="308"/>
      <c r="AR236" s="954" t="s">
        <v>930</v>
      </c>
      <c r="AS236" s="955"/>
      <c r="AT236" s="955"/>
      <c r="AU236" s="955"/>
      <c r="AV236" s="955"/>
      <c r="AW236" s="393" t="s">
        <v>931</v>
      </c>
      <c r="AX236" s="317">
        <f t="shared" si="51"/>
        <v>0</v>
      </c>
      <c r="AY236" s="648"/>
      <c r="BA236" s="311"/>
      <c r="BB236" s="653"/>
      <c r="BC236" s="625"/>
      <c r="BD236" s="625"/>
      <c r="BE236" s="625"/>
      <c r="BF236" s="625"/>
    </row>
    <row r="237" spans="1:58" ht="17.25" customHeight="1" thickBot="1" x14ac:dyDescent="0.4">
      <c r="A237" s="966" t="s">
        <v>932</v>
      </c>
      <c r="B237" s="967"/>
      <c r="C237" s="967"/>
      <c r="D237" s="967"/>
      <c r="E237" s="968"/>
      <c r="F237" s="969">
        <f>SUM(G246,G261,G269,G273,G277)</f>
        <v>1</v>
      </c>
      <c r="G237" s="970"/>
      <c r="N237" s="966" t="s">
        <v>897</v>
      </c>
      <c r="O237" s="967"/>
      <c r="P237" s="967"/>
      <c r="Q237" s="967"/>
      <c r="R237" s="968"/>
      <c r="S237" s="969">
        <f>SUM(T246,T261,T269,T273,T277)</f>
        <v>0</v>
      </c>
      <c r="T237" s="970"/>
      <c r="AA237" s="324"/>
      <c r="AI237" s="663"/>
      <c r="AJ237" s="308"/>
      <c r="AK237" s="308"/>
      <c r="AL237" s="308"/>
      <c r="AM237" s="308"/>
      <c r="AN237" s="308"/>
      <c r="AO237" s="308"/>
      <c r="AQ237" s="308"/>
      <c r="AR237" s="954" t="s">
        <v>933</v>
      </c>
      <c r="AS237" s="955"/>
      <c r="AT237" s="955"/>
      <c r="AU237" s="955"/>
      <c r="AV237" s="955"/>
      <c r="AW237" s="664" t="s">
        <v>934</v>
      </c>
      <c r="AX237" s="317">
        <f t="shared" si="51"/>
        <v>0</v>
      </c>
      <c r="AY237" s="665"/>
      <c r="BA237" s="311"/>
      <c r="BB237" s="653"/>
      <c r="BC237" s="627"/>
      <c r="BD237" s="627"/>
      <c r="BE237" s="627"/>
      <c r="BF237" s="627"/>
    </row>
    <row r="238" spans="1:58" ht="17.25" customHeight="1" thickBot="1" x14ac:dyDescent="0.4">
      <c r="A238" s="666"/>
      <c r="B238" s="667"/>
      <c r="C238" s="667"/>
      <c r="D238" s="667"/>
      <c r="E238" s="668"/>
      <c r="F238" s="668"/>
      <c r="G238" s="668"/>
      <c r="Q238" s="668"/>
      <c r="AA238" s="324"/>
      <c r="AI238" s="918" t="s">
        <v>373</v>
      </c>
      <c r="AJ238" s="908"/>
      <c r="AK238" s="908"/>
      <c r="AL238" s="908"/>
      <c r="AM238" s="908"/>
      <c r="AN238" s="909"/>
      <c r="AO238" s="309" t="s">
        <v>299</v>
      </c>
      <c r="AP238" s="310"/>
      <c r="AQ238" s="308"/>
      <c r="AR238" s="954" t="s">
        <v>935</v>
      </c>
      <c r="AS238" s="955"/>
      <c r="AT238" s="955"/>
      <c r="AU238" s="955"/>
      <c r="AV238" s="955"/>
      <c r="AW238" s="669" t="s">
        <v>936</v>
      </c>
      <c r="AX238" s="317">
        <f t="shared" si="51"/>
        <v>0</v>
      </c>
      <c r="AY238" s="665"/>
      <c r="BA238" s="311"/>
      <c r="BC238" s="625"/>
      <c r="BD238" s="625"/>
      <c r="BE238" s="625"/>
      <c r="BF238" s="625"/>
    </row>
    <row r="239" spans="1:58" ht="17.25" customHeight="1" thickBot="1" x14ac:dyDescent="0.3">
      <c r="A239" s="930" t="s">
        <v>937</v>
      </c>
      <c r="B239" s="931"/>
      <c r="C239" s="931"/>
      <c r="D239" s="931"/>
      <c r="E239" s="932"/>
      <c r="G239" s="960"/>
      <c r="H239" s="960"/>
      <c r="I239" s="960"/>
      <c r="N239" s="930" t="s">
        <v>937</v>
      </c>
      <c r="O239" s="931"/>
      <c r="P239" s="931"/>
      <c r="Q239" s="931"/>
      <c r="R239" s="932"/>
      <c r="T239" s="960"/>
      <c r="U239" s="960"/>
      <c r="V239" s="960"/>
      <c r="AA239" s="324"/>
      <c r="AI239" s="914" t="s">
        <v>938</v>
      </c>
      <c r="AJ239" s="915"/>
      <c r="AK239" s="915"/>
      <c r="AL239" s="915"/>
      <c r="AM239" s="916"/>
      <c r="AN239" s="670" t="s">
        <v>939</v>
      </c>
      <c r="AO239" s="317">
        <f>COUNTIF($A$1:$GO$103,AN239)</f>
        <v>0</v>
      </c>
      <c r="AP239" s="671"/>
      <c r="AQ239" s="308"/>
      <c r="AR239" s="961" t="s">
        <v>940</v>
      </c>
      <c r="AS239" s="962"/>
      <c r="AT239" s="962"/>
      <c r="AU239" s="962"/>
      <c r="AV239" s="962"/>
      <c r="AW239" s="672" t="s">
        <v>941</v>
      </c>
      <c r="AX239" s="317">
        <f t="shared" si="51"/>
        <v>0</v>
      </c>
      <c r="AY239" s="665"/>
      <c r="BA239" s="311"/>
      <c r="BC239" s="632"/>
      <c r="BD239" s="632"/>
      <c r="BE239" s="632"/>
      <c r="BF239" s="632"/>
    </row>
    <row r="240" spans="1:58" ht="17.25" customHeight="1" x14ac:dyDescent="0.25">
      <c r="A240" s="957" t="s">
        <v>942</v>
      </c>
      <c r="B240" s="957"/>
      <c r="C240" s="957"/>
      <c r="D240" s="957"/>
      <c r="E240" s="957"/>
      <c r="F240" s="94" t="s">
        <v>943</v>
      </c>
      <c r="G240" s="926">
        <f t="shared" ref="G240:G245" si="52">COUNTIF($A$4:$M$42,F240)+COUNTIF($A$43:$O$81,F240)+COUNTIF($N$4:$T$19,F240)+COUNTIF($O$20:$S$23,F240)+COUNTIF($N$24:$Q$25,F240)+COUNTIF($N$26:$P$26,F240)+COUNTIF($P$42,F240)+COUNTIF($T$21:$T$22,F240)+COUNTIF($R$24,F240)+COUNTIF($N$27:$O$28,F240)</f>
        <v>0</v>
      </c>
      <c r="H240" s="927"/>
      <c r="I240" s="928"/>
      <c r="N240" s="957" t="s">
        <v>942</v>
      </c>
      <c r="O240" s="957"/>
      <c r="P240" s="957"/>
      <c r="Q240" s="957"/>
      <c r="R240" s="957"/>
      <c r="S240" s="94" t="s">
        <v>943</v>
      </c>
      <c r="T240" s="929">
        <f t="shared" ref="T240:T245" si="53">COUNTIF($T$23:$BI$73,S240)+COUNTIF($N$29:$S$39,S240)+COUNTIF($P$47:$S$68,S240)+COUNTIF($Q$40:$S$42,S240)+COUNTIF($P$27:$S$28,S240)+COUNTIF($R$25:$S$25,S240)+COUNTIF($S$24:$S$24,S240)</f>
        <v>0</v>
      </c>
      <c r="U240" s="929"/>
      <c r="V240" s="929"/>
      <c r="AA240" s="324"/>
      <c r="AI240" s="914" t="s">
        <v>944</v>
      </c>
      <c r="AJ240" s="915"/>
      <c r="AK240" s="915"/>
      <c r="AL240" s="915"/>
      <c r="AM240" s="916"/>
      <c r="AN240" s="673" t="s">
        <v>945</v>
      </c>
      <c r="AO240" s="317">
        <f>COUNTIF($A$1:$GO$103,AN240)</f>
        <v>0</v>
      </c>
      <c r="AP240" s="671"/>
      <c r="AQ240" s="308"/>
      <c r="AR240" s="954" t="s">
        <v>946</v>
      </c>
      <c r="AS240" s="955"/>
      <c r="AT240" s="955"/>
      <c r="AU240" s="955"/>
      <c r="AV240" s="955"/>
      <c r="AW240" s="600" t="s">
        <v>947</v>
      </c>
      <c r="AX240" s="317">
        <f t="shared" si="51"/>
        <v>0</v>
      </c>
      <c r="AY240" s="665"/>
      <c r="BA240" s="311"/>
      <c r="BB240" s="653"/>
    </row>
    <row r="241" spans="1:58" ht="17.25" customHeight="1" x14ac:dyDescent="0.25">
      <c r="A241" s="925" t="s">
        <v>948</v>
      </c>
      <c r="B241" s="925"/>
      <c r="C241" s="925"/>
      <c r="D241" s="925"/>
      <c r="E241" s="925"/>
      <c r="F241" s="94" t="s">
        <v>949</v>
      </c>
      <c r="G241" s="926">
        <f t="shared" si="52"/>
        <v>0</v>
      </c>
      <c r="H241" s="927"/>
      <c r="I241" s="928"/>
      <c r="N241" s="925" t="s">
        <v>948</v>
      </c>
      <c r="O241" s="925"/>
      <c r="P241" s="925"/>
      <c r="Q241" s="925"/>
      <c r="R241" s="925"/>
      <c r="S241" s="94" t="s">
        <v>949</v>
      </c>
      <c r="T241" s="929">
        <f t="shared" si="53"/>
        <v>0</v>
      </c>
      <c r="U241" s="929"/>
      <c r="V241" s="929"/>
      <c r="AA241" s="324" t="b">
        <f>IFERROR(#REF!&gt;0.5,FALSE)</f>
        <v>0</v>
      </c>
      <c r="AI241" s="893" t="s">
        <v>950</v>
      </c>
      <c r="AJ241" s="894"/>
      <c r="AK241" s="894"/>
      <c r="AL241" s="894"/>
      <c r="AM241" s="895"/>
      <c r="AN241" s="501"/>
      <c r="AO241" s="502">
        <f>SUM(AO239:AO240)</f>
        <v>0</v>
      </c>
      <c r="AP241" s="308"/>
      <c r="AQ241" s="308"/>
      <c r="AR241" s="954" t="s">
        <v>951</v>
      </c>
      <c r="AS241" s="955"/>
      <c r="AT241" s="955"/>
      <c r="AU241" s="955"/>
      <c r="AV241" s="955"/>
      <c r="AW241" s="674" t="s">
        <v>952</v>
      </c>
      <c r="AX241" s="317">
        <f t="shared" si="51"/>
        <v>0</v>
      </c>
      <c r="AY241" s="665"/>
      <c r="BA241" s="311"/>
      <c r="BB241" s="10"/>
      <c r="BC241" s="625"/>
      <c r="BD241" s="625"/>
      <c r="BE241" s="625"/>
      <c r="BF241" s="625"/>
    </row>
    <row r="242" spans="1:58" ht="17.25" customHeight="1" x14ac:dyDescent="0.25">
      <c r="A242" s="925" t="s">
        <v>953</v>
      </c>
      <c r="B242" s="925"/>
      <c r="C242" s="925"/>
      <c r="D242" s="925"/>
      <c r="E242" s="925"/>
      <c r="F242" s="94" t="s">
        <v>954</v>
      </c>
      <c r="G242" s="926">
        <f t="shared" si="52"/>
        <v>0</v>
      </c>
      <c r="H242" s="927"/>
      <c r="I242" s="928"/>
      <c r="N242" s="925" t="s">
        <v>953</v>
      </c>
      <c r="O242" s="925"/>
      <c r="P242" s="925"/>
      <c r="Q242" s="925"/>
      <c r="R242" s="925"/>
      <c r="S242" s="94" t="s">
        <v>954</v>
      </c>
      <c r="T242" s="929">
        <f t="shared" si="53"/>
        <v>0</v>
      </c>
      <c r="U242" s="929"/>
      <c r="V242" s="929"/>
      <c r="AA242" s="324" t="b">
        <f>IFERROR(#REF!&gt;0.5,FALSE)</f>
        <v>0</v>
      </c>
      <c r="AI242" s="663"/>
      <c r="AJ242" s="308"/>
      <c r="AK242" s="308"/>
      <c r="AL242" s="308"/>
      <c r="AM242" s="308"/>
      <c r="AN242" s="308"/>
      <c r="AO242" s="308"/>
      <c r="AP242" s="308"/>
      <c r="AQ242" s="308"/>
      <c r="AR242" s="954" t="s">
        <v>955</v>
      </c>
      <c r="AS242" s="955"/>
      <c r="AT242" s="955"/>
      <c r="AU242" s="955"/>
      <c r="AV242" s="955"/>
      <c r="AW242" s="675" t="s">
        <v>956</v>
      </c>
      <c r="AX242" s="317">
        <f t="shared" si="51"/>
        <v>0</v>
      </c>
      <c r="AY242" s="665"/>
      <c r="BA242" s="311"/>
      <c r="BB242" s="653"/>
      <c r="BC242" s="627"/>
      <c r="BD242" s="627"/>
      <c r="BE242" s="627"/>
      <c r="BF242" s="627"/>
    </row>
    <row r="243" spans="1:58" ht="17.25" customHeight="1" x14ac:dyDescent="0.25">
      <c r="A243" s="925" t="s">
        <v>957</v>
      </c>
      <c r="B243" s="925"/>
      <c r="C243" s="925"/>
      <c r="D243" s="925"/>
      <c r="E243" s="925"/>
      <c r="F243" s="94" t="s">
        <v>958</v>
      </c>
      <c r="G243" s="926">
        <f t="shared" si="52"/>
        <v>0</v>
      </c>
      <c r="H243" s="927"/>
      <c r="I243" s="928"/>
      <c r="N243" s="925" t="s">
        <v>957</v>
      </c>
      <c r="O243" s="925"/>
      <c r="P243" s="925"/>
      <c r="Q243" s="925"/>
      <c r="R243" s="925"/>
      <c r="S243" s="94" t="s">
        <v>958</v>
      </c>
      <c r="T243" s="929">
        <f t="shared" si="53"/>
        <v>0</v>
      </c>
      <c r="U243" s="929"/>
      <c r="V243" s="929"/>
      <c r="AA243" s="324"/>
      <c r="AI243" s="663"/>
      <c r="AJ243" s="308"/>
      <c r="AK243" s="308"/>
      <c r="AL243" s="308"/>
      <c r="AM243" s="308"/>
      <c r="AN243" s="308"/>
      <c r="AO243" s="308"/>
      <c r="AP243" s="308"/>
      <c r="AQ243" s="308"/>
      <c r="AR243" s="954" t="s">
        <v>959</v>
      </c>
      <c r="AS243" s="955"/>
      <c r="AT243" s="955"/>
      <c r="AU243" s="955"/>
      <c r="AV243" s="955"/>
      <c r="AW243" s="396" t="s">
        <v>960</v>
      </c>
      <c r="AX243" s="317">
        <f t="shared" si="51"/>
        <v>0</v>
      </c>
      <c r="AY243" s="665"/>
      <c r="BA243" s="311"/>
      <c r="BC243" s="625"/>
      <c r="BD243" s="625"/>
      <c r="BE243" s="625"/>
      <c r="BF243" s="625"/>
    </row>
    <row r="244" spans="1:58" ht="17.25" customHeight="1" x14ac:dyDescent="0.25">
      <c r="A244" s="925" t="s">
        <v>961</v>
      </c>
      <c r="B244" s="925"/>
      <c r="C244" s="925"/>
      <c r="D244" s="925"/>
      <c r="E244" s="925"/>
      <c r="F244" s="94" t="s">
        <v>962</v>
      </c>
      <c r="G244" s="926">
        <f t="shared" si="52"/>
        <v>0</v>
      </c>
      <c r="H244" s="927"/>
      <c r="I244" s="928"/>
      <c r="N244" s="925" t="s">
        <v>961</v>
      </c>
      <c r="O244" s="925"/>
      <c r="P244" s="925"/>
      <c r="Q244" s="925"/>
      <c r="R244" s="925"/>
      <c r="S244" s="94" t="s">
        <v>962</v>
      </c>
      <c r="T244" s="929">
        <f t="shared" si="53"/>
        <v>0</v>
      </c>
      <c r="U244" s="929"/>
      <c r="V244" s="929"/>
      <c r="AA244" s="324"/>
      <c r="AI244" s="902" t="s">
        <v>963</v>
      </c>
      <c r="AJ244" s="903"/>
      <c r="AK244" s="903"/>
      <c r="AL244" s="903"/>
      <c r="AM244" s="903"/>
      <c r="AN244" s="904"/>
      <c r="AO244" s="309" t="s">
        <v>299</v>
      </c>
      <c r="AP244" s="310"/>
      <c r="AR244" s="954" t="s">
        <v>964</v>
      </c>
      <c r="AS244" s="955"/>
      <c r="AT244" s="955"/>
      <c r="AU244" s="955"/>
      <c r="AV244" s="955"/>
      <c r="AW244" s="321" t="s">
        <v>965</v>
      </c>
      <c r="AX244" s="317">
        <f t="shared" si="51"/>
        <v>0</v>
      </c>
      <c r="AY244" s="665"/>
      <c r="BA244" s="311"/>
      <c r="BB244" s="653"/>
      <c r="BC244" s="632"/>
      <c r="BD244" s="632"/>
      <c r="BE244" s="632"/>
      <c r="BF244" s="632"/>
    </row>
    <row r="245" spans="1:58" ht="17.25" customHeight="1" x14ac:dyDescent="0.25">
      <c r="A245" s="925" t="s">
        <v>966</v>
      </c>
      <c r="B245" s="925"/>
      <c r="C245" s="925"/>
      <c r="D245" s="925"/>
      <c r="E245" s="925"/>
      <c r="F245" s="94" t="s">
        <v>967</v>
      </c>
      <c r="G245" s="926">
        <f t="shared" si="52"/>
        <v>0</v>
      </c>
      <c r="H245" s="927"/>
      <c r="I245" s="928"/>
      <c r="N245" s="925" t="s">
        <v>966</v>
      </c>
      <c r="O245" s="925"/>
      <c r="P245" s="925"/>
      <c r="Q245" s="925"/>
      <c r="R245" s="925"/>
      <c r="S245" s="94" t="s">
        <v>967</v>
      </c>
      <c r="T245" s="929">
        <f t="shared" si="53"/>
        <v>0</v>
      </c>
      <c r="U245" s="929"/>
      <c r="V245" s="929"/>
      <c r="AA245" s="324"/>
      <c r="AH245" s="311"/>
      <c r="AI245" s="896" t="s">
        <v>968</v>
      </c>
      <c r="AJ245" s="897"/>
      <c r="AK245" s="897"/>
      <c r="AL245" s="897"/>
      <c r="AM245" s="897"/>
      <c r="AN245" s="393" t="s">
        <v>969</v>
      </c>
      <c r="AO245" s="317">
        <f t="shared" ref="AO245:AO251" si="54">COUNTIF($A$1:$GO$103,AN245)</f>
        <v>0</v>
      </c>
      <c r="AP245" s="676"/>
      <c r="AR245" s="954" t="s">
        <v>970</v>
      </c>
      <c r="AS245" s="955"/>
      <c r="AT245" s="955"/>
      <c r="AU245" s="955"/>
      <c r="AV245" s="955"/>
      <c r="AW245" s="677" t="s">
        <v>971</v>
      </c>
      <c r="AX245" s="317">
        <f t="shared" si="51"/>
        <v>0</v>
      </c>
      <c r="AY245" s="665"/>
      <c r="BA245" s="311"/>
      <c r="BB245" s="10"/>
    </row>
    <row r="246" spans="1:58" ht="17.25" customHeight="1" thickBot="1" x14ac:dyDescent="0.3">
      <c r="A246" s="958" t="s">
        <v>299</v>
      </c>
      <c r="B246" s="959"/>
      <c r="C246" s="959"/>
      <c r="D246" s="959"/>
      <c r="E246" s="959"/>
      <c r="F246" s="678"/>
      <c r="G246" s="922">
        <f>SUM(G240:I245)</f>
        <v>0</v>
      </c>
      <c r="H246" s="923"/>
      <c r="I246" s="924"/>
      <c r="N246" s="958" t="s">
        <v>299</v>
      </c>
      <c r="O246" s="959"/>
      <c r="P246" s="959"/>
      <c r="Q246" s="959"/>
      <c r="R246" s="959"/>
      <c r="S246" s="678"/>
      <c r="T246" s="922">
        <f>SUM(T240:V245)</f>
        <v>0</v>
      </c>
      <c r="U246" s="923"/>
      <c r="V246" s="924"/>
      <c r="AA246" s="324" t="b">
        <f>IFERROR(#REF!&gt;0.5,FALSE)</f>
        <v>0</v>
      </c>
      <c r="AH246" s="679"/>
      <c r="AI246" s="896" t="s">
        <v>972</v>
      </c>
      <c r="AJ246" s="897"/>
      <c r="AK246" s="897"/>
      <c r="AL246" s="897"/>
      <c r="AM246" s="905"/>
      <c r="AN246" s="670" t="s">
        <v>973</v>
      </c>
      <c r="AO246" s="317">
        <f t="shared" si="54"/>
        <v>0</v>
      </c>
      <c r="AP246" s="680"/>
      <c r="AR246" s="954" t="s">
        <v>974</v>
      </c>
      <c r="AS246" s="955"/>
      <c r="AT246" s="955"/>
      <c r="AU246" s="955"/>
      <c r="AV246" s="955"/>
      <c r="AW246" s="681" t="s">
        <v>975</v>
      </c>
      <c r="AX246" s="317">
        <f t="shared" si="51"/>
        <v>0</v>
      </c>
      <c r="AY246" s="665"/>
      <c r="BA246" s="311"/>
      <c r="BB246" s="653"/>
    </row>
    <row r="247" spans="1:58" ht="17.25" customHeight="1" thickBot="1" x14ac:dyDescent="0.3">
      <c r="A247" s="930" t="s">
        <v>976</v>
      </c>
      <c r="B247" s="931"/>
      <c r="C247" s="931"/>
      <c r="D247" s="931"/>
      <c r="E247" s="932"/>
      <c r="F247" s="33"/>
      <c r="G247" s="33"/>
      <c r="H247" s="33"/>
      <c r="I247" s="33"/>
      <c r="N247" s="930" t="s">
        <v>976</v>
      </c>
      <c r="O247" s="931"/>
      <c r="P247" s="931"/>
      <c r="Q247" s="931"/>
      <c r="R247" s="932"/>
      <c r="S247" s="33"/>
      <c r="T247" s="33"/>
      <c r="U247" s="33"/>
      <c r="V247" s="33"/>
      <c r="AA247" s="324"/>
      <c r="AH247" s="679"/>
      <c r="AI247" s="896" t="s">
        <v>977</v>
      </c>
      <c r="AJ247" s="897"/>
      <c r="AK247" s="897"/>
      <c r="AL247" s="897"/>
      <c r="AM247" s="905"/>
      <c r="AN247" s="682" t="s">
        <v>978</v>
      </c>
      <c r="AO247" s="317">
        <f t="shared" si="54"/>
        <v>0</v>
      </c>
      <c r="AP247" s="680"/>
      <c r="AR247" s="954" t="s">
        <v>979</v>
      </c>
      <c r="AS247" s="955"/>
      <c r="AT247" s="955"/>
      <c r="AU247" s="955"/>
      <c r="AV247" s="955"/>
      <c r="AW247" s="683" t="s">
        <v>980</v>
      </c>
      <c r="AX247" s="317">
        <f t="shared" si="51"/>
        <v>0</v>
      </c>
      <c r="AY247" s="665"/>
      <c r="AZ247" s="308"/>
      <c r="BA247" s="311"/>
      <c r="BB247" s="653"/>
    </row>
    <row r="248" spans="1:58" ht="17.25" customHeight="1" x14ac:dyDescent="0.25">
      <c r="A248" s="957" t="s">
        <v>942</v>
      </c>
      <c r="B248" s="957"/>
      <c r="C248" s="957"/>
      <c r="D248" s="957"/>
      <c r="E248" s="957"/>
      <c r="F248" s="94" t="s">
        <v>981</v>
      </c>
      <c r="G248" s="926">
        <f t="shared" ref="G248:G260" si="55">COUNTIF($A$4:$M$42,F248)+COUNTIF($A$43:$O$81,F248)+COUNTIF($N$4:$T$19,F248)+COUNTIF($O$20:$S$23,F248)+COUNTIF($N$24:$Q$25,F248)+COUNTIF($N$26:$P$26,F248)+COUNTIF($P$42,F248)+COUNTIF($T$21:$T$22,F248)+COUNTIF($R$24,F248)+COUNTIF($N$27:$O$28,F248)</f>
        <v>0</v>
      </c>
      <c r="H248" s="927"/>
      <c r="I248" s="928"/>
      <c r="N248" s="957" t="s">
        <v>942</v>
      </c>
      <c r="O248" s="957"/>
      <c r="P248" s="957"/>
      <c r="Q248" s="957"/>
      <c r="R248" s="957"/>
      <c r="S248" s="94" t="s">
        <v>981</v>
      </c>
      <c r="T248" s="929">
        <f t="shared" ref="T248:T260" si="56">COUNTIF($T$23:$BI$73,S248)+COUNTIF($N$29:$S$39,S248)+COUNTIF($P$47:$S$68,S248)+COUNTIF($Q$40:$S$42,S248)+COUNTIF($P$27:$S$28,S248)+COUNTIF($R$25:$S$25,S248)+COUNTIF($S$24:$S$24,S248)</f>
        <v>0</v>
      </c>
      <c r="U248" s="929"/>
      <c r="V248" s="929"/>
      <c r="AA248" s="324"/>
      <c r="AI248" s="896" t="s">
        <v>982</v>
      </c>
      <c r="AJ248" s="897"/>
      <c r="AK248" s="897"/>
      <c r="AL248" s="897"/>
      <c r="AM248" s="905"/>
      <c r="AN248" s="684" t="s">
        <v>983</v>
      </c>
      <c r="AO248" s="317">
        <f t="shared" si="54"/>
        <v>0</v>
      </c>
      <c r="AP248" s="680"/>
      <c r="AR248" s="954" t="s">
        <v>984</v>
      </c>
      <c r="AS248" s="955"/>
      <c r="AT248" s="955"/>
      <c r="AU248" s="955"/>
      <c r="AV248" s="955"/>
      <c r="AW248" s="685" t="s">
        <v>985</v>
      </c>
      <c r="AX248" s="317">
        <f t="shared" si="51"/>
        <v>0</v>
      </c>
      <c r="AY248" s="665"/>
      <c r="BA248" s="311"/>
    </row>
    <row r="249" spans="1:58" ht="17.25" customHeight="1" x14ac:dyDescent="0.25">
      <c r="A249" s="925" t="s">
        <v>948</v>
      </c>
      <c r="B249" s="925"/>
      <c r="C249" s="925"/>
      <c r="D249" s="925"/>
      <c r="E249" s="925"/>
      <c r="F249" s="94" t="s">
        <v>986</v>
      </c>
      <c r="G249" s="926">
        <f t="shared" si="55"/>
        <v>0</v>
      </c>
      <c r="H249" s="927"/>
      <c r="I249" s="928"/>
      <c r="N249" s="925" t="s">
        <v>948</v>
      </c>
      <c r="O249" s="925"/>
      <c r="P249" s="925"/>
      <c r="Q249" s="925"/>
      <c r="R249" s="925"/>
      <c r="S249" s="94" t="s">
        <v>986</v>
      </c>
      <c r="T249" s="929">
        <f t="shared" si="56"/>
        <v>0</v>
      </c>
      <c r="U249" s="929"/>
      <c r="V249" s="929"/>
      <c r="AA249" s="324"/>
      <c r="AI249" s="896" t="s">
        <v>987</v>
      </c>
      <c r="AJ249" s="897"/>
      <c r="AK249" s="897"/>
      <c r="AL249" s="897"/>
      <c r="AM249" s="905"/>
      <c r="AN249" s="686" t="s">
        <v>988</v>
      </c>
      <c r="AO249" s="317">
        <f t="shared" si="54"/>
        <v>0</v>
      </c>
      <c r="AP249" s="680"/>
      <c r="AR249" s="954" t="s">
        <v>989</v>
      </c>
      <c r="AS249" s="955"/>
      <c r="AT249" s="955"/>
      <c r="AU249" s="955"/>
      <c r="AV249" s="955"/>
      <c r="AW249" s="687" t="s">
        <v>990</v>
      </c>
      <c r="AX249" s="317">
        <f t="shared" si="51"/>
        <v>0</v>
      </c>
      <c r="AY249" s="665"/>
      <c r="BA249" s="311"/>
      <c r="BB249" s="653"/>
    </row>
    <row r="250" spans="1:58" ht="17.25" customHeight="1" x14ac:dyDescent="0.25">
      <c r="A250" s="925" t="s">
        <v>953</v>
      </c>
      <c r="B250" s="925"/>
      <c r="C250" s="925"/>
      <c r="D250" s="925"/>
      <c r="E250" s="925"/>
      <c r="F250" s="94" t="s">
        <v>991</v>
      </c>
      <c r="G250" s="926">
        <f t="shared" si="55"/>
        <v>0</v>
      </c>
      <c r="H250" s="927"/>
      <c r="I250" s="928"/>
      <c r="N250" s="925" t="s">
        <v>953</v>
      </c>
      <c r="O250" s="925"/>
      <c r="P250" s="925"/>
      <c r="Q250" s="925"/>
      <c r="R250" s="925"/>
      <c r="S250" s="94" t="s">
        <v>991</v>
      </c>
      <c r="T250" s="929">
        <f t="shared" si="56"/>
        <v>0</v>
      </c>
      <c r="U250" s="929"/>
      <c r="V250" s="929"/>
      <c r="AA250" s="324"/>
      <c r="AI250" s="896" t="s">
        <v>992</v>
      </c>
      <c r="AJ250" s="897"/>
      <c r="AK250" s="897"/>
      <c r="AL250" s="897"/>
      <c r="AM250" s="905"/>
      <c r="AN250" s="688" t="s">
        <v>993</v>
      </c>
      <c r="AO250" s="317">
        <f t="shared" si="54"/>
        <v>0</v>
      </c>
      <c r="AP250" s="680"/>
      <c r="AR250" s="954" t="s">
        <v>994</v>
      </c>
      <c r="AS250" s="955"/>
      <c r="AT250" s="955"/>
      <c r="AU250" s="955"/>
      <c r="AV250" s="955"/>
      <c r="AW250" s="689" t="s">
        <v>995</v>
      </c>
      <c r="AX250" s="317">
        <f t="shared" si="51"/>
        <v>0</v>
      </c>
      <c r="AY250" s="665"/>
      <c r="BA250" s="311"/>
      <c r="BB250" s="690"/>
    </row>
    <row r="251" spans="1:58" ht="17.25" customHeight="1" x14ac:dyDescent="0.25">
      <c r="A251" s="925" t="s">
        <v>996</v>
      </c>
      <c r="B251" s="925"/>
      <c r="C251" s="925"/>
      <c r="D251" s="925"/>
      <c r="E251" s="925"/>
      <c r="F251" s="94" t="s">
        <v>997</v>
      </c>
      <c r="G251" s="926">
        <f t="shared" si="55"/>
        <v>0</v>
      </c>
      <c r="H251" s="927"/>
      <c r="I251" s="928"/>
      <c r="N251" s="925" t="s">
        <v>996</v>
      </c>
      <c r="O251" s="925"/>
      <c r="P251" s="925"/>
      <c r="Q251" s="925"/>
      <c r="R251" s="925"/>
      <c r="S251" s="94" t="s">
        <v>997</v>
      </c>
      <c r="T251" s="929">
        <f t="shared" si="56"/>
        <v>0</v>
      </c>
      <c r="U251" s="929"/>
      <c r="V251" s="929"/>
      <c r="AA251" s="324"/>
      <c r="AI251" s="896" t="s">
        <v>998</v>
      </c>
      <c r="AJ251" s="897"/>
      <c r="AK251" s="897"/>
      <c r="AL251" s="897"/>
      <c r="AM251" s="905"/>
      <c r="AN251" s="412" t="s">
        <v>999</v>
      </c>
      <c r="AO251" s="317">
        <f t="shared" si="54"/>
        <v>0</v>
      </c>
      <c r="AP251" s="680"/>
      <c r="AR251" s="954" t="s">
        <v>1000</v>
      </c>
      <c r="AS251" s="955"/>
      <c r="AT251" s="955"/>
      <c r="AU251" s="955"/>
      <c r="AV251" s="955"/>
      <c r="AW251" s="689" t="s">
        <v>1001</v>
      </c>
      <c r="AX251" s="317">
        <f t="shared" si="51"/>
        <v>0</v>
      </c>
      <c r="AY251" s="665"/>
      <c r="BA251" s="311"/>
      <c r="BB251" s="653"/>
    </row>
    <row r="252" spans="1:58" ht="17.25" customHeight="1" x14ac:dyDescent="0.25">
      <c r="A252" s="925" t="s">
        <v>957</v>
      </c>
      <c r="B252" s="925"/>
      <c r="C252" s="925"/>
      <c r="D252" s="925"/>
      <c r="E252" s="925"/>
      <c r="F252" s="94" t="s">
        <v>186</v>
      </c>
      <c r="G252" s="926">
        <f t="shared" si="55"/>
        <v>1</v>
      </c>
      <c r="H252" s="927"/>
      <c r="I252" s="928"/>
      <c r="N252" s="925" t="s">
        <v>957</v>
      </c>
      <c r="O252" s="925"/>
      <c r="P252" s="925"/>
      <c r="Q252" s="925"/>
      <c r="R252" s="925"/>
      <c r="S252" s="94" t="s">
        <v>186</v>
      </c>
      <c r="T252" s="929">
        <f t="shared" si="56"/>
        <v>0</v>
      </c>
      <c r="U252" s="929"/>
      <c r="V252" s="929"/>
      <c r="AA252" s="324"/>
      <c r="AI252" s="893" t="s">
        <v>1002</v>
      </c>
      <c r="AJ252" s="894"/>
      <c r="AK252" s="894"/>
      <c r="AL252" s="894"/>
      <c r="AM252" s="895"/>
      <c r="AN252" s="501"/>
      <c r="AO252" s="502">
        <f>SUM(AO245:AO251)</f>
        <v>0</v>
      </c>
      <c r="AP252" s="308"/>
      <c r="AR252" s="954" t="s">
        <v>1003</v>
      </c>
      <c r="AS252" s="955"/>
      <c r="AT252" s="955"/>
      <c r="AU252" s="955"/>
      <c r="AV252" s="955"/>
      <c r="AW252" s="689" t="s">
        <v>1004</v>
      </c>
      <c r="AX252" s="317">
        <f t="shared" si="51"/>
        <v>0</v>
      </c>
      <c r="AY252" s="665"/>
      <c r="BA252" s="311"/>
      <c r="BB252" s="653"/>
    </row>
    <row r="253" spans="1:58" ht="17.25" customHeight="1" x14ac:dyDescent="0.25">
      <c r="A253" s="925" t="s">
        <v>1005</v>
      </c>
      <c r="B253" s="925"/>
      <c r="C253" s="925"/>
      <c r="D253" s="925"/>
      <c r="E253" s="925"/>
      <c r="F253" s="94" t="s">
        <v>1006</v>
      </c>
      <c r="G253" s="926">
        <f t="shared" si="55"/>
        <v>0</v>
      </c>
      <c r="H253" s="927"/>
      <c r="I253" s="928"/>
      <c r="N253" s="925" t="s">
        <v>1005</v>
      </c>
      <c r="O253" s="925"/>
      <c r="P253" s="925"/>
      <c r="Q253" s="925"/>
      <c r="R253" s="925"/>
      <c r="S253" s="94" t="s">
        <v>1006</v>
      </c>
      <c r="T253" s="929">
        <f t="shared" si="56"/>
        <v>0</v>
      </c>
      <c r="U253" s="929"/>
      <c r="V253" s="929"/>
      <c r="AA253" s="324"/>
      <c r="AI253" s="663"/>
      <c r="AJ253" s="308"/>
      <c r="AK253" s="308"/>
      <c r="AL253" s="308"/>
      <c r="AM253" s="308"/>
      <c r="AN253" s="308"/>
      <c r="AO253" s="308"/>
      <c r="AP253" s="308"/>
      <c r="AR253" s="954" t="s">
        <v>1007</v>
      </c>
      <c r="AS253" s="955"/>
      <c r="AT253" s="955"/>
      <c r="AU253" s="955"/>
      <c r="AV253" s="955"/>
      <c r="AW253" s="691" t="s">
        <v>1008</v>
      </c>
      <c r="AX253" s="317">
        <f t="shared" si="51"/>
        <v>0</v>
      </c>
      <c r="AY253" s="665"/>
      <c r="BA253" s="311"/>
    </row>
    <row r="254" spans="1:58" ht="17.25" customHeight="1" x14ac:dyDescent="0.25">
      <c r="A254" s="925" t="s">
        <v>961</v>
      </c>
      <c r="B254" s="925"/>
      <c r="C254" s="925"/>
      <c r="D254" s="925"/>
      <c r="E254" s="925"/>
      <c r="F254" s="94" t="s">
        <v>1009</v>
      </c>
      <c r="G254" s="926">
        <f t="shared" si="55"/>
        <v>0</v>
      </c>
      <c r="H254" s="927"/>
      <c r="I254" s="928"/>
      <c r="N254" s="925" t="s">
        <v>961</v>
      </c>
      <c r="O254" s="925"/>
      <c r="P254" s="925"/>
      <c r="Q254" s="925"/>
      <c r="R254" s="925"/>
      <c r="S254" s="94" t="s">
        <v>1009</v>
      </c>
      <c r="T254" s="929">
        <f t="shared" si="56"/>
        <v>0</v>
      </c>
      <c r="U254" s="929"/>
      <c r="V254" s="929"/>
      <c r="AA254" s="324"/>
      <c r="AI254" s="692"/>
      <c r="AQ254" s="308"/>
      <c r="AR254" s="954" t="s">
        <v>1010</v>
      </c>
      <c r="AS254" s="955"/>
      <c r="AT254" s="955"/>
      <c r="AU254" s="955"/>
      <c r="AV254" s="955"/>
      <c r="AW254" s="693" t="s">
        <v>1011</v>
      </c>
      <c r="AX254" s="317">
        <f t="shared" si="51"/>
        <v>0</v>
      </c>
      <c r="AY254" s="665"/>
      <c r="BA254" s="311"/>
      <c r="BB254" s="653"/>
    </row>
    <row r="255" spans="1:58" ht="17.25" customHeight="1" x14ac:dyDescent="0.25">
      <c r="A255" s="925" t="s">
        <v>966</v>
      </c>
      <c r="B255" s="925"/>
      <c r="C255" s="925"/>
      <c r="D255" s="925"/>
      <c r="E255" s="925"/>
      <c r="F255" s="94" t="s">
        <v>1012</v>
      </c>
      <c r="G255" s="926">
        <f t="shared" si="55"/>
        <v>0</v>
      </c>
      <c r="H255" s="927"/>
      <c r="I255" s="928"/>
      <c r="N255" s="925" t="s">
        <v>966</v>
      </c>
      <c r="O255" s="925"/>
      <c r="P255" s="925"/>
      <c r="Q255" s="925"/>
      <c r="R255" s="925"/>
      <c r="S255" s="94" t="s">
        <v>1012</v>
      </c>
      <c r="T255" s="929">
        <f t="shared" si="56"/>
        <v>0</v>
      </c>
      <c r="U255" s="929"/>
      <c r="V255" s="929"/>
      <c r="AA255" s="324"/>
      <c r="AI255" s="918" t="s">
        <v>391</v>
      </c>
      <c r="AJ255" s="908"/>
      <c r="AK255" s="908"/>
      <c r="AL255" s="908"/>
      <c r="AM255" s="908"/>
      <c r="AN255" s="909"/>
      <c r="AO255" s="309" t="s">
        <v>299</v>
      </c>
      <c r="AP255" s="310"/>
      <c r="AQ255" s="694"/>
      <c r="AR255" s="914" t="s">
        <v>1013</v>
      </c>
      <c r="AS255" s="915"/>
      <c r="AT255" s="915"/>
      <c r="AU255" s="915"/>
      <c r="AV255" s="915"/>
      <c r="AW255" s="695" t="s">
        <v>1013</v>
      </c>
      <c r="AX255" s="317">
        <f t="shared" si="51"/>
        <v>0</v>
      </c>
      <c r="AY255" s="665"/>
      <c r="BA255" s="311"/>
      <c r="BB255" s="696"/>
    </row>
    <row r="256" spans="1:58" ht="17.25" customHeight="1" x14ac:dyDescent="0.25">
      <c r="A256" s="925" t="s">
        <v>1014</v>
      </c>
      <c r="B256" s="925"/>
      <c r="C256" s="925"/>
      <c r="D256" s="925"/>
      <c r="E256" s="925"/>
      <c r="F256" s="94" t="s">
        <v>1015</v>
      </c>
      <c r="G256" s="926">
        <f t="shared" si="55"/>
        <v>0</v>
      </c>
      <c r="H256" s="927"/>
      <c r="I256" s="928"/>
      <c r="N256" s="925" t="s">
        <v>1014</v>
      </c>
      <c r="O256" s="925"/>
      <c r="P256" s="925"/>
      <c r="Q256" s="925"/>
      <c r="R256" s="925"/>
      <c r="S256" s="94" t="s">
        <v>1015</v>
      </c>
      <c r="T256" s="929">
        <f t="shared" si="56"/>
        <v>0</v>
      </c>
      <c r="U256" s="929"/>
      <c r="V256" s="929"/>
      <c r="AA256" s="324"/>
      <c r="AI256" s="936" t="s">
        <v>1016</v>
      </c>
      <c r="AJ256" s="937"/>
      <c r="AK256" s="937"/>
      <c r="AL256" s="937"/>
      <c r="AM256" s="938"/>
      <c r="AN256" s="697" t="s">
        <v>1017</v>
      </c>
      <c r="AO256" s="317">
        <f t="shared" ref="AO256:AO271" si="57">COUNTIF($A$1:$GO$103,AN256)</f>
        <v>0</v>
      </c>
      <c r="AP256" s="698"/>
      <c r="AR256" s="954" t="s">
        <v>1018</v>
      </c>
      <c r="AS256" s="955"/>
      <c r="AT256" s="955"/>
      <c r="AU256" s="955"/>
      <c r="AV256" s="955"/>
      <c r="AW256" s="461" t="s">
        <v>1019</v>
      </c>
      <c r="AX256" s="317">
        <f t="shared" si="51"/>
        <v>0</v>
      </c>
      <c r="AY256" s="665"/>
      <c r="BA256" s="311"/>
      <c r="BB256" s="653"/>
    </row>
    <row r="257" spans="1:54" ht="17.25" customHeight="1" x14ac:dyDescent="0.25">
      <c r="A257" s="925" t="s">
        <v>1020</v>
      </c>
      <c r="B257" s="925"/>
      <c r="C257" s="925"/>
      <c r="D257" s="925"/>
      <c r="E257" s="925"/>
      <c r="F257" s="94" t="s">
        <v>1021</v>
      </c>
      <c r="G257" s="926">
        <f t="shared" si="55"/>
        <v>0</v>
      </c>
      <c r="H257" s="927"/>
      <c r="I257" s="928"/>
      <c r="N257" s="925" t="s">
        <v>1020</v>
      </c>
      <c r="O257" s="925"/>
      <c r="P257" s="925"/>
      <c r="Q257" s="925"/>
      <c r="R257" s="925"/>
      <c r="S257" s="94" t="s">
        <v>1021</v>
      </c>
      <c r="T257" s="929">
        <f t="shared" si="56"/>
        <v>0</v>
      </c>
      <c r="U257" s="929"/>
      <c r="V257" s="929"/>
      <c r="AA257" s="324"/>
      <c r="AI257" s="936" t="s">
        <v>1022</v>
      </c>
      <c r="AJ257" s="937"/>
      <c r="AK257" s="937"/>
      <c r="AL257" s="937"/>
      <c r="AM257" s="938"/>
      <c r="AN257" s="697" t="s">
        <v>1022</v>
      </c>
      <c r="AO257" s="317">
        <f t="shared" si="57"/>
        <v>0</v>
      </c>
      <c r="AP257" s="699"/>
      <c r="AR257" s="954" t="s">
        <v>1023</v>
      </c>
      <c r="AS257" s="955"/>
      <c r="AT257" s="955"/>
      <c r="AU257" s="955"/>
      <c r="AV257" s="955"/>
      <c r="AW257" s="539" t="s">
        <v>1024</v>
      </c>
      <c r="AX257" s="317">
        <f t="shared" si="51"/>
        <v>0</v>
      </c>
      <c r="AY257" s="665"/>
      <c r="BA257" s="311"/>
      <c r="BB257" s="653"/>
    </row>
    <row r="258" spans="1:54" ht="17.25" customHeight="1" x14ac:dyDescent="0.25">
      <c r="A258" s="925" t="s">
        <v>1025</v>
      </c>
      <c r="B258" s="925"/>
      <c r="C258" s="925"/>
      <c r="D258" s="925"/>
      <c r="E258" s="925"/>
      <c r="F258" s="94" t="s">
        <v>1026</v>
      </c>
      <c r="G258" s="926">
        <f t="shared" si="55"/>
        <v>0</v>
      </c>
      <c r="H258" s="927"/>
      <c r="I258" s="928"/>
      <c r="N258" s="925" t="s">
        <v>1025</v>
      </c>
      <c r="O258" s="925"/>
      <c r="P258" s="925"/>
      <c r="Q258" s="925"/>
      <c r="R258" s="925"/>
      <c r="S258" s="94" t="s">
        <v>1026</v>
      </c>
      <c r="T258" s="929">
        <f t="shared" si="56"/>
        <v>0</v>
      </c>
      <c r="U258" s="929"/>
      <c r="V258" s="929"/>
      <c r="AA258" s="324"/>
      <c r="AI258" s="936" t="s">
        <v>1027</v>
      </c>
      <c r="AJ258" s="937"/>
      <c r="AK258" s="937"/>
      <c r="AL258" s="937"/>
      <c r="AM258" s="938"/>
      <c r="AN258" s="697" t="s">
        <v>1028</v>
      </c>
      <c r="AO258" s="317">
        <f t="shared" si="57"/>
        <v>0</v>
      </c>
      <c r="AP258" s="699"/>
      <c r="AQ258" s="308"/>
      <c r="AR258" s="954" t="s">
        <v>1029</v>
      </c>
      <c r="AS258" s="955"/>
      <c r="AT258" s="955"/>
      <c r="AU258" s="955"/>
      <c r="AV258" s="955"/>
      <c r="AW258" s="677" t="s">
        <v>1030</v>
      </c>
      <c r="AX258" s="317">
        <f t="shared" si="51"/>
        <v>0</v>
      </c>
      <c r="AY258" s="665"/>
      <c r="BA258" s="311"/>
    </row>
    <row r="259" spans="1:54" ht="17.25" customHeight="1" x14ac:dyDescent="0.25">
      <c r="A259" s="925" t="s">
        <v>1031</v>
      </c>
      <c r="B259" s="925"/>
      <c r="C259" s="925"/>
      <c r="D259" s="925"/>
      <c r="E259" s="925"/>
      <c r="F259" s="94" t="s">
        <v>1032</v>
      </c>
      <c r="G259" s="926">
        <f t="shared" si="55"/>
        <v>0</v>
      </c>
      <c r="H259" s="927"/>
      <c r="I259" s="928"/>
      <c r="N259" s="925" t="s">
        <v>1031</v>
      </c>
      <c r="O259" s="925"/>
      <c r="P259" s="925"/>
      <c r="Q259" s="925"/>
      <c r="R259" s="925"/>
      <c r="S259" s="94" t="s">
        <v>1032</v>
      </c>
      <c r="T259" s="929">
        <f t="shared" si="56"/>
        <v>0</v>
      </c>
      <c r="U259" s="929"/>
      <c r="V259" s="929"/>
      <c r="AA259" s="324"/>
      <c r="AI259" s="936" t="s">
        <v>1033</v>
      </c>
      <c r="AJ259" s="937"/>
      <c r="AK259" s="937"/>
      <c r="AL259" s="937"/>
      <c r="AM259" s="938"/>
      <c r="AN259" s="697" t="s">
        <v>1034</v>
      </c>
      <c r="AO259" s="317">
        <f t="shared" si="57"/>
        <v>0</v>
      </c>
      <c r="AP259" s="699"/>
      <c r="AQ259" s="308"/>
      <c r="AR259" s="954" t="s">
        <v>1035</v>
      </c>
      <c r="AS259" s="955"/>
      <c r="AT259" s="955"/>
      <c r="AU259" s="955"/>
      <c r="AV259" s="955"/>
      <c r="AW259" s="700" t="s">
        <v>1036</v>
      </c>
      <c r="AX259" s="317">
        <f t="shared" si="51"/>
        <v>0</v>
      </c>
      <c r="AY259" s="665"/>
      <c r="BA259" s="311"/>
      <c r="BB259" s="653"/>
    </row>
    <row r="260" spans="1:54" ht="17.25" customHeight="1" x14ac:dyDescent="0.25">
      <c r="A260" s="925" t="s">
        <v>1037</v>
      </c>
      <c r="B260" s="925"/>
      <c r="C260" s="925"/>
      <c r="D260" s="925"/>
      <c r="E260" s="925"/>
      <c r="F260" s="94" t="s">
        <v>1038</v>
      </c>
      <c r="G260" s="926">
        <f t="shared" si="55"/>
        <v>0</v>
      </c>
      <c r="H260" s="927"/>
      <c r="I260" s="928"/>
      <c r="N260" s="925" t="s">
        <v>1037</v>
      </c>
      <c r="O260" s="925"/>
      <c r="P260" s="925"/>
      <c r="Q260" s="925"/>
      <c r="R260" s="925"/>
      <c r="S260" s="94" t="s">
        <v>1038</v>
      </c>
      <c r="T260" s="929">
        <f t="shared" si="56"/>
        <v>0</v>
      </c>
      <c r="U260" s="929"/>
      <c r="V260" s="929"/>
      <c r="AA260" s="324"/>
      <c r="AI260" s="936" t="s">
        <v>1039</v>
      </c>
      <c r="AJ260" s="937"/>
      <c r="AK260" s="937"/>
      <c r="AL260" s="937"/>
      <c r="AM260" s="938"/>
      <c r="AN260" s="697" t="s">
        <v>1040</v>
      </c>
      <c r="AO260" s="317">
        <f t="shared" si="57"/>
        <v>0</v>
      </c>
      <c r="AP260" s="699"/>
      <c r="AQ260" s="308"/>
      <c r="AR260" s="954" t="s">
        <v>1041</v>
      </c>
      <c r="AS260" s="955"/>
      <c r="AT260" s="955"/>
      <c r="AU260" s="955"/>
      <c r="AV260" s="955"/>
      <c r="AW260" s="701" t="s">
        <v>1042</v>
      </c>
      <c r="AX260" s="317">
        <f t="shared" si="51"/>
        <v>0</v>
      </c>
      <c r="AY260" s="665"/>
      <c r="BA260" s="311"/>
      <c r="BB260" s="702"/>
    </row>
    <row r="261" spans="1:54" ht="17.25" customHeight="1" thickBot="1" x14ac:dyDescent="0.3">
      <c r="A261" s="956" t="s">
        <v>299</v>
      </c>
      <c r="B261" s="956"/>
      <c r="C261" s="956"/>
      <c r="D261" s="956"/>
      <c r="E261" s="956"/>
      <c r="F261" s="678"/>
      <c r="G261" s="922">
        <f>SUM(G248:I260)</f>
        <v>1</v>
      </c>
      <c r="H261" s="923"/>
      <c r="I261" s="924"/>
      <c r="N261" s="956" t="s">
        <v>299</v>
      </c>
      <c r="O261" s="956"/>
      <c r="P261" s="956"/>
      <c r="Q261" s="956"/>
      <c r="R261" s="956"/>
      <c r="S261" s="678"/>
      <c r="T261" s="922">
        <f>SUM(T248:V260)</f>
        <v>0</v>
      </c>
      <c r="U261" s="923"/>
      <c r="V261" s="924"/>
      <c r="AA261" s="324"/>
      <c r="AI261" s="936" t="s">
        <v>1043</v>
      </c>
      <c r="AJ261" s="937"/>
      <c r="AK261" s="937"/>
      <c r="AL261" s="937"/>
      <c r="AM261" s="938"/>
      <c r="AN261" s="697" t="s">
        <v>1044</v>
      </c>
      <c r="AO261" s="317">
        <f t="shared" si="57"/>
        <v>0</v>
      </c>
      <c r="AP261" s="699"/>
      <c r="AQ261" s="308"/>
      <c r="AR261" s="954" t="s">
        <v>1045</v>
      </c>
      <c r="AS261" s="955"/>
      <c r="AT261" s="955"/>
      <c r="AU261" s="955"/>
      <c r="AV261" s="955"/>
      <c r="AW261" s="703" t="s">
        <v>1046</v>
      </c>
      <c r="AX261" s="317">
        <f t="shared" si="51"/>
        <v>0</v>
      </c>
      <c r="AY261" s="665"/>
      <c r="BA261" s="311"/>
      <c r="BB261" s="653"/>
    </row>
    <row r="262" spans="1:54" ht="17.25" customHeight="1" thickBot="1" x14ac:dyDescent="0.3">
      <c r="A262" s="930" t="s">
        <v>118</v>
      </c>
      <c r="B262" s="931"/>
      <c r="C262" s="931"/>
      <c r="D262" s="931"/>
      <c r="E262" s="932"/>
      <c r="F262" s="33"/>
      <c r="G262" s="33"/>
      <c r="H262" s="33"/>
      <c r="I262" s="33"/>
      <c r="N262" s="930" t="s">
        <v>118</v>
      </c>
      <c r="O262" s="931"/>
      <c r="P262" s="931"/>
      <c r="Q262" s="931"/>
      <c r="R262" s="932"/>
      <c r="S262" s="33"/>
      <c r="T262" s="33"/>
      <c r="U262" s="33"/>
      <c r="V262" s="33"/>
      <c r="AA262" s="268"/>
      <c r="AI262" s="936" t="s">
        <v>1047</v>
      </c>
      <c r="AJ262" s="937"/>
      <c r="AK262" s="937"/>
      <c r="AL262" s="937"/>
      <c r="AM262" s="938"/>
      <c r="AN262" s="697" t="s">
        <v>1048</v>
      </c>
      <c r="AO262" s="317">
        <f t="shared" si="57"/>
        <v>0</v>
      </c>
      <c r="AP262" s="699"/>
      <c r="AQ262" s="308"/>
      <c r="AR262" s="954" t="s">
        <v>1049</v>
      </c>
      <c r="AS262" s="955"/>
      <c r="AT262" s="955"/>
      <c r="AU262" s="955"/>
      <c r="AV262" s="955"/>
      <c r="AW262" s="704" t="s">
        <v>1050</v>
      </c>
      <c r="AX262" s="317">
        <f t="shared" si="51"/>
        <v>0</v>
      </c>
      <c r="AY262" s="665"/>
      <c r="BA262" s="311"/>
      <c r="BB262" s="653"/>
    </row>
    <row r="263" spans="1:54" ht="17.25" customHeight="1" x14ac:dyDescent="0.25">
      <c r="A263" s="925" t="s">
        <v>942</v>
      </c>
      <c r="B263" s="925"/>
      <c r="C263" s="925"/>
      <c r="D263" s="925"/>
      <c r="E263" s="925"/>
      <c r="F263" s="94" t="s">
        <v>1051</v>
      </c>
      <c r="G263" s="926">
        <f t="shared" ref="G263:G268" si="58">COUNTIF($A$4:$M$42,F263)+COUNTIF($A$43:$O$81,F263)+COUNTIF($N$4:$T$19,F263)+COUNTIF($O$20:$S$23,F263)+COUNTIF($N$24:$Q$25,F263)+COUNTIF($N$26:$P$26,F263)+COUNTIF($P$42,F263)+COUNTIF($T$21:$T$22,F263)+COUNTIF($R$24,F263)+COUNTIF($N$27:$O$28,F263)</f>
        <v>0</v>
      </c>
      <c r="H263" s="927"/>
      <c r="I263" s="928"/>
      <c r="N263" s="925" t="s">
        <v>942</v>
      </c>
      <c r="O263" s="925"/>
      <c r="P263" s="925"/>
      <c r="Q263" s="925"/>
      <c r="R263" s="925"/>
      <c r="S263" s="94" t="s">
        <v>1051</v>
      </c>
      <c r="T263" s="929">
        <f t="shared" ref="T263:T268" si="59">COUNTIF($T$23:$BI$73,S263)+COUNTIF($N$29:$S$39,S263)+COUNTIF($P$47:$S$68,S263)+COUNTIF($Q$40:$S$42,S263)+COUNTIF($P$27:$S$28,S263)+COUNTIF($R$25:$S$25,S263)+COUNTIF($S$24:$S$24,S263)</f>
        <v>0</v>
      </c>
      <c r="U263" s="929"/>
      <c r="V263" s="929"/>
      <c r="AI263" s="936" t="s">
        <v>1052</v>
      </c>
      <c r="AJ263" s="937"/>
      <c r="AK263" s="937"/>
      <c r="AL263" s="937"/>
      <c r="AM263" s="938"/>
      <c r="AN263" s="697" t="s">
        <v>1053</v>
      </c>
      <c r="AO263" s="317">
        <f t="shared" si="57"/>
        <v>0</v>
      </c>
      <c r="AP263" s="699"/>
      <c r="AQ263" s="308"/>
      <c r="AR263" s="954" t="s">
        <v>1054</v>
      </c>
      <c r="AS263" s="955"/>
      <c r="AT263" s="955"/>
      <c r="AU263" s="955"/>
      <c r="AV263" s="955"/>
      <c r="AW263" s="701" t="s">
        <v>1055</v>
      </c>
      <c r="AX263" s="317">
        <f t="shared" si="51"/>
        <v>0</v>
      </c>
      <c r="AY263" s="665"/>
      <c r="BA263" s="311"/>
    </row>
    <row r="264" spans="1:54" ht="17.25" customHeight="1" x14ac:dyDescent="0.25">
      <c r="A264" s="925" t="s">
        <v>948</v>
      </c>
      <c r="B264" s="925"/>
      <c r="C264" s="925"/>
      <c r="D264" s="925"/>
      <c r="E264" s="925"/>
      <c r="F264" s="94" t="s">
        <v>1056</v>
      </c>
      <c r="G264" s="926">
        <f t="shared" si="58"/>
        <v>0</v>
      </c>
      <c r="H264" s="927"/>
      <c r="I264" s="928"/>
      <c r="N264" s="925" t="s">
        <v>948</v>
      </c>
      <c r="O264" s="925"/>
      <c r="P264" s="925"/>
      <c r="Q264" s="925"/>
      <c r="R264" s="925"/>
      <c r="S264" s="94" t="s">
        <v>1056</v>
      </c>
      <c r="T264" s="929">
        <f t="shared" si="59"/>
        <v>0</v>
      </c>
      <c r="U264" s="929"/>
      <c r="V264" s="929"/>
      <c r="AI264" s="936" t="s">
        <v>1057</v>
      </c>
      <c r="AJ264" s="937"/>
      <c r="AK264" s="937"/>
      <c r="AL264" s="937"/>
      <c r="AM264" s="938"/>
      <c r="AN264" s="697" t="s">
        <v>1058</v>
      </c>
      <c r="AO264" s="317">
        <f t="shared" si="57"/>
        <v>0</v>
      </c>
      <c r="AP264" s="699"/>
      <c r="AQ264" s="308"/>
      <c r="AR264" s="954" t="s">
        <v>1059</v>
      </c>
      <c r="AS264" s="955"/>
      <c r="AT264" s="955"/>
      <c r="AU264" s="955"/>
      <c r="AV264" s="955"/>
      <c r="AW264" s="705" t="s">
        <v>1060</v>
      </c>
      <c r="AX264" s="317">
        <f t="shared" si="51"/>
        <v>0</v>
      </c>
      <c r="AY264" s="665"/>
      <c r="BA264" s="311"/>
    </row>
    <row r="265" spans="1:54" ht="17.25" customHeight="1" x14ac:dyDescent="0.25">
      <c r="A265" s="925" t="s">
        <v>953</v>
      </c>
      <c r="B265" s="925"/>
      <c r="C265" s="925"/>
      <c r="D265" s="925"/>
      <c r="E265" s="925"/>
      <c r="F265" s="94" t="s">
        <v>1061</v>
      </c>
      <c r="G265" s="926">
        <f t="shared" si="58"/>
        <v>0</v>
      </c>
      <c r="H265" s="927"/>
      <c r="I265" s="928"/>
      <c r="N265" s="925" t="s">
        <v>953</v>
      </c>
      <c r="O265" s="925"/>
      <c r="P265" s="925"/>
      <c r="Q265" s="925"/>
      <c r="R265" s="925"/>
      <c r="S265" s="94" t="s">
        <v>1061</v>
      </c>
      <c r="T265" s="929">
        <f t="shared" si="59"/>
        <v>0</v>
      </c>
      <c r="U265" s="929"/>
      <c r="V265" s="929"/>
      <c r="AI265" s="936" t="s">
        <v>1062</v>
      </c>
      <c r="AJ265" s="937"/>
      <c r="AK265" s="937"/>
      <c r="AL265" s="937"/>
      <c r="AM265" s="938"/>
      <c r="AN265" s="697" t="s">
        <v>1063</v>
      </c>
      <c r="AO265" s="317">
        <f t="shared" si="57"/>
        <v>0</v>
      </c>
      <c r="AP265" s="699"/>
      <c r="AQ265" s="308"/>
      <c r="AR265" s="951" t="s">
        <v>1064</v>
      </c>
      <c r="AS265" s="952"/>
      <c r="AT265" s="952"/>
      <c r="AU265" s="952"/>
      <c r="AV265" s="953"/>
      <c r="AW265" s="501"/>
      <c r="AX265" s="502">
        <f>SUM(AX227:AX264)</f>
        <v>0</v>
      </c>
      <c r="BA265" s="311"/>
    </row>
    <row r="266" spans="1:54" ht="17.25" customHeight="1" x14ac:dyDescent="0.25">
      <c r="A266" s="925" t="s">
        <v>957</v>
      </c>
      <c r="B266" s="925"/>
      <c r="C266" s="925"/>
      <c r="D266" s="925"/>
      <c r="E266" s="925"/>
      <c r="F266" s="94" t="s">
        <v>1065</v>
      </c>
      <c r="G266" s="926">
        <f t="shared" si="58"/>
        <v>0</v>
      </c>
      <c r="H266" s="927"/>
      <c r="I266" s="928"/>
      <c r="N266" s="925" t="s">
        <v>957</v>
      </c>
      <c r="O266" s="925"/>
      <c r="P266" s="925"/>
      <c r="Q266" s="925"/>
      <c r="R266" s="925"/>
      <c r="S266" s="94" t="s">
        <v>1065</v>
      </c>
      <c r="T266" s="929">
        <f t="shared" si="59"/>
        <v>0</v>
      </c>
      <c r="U266" s="929"/>
      <c r="V266" s="929"/>
      <c r="AI266" s="936" t="s">
        <v>1066</v>
      </c>
      <c r="AJ266" s="937"/>
      <c r="AK266" s="937"/>
      <c r="AL266" s="937"/>
      <c r="AM266" s="938"/>
      <c r="AN266" s="697" t="s">
        <v>1067</v>
      </c>
      <c r="AO266" s="317">
        <f t="shared" si="57"/>
        <v>0</v>
      </c>
      <c r="AP266" s="699"/>
      <c r="AQ266" s="308"/>
      <c r="BA266" s="311"/>
    </row>
    <row r="267" spans="1:54" ht="17.25" customHeight="1" x14ac:dyDescent="0.25">
      <c r="A267" s="925" t="s">
        <v>961</v>
      </c>
      <c r="B267" s="925"/>
      <c r="C267" s="925"/>
      <c r="D267" s="925"/>
      <c r="E267" s="925"/>
      <c r="F267" s="94" t="s">
        <v>1068</v>
      </c>
      <c r="G267" s="926">
        <f t="shared" si="58"/>
        <v>0</v>
      </c>
      <c r="H267" s="927"/>
      <c r="I267" s="928"/>
      <c r="N267" s="925" t="s">
        <v>961</v>
      </c>
      <c r="O267" s="925"/>
      <c r="P267" s="925"/>
      <c r="Q267" s="925"/>
      <c r="R267" s="925"/>
      <c r="S267" s="94" t="s">
        <v>1068</v>
      </c>
      <c r="T267" s="929">
        <f t="shared" si="59"/>
        <v>0</v>
      </c>
      <c r="U267" s="929"/>
      <c r="V267" s="929"/>
      <c r="AI267" s="936" t="s">
        <v>1069</v>
      </c>
      <c r="AJ267" s="937"/>
      <c r="AK267" s="937"/>
      <c r="AL267" s="937"/>
      <c r="AM267" s="938"/>
      <c r="AN267" s="697" t="s">
        <v>1069</v>
      </c>
      <c r="AO267" s="317">
        <f t="shared" si="57"/>
        <v>0</v>
      </c>
      <c r="AP267" s="699"/>
      <c r="AR267" s="907" t="s">
        <v>402</v>
      </c>
      <c r="AS267" s="908"/>
      <c r="AT267" s="908"/>
      <c r="AU267" s="908"/>
      <c r="AV267" s="908"/>
      <c r="AW267" s="909"/>
      <c r="AX267" s="309" t="s">
        <v>299</v>
      </c>
      <c r="AY267" s="310"/>
      <c r="BA267" s="311"/>
    </row>
    <row r="268" spans="1:54" ht="17.25" customHeight="1" thickBot="1" x14ac:dyDescent="0.3">
      <c r="A268" s="947" t="s">
        <v>966</v>
      </c>
      <c r="B268" s="947"/>
      <c r="C268" s="947"/>
      <c r="D268" s="947"/>
      <c r="E268" s="947"/>
      <c r="F268" s="94" t="s">
        <v>1070</v>
      </c>
      <c r="G268" s="926">
        <f t="shared" si="58"/>
        <v>0</v>
      </c>
      <c r="H268" s="927"/>
      <c r="I268" s="928"/>
      <c r="N268" s="947" t="s">
        <v>966</v>
      </c>
      <c r="O268" s="947"/>
      <c r="P268" s="947"/>
      <c r="Q268" s="947"/>
      <c r="R268" s="947"/>
      <c r="S268" s="94" t="s">
        <v>1070</v>
      </c>
      <c r="T268" s="929">
        <f t="shared" si="59"/>
        <v>0</v>
      </c>
      <c r="U268" s="929"/>
      <c r="V268" s="929"/>
      <c r="AI268" s="936" t="s">
        <v>1071</v>
      </c>
      <c r="AJ268" s="937"/>
      <c r="AK268" s="937"/>
      <c r="AL268" s="937"/>
      <c r="AM268" s="938"/>
      <c r="AN268" s="697" t="s">
        <v>1072</v>
      </c>
      <c r="AO268" s="317">
        <f t="shared" si="57"/>
        <v>0</v>
      </c>
      <c r="AP268" s="699"/>
      <c r="AR268" s="948" t="s">
        <v>1073</v>
      </c>
      <c r="AS268" s="949"/>
      <c r="AT268" s="949"/>
      <c r="AU268" s="949"/>
      <c r="AV268" s="950"/>
      <c r="AW268" s="706" t="s">
        <v>1074</v>
      </c>
      <c r="AX268" s="317">
        <f>COUNTIF($A$1:$GO$103,AW268)</f>
        <v>0</v>
      </c>
      <c r="AY268" s="707"/>
      <c r="BA268" s="311"/>
    </row>
    <row r="269" spans="1:54" ht="17.25" customHeight="1" thickBot="1" x14ac:dyDescent="0.3">
      <c r="A269" s="942" t="s">
        <v>299</v>
      </c>
      <c r="B269" s="943"/>
      <c r="C269" s="943"/>
      <c r="D269" s="943"/>
      <c r="E269" s="943"/>
      <c r="F269" s="678"/>
      <c r="G269" s="922">
        <f>SUM(G263:I268)</f>
        <v>0</v>
      </c>
      <c r="H269" s="923"/>
      <c r="I269" s="924"/>
      <c r="N269" s="942" t="s">
        <v>299</v>
      </c>
      <c r="O269" s="943"/>
      <c r="P269" s="943"/>
      <c r="Q269" s="943"/>
      <c r="R269" s="943"/>
      <c r="S269" s="678"/>
      <c r="T269" s="922">
        <f>SUM(T263:V268)</f>
        <v>0</v>
      </c>
      <c r="U269" s="923"/>
      <c r="V269" s="924"/>
      <c r="AI269" s="936" t="s">
        <v>1075</v>
      </c>
      <c r="AJ269" s="937"/>
      <c r="AK269" s="937"/>
      <c r="AL269" s="937"/>
      <c r="AM269" s="938"/>
      <c r="AN269" s="697" t="s">
        <v>1075</v>
      </c>
      <c r="AO269" s="317">
        <f t="shared" si="57"/>
        <v>0</v>
      </c>
      <c r="AP269" s="699"/>
      <c r="AR269" s="944" t="s">
        <v>1076</v>
      </c>
      <c r="AS269" s="945"/>
      <c r="AT269" s="945"/>
      <c r="AU269" s="945"/>
      <c r="AV269" s="946"/>
      <c r="AW269" s="708" t="s">
        <v>1077</v>
      </c>
      <c r="AX269" s="317">
        <f>COUNTIF($A$1:$GO$103,AW269)</f>
        <v>0</v>
      </c>
      <c r="AY269" s="707"/>
      <c r="BA269" s="311"/>
    </row>
    <row r="270" spans="1:54" ht="17.25" customHeight="1" thickBot="1" x14ac:dyDescent="0.3">
      <c r="A270" s="933" t="s">
        <v>1078</v>
      </c>
      <c r="B270" s="934"/>
      <c r="C270" s="934"/>
      <c r="D270" s="934"/>
      <c r="E270" s="935"/>
      <c r="F270" s="33"/>
      <c r="G270" s="33"/>
      <c r="H270" s="33"/>
      <c r="I270" s="33"/>
      <c r="N270" s="933" t="s">
        <v>1078</v>
      </c>
      <c r="O270" s="934"/>
      <c r="P270" s="934"/>
      <c r="Q270" s="934"/>
      <c r="R270" s="935"/>
      <c r="S270" s="33"/>
      <c r="T270" s="33"/>
      <c r="U270" s="33"/>
      <c r="V270" s="33"/>
      <c r="AI270" s="936" t="s">
        <v>1079</v>
      </c>
      <c r="AJ270" s="937"/>
      <c r="AK270" s="937"/>
      <c r="AL270" s="937"/>
      <c r="AM270" s="938"/>
      <c r="AN270" s="697" t="s">
        <v>1080</v>
      </c>
      <c r="AO270" s="317">
        <f t="shared" si="57"/>
        <v>0</v>
      </c>
      <c r="AP270" s="699"/>
      <c r="AR270" s="939" t="s">
        <v>1081</v>
      </c>
      <c r="AS270" s="940"/>
      <c r="AT270" s="940"/>
      <c r="AU270" s="940"/>
      <c r="AV270" s="941"/>
      <c r="AW270" s="501"/>
      <c r="AX270" s="502">
        <f>SUM(AX268:AX269)</f>
        <v>0</v>
      </c>
      <c r="BA270" s="311"/>
    </row>
    <row r="271" spans="1:54" ht="17.25" customHeight="1" x14ac:dyDescent="0.25">
      <c r="A271" s="925" t="s">
        <v>942</v>
      </c>
      <c r="B271" s="925"/>
      <c r="C271" s="925"/>
      <c r="D271" s="925"/>
      <c r="E271" s="925"/>
      <c r="F271" s="94" t="s">
        <v>1082</v>
      </c>
      <c r="G271" s="926">
        <f>COUNTIF($A$4:$M$42,F271)+COUNTIF($A$43:$O$81,F271)+COUNTIF($N$4:$T$19,F271)+COUNTIF($O$20:$S$23,F271)+COUNTIF($N$24:$Q$25,F271)+COUNTIF($N$26:$P$26,F271)+COUNTIF($P$42,F271)+COUNTIF($T$21:$T$22,F271)+COUNTIF($R$24,F271)+COUNTIF($N$27:$O$28,F271)</f>
        <v>0</v>
      </c>
      <c r="H271" s="927"/>
      <c r="I271" s="928"/>
      <c r="N271" s="925" t="s">
        <v>942</v>
      </c>
      <c r="O271" s="925"/>
      <c r="P271" s="925"/>
      <c r="Q271" s="925"/>
      <c r="R271" s="925"/>
      <c r="S271" s="94" t="s">
        <v>1082</v>
      </c>
      <c r="T271" s="929">
        <f>COUNTIF($T$23:$BI$73,S271)+COUNTIF($N$29:$S$39,S271)+COUNTIF($P$47:$S$68,S271)+COUNTIF($Q$40:$S$42,S271)+COUNTIF($P$27:$S$28,S271)+COUNTIF($R$25:$S$25,S271)+COUNTIF($S$24:$S$24,S271)</f>
        <v>0</v>
      </c>
      <c r="U271" s="929"/>
      <c r="V271" s="929"/>
      <c r="AI271" s="936" t="s">
        <v>1083</v>
      </c>
      <c r="AJ271" s="937"/>
      <c r="AK271" s="937"/>
      <c r="AL271" s="937"/>
      <c r="AM271" s="938"/>
      <c r="AN271" s="697" t="s">
        <v>1084</v>
      </c>
      <c r="AO271" s="317">
        <f t="shared" si="57"/>
        <v>0</v>
      </c>
      <c r="AP271" s="699"/>
      <c r="AY271" s="308"/>
      <c r="BA271" s="311"/>
    </row>
    <row r="272" spans="1:54" ht="17.25" customHeight="1" x14ac:dyDescent="0.25">
      <c r="A272" s="925" t="s">
        <v>957</v>
      </c>
      <c r="B272" s="925"/>
      <c r="C272" s="925"/>
      <c r="D272" s="925"/>
      <c r="E272" s="925"/>
      <c r="F272" s="94" t="s">
        <v>1085</v>
      </c>
      <c r="G272" s="926">
        <f>COUNTIF($A$4:$M$42,F272)+COUNTIF($A$43:$O$81,F272)+COUNTIF($N$4:$T$19,F272)+COUNTIF($O$20:$S$23,F272)+COUNTIF($N$24:$Q$25,F272)+COUNTIF($N$26:$P$26,F272)+COUNTIF($P$42,F272)+COUNTIF($T$21:$T$22,F272)+COUNTIF($R$24,F272)+COUNTIF($N$27:$O$28,F272)</f>
        <v>0</v>
      </c>
      <c r="H272" s="927"/>
      <c r="I272" s="928"/>
      <c r="N272" s="925" t="s">
        <v>957</v>
      </c>
      <c r="O272" s="925"/>
      <c r="P272" s="925"/>
      <c r="Q272" s="925"/>
      <c r="R272" s="925"/>
      <c r="S272" s="94" t="s">
        <v>1085</v>
      </c>
      <c r="T272" s="929">
        <f>COUNTIF($T$23:$BI$73,S272)+COUNTIF($N$29:$S$39,S272)+COUNTIF($P$47:$S$68,S272)+COUNTIF($Q$40:$S$42,S272)+COUNTIF($P$27:$S$28,S272)+COUNTIF($R$25:$S$25,S272)+COUNTIF($S$24:$S$24,S272)</f>
        <v>0</v>
      </c>
      <c r="U272" s="929"/>
      <c r="V272" s="929"/>
      <c r="AI272" s="893" t="s">
        <v>1086</v>
      </c>
      <c r="AJ272" s="894"/>
      <c r="AK272" s="894"/>
      <c r="AL272" s="894"/>
      <c r="AM272" s="895"/>
      <c r="AN272" s="501"/>
      <c r="AO272" s="502">
        <f>SUM(AO256:AO271)</f>
        <v>0</v>
      </c>
      <c r="AR272" s="907" t="s">
        <v>361</v>
      </c>
      <c r="AS272" s="908"/>
      <c r="AT272" s="908"/>
      <c r="AU272" s="908"/>
      <c r="AV272" s="908"/>
      <c r="AW272" s="909"/>
      <c r="AX272" s="309" t="s">
        <v>299</v>
      </c>
      <c r="AY272" s="310"/>
      <c r="BA272" s="311"/>
    </row>
    <row r="273" spans="1:53" ht="17.25" customHeight="1" thickBot="1" x14ac:dyDescent="0.3">
      <c r="A273" s="919" t="s">
        <v>299</v>
      </c>
      <c r="B273" s="920"/>
      <c r="C273" s="920"/>
      <c r="D273" s="920"/>
      <c r="E273" s="921"/>
      <c r="F273" s="678"/>
      <c r="G273" s="922">
        <f>SUM(G271:I272)</f>
        <v>0</v>
      </c>
      <c r="H273" s="923"/>
      <c r="I273" s="924"/>
      <c r="N273" s="919" t="s">
        <v>299</v>
      </c>
      <c r="O273" s="920"/>
      <c r="P273" s="920"/>
      <c r="Q273" s="920"/>
      <c r="R273" s="921"/>
      <c r="S273" s="678"/>
      <c r="T273" s="922">
        <f>SUM(T271:V272)</f>
        <v>0</v>
      </c>
      <c r="U273" s="923"/>
      <c r="V273" s="924"/>
      <c r="AI273" s="692"/>
      <c r="AR273" s="911" t="s">
        <v>1087</v>
      </c>
      <c r="AS273" s="912"/>
      <c r="AT273" s="912"/>
      <c r="AU273" s="912"/>
      <c r="AV273" s="913"/>
      <c r="AW273" s="709" t="s">
        <v>1088</v>
      </c>
      <c r="AX273" s="317">
        <f t="shared" ref="AX273:AX278" si="60">COUNTIF($A$1:$GO$103,AW273)</f>
        <v>0</v>
      </c>
      <c r="AY273" s="710"/>
      <c r="BA273" s="311"/>
    </row>
    <row r="274" spans="1:53" ht="17.25" customHeight="1" thickBot="1" x14ac:dyDescent="0.3">
      <c r="A274" s="930" t="s">
        <v>1089</v>
      </c>
      <c r="B274" s="931"/>
      <c r="C274" s="931"/>
      <c r="D274" s="931"/>
      <c r="E274" s="932"/>
      <c r="F274" s="33"/>
      <c r="G274" s="33"/>
      <c r="H274" s="33"/>
      <c r="I274" s="33"/>
      <c r="N274" s="930" t="s">
        <v>1089</v>
      </c>
      <c r="O274" s="931"/>
      <c r="P274" s="931"/>
      <c r="Q274" s="931"/>
      <c r="R274" s="932"/>
      <c r="S274" s="33"/>
      <c r="T274" s="33"/>
      <c r="U274" s="33"/>
      <c r="V274" s="33"/>
      <c r="AI274" s="918"/>
      <c r="AJ274" s="908"/>
      <c r="AK274" s="908"/>
      <c r="AL274" s="908"/>
      <c r="AM274" s="908"/>
      <c r="AN274" s="904"/>
      <c r="AO274" s="309"/>
      <c r="AP274" s="310"/>
      <c r="AR274" s="911" t="s">
        <v>1090</v>
      </c>
      <c r="AS274" s="912"/>
      <c r="AT274" s="912"/>
      <c r="AU274" s="912"/>
      <c r="AV274" s="913"/>
      <c r="AW274" s="711" t="s">
        <v>1091</v>
      </c>
      <c r="AX274" s="317">
        <f t="shared" si="60"/>
        <v>0</v>
      </c>
      <c r="AY274" s="710"/>
      <c r="BA274" s="311"/>
    </row>
    <row r="275" spans="1:53" ht="17.25" customHeight="1" x14ac:dyDescent="0.25">
      <c r="A275" s="925" t="s">
        <v>942</v>
      </c>
      <c r="B275" s="925"/>
      <c r="C275" s="925"/>
      <c r="D275" s="925"/>
      <c r="E275" s="925"/>
      <c r="F275" s="94" t="s">
        <v>1092</v>
      </c>
      <c r="G275" s="926">
        <f>COUNTIF($A$4:$M$42,F275)+COUNTIF($A$43:$O$81,F275)+COUNTIF($N$4:$T$19,F275)+COUNTIF($O$20:$S$23,F275)+COUNTIF($N$24:$Q$25,F275)+COUNTIF($N$26:$P$26,F275)+COUNTIF($P$42,F275)+COUNTIF($T$21:$T$22,F275)+COUNTIF($R$24,F275)+COUNTIF($N$27:$O$28,F275)</f>
        <v>0</v>
      </c>
      <c r="H275" s="927"/>
      <c r="I275" s="928"/>
      <c r="N275" s="925" t="s">
        <v>942</v>
      </c>
      <c r="O275" s="925"/>
      <c r="P275" s="925"/>
      <c r="Q275" s="925"/>
      <c r="R275" s="925"/>
      <c r="S275" s="94" t="s">
        <v>1092</v>
      </c>
      <c r="T275" s="929">
        <f>COUNTIF($T$23:$BI$73,S275)+COUNTIF($N$29:$S$39,S275)+COUNTIF($P$47:$S$68,S275)+COUNTIF($Q$40:$S$42,S275)+COUNTIF($P$27:$S$28,S275)+COUNTIF($R$25:$S$25,S275)+COUNTIF($S$24:$S$24,S275)</f>
        <v>0</v>
      </c>
      <c r="U275" s="929"/>
      <c r="V275" s="929"/>
      <c r="AI275" s="914"/>
      <c r="AJ275" s="915"/>
      <c r="AK275" s="915"/>
      <c r="AL275" s="915"/>
      <c r="AM275" s="915"/>
      <c r="AN275" s="497"/>
      <c r="AO275" s="317"/>
      <c r="AP275" s="712"/>
      <c r="AR275" s="911" t="s">
        <v>1093</v>
      </c>
      <c r="AS275" s="912"/>
      <c r="AT275" s="912"/>
      <c r="AU275" s="912"/>
      <c r="AV275" s="913"/>
      <c r="AW275" s="713" t="s">
        <v>1094</v>
      </c>
      <c r="AX275" s="317">
        <f t="shared" si="60"/>
        <v>0</v>
      </c>
      <c r="AY275" s="710"/>
      <c r="BA275" s="311"/>
    </row>
    <row r="276" spans="1:53" ht="17.25" customHeight="1" x14ac:dyDescent="0.25">
      <c r="A276" s="925" t="s">
        <v>957</v>
      </c>
      <c r="B276" s="925"/>
      <c r="C276" s="925"/>
      <c r="D276" s="925"/>
      <c r="E276" s="925"/>
      <c r="F276" s="94" t="s">
        <v>1095</v>
      </c>
      <c r="G276" s="926">
        <f>COUNTIF($A$4:$M$42,F276)+COUNTIF($A$43:$O$81,F276)+COUNTIF($N$4:$T$19,F276)+COUNTIF($O$20:$S$23,F276)+COUNTIF($N$24:$Q$25,F276)+COUNTIF($N$26:$P$26,F276)+COUNTIF($P$42,F276)+COUNTIF($T$21:$T$22,F276)+COUNTIF($R$24,F276)+COUNTIF($N$27:$O$28,F276)</f>
        <v>0</v>
      </c>
      <c r="H276" s="927"/>
      <c r="I276" s="928"/>
      <c r="N276" s="925" t="s">
        <v>957</v>
      </c>
      <c r="O276" s="925"/>
      <c r="P276" s="925"/>
      <c r="Q276" s="925"/>
      <c r="R276" s="925"/>
      <c r="S276" s="94" t="s">
        <v>1095</v>
      </c>
      <c r="T276" s="929">
        <f>COUNTIF($T$23:$BI$73,S276)+COUNTIF($N$29:$S$39,S276)+COUNTIF($P$47:$S$68,S276)+COUNTIF($Q$40:$S$42,S276)+COUNTIF($P$27:$S$28,S276)+COUNTIF($R$25:$S$25,S276)+COUNTIF($S$24:$S$24,S276)</f>
        <v>0</v>
      </c>
      <c r="U276" s="929"/>
      <c r="V276" s="929"/>
      <c r="AI276" s="893"/>
      <c r="AJ276" s="894"/>
      <c r="AK276" s="894"/>
      <c r="AL276" s="894"/>
      <c r="AM276" s="895"/>
      <c r="AN276" s="501"/>
      <c r="AO276" s="502"/>
      <c r="AR276" s="911" t="s">
        <v>1096</v>
      </c>
      <c r="AS276" s="912"/>
      <c r="AT276" s="912"/>
      <c r="AU276" s="912"/>
      <c r="AV276" s="913"/>
      <c r="AW276" s="714" t="s">
        <v>1097</v>
      </c>
      <c r="AX276" s="317">
        <f t="shared" si="60"/>
        <v>0</v>
      </c>
      <c r="AY276" s="710"/>
      <c r="BA276" s="311"/>
    </row>
    <row r="277" spans="1:53" ht="17.25" customHeight="1" thickBot="1" x14ac:dyDescent="0.3">
      <c r="A277" s="919" t="s">
        <v>299</v>
      </c>
      <c r="B277" s="920"/>
      <c r="C277" s="920"/>
      <c r="D277" s="920"/>
      <c r="E277" s="921"/>
      <c r="F277" s="678"/>
      <c r="G277" s="922">
        <f>SUM(G275:I276)</f>
        <v>0</v>
      </c>
      <c r="H277" s="923"/>
      <c r="I277" s="924"/>
      <c r="N277" s="919" t="s">
        <v>299</v>
      </c>
      <c r="O277" s="920"/>
      <c r="P277" s="920"/>
      <c r="Q277" s="920"/>
      <c r="R277" s="921"/>
      <c r="S277" s="678"/>
      <c r="T277" s="922">
        <f>SUM(T275:V276)</f>
        <v>0</v>
      </c>
      <c r="U277" s="923"/>
      <c r="V277" s="924"/>
      <c r="AI277" s="692"/>
      <c r="AR277" s="911" t="s">
        <v>1098</v>
      </c>
      <c r="AS277" s="912"/>
      <c r="AT277" s="912"/>
      <c r="AU277" s="912"/>
      <c r="AV277" s="913"/>
      <c r="AW277" s="715" t="s">
        <v>1099</v>
      </c>
      <c r="AX277" s="317">
        <f t="shared" si="60"/>
        <v>0</v>
      </c>
      <c r="AY277" s="710"/>
      <c r="BA277" s="311"/>
    </row>
    <row r="278" spans="1:53" ht="17.25" customHeight="1" x14ac:dyDescent="0.25">
      <c r="M278" s="268"/>
      <c r="AI278" s="692"/>
      <c r="AR278" s="911" t="s">
        <v>1100</v>
      </c>
      <c r="AS278" s="912"/>
      <c r="AT278" s="912"/>
      <c r="AU278" s="912"/>
      <c r="AV278" s="913"/>
      <c r="AW278" s="716" t="s">
        <v>1101</v>
      </c>
      <c r="AX278" s="317">
        <f t="shared" si="60"/>
        <v>0</v>
      </c>
      <c r="AY278" s="710"/>
      <c r="BA278" s="311"/>
    </row>
    <row r="279" spans="1:53" ht="17.25" customHeight="1" x14ac:dyDescent="0.25">
      <c r="M279" s="268"/>
      <c r="AI279" s="918" t="s">
        <v>809</v>
      </c>
      <c r="AJ279" s="908"/>
      <c r="AK279" s="908"/>
      <c r="AL279" s="908"/>
      <c r="AM279" s="908"/>
      <c r="AN279" s="909"/>
      <c r="AO279" s="309" t="s">
        <v>299</v>
      </c>
      <c r="AP279" s="310"/>
      <c r="AR279" s="907" t="s">
        <v>1102</v>
      </c>
      <c r="AS279" s="908"/>
      <c r="AT279" s="908"/>
      <c r="AU279" s="908"/>
      <c r="AV279" s="909"/>
      <c r="AW279" s="501"/>
      <c r="AX279" s="502">
        <f>SUM(AX273:AX278)</f>
        <v>0</v>
      </c>
      <c r="BA279" s="311"/>
    </row>
    <row r="280" spans="1:53" ht="17.25" customHeight="1" x14ac:dyDescent="0.25">
      <c r="M280" s="268"/>
      <c r="AI280" s="914" t="s">
        <v>1103</v>
      </c>
      <c r="AJ280" s="915"/>
      <c r="AK280" s="915"/>
      <c r="AL280" s="915"/>
      <c r="AM280" s="916"/>
      <c r="AN280" s="717" t="s">
        <v>1104</v>
      </c>
      <c r="AO280" s="317">
        <f>COUNTIF($A$1:$GO$103,AN280)</f>
        <v>0</v>
      </c>
      <c r="AP280" s="718"/>
      <c r="BA280" s="311"/>
    </row>
    <row r="281" spans="1:53" ht="17.25" customHeight="1" x14ac:dyDescent="0.25">
      <c r="M281" s="268"/>
      <c r="AI281" s="914" t="s">
        <v>1105</v>
      </c>
      <c r="AJ281" s="915"/>
      <c r="AK281" s="915"/>
      <c r="AL281" s="915"/>
      <c r="AM281" s="916"/>
      <c r="AN281" s="719" t="s">
        <v>1106</v>
      </c>
      <c r="AO281" s="317">
        <f>COUNTIF($A$1:$GO$103,AN281)</f>
        <v>0</v>
      </c>
      <c r="AP281" s="720"/>
      <c r="AQ281" s="308"/>
      <c r="AR281" s="907" t="s">
        <v>407</v>
      </c>
      <c r="AS281" s="908"/>
      <c r="AT281" s="908"/>
      <c r="AU281" s="908"/>
      <c r="AV281" s="908"/>
      <c r="AW281" s="909"/>
      <c r="AX281" s="309" t="s">
        <v>299</v>
      </c>
      <c r="AY281" s="310"/>
      <c r="BA281" s="311"/>
    </row>
    <row r="282" spans="1:53" ht="17.25" customHeight="1" x14ac:dyDescent="0.25">
      <c r="M282" s="268"/>
      <c r="AI282" s="914" t="s">
        <v>1107</v>
      </c>
      <c r="AJ282" s="915"/>
      <c r="AK282" s="915"/>
      <c r="AL282" s="915"/>
      <c r="AM282" s="916"/>
      <c r="AN282" s="721" t="s">
        <v>1108</v>
      </c>
      <c r="AO282" s="317">
        <f>COUNTIF($A$1:$GO$103,AN282)</f>
        <v>0</v>
      </c>
      <c r="AP282" s="720"/>
      <c r="AR282" s="911" t="s">
        <v>1109</v>
      </c>
      <c r="AS282" s="912"/>
      <c r="AT282" s="912"/>
      <c r="AU282" s="912"/>
      <c r="AV282" s="913"/>
      <c r="AW282" s="722" t="s">
        <v>408</v>
      </c>
      <c r="AX282" s="317">
        <f>COUNTIF($A$1:$GO$103,AW282)</f>
        <v>0</v>
      </c>
      <c r="AY282" s="710"/>
      <c r="BA282" s="311"/>
    </row>
    <row r="283" spans="1:53" ht="17.25" customHeight="1" x14ac:dyDescent="0.25">
      <c r="M283" s="268"/>
      <c r="AI283" s="914" t="s">
        <v>1110</v>
      </c>
      <c r="AJ283" s="915"/>
      <c r="AK283" s="915"/>
      <c r="AL283" s="915"/>
      <c r="AM283" s="916"/>
      <c r="AN283" s="723" t="s">
        <v>1111</v>
      </c>
      <c r="AO283" s="317">
        <f>COUNTIF($A$1:$GO$103,AN283)</f>
        <v>0</v>
      </c>
      <c r="AP283" s="720"/>
      <c r="AR283" s="907" t="s">
        <v>1112</v>
      </c>
      <c r="AS283" s="908"/>
      <c r="AT283" s="908"/>
      <c r="AU283" s="908"/>
      <c r="AV283" s="909"/>
      <c r="AW283" s="501"/>
      <c r="AX283" s="502">
        <f>SUM(AX282:AX282)</f>
        <v>0</v>
      </c>
      <c r="BA283" s="311"/>
    </row>
    <row r="284" spans="1:53" ht="17.25" customHeight="1" x14ac:dyDescent="0.25">
      <c r="M284" s="268"/>
      <c r="AI284" s="914" t="s">
        <v>1113</v>
      </c>
      <c r="AJ284" s="915"/>
      <c r="AK284" s="915"/>
      <c r="AL284" s="915"/>
      <c r="AM284" s="916"/>
      <c r="AN284" s="724" t="s">
        <v>1114</v>
      </c>
      <c r="AO284" s="317">
        <f>COUNTIF($A$1:$GO$103,AN284)</f>
        <v>0</v>
      </c>
      <c r="AP284" s="720"/>
      <c r="AR284" s="308"/>
      <c r="AS284" s="308"/>
      <c r="AT284" s="308"/>
      <c r="AU284" s="308"/>
      <c r="AV284" s="308"/>
      <c r="AW284" s="308"/>
      <c r="AX284" s="308"/>
      <c r="AY284" s="308"/>
      <c r="BA284" s="311"/>
    </row>
    <row r="285" spans="1:53" ht="17.25" customHeight="1" x14ac:dyDescent="0.25">
      <c r="M285" s="268"/>
      <c r="AI285" s="893" t="s">
        <v>1115</v>
      </c>
      <c r="AJ285" s="894"/>
      <c r="AK285" s="894"/>
      <c r="AL285" s="894"/>
      <c r="AM285" s="895"/>
      <c r="AN285" s="501"/>
      <c r="AO285" s="502">
        <f>SUM(AO280:AO284)</f>
        <v>0</v>
      </c>
      <c r="AP285" s="308"/>
      <c r="AR285" s="907" t="s">
        <v>420</v>
      </c>
      <c r="AS285" s="908"/>
      <c r="AT285" s="908"/>
      <c r="AU285" s="908"/>
      <c r="AV285" s="908"/>
      <c r="AW285" s="909"/>
      <c r="AX285" s="309" t="s">
        <v>299</v>
      </c>
      <c r="AY285" s="310"/>
      <c r="BA285" s="311"/>
    </row>
    <row r="286" spans="1:53" ht="17.25" customHeight="1" x14ac:dyDescent="0.25">
      <c r="M286" s="268"/>
      <c r="AI286" s="692"/>
      <c r="AR286" s="917" t="s">
        <v>420</v>
      </c>
      <c r="AS286" s="912"/>
      <c r="AT286" s="912"/>
      <c r="AU286" s="912"/>
      <c r="AV286" s="913"/>
      <c r="AW286" s="725" t="s">
        <v>421</v>
      </c>
      <c r="AX286" s="317">
        <f>COUNTIF($A$1:$GO$103,AW286)</f>
        <v>0</v>
      </c>
      <c r="AY286" s="726"/>
      <c r="BA286" s="679"/>
    </row>
    <row r="287" spans="1:53" ht="17.25" customHeight="1" x14ac:dyDescent="0.25">
      <c r="M287" s="268"/>
      <c r="AI287" s="902" t="s">
        <v>426</v>
      </c>
      <c r="AJ287" s="903"/>
      <c r="AK287" s="903"/>
      <c r="AL287" s="903"/>
      <c r="AM287" s="903"/>
      <c r="AN287" s="904"/>
      <c r="AO287" s="309" t="s">
        <v>299</v>
      </c>
      <c r="AP287" s="310"/>
      <c r="AR287" s="907" t="s">
        <v>1116</v>
      </c>
      <c r="AS287" s="908"/>
      <c r="AT287" s="908"/>
      <c r="AU287" s="908"/>
      <c r="AV287" s="909"/>
      <c r="AW287" s="501"/>
      <c r="AX287" s="502">
        <f>SUM(AX286:AX286)</f>
        <v>0</v>
      </c>
      <c r="BA287" s="679"/>
    </row>
    <row r="288" spans="1:53" ht="17.25" customHeight="1" x14ac:dyDescent="0.25">
      <c r="M288" s="268"/>
      <c r="AI288" s="896" t="s">
        <v>1117</v>
      </c>
      <c r="AJ288" s="897"/>
      <c r="AK288" s="897"/>
      <c r="AL288" s="897"/>
      <c r="AM288" s="897"/>
      <c r="AN288" s="727" t="s">
        <v>1118</v>
      </c>
      <c r="AO288" s="317">
        <f>COUNTIF($A$1:$GO$103,AN288)</f>
        <v>0</v>
      </c>
      <c r="AP288" s="728"/>
      <c r="BA288" s="679"/>
    </row>
    <row r="289" spans="13:53" ht="17.25" customHeight="1" x14ac:dyDescent="0.25">
      <c r="M289" s="268"/>
      <c r="AA289" s="268"/>
      <c r="AI289" s="896" t="s">
        <v>1119</v>
      </c>
      <c r="AJ289" s="897"/>
      <c r="AK289" s="897"/>
      <c r="AL289" s="897"/>
      <c r="AM289" s="905"/>
      <c r="AN289" s="729" t="s">
        <v>1120</v>
      </c>
      <c r="AO289" s="317">
        <f>COUNTIF($A$1:$GO$103,AN289)</f>
        <v>0</v>
      </c>
      <c r="AP289" s="728"/>
      <c r="AR289" s="907" t="s">
        <v>733</v>
      </c>
      <c r="AS289" s="908"/>
      <c r="AT289" s="908"/>
      <c r="AU289" s="908"/>
      <c r="AV289" s="908"/>
      <c r="AW289" s="909"/>
      <c r="AX289" s="309" t="s">
        <v>299</v>
      </c>
      <c r="AY289" s="310"/>
      <c r="BA289" s="679"/>
    </row>
    <row r="290" spans="13:53" ht="17.25" customHeight="1" x14ac:dyDescent="0.25">
      <c r="M290" s="268"/>
      <c r="AA290" s="268"/>
      <c r="AI290" s="893" t="s">
        <v>1121</v>
      </c>
      <c r="AJ290" s="894"/>
      <c r="AK290" s="894"/>
      <c r="AL290" s="894"/>
      <c r="AM290" s="895"/>
      <c r="AN290" s="501"/>
      <c r="AO290" s="502">
        <f>SUM(AO288:AO289)</f>
        <v>0</v>
      </c>
      <c r="AP290" s="308"/>
      <c r="AR290" s="911" t="s">
        <v>733</v>
      </c>
      <c r="AS290" s="912"/>
      <c r="AT290" s="912"/>
      <c r="AU290" s="912"/>
      <c r="AV290" s="913"/>
      <c r="AW290" s="730" t="s">
        <v>1122</v>
      </c>
      <c r="AX290" s="317">
        <f>COUNTIF($A$1:$GO$103,AW290)</f>
        <v>0</v>
      </c>
      <c r="AY290" s="731"/>
      <c r="BA290" s="679"/>
    </row>
    <row r="291" spans="13:53" ht="17.25" customHeight="1" x14ac:dyDescent="0.25">
      <c r="M291" s="268"/>
      <c r="AA291" s="268"/>
      <c r="AI291" s="692"/>
      <c r="AR291" s="907" t="s">
        <v>1123</v>
      </c>
      <c r="AS291" s="908"/>
      <c r="AT291" s="908"/>
      <c r="AU291" s="908"/>
      <c r="AV291" s="909"/>
      <c r="AW291" s="732"/>
      <c r="AX291" s="502">
        <f>SUM(AX290:AX290)</f>
        <v>0</v>
      </c>
      <c r="BA291" s="679"/>
    </row>
    <row r="292" spans="13:53" ht="17.25" customHeight="1" x14ac:dyDescent="0.25">
      <c r="M292" s="268"/>
      <c r="AA292" s="268"/>
      <c r="AI292" s="902" t="s">
        <v>607</v>
      </c>
      <c r="AJ292" s="903"/>
      <c r="AK292" s="903"/>
      <c r="AL292" s="903"/>
      <c r="AM292" s="903"/>
      <c r="AN292" s="904"/>
      <c r="AO292" s="309" t="s">
        <v>299</v>
      </c>
      <c r="AP292" s="310"/>
      <c r="BA292" s="679"/>
    </row>
    <row r="293" spans="13:53" ht="17.25" customHeight="1" x14ac:dyDescent="0.25">
      <c r="M293" s="268"/>
      <c r="AA293" s="268"/>
      <c r="AI293" s="896" t="s">
        <v>1124</v>
      </c>
      <c r="AJ293" s="897"/>
      <c r="AK293" s="897"/>
      <c r="AL293" s="897"/>
      <c r="AM293" s="898"/>
      <c r="AN293" s="717" t="s">
        <v>1125</v>
      </c>
      <c r="AO293" s="317">
        <f t="shared" ref="AO293:AO302" si="61">COUNTIF($A$1:$GO$103,AN293)</f>
        <v>0</v>
      </c>
      <c r="AP293" s="733"/>
      <c r="AR293" s="907" t="s">
        <v>454</v>
      </c>
      <c r="AS293" s="908"/>
      <c r="AT293" s="908"/>
      <c r="AU293" s="908"/>
      <c r="AV293" s="908"/>
      <c r="AW293" s="909"/>
      <c r="AX293" s="309" t="s">
        <v>299</v>
      </c>
      <c r="AY293" s="310"/>
      <c r="BA293" s="679"/>
    </row>
    <row r="294" spans="13:53" ht="17.25" customHeight="1" x14ac:dyDescent="0.25">
      <c r="M294" s="268"/>
      <c r="AA294" s="268"/>
      <c r="AI294" s="896" t="s">
        <v>1126</v>
      </c>
      <c r="AJ294" s="897"/>
      <c r="AK294" s="897"/>
      <c r="AL294" s="897"/>
      <c r="AM294" s="898"/>
      <c r="AN294" s="734" t="s">
        <v>1127</v>
      </c>
      <c r="AO294" s="317">
        <f t="shared" si="61"/>
        <v>0</v>
      </c>
      <c r="AP294" s="733"/>
      <c r="AR294" s="911" t="s">
        <v>1128</v>
      </c>
      <c r="AS294" s="912"/>
      <c r="AT294" s="912"/>
      <c r="AU294" s="912"/>
      <c r="AV294" s="913"/>
      <c r="AW294" s="735" t="s">
        <v>1129</v>
      </c>
      <c r="AX294" s="317">
        <f>COUNTIF($A$1:$GO$103,AW294)</f>
        <v>0</v>
      </c>
      <c r="AY294" s="736"/>
      <c r="BA294" s="679"/>
    </row>
    <row r="295" spans="13:53" ht="17.25" customHeight="1" x14ac:dyDescent="0.25">
      <c r="M295" s="268"/>
      <c r="AA295" s="268"/>
      <c r="AI295" s="896" t="s">
        <v>1130</v>
      </c>
      <c r="AJ295" s="897"/>
      <c r="AK295" s="897"/>
      <c r="AL295" s="897"/>
      <c r="AM295" s="898"/>
      <c r="AN295" s="737" t="s">
        <v>1131</v>
      </c>
      <c r="AO295" s="317">
        <f t="shared" si="61"/>
        <v>0</v>
      </c>
      <c r="AP295" s="733"/>
      <c r="AR295" s="907" t="s">
        <v>1132</v>
      </c>
      <c r="AS295" s="908"/>
      <c r="AT295" s="908"/>
      <c r="AU295" s="908"/>
      <c r="AV295" s="909"/>
      <c r="AW295" s="501"/>
      <c r="AX295" s="502">
        <f>SUM(AX294:AX294)</f>
        <v>0</v>
      </c>
      <c r="BA295" s="679"/>
    </row>
    <row r="296" spans="13:53" ht="17.25" customHeight="1" x14ac:dyDescent="0.25">
      <c r="M296" s="268"/>
      <c r="AA296" s="268"/>
      <c r="AI296" s="896" t="s">
        <v>1133</v>
      </c>
      <c r="AJ296" s="897"/>
      <c r="AK296" s="897"/>
      <c r="AL296" s="897"/>
      <c r="AM296" s="898"/>
      <c r="AN296" s="738" t="s">
        <v>1134</v>
      </c>
      <c r="AO296" s="317">
        <f t="shared" si="61"/>
        <v>0</v>
      </c>
      <c r="AP296" s="733"/>
      <c r="BA296" s="679"/>
    </row>
    <row r="297" spans="13:53" ht="17.25" customHeight="1" x14ac:dyDescent="0.25">
      <c r="M297" s="268"/>
      <c r="AA297" s="268"/>
      <c r="AI297" s="896" t="s">
        <v>1135</v>
      </c>
      <c r="AJ297" s="897"/>
      <c r="AK297" s="897"/>
      <c r="AL297" s="897"/>
      <c r="AM297" s="898"/>
      <c r="AN297" s="739" t="s">
        <v>1136</v>
      </c>
      <c r="AO297" s="317">
        <f t="shared" si="61"/>
        <v>0</v>
      </c>
      <c r="AP297" s="733"/>
      <c r="AR297" s="910" t="s">
        <v>344</v>
      </c>
      <c r="AS297" s="903"/>
      <c r="AT297" s="903"/>
      <c r="AU297" s="903"/>
      <c r="AV297" s="903"/>
      <c r="AW297" s="904"/>
      <c r="AX297" s="309" t="s">
        <v>299</v>
      </c>
      <c r="AY297" s="310"/>
      <c r="BA297" s="679"/>
    </row>
    <row r="298" spans="13:53" ht="17.25" customHeight="1" x14ac:dyDescent="0.25">
      <c r="M298" s="268"/>
      <c r="AA298" s="268"/>
      <c r="AI298" s="896" t="s">
        <v>1137</v>
      </c>
      <c r="AJ298" s="897"/>
      <c r="AK298" s="897"/>
      <c r="AL298" s="897"/>
      <c r="AM298" s="898"/>
      <c r="AN298" s="740" t="s">
        <v>1138</v>
      </c>
      <c r="AO298" s="317">
        <f t="shared" si="61"/>
        <v>0</v>
      </c>
      <c r="AP298" s="733"/>
      <c r="AR298" s="906" t="s">
        <v>1139</v>
      </c>
      <c r="AS298" s="906"/>
      <c r="AT298" s="906"/>
      <c r="AU298" s="906"/>
      <c r="AV298" s="906"/>
      <c r="AW298" s="741" t="s">
        <v>1140</v>
      </c>
      <c r="AX298" s="317">
        <f>COUNTIF($A$1:$GO$103,AW298)</f>
        <v>0</v>
      </c>
      <c r="AY298" s="742"/>
      <c r="BA298" s="679"/>
    </row>
    <row r="299" spans="13:53" ht="17.25" customHeight="1" x14ac:dyDescent="0.25">
      <c r="M299" s="268"/>
      <c r="AA299" s="268"/>
      <c r="AI299" s="896" t="s">
        <v>1141</v>
      </c>
      <c r="AJ299" s="897"/>
      <c r="AK299" s="897"/>
      <c r="AL299" s="897"/>
      <c r="AM299" s="898"/>
      <c r="AN299" s="743" t="s">
        <v>1142</v>
      </c>
      <c r="AO299" s="317">
        <f t="shared" si="61"/>
        <v>0</v>
      </c>
      <c r="AP299" s="733"/>
      <c r="AR299" s="906" t="s">
        <v>1143</v>
      </c>
      <c r="AS299" s="906"/>
      <c r="AT299" s="906"/>
      <c r="AU299" s="906"/>
      <c r="AV299" s="906"/>
      <c r="AW299" s="744" t="s">
        <v>1144</v>
      </c>
      <c r="AX299" s="317">
        <f>COUNTIF($A$1:$GO$103,AW299)</f>
        <v>0</v>
      </c>
      <c r="AY299" s="742"/>
      <c r="BA299" s="679"/>
    </row>
    <row r="300" spans="13:53" ht="17.25" customHeight="1" x14ac:dyDescent="0.25">
      <c r="M300" s="268"/>
      <c r="AA300" s="268"/>
      <c r="AI300" s="896" t="s">
        <v>1145</v>
      </c>
      <c r="AJ300" s="897"/>
      <c r="AK300" s="897"/>
      <c r="AL300" s="897"/>
      <c r="AM300" s="898"/>
      <c r="AN300" s="745" t="s">
        <v>1146</v>
      </c>
      <c r="AO300" s="317">
        <f t="shared" si="61"/>
        <v>0</v>
      </c>
      <c r="AP300" s="733"/>
      <c r="AR300" s="906" t="s">
        <v>1147</v>
      </c>
      <c r="AS300" s="906"/>
      <c r="AT300" s="906"/>
      <c r="AU300" s="906"/>
      <c r="AV300" s="906"/>
      <c r="AW300" s="746" t="s">
        <v>1148</v>
      </c>
      <c r="AX300" s="317">
        <f>COUNTIF($A$1:$GO$103,AW300)</f>
        <v>0</v>
      </c>
      <c r="AY300" s="742"/>
      <c r="BA300" s="679"/>
    </row>
    <row r="301" spans="13:53" ht="17.25" customHeight="1" x14ac:dyDescent="0.25">
      <c r="M301" s="268"/>
      <c r="AA301" s="268"/>
      <c r="AI301" s="896" t="s">
        <v>1149</v>
      </c>
      <c r="AJ301" s="897"/>
      <c r="AK301" s="897"/>
      <c r="AL301" s="897"/>
      <c r="AM301" s="898"/>
      <c r="AN301" s="747" t="s">
        <v>1150</v>
      </c>
      <c r="AO301" s="317">
        <f t="shared" si="61"/>
        <v>0</v>
      </c>
      <c r="AP301" s="733"/>
      <c r="AR301" s="906" t="s">
        <v>1151</v>
      </c>
      <c r="AS301" s="906"/>
      <c r="AT301" s="906"/>
      <c r="AU301" s="906"/>
      <c r="AV301" s="906"/>
      <c r="AW301" s="748" t="s">
        <v>1152</v>
      </c>
      <c r="AX301" s="317">
        <f>COUNTIF($A$1:$GO$103,AW301)</f>
        <v>0</v>
      </c>
      <c r="AY301" s="742"/>
      <c r="BA301" s="679"/>
    </row>
    <row r="302" spans="13:53" ht="17.25" customHeight="1" x14ac:dyDescent="0.25">
      <c r="M302" s="268"/>
      <c r="AA302" s="268"/>
      <c r="AI302" s="896" t="s">
        <v>1153</v>
      </c>
      <c r="AJ302" s="897"/>
      <c r="AK302" s="897"/>
      <c r="AL302" s="897"/>
      <c r="AM302" s="898"/>
      <c r="AN302" s="749" t="s">
        <v>1154</v>
      </c>
      <c r="AO302" s="317">
        <f t="shared" si="61"/>
        <v>0</v>
      </c>
      <c r="AP302" s="733"/>
      <c r="AR302" s="899" t="s">
        <v>1155</v>
      </c>
      <c r="AS302" s="900"/>
      <c r="AT302" s="900"/>
      <c r="AU302" s="900"/>
      <c r="AV302" s="901"/>
      <c r="AW302" s="750"/>
      <c r="AX302" s="502">
        <f>SUM(AX298:AX301)</f>
        <v>0</v>
      </c>
      <c r="BA302" s="679"/>
    </row>
    <row r="303" spans="13:53" ht="17.25" customHeight="1" x14ac:dyDescent="0.25">
      <c r="M303" s="268"/>
      <c r="AA303" s="268"/>
      <c r="AI303" s="893" t="s">
        <v>1156</v>
      </c>
      <c r="AJ303" s="894"/>
      <c r="AK303" s="894"/>
      <c r="AL303" s="894"/>
      <c r="AM303" s="895"/>
      <c r="AN303" s="501"/>
      <c r="AO303" s="502">
        <f>SUM(AO293:AO302)</f>
        <v>0</v>
      </c>
      <c r="AP303" s="308"/>
      <c r="BA303" s="679"/>
    </row>
    <row r="304" spans="13:53" ht="17.25" customHeight="1" x14ac:dyDescent="0.25">
      <c r="M304" s="268"/>
      <c r="AA304" s="268"/>
      <c r="AI304" s="692"/>
      <c r="BA304" s="679"/>
    </row>
    <row r="305" spans="13:53" ht="17.25" customHeight="1" x14ac:dyDescent="0.25">
      <c r="M305" s="268"/>
      <c r="AA305" s="268"/>
      <c r="AI305" s="902" t="s">
        <v>385</v>
      </c>
      <c r="AJ305" s="903"/>
      <c r="AK305" s="903"/>
      <c r="AL305" s="903"/>
      <c r="AM305" s="903"/>
      <c r="AN305" s="904"/>
      <c r="AO305" s="309" t="s">
        <v>299</v>
      </c>
      <c r="AP305" s="310"/>
      <c r="BA305" s="679"/>
    </row>
    <row r="306" spans="13:53" ht="17.25" customHeight="1" x14ac:dyDescent="0.25">
      <c r="M306" s="268"/>
      <c r="AA306" s="268"/>
      <c r="AI306" s="896" t="s">
        <v>1157</v>
      </c>
      <c r="AJ306" s="897"/>
      <c r="AK306" s="897"/>
      <c r="AL306" s="897"/>
      <c r="AM306" s="897"/>
      <c r="AN306" s="751" t="s">
        <v>1158</v>
      </c>
      <c r="AO306" s="317">
        <f>COUNTIF($A$1:$GO$103,AN306)</f>
        <v>0</v>
      </c>
      <c r="AP306" s="728"/>
      <c r="BA306" s="679"/>
    </row>
    <row r="307" spans="13:53" ht="17.25" customHeight="1" x14ac:dyDescent="0.25">
      <c r="M307" s="268"/>
      <c r="AA307" s="268"/>
      <c r="AI307" s="896"/>
      <c r="AJ307" s="897"/>
      <c r="AK307" s="897"/>
      <c r="AL307" s="897"/>
      <c r="AM307" s="905"/>
      <c r="AN307" s="752"/>
      <c r="AO307" s="317"/>
      <c r="AP307" s="728"/>
      <c r="BA307" s="679"/>
    </row>
    <row r="308" spans="13:53" ht="17.25" customHeight="1" x14ac:dyDescent="0.25">
      <c r="M308" s="268"/>
      <c r="AA308" s="268"/>
      <c r="AI308" s="893" t="s">
        <v>1159</v>
      </c>
      <c r="AJ308" s="894"/>
      <c r="AK308" s="894"/>
      <c r="AL308" s="894"/>
      <c r="AM308" s="895"/>
      <c r="AN308" s="501"/>
      <c r="AO308" s="502">
        <f>SUM(AO306:AO307)</f>
        <v>0</v>
      </c>
      <c r="AP308" s="308"/>
      <c r="BA308" s="679"/>
    </row>
    <row r="309" spans="13:53" ht="17.25" customHeight="1" x14ac:dyDescent="0.25">
      <c r="M309" s="268"/>
      <c r="AA309" s="268"/>
      <c r="AI309" s="753"/>
      <c r="AJ309" s="754"/>
      <c r="AK309" s="754"/>
      <c r="AL309" s="754"/>
      <c r="AM309" s="754"/>
      <c r="AN309" s="755"/>
      <c r="AO309" s="756"/>
      <c r="AP309" s="308"/>
      <c r="BA309" s="679"/>
    </row>
    <row r="310" spans="13:53" ht="17.25" customHeight="1" x14ac:dyDescent="0.25">
      <c r="M310" s="268"/>
      <c r="AA310" s="268"/>
      <c r="AI310" s="753"/>
      <c r="AJ310" s="754"/>
      <c r="AK310" s="754"/>
      <c r="AL310" s="754"/>
      <c r="AM310" s="754"/>
      <c r="AN310" s="755"/>
      <c r="AO310" s="756"/>
      <c r="AP310" s="308"/>
      <c r="BA310" s="679"/>
    </row>
    <row r="311" spans="13:53" ht="17.25" customHeight="1" x14ac:dyDescent="0.25">
      <c r="M311" s="268"/>
      <c r="AA311" s="268"/>
      <c r="AI311" s="753"/>
      <c r="AJ311" s="754"/>
      <c r="AK311" s="754"/>
      <c r="AL311" s="754"/>
      <c r="AM311" s="754"/>
      <c r="AN311" s="755"/>
      <c r="AO311" s="756"/>
      <c r="AP311" s="308"/>
      <c r="BA311" s="679"/>
    </row>
    <row r="312" spans="13:53" ht="17.25" customHeight="1" x14ac:dyDescent="0.25">
      <c r="M312" s="268"/>
      <c r="AA312" s="268"/>
      <c r="AI312" s="753"/>
      <c r="AJ312" s="754"/>
      <c r="AK312" s="754"/>
      <c r="AL312" s="754"/>
      <c r="AM312" s="754"/>
      <c r="AN312" s="755"/>
      <c r="AO312" s="756"/>
      <c r="AP312" s="308"/>
      <c r="BA312" s="679"/>
    </row>
    <row r="313" spans="13:53" ht="17.25" customHeight="1" x14ac:dyDescent="0.25">
      <c r="M313" s="268"/>
      <c r="AA313" s="268"/>
      <c r="AI313" s="753"/>
      <c r="AJ313" s="754"/>
      <c r="AK313" s="754"/>
      <c r="AL313" s="754"/>
      <c r="AM313" s="754"/>
      <c r="AN313" s="755"/>
      <c r="AO313" s="756"/>
      <c r="AP313" s="308"/>
      <c r="BA313" s="679"/>
    </row>
    <row r="314" spans="13:53" ht="17.25" customHeight="1" x14ac:dyDescent="0.25">
      <c r="M314" s="268"/>
      <c r="AA314" s="268"/>
      <c r="AI314" s="753"/>
      <c r="AJ314" s="754"/>
      <c r="AK314" s="754"/>
      <c r="AL314" s="754"/>
      <c r="AM314" s="754"/>
      <c r="AN314" s="755"/>
      <c r="AO314" s="756"/>
      <c r="AP314" s="308"/>
      <c r="BA314" s="679"/>
    </row>
    <row r="315" spans="13:53" ht="17.25" customHeight="1" x14ac:dyDescent="0.25">
      <c r="M315" s="268"/>
      <c r="AA315" s="268"/>
      <c r="AI315" s="753"/>
      <c r="AJ315" s="754"/>
      <c r="AK315" s="754"/>
      <c r="AL315" s="754"/>
      <c r="AM315" s="754"/>
      <c r="AN315" s="755"/>
      <c r="AO315" s="756"/>
      <c r="AP315" s="308"/>
      <c r="BA315" s="679"/>
    </row>
    <row r="316" spans="13:53" ht="17.25" customHeight="1" x14ac:dyDescent="0.25">
      <c r="M316" s="268"/>
      <c r="AA316" s="268"/>
      <c r="AI316" s="753"/>
      <c r="AJ316" s="754"/>
      <c r="AK316" s="754"/>
      <c r="AL316" s="754"/>
      <c r="AM316" s="754"/>
      <c r="AN316" s="755"/>
      <c r="AO316" s="756"/>
      <c r="AP316" s="308"/>
      <c r="BA316" s="679"/>
    </row>
    <row r="317" spans="13:53" ht="17.25" customHeight="1" x14ac:dyDescent="0.25">
      <c r="M317" s="268"/>
      <c r="AA317" s="268"/>
      <c r="AI317" s="753"/>
      <c r="AJ317" s="754"/>
      <c r="AK317" s="754"/>
      <c r="AL317" s="754"/>
      <c r="AM317" s="754"/>
      <c r="AN317" s="755"/>
      <c r="AO317" s="756"/>
      <c r="AP317" s="308"/>
      <c r="BA317" s="679"/>
    </row>
    <row r="318" spans="13:53" ht="17.25" customHeight="1" x14ac:dyDescent="0.25">
      <c r="M318" s="268"/>
      <c r="AA318" s="268"/>
      <c r="AI318" s="753"/>
      <c r="AJ318" s="754"/>
      <c r="AK318" s="754"/>
      <c r="AL318" s="754"/>
      <c r="AM318" s="754"/>
      <c r="AN318" s="755"/>
      <c r="AO318" s="756"/>
      <c r="AP318" s="308"/>
      <c r="BA318" s="679"/>
    </row>
    <row r="319" spans="13:53" ht="17.25" customHeight="1" x14ac:dyDescent="0.25">
      <c r="M319" s="268"/>
      <c r="AA319" s="268"/>
      <c r="AI319" s="753"/>
      <c r="AJ319" s="754"/>
      <c r="AK319" s="754"/>
      <c r="AL319" s="754"/>
      <c r="AM319" s="754"/>
      <c r="AN319" s="755"/>
      <c r="AO319" s="756"/>
      <c r="AP319" s="308"/>
      <c r="BA319" s="679"/>
    </row>
    <row r="320" spans="13:53" ht="17.25" customHeight="1" x14ac:dyDescent="0.25">
      <c r="M320" s="268"/>
      <c r="AA320" s="268"/>
      <c r="AI320" s="692"/>
      <c r="BA320" s="679"/>
    </row>
    <row r="321" spans="13:53" ht="17.25" customHeight="1" thickBot="1" x14ac:dyDescent="0.3">
      <c r="M321" s="268"/>
      <c r="AA321" s="268"/>
      <c r="AI321" s="757"/>
      <c r="AJ321" s="758"/>
      <c r="AK321" s="758"/>
      <c r="AL321" s="758"/>
      <c r="AM321" s="758"/>
      <c r="AN321" s="758"/>
      <c r="AO321" s="758"/>
      <c r="AP321" s="758"/>
      <c r="AQ321" s="758"/>
      <c r="AR321" s="758"/>
      <c r="AS321" s="758"/>
      <c r="AT321" s="758"/>
      <c r="AU321" s="758"/>
      <c r="AV321" s="758"/>
      <c r="AW321" s="758"/>
      <c r="AX321" s="758"/>
      <c r="AY321" s="758"/>
      <c r="AZ321" s="758"/>
      <c r="BA321" s="759"/>
    </row>
    <row r="322" spans="13:53" ht="17.25" customHeight="1" x14ac:dyDescent="0.25">
      <c r="M322" s="268"/>
      <c r="AA322" s="268"/>
    </row>
    <row r="323" spans="13:53" ht="17.25" customHeight="1" x14ac:dyDescent="0.25">
      <c r="M323" s="268"/>
      <c r="AA323" s="268"/>
    </row>
    <row r="324" spans="13:53" ht="17.25" customHeight="1" x14ac:dyDescent="0.25">
      <c r="M324" s="268"/>
      <c r="AA324" s="268"/>
    </row>
    <row r="325" spans="13:53" ht="17.25" customHeight="1" x14ac:dyDescent="0.25">
      <c r="M325" s="268"/>
      <c r="AA325" s="268"/>
    </row>
    <row r="326" spans="13:53" ht="17.25" customHeight="1" x14ac:dyDescent="0.25">
      <c r="M326" s="268"/>
      <c r="AA326" s="268"/>
    </row>
    <row r="327" spans="13:53" ht="17.25" customHeight="1" x14ac:dyDescent="0.25">
      <c r="M327" s="268"/>
      <c r="AA327" s="268"/>
      <c r="AZ327" s="653"/>
    </row>
    <row r="328" spans="13:53" ht="17.25" customHeight="1" x14ac:dyDescent="0.25">
      <c r="M328" s="268"/>
      <c r="AA328" s="268"/>
      <c r="AI328" s="137"/>
      <c r="AJ328" s="137"/>
      <c r="AK328" s="137"/>
      <c r="AL328" s="137"/>
      <c r="AM328" s="137"/>
      <c r="AQ328" s="760"/>
    </row>
    <row r="329" spans="13:53" ht="17.25" customHeight="1" x14ac:dyDescent="0.25">
      <c r="M329" s="268"/>
      <c r="AA329" s="268"/>
      <c r="AI329" s="889"/>
      <c r="AJ329" s="889"/>
      <c r="AK329" s="889"/>
      <c r="AL329" s="889"/>
      <c r="AM329" s="889"/>
      <c r="AN329" s="889"/>
      <c r="AO329" s="760"/>
      <c r="AP329" s="760"/>
      <c r="AQ329" s="516"/>
      <c r="BA329" s="653"/>
    </row>
    <row r="330" spans="13:53" ht="17.25" customHeight="1" x14ac:dyDescent="0.25">
      <c r="M330" s="268"/>
      <c r="AA330" s="268"/>
      <c r="AI330" s="890"/>
      <c r="AJ330" s="890"/>
      <c r="AK330" s="890"/>
      <c r="AL330" s="890"/>
      <c r="AM330" s="890"/>
      <c r="AN330" s="10"/>
      <c r="AO330" s="516"/>
      <c r="AP330" s="516"/>
      <c r="AQ330" s="760"/>
      <c r="AZ330" s="653"/>
      <c r="BA330" s="760"/>
    </row>
    <row r="331" spans="13:53" ht="17.25" customHeight="1" x14ac:dyDescent="0.25">
      <c r="M331" s="268"/>
      <c r="AA331" s="268"/>
      <c r="AI331" s="889"/>
      <c r="AJ331" s="889"/>
      <c r="AK331" s="889"/>
      <c r="AL331" s="889"/>
      <c r="AM331" s="889"/>
      <c r="AN331" s="889"/>
      <c r="AO331" s="760"/>
      <c r="AP331" s="760"/>
      <c r="AQ331" s="761"/>
      <c r="AZ331" s="760"/>
      <c r="BA331" s="653"/>
    </row>
    <row r="332" spans="13:53" ht="17.25" customHeight="1" x14ac:dyDescent="0.25">
      <c r="M332" s="268"/>
      <c r="AA332" s="268"/>
      <c r="AI332" s="889"/>
      <c r="AJ332" s="889"/>
      <c r="AK332" s="889"/>
      <c r="AL332" s="889"/>
      <c r="AM332" s="889"/>
      <c r="AN332" s="889"/>
      <c r="AO332" s="761"/>
      <c r="AP332" s="761"/>
      <c r="AQ332" s="761"/>
      <c r="AZ332" s="653"/>
      <c r="BA332" s="653"/>
    </row>
    <row r="333" spans="13:53" ht="17.25" customHeight="1" x14ac:dyDescent="0.25">
      <c r="M333" s="268"/>
      <c r="AA333" s="268"/>
      <c r="AI333" s="653"/>
      <c r="AJ333" s="653"/>
      <c r="AK333" s="653"/>
      <c r="AL333" s="653"/>
      <c r="AM333" s="653"/>
      <c r="AN333" s="653"/>
      <c r="AO333" s="761"/>
      <c r="AP333" s="761"/>
      <c r="AQ333" s="761"/>
      <c r="AZ333" s="653"/>
      <c r="BA333" s="653"/>
    </row>
    <row r="334" spans="13:53" ht="17.25" customHeight="1" x14ac:dyDescent="0.25">
      <c r="M334" s="268"/>
      <c r="AA334" s="268"/>
      <c r="AI334" s="653"/>
      <c r="AJ334" s="653"/>
      <c r="AK334" s="653"/>
      <c r="AL334" s="653"/>
      <c r="AM334" s="653"/>
      <c r="AN334" s="653"/>
      <c r="AO334" s="761"/>
      <c r="AP334" s="761"/>
      <c r="AQ334" s="761"/>
      <c r="AZ334" s="653"/>
      <c r="BA334" s="653"/>
    </row>
    <row r="335" spans="13:53" ht="17.25" customHeight="1" x14ac:dyDescent="0.25">
      <c r="M335" s="268"/>
      <c r="AA335" s="268"/>
      <c r="AI335" s="653"/>
      <c r="AJ335" s="653"/>
      <c r="AK335" s="653"/>
      <c r="AL335" s="653"/>
      <c r="AM335" s="653"/>
      <c r="AN335" s="653"/>
      <c r="AO335" s="761"/>
      <c r="AP335" s="761"/>
      <c r="AQ335" s="761"/>
      <c r="AZ335" s="653"/>
      <c r="BA335" s="653"/>
    </row>
    <row r="336" spans="13:53" ht="17.25" customHeight="1" x14ac:dyDescent="0.25">
      <c r="M336" s="268"/>
      <c r="AA336" s="268"/>
      <c r="AI336" s="653"/>
      <c r="AJ336" s="653"/>
      <c r="AK336" s="653"/>
      <c r="AL336" s="653"/>
      <c r="AM336" s="653"/>
      <c r="AN336" s="653"/>
      <c r="AO336" s="761"/>
      <c r="AP336" s="761"/>
      <c r="AQ336" s="761"/>
      <c r="AZ336" s="653"/>
      <c r="BA336" s="653"/>
    </row>
    <row r="337" spans="13:53" ht="17.25" customHeight="1" x14ac:dyDescent="0.25">
      <c r="M337" s="268"/>
      <c r="AA337" s="268"/>
      <c r="AI337" s="653"/>
      <c r="AJ337" s="653"/>
      <c r="AK337" s="653"/>
      <c r="AL337" s="653"/>
      <c r="AM337" s="653"/>
      <c r="AN337" s="653"/>
      <c r="AO337" s="761"/>
      <c r="AP337" s="761"/>
      <c r="AQ337" s="761"/>
      <c r="AZ337" s="653"/>
      <c r="BA337" s="653"/>
    </row>
    <row r="338" spans="13:53" ht="17.25" customHeight="1" x14ac:dyDescent="0.25">
      <c r="M338" s="268"/>
      <c r="AA338" s="268"/>
      <c r="AI338" s="653"/>
      <c r="AJ338" s="653"/>
      <c r="AK338" s="653"/>
      <c r="AL338" s="653"/>
      <c r="AM338" s="653"/>
      <c r="AN338" s="653"/>
      <c r="AO338" s="761"/>
      <c r="AP338" s="761"/>
      <c r="AQ338" s="761"/>
      <c r="AZ338" s="653"/>
      <c r="BA338" s="653"/>
    </row>
    <row r="339" spans="13:53" ht="17.25" customHeight="1" x14ac:dyDescent="0.25">
      <c r="M339" s="268"/>
      <c r="AA339" s="268"/>
      <c r="AI339" s="653"/>
      <c r="AJ339" s="653"/>
      <c r="AK339" s="653"/>
      <c r="AL339" s="653"/>
      <c r="AM339" s="653"/>
      <c r="AN339" s="653"/>
      <c r="AO339" s="761"/>
      <c r="AP339" s="761"/>
      <c r="AQ339" s="761"/>
      <c r="AZ339" s="653"/>
      <c r="BA339" s="653"/>
    </row>
    <row r="340" spans="13:53" ht="17.25" customHeight="1" x14ac:dyDescent="0.25">
      <c r="M340" s="268"/>
      <c r="AA340" s="268"/>
      <c r="AI340" s="653"/>
      <c r="AJ340" s="653"/>
      <c r="AK340" s="653"/>
      <c r="AL340" s="653"/>
      <c r="AM340" s="653"/>
      <c r="AN340" s="653"/>
      <c r="AO340" s="761"/>
      <c r="AP340" s="761"/>
      <c r="AQ340" s="761"/>
      <c r="AZ340" s="653"/>
      <c r="BA340" s="653"/>
    </row>
    <row r="341" spans="13:53" ht="17.25" customHeight="1" x14ac:dyDescent="0.25">
      <c r="M341" s="268"/>
      <c r="AA341" s="268"/>
      <c r="AI341" s="653"/>
      <c r="AJ341" s="653"/>
      <c r="AK341" s="653"/>
      <c r="AL341" s="653"/>
      <c r="AM341" s="653"/>
      <c r="AN341" s="653"/>
      <c r="AO341" s="761"/>
      <c r="AP341" s="761"/>
      <c r="AQ341" s="761"/>
      <c r="AZ341" s="653"/>
      <c r="BA341" s="653"/>
    </row>
    <row r="342" spans="13:53" ht="17.25" customHeight="1" x14ac:dyDescent="0.25">
      <c r="M342" s="268"/>
      <c r="AA342" s="268"/>
      <c r="AI342" s="653"/>
      <c r="AJ342" s="653"/>
      <c r="AK342" s="653"/>
      <c r="AL342" s="653"/>
      <c r="AM342" s="653"/>
      <c r="AN342" s="653"/>
      <c r="AO342" s="761"/>
      <c r="AP342" s="761"/>
      <c r="AQ342" s="761"/>
      <c r="AZ342" s="653"/>
      <c r="BA342" s="653"/>
    </row>
    <row r="343" spans="13:53" ht="17.25" customHeight="1" x14ac:dyDescent="0.25">
      <c r="M343" s="268"/>
      <c r="AA343" s="268"/>
      <c r="AI343" s="653"/>
      <c r="AJ343" s="653"/>
      <c r="AK343" s="653"/>
      <c r="AL343" s="653"/>
      <c r="AM343" s="653"/>
      <c r="AN343" s="653"/>
      <c r="AO343" s="761"/>
      <c r="AP343" s="761"/>
      <c r="AQ343" s="761"/>
      <c r="AZ343" s="653"/>
      <c r="BA343" s="653"/>
    </row>
    <row r="344" spans="13:53" ht="17.25" customHeight="1" x14ac:dyDescent="0.25">
      <c r="M344" s="268"/>
      <c r="AA344" s="268"/>
      <c r="AI344" s="653"/>
      <c r="AJ344" s="653"/>
      <c r="AK344" s="653"/>
      <c r="AL344" s="653"/>
      <c r="AM344" s="653"/>
      <c r="AN344" s="653"/>
      <c r="AO344" s="761"/>
      <c r="AP344" s="761"/>
      <c r="AQ344" s="761"/>
      <c r="AZ344" s="653"/>
      <c r="BA344" s="653"/>
    </row>
    <row r="345" spans="13:53" ht="17.25" customHeight="1" x14ac:dyDescent="0.25">
      <c r="M345" s="268"/>
      <c r="AA345" s="268"/>
      <c r="AI345" s="137"/>
      <c r="AJ345" s="137"/>
      <c r="AK345" s="137"/>
      <c r="AL345" s="137"/>
      <c r="AM345" s="137"/>
      <c r="AQ345" s="761"/>
      <c r="AZ345" s="653"/>
      <c r="BA345" s="653"/>
    </row>
    <row r="346" spans="13:53" ht="17.25" customHeight="1" x14ac:dyDescent="0.25">
      <c r="M346" s="268"/>
      <c r="AA346" s="268"/>
      <c r="AI346" s="137"/>
      <c r="AJ346" s="137"/>
      <c r="AK346" s="137"/>
      <c r="AL346" s="137"/>
      <c r="AM346" s="137"/>
      <c r="AQ346" s="761"/>
      <c r="AZ346" s="653"/>
      <c r="BA346" s="653"/>
    </row>
    <row r="347" spans="13:53" ht="17.25" customHeight="1" x14ac:dyDescent="0.25">
      <c r="M347" s="268"/>
      <c r="AA347" s="268"/>
      <c r="AI347" s="137"/>
      <c r="AJ347" s="137"/>
      <c r="AK347" s="137"/>
      <c r="AL347" s="137"/>
      <c r="AM347" s="137"/>
      <c r="AQ347" s="761"/>
      <c r="AZ347" s="653"/>
      <c r="BA347" s="653"/>
    </row>
    <row r="348" spans="13:53" ht="17.25" customHeight="1" x14ac:dyDescent="0.25">
      <c r="M348" s="268"/>
      <c r="AA348" s="268"/>
      <c r="AI348" s="137"/>
      <c r="AJ348" s="137"/>
      <c r="AK348" s="137"/>
      <c r="AL348" s="137"/>
      <c r="AM348" s="137"/>
      <c r="AQ348" s="761"/>
      <c r="AZ348" s="653"/>
      <c r="BA348" s="653"/>
    </row>
    <row r="349" spans="13:53" ht="17.25" customHeight="1" x14ac:dyDescent="0.25">
      <c r="M349" s="268"/>
      <c r="AA349" s="268"/>
      <c r="AI349" s="137"/>
      <c r="AJ349" s="137"/>
      <c r="AK349" s="137"/>
      <c r="AL349" s="137"/>
      <c r="AM349" s="137"/>
      <c r="AQ349" s="761"/>
      <c r="AZ349" s="653"/>
      <c r="BA349" s="653"/>
    </row>
    <row r="350" spans="13:53" ht="17.25" customHeight="1" x14ac:dyDescent="0.25">
      <c r="M350" s="268"/>
      <c r="AA350" s="268"/>
      <c r="AI350" s="137"/>
      <c r="AJ350" s="137"/>
      <c r="AK350" s="137"/>
      <c r="AL350" s="137"/>
      <c r="AM350" s="137"/>
      <c r="AQ350" s="761"/>
      <c r="AZ350" s="653"/>
      <c r="BA350" s="653"/>
    </row>
    <row r="351" spans="13:53" ht="17.25" customHeight="1" x14ac:dyDescent="0.25">
      <c r="M351" s="268"/>
      <c r="AA351" s="268"/>
      <c r="AI351" s="137"/>
      <c r="AJ351" s="137"/>
      <c r="AK351" s="137"/>
      <c r="AL351" s="137"/>
      <c r="AM351" s="137"/>
      <c r="AQ351" s="761"/>
      <c r="AZ351" s="653"/>
      <c r="BA351" s="653"/>
    </row>
    <row r="352" spans="13:53" ht="17.25" customHeight="1" x14ac:dyDescent="0.25">
      <c r="M352" s="268"/>
      <c r="AA352" s="268"/>
      <c r="AI352" s="137"/>
      <c r="AJ352" s="137"/>
      <c r="AK352" s="137"/>
      <c r="AL352" s="137"/>
      <c r="AM352" s="137"/>
      <c r="AQ352" s="761"/>
      <c r="AZ352" s="653"/>
      <c r="BA352" s="653"/>
    </row>
    <row r="353" spans="13:53" ht="17.25" customHeight="1" x14ac:dyDescent="0.25">
      <c r="M353" s="268"/>
      <c r="AA353" s="268"/>
      <c r="AI353" s="137"/>
      <c r="AJ353" s="137"/>
      <c r="AK353" s="137"/>
      <c r="AL353" s="137"/>
      <c r="AM353" s="137"/>
      <c r="AQ353" s="761"/>
      <c r="AZ353" s="653"/>
      <c r="BA353" s="653"/>
    </row>
    <row r="354" spans="13:53" ht="17.25" customHeight="1" x14ac:dyDescent="0.25">
      <c r="M354" s="268"/>
      <c r="AA354" s="268"/>
      <c r="AI354" s="137"/>
      <c r="AJ354" s="137"/>
      <c r="AK354" s="137"/>
      <c r="AL354" s="137"/>
      <c r="AM354" s="137"/>
      <c r="AQ354" s="761"/>
      <c r="AZ354" s="653"/>
      <c r="BA354" s="653"/>
    </row>
    <row r="355" spans="13:53" ht="17.25" customHeight="1" x14ac:dyDescent="0.25">
      <c r="M355" s="268"/>
      <c r="AA355" s="268"/>
      <c r="AI355" s="137"/>
      <c r="AJ355" s="137"/>
      <c r="AK355" s="137"/>
      <c r="AL355" s="137"/>
      <c r="AM355" s="137"/>
      <c r="AQ355" s="761"/>
      <c r="AZ355" s="653"/>
      <c r="BA355" s="653"/>
    </row>
    <row r="356" spans="13:53" ht="17.25" customHeight="1" x14ac:dyDescent="0.25">
      <c r="M356" s="268"/>
      <c r="AA356" s="268"/>
      <c r="AI356" s="137"/>
      <c r="AJ356" s="137"/>
      <c r="AK356" s="137"/>
      <c r="AL356" s="137"/>
      <c r="AM356" s="137"/>
      <c r="AQ356" s="761"/>
      <c r="AZ356" s="653"/>
      <c r="BA356" s="653"/>
    </row>
    <row r="357" spans="13:53" ht="17.25" customHeight="1" x14ac:dyDescent="0.25">
      <c r="M357" s="268"/>
      <c r="AA357" s="268"/>
      <c r="AI357" s="137"/>
      <c r="AJ357" s="137"/>
      <c r="AK357" s="137"/>
      <c r="AL357" s="137"/>
      <c r="AM357" s="137"/>
      <c r="AQ357" s="761"/>
      <c r="AZ357" s="653"/>
      <c r="BA357" s="653"/>
    </row>
    <row r="358" spans="13:53" ht="17.25" customHeight="1" x14ac:dyDescent="0.25">
      <c r="M358" s="268"/>
      <c r="AI358" s="137"/>
      <c r="AJ358" s="137"/>
      <c r="AK358" s="137"/>
      <c r="AL358" s="137"/>
      <c r="AM358" s="137"/>
      <c r="AQ358" s="761"/>
      <c r="AZ358" s="653"/>
      <c r="BA358" s="653"/>
    </row>
    <row r="359" spans="13:53" ht="17.25" customHeight="1" x14ac:dyDescent="0.25">
      <c r="M359" s="268"/>
      <c r="AI359" s="137"/>
      <c r="AJ359" s="137"/>
      <c r="AK359" s="137"/>
      <c r="AL359" s="137"/>
      <c r="AM359" s="137"/>
      <c r="AQ359" s="761"/>
      <c r="AZ359" s="653"/>
      <c r="BA359" s="653"/>
    </row>
    <row r="360" spans="13:53" ht="17.25" customHeight="1" x14ac:dyDescent="0.25">
      <c r="M360" s="268"/>
      <c r="AI360" s="137"/>
      <c r="AJ360" s="137"/>
      <c r="AK360" s="137"/>
      <c r="AL360" s="137"/>
      <c r="AM360" s="137"/>
      <c r="AQ360" s="760"/>
      <c r="AZ360" s="653"/>
    </row>
    <row r="361" spans="13:53" ht="17.25" customHeight="1" x14ac:dyDescent="0.25">
      <c r="M361" s="268"/>
      <c r="AI361" s="137"/>
      <c r="AJ361" s="137"/>
      <c r="AK361" s="137"/>
      <c r="AL361" s="137"/>
      <c r="AM361" s="137"/>
      <c r="AQ361" s="516"/>
      <c r="BA361" s="653"/>
    </row>
    <row r="362" spans="13:53" ht="17.25" customHeight="1" x14ac:dyDescent="0.25">
      <c r="M362" s="268"/>
      <c r="AI362" s="890"/>
      <c r="AJ362" s="890"/>
      <c r="AK362" s="890"/>
      <c r="AL362" s="890"/>
      <c r="AM362" s="890"/>
      <c r="AN362" s="10"/>
      <c r="AO362" s="516"/>
      <c r="AP362" s="516"/>
      <c r="AQ362" s="516"/>
      <c r="AZ362" s="653"/>
      <c r="BA362" s="653"/>
    </row>
    <row r="363" spans="13:53" ht="17.25" customHeight="1" x14ac:dyDescent="0.25">
      <c r="M363" s="268"/>
      <c r="AI363" s="760"/>
      <c r="AJ363" s="760"/>
      <c r="AK363" s="760"/>
      <c r="AL363" s="760"/>
      <c r="AM363" s="760"/>
      <c r="AN363" s="10"/>
      <c r="AO363" s="516"/>
      <c r="AP363" s="516"/>
      <c r="AQ363" s="516"/>
      <c r="AZ363" s="653"/>
      <c r="BA363" s="653"/>
    </row>
    <row r="364" spans="13:53" ht="17.25" customHeight="1" x14ac:dyDescent="0.25">
      <c r="M364" s="268"/>
      <c r="AI364" s="760"/>
      <c r="AJ364" s="760"/>
      <c r="AK364" s="760"/>
      <c r="AL364" s="760"/>
      <c r="AM364" s="760"/>
      <c r="AN364" s="10"/>
      <c r="AO364" s="516"/>
      <c r="AP364" s="516"/>
      <c r="AQ364" s="760"/>
      <c r="AZ364" s="653"/>
      <c r="BA364" s="760"/>
    </row>
    <row r="365" spans="13:53" ht="17.25" customHeight="1" x14ac:dyDescent="0.25">
      <c r="M365" s="268"/>
      <c r="AI365" s="760"/>
      <c r="AJ365" s="760"/>
      <c r="AK365" s="760"/>
      <c r="AL365" s="760"/>
      <c r="AM365" s="760"/>
      <c r="AN365" s="10"/>
      <c r="AO365" s="516"/>
      <c r="AP365" s="516"/>
      <c r="AQ365" s="761"/>
      <c r="AR365" s="761"/>
      <c r="AS365" s="761"/>
      <c r="AT365" s="761"/>
      <c r="AU365" s="761"/>
      <c r="AZ365" s="760"/>
      <c r="BA365" s="653"/>
    </row>
    <row r="366" spans="13:53" ht="17.25" customHeight="1" x14ac:dyDescent="0.25">
      <c r="M366" s="268"/>
      <c r="AI366" s="889"/>
      <c r="AJ366" s="889"/>
      <c r="AK366" s="889"/>
      <c r="AL366" s="889"/>
      <c r="AM366" s="889"/>
      <c r="AN366" s="889"/>
      <c r="AO366" s="760"/>
      <c r="AP366" s="760"/>
      <c r="AW366" s="653"/>
      <c r="AX366" s="653"/>
      <c r="AY366" s="653"/>
      <c r="AZ366" s="653"/>
      <c r="BA366" s="653"/>
    </row>
    <row r="367" spans="13:53" ht="17.25" customHeight="1" x14ac:dyDescent="0.25">
      <c r="M367" s="268"/>
      <c r="AI367" s="889"/>
      <c r="AJ367" s="889"/>
      <c r="AK367" s="889"/>
      <c r="AL367" s="889"/>
      <c r="AM367" s="889"/>
      <c r="AN367" s="889"/>
      <c r="AO367" s="761"/>
      <c r="AP367" s="761"/>
      <c r="AQ367" s="760"/>
      <c r="AW367" s="653"/>
      <c r="AX367" s="653"/>
      <c r="AY367" s="653"/>
      <c r="AZ367" s="653"/>
      <c r="BA367" s="653"/>
    </row>
    <row r="368" spans="13:53" ht="17.25" customHeight="1" x14ac:dyDescent="0.25">
      <c r="M368" s="268"/>
      <c r="AQ368" s="760"/>
      <c r="AW368" s="653"/>
      <c r="AX368" s="653"/>
      <c r="AY368" s="653"/>
      <c r="AZ368" s="653"/>
    </row>
    <row r="369" spans="13:53" ht="17.25" customHeight="1" x14ac:dyDescent="0.25">
      <c r="M369" s="268"/>
      <c r="AI369" s="889"/>
      <c r="AJ369" s="889"/>
      <c r="AK369" s="889"/>
      <c r="AL369" s="889"/>
      <c r="AM369" s="889"/>
      <c r="AN369" s="889"/>
      <c r="AO369" s="760"/>
      <c r="AP369" s="760"/>
      <c r="AQ369" s="760"/>
      <c r="AR369" s="760"/>
      <c r="AS369" s="760"/>
      <c r="AT369" s="760"/>
      <c r="AU369" s="760"/>
      <c r="AW369" s="760"/>
      <c r="AX369" s="760"/>
      <c r="AY369" s="760"/>
    </row>
    <row r="370" spans="13:53" ht="17.25" customHeight="1" x14ac:dyDescent="0.25">
      <c r="M370" s="268"/>
      <c r="AI370" s="890"/>
      <c r="AJ370" s="890"/>
      <c r="AK370" s="890"/>
      <c r="AL370" s="890"/>
      <c r="AM370" s="890"/>
      <c r="AN370" s="10"/>
      <c r="AO370" s="516"/>
      <c r="AP370" s="516"/>
      <c r="AQ370" s="516"/>
      <c r="AR370" s="516"/>
      <c r="AS370" s="516"/>
      <c r="AT370" s="516"/>
      <c r="AU370" s="516"/>
      <c r="AW370" s="653"/>
      <c r="AX370" s="653"/>
      <c r="AY370" s="653"/>
      <c r="BA370" s="653"/>
    </row>
    <row r="371" spans="13:53" ht="17.25" customHeight="1" x14ac:dyDescent="0.25">
      <c r="M371" s="268"/>
      <c r="AI371" s="760"/>
      <c r="AJ371" s="760"/>
      <c r="AK371" s="760"/>
      <c r="AL371" s="760"/>
      <c r="AM371" s="760"/>
      <c r="AN371" s="10"/>
      <c r="AO371" s="516"/>
      <c r="AP371" s="516"/>
      <c r="AQ371" s="516"/>
      <c r="AR371" s="516"/>
      <c r="AS371" s="516"/>
      <c r="AT371" s="516"/>
      <c r="AU371" s="516"/>
      <c r="AW371" s="653"/>
      <c r="AX371" s="653"/>
      <c r="AY371" s="653"/>
      <c r="AZ371" s="653"/>
      <c r="BA371" s="653"/>
    </row>
    <row r="372" spans="13:53" ht="17.25" customHeight="1" x14ac:dyDescent="0.25">
      <c r="M372" s="268"/>
      <c r="AI372" s="760"/>
      <c r="AJ372" s="760"/>
      <c r="AK372" s="760"/>
      <c r="AL372" s="760"/>
      <c r="AM372" s="760"/>
      <c r="AN372" s="10"/>
      <c r="AO372" s="516"/>
      <c r="AP372" s="516"/>
      <c r="AQ372" s="516"/>
      <c r="AZ372" s="653"/>
      <c r="BA372" s="653"/>
    </row>
    <row r="373" spans="13:53" ht="17.25" customHeight="1" x14ac:dyDescent="0.25">
      <c r="M373" s="268"/>
      <c r="AI373" s="760"/>
      <c r="AJ373" s="760"/>
      <c r="AK373" s="760"/>
      <c r="AL373" s="760"/>
      <c r="AM373" s="760"/>
      <c r="AN373" s="10"/>
      <c r="AO373" s="516"/>
      <c r="AP373" s="516"/>
      <c r="AQ373" s="516"/>
      <c r="AZ373" s="653"/>
      <c r="BA373" s="653"/>
    </row>
    <row r="374" spans="13:53" ht="17.25" customHeight="1" x14ac:dyDescent="0.25">
      <c r="M374" s="268"/>
      <c r="AI374" s="760"/>
      <c r="AJ374" s="760"/>
      <c r="AK374" s="760"/>
      <c r="AL374" s="760"/>
      <c r="AM374" s="760"/>
      <c r="AN374" s="10"/>
      <c r="AO374" s="516"/>
      <c r="AP374" s="516"/>
      <c r="AQ374" s="516"/>
      <c r="AR374" s="761"/>
      <c r="AS374" s="761"/>
      <c r="AT374" s="761"/>
      <c r="AU374" s="761"/>
      <c r="AZ374" s="653"/>
      <c r="BA374" s="653"/>
    </row>
    <row r="375" spans="13:53" ht="17.25" customHeight="1" x14ac:dyDescent="0.25">
      <c r="M375" s="268"/>
      <c r="AI375" s="760"/>
      <c r="AJ375" s="760"/>
      <c r="AK375" s="760"/>
      <c r="AL375" s="760"/>
      <c r="AM375" s="760"/>
      <c r="AN375" s="10"/>
      <c r="AO375" s="516"/>
      <c r="AP375" s="516"/>
      <c r="AR375" s="761"/>
      <c r="AS375" s="761"/>
      <c r="AT375" s="761"/>
      <c r="AU375" s="761"/>
      <c r="AZ375" s="653"/>
      <c r="BA375" s="653"/>
    </row>
    <row r="376" spans="13:53" ht="17.25" customHeight="1" x14ac:dyDescent="0.25">
      <c r="M376" s="268"/>
      <c r="AI376" s="760"/>
      <c r="AJ376" s="760"/>
      <c r="AK376" s="760"/>
      <c r="AL376" s="760"/>
      <c r="AM376" s="760"/>
      <c r="AN376" s="10"/>
      <c r="AO376" s="516"/>
      <c r="AP376" s="516"/>
      <c r="AQ376" s="760"/>
      <c r="AR376" s="761"/>
      <c r="AS376" s="761"/>
      <c r="AT376" s="761"/>
      <c r="AU376" s="761"/>
      <c r="AZ376" s="653"/>
      <c r="BA376" s="653"/>
    </row>
    <row r="377" spans="13:53" ht="17.25" customHeight="1" x14ac:dyDescent="0.25">
      <c r="M377" s="268"/>
      <c r="AQ377" s="760"/>
      <c r="AW377" s="653"/>
      <c r="AX377" s="653"/>
      <c r="AY377" s="653"/>
      <c r="AZ377" s="653"/>
    </row>
    <row r="378" spans="13:53" ht="17.25" customHeight="1" x14ac:dyDescent="0.25">
      <c r="M378" s="268"/>
      <c r="AI378" s="889"/>
      <c r="AJ378" s="889"/>
      <c r="AK378" s="889"/>
      <c r="AL378" s="889"/>
      <c r="AM378" s="889"/>
      <c r="AN378" s="889"/>
      <c r="AO378" s="760"/>
      <c r="AP378" s="760"/>
      <c r="AQ378" s="516"/>
      <c r="AR378" s="760"/>
      <c r="AS378" s="760"/>
      <c r="AT378" s="760"/>
      <c r="AU378" s="760"/>
      <c r="AW378" s="760"/>
      <c r="AX378" s="760"/>
      <c r="AY378" s="760"/>
    </row>
    <row r="379" spans="13:53" ht="17.25" customHeight="1" x14ac:dyDescent="0.25">
      <c r="M379" s="268"/>
      <c r="AI379" s="890"/>
      <c r="AJ379" s="890"/>
      <c r="AK379" s="890"/>
      <c r="AL379" s="890"/>
      <c r="AM379" s="890"/>
      <c r="AN379" s="10"/>
      <c r="AO379" s="516"/>
      <c r="AP379" s="516"/>
      <c r="AQ379" s="760"/>
      <c r="AR379" s="516"/>
      <c r="AS379" s="516"/>
      <c r="AT379" s="516"/>
      <c r="AU379" s="516"/>
      <c r="AW379" s="653"/>
      <c r="AX379" s="653"/>
      <c r="AY379" s="653"/>
    </row>
    <row r="380" spans="13:53" ht="17.25" customHeight="1" x14ac:dyDescent="0.25">
      <c r="M380" s="268"/>
      <c r="AI380" s="889"/>
      <c r="AJ380" s="889"/>
      <c r="AK380" s="889"/>
      <c r="AL380" s="889"/>
      <c r="AM380" s="889"/>
      <c r="AN380" s="889"/>
      <c r="AO380" s="760"/>
      <c r="AP380" s="760"/>
      <c r="AQ380" s="761"/>
      <c r="AR380" s="760"/>
      <c r="AS380" s="760"/>
      <c r="AT380" s="760"/>
      <c r="AU380" s="760"/>
      <c r="AW380" s="653"/>
      <c r="AX380" s="653"/>
      <c r="AY380" s="653"/>
    </row>
    <row r="381" spans="13:53" ht="17.25" customHeight="1" x14ac:dyDescent="0.25">
      <c r="M381" s="268"/>
      <c r="AI381" s="889"/>
      <c r="AJ381" s="889"/>
      <c r="AK381" s="889"/>
      <c r="AL381" s="889"/>
      <c r="AM381" s="889"/>
      <c r="AN381" s="889"/>
      <c r="AO381" s="761"/>
      <c r="AP381" s="761"/>
      <c r="AR381" s="760"/>
      <c r="AS381" s="760"/>
      <c r="AT381" s="760"/>
      <c r="AU381" s="760"/>
      <c r="AW381" s="653"/>
      <c r="AX381" s="653"/>
      <c r="AY381" s="653"/>
    </row>
    <row r="382" spans="13:53" ht="17.25" customHeight="1" x14ac:dyDescent="0.25">
      <c r="M382" s="268"/>
      <c r="AI382" s="137"/>
      <c r="AJ382" s="137"/>
      <c r="AK382" s="137"/>
      <c r="AL382" s="137"/>
      <c r="AM382" s="137"/>
      <c r="AQ382" s="760"/>
      <c r="AR382" s="761"/>
      <c r="AS382" s="761"/>
      <c r="AT382" s="761"/>
      <c r="AU382" s="761"/>
    </row>
    <row r="383" spans="13:53" ht="17.25" customHeight="1" x14ac:dyDescent="0.25">
      <c r="M383" s="268"/>
      <c r="AI383" s="889"/>
      <c r="AJ383" s="889"/>
      <c r="AK383" s="889"/>
      <c r="AL383" s="889"/>
      <c r="AM383" s="889"/>
      <c r="AN383" s="889"/>
      <c r="AO383" s="760"/>
      <c r="AP383" s="760"/>
      <c r="AQ383" s="516"/>
      <c r="AW383" s="653"/>
      <c r="AX383" s="653"/>
      <c r="AY383" s="653"/>
    </row>
    <row r="384" spans="13:53" ht="17.25" customHeight="1" x14ac:dyDescent="0.25">
      <c r="M384" s="268"/>
      <c r="AI384" s="890"/>
      <c r="AJ384" s="890"/>
      <c r="AK384" s="890"/>
      <c r="AL384" s="890"/>
      <c r="AM384" s="890"/>
      <c r="AN384" s="10"/>
      <c r="AO384" s="516"/>
      <c r="AP384" s="516"/>
      <c r="AQ384" s="760"/>
      <c r="AR384" s="760"/>
      <c r="AS384" s="760"/>
      <c r="AT384" s="760"/>
      <c r="AU384" s="760"/>
      <c r="AW384" s="760"/>
      <c r="AX384" s="760"/>
      <c r="AY384" s="760"/>
    </row>
    <row r="385" spans="13:51" ht="17.25" customHeight="1" x14ac:dyDescent="0.25">
      <c r="M385" s="268"/>
      <c r="AI385" s="889"/>
      <c r="AJ385" s="889"/>
      <c r="AK385" s="889"/>
      <c r="AL385" s="889"/>
      <c r="AM385" s="889"/>
      <c r="AN385" s="889"/>
      <c r="AO385" s="760"/>
      <c r="AP385" s="760"/>
      <c r="AQ385" s="761"/>
      <c r="AR385" s="516"/>
      <c r="AS385" s="516"/>
      <c r="AT385" s="516"/>
      <c r="AU385" s="516"/>
      <c r="AW385" s="653"/>
      <c r="AX385" s="653"/>
      <c r="AY385" s="653"/>
    </row>
    <row r="386" spans="13:51" ht="17.25" customHeight="1" x14ac:dyDescent="0.25">
      <c r="M386" s="268"/>
      <c r="AI386" s="889"/>
      <c r="AJ386" s="889"/>
      <c r="AK386" s="889"/>
      <c r="AL386" s="889"/>
      <c r="AM386" s="889"/>
      <c r="AN386" s="889"/>
      <c r="AO386" s="761"/>
      <c r="AP386" s="761"/>
      <c r="AR386" s="760"/>
      <c r="AS386" s="760"/>
      <c r="AT386" s="760"/>
      <c r="AU386" s="760"/>
      <c r="AW386" s="653"/>
      <c r="AX386" s="653"/>
      <c r="AY386" s="653"/>
    </row>
    <row r="387" spans="13:51" ht="17.25" customHeight="1" x14ac:dyDescent="0.25">
      <c r="M387" s="268"/>
      <c r="AK387" s="308"/>
      <c r="AQ387" s="760"/>
      <c r="AR387" s="761"/>
      <c r="AS387" s="761"/>
      <c r="AT387" s="761"/>
      <c r="AU387" s="761"/>
    </row>
    <row r="388" spans="13:51" ht="17.25" customHeight="1" x14ac:dyDescent="0.25">
      <c r="M388" s="268"/>
      <c r="AI388" s="891"/>
      <c r="AJ388" s="891"/>
      <c r="AK388" s="891"/>
      <c r="AL388" s="891"/>
      <c r="AM388" s="891"/>
      <c r="AN388" s="891"/>
      <c r="AO388" s="760"/>
      <c r="AP388" s="760"/>
      <c r="AQ388" s="516"/>
    </row>
    <row r="389" spans="13:51" ht="17.25" customHeight="1" x14ac:dyDescent="0.25">
      <c r="M389" s="268"/>
      <c r="AI389" s="892"/>
      <c r="AJ389" s="892"/>
      <c r="AK389" s="892"/>
      <c r="AL389" s="892"/>
      <c r="AM389" s="892"/>
      <c r="AN389" s="10"/>
      <c r="AO389" s="516"/>
      <c r="AP389" s="516"/>
      <c r="AQ389" s="760"/>
      <c r="AR389" s="760"/>
      <c r="AS389" s="760"/>
      <c r="AT389" s="760"/>
      <c r="AU389" s="760"/>
    </row>
    <row r="390" spans="13:51" ht="17.25" customHeight="1" x14ac:dyDescent="0.25">
      <c r="M390" s="268"/>
      <c r="AI390" s="891"/>
      <c r="AJ390" s="891"/>
      <c r="AK390" s="891"/>
      <c r="AL390" s="891"/>
      <c r="AM390" s="891"/>
      <c r="AN390" s="891"/>
      <c r="AO390" s="760"/>
      <c r="AP390" s="760"/>
      <c r="AQ390" s="761"/>
      <c r="AR390" s="516"/>
      <c r="AS390" s="516"/>
      <c r="AT390" s="516"/>
      <c r="AU390" s="516"/>
    </row>
    <row r="391" spans="13:51" ht="17.25" customHeight="1" x14ac:dyDescent="0.25">
      <c r="M391" s="268"/>
      <c r="AI391" s="891"/>
      <c r="AJ391" s="891"/>
      <c r="AK391" s="891"/>
      <c r="AL391" s="891"/>
      <c r="AM391" s="891"/>
      <c r="AN391" s="891"/>
      <c r="AO391" s="761"/>
      <c r="AP391" s="761"/>
      <c r="AR391" s="760"/>
      <c r="AS391" s="760"/>
      <c r="AT391" s="760"/>
      <c r="AU391" s="760"/>
    </row>
    <row r="392" spans="13:51" ht="17.25" customHeight="1" x14ac:dyDescent="0.25">
      <c r="M392" s="268"/>
      <c r="AI392" s="137"/>
      <c r="AJ392" s="137"/>
      <c r="AK392" s="137"/>
      <c r="AL392" s="137"/>
      <c r="AM392" s="137"/>
      <c r="AQ392" s="760"/>
      <c r="AR392" s="761"/>
      <c r="AS392" s="761"/>
      <c r="AT392" s="761"/>
      <c r="AU392" s="761"/>
    </row>
    <row r="393" spans="13:51" ht="17.25" customHeight="1" x14ac:dyDescent="0.25">
      <c r="M393" s="268"/>
      <c r="AI393" s="889"/>
      <c r="AJ393" s="889"/>
      <c r="AK393" s="889"/>
      <c r="AL393" s="889"/>
      <c r="AM393" s="889"/>
      <c r="AN393" s="889"/>
      <c r="AO393" s="760"/>
      <c r="AP393" s="760"/>
      <c r="AQ393" s="516"/>
    </row>
    <row r="394" spans="13:51" ht="17.25" customHeight="1" x14ac:dyDescent="0.25">
      <c r="M394" s="268"/>
      <c r="AI394" s="890"/>
      <c r="AJ394" s="890"/>
      <c r="AK394" s="890"/>
      <c r="AL394" s="890"/>
      <c r="AM394" s="890"/>
      <c r="AN394" s="10"/>
      <c r="AO394" s="516"/>
      <c r="AP394" s="516"/>
      <c r="AQ394" s="760"/>
      <c r="AR394" s="760"/>
      <c r="AS394" s="760"/>
      <c r="AT394" s="760"/>
      <c r="AU394" s="760"/>
    </row>
    <row r="395" spans="13:51" ht="17.25" customHeight="1" x14ac:dyDescent="0.25">
      <c r="M395" s="268"/>
      <c r="AI395" s="889"/>
      <c r="AJ395" s="889"/>
      <c r="AK395" s="889"/>
      <c r="AL395" s="889"/>
      <c r="AM395" s="889"/>
      <c r="AN395" s="889"/>
      <c r="AO395" s="760"/>
      <c r="AP395" s="760"/>
      <c r="AQ395" s="761"/>
      <c r="AR395" s="516"/>
      <c r="AS395" s="516"/>
      <c r="AT395" s="516"/>
      <c r="AU395" s="516"/>
    </row>
    <row r="396" spans="13:51" ht="17.25" customHeight="1" x14ac:dyDescent="0.25">
      <c r="M396" s="268"/>
      <c r="AI396" s="889"/>
      <c r="AJ396" s="889"/>
      <c r="AK396" s="889"/>
      <c r="AL396" s="889"/>
      <c r="AM396" s="889"/>
      <c r="AN396" s="889"/>
      <c r="AO396" s="761"/>
      <c r="AP396" s="761"/>
      <c r="AR396" s="760"/>
      <c r="AS396" s="760"/>
      <c r="AT396" s="760"/>
      <c r="AU396" s="760"/>
    </row>
    <row r="397" spans="13:51" ht="17.25" customHeight="1" x14ac:dyDescent="0.25">
      <c r="M397" s="268"/>
      <c r="AR397" s="761"/>
      <c r="AS397" s="761"/>
      <c r="AT397" s="761"/>
      <c r="AU397" s="761"/>
    </row>
    <row r="398" spans="13:51" ht="17.25" customHeight="1" x14ac:dyDescent="0.25">
      <c r="M398" s="268"/>
      <c r="AI398" s="137"/>
      <c r="AJ398" s="137"/>
      <c r="AK398" s="137"/>
      <c r="AL398" s="137"/>
      <c r="AM398" s="137"/>
      <c r="AQ398" s="760"/>
    </row>
    <row r="399" spans="13:51" ht="17.25" customHeight="1" x14ac:dyDescent="0.25">
      <c r="M399" s="268"/>
      <c r="AI399" s="889"/>
      <c r="AJ399" s="889"/>
      <c r="AK399" s="889"/>
      <c r="AL399" s="889"/>
      <c r="AM399" s="889"/>
      <c r="AN399" s="889"/>
      <c r="AO399" s="760"/>
      <c r="AP399" s="760"/>
      <c r="AR399" s="760"/>
      <c r="AS399" s="760"/>
      <c r="AT399" s="760"/>
      <c r="AU399" s="760"/>
    </row>
    <row r="400" spans="13:51" ht="17.25" customHeight="1" x14ac:dyDescent="0.25">
      <c r="M400" s="268"/>
      <c r="AI400" s="890"/>
      <c r="AJ400" s="890"/>
      <c r="AK400" s="890"/>
      <c r="AL400" s="890"/>
      <c r="AM400" s="890"/>
      <c r="AN400" s="10"/>
      <c r="AO400" s="516"/>
      <c r="AP400" s="516"/>
      <c r="AR400" s="516"/>
      <c r="AS400" s="516"/>
      <c r="AT400" s="516"/>
      <c r="AU400" s="516"/>
    </row>
    <row r="401" spans="13:13" ht="17.25" customHeight="1" x14ac:dyDescent="0.25">
      <c r="M401" s="268"/>
    </row>
    <row r="402" spans="13:13" ht="17.25" customHeight="1" x14ac:dyDescent="0.25">
      <c r="M402" s="268"/>
    </row>
    <row r="403" spans="13:13" ht="17.25" customHeight="1" x14ac:dyDescent="0.25">
      <c r="M403" s="268"/>
    </row>
    <row r="404" spans="13:13" ht="17.25" customHeight="1" x14ac:dyDescent="0.25">
      <c r="M404" s="268"/>
    </row>
    <row r="405" spans="13:13" ht="17.25" customHeight="1" x14ac:dyDescent="0.25">
      <c r="M405" s="268"/>
    </row>
    <row r="406" spans="13:13" ht="17.25" customHeight="1" x14ac:dyDescent="0.25">
      <c r="M406" s="268"/>
    </row>
    <row r="407" spans="13:13" ht="17.25" customHeight="1" x14ac:dyDescent="0.25">
      <c r="M407" s="268"/>
    </row>
    <row r="408" spans="13:13" ht="17.25" customHeight="1" x14ac:dyDescent="0.25">
      <c r="M408" s="268"/>
    </row>
    <row r="409" spans="13:13" ht="17.25" customHeight="1" x14ac:dyDescent="0.25">
      <c r="M409" s="268"/>
    </row>
    <row r="410" spans="13:13" ht="17.25" customHeight="1" x14ac:dyDescent="0.25">
      <c r="M410" s="268"/>
    </row>
    <row r="411" spans="13:13" ht="17.25" customHeight="1" x14ac:dyDescent="0.25">
      <c r="M411" s="268"/>
    </row>
    <row r="412" spans="13:13" ht="17.25" customHeight="1" x14ac:dyDescent="0.25">
      <c r="M412" s="268"/>
    </row>
    <row r="413" spans="13:13" ht="17.25" customHeight="1" x14ac:dyDescent="0.25">
      <c r="M413" s="268"/>
    </row>
    <row r="414" spans="13:13" ht="17.25" customHeight="1" x14ac:dyDescent="0.25">
      <c r="M414" s="268"/>
    </row>
    <row r="415" spans="13:13" ht="17.25" customHeight="1" x14ac:dyDescent="0.25">
      <c r="M415" s="268"/>
    </row>
    <row r="416" spans="13:13" ht="17.25" customHeight="1" x14ac:dyDescent="0.25">
      <c r="M416" s="268"/>
    </row>
    <row r="417" spans="13:13" ht="17.25" customHeight="1" x14ac:dyDescent="0.25">
      <c r="M417" s="268"/>
    </row>
    <row r="418" spans="13:13" ht="17.25" customHeight="1" x14ac:dyDescent="0.25">
      <c r="M418" s="268"/>
    </row>
    <row r="419" spans="13:13" ht="17.25" customHeight="1" x14ac:dyDescent="0.25">
      <c r="M419" s="268"/>
    </row>
    <row r="420" spans="13:13" ht="17.25" customHeight="1" x14ac:dyDescent="0.25">
      <c r="M420" s="268"/>
    </row>
    <row r="421" spans="13:13" ht="17.25" customHeight="1" x14ac:dyDescent="0.25">
      <c r="M421" s="268"/>
    </row>
    <row r="422" spans="13:13" ht="17.25" customHeight="1" x14ac:dyDescent="0.25">
      <c r="M422" s="268"/>
    </row>
    <row r="423" spans="13:13" ht="17.25" customHeight="1" x14ac:dyDescent="0.25">
      <c r="M423" s="268"/>
    </row>
    <row r="424" spans="13:13" ht="17.25" customHeight="1" x14ac:dyDescent="0.25">
      <c r="M424" s="268"/>
    </row>
    <row r="425" spans="13:13" ht="17.25" customHeight="1" x14ac:dyDescent="0.25">
      <c r="M425" s="268"/>
    </row>
    <row r="426" spans="13:13" ht="17.25" customHeight="1" x14ac:dyDescent="0.25">
      <c r="M426" s="268"/>
    </row>
    <row r="427" spans="13:13" ht="17.25" customHeight="1" x14ac:dyDescent="0.25">
      <c r="M427" s="268"/>
    </row>
    <row r="428" spans="13:13" ht="17.25" customHeight="1" x14ac:dyDescent="0.25">
      <c r="M428" s="268"/>
    </row>
    <row r="429" spans="13:13" ht="17.25" customHeight="1" x14ac:dyDescent="0.25">
      <c r="M429" s="268"/>
    </row>
    <row r="430" spans="13:13" ht="17.25" customHeight="1" x14ac:dyDescent="0.25">
      <c r="M430" s="268"/>
    </row>
    <row r="431" spans="13:13" ht="17.25" customHeight="1" x14ac:dyDescent="0.25">
      <c r="M431" s="268"/>
    </row>
    <row r="432" spans="13:13" ht="17.25" customHeight="1" x14ac:dyDescent="0.25">
      <c r="M432" s="268"/>
    </row>
    <row r="433" spans="13:13" ht="17.25" customHeight="1" x14ac:dyDescent="0.25">
      <c r="M433" s="268"/>
    </row>
    <row r="434" spans="13:13" ht="17.25" customHeight="1" x14ac:dyDescent="0.25">
      <c r="M434" s="268"/>
    </row>
    <row r="435" spans="13:13" ht="17.25" customHeight="1" x14ac:dyDescent="0.25">
      <c r="M435" s="268"/>
    </row>
    <row r="436" spans="13:13" ht="17.25" customHeight="1" x14ac:dyDescent="0.25">
      <c r="M436" s="268"/>
    </row>
    <row r="437" spans="13:13" ht="17.25" customHeight="1" x14ac:dyDescent="0.25">
      <c r="M437" s="268"/>
    </row>
    <row r="438" spans="13:13" ht="17.25" customHeight="1" x14ac:dyDescent="0.25">
      <c r="M438" s="268"/>
    </row>
    <row r="439" spans="13:13" ht="17.25" customHeight="1" x14ac:dyDescent="0.25">
      <c r="M439" s="268"/>
    </row>
    <row r="440" spans="13:13" ht="17.25" customHeight="1" x14ac:dyDescent="0.25">
      <c r="M440" s="268"/>
    </row>
    <row r="441" spans="13:13" ht="17.25" customHeight="1" x14ac:dyDescent="0.25">
      <c r="M441" s="268"/>
    </row>
    <row r="442" spans="13:13" ht="17.25" customHeight="1" x14ac:dyDescent="0.25">
      <c r="M442" s="268"/>
    </row>
    <row r="443" spans="13:13" ht="17.25" customHeight="1" x14ac:dyDescent="0.25">
      <c r="M443" s="268"/>
    </row>
    <row r="444" spans="13:13" ht="17.25" customHeight="1" x14ac:dyDescent="0.25">
      <c r="M444" s="268"/>
    </row>
    <row r="445" spans="13:13" ht="17.25" customHeight="1" x14ac:dyDescent="0.25">
      <c r="M445" s="268"/>
    </row>
    <row r="446" spans="13:13" ht="17.25" customHeight="1" x14ac:dyDescent="0.25">
      <c r="M446" s="268"/>
    </row>
    <row r="447" spans="13:13" ht="17.25" customHeight="1" x14ac:dyDescent="0.25">
      <c r="M447" s="268"/>
    </row>
    <row r="448" spans="13:13" ht="17.25" customHeight="1" x14ac:dyDescent="0.25">
      <c r="M448" s="268"/>
    </row>
    <row r="449" spans="13:13" ht="17.25" customHeight="1" x14ac:dyDescent="0.25">
      <c r="M449" s="268"/>
    </row>
    <row r="450" spans="13:13" ht="17.25" customHeight="1" x14ac:dyDescent="0.25">
      <c r="M450" s="268"/>
    </row>
    <row r="451" spans="13:13" ht="17.25" customHeight="1" x14ac:dyDescent="0.25">
      <c r="M451" s="268"/>
    </row>
    <row r="452" spans="13:13" ht="17.25" customHeight="1" x14ac:dyDescent="0.25">
      <c r="M452" s="268"/>
    </row>
    <row r="453" spans="13:13" ht="17.25" customHeight="1" x14ac:dyDescent="0.25">
      <c r="M453" s="268"/>
    </row>
    <row r="454" spans="13:13" ht="17.25" customHeight="1" x14ac:dyDescent="0.25">
      <c r="M454" s="268"/>
    </row>
    <row r="455" spans="13:13" ht="17.25" customHeight="1" x14ac:dyDescent="0.25">
      <c r="M455" s="268"/>
    </row>
    <row r="456" spans="13:13" ht="17.25" customHeight="1" x14ac:dyDescent="0.25">
      <c r="M456" s="268"/>
    </row>
    <row r="457" spans="13:13" ht="17.25" customHeight="1" x14ac:dyDescent="0.25">
      <c r="M457" s="268"/>
    </row>
    <row r="458" spans="13:13" ht="17.25" customHeight="1" x14ac:dyDescent="0.25">
      <c r="M458" s="268"/>
    </row>
    <row r="459" spans="13:13" ht="17.25" customHeight="1" x14ac:dyDescent="0.25">
      <c r="M459" s="268"/>
    </row>
    <row r="460" spans="13:13" ht="17.25" customHeight="1" x14ac:dyDescent="0.25">
      <c r="M460" s="268"/>
    </row>
    <row r="461" spans="13:13" ht="17.25" customHeight="1" x14ac:dyDescent="0.25">
      <c r="M461" s="268"/>
    </row>
    <row r="462" spans="13:13" ht="17.25" customHeight="1" x14ac:dyDescent="0.25">
      <c r="M462" s="268"/>
    </row>
    <row r="463" spans="13:13" ht="17.25" customHeight="1" x14ac:dyDescent="0.25">
      <c r="M463" s="268"/>
    </row>
    <row r="464" spans="13:13" ht="17.25" customHeight="1" x14ac:dyDescent="0.25">
      <c r="M464" s="268"/>
    </row>
    <row r="465" spans="13:13" ht="17.25" customHeight="1" x14ac:dyDescent="0.25">
      <c r="M465" s="268"/>
    </row>
    <row r="466" spans="13:13" ht="17.25" customHeight="1" x14ac:dyDescent="0.25">
      <c r="M466" s="268"/>
    </row>
    <row r="467" spans="13:13" ht="17.25" customHeight="1" x14ac:dyDescent="0.25">
      <c r="M467" s="268"/>
    </row>
    <row r="468" spans="13:13" ht="17.25" customHeight="1" x14ac:dyDescent="0.25">
      <c r="M468" s="268"/>
    </row>
    <row r="469" spans="13:13" ht="17.25" customHeight="1" x14ac:dyDescent="0.25">
      <c r="M469" s="268"/>
    </row>
    <row r="470" spans="13:13" ht="17.25" customHeight="1" x14ac:dyDescent="0.25">
      <c r="M470" s="268"/>
    </row>
    <row r="471" spans="13:13" ht="17.25" customHeight="1" x14ac:dyDescent="0.25">
      <c r="M471" s="268"/>
    </row>
    <row r="472" spans="13:13" ht="17.25" customHeight="1" x14ac:dyDescent="0.25">
      <c r="M472" s="268"/>
    </row>
    <row r="473" spans="13:13" ht="17.25" customHeight="1" x14ac:dyDescent="0.25">
      <c r="M473" s="268"/>
    </row>
    <row r="474" spans="13:13" ht="17.25" customHeight="1" x14ac:dyDescent="0.25">
      <c r="M474" s="268"/>
    </row>
    <row r="475" spans="13:13" ht="17.25" customHeight="1" x14ac:dyDescent="0.25">
      <c r="M475" s="268"/>
    </row>
    <row r="476" spans="13:13" ht="17.25" customHeight="1" x14ac:dyDescent="0.25">
      <c r="M476" s="268"/>
    </row>
    <row r="477" spans="13:13" ht="17.25" customHeight="1" x14ac:dyDescent="0.25">
      <c r="M477" s="268"/>
    </row>
    <row r="478" spans="13:13" ht="17.25" customHeight="1" x14ac:dyDescent="0.25">
      <c r="M478" s="268"/>
    </row>
    <row r="479" spans="13:13" ht="17.25" customHeight="1" x14ac:dyDescent="0.25">
      <c r="M479" s="268"/>
    </row>
    <row r="480" spans="13:13" ht="17.25" customHeight="1" x14ac:dyDescent="0.25">
      <c r="M480" s="268"/>
    </row>
    <row r="481" spans="13:58" ht="17.25" customHeight="1" x14ac:dyDescent="0.25">
      <c r="M481" s="268"/>
    </row>
    <row r="482" spans="13:58" ht="17.25" customHeight="1" x14ac:dyDescent="0.25">
      <c r="M482" s="268"/>
    </row>
    <row r="483" spans="13:58" ht="17.25" customHeight="1" x14ac:dyDescent="0.25">
      <c r="M483" s="268"/>
    </row>
    <row r="484" spans="13:58" ht="17.25" customHeight="1" x14ac:dyDescent="0.25">
      <c r="M484" s="268"/>
    </row>
    <row r="485" spans="13:58" ht="17.25" customHeight="1" x14ac:dyDescent="0.25">
      <c r="M485" s="268"/>
    </row>
    <row r="486" spans="13:58" ht="17.25" customHeight="1" x14ac:dyDescent="0.25">
      <c r="M486" s="268"/>
    </row>
    <row r="487" spans="13:58" ht="17.25" customHeight="1" x14ac:dyDescent="0.25">
      <c r="M487" s="268"/>
    </row>
    <row r="488" spans="13:58" ht="17.25" customHeight="1" x14ac:dyDescent="0.25">
      <c r="M488" s="268"/>
    </row>
    <row r="489" spans="13:58" ht="17.25" customHeight="1" x14ac:dyDescent="0.25">
      <c r="M489" s="268"/>
    </row>
    <row r="490" spans="13:58" ht="17.25" customHeight="1" x14ac:dyDescent="0.25">
      <c r="M490" s="268"/>
    </row>
    <row r="491" spans="13:58" ht="17.25" customHeight="1" x14ac:dyDescent="0.25">
      <c r="M491" s="268"/>
    </row>
    <row r="492" spans="13:58" ht="17.25" customHeight="1" x14ac:dyDescent="0.25">
      <c r="M492" s="268"/>
    </row>
    <row r="493" spans="13:58" ht="17.25" customHeight="1" x14ac:dyDescent="0.25">
      <c r="M493" s="268"/>
    </row>
    <row r="494" spans="13:58" ht="17.25" customHeight="1" x14ac:dyDescent="0.25">
      <c r="M494" s="268"/>
    </row>
    <row r="495" spans="13:58" ht="17.25" customHeight="1" x14ac:dyDescent="0.25">
      <c r="M495" s="268"/>
      <c r="BF495" s="762" t="s">
        <v>1160</v>
      </c>
    </row>
  </sheetData>
  <mergeCells count="988">
    <mergeCell ref="AO26:AQ26"/>
    <mergeCell ref="B27:C27"/>
    <mergeCell ref="E31:H31"/>
    <mergeCell ref="A33:A36"/>
    <mergeCell ref="E34:H34"/>
    <mergeCell ref="AF34:AH34"/>
    <mergeCell ref="AC36:AE36"/>
    <mergeCell ref="A1:BI1"/>
    <mergeCell ref="U10:AU21"/>
    <mergeCell ref="E13:G13"/>
    <mergeCell ref="O14:P14"/>
    <mergeCell ref="A16:B16"/>
    <mergeCell ref="L18:M18"/>
    <mergeCell ref="P19:T19"/>
    <mergeCell ref="A44:B44"/>
    <mergeCell ref="C44:C45"/>
    <mergeCell ref="D44:D45"/>
    <mergeCell ref="J44:J45"/>
    <mergeCell ref="K44:K45"/>
    <mergeCell ref="W44:Z44"/>
    <mergeCell ref="C37:C38"/>
    <mergeCell ref="D37:D38"/>
    <mergeCell ref="I37:I38"/>
    <mergeCell ref="N38:O38"/>
    <mergeCell ref="Y39:Y40"/>
    <mergeCell ref="E41:I41"/>
    <mergeCell ref="BI57:BI59"/>
    <mergeCell ref="AX58:BC62"/>
    <mergeCell ref="E60:H60"/>
    <mergeCell ref="AB44:AE44"/>
    <mergeCell ref="AN44:AP44"/>
    <mergeCell ref="AV44:AX44"/>
    <mergeCell ref="AI46:AK46"/>
    <mergeCell ref="BF46:BI56"/>
    <mergeCell ref="E48:H48"/>
    <mergeCell ref="AB52:AE52"/>
    <mergeCell ref="Q43:R45"/>
    <mergeCell ref="V43:X43"/>
    <mergeCell ref="E67:H67"/>
    <mergeCell ref="AC70:AD73"/>
    <mergeCell ref="AF70:AI73"/>
    <mergeCell ref="E73:H73"/>
    <mergeCell ref="A75:B75"/>
    <mergeCell ref="I76:K76"/>
    <mergeCell ref="A53:B53"/>
    <mergeCell ref="AH53:AH54"/>
    <mergeCell ref="W55:Y55"/>
    <mergeCell ref="AC56:AE56"/>
    <mergeCell ref="W113:X113"/>
    <mergeCell ref="Y113:Z113"/>
    <mergeCell ref="A111:I111"/>
    <mergeCell ref="J111:M111"/>
    <mergeCell ref="Q111:T111"/>
    <mergeCell ref="W111:Z111"/>
    <mergeCell ref="Q112:R112"/>
    <mergeCell ref="S112:T112"/>
    <mergeCell ref="W112:X112"/>
    <mergeCell ref="Y112:Z112"/>
    <mergeCell ref="U114:V114"/>
    <mergeCell ref="A115:D115"/>
    <mergeCell ref="A116:D116"/>
    <mergeCell ref="A118:D118"/>
    <mergeCell ref="A119:D119"/>
    <mergeCell ref="A120:D120"/>
    <mergeCell ref="A113:F113"/>
    <mergeCell ref="G113:I113"/>
    <mergeCell ref="Q113:R113"/>
    <mergeCell ref="S113:T113"/>
    <mergeCell ref="A123:Z123"/>
    <mergeCell ref="D124:H124"/>
    <mergeCell ref="I124:J124"/>
    <mergeCell ref="Q124:U124"/>
    <mergeCell ref="V124:W124"/>
    <mergeCell ref="AC124:AF125"/>
    <mergeCell ref="D125:H125"/>
    <mergeCell ref="I125:J125"/>
    <mergeCell ref="Q125:U125"/>
    <mergeCell ref="V125:W125"/>
    <mergeCell ref="AI125:AN125"/>
    <mergeCell ref="AR125:AW125"/>
    <mergeCell ref="D126:H126"/>
    <mergeCell ref="I126:J126"/>
    <mergeCell ref="Q126:U126"/>
    <mergeCell ref="V126:W126"/>
    <mergeCell ref="AC126:AD126"/>
    <mergeCell ref="AI126:AM126"/>
    <mergeCell ref="AR126:AV126"/>
    <mergeCell ref="AI129:AM129"/>
    <mergeCell ref="AR129:AV129"/>
    <mergeCell ref="A130:I130"/>
    <mergeCell ref="N130:V130"/>
    <mergeCell ref="AI130:AM130"/>
    <mergeCell ref="AR130:AV130"/>
    <mergeCell ref="AR127:AV127"/>
    <mergeCell ref="D128:H128"/>
    <mergeCell ref="I128:J128"/>
    <mergeCell ref="Q128:U128"/>
    <mergeCell ref="V128:W128"/>
    <mergeCell ref="AI128:AM128"/>
    <mergeCell ref="AR128:AV128"/>
    <mergeCell ref="D127:H127"/>
    <mergeCell ref="I127:J127"/>
    <mergeCell ref="Q127:U127"/>
    <mergeCell ref="V127:W127"/>
    <mergeCell ref="AC127:AF127"/>
    <mergeCell ref="AI127:AM127"/>
    <mergeCell ref="A132:C132"/>
    <mergeCell ref="G132:I132"/>
    <mergeCell ref="N132:P132"/>
    <mergeCell ref="T132:V132"/>
    <mergeCell ref="AI132:AM132"/>
    <mergeCell ref="AR132:AV132"/>
    <mergeCell ref="A131:C131"/>
    <mergeCell ref="G131:I131"/>
    <mergeCell ref="N131:P131"/>
    <mergeCell ref="T131:V131"/>
    <mergeCell ref="AI131:AM131"/>
    <mergeCell ref="AR131:AV131"/>
    <mergeCell ref="A134:C134"/>
    <mergeCell ref="G134:I134"/>
    <mergeCell ref="N134:P134"/>
    <mergeCell ref="T134:V134"/>
    <mergeCell ref="AI134:AM134"/>
    <mergeCell ref="AR134:AV134"/>
    <mergeCell ref="A133:C133"/>
    <mergeCell ref="G133:I133"/>
    <mergeCell ref="N133:P133"/>
    <mergeCell ref="T133:V133"/>
    <mergeCell ref="AI133:AM133"/>
    <mergeCell ref="AR133:AV133"/>
    <mergeCell ref="A136:C136"/>
    <mergeCell ref="G136:I136"/>
    <mergeCell ref="N136:P136"/>
    <mergeCell ref="T136:V136"/>
    <mergeCell ref="AI136:AM136"/>
    <mergeCell ref="AR136:AV136"/>
    <mergeCell ref="A135:C135"/>
    <mergeCell ref="G135:I135"/>
    <mergeCell ref="N135:P135"/>
    <mergeCell ref="T135:V135"/>
    <mergeCell ref="AI135:AM135"/>
    <mergeCell ref="AR135:AV135"/>
    <mergeCell ref="A138:C138"/>
    <mergeCell ref="G138:I138"/>
    <mergeCell ref="N138:P138"/>
    <mergeCell ref="T138:V138"/>
    <mergeCell ref="AI138:AM138"/>
    <mergeCell ref="AR138:AV138"/>
    <mergeCell ref="A137:C137"/>
    <mergeCell ref="G137:I137"/>
    <mergeCell ref="N137:P137"/>
    <mergeCell ref="T137:V137"/>
    <mergeCell ref="AI137:AM137"/>
    <mergeCell ref="AR137:AV137"/>
    <mergeCell ref="A140:C140"/>
    <mergeCell ref="G140:I140"/>
    <mergeCell ref="N140:P140"/>
    <mergeCell ref="T140:V140"/>
    <mergeCell ref="AI140:AM140"/>
    <mergeCell ref="AR140:AV140"/>
    <mergeCell ref="A139:C139"/>
    <mergeCell ref="G139:I139"/>
    <mergeCell ref="N139:P139"/>
    <mergeCell ref="T139:V139"/>
    <mergeCell ref="AI139:AM139"/>
    <mergeCell ref="AR139:AV139"/>
    <mergeCell ref="A142:C142"/>
    <mergeCell ref="G142:I142"/>
    <mergeCell ref="N142:P142"/>
    <mergeCell ref="T142:V142"/>
    <mergeCell ref="AI142:AM142"/>
    <mergeCell ref="AR142:AV142"/>
    <mergeCell ref="A141:C141"/>
    <mergeCell ref="G141:I141"/>
    <mergeCell ref="N141:P141"/>
    <mergeCell ref="T141:V141"/>
    <mergeCell ref="AI141:AM141"/>
    <mergeCell ref="AR141:AV141"/>
    <mergeCell ref="A144:C144"/>
    <mergeCell ref="G144:I144"/>
    <mergeCell ref="N144:P144"/>
    <mergeCell ref="T144:V144"/>
    <mergeCell ref="AI144:AM144"/>
    <mergeCell ref="AR144:AV144"/>
    <mergeCell ref="A143:C143"/>
    <mergeCell ref="G143:I143"/>
    <mergeCell ref="N143:P143"/>
    <mergeCell ref="T143:V143"/>
    <mergeCell ref="AI143:AM143"/>
    <mergeCell ref="AR143:AV143"/>
    <mergeCell ref="A146:C146"/>
    <mergeCell ref="G146:I146"/>
    <mergeCell ref="N146:P146"/>
    <mergeCell ref="T146:V146"/>
    <mergeCell ref="AI146:AM146"/>
    <mergeCell ref="AR146:AV146"/>
    <mergeCell ref="A145:C145"/>
    <mergeCell ref="G145:I145"/>
    <mergeCell ref="N145:P145"/>
    <mergeCell ref="T145:V145"/>
    <mergeCell ref="AI145:AM145"/>
    <mergeCell ref="AR145:AV145"/>
    <mergeCell ref="A148:C148"/>
    <mergeCell ref="G148:I148"/>
    <mergeCell ref="N148:P148"/>
    <mergeCell ref="T148:V148"/>
    <mergeCell ref="AI148:AM148"/>
    <mergeCell ref="AR148:AV148"/>
    <mergeCell ref="A147:C147"/>
    <mergeCell ref="G147:I147"/>
    <mergeCell ref="N147:P147"/>
    <mergeCell ref="T147:V147"/>
    <mergeCell ref="AI147:AM147"/>
    <mergeCell ref="AR147:AV147"/>
    <mergeCell ref="A150:C150"/>
    <mergeCell ref="G150:I150"/>
    <mergeCell ref="N150:P150"/>
    <mergeCell ref="T150:V150"/>
    <mergeCell ref="AI150:AM150"/>
    <mergeCell ref="AR150:AV150"/>
    <mergeCell ref="A149:C149"/>
    <mergeCell ref="G149:I149"/>
    <mergeCell ref="N149:P149"/>
    <mergeCell ref="T149:V149"/>
    <mergeCell ref="AI149:AM149"/>
    <mergeCell ref="AR149:AV149"/>
    <mergeCell ref="AR151:AV151"/>
    <mergeCell ref="A152:E152"/>
    <mergeCell ref="G152:I152"/>
    <mergeCell ref="N152:R152"/>
    <mergeCell ref="T152:V152"/>
    <mergeCell ref="AI152:AM152"/>
    <mergeCell ref="AR152:AV152"/>
    <mergeCell ref="A151:C151"/>
    <mergeCell ref="G151:I151"/>
    <mergeCell ref="N151:P151"/>
    <mergeCell ref="T151:V151"/>
    <mergeCell ref="AC151:AF151"/>
    <mergeCell ref="AI151:AM151"/>
    <mergeCell ref="A153:I153"/>
    <mergeCell ref="N153:V153"/>
    <mergeCell ref="AI153:AM153"/>
    <mergeCell ref="AR153:AV153"/>
    <mergeCell ref="A154:C154"/>
    <mergeCell ref="G154:I154"/>
    <mergeCell ref="N154:P154"/>
    <mergeCell ref="T154:V154"/>
    <mergeCell ref="AI154:AM154"/>
    <mergeCell ref="AR154:AV154"/>
    <mergeCell ref="A156:C156"/>
    <mergeCell ref="G156:I156"/>
    <mergeCell ref="N156:P156"/>
    <mergeCell ref="T156:V156"/>
    <mergeCell ref="AI156:AM156"/>
    <mergeCell ref="AR156:AV156"/>
    <mergeCell ref="A155:C155"/>
    <mergeCell ref="G155:I155"/>
    <mergeCell ref="N155:P155"/>
    <mergeCell ref="T155:V155"/>
    <mergeCell ref="AI155:AM155"/>
    <mergeCell ref="AR155:AV155"/>
    <mergeCell ref="A158:C158"/>
    <mergeCell ref="G158:I158"/>
    <mergeCell ref="N158:P158"/>
    <mergeCell ref="T158:V158"/>
    <mergeCell ref="AI158:AM158"/>
    <mergeCell ref="AR158:AV158"/>
    <mergeCell ref="A157:C157"/>
    <mergeCell ref="G157:I157"/>
    <mergeCell ref="N157:P157"/>
    <mergeCell ref="T157:V157"/>
    <mergeCell ref="AI157:AM157"/>
    <mergeCell ref="AR157:AV157"/>
    <mergeCell ref="A160:C160"/>
    <mergeCell ref="G160:I160"/>
    <mergeCell ref="N160:P160"/>
    <mergeCell ref="T160:V160"/>
    <mergeCell ref="AI160:AM160"/>
    <mergeCell ref="AR160:AV160"/>
    <mergeCell ref="A159:C159"/>
    <mergeCell ref="G159:I159"/>
    <mergeCell ref="N159:P159"/>
    <mergeCell ref="T159:V159"/>
    <mergeCell ref="AI159:AM159"/>
    <mergeCell ref="AR159:AV159"/>
    <mergeCell ref="A162:C162"/>
    <mergeCell ref="G162:I162"/>
    <mergeCell ref="N162:P162"/>
    <mergeCell ref="T162:V162"/>
    <mergeCell ref="AI162:AM162"/>
    <mergeCell ref="AR162:AV162"/>
    <mergeCell ref="A161:C161"/>
    <mergeCell ref="G161:I161"/>
    <mergeCell ref="N161:P161"/>
    <mergeCell ref="T161:V161"/>
    <mergeCell ref="AI161:AM161"/>
    <mergeCell ref="AR161:AV161"/>
    <mergeCell ref="A165:C165"/>
    <mergeCell ref="G165:I165"/>
    <mergeCell ref="N165:P165"/>
    <mergeCell ref="T165:V165"/>
    <mergeCell ref="AI165:AM165"/>
    <mergeCell ref="AR165:AV165"/>
    <mergeCell ref="A163:C163"/>
    <mergeCell ref="G163:I163"/>
    <mergeCell ref="N163:P163"/>
    <mergeCell ref="T163:V163"/>
    <mergeCell ref="AI163:AM163"/>
    <mergeCell ref="A164:C164"/>
    <mergeCell ref="G164:I164"/>
    <mergeCell ref="N164:P164"/>
    <mergeCell ref="T164:V164"/>
    <mergeCell ref="AI164:AM164"/>
    <mergeCell ref="A167:C167"/>
    <mergeCell ref="G167:I167"/>
    <mergeCell ref="N167:P167"/>
    <mergeCell ref="T167:V167"/>
    <mergeCell ref="AI167:AM167"/>
    <mergeCell ref="AR167:AV167"/>
    <mergeCell ref="A166:C166"/>
    <mergeCell ref="G166:I166"/>
    <mergeCell ref="N166:P166"/>
    <mergeCell ref="T166:V166"/>
    <mergeCell ref="AI166:AM166"/>
    <mergeCell ref="AR166:AV166"/>
    <mergeCell ref="AR169:AW169"/>
    <mergeCell ref="A170:C170"/>
    <mergeCell ref="G170:I170"/>
    <mergeCell ref="N170:P170"/>
    <mergeCell ref="T170:V170"/>
    <mergeCell ref="AI170:AM170"/>
    <mergeCell ref="AR170:AV170"/>
    <mergeCell ref="A168:C168"/>
    <mergeCell ref="G168:I168"/>
    <mergeCell ref="N168:P168"/>
    <mergeCell ref="T168:V168"/>
    <mergeCell ref="AI168:AM168"/>
    <mergeCell ref="A169:C169"/>
    <mergeCell ref="G169:I169"/>
    <mergeCell ref="N169:P169"/>
    <mergeCell ref="T169:V169"/>
    <mergeCell ref="AI169:AM169"/>
    <mergeCell ref="A172:E172"/>
    <mergeCell ref="G172:I172"/>
    <mergeCell ref="N172:R172"/>
    <mergeCell ref="T172:V172"/>
    <mergeCell ref="AI172:AM172"/>
    <mergeCell ref="AR172:AV172"/>
    <mergeCell ref="A171:C171"/>
    <mergeCell ref="G171:I171"/>
    <mergeCell ref="N171:P171"/>
    <mergeCell ref="T171:V171"/>
    <mergeCell ref="AI171:AM171"/>
    <mergeCell ref="AR171:AV171"/>
    <mergeCell ref="A173:I173"/>
    <mergeCell ref="N173:V173"/>
    <mergeCell ref="AI173:AM173"/>
    <mergeCell ref="AR173:AV173"/>
    <mergeCell ref="A174:C174"/>
    <mergeCell ref="G174:I174"/>
    <mergeCell ref="N174:P174"/>
    <mergeCell ref="T174:V174"/>
    <mergeCell ref="AI174:AM174"/>
    <mergeCell ref="AR174:AV174"/>
    <mergeCell ref="A176:E176"/>
    <mergeCell ref="G176:I176"/>
    <mergeCell ref="N176:R176"/>
    <mergeCell ref="T176:V176"/>
    <mergeCell ref="AI176:AM176"/>
    <mergeCell ref="AR176:AV176"/>
    <mergeCell ref="A175:C175"/>
    <mergeCell ref="G175:I175"/>
    <mergeCell ref="N175:P175"/>
    <mergeCell ref="T175:V175"/>
    <mergeCell ref="AI175:AM175"/>
    <mergeCell ref="AR175:AV175"/>
    <mergeCell ref="A179:C179"/>
    <mergeCell ref="G179:I179"/>
    <mergeCell ref="N179:P179"/>
    <mergeCell ref="T179:V179"/>
    <mergeCell ref="AI179:AM179"/>
    <mergeCell ref="AR179:AV179"/>
    <mergeCell ref="A177:I177"/>
    <mergeCell ref="N177:V177"/>
    <mergeCell ref="AI177:AM177"/>
    <mergeCell ref="AR177:AV177"/>
    <mergeCell ref="A178:C178"/>
    <mergeCell ref="G178:I178"/>
    <mergeCell ref="N178:P178"/>
    <mergeCell ref="T178:V178"/>
    <mergeCell ref="AI178:AM178"/>
    <mergeCell ref="AR178:AV178"/>
    <mergeCell ref="A181:C181"/>
    <mergeCell ref="G181:I181"/>
    <mergeCell ref="N181:P181"/>
    <mergeCell ref="T181:V181"/>
    <mergeCell ref="AI181:AM181"/>
    <mergeCell ref="AR181:AV181"/>
    <mergeCell ref="A180:C180"/>
    <mergeCell ref="G180:I180"/>
    <mergeCell ref="N180:P180"/>
    <mergeCell ref="T180:V180"/>
    <mergeCell ref="AI180:AM180"/>
    <mergeCell ref="AR180:AV180"/>
    <mergeCell ref="A183:C183"/>
    <mergeCell ref="G183:I183"/>
    <mergeCell ref="N183:P183"/>
    <mergeCell ref="T183:V183"/>
    <mergeCell ref="AI183:AM183"/>
    <mergeCell ref="AR183:AV183"/>
    <mergeCell ref="A182:C182"/>
    <mergeCell ref="G182:I182"/>
    <mergeCell ref="N182:P182"/>
    <mergeCell ref="T182:V182"/>
    <mergeCell ref="AI182:AM182"/>
    <mergeCell ref="AR182:AV182"/>
    <mergeCell ref="A185:C185"/>
    <mergeCell ref="G185:I185"/>
    <mergeCell ref="N185:P185"/>
    <mergeCell ref="T185:V185"/>
    <mergeCell ref="AI185:AM185"/>
    <mergeCell ref="AR185:AV185"/>
    <mergeCell ref="A184:C184"/>
    <mergeCell ref="G184:I184"/>
    <mergeCell ref="N184:P184"/>
    <mergeCell ref="T184:V184"/>
    <mergeCell ref="AI184:AM184"/>
    <mergeCell ref="AR184:AV184"/>
    <mergeCell ref="A187:C187"/>
    <mergeCell ref="G187:I187"/>
    <mergeCell ref="N187:P187"/>
    <mergeCell ref="T187:V187"/>
    <mergeCell ref="AI187:AM187"/>
    <mergeCell ref="AR187:AV187"/>
    <mergeCell ref="A186:C186"/>
    <mergeCell ref="G186:I186"/>
    <mergeCell ref="N186:P186"/>
    <mergeCell ref="T186:V186"/>
    <mergeCell ref="AI186:AM186"/>
    <mergeCell ref="AR186:AV186"/>
    <mergeCell ref="A189:C189"/>
    <mergeCell ref="G189:I189"/>
    <mergeCell ref="N189:P189"/>
    <mergeCell ref="T189:V189"/>
    <mergeCell ref="AI189:AM189"/>
    <mergeCell ref="AR189:AV189"/>
    <mergeCell ref="A188:C188"/>
    <mergeCell ref="G188:I188"/>
    <mergeCell ref="N188:P188"/>
    <mergeCell ref="T188:V188"/>
    <mergeCell ref="AI188:AM188"/>
    <mergeCell ref="AR188:AV188"/>
    <mergeCell ref="A191:C191"/>
    <mergeCell ref="G191:I191"/>
    <mergeCell ref="N191:P191"/>
    <mergeCell ref="T191:V191"/>
    <mergeCell ref="AI191:AM191"/>
    <mergeCell ref="AR191:AV191"/>
    <mergeCell ref="A190:C190"/>
    <mergeCell ref="G190:I190"/>
    <mergeCell ref="N190:P190"/>
    <mergeCell ref="T190:V190"/>
    <mergeCell ref="AI190:AM190"/>
    <mergeCell ref="AR190:AV190"/>
    <mergeCell ref="A193:C193"/>
    <mergeCell ref="G193:I193"/>
    <mergeCell ref="N193:P193"/>
    <mergeCell ref="T193:V193"/>
    <mergeCell ref="AI193:AM193"/>
    <mergeCell ref="AR193:AV193"/>
    <mergeCell ref="A192:C192"/>
    <mergeCell ref="G192:I192"/>
    <mergeCell ref="N192:P192"/>
    <mergeCell ref="T192:V192"/>
    <mergeCell ref="AI192:AM192"/>
    <mergeCell ref="AR192:AV192"/>
    <mergeCell ref="A195:E195"/>
    <mergeCell ref="G195:I195"/>
    <mergeCell ref="N195:R195"/>
    <mergeCell ref="T195:V195"/>
    <mergeCell ref="AI195:AM195"/>
    <mergeCell ref="AR195:AV195"/>
    <mergeCell ref="A194:C194"/>
    <mergeCell ref="G194:I194"/>
    <mergeCell ref="N194:P194"/>
    <mergeCell ref="T194:V194"/>
    <mergeCell ref="AI194:AM194"/>
    <mergeCell ref="AR194:AV194"/>
    <mergeCell ref="AI196:AM196"/>
    <mergeCell ref="AR196:AV196"/>
    <mergeCell ref="AI197:AM197"/>
    <mergeCell ref="AR197:AV197"/>
    <mergeCell ref="A198:E198"/>
    <mergeCell ref="G198:I198"/>
    <mergeCell ref="N198:R198"/>
    <mergeCell ref="T198:V198"/>
    <mergeCell ref="AI198:AM198"/>
    <mergeCell ref="AR198:AV198"/>
    <mergeCell ref="AI199:AM199"/>
    <mergeCell ref="AR199:AV199"/>
    <mergeCell ref="A200:C200"/>
    <mergeCell ref="D200:E200"/>
    <mergeCell ref="G200:I200"/>
    <mergeCell ref="N200:P200"/>
    <mergeCell ref="Q200:R200"/>
    <mergeCell ref="T200:V200"/>
    <mergeCell ref="AI200:AM200"/>
    <mergeCell ref="AR200:AV200"/>
    <mergeCell ref="A199:C199"/>
    <mergeCell ref="D199:E199"/>
    <mergeCell ref="G199:I199"/>
    <mergeCell ref="N199:P199"/>
    <mergeCell ref="Q199:R199"/>
    <mergeCell ref="T199:V199"/>
    <mergeCell ref="A203:E203"/>
    <mergeCell ref="G203:I203"/>
    <mergeCell ref="N203:R203"/>
    <mergeCell ref="T203:V203"/>
    <mergeCell ref="AI203:AM203"/>
    <mergeCell ref="AR203:AV203"/>
    <mergeCell ref="AI201:AM201"/>
    <mergeCell ref="AR201:AV201"/>
    <mergeCell ref="A202:C202"/>
    <mergeCell ref="D202:E202"/>
    <mergeCell ref="G202:I202"/>
    <mergeCell ref="N202:P202"/>
    <mergeCell ref="Q202:R202"/>
    <mergeCell ref="T202:V202"/>
    <mergeCell ref="AI202:AM202"/>
    <mergeCell ref="AR202:AV202"/>
    <mergeCell ref="A201:C201"/>
    <mergeCell ref="D201:E201"/>
    <mergeCell ref="G201:I201"/>
    <mergeCell ref="N201:P201"/>
    <mergeCell ref="Q201:R201"/>
    <mergeCell ref="T201:V201"/>
    <mergeCell ref="AR204:AV204"/>
    <mergeCell ref="AI205:AN205"/>
    <mergeCell ref="AR205:AV205"/>
    <mergeCell ref="A206:E206"/>
    <mergeCell ref="G206:I206"/>
    <mergeCell ref="N206:R206"/>
    <mergeCell ref="T206:V206"/>
    <mergeCell ref="AI206:AM206"/>
    <mergeCell ref="AR206:AV206"/>
    <mergeCell ref="AI207:AM207"/>
    <mergeCell ref="AR207:AV207"/>
    <mergeCell ref="A208:C208"/>
    <mergeCell ref="D208:E208"/>
    <mergeCell ref="G208:I208"/>
    <mergeCell ref="N208:P208"/>
    <mergeCell ref="Q208:R208"/>
    <mergeCell ref="T208:V208"/>
    <mergeCell ref="AI208:AM208"/>
    <mergeCell ref="AR208:AV208"/>
    <mergeCell ref="A207:C207"/>
    <mergeCell ref="D207:E207"/>
    <mergeCell ref="G207:I207"/>
    <mergeCell ref="N207:P207"/>
    <mergeCell ref="Q207:R207"/>
    <mergeCell ref="T207:V207"/>
    <mergeCell ref="AI209:AM209"/>
    <mergeCell ref="AR209:AV209"/>
    <mergeCell ref="A210:E210"/>
    <mergeCell ref="G210:I210"/>
    <mergeCell ref="N210:R210"/>
    <mergeCell ref="T210:V210"/>
    <mergeCell ref="AI210:AM210"/>
    <mergeCell ref="AR210:AV210"/>
    <mergeCell ref="A209:C209"/>
    <mergeCell ref="D209:E209"/>
    <mergeCell ref="G209:I209"/>
    <mergeCell ref="N209:P209"/>
    <mergeCell ref="Q209:R209"/>
    <mergeCell ref="T209:V209"/>
    <mergeCell ref="AI211:AM211"/>
    <mergeCell ref="AR211:AV211"/>
    <mergeCell ref="AI212:AM212"/>
    <mergeCell ref="AR212:AV212"/>
    <mergeCell ref="A213:E213"/>
    <mergeCell ref="G213:I213"/>
    <mergeCell ref="N213:R213"/>
    <mergeCell ref="T213:V213"/>
    <mergeCell ref="AI213:AM213"/>
    <mergeCell ref="AR213:AV213"/>
    <mergeCell ref="AI214:AM214"/>
    <mergeCell ref="AR214:AV214"/>
    <mergeCell ref="A215:C215"/>
    <mergeCell ref="D215:E215"/>
    <mergeCell ref="G215:I215"/>
    <mergeCell ref="N215:P215"/>
    <mergeCell ref="Q215:R215"/>
    <mergeCell ref="T215:V215"/>
    <mergeCell ref="AI215:AM215"/>
    <mergeCell ref="AR215:AV215"/>
    <mergeCell ref="A214:C214"/>
    <mergeCell ref="D214:E214"/>
    <mergeCell ref="G214:I214"/>
    <mergeCell ref="N214:P214"/>
    <mergeCell ref="Q214:R214"/>
    <mergeCell ref="T214:V214"/>
    <mergeCell ref="A218:E218"/>
    <mergeCell ref="G218:I218"/>
    <mergeCell ref="N218:R218"/>
    <mergeCell ref="T218:V218"/>
    <mergeCell ref="AI218:AM218"/>
    <mergeCell ref="AR218:AV218"/>
    <mergeCell ref="AI216:AM216"/>
    <mergeCell ref="AR216:AV216"/>
    <mergeCell ref="A217:C217"/>
    <mergeCell ref="D217:E217"/>
    <mergeCell ref="G217:I217"/>
    <mergeCell ref="N217:P217"/>
    <mergeCell ref="Q217:R217"/>
    <mergeCell ref="T217:V217"/>
    <mergeCell ref="AI217:AM217"/>
    <mergeCell ref="AR217:AV217"/>
    <mergeCell ref="A216:C216"/>
    <mergeCell ref="D216:E216"/>
    <mergeCell ref="G216:I216"/>
    <mergeCell ref="N216:P216"/>
    <mergeCell ref="Q216:R216"/>
    <mergeCell ref="T216:V216"/>
    <mergeCell ref="AI219:AM219"/>
    <mergeCell ref="AR219:AV219"/>
    <mergeCell ref="AI220:AM220"/>
    <mergeCell ref="AR220:AV220"/>
    <mergeCell ref="A221:E221"/>
    <mergeCell ref="G221:I221"/>
    <mergeCell ref="N221:R221"/>
    <mergeCell ref="T221:V221"/>
    <mergeCell ref="AI221:AM221"/>
    <mergeCell ref="AR221:AV221"/>
    <mergeCell ref="AI222:AM222"/>
    <mergeCell ref="AR222:AV222"/>
    <mergeCell ref="A223:C223"/>
    <mergeCell ref="D223:E223"/>
    <mergeCell ref="G223:I223"/>
    <mergeCell ref="N223:P223"/>
    <mergeCell ref="Q223:R223"/>
    <mergeCell ref="T223:V223"/>
    <mergeCell ref="AI223:AM223"/>
    <mergeCell ref="AR223:AV223"/>
    <mergeCell ref="A222:C222"/>
    <mergeCell ref="D222:E222"/>
    <mergeCell ref="G222:I222"/>
    <mergeCell ref="N222:P222"/>
    <mergeCell ref="Q222:R222"/>
    <mergeCell ref="T222:V222"/>
    <mergeCell ref="AI224:AM224"/>
    <mergeCell ref="AR224:AV224"/>
    <mergeCell ref="A225:E225"/>
    <mergeCell ref="G225:I225"/>
    <mergeCell ref="N225:R225"/>
    <mergeCell ref="T225:V225"/>
    <mergeCell ref="AI225:AM225"/>
    <mergeCell ref="A224:C224"/>
    <mergeCell ref="D224:E224"/>
    <mergeCell ref="G224:I224"/>
    <mergeCell ref="N224:P224"/>
    <mergeCell ref="Q224:R224"/>
    <mergeCell ref="T224:V224"/>
    <mergeCell ref="AI226:AM226"/>
    <mergeCell ref="AR226:AW226"/>
    <mergeCell ref="AI227:AM227"/>
    <mergeCell ref="AR227:AV227"/>
    <mergeCell ref="A228:E228"/>
    <mergeCell ref="G228:I228"/>
    <mergeCell ref="N228:R228"/>
    <mergeCell ref="T228:V228"/>
    <mergeCell ref="AI228:AM228"/>
    <mergeCell ref="AR228:AV228"/>
    <mergeCell ref="A232:Z233"/>
    <mergeCell ref="AI232:AM232"/>
    <mergeCell ref="AR232:AV232"/>
    <mergeCell ref="AI233:AM233"/>
    <mergeCell ref="AR233:AV233"/>
    <mergeCell ref="AI234:AM234"/>
    <mergeCell ref="AR234:AV234"/>
    <mergeCell ref="AI229:AM229"/>
    <mergeCell ref="AR229:AV229"/>
    <mergeCell ref="AI230:AM230"/>
    <mergeCell ref="AR230:AV230"/>
    <mergeCell ref="AI231:AM231"/>
    <mergeCell ref="AR231:AV231"/>
    <mergeCell ref="AI238:AN238"/>
    <mergeCell ref="AR238:AV238"/>
    <mergeCell ref="A239:E239"/>
    <mergeCell ref="G239:I239"/>
    <mergeCell ref="N239:R239"/>
    <mergeCell ref="T239:V239"/>
    <mergeCell ref="AI239:AM239"/>
    <mergeCell ref="AR239:AV239"/>
    <mergeCell ref="A235:G235"/>
    <mergeCell ref="AI235:AM235"/>
    <mergeCell ref="AR235:AV235"/>
    <mergeCell ref="AR236:AV236"/>
    <mergeCell ref="A237:E237"/>
    <mergeCell ref="F237:G237"/>
    <mergeCell ref="N237:R237"/>
    <mergeCell ref="S237:T237"/>
    <mergeCell ref="AR237:AV237"/>
    <mergeCell ref="A241:E241"/>
    <mergeCell ref="G241:I241"/>
    <mergeCell ref="N241:R241"/>
    <mergeCell ref="T241:V241"/>
    <mergeCell ref="AI241:AM241"/>
    <mergeCell ref="AR241:AV241"/>
    <mergeCell ref="A240:E240"/>
    <mergeCell ref="G240:I240"/>
    <mergeCell ref="N240:R240"/>
    <mergeCell ref="T240:V240"/>
    <mergeCell ref="AI240:AM240"/>
    <mergeCell ref="AR240:AV240"/>
    <mergeCell ref="A244:E244"/>
    <mergeCell ref="G244:I244"/>
    <mergeCell ref="N244:R244"/>
    <mergeCell ref="T244:V244"/>
    <mergeCell ref="AI244:AN244"/>
    <mergeCell ref="AR244:AV244"/>
    <mergeCell ref="A242:E242"/>
    <mergeCell ref="G242:I242"/>
    <mergeCell ref="N242:R242"/>
    <mergeCell ref="T242:V242"/>
    <mergeCell ref="AR242:AV242"/>
    <mergeCell ref="A243:E243"/>
    <mergeCell ref="G243:I243"/>
    <mergeCell ref="N243:R243"/>
    <mergeCell ref="T243:V243"/>
    <mergeCell ref="AR243:AV243"/>
    <mergeCell ref="A246:E246"/>
    <mergeCell ref="G246:I246"/>
    <mergeCell ref="N246:R246"/>
    <mergeCell ref="T246:V246"/>
    <mergeCell ref="AI246:AM246"/>
    <mergeCell ref="AR246:AV246"/>
    <mergeCell ref="A245:E245"/>
    <mergeCell ref="G245:I245"/>
    <mergeCell ref="N245:R245"/>
    <mergeCell ref="T245:V245"/>
    <mergeCell ref="AI245:AM245"/>
    <mergeCell ref="AR245:AV245"/>
    <mergeCell ref="A247:E247"/>
    <mergeCell ref="N247:R247"/>
    <mergeCell ref="AI247:AM247"/>
    <mergeCell ref="AR247:AV247"/>
    <mergeCell ref="A248:E248"/>
    <mergeCell ref="G248:I248"/>
    <mergeCell ref="N248:R248"/>
    <mergeCell ref="T248:V248"/>
    <mergeCell ref="AI248:AM248"/>
    <mergeCell ref="AR248:AV248"/>
    <mergeCell ref="A250:E250"/>
    <mergeCell ref="G250:I250"/>
    <mergeCell ref="N250:R250"/>
    <mergeCell ref="T250:V250"/>
    <mergeCell ref="AI250:AM250"/>
    <mergeCell ref="AR250:AV250"/>
    <mergeCell ref="A249:E249"/>
    <mergeCell ref="G249:I249"/>
    <mergeCell ref="N249:R249"/>
    <mergeCell ref="T249:V249"/>
    <mergeCell ref="AI249:AM249"/>
    <mergeCell ref="AR249:AV249"/>
    <mergeCell ref="A252:E252"/>
    <mergeCell ref="G252:I252"/>
    <mergeCell ref="N252:R252"/>
    <mergeCell ref="T252:V252"/>
    <mergeCell ref="AI252:AM252"/>
    <mergeCell ref="AR252:AV252"/>
    <mergeCell ref="A251:E251"/>
    <mergeCell ref="G251:I251"/>
    <mergeCell ref="N251:R251"/>
    <mergeCell ref="T251:V251"/>
    <mergeCell ref="AI251:AM251"/>
    <mergeCell ref="AR251:AV251"/>
    <mergeCell ref="A255:E255"/>
    <mergeCell ref="G255:I255"/>
    <mergeCell ref="N255:R255"/>
    <mergeCell ref="T255:V255"/>
    <mergeCell ref="AI255:AN255"/>
    <mergeCell ref="AR255:AV255"/>
    <mergeCell ref="A253:E253"/>
    <mergeCell ref="G253:I253"/>
    <mergeCell ref="N253:R253"/>
    <mergeCell ref="T253:V253"/>
    <mergeCell ref="AR253:AV253"/>
    <mergeCell ref="A254:E254"/>
    <mergeCell ref="G254:I254"/>
    <mergeCell ref="N254:R254"/>
    <mergeCell ref="T254:V254"/>
    <mergeCell ref="AR254:AV254"/>
    <mergeCell ref="A257:E257"/>
    <mergeCell ref="G257:I257"/>
    <mergeCell ref="N257:R257"/>
    <mergeCell ref="T257:V257"/>
    <mergeCell ref="AI257:AM257"/>
    <mergeCell ref="AR257:AV257"/>
    <mergeCell ref="A256:E256"/>
    <mergeCell ref="G256:I256"/>
    <mergeCell ref="N256:R256"/>
    <mergeCell ref="T256:V256"/>
    <mergeCell ref="AI256:AM256"/>
    <mergeCell ref="AR256:AV256"/>
    <mergeCell ref="A259:E259"/>
    <mergeCell ref="G259:I259"/>
    <mergeCell ref="N259:R259"/>
    <mergeCell ref="T259:V259"/>
    <mergeCell ref="AI259:AM259"/>
    <mergeCell ref="AR259:AV259"/>
    <mergeCell ref="A258:E258"/>
    <mergeCell ref="G258:I258"/>
    <mergeCell ref="N258:R258"/>
    <mergeCell ref="T258:V258"/>
    <mergeCell ref="AI258:AM258"/>
    <mergeCell ref="AR258:AV258"/>
    <mergeCell ref="A261:E261"/>
    <mergeCell ref="G261:I261"/>
    <mergeCell ref="N261:R261"/>
    <mergeCell ref="T261:V261"/>
    <mergeCell ref="AI261:AM261"/>
    <mergeCell ref="AR261:AV261"/>
    <mergeCell ref="A260:E260"/>
    <mergeCell ref="G260:I260"/>
    <mergeCell ref="N260:R260"/>
    <mergeCell ref="T260:V260"/>
    <mergeCell ref="AI260:AM260"/>
    <mergeCell ref="AR260:AV260"/>
    <mergeCell ref="A262:E262"/>
    <mergeCell ref="N262:R262"/>
    <mergeCell ref="AI262:AM262"/>
    <mergeCell ref="AR262:AV262"/>
    <mergeCell ref="A263:E263"/>
    <mergeCell ref="G263:I263"/>
    <mergeCell ref="N263:R263"/>
    <mergeCell ref="T263:V263"/>
    <mergeCell ref="AI263:AM263"/>
    <mergeCell ref="AR263:AV263"/>
    <mergeCell ref="A265:E265"/>
    <mergeCell ref="G265:I265"/>
    <mergeCell ref="N265:R265"/>
    <mergeCell ref="T265:V265"/>
    <mergeCell ref="AI265:AM265"/>
    <mergeCell ref="AR265:AV265"/>
    <mergeCell ref="A264:E264"/>
    <mergeCell ref="G264:I264"/>
    <mergeCell ref="N264:R264"/>
    <mergeCell ref="T264:V264"/>
    <mergeCell ref="AI264:AM264"/>
    <mergeCell ref="AR264:AV264"/>
    <mergeCell ref="A266:E266"/>
    <mergeCell ref="G266:I266"/>
    <mergeCell ref="N266:R266"/>
    <mergeCell ref="T266:V266"/>
    <mergeCell ref="AI266:AM266"/>
    <mergeCell ref="A267:E267"/>
    <mergeCell ref="G267:I267"/>
    <mergeCell ref="N267:R267"/>
    <mergeCell ref="T267:V267"/>
    <mergeCell ref="AI267:AM267"/>
    <mergeCell ref="A269:E269"/>
    <mergeCell ref="G269:I269"/>
    <mergeCell ref="N269:R269"/>
    <mergeCell ref="T269:V269"/>
    <mergeCell ref="AI269:AM269"/>
    <mergeCell ref="AR269:AV269"/>
    <mergeCell ref="AR267:AW267"/>
    <mergeCell ref="A268:E268"/>
    <mergeCell ref="G268:I268"/>
    <mergeCell ref="N268:R268"/>
    <mergeCell ref="T268:V268"/>
    <mergeCell ref="AI268:AM268"/>
    <mergeCell ref="AR268:AV268"/>
    <mergeCell ref="A272:E272"/>
    <mergeCell ref="G272:I272"/>
    <mergeCell ref="N272:R272"/>
    <mergeCell ref="T272:V272"/>
    <mergeCell ref="AI272:AM272"/>
    <mergeCell ref="AR272:AW272"/>
    <mergeCell ref="A270:E270"/>
    <mergeCell ref="N270:R270"/>
    <mergeCell ref="AI270:AM270"/>
    <mergeCell ref="AR270:AV270"/>
    <mergeCell ref="A271:E271"/>
    <mergeCell ref="G271:I271"/>
    <mergeCell ref="N271:R271"/>
    <mergeCell ref="T271:V271"/>
    <mergeCell ref="AI271:AM271"/>
    <mergeCell ref="A275:E275"/>
    <mergeCell ref="G275:I275"/>
    <mergeCell ref="N275:R275"/>
    <mergeCell ref="T275:V275"/>
    <mergeCell ref="AI275:AM275"/>
    <mergeCell ref="AR275:AV275"/>
    <mergeCell ref="A273:E273"/>
    <mergeCell ref="G273:I273"/>
    <mergeCell ref="N273:R273"/>
    <mergeCell ref="T273:V273"/>
    <mergeCell ref="AR273:AV273"/>
    <mergeCell ref="A274:E274"/>
    <mergeCell ref="N274:R274"/>
    <mergeCell ref="AI274:AN274"/>
    <mergeCell ref="AR274:AV274"/>
    <mergeCell ref="A277:E277"/>
    <mergeCell ref="G277:I277"/>
    <mergeCell ref="N277:R277"/>
    <mergeCell ref="T277:V277"/>
    <mergeCell ref="AR277:AV277"/>
    <mergeCell ref="AR278:AV278"/>
    <mergeCell ref="A276:E276"/>
    <mergeCell ref="G276:I276"/>
    <mergeCell ref="N276:R276"/>
    <mergeCell ref="T276:V276"/>
    <mergeCell ref="AI276:AM276"/>
    <mergeCell ref="AR276:AV276"/>
    <mergeCell ref="AI283:AM283"/>
    <mergeCell ref="AR283:AV283"/>
    <mergeCell ref="AI284:AM284"/>
    <mergeCell ref="AI285:AM285"/>
    <mergeCell ref="AR285:AW285"/>
    <mergeCell ref="AR286:AV286"/>
    <mergeCell ref="AI279:AN279"/>
    <mergeCell ref="AR279:AV279"/>
    <mergeCell ref="AI280:AM280"/>
    <mergeCell ref="AI281:AM281"/>
    <mergeCell ref="AR281:AW281"/>
    <mergeCell ref="AI282:AM282"/>
    <mergeCell ref="AR282:AV282"/>
    <mergeCell ref="AR291:AV291"/>
    <mergeCell ref="AI292:AN292"/>
    <mergeCell ref="AI293:AM293"/>
    <mergeCell ref="AR293:AW293"/>
    <mergeCell ref="AI294:AM294"/>
    <mergeCell ref="AR294:AV294"/>
    <mergeCell ref="AI287:AN287"/>
    <mergeCell ref="AR287:AV287"/>
    <mergeCell ref="AI288:AM288"/>
    <mergeCell ref="AI289:AM289"/>
    <mergeCell ref="AR289:AW289"/>
    <mergeCell ref="AI290:AM290"/>
    <mergeCell ref="AR290:AV290"/>
    <mergeCell ref="AI299:AM299"/>
    <mergeCell ref="AR299:AV299"/>
    <mergeCell ref="AI300:AM300"/>
    <mergeCell ref="AR300:AV300"/>
    <mergeCell ref="AI301:AM301"/>
    <mergeCell ref="AR301:AV301"/>
    <mergeCell ref="AI295:AM295"/>
    <mergeCell ref="AR295:AV295"/>
    <mergeCell ref="AI296:AM296"/>
    <mergeCell ref="AI297:AM297"/>
    <mergeCell ref="AR297:AW297"/>
    <mergeCell ref="AI298:AM298"/>
    <mergeCell ref="AR298:AV298"/>
    <mergeCell ref="AI308:AM308"/>
    <mergeCell ref="AI329:AN329"/>
    <mergeCell ref="AI330:AM330"/>
    <mergeCell ref="AI331:AN331"/>
    <mergeCell ref="AI332:AN332"/>
    <mergeCell ref="AI362:AM362"/>
    <mergeCell ref="AI302:AM302"/>
    <mergeCell ref="AR302:AV302"/>
    <mergeCell ref="AI303:AM303"/>
    <mergeCell ref="AI305:AN305"/>
    <mergeCell ref="AI306:AM306"/>
    <mergeCell ref="AI307:AM307"/>
    <mergeCell ref="AI380:AN380"/>
    <mergeCell ref="AI381:AN381"/>
    <mergeCell ref="AI383:AN383"/>
    <mergeCell ref="AI384:AM384"/>
    <mergeCell ref="AI385:AN385"/>
    <mergeCell ref="AI386:AN386"/>
    <mergeCell ref="AI366:AN366"/>
    <mergeCell ref="AI367:AN367"/>
    <mergeCell ref="AI369:AN369"/>
    <mergeCell ref="AI370:AM370"/>
    <mergeCell ref="AI378:AN378"/>
    <mergeCell ref="AI379:AM379"/>
    <mergeCell ref="AI395:AN395"/>
    <mergeCell ref="AI396:AN396"/>
    <mergeCell ref="AI399:AN399"/>
    <mergeCell ref="AI400:AM400"/>
    <mergeCell ref="AI388:AN388"/>
    <mergeCell ref="AI389:AM389"/>
    <mergeCell ref="AI390:AN390"/>
    <mergeCell ref="AI391:AN391"/>
    <mergeCell ref="AI393:AN393"/>
    <mergeCell ref="AI394:AM394"/>
  </mergeCells>
  <conditionalFormatting sqref="A131:A151 A154:A164 N154:N164">
    <cfRule type="expression" dxfId="131" priority="61">
      <formula>IF(D131="DESC",1,0)</formula>
    </cfRule>
  </conditionalFormatting>
  <conditionalFormatting sqref="A174:A175">
    <cfRule type="expression" dxfId="130" priority="54">
      <formula>IF(D174="DESC",1,0)</formula>
    </cfRule>
  </conditionalFormatting>
  <conditionalFormatting sqref="A178:A194">
    <cfRule type="expression" dxfId="129" priority="57">
      <formula>IF(D178="DESC",1,0)</formula>
    </cfRule>
  </conditionalFormatting>
  <conditionalFormatting sqref="A240:A245">
    <cfRule type="expression" dxfId="128" priority="16">
      <formula>IF(#REF!="DESC",1,0)</formula>
    </cfRule>
  </conditionalFormatting>
  <conditionalFormatting sqref="A248:A260">
    <cfRule type="expression" dxfId="127" priority="4">
      <formula>IF(#REF!="DESC",1,0)</formula>
    </cfRule>
  </conditionalFormatting>
  <conditionalFormatting sqref="A263:A268">
    <cfRule type="expression" dxfId="126" priority="15">
      <formula>IF(#REF!="DESC",1,0)</formula>
    </cfRule>
  </conditionalFormatting>
  <conditionalFormatting sqref="A271:A272">
    <cfRule type="expression" dxfId="125" priority="14">
      <formula>IF(#REF!="DESC",1,0)</formula>
    </cfRule>
  </conditionalFormatting>
  <conditionalFormatting sqref="A275:A276">
    <cfRule type="expression" dxfId="124" priority="13">
      <formula>IF(#REF!="DESC",1,0)</formula>
    </cfRule>
  </conditionalFormatting>
  <conditionalFormatting sqref="A199:C202">
    <cfRule type="expression" dxfId="123" priority="27">
      <formula>IF(D199="DESC",1,0)</formula>
    </cfRule>
  </conditionalFormatting>
  <conditionalFormatting sqref="A207:C209">
    <cfRule type="expression" dxfId="122" priority="31">
      <formula>IF(D207="DESC",1,0)</formula>
    </cfRule>
  </conditionalFormatting>
  <conditionalFormatting sqref="A214:C217">
    <cfRule type="expression" dxfId="121" priority="29">
      <formula>IF(D214="DESC",1,0)</formula>
    </cfRule>
  </conditionalFormatting>
  <conditionalFormatting sqref="A222:C224">
    <cfRule type="expression" dxfId="120" priority="26">
      <formula>IF(D222="DESC",1,0)</formula>
    </cfRule>
  </conditionalFormatting>
  <conditionalFormatting sqref="A165:N170">
    <cfRule type="expression" dxfId="119" priority="55">
      <formula>IF(D165="DESC",1,0)</formula>
    </cfRule>
  </conditionalFormatting>
  <conditionalFormatting sqref="A171:P171">
    <cfRule type="expression" dxfId="118" priority="5">
      <formula>IF(D171="DESC",1,0)</formula>
    </cfRule>
  </conditionalFormatting>
  <conditionalFormatting sqref="F140">
    <cfRule type="expression" dxfId="117" priority="62">
      <formula>IF(D140="DESC",1,0)</formula>
    </cfRule>
  </conditionalFormatting>
  <conditionalFormatting sqref="F144">
    <cfRule type="expression" dxfId="116" priority="63">
      <formula>IF(D144="DESC",1,0)</formula>
    </cfRule>
  </conditionalFormatting>
  <conditionalFormatting sqref="F164">
    <cfRule type="expression" dxfId="115" priority="36">
      <formula>IF(D164="DESC",1,0)</formula>
    </cfRule>
  </conditionalFormatting>
  <conditionalFormatting sqref="F199:F202">
    <cfRule type="expression" dxfId="114" priority="28">
      <formula>IF(D199="DESC",1,0)</formula>
    </cfRule>
  </conditionalFormatting>
  <conditionalFormatting sqref="F207:F209">
    <cfRule type="expression" dxfId="113" priority="18">
      <formula>IF(D207="DESC",1,0)</formula>
    </cfRule>
  </conditionalFormatting>
  <conditionalFormatting sqref="F214:F217">
    <cfRule type="expression" dxfId="112" priority="30">
      <formula>IF(D214="DESC",1,0)</formula>
    </cfRule>
  </conditionalFormatting>
  <conditionalFormatting sqref="F222:F224">
    <cfRule type="expression" dxfId="111" priority="32">
      <formula>IF(D222="DESC",1,0)</formula>
    </cfRule>
  </conditionalFormatting>
  <conditionalFormatting sqref="F248:F260">
    <cfRule type="duplicateValues" dxfId="110" priority="3"/>
  </conditionalFormatting>
  <conditionalFormatting sqref="G248:N260">
    <cfRule type="expression" dxfId="109" priority="2">
      <formula>IF(#REF!="DESC",1,0)</formula>
    </cfRule>
  </conditionalFormatting>
  <conditionalFormatting sqref="M156:M157">
    <cfRule type="expression" dxfId="108" priority="6">
      <formula>IF(P156="DESC",1,0)</formula>
    </cfRule>
  </conditionalFormatting>
  <conditionalFormatting sqref="M162">
    <cfRule type="expression" dxfId="107" priority="7">
      <formula>IF(P162="DESC",1,0)</formula>
    </cfRule>
  </conditionalFormatting>
  <conditionalFormatting sqref="N131:N151">
    <cfRule type="expression" dxfId="106" priority="58">
      <formula>IF(Q131="DESC",1,0)</formula>
    </cfRule>
  </conditionalFormatting>
  <conditionalFormatting sqref="N174:N175">
    <cfRule type="expression" dxfId="105" priority="53">
      <formula>IF(Q174="DESC",1,0)</formula>
    </cfRule>
  </conditionalFormatting>
  <conditionalFormatting sqref="N178:N194">
    <cfRule type="expression" dxfId="104" priority="56">
      <formula>IF(Q178="DESC",1,0)</formula>
    </cfRule>
  </conditionalFormatting>
  <conditionalFormatting sqref="N240:N245">
    <cfRule type="expression" dxfId="103" priority="12">
      <formula>IF(#REF!="DESC",1,0)</formula>
    </cfRule>
  </conditionalFormatting>
  <conditionalFormatting sqref="N263:N268">
    <cfRule type="expression" dxfId="102" priority="11">
      <formula>IF(#REF!="DESC",1,0)</formula>
    </cfRule>
  </conditionalFormatting>
  <conditionalFormatting sqref="N271:N272">
    <cfRule type="expression" dxfId="101" priority="10">
      <formula>IF(#REF!="DESC",1,0)</formula>
    </cfRule>
  </conditionalFormatting>
  <conditionalFormatting sqref="N275:N276">
    <cfRule type="expression" dxfId="100" priority="9">
      <formula>IF(#REF!="DESC",1,0)</formula>
    </cfRule>
  </conditionalFormatting>
  <conditionalFormatting sqref="N199:P202">
    <cfRule type="expression" dxfId="99" priority="21">
      <formula>IF(Q199="DESC",1,0)</formula>
    </cfRule>
  </conditionalFormatting>
  <conditionalFormatting sqref="N207:P209">
    <cfRule type="expression" dxfId="98" priority="24">
      <formula>IF(Q207="DESC",1,0)</formula>
    </cfRule>
  </conditionalFormatting>
  <conditionalFormatting sqref="N214:P217">
    <cfRule type="expression" dxfId="97" priority="23">
      <formula>IF(Q214="DESC",1,0)</formula>
    </cfRule>
  </conditionalFormatting>
  <conditionalFormatting sqref="N222:P224">
    <cfRule type="expression" dxfId="96" priority="20">
      <formula>IF(Q222="DESC",1,0)</formula>
    </cfRule>
  </conditionalFormatting>
  <conditionalFormatting sqref="S140">
    <cfRule type="expression" dxfId="95" priority="59">
      <formula>IF(Q140="DESC",1,0)</formula>
    </cfRule>
  </conditionalFormatting>
  <conditionalFormatting sqref="S144">
    <cfRule type="expression" dxfId="94" priority="60">
      <formula>IF(Q144="DESC",1,0)</formula>
    </cfRule>
  </conditionalFormatting>
  <conditionalFormatting sqref="S164">
    <cfRule type="expression" dxfId="93" priority="35">
      <formula>IF(Q164="DESC",1,0)</formula>
    </cfRule>
  </conditionalFormatting>
  <conditionalFormatting sqref="S171">
    <cfRule type="expression" dxfId="92" priority="8">
      <formula>IF(V171="DESC",1,0)</formula>
    </cfRule>
  </conditionalFormatting>
  <conditionalFormatting sqref="S199:S202">
    <cfRule type="expression" dxfId="91" priority="22">
      <formula>IF(Q199="DESC",1,0)</formula>
    </cfRule>
  </conditionalFormatting>
  <conditionalFormatting sqref="S207:S209">
    <cfRule type="expression" dxfId="90" priority="17">
      <formula>IF(Q207="DESC",1,0)</formula>
    </cfRule>
  </conditionalFormatting>
  <conditionalFormatting sqref="S214:S217">
    <cfRule type="expression" dxfId="89" priority="19">
      <formula>IF(Q214="DESC",1,0)</formula>
    </cfRule>
  </conditionalFormatting>
  <conditionalFormatting sqref="S222:S224">
    <cfRule type="expression" dxfId="88" priority="25">
      <formula>IF(Q222="DESC",1,0)</formula>
    </cfRule>
  </conditionalFormatting>
  <conditionalFormatting sqref="S248:S260">
    <cfRule type="duplicateValues" dxfId="87" priority="1"/>
  </conditionalFormatting>
  <conditionalFormatting sqref="AD144">
    <cfRule type="duplicateValues" dxfId="86" priority="64"/>
  </conditionalFormatting>
  <conditionalFormatting sqref="AD149">
    <cfRule type="duplicateValues" dxfId="85" priority="38"/>
  </conditionalFormatting>
  <conditionalFormatting sqref="AD152:AD153 AD155 AD157:AD163 AD165:AD168">
    <cfRule type="duplicateValues" dxfId="84" priority="65"/>
  </conditionalFormatting>
  <conditionalFormatting sqref="AD154">
    <cfRule type="duplicateValues" dxfId="83" priority="50"/>
  </conditionalFormatting>
  <conditionalFormatting sqref="AD156">
    <cfRule type="duplicateValues" dxfId="82" priority="52"/>
  </conditionalFormatting>
  <conditionalFormatting sqref="AD164">
    <cfRule type="duplicateValues" dxfId="81" priority="51"/>
  </conditionalFormatting>
  <conditionalFormatting sqref="AD169">
    <cfRule type="duplicateValues" dxfId="80" priority="44"/>
  </conditionalFormatting>
  <conditionalFormatting sqref="AD170">
    <cfRule type="duplicateValues" dxfId="79" priority="37"/>
  </conditionalFormatting>
  <conditionalFormatting sqref="AD171 AD173:AD176 AD178 AD181:AD184 AD186:AD192 AD194:AD195 AD197:AD205 AD207:AD209 AD211:AD213 AD215:AD221">
    <cfRule type="duplicateValues" dxfId="78" priority="66"/>
  </conditionalFormatting>
  <conditionalFormatting sqref="AD172">
    <cfRule type="duplicateValues" dxfId="77" priority="43"/>
  </conditionalFormatting>
  <conditionalFormatting sqref="AD177">
    <cfRule type="duplicateValues" dxfId="76" priority="48"/>
  </conditionalFormatting>
  <conditionalFormatting sqref="AD179">
    <cfRule type="duplicateValues" dxfId="75" priority="34"/>
  </conditionalFormatting>
  <conditionalFormatting sqref="AD180">
    <cfRule type="duplicateValues" dxfId="74" priority="49"/>
  </conditionalFormatting>
  <conditionalFormatting sqref="AD185">
    <cfRule type="duplicateValues" dxfId="73" priority="41"/>
  </conditionalFormatting>
  <conditionalFormatting sqref="AD193">
    <cfRule type="duplicateValues" dxfId="72" priority="47"/>
  </conditionalFormatting>
  <conditionalFormatting sqref="AD196">
    <cfRule type="duplicateValues" dxfId="71" priority="33"/>
  </conditionalFormatting>
  <conditionalFormatting sqref="AD206">
    <cfRule type="duplicateValues" dxfId="70" priority="42"/>
  </conditionalFormatting>
  <conditionalFormatting sqref="AD210">
    <cfRule type="duplicateValues" dxfId="69" priority="46"/>
  </conditionalFormatting>
  <conditionalFormatting sqref="AD214">
    <cfRule type="duplicateValues" dxfId="68" priority="45"/>
  </conditionalFormatting>
  <conditionalFormatting sqref="AD223">
    <cfRule type="duplicateValues" dxfId="67" priority="40"/>
  </conditionalFormatting>
  <conditionalFormatting sqref="AD224">
    <cfRule type="duplicateValues" dxfId="66" priority="39"/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Hoja12">
    <tabColor rgb="FFFF66FF"/>
  </sheetPr>
  <dimension ref="A1:CA495"/>
  <sheetViews>
    <sheetView topLeftCell="R22" zoomScale="60" zoomScaleNormal="60" workbookViewId="0">
      <selection activeCell="AK53" activeCellId="8" sqref="T7:T17 P26 Q25 R24 S23 T22 AP61:AR62 AP53:AR54 AI53:AK54"/>
    </sheetView>
  </sheetViews>
  <sheetFormatPr baseColWidth="10" defaultColWidth="16.7109375" defaultRowHeight="17.25" customHeight="1" x14ac:dyDescent="0.25"/>
  <cols>
    <col min="21" max="31" width="1" customWidth="1"/>
    <col min="32" max="32" width="3.140625" customWidth="1"/>
  </cols>
  <sheetData>
    <row r="1" spans="1:65" ht="17.25" customHeight="1" thickBot="1" x14ac:dyDescent="0.3">
      <c r="A1" s="1153" t="s">
        <v>149</v>
      </c>
      <c r="B1" s="1154"/>
      <c r="C1" s="1154"/>
      <c r="D1" s="1154"/>
      <c r="E1" s="1154"/>
      <c r="F1" s="1154"/>
      <c r="G1" s="1154"/>
      <c r="H1" s="1154"/>
      <c r="I1" s="1154"/>
      <c r="J1" s="1154"/>
      <c r="K1" s="1154"/>
      <c r="L1" s="1154"/>
      <c r="M1" s="1154"/>
      <c r="N1" s="1154"/>
      <c r="O1" s="1154"/>
      <c r="P1" s="1154"/>
      <c r="Q1" s="1154"/>
      <c r="R1" s="1154"/>
      <c r="S1" s="1154"/>
      <c r="T1" s="1154"/>
      <c r="U1" s="1154"/>
      <c r="V1" s="1154"/>
      <c r="W1" s="1154"/>
      <c r="X1" s="1154"/>
      <c r="Y1" s="1154"/>
      <c r="Z1" s="1154"/>
      <c r="AA1" s="1154"/>
      <c r="AB1" s="1154"/>
      <c r="AC1" s="1154"/>
      <c r="AD1" s="1154"/>
      <c r="AE1" s="1154"/>
      <c r="AF1" s="1154"/>
      <c r="AG1" s="1154"/>
      <c r="AH1" s="1154"/>
      <c r="AI1" s="1154"/>
      <c r="AJ1" s="1154"/>
      <c r="AK1" s="1154"/>
      <c r="AL1" s="1154"/>
      <c r="AM1" s="1154"/>
      <c r="AN1" s="1154"/>
      <c r="AO1" s="1154"/>
      <c r="AP1" s="1154"/>
      <c r="AQ1" s="1154"/>
      <c r="AR1" s="1154"/>
      <c r="AS1" s="1154"/>
      <c r="AT1" s="1154"/>
      <c r="AU1" s="1154"/>
      <c r="AV1" s="1154"/>
      <c r="AW1" s="1154"/>
      <c r="AX1" s="1154"/>
      <c r="AY1" s="1154"/>
      <c r="AZ1" s="1154"/>
      <c r="BA1" s="1154"/>
      <c r="BB1" s="1154"/>
      <c r="BC1" s="1154"/>
      <c r="BD1" s="1154"/>
      <c r="BE1" s="1154"/>
      <c r="BF1" s="1154"/>
      <c r="BG1" s="1154"/>
      <c r="BH1" s="1154"/>
      <c r="BI1" s="1155"/>
      <c r="BJ1" s="23"/>
      <c r="BK1" s="23"/>
      <c r="BL1" s="23"/>
      <c r="BM1" s="23"/>
    </row>
    <row r="2" spans="1:65" ht="17.25" customHeight="1" x14ac:dyDescent="0.25">
      <c r="A2" s="24"/>
      <c r="B2" s="24"/>
      <c r="C2" s="24"/>
      <c r="D2" s="23"/>
      <c r="E2" s="25"/>
      <c r="F2" s="25"/>
      <c r="G2" s="25"/>
      <c r="H2" s="25"/>
      <c r="I2" s="25"/>
      <c r="J2" s="25"/>
      <c r="K2" s="25"/>
      <c r="L2" s="25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  <c r="AQ2" s="24"/>
      <c r="AR2" s="24"/>
      <c r="AS2" s="24"/>
      <c r="AT2" s="24"/>
      <c r="AU2" s="24"/>
      <c r="AV2" s="24"/>
      <c r="AW2" s="24"/>
      <c r="AX2" s="24"/>
      <c r="AY2" s="24"/>
      <c r="AZ2" s="24"/>
      <c r="BA2" s="24"/>
      <c r="BB2" s="24"/>
      <c r="BC2" s="23"/>
      <c r="BD2" s="23"/>
      <c r="BE2" s="23"/>
      <c r="BF2" s="23"/>
      <c r="BG2" s="23"/>
      <c r="BH2" s="23"/>
      <c r="BI2" s="23"/>
      <c r="BJ2" s="23"/>
      <c r="BK2" s="23"/>
      <c r="BL2" s="23"/>
      <c r="BM2" s="23"/>
    </row>
    <row r="3" spans="1:65" ht="17.25" customHeight="1" thickBot="1" x14ac:dyDescent="0.3">
      <c r="A3" s="763"/>
      <c r="B3" s="27"/>
      <c r="C3" s="28"/>
      <c r="D3" s="28"/>
      <c r="E3" s="28"/>
      <c r="F3" s="28"/>
      <c r="G3" s="28"/>
      <c r="H3" s="28"/>
      <c r="I3" s="28"/>
      <c r="J3" s="28"/>
      <c r="K3" s="28"/>
      <c r="L3" s="29"/>
      <c r="M3" s="28"/>
      <c r="N3" s="30"/>
      <c r="O3" s="30"/>
      <c r="P3" s="31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0"/>
      <c r="AP3" s="30"/>
      <c r="AQ3" s="30"/>
      <c r="AR3" s="30"/>
      <c r="AS3" s="30"/>
      <c r="AT3" s="30"/>
      <c r="AU3" s="30"/>
      <c r="AV3" s="30"/>
      <c r="AW3" s="30"/>
      <c r="AX3" s="30"/>
      <c r="AY3" s="30"/>
      <c r="AZ3" s="30"/>
      <c r="BA3" s="30"/>
      <c r="BB3" s="30"/>
      <c r="BC3" s="30"/>
      <c r="BD3" s="30"/>
      <c r="BE3" s="30"/>
      <c r="BF3" s="30"/>
      <c r="BG3" s="30"/>
      <c r="BH3" s="30"/>
      <c r="BI3" s="30"/>
      <c r="BJ3" s="23"/>
      <c r="BK3" s="23"/>
      <c r="BL3" s="23"/>
      <c r="BM3" s="23"/>
    </row>
    <row r="4" spans="1:65" ht="17.25" customHeight="1" x14ac:dyDescent="0.25">
      <c r="A4" s="764"/>
      <c r="B4" s="153"/>
      <c r="C4" s="33"/>
      <c r="D4" s="836"/>
      <c r="E4" s="837"/>
      <c r="F4" s="838"/>
      <c r="G4" s="839"/>
      <c r="H4" s="836"/>
      <c r="I4" s="840"/>
      <c r="J4" s="840"/>
      <c r="K4" s="841"/>
      <c r="L4" s="33"/>
      <c r="M4" s="33"/>
      <c r="N4" s="40"/>
      <c r="O4" s="41"/>
      <c r="P4" s="42"/>
      <c r="Q4" s="42"/>
      <c r="R4" s="42"/>
      <c r="S4" s="42"/>
      <c r="T4" s="43"/>
      <c r="U4" s="23"/>
      <c r="V4" s="44"/>
      <c r="W4" s="45"/>
      <c r="X4" s="45"/>
      <c r="Y4" s="45"/>
      <c r="Z4" s="45"/>
      <c r="AA4" s="45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46"/>
      <c r="BK4" s="23"/>
      <c r="BL4" s="23"/>
      <c r="BM4" s="23"/>
    </row>
    <row r="5" spans="1:65" ht="17.25" customHeight="1" x14ac:dyDescent="0.25">
      <c r="A5" s="764"/>
      <c r="B5" s="192"/>
      <c r="C5" s="33"/>
      <c r="D5" s="153"/>
      <c r="E5" s="153"/>
      <c r="F5" s="153"/>
      <c r="G5" s="153"/>
      <c r="H5" s="153"/>
      <c r="I5" s="153"/>
      <c r="J5" s="153"/>
      <c r="K5" s="153"/>
      <c r="L5" s="47"/>
      <c r="M5" s="48"/>
      <c r="N5" s="44"/>
      <c r="O5" s="49"/>
      <c r="P5" s="50"/>
      <c r="Q5" s="50"/>
      <c r="R5" s="50"/>
      <c r="S5" s="50"/>
      <c r="T5" s="51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3"/>
      <c r="BD5" s="23"/>
      <c r="BE5" s="23"/>
      <c r="BF5" s="23"/>
      <c r="BG5" s="23"/>
      <c r="BH5" s="23"/>
      <c r="BI5" s="23"/>
      <c r="BJ5" s="46"/>
      <c r="BK5" s="23"/>
      <c r="BL5" s="23"/>
      <c r="BM5" s="23"/>
    </row>
    <row r="6" spans="1:65" ht="17.25" customHeight="1" x14ac:dyDescent="0.25">
      <c r="A6" s="764"/>
      <c r="B6" s="765"/>
      <c r="C6" s="33"/>
      <c r="D6" s="842"/>
      <c r="E6" s="842"/>
      <c r="F6" s="842"/>
      <c r="G6" s="842"/>
      <c r="H6" s="842"/>
      <c r="I6" s="842"/>
      <c r="J6" s="842"/>
      <c r="K6" s="842"/>
      <c r="L6" s="53"/>
      <c r="M6" s="48"/>
      <c r="N6" s="23"/>
      <c r="O6" s="23"/>
      <c r="P6" s="54"/>
      <c r="Q6" s="54"/>
      <c r="R6" s="54"/>
      <c r="S6" s="54"/>
      <c r="T6" s="55" t="s">
        <v>162</v>
      </c>
      <c r="U6" s="192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3"/>
      <c r="BA6" s="23"/>
      <c r="BB6" s="23"/>
      <c r="BC6" s="23"/>
      <c r="BD6" s="23"/>
      <c r="BE6" s="23"/>
      <c r="BF6" s="23"/>
      <c r="BG6" s="23"/>
      <c r="BH6" s="23"/>
      <c r="BI6" s="23"/>
      <c r="BJ6" s="46"/>
      <c r="BK6" s="23"/>
      <c r="BL6" s="23"/>
      <c r="BM6" s="23"/>
    </row>
    <row r="7" spans="1:65" ht="17.25" customHeight="1" x14ac:dyDescent="0.25">
      <c r="A7" s="764"/>
      <c r="B7" s="765"/>
      <c r="C7" s="33"/>
      <c r="D7" s="843"/>
      <c r="E7" s="844"/>
      <c r="F7" s="845"/>
      <c r="G7" s="845"/>
      <c r="H7" s="845"/>
      <c r="I7" s="845"/>
      <c r="J7" s="845"/>
      <c r="K7" s="845"/>
      <c r="L7" s="845"/>
      <c r="M7" s="845"/>
      <c r="N7" s="192"/>
      <c r="O7" s="192"/>
      <c r="P7" s="848"/>
      <c r="Q7" s="180"/>
      <c r="R7" s="59">
        <v>1</v>
      </c>
      <c r="S7" s="50" t="s">
        <v>160</v>
      </c>
      <c r="T7" s="60">
        <v>100</v>
      </c>
      <c r="U7" s="784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23"/>
      <c r="AY7" s="23"/>
      <c r="AZ7" s="23"/>
      <c r="BA7" s="23"/>
      <c r="BB7" s="23"/>
      <c r="BC7" s="23"/>
      <c r="BD7" s="23"/>
      <c r="BE7" s="23"/>
      <c r="BF7" s="23"/>
      <c r="BG7" s="23"/>
      <c r="BH7" s="23"/>
      <c r="BI7" s="23"/>
      <c r="BJ7" s="46"/>
      <c r="BK7" s="23"/>
      <c r="BL7" s="23"/>
      <c r="BM7" s="23"/>
    </row>
    <row r="8" spans="1:65" ht="17.25" customHeight="1" x14ac:dyDescent="0.25">
      <c r="A8" s="764"/>
      <c r="B8" s="765"/>
      <c r="C8" s="33"/>
      <c r="D8" s="774"/>
      <c r="E8" s="821"/>
      <c r="F8" s="821"/>
      <c r="G8" s="821"/>
      <c r="H8" s="192"/>
      <c r="I8" s="153"/>
      <c r="J8" s="153"/>
      <c r="K8" s="153"/>
      <c r="L8" s="153"/>
      <c r="M8" s="774"/>
      <c r="N8" s="782"/>
      <c r="O8" s="782"/>
      <c r="P8" s="782"/>
      <c r="Q8" s="782"/>
      <c r="R8" s="59">
        <v>2</v>
      </c>
      <c r="S8" s="50" t="s">
        <v>160</v>
      </c>
      <c r="T8" s="60">
        <v>100</v>
      </c>
      <c r="U8" s="23"/>
      <c r="V8" s="23"/>
      <c r="W8" s="23"/>
      <c r="X8" s="23"/>
      <c r="Y8" s="23"/>
      <c r="Z8" s="23"/>
      <c r="AA8" s="23"/>
      <c r="AB8" s="45"/>
      <c r="AC8" s="45"/>
      <c r="AD8" s="45"/>
      <c r="AE8" s="45"/>
      <c r="AF8" s="45"/>
      <c r="AG8" s="45"/>
      <c r="AH8" s="45"/>
      <c r="AI8" s="45"/>
      <c r="AJ8" s="45"/>
      <c r="AK8" s="45"/>
      <c r="AL8" s="45"/>
      <c r="AM8" s="45"/>
      <c r="AN8" s="23"/>
      <c r="AO8" s="23"/>
      <c r="AP8" s="23"/>
      <c r="AQ8" s="23"/>
      <c r="AR8" s="23"/>
      <c r="AS8" s="23"/>
      <c r="AT8" s="23"/>
      <c r="AU8" s="23"/>
      <c r="AV8" s="23"/>
      <c r="AW8" s="23"/>
      <c r="AX8" s="23"/>
      <c r="AY8" s="23"/>
      <c r="AZ8" s="23"/>
      <c r="BA8" s="23"/>
      <c r="BB8" s="23"/>
      <c r="BC8" s="23"/>
      <c r="BD8" s="23"/>
      <c r="BE8" s="23"/>
      <c r="BF8" s="23"/>
      <c r="BG8" s="23"/>
      <c r="BH8" s="23"/>
      <c r="BI8" s="23"/>
      <c r="BJ8" s="46"/>
      <c r="BK8" s="23"/>
      <c r="BL8" s="23"/>
      <c r="BM8" s="23"/>
    </row>
    <row r="9" spans="1:65" ht="17.25" customHeight="1" thickBot="1" x14ac:dyDescent="0.3">
      <c r="A9" s="764"/>
      <c r="B9" s="765"/>
      <c r="C9" s="33"/>
      <c r="D9" s="846"/>
      <c r="E9" s="770"/>
      <c r="F9" s="770"/>
      <c r="G9" s="770"/>
      <c r="H9" s="846"/>
      <c r="I9" s="153"/>
      <c r="J9" s="847"/>
      <c r="K9" s="847"/>
      <c r="L9" s="847"/>
      <c r="M9" s="782"/>
      <c r="N9" s="770"/>
      <c r="O9" s="770"/>
      <c r="P9" s="770"/>
      <c r="Q9" s="770"/>
      <c r="R9" s="59">
        <v>3</v>
      </c>
      <c r="S9" s="50" t="s">
        <v>160</v>
      </c>
      <c r="T9" s="60">
        <v>100</v>
      </c>
      <c r="U9" s="23"/>
      <c r="V9" s="23"/>
      <c r="W9" s="23"/>
      <c r="X9" s="23"/>
      <c r="Y9" s="23"/>
      <c r="Z9" s="23"/>
      <c r="AA9" s="23"/>
      <c r="AB9" s="45"/>
      <c r="AC9" s="45"/>
      <c r="AD9" s="45"/>
      <c r="AE9" s="45"/>
      <c r="AF9" s="68"/>
      <c r="AG9" s="68"/>
      <c r="AH9" s="45"/>
      <c r="AI9" s="45"/>
      <c r="AJ9" s="45"/>
      <c r="AK9" s="45"/>
      <c r="AL9" s="45"/>
      <c r="AM9" s="45"/>
      <c r="AN9" s="23"/>
      <c r="AO9" s="23"/>
      <c r="AP9" s="23"/>
      <c r="AQ9" s="23"/>
      <c r="AR9" s="23"/>
      <c r="AS9" s="23"/>
      <c r="AT9" s="23"/>
      <c r="AU9" s="23"/>
      <c r="AV9" s="23"/>
      <c r="AW9" s="23"/>
      <c r="AX9" s="23"/>
      <c r="AY9" s="23"/>
      <c r="AZ9" s="23"/>
      <c r="BA9" s="23"/>
      <c r="BB9" s="23"/>
      <c r="BC9" s="23"/>
      <c r="BD9" s="23"/>
      <c r="BE9" s="23"/>
      <c r="BF9" s="23"/>
      <c r="BG9" s="23"/>
      <c r="BH9" s="23"/>
      <c r="BI9" s="23"/>
      <c r="BJ9" s="46"/>
      <c r="BK9" s="23"/>
      <c r="BL9" s="23"/>
      <c r="BM9" s="23"/>
    </row>
    <row r="10" spans="1:65" ht="17.25" customHeight="1" x14ac:dyDescent="0.25">
      <c r="A10" s="766"/>
      <c r="B10" s="765"/>
      <c r="C10" s="33"/>
      <c r="D10" s="846"/>
      <c r="E10" s="770"/>
      <c r="F10" s="770"/>
      <c r="G10" s="770"/>
      <c r="H10" s="846"/>
      <c r="I10" s="153"/>
      <c r="J10" s="847"/>
      <c r="K10" s="847"/>
      <c r="L10" s="847"/>
      <c r="M10" s="782"/>
      <c r="N10" s="770"/>
      <c r="O10" s="770"/>
      <c r="P10" s="770"/>
      <c r="Q10" s="770"/>
      <c r="R10" s="59">
        <v>4</v>
      </c>
      <c r="S10" s="50" t="s">
        <v>160</v>
      </c>
      <c r="T10" s="70">
        <v>100</v>
      </c>
      <c r="U10" s="1156"/>
      <c r="V10" s="1157"/>
      <c r="W10" s="1157"/>
      <c r="X10" s="1157"/>
      <c r="Y10" s="1157"/>
      <c r="Z10" s="1157"/>
      <c r="AA10" s="1157"/>
      <c r="AB10" s="1157"/>
      <c r="AC10" s="1157"/>
      <c r="AD10" s="1157"/>
      <c r="AE10" s="1157"/>
      <c r="AF10" s="1157"/>
      <c r="AG10" s="1157"/>
      <c r="AH10" s="1157"/>
      <c r="AI10" s="1157"/>
      <c r="AJ10" s="1157"/>
      <c r="AK10" s="1157"/>
      <c r="AL10" s="1157"/>
      <c r="AM10" s="1157"/>
      <c r="AN10" s="1157"/>
      <c r="AO10" s="1157"/>
      <c r="AP10" s="1157"/>
      <c r="AQ10" s="1157"/>
      <c r="AR10" s="1157"/>
      <c r="AS10" s="1157"/>
      <c r="AT10" s="1157"/>
      <c r="AU10" s="1158"/>
      <c r="AV10" s="23"/>
      <c r="AW10" s="23"/>
      <c r="AX10" s="23"/>
      <c r="AY10" s="23"/>
      <c r="AZ10" s="23"/>
      <c r="BA10" s="23"/>
      <c r="BB10" s="23"/>
      <c r="BC10" s="23"/>
      <c r="BD10" s="23"/>
      <c r="BE10" s="23"/>
      <c r="BF10" s="23"/>
      <c r="BG10" s="23"/>
      <c r="BH10" s="23"/>
      <c r="BI10" s="23"/>
      <c r="BJ10" s="46"/>
      <c r="BK10" s="23"/>
      <c r="BL10" s="23"/>
      <c r="BM10" s="23"/>
    </row>
    <row r="11" spans="1:65" ht="17.25" customHeight="1" x14ac:dyDescent="0.25">
      <c r="A11" s="766"/>
      <c r="B11" s="767"/>
      <c r="C11" s="33"/>
      <c r="D11" s="784"/>
      <c r="E11" s="821"/>
      <c r="F11" s="821"/>
      <c r="G11" s="821"/>
      <c r="H11" s="848"/>
      <c r="I11" s="153"/>
      <c r="J11" s="784"/>
      <c r="K11" s="153"/>
      <c r="L11" s="153"/>
      <c r="M11" s="784"/>
      <c r="N11" s="782"/>
      <c r="O11" s="782"/>
      <c r="P11" s="782"/>
      <c r="Q11" s="782"/>
      <c r="R11" s="59">
        <v>5</v>
      </c>
      <c r="S11" s="50" t="s">
        <v>160</v>
      </c>
      <c r="T11" s="74">
        <v>100</v>
      </c>
      <c r="U11" s="1159"/>
      <c r="V11" s="1160"/>
      <c r="W11" s="1160"/>
      <c r="X11" s="1160"/>
      <c r="Y11" s="1160"/>
      <c r="Z11" s="1160"/>
      <c r="AA11" s="1160"/>
      <c r="AB11" s="1160"/>
      <c r="AC11" s="1160"/>
      <c r="AD11" s="1160"/>
      <c r="AE11" s="1160"/>
      <c r="AF11" s="1160"/>
      <c r="AG11" s="1160"/>
      <c r="AH11" s="1160"/>
      <c r="AI11" s="1160"/>
      <c r="AJ11" s="1160"/>
      <c r="AK11" s="1160"/>
      <c r="AL11" s="1160"/>
      <c r="AM11" s="1160"/>
      <c r="AN11" s="1160"/>
      <c r="AO11" s="1160"/>
      <c r="AP11" s="1160"/>
      <c r="AQ11" s="1160"/>
      <c r="AR11" s="1160"/>
      <c r="AS11" s="1160"/>
      <c r="AT11" s="1160"/>
      <c r="AU11" s="1161"/>
      <c r="AV11" s="23"/>
      <c r="AW11" s="23"/>
      <c r="AX11" s="23"/>
      <c r="AY11" s="23"/>
      <c r="AZ11" s="23"/>
      <c r="BA11" s="23"/>
      <c r="BB11" s="23"/>
      <c r="BC11" s="23"/>
      <c r="BD11" s="23"/>
      <c r="BE11" s="23"/>
      <c r="BF11" s="23"/>
      <c r="BG11" s="23"/>
      <c r="BH11" s="23"/>
      <c r="BI11" s="23"/>
      <c r="BJ11" s="46"/>
      <c r="BK11" s="23"/>
      <c r="BL11" s="23"/>
      <c r="BM11" s="23"/>
    </row>
    <row r="12" spans="1:65" ht="17.25" customHeight="1" x14ac:dyDescent="0.25">
      <c r="A12" s="766"/>
      <c r="B12" s="765"/>
      <c r="C12" s="33"/>
      <c r="D12" s="192"/>
      <c r="E12" s="844"/>
      <c r="F12" s="844"/>
      <c r="G12" s="844"/>
      <c r="H12" s="849"/>
      <c r="I12" s="153"/>
      <c r="J12" s="153"/>
      <c r="K12" s="153"/>
      <c r="L12" s="153"/>
      <c r="M12" s="153"/>
      <c r="N12" s="804"/>
      <c r="O12" s="804"/>
      <c r="P12" s="804"/>
      <c r="Q12" s="804"/>
      <c r="R12" s="59">
        <v>6</v>
      </c>
      <c r="S12" s="50" t="s">
        <v>160</v>
      </c>
      <c r="T12" s="79">
        <v>100</v>
      </c>
      <c r="U12" s="1159"/>
      <c r="V12" s="1160"/>
      <c r="W12" s="1160"/>
      <c r="X12" s="1160"/>
      <c r="Y12" s="1160"/>
      <c r="Z12" s="1160"/>
      <c r="AA12" s="1160"/>
      <c r="AB12" s="1160"/>
      <c r="AC12" s="1160"/>
      <c r="AD12" s="1160"/>
      <c r="AE12" s="1160"/>
      <c r="AF12" s="1160"/>
      <c r="AG12" s="1160"/>
      <c r="AH12" s="1160"/>
      <c r="AI12" s="1160"/>
      <c r="AJ12" s="1160"/>
      <c r="AK12" s="1160"/>
      <c r="AL12" s="1160"/>
      <c r="AM12" s="1160"/>
      <c r="AN12" s="1160"/>
      <c r="AO12" s="1160"/>
      <c r="AP12" s="1160"/>
      <c r="AQ12" s="1160"/>
      <c r="AR12" s="1160"/>
      <c r="AS12" s="1160"/>
      <c r="AT12" s="1160"/>
      <c r="AU12" s="1161"/>
      <c r="AV12" s="23"/>
      <c r="AW12" s="23"/>
      <c r="AX12" s="23"/>
      <c r="AY12" s="23"/>
      <c r="AZ12" s="23"/>
      <c r="BA12" s="23"/>
      <c r="BB12" s="23"/>
      <c r="BC12" s="23"/>
      <c r="BD12" s="23"/>
      <c r="BE12" s="23"/>
      <c r="BF12" s="23"/>
      <c r="BG12" s="23"/>
      <c r="BH12" s="23"/>
      <c r="BI12" s="23"/>
      <c r="BJ12" s="46"/>
      <c r="BK12" s="23"/>
      <c r="BL12" s="23"/>
      <c r="BM12" s="23"/>
    </row>
    <row r="13" spans="1:65" ht="17.25" customHeight="1" x14ac:dyDescent="0.25">
      <c r="A13" s="766"/>
      <c r="B13" s="765"/>
      <c r="C13" s="33"/>
      <c r="D13" s="192"/>
      <c r="E13" s="1099"/>
      <c r="F13" s="1099"/>
      <c r="G13" s="1099"/>
      <c r="H13" s="769"/>
      <c r="I13" s="153"/>
      <c r="J13" s="153"/>
      <c r="K13" s="153"/>
      <c r="L13" s="153"/>
      <c r="M13" s="153"/>
      <c r="N13" s="811"/>
      <c r="O13" s="811"/>
      <c r="P13" s="153"/>
      <c r="Q13" s="153"/>
      <c r="R13" s="59">
        <v>7</v>
      </c>
      <c r="S13" s="50" t="s">
        <v>160</v>
      </c>
      <c r="T13" s="11">
        <v>100</v>
      </c>
      <c r="U13" s="1159"/>
      <c r="V13" s="1160"/>
      <c r="W13" s="1160"/>
      <c r="X13" s="1160"/>
      <c r="Y13" s="1160"/>
      <c r="Z13" s="1160"/>
      <c r="AA13" s="1160"/>
      <c r="AB13" s="1160"/>
      <c r="AC13" s="1160"/>
      <c r="AD13" s="1160"/>
      <c r="AE13" s="1160"/>
      <c r="AF13" s="1160"/>
      <c r="AG13" s="1160"/>
      <c r="AH13" s="1160"/>
      <c r="AI13" s="1160"/>
      <c r="AJ13" s="1160"/>
      <c r="AK13" s="1160"/>
      <c r="AL13" s="1160"/>
      <c r="AM13" s="1160"/>
      <c r="AN13" s="1160"/>
      <c r="AO13" s="1160"/>
      <c r="AP13" s="1160"/>
      <c r="AQ13" s="1160"/>
      <c r="AR13" s="1160"/>
      <c r="AS13" s="1160"/>
      <c r="AT13" s="1160"/>
      <c r="AU13" s="1161"/>
      <c r="AV13" s="23"/>
      <c r="AW13" s="23"/>
      <c r="AX13" s="23"/>
      <c r="AY13" s="23"/>
      <c r="AZ13" s="23"/>
      <c r="BA13" s="23"/>
      <c r="BB13" s="23"/>
      <c r="BC13" s="23"/>
      <c r="BD13" s="23"/>
      <c r="BE13" s="23"/>
      <c r="BF13" s="23"/>
      <c r="BG13" s="23"/>
      <c r="BH13" s="23"/>
      <c r="BI13" s="23"/>
      <c r="BJ13" s="46"/>
      <c r="BK13" s="23"/>
      <c r="BL13" s="23"/>
      <c r="BM13" s="23"/>
    </row>
    <row r="14" spans="1:65" ht="17.25" customHeight="1" thickBot="1" x14ac:dyDescent="0.3">
      <c r="A14" s="763"/>
      <c r="B14" s="153"/>
      <c r="C14" s="23"/>
      <c r="D14" s="850"/>
      <c r="E14" s="157"/>
      <c r="F14" s="850"/>
      <c r="G14" s="157"/>
      <c r="H14" s="153"/>
      <c r="I14" s="153"/>
      <c r="J14" s="153"/>
      <c r="K14" s="768"/>
      <c r="L14" s="768"/>
      <c r="M14" s="811"/>
      <c r="N14" s="153"/>
      <c r="O14" s="1131"/>
      <c r="P14" s="1131"/>
      <c r="Q14" s="811"/>
      <c r="R14" s="59">
        <v>8</v>
      </c>
      <c r="S14" s="50" t="s">
        <v>160</v>
      </c>
      <c r="T14" s="84">
        <v>100</v>
      </c>
      <c r="U14" s="1159"/>
      <c r="V14" s="1160"/>
      <c r="W14" s="1160"/>
      <c r="X14" s="1160"/>
      <c r="Y14" s="1160"/>
      <c r="Z14" s="1160"/>
      <c r="AA14" s="1160"/>
      <c r="AB14" s="1160"/>
      <c r="AC14" s="1160"/>
      <c r="AD14" s="1160"/>
      <c r="AE14" s="1160"/>
      <c r="AF14" s="1160"/>
      <c r="AG14" s="1160"/>
      <c r="AH14" s="1160"/>
      <c r="AI14" s="1160"/>
      <c r="AJ14" s="1160"/>
      <c r="AK14" s="1160"/>
      <c r="AL14" s="1160"/>
      <c r="AM14" s="1160"/>
      <c r="AN14" s="1160"/>
      <c r="AO14" s="1160"/>
      <c r="AP14" s="1160"/>
      <c r="AQ14" s="1160"/>
      <c r="AR14" s="1160"/>
      <c r="AS14" s="1160"/>
      <c r="AT14" s="1160"/>
      <c r="AU14" s="1161"/>
      <c r="AV14" s="23"/>
      <c r="AW14" s="23"/>
      <c r="AX14" s="23"/>
      <c r="AY14" s="23"/>
      <c r="AZ14" s="23"/>
      <c r="BA14" s="23"/>
      <c r="BB14" s="23"/>
      <c r="BC14" s="23"/>
      <c r="BD14" s="23"/>
      <c r="BE14" s="23"/>
      <c r="BF14" s="23"/>
      <c r="BG14" s="23"/>
      <c r="BH14" s="23"/>
      <c r="BI14" s="23"/>
      <c r="BJ14" s="46"/>
      <c r="BK14" s="23"/>
      <c r="BL14" s="23"/>
      <c r="BM14" s="23"/>
    </row>
    <row r="15" spans="1:65" ht="17.25" customHeight="1" x14ac:dyDescent="0.25">
      <c r="A15" s="768"/>
      <c r="B15" s="153"/>
      <c r="C15" s="33"/>
      <c r="D15" s="153"/>
      <c r="E15" s="766"/>
      <c r="F15" s="766"/>
      <c r="G15" s="851"/>
      <c r="H15" s="153"/>
      <c r="I15" s="153"/>
      <c r="J15" s="153"/>
      <c r="K15" s="768"/>
      <c r="L15" s="768"/>
      <c r="M15" s="811"/>
      <c r="N15" s="766"/>
      <c r="O15" s="766"/>
      <c r="P15" s="766"/>
      <c r="Q15" s="766"/>
      <c r="R15" s="59">
        <v>9</v>
      </c>
      <c r="S15" s="50" t="s">
        <v>160</v>
      </c>
      <c r="T15" s="84">
        <v>100</v>
      </c>
      <c r="U15" s="1159"/>
      <c r="V15" s="1160"/>
      <c r="W15" s="1160"/>
      <c r="X15" s="1160"/>
      <c r="Y15" s="1160"/>
      <c r="Z15" s="1160"/>
      <c r="AA15" s="1160"/>
      <c r="AB15" s="1160"/>
      <c r="AC15" s="1160"/>
      <c r="AD15" s="1160"/>
      <c r="AE15" s="1160"/>
      <c r="AF15" s="1160"/>
      <c r="AG15" s="1160"/>
      <c r="AH15" s="1160"/>
      <c r="AI15" s="1160"/>
      <c r="AJ15" s="1160"/>
      <c r="AK15" s="1160"/>
      <c r="AL15" s="1160"/>
      <c r="AM15" s="1160"/>
      <c r="AN15" s="1160"/>
      <c r="AO15" s="1160"/>
      <c r="AP15" s="1160"/>
      <c r="AQ15" s="1160"/>
      <c r="AR15" s="1160"/>
      <c r="AS15" s="1160"/>
      <c r="AT15" s="1160"/>
      <c r="AU15" s="1161"/>
      <c r="AV15" s="23"/>
      <c r="AW15" s="23"/>
      <c r="AX15" s="23"/>
      <c r="AY15" s="23"/>
      <c r="AZ15" s="23"/>
      <c r="BA15" s="23"/>
      <c r="BB15" s="23"/>
      <c r="BC15" s="23"/>
      <c r="BD15" s="23"/>
      <c r="BE15" s="23"/>
      <c r="BF15" s="23"/>
      <c r="BG15" s="23"/>
      <c r="BH15" s="23"/>
      <c r="BI15" s="23"/>
      <c r="BJ15" s="46"/>
      <c r="BK15" s="23"/>
      <c r="BL15" s="23"/>
      <c r="BM15" s="23"/>
    </row>
    <row r="16" spans="1:65" ht="17.25" customHeight="1" x14ac:dyDescent="0.25">
      <c r="A16" s="1099"/>
      <c r="B16" s="1099"/>
      <c r="C16" s="153"/>
      <c r="D16" s="784"/>
      <c r="E16" s="766"/>
      <c r="F16" s="766"/>
      <c r="G16" s="851"/>
      <c r="H16" s="153"/>
      <c r="I16" s="153"/>
      <c r="J16" s="153"/>
      <c r="K16" s="768"/>
      <c r="L16" s="768"/>
      <c r="M16" s="849"/>
      <c r="N16" s="766"/>
      <c r="O16" s="766"/>
      <c r="P16" s="766"/>
      <c r="Q16" s="766"/>
      <c r="R16" s="59">
        <v>10</v>
      </c>
      <c r="S16" s="50" t="s">
        <v>160</v>
      </c>
      <c r="T16" s="87">
        <v>100</v>
      </c>
      <c r="U16" s="1159"/>
      <c r="V16" s="1160"/>
      <c r="W16" s="1160"/>
      <c r="X16" s="1160"/>
      <c r="Y16" s="1160"/>
      <c r="Z16" s="1160"/>
      <c r="AA16" s="1160"/>
      <c r="AB16" s="1160"/>
      <c r="AC16" s="1160"/>
      <c r="AD16" s="1160"/>
      <c r="AE16" s="1160"/>
      <c r="AF16" s="1160"/>
      <c r="AG16" s="1160"/>
      <c r="AH16" s="1160"/>
      <c r="AI16" s="1160"/>
      <c r="AJ16" s="1160"/>
      <c r="AK16" s="1160"/>
      <c r="AL16" s="1160"/>
      <c r="AM16" s="1160"/>
      <c r="AN16" s="1160"/>
      <c r="AO16" s="1160"/>
      <c r="AP16" s="1160"/>
      <c r="AQ16" s="1160"/>
      <c r="AR16" s="1160"/>
      <c r="AS16" s="1160"/>
      <c r="AT16" s="1160"/>
      <c r="AU16" s="1161"/>
      <c r="AV16" s="23"/>
      <c r="AW16" s="23"/>
      <c r="AX16" s="23"/>
      <c r="AY16" s="23"/>
      <c r="AZ16" s="23"/>
      <c r="BA16" s="23"/>
      <c r="BB16" s="23"/>
      <c r="BC16" s="23"/>
      <c r="BD16" s="23"/>
      <c r="BE16" s="23"/>
      <c r="BF16" s="23"/>
      <c r="BG16" s="23"/>
      <c r="BH16" s="23"/>
      <c r="BI16" s="23"/>
      <c r="BJ16" s="46"/>
      <c r="BK16" s="23"/>
      <c r="BL16" s="23"/>
      <c r="BM16" s="23"/>
    </row>
    <row r="17" spans="1:65" ht="17.25" customHeight="1" x14ac:dyDescent="0.25">
      <c r="A17" s="770"/>
      <c r="B17" s="771"/>
      <c r="C17" s="772"/>
      <c r="D17" s="822"/>
      <c r="E17" s="153"/>
      <c r="F17" s="153"/>
      <c r="G17" s="157"/>
      <c r="H17" s="153"/>
      <c r="I17" s="153"/>
      <c r="J17" s="153"/>
      <c r="K17" s="153"/>
      <c r="L17" s="784"/>
      <c r="M17" s="811"/>
      <c r="N17" s="849"/>
      <c r="O17" s="849"/>
      <c r="P17" s="153"/>
      <c r="Q17" s="153"/>
      <c r="R17" s="59">
        <v>11</v>
      </c>
      <c r="S17" s="50" t="s">
        <v>160</v>
      </c>
      <c r="T17" s="91">
        <v>100</v>
      </c>
      <c r="U17" s="1159"/>
      <c r="V17" s="1160"/>
      <c r="W17" s="1160"/>
      <c r="X17" s="1160"/>
      <c r="Y17" s="1160"/>
      <c r="Z17" s="1160"/>
      <c r="AA17" s="1160"/>
      <c r="AB17" s="1160"/>
      <c r="AC17" s="1160"/>
      <c r="AD17" s="1160"/>
      <c r="AE17" s="1160"/>
      <c r="AF17" s="1160"/>
      <c r="AG17" s="1160"/>
      <c r="AH17" s="1160"/>
      <c r="AI17" s="1160"/>
      <c r="AJ17" s="1160"/>
      <c r="AK17" s="1160"/>
      <c r="AL17" s="1160"/>
      <c r="AM17" s="1160"/>
      <c r="AN17" s="1160"/>
      <c r="AO17" s="1160"/>
      <c r="AP17" s="1160"/>
      <c r="AQ17" s="1160"/>
      <c r="AR17" s="1160"/>
      <c r="AS17" s="1160"/>
      <c r="AT17" s="1160"/>
      <c r="AU17" s="1161"/>
      <c r="AV17" s="23"/>
      <c r="AW17" s="23"/>
      <c r="AX17" s="23"/>
      <c r="AY17" s="23"/>
      <c r="AZ17" s="23"/>
      <c r="BA17" s="23"/>
      <c r="BB17" s="23"/>
      <c r="BC17" s="23"/>
      <c r="BD17" s="23"/>
      <c r="BE17" s="23"/>
      <c r="BF17" s="23"/>
      <c r="BG17" s="23"/>
      <c r="BH17" s="23"/>
      <c r="BI17" s="23"/>
      <c r="BJ17" s="46"/>
      <c r="BK17" s="23"/>
      <c r="BL17" s="23"/>
      <c r="BM17" s="23"/>
    </row>
    <row r="18" spans="1:65" ht="17.25" customHeight="1" thickBot="1" x14ac:dyDescent="0.3">
      <c r="A18" s="770"/>
      <c r="B18" s="771"/>
      <c r="C18" s="772"/>
      <c r="D18" s="153"/>
      <c r="E18" s="153"/>
      <c r="F18" s="153"/>
      <c r="G18" s="153"/>
      <c r="H18" s="153"/>
      <c r="I18" s="153"/>
      <c r="J18" s="153"/>
      <c r="K18" s="153"/>
      <c r="L18" s="1099"/>
      <c r="M18" s="1099"/>
      <c r="N18" s="153"/>
      <c r="O18" s="784"/>
      <c r="P18" s="92"/>
      <c r="Q18" s="33"/>
      <c r="R18" s="33"/>
      <c r="S18" s="59"/>
      <c r="T18" s="93"/>
      <c r="U18" s="1159"/>
      <c r="V18" s="1160"/>
      <c r="W18" s="1160"/>
      <c r="X18" s="1160"/>
      <c r="Y18" s="1160"/>
      <c r="Z18" s="1160"/>
      <c r="AA18" s="1160"/>
      <c r="AB18" s="1160"/>
      <c r="AC18" s="1160"/>
      <c r="AD18" s="1160"/>
      <c r="AE18" s="1160"/>
      <c r="AF18" s="1160"/>
      <c r="AG18" s="1160"/>
      <c r="AH18" s="1160"/>
      <c r="AI18" s="1160"/>
      <c r="AJ18" s="1160"/>
      <c r="AK18" s="1160"/>
      <c r="AL18" s="1160"/>
      <c r="AM18" s="1160"/>
      <c r="AN18" s="1160"/>
      <c r="AO18" s="1160"/>
      <c r="AP18" s="1160"/>
      <c r="AQ18" s="1160"/>
      <c r="AR18" s="1160"/>
      <c r="AS18" s="1160"/>
      <c r="AT18" s="1160"/>
      <c r="AU18" s="1161"/>
      <c r="AV18" s="23"/>
      <c r="AW18" s="23"/>
      <c r="AX18" s="23"/>
      <c r="AY18" s="23"/>
      <c r="AZ18" s="23"/>
      <c r="BA18" s="23"/>
      <c r="BB18" s="23"/>
      <c r="BC18" s="23"/>
      <c r="BD18" s="23"/>
      <c r="BE18" s="23"/>
      <c r="BF18" s="23"/>
      <c r="BG18" s="23"/>
      <c r="BH18" s="23"/>
      <c r="BI18" s="23"/>
      <c r="BJ18" s="46"/>
      <c r="BK18" s="23"/>
      <c r="BL18" s="23"/>
      <c r="BM18" s="23"/>
    </row>
    <row r="19" spans="1:65" ht="17.25" customHeight="1" x14ac:dyDescent="0.25">
      <c r="A19" s="770"/>
      <c r="B19" s="771"/>
      <c r="C19" s="772"/>
      <c r="D19" s="153"/>
      <c r="E19" s="153"/>
      <c r="F19" s="153"/>
      <c r="G19" s="153"/>
      <c r="H19" s="153"/>
      <c r="I19" s="153"/>
      <c r="J19" s="153"/>
      <c r="K19" s="774"/>
      <c r="L19" s="821"/>
      <c r="M19" s="821"/>
      <c r="N19" s="791"/>
      <c r="O19" s="153"/>
      <c r="P19" s="1242"/>
      <c r="Q19" s="1242"/>
      <c r="R19" s="1242"/>
      <c r="S19" s="1242"/>
      <c r="T19" s="1243"/>
      <c r="U19" s="1159"/>
      <c r="V19" s="1160"/>
      <c r="W19" s="1160"/>
      <c r="X19" s="1160"/>
      <c r="Y19" s="1160"/>
      <c r="Z19" s="1160"/>
      <c r="AA19" s="1160"/>
      <c r="AB19" s="1160"/>
      <c r="AC19" s="1160"/>
      <c r="AD19" s="1160"/>
      <c r="AE19" s="1160"/>
      <c r="AF19" s="1160"/>
      <c r="AG19" s="1160"/>
      <c r="AH19" s="1160"/>
      <c r="AI19" s="1160"/>
      <c r="AJ19" s="1160"/>
      <c r="AK19" s="1160"/>
      <c r="AL19" s="1160"/>
      <c r="AM19" s="1160"/>
      <c r="AN19" s="1160"/>
      <c r="AO19" s="1160"/>
      <c r="AP19" s="1160"/>
      <c r="AQ19" s="1160"/>
      <c r="AR19" s="1160"/>
      <c r="AS19" s="1160"/>
      <c r="AT19" s="1160"/>
      <c r="AU19" s="1161"/>
      <c r="AV19" s="95"/>
      <c r="AW19" s="95"/>
      <c r="AX19" s="95"/>
      <c r="AY19" s="95"/>
      <c r="AZ19" s="95"/>
      <c r="BA19" s="95"/>
      <c r="BB19" s="95"/>
      <c r="BC19" s="95"/>
      <c r="BD19" s="95"/>
      <c r="BE19" s="96"/>
      <c r="BF19" s="46"/>
      <c r="BG19" s="23"/>
      <c r="BH19" s="23"/>
      <c r="BI19" s="23"/>
      <c r="BJ19" s="46"/>
      <c r="BK19" s="23"/>
      <c r="BL19" s="23"/>
      <c r="BM19" s="23"/>
    </row>
    <row r="20" spans="1:65" ht="17.25" customHeight="1" x14ac:dyDescent="0.25">
      <c r="A20" s="770"/>
      <c r="B20" s="771"/>
      <c r="C20" s="772"/>
      <c r="D20" s="153"/>
      <c r="E20" s="153"/>
      <c r="F20" s="153"/>
      <c r="G20" s="153"/>
      <c r="H20" s="153"/>
      <c r="I20" s="153"/>
      <c r="J20" s="778"/>
      <c r="K20" s="821"/>
      <c r="L20" s="770"/>
      <c r="M20" s="770"/>
      <c r="N20" s="821"/>
      <c r="O20" s="772"/>
      <c r="P20" s="81"/>
      <c r="Q20" s="23"/>
      <c r="R20" s="33"/>
      <c r="S20" s="49" t="s">
        <v>164</v>
      </c>
      <c r="T20" s="98">
        <v>1</v>
      </c>
      <c r="U20" s="1159"/>
      <c r="V20" s="1160"/>
      <c r="W20" s="1160"/>
      <c r="X20" s="1160"/>
      <c r="Y20" s="1160"/>
      <c r="Z20" s="1160"/>
      <c r="AA20" s="1160"/>
      <c r="AB20" s="1160"/>
      <c r="AC20" s="1160"/>
      <c r="AD20" s="1160"/>
      <c r="AE20" s="1160"/>
      <c r="AF20" s="1160"/>
      <c r="AG20" s="1160"/>
      <c r="AH20" s="1160"/>
      <c r="AI20" s="1160"/>
      <c r="AJ20" s="1160"/>
      <c r="AK20" s="1160"/>
      <c r="AL20" s="1160"/>
      <c r="AM20" s="1160"/>
      <c r="AN20" s="1160"/>
      <c r="AO20" s="1160"/>
      <c r="AP20" s="1160"/>
      <c r="AQ20" s="1160"/>
      <c r="AR20" s="1160"/>
      <c r="AS20" s="1160"/>
      <c r="AT20" s="1160"/>
      <c r="AU20" s="1161"/>
      <c r="AV20" s="23"/>
      <c r="AW20" s="23"/>
      <c r="AX20" s="23"/>
      <c r="AY20" s="23"/>
      <c r="AZ20" s="23"/>
      <c r="BA20" s="23"/>
      <c r="BB20" s="23"/>
      <c r="BC20" s="23"/>
      <c r="BD20" s="23"/>
      <c r="BE20" s="99"/>
      <c r="BF20" s="46"/>
      <c r="BG20" s="23"/>
      <c r="BH20" s="23"/>
      <c r="BI20" s="23"/>
      <c r="BJ20" s="46"/>
      <c r="BK20" s="23"/>
      <c r="BL20" s="23"/>
      <c r="BM20" s="23"/>
    </row>
    <row r="21" spans="1:65" ht="17.25" customHeight="1" thickBot="1" x14ac:dyDescent="0.3">
      <c r="A21" s="770"/>
      <c r="B21" s="771"/>
      <c r="C21" s="772"/>
      <c r="D21" s="153"/>
      <c r="E21" s="153"/>
      <c r="F21" s="153"/>
      <c r="G21" s="153"/>
      <c r="H21" s="153"/>
      <c r="I21" s="153"/>
      <c r="J21" s="778"/>
      <c r="K21" s="821"/>
      <c r="L21" s="770"/>
      <c r="M21" s="770"/>
      <c r="N21" s="821"/>
      <c r="O21" s="772"/>
      <c r="P21" s="81"/>
      <c r="Q21" s="23"/>
      <c r="R21" s="61" t="s">
        <v>185</v>
      </c>
      <c r="S21" s="98">
        <v>2</v>
      </c>
      <c r="T21" s="100" t="s">
        <v>160</v>
      </c>
      <c r="U21" s="1162"/>
      <c r="V21" s="1163"/>
      <c r="W21" s="1163"/>
      <c r="X21" s="1163"/>
      <c r="Y21" s="1163"/>
      <c r="Z21" s="1163"/>
      <c r="AA21" s="1163"/>
      <c r="AB21" s="1163"/>
      <c r="AC21" s="1163"/>
      <c r="AD21" s="1163"/>
      <c r="AE21" s="1163"/>
      <c r="AF21" s="1163"/>
      <c r="AG21" s="1163"/>
      <c r="AH21" s="1163"/>
      <c r="AI21" s="1163"/>
      <c r="AJ21" s="1163"/>
      <c r="AK21" s="1163"/>
      <c r="AL21" s="1163"/>
      <c r="AM21" s="1163"/>
      <c r="AN21" s="1163"/>
      <c r="AO21" s="1163"/>
      <c r="AP21" s="1163"/>
      <c r="AQ21" s="1163"/>
      <c r="AR21" s="1163"/>
      <c r="AS21" s="1163"/>
      <c r="AT21" s="1163"/>
      <c r="AU21" s="1164"/>
      <c r="AV21" s="23"/>
      <c r="AW21" s="23"/>
      <c r="AX21" s="23"/>
      <c r="AY21" s="23"/>
      <c r="AZ21" s="23"/>
      <c r="BA21" s="23"/>
      <c r="BB21" s="23"/>
      <c r="BC21" s="23"/>
      <c r="BD21" s="23"/>
      <c r="BE21" s="99"/>
      <c r="BF21" s="46"/>
      <c r="BG21" s="23"/>
      <c r="BH21" s="23"/>
      <c r="BI21" s="23"/>
      <c r="BJ21" s="46"/>
      <c r="BK21" s="23"/>
      <c r="BL21" s="23"/>
      <c r="BM21" s="23"/>
    </row>
    <row r="22" spans="1:65" ht="17.25" customHeight="1" thickBot="1" x14ac:dyDescent="0.3">
      <c r="A22" s="770"/>
      <c r="B22" s="771"/>
      <c r="C22" s="772"/>
      <c r="D22" s="153"/>
      <c r="E22" s="766"/>
      <c r="F22" s="766"/>
      <c r="G22" s="766"/>
      <c r="H22" s="192"/>
      <c r="I22" s="192"/>
      <c r="J22" s="778"/>
      <c r="K22" s="821"/>
      <c r="L22" s="770"/>
      <c r="M22" s="770"/>
      <c r="N22" s="821"/>
      <c r="O22" s="772"/>
      <c r="P22" s="81"/>
      <c r="R22" s="98">
        <v>3</v>
      </c>
      <c r="S22" s="100" t="s">
        <v>160</v>
      </c>
      <c r="T22" s="101">
        <v>100</v>
      </c>
      <c r="U22" s="71"/>
      <c r="V22" s="76"/>
      <c r="W22" s="76"/>
      <c r="X22" s="76"/>
      <c r="Y22" s="76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76"/>
      <c r="AP22" s="76"/>
      <c r="AQ22" s="76"/>
      <c r="AR22" s="76"/>
      <c r="AS22" s="76"/>
      <c r="AT22" s="76"/>
      <c r="AU22" s="77"/>
      <c r="AV22" s="46"/>
      <c r="AW22" s="23"/>
      <c r="AX22" s="23"/>
      <c r="AY22" s="23"/>
      <c r="AZ22" s="192"/>
      <c r="BA22" s="192"/>
      <c r="BB22" s="192"/>
      <c r="BC22" s="23"/>
      <c r="BD22" s="23"/>
      <c r="BE22" s="99"/>
      <c r="BF22" s="46"/>
      <c r="BG22" s="23"/>
      <c r="BH22" s="23"/>
      <c r="BI22" s="23"/>
      <c r="BJ22" s="46"/>
      <c r="BK22" s="23"/>
      <c r="BL22" s="23"/>
      <c r="BM22" s="23"/>
    </row>
    <row r="23" spans="1:65" ht="17.25" customHeight="1" thickBot="1" x14ac:dyDescent="0.3">
      <c r="A23" s="770"/>
      <c r="B23" s="771"/>
      <c r="C23" s="773"/>
      <c r="D23" s="153"/>
      <c r="E23" s="766"/>
      <c r="F23" s="766"/>
      <c r="G23" s="766"/>
      <c r="H23" s="820"/>
      <c r="I23" s="192"/>
      <c r="J23" s="778"/>
      <c r="K23" s="821"/>
      <c r="L23" s="770"/>
      <c r="M23" s="770"/>
      <c r="N23" s="821"/>
      <c r="O23" s="772"/>
      <c r="P23" s="94" t="s">
        <v>186</v>
      </c>
      <c r="Q23" s="98">
        <v>4</v>
      </c>
      <c r="R23" s="100" t="s">
        <v>160</v>
      </c>
      <c r="S23" s="87">
        <v>100</v>
      </c>
      <c r="T23" s="852"/>
      <c r="U23" s="76"/>
      <c r="V23" s="33"/>
      <c r="X23" s="33"/>
      <c r="Y23" s="33"/>
      <c r="Z23" s="33"/>
      <c r="AA23" s="33"/>
      <c r="AB23" s="33"/>
      <c r="AC23" s="33"/>
      <c r="AD23" s="33"/>
      <c r="AE23" s="33"/>
      <c r="AF23" s="33"/>
      <c r="AG23" s="33"/>
      <c r="AH23" s="33"/>
      <c r="AI23" s="33"/>
      <c r="AJ23" s="33"/>
      <c r="AK23" s="33"/>
      <c r="AL23" s="33"/>
      <c r="AM23" s="33"/>
      <c r="AN23" s="33"/>
      <c r="AO23" s="33"/>
      <c r="AP23" s="33"/>
      <c r="AQ23" s="33"/>
      <c r="AR23" s="33"/>
      <c r="AS23" s="33"/>
      <c r="AT23" s="33"/>
      <c r="AU23" s="33"/>
      <c r="AV23" s="46"/>
      <c r="AW23" s="23"/>
      <c r="AX23" s="23"/>
      <c r="AY23" s="23"/>
      <c r="AZ23" s="192"/>
      <c r="BA23" s="192"/>
      <c r="BB23" s="192"/>
      <c r="BC23" s="23"/>
      <c r="BD23" s="23"/>
      <c r="BE23" s="99"/>
      <c r="BF23" s="46"/>
      <c r="BG23" s="23"/>
      <c r="BH23" s="23"/>
      <c r="BI23" s="23"/>
      <c r="BJ23" s="46"/>
      <c r="BK23" s="23"/>
      <c r="BL23" s="23"/>
      <c r="BM23" s="23"/>
    </row>
    <row r="24" spans="1:65" ht="17.25" customHeight="1" thickBot="1" x14ac:dyDescent="0.3">
      <c r="A24" s="770"/>
      <c r="B24" s="771"/>
      <c r="C24" s="773"/>
      <c r="D24" s="153"/>
      <c r="E24" s="784"/>
      <c r="F24" s="822"/>
      <c r="G24" s="822"/>
      <c r="H24" s="804"/>
      <c r="I24" s="192"/>
      <c r="J24" s="192"/>
      <c r="K24" s="790"/>
      <c r="L24" s="821"/>
      <c r="M24" s="821"/>
      <c r="N24" s="790"/>
      <c r="O24" s="811"/>
      <c r="P24" s="98">
        <v>5</v>
      </c>
      <c r="Q24" s="100" t="s">
        <v>160</v>
      </c>
      <c r="R24" s="106">
        <v>100</v>
      </c>
      <c r="S24" s="852"/>
      <c r="T24" s="784"/>
      <c r="U24" s="33"/>
      <c r="V24" s="33"/>
      <c r="W24" s="33"/>
      <c r="X24" s="33"/>
      <c r="AA24" s="33"/>
      <c r="AB24" s="33"/>
      <c r="AC24" s="33"/>
      <c r="AD24" s="33"/>
      <c r="AE24" s="33"/>
      <c r="AF24" s="33"/>
      <c r="AG24" s="33"/>
      <c r="AH24" s="33"/>
      <c r="AI24" s="33"/>
      <c r="AJ24" s="33"/>
      <c r="AK24" s="33"/>
      <c r="AL24" s="33"/>
      <c r="AM24" s="33"/>
      <c r="AN24" s="33"/>
      <c r="AO24" s="33"/>
      <c r="AP24" s="33"/>
      <c r="AQ24" s="33"/>
      <c r="AR24" s="33"/>
      <c r="AS24" s="33"/>
      <c r="AT24" s="33"/>
      <c r="AU24" s="33"/>
      <c r="AV24" s="46"/>
      <c r="AW24" s="23"/>
      <c r="AX24" s="23"/>
      <c r="AY24" s="23"/>
      <c r="AZ24" s="192"/>
      <c r="BA24" s="888"/>
      <c r="BB24" s="192"/>
      <c r="BC24" s="23"/>
      <c r="BD24" s="23"/>
      <c r="BE24" s="99"/>
      <c r="BF24" s="46"/>
      <c r="BG24" s="108"/>
      <c r="BH24" s="108"/>
      <c r="BI24" s="109"/>
      <c r="BJ24" s="46"/>
      <c r="BK24" s="23"/>
      <c r="BL24" s="23"/>
      <c r="BM24" s="23"/>
    </row>
    <row r="25" spans="1:65" ht="17.25" customHeight="1" thickBot="1" x14ac:dyDescent="0.3">
      <c r="A25" s="770"/>
      <c r="B25" s="771"/>
      <c r="C25" s="773"/>
      <c r="D25" s="153"/>
      <c r="E25" s="823"/>
      <c r="F25" s="823"/>
      <c r="G25" s="823"/>
      <c r="H25" s="823"/>
      <c r="I25" s="823"/>
      <c r="J25" s="192"/>
      <c r="K25" s="776"/>
      <c r="L25" s="33"/>
      <c r="M25" s="23"/>
      <c r="N25" s="98"/>
      <c r="O25" s="112"/>
      <c r="P25" s="100" t="s">
        <v>160</v>
      </c>
      <c r="Q25" s="113">
        <v>100</v>
      </c>
      <c r="R25" s="852"/>
      <c r="S25" s="157"/>
      <c r="T25" s="23"/>
      <c r="U25" s="33"/>
      <c r="V25" s="33"/>
      <c r="X25" s="33"/>
      <c r="AA25" s="33"/>
      <c r="AB25" s="33"/>
      <c r="AC25" s="33"/>
      <c r="AD25" s="33"/>
      <c r="AE25" s="33"/>
      <c r="AF25" s="33"/>
      <c r="AG25" s="33"/>
      <c r="AH25" s="33"/>
      <c r="AI25" s="33"/>
      <c r="AJ25" s="33"/>
      <c r="AK25" s="33"/>
      <c r="AL25" s="33"/>
      <c r="AM25" s="153"/>
      <c r="AN25" s="153"/>
      <c r="AO25" s="153"/>
      <c r="AP25" s="153"/>
      <c r="AQ25" s="153"/>
      <c r="AR25" s="153"/>
      <c r="AS25" s="153"/>
      <c r="AT25" s="153"/>
      <c r="AU25" s="153"/>
      <c r="AV25" s="878"/>
      <c r="AW25" s="23"/>
      <c r="AX25" s="23"/>
      <c r="AY25" s="23"/>
      <c r="AZ25" s="192"/>
      <c r="BA25" s="192"/>
      <c r="BB25" s="192"/>
      <c r="BC25" s="23"/>
      <c r="BD25" s="23"/>
      <c r="BE25" s="99"/>
      <c r="BF25" s="46"/>
      <c r="BG25" s="23"/>
      <c r="BH25" s="23"/>
      <c r="BI25" s="23"/>
      <c r="BJ25" s="46"/>
      <c r="BK25" s="23"/>
      <c r="BL25" s="23"/>
      <c r="BM25" s="23"/>
    </row>
    <row r="26" spans="1:65" ht="17.25" customHeight="1" thickBot="1" x14ac:dyDescent="0.3">
      <c r="A26" s="770"/>
      <c r="B26" s="771"/>
      <c r="C26" s="773"/>
      <c r="D26" s="153"/>
      <c r="E26" s="824"/>
      <c r="F26" s="804"/>
      <c r="G26" s="804"/>
      <c r="H26" s="804"/>
      <c r="I26" s="804"/>
      <c r="J26" s="825"/>
      <c r="K26" s="819"/>
      <c r="L26" s="33"/>
      <c r="M26" s="98"/>
      <c r="N26" s="100"/>
      <c r="O26" s="100"/>
      <c r="P26" s="117">
        <v>100</v>
      </c>
      <c r="Q26" s="852"/>
      <c r="R26" s="1"/>
      <c r="S26" s="23"/>
      <c r="T26" s="33"/>
      <c r="U26" s="33"/>
      <c r="V26" s="33"/>
      <c r="W26" s="33"/>
      <c r="X26" s="33"/>
      <c r="AA26" s="153"/>
      <c r="AB26" s="153"/>
      <c r="AC26" s="153"/>
      <c r="AD26" s="33"/>
      <c r="AE26" s="33"/>
      <c r="AF26" s="33"/>
      <c r="AG26" s="33"/>
      <c r="AH26" s="33"/>
      <c r="AI26" s="33"/>
      <c r="AJ26" s="33"/>
      <c r="AK26" s="33"/>
      <c r="AL26" s="33"/>
      <c r="AM26" s="153"/>
      <c r="AN26" s="153"/>
      <c r="AO26" s="1099"/>
      <c r="AP26" s="1099"/>
      <c r="AQ26" s="1099"/>
      <c r="AR26" s="153"/>
      <c r="AS26" s="153"/>
      <c r="AT26" s="153"/>
      <c r="AU26" s="153"/>
      <c r="AV26" s="878"/>
      <c r="AW26" s="23"/>
      <c r="AX26" s="23"/>
      <c r="AY26" s="23"/>
      <c r="AZ26" s="192"/>
      <c r="BA26" s="192"/>
      <c r="BB26" s="192"/>
      <c r="BC26" s="23"/>
      <c r="BD26" s="23"/>
      <c r="BE26" s="99"/>
      <c r="BF26" s="46"/>
      <c r="BG26" s="23"/>
      <c r="BH26" s="23"/>
      <c r="BI26" s="23"/>
      <c r="BJ26" s="46"/>
      <c r="BK26" s="23"/>
      <c r="BL26" s="23"/>
      <c r="BM26" s="23"/>
    </row>
    <row r="27" spans="1:65" ht="17.25" customHeight="1" thickBot="1" x14ac:dyDescent="0.3">
      <c r="A27" s="774"/>
      <c r="B27" s="1146"/>
      <c r="C27" s="1146"/>
      <c r="D27" s="153"/>
      <c r="E27" s="768"/>
      <c r="F27" s="768"/>
      <c r="G27" s="768"/>
      <c r="H27" s="768"/>
      <c r="I27" s="826"/>
      <c r="J27" s="153"/>
      <c r="K27" s="192"/>
      <c r="L27" s="98"/>
      <c r="M27" s="100"/>
      <c r="N27" s="121"/>
      <c r="O27" s="122"/>
      <c r="P27" s="852"/>
      <c r="Q27" s="1"/>
      <c r="R27" s="1"/>
      <c r="S27" s="23"/>
      <c r="T27" s="33"/>
      <c r="U27" s="33"/>
      <c r="W27" s="33"/>
      <c r="X27" s="33"/>
      <c r="AA27" s="153"/>
      <c r="AB27" s="153"/>
      <c r="AC27" s="153"/>
      <c r="AD27" s="33"/>
      <c r="AE27" s="33"/>
      <c r="AF27" s="33"/>
      <c r="AG27" s="33"/>
      <c r="AH27" s="33"/>
      <c r="AI27" s="153"/>
      <c r="AJ27" s="153"/>
      <c r="AK27" s="153"/>
      <c r="AL27" s="33"/>
      <c r="AM27" s="153"/>
      <c r="AN27" s="153"/>
      <c r="AO27" s="153"/>
      <c r="AP27" s="853"/>
      <c r="AQ27" s="153"/>
      <c r="AR27" s="153"/>
      <c r="AS27" s="153"/>
      <c r="AT27" s="153"/>
      <c r="AU27" s="153"/>
      <c r="AV27" s="878"/>
      <c r="AW27" s="192"/>
      <c r="AX27" s="192"/>
      <c r="AY27" s="192"/>
      <c r="AZ27" s="192"/>
      <c r="BA27" s="192"/>
      <c r="BB27" s="192"/>
      <c r="BC27" s="192"/>
      <c r="BD27" s="192"/>
      <c r="BE27" s="884"/>
      <c r="BF27" s="46"/>
      <c r="BG27" s="23"/>
      <c r="BH27" s="23"/>
      <c r="BI27" s="23"/>
      <c r="BJ27" s="46"/>
      <c r="BK27" s="23"/>
      <c r="BL27" s="23"/>
      <c r="BM27" s="23"/>
    </row>
    <row r="28" spans="1:65" ht="17.25" customHeight="1" x14ac:dyDescent="0.25">
      <c r="A28" s="770"/>
      <c r="B28" s="771"/>
      <c r="C28" s="776"/>
      <c r="D28" s="784"/>
      <c r="E28" s="768"/>
      <c r="F28" s="768"/>
      <c r="G28" s="768"/>
      <c r="H28" s="768"/>
      <c r="I28" s="827"/>
      <c r="J28" s="153"/>
      <c r="K28" s="828"/>
      <c r="L28" s="100"/>
      <c r="M28" s="126"/>
      <c r="N28" s="75"/>
      <c r="O28" s="76"/>
      <c r="P28" s="1"/>
      <c r="Q28" s="81"/>
      <c r="R28" s="1"/>
      <c r="T28" s="33"/>
      <c r="U28" s="33"/>
      <c r="V28" s="33"/>
      <c r="W28" s="33"/>
      <c r="X28" s="33"/>
      <c r="AA28" s="153"/>
      <c r="AB28" s="153"/>
      <c r="AC28" s="157"/>
      <c r="AD28" s="1"/>
      <c r="AE28" s="1"/>
      <c r="AF28" s="33"/>
      <c r="AG28" s="33"/>
      <c r="AH28" s="33"/>
      <c r="AI28" s="157"/>
      <c r="AJ28" s="192"/>
      <c r="AK28" s="192"/>
      <c r="AL28" s="23"/>
      <c r="AM28" s="192"/>
      <c r="AN28" s="192"/>
      <c r="AO28" s="854"/>
      <c r="AP28" s="879"/>
      <c r="AQ28" s="153"/>
      <c r="AR28" s="153"/>
      <c r="AS28" s="192"/>
      <c r="AT28" s="192"/>
      <c r="AU28" s="153"/>
      <c r="AV28" s="878"/>
      <c r="AW28" s="192"/>
      <c r="AX28" s="192"/>
      <c r="AY28" s="192"/>
      <c r="AZ28" s="192"/>
      <c r="BA28" s="192"/>
      <c r="BB28" s="192"/>
      <c r="BC28" s="192"/>
      <c r="BD28" s="192"/>
      <c r="BE28" s="884"/>
      <c r="BF28" s="46"/>
      <c r="BG28" s="23"/>
      <c r="BH28" s="23"/>
      <c r="BI28" s="23"/>
      <c r="BJ28" s="46"/>
      <c r="BK28" s="23"/>
      <c r="BL28" s="23"/>
      <c r="BM28" s="23"/>
    </row>
    <row r="29" spans="1:65" ht="17.25" customHeight="1" thickBot="1" x14ac:dyDescent="0.3">
      <c r="A29" s="770"/>
      <c r="B29" s="771"/>
      <c r="C29" s="776"/>
      <c r="D29" s="827"/>
      <c r="E29" s="829"/>
      <c r="F29" s="192"/>
      <c r="G29" s="192"/>
      <c r="H29" s="192"/>
      <c r="I29" s="827"/>
      <c r="J29" s="153"/>
      <c r="K29" s="828"/>
      <c r="L29" s="100"/>
      <c r="M29" s="126"/>
      <c r="N29" s="75"/>
      <c r="O29" s="61"/>
      <c r="P29" s="1"/>
      <c r="R29" s="1"/>
      <c r="S29" s="23"/>
      <c r="T29" s="33"/>
      <c r="U29" s="153"/>
      <c r="V29" s="153"/>
      <c r="W29" s="153"/>
      <c r="X29" s="153"/>
      <c r="Y29" s="336"/>
      <c r="Z29" s="336"/>
      <c r="AA29" s="153"/>
      <c r="AB29" s="153"/>
      <c r="AC29" s="153"/>
      <c r="AD29" s="1"/>
      <c r="AE29" s="1"/>
      <c r="AF29" s="33"/>
      <c r="AG29" s="1"/>
      <c r="AH29" s="33"/>
      <c r="AI29" s="153"/>
      <c r="AJ29" s="794"/>
      <c r="AK29" s="192"/>
      <c r="AL29" s="23"/>
      <c r="AM29" s="153"/>
      <c r="AN29" s="192"/>
      <c r="AO29" s="880"/>
      <c r="AP29" s="770"/>
      <c r="AQ29" s="880"/>
      <c r="AR29" s="153"/>
      <c r="AS29" s="192"/>
      <c r="AT29" s="192"/>
      <c r="AU29" s="153"/>
      <c r="AV29" s="881"/>
      <c r="AW29" s="192"/>
      <c r="AX29" s="868"/>
      <c r="AY29" s="868"/>
      <c r="AZ29" s="868"/>
      <c r="BA29" s="868"/>
      <c r="BB29" s="868"/>
      <c r="BC29" s="868"/>
      <c r="BD29" s="868"/>
      <c r="BE29" s="885"/>
      <c r="BF29" s="46"/>
      <c r="BG29" s="133"/>
      <c r="BH29" s="133"/>
      <c r="BI29" s="134"/>
      <c r="BJ29" s="46"/>
      <c r="BK29" s="135"/>
      <c r="BL29" s="135"/>
      <c r="BM29" s="135"/>
    </row>
    <row r="30" spans="1:65" ht="17.25" customHeight="1" x14ac:dyDescent="0.25">
      <c r="A30" s="770"/>
      <c r="B30" s="771"/>
      <c r="C30" s="776"/>
      <c r="D30" s="830"/>
      <c r="E30" s="790"/>
      <c r="F30" s="790"/>
      <c r="G30" s="790"/>
      <c r="H30" s="790"/>
      <c r="I30" s="192"/>
      <c r="J30" s="153"/>
      <c r="K30" s="828"/>
      <c r="L30" s="100"/>
      <c r="M30" s="126"/>
      <c r="N30" s="75"/>
      <c r="O30" s="137"/>
      <c r="R30" s="1"/>
      <c r="S30" s="23"/>
      <c r="T30" s="33"/>
      <c r="U30" s="153"/>
      <c r="V30" s="153"/>
      <c r="W30" s="153"/>
      <c r="X30" s="153"/>
      <c r="Y30" s="336"/>
      <c r="Z30" s="336"/>
      <c r="AA30" s="153"/>
      <c r="AB30" s="859"/>
      <c r="AC30" s="153"/>
      <c r="AD30" s="33"/>
      <c r="AE30" s="23"/>
      <c r="AF30" s="33"/>
      <c r="AG30" s="1"/>
      <c r="AH30" s="33"/>
      <c r="AI30" s="794"/>
      <c r="AJ30" s="192"/>
      <c r="AK30" s="794"/>
      <c r="AL30" s="1"/>
      <c r="AM30" s="882"/>
      <c r="AN30" s="879"/>
      <c r="AO30" s="770"/>
      <c r="AP30" s="880"/>
      <c r="AQ30" s="770"/>
      <c r="AR30" s="879"/>
      <c r="AS30" s="883"/>
      <c r="AT30" s="157"/>
      <c r="AU30" s="153"/>
      <c r="AV30" s="157"/>
      <c r="AW30" s="886"/>
      <c r="AX30" s="766"/>
      <c r="AY30" s="766"/>
      <c r="AZ30" s="766"/>
      <c r="BA30" s="766"/>
      <c r="BB30" s="766"/>
      <c r="BC30" s="764"/>
      <c r="BD30" s="764"/>
      <c r="BE30" s="764"/>
      <c r="BF30" s="46"/>
      <c r="BG30" s="23"/>
      <c r="BH30" s="23"/>
      <c r="BI30" s="23"/>
      <c r="BJ30" s="46"/>
      <c r="BK30" s="135"/>
      <c r="BL30" s="142"/>
      <c r="BM30" s="135"/>
    </row>
    <row r="31" spans="1:65" ht="17.25" customHeight="1" x14ac:dyDescent="0.25">
      <c r="A31" s="770"/>
      <c r="B31" s="771"/>
      <c r="C31" s="776"/>
      <c r="D31" s="192"/>
      <c r="E31" s="1131"/>
      <c r="F31" s="1131"/>
      <c r="G31" s="1131"/>
      <c r="H31" s="1131"/>
      <c r="I31" s="153"/>
      <c r="J31" s="153"/>
      <c r="K31" s="828"/>
      <c r="L31" s="100"/>
      <c r="M31" s="126"/>
      <c r="N31" s="75"/>
      <c r="O31" s="1"/>
      <c r="P31" s="1"/>
      <c r="Q31" s="81"/>
      <c r="R31" s="1"/>
      <c r="S31" s="23"/>
      <c r="T31" s="33"/>
      <c r="U31" s="153"/>
      <c r="V31" s="768"/>
      <c r="W31" s="153"/>
      <c r="X31" s="153"/>
      <c r="Y31" s="336"/>
      <c r="Z31" s="336"/>
      <c r="AA31" s="859"/>
      <c r="AB31" s="784"/>
      <c r="AC31" s="859"/>
      <c r="AD31" s="33"/>
      <c r="AE31" s="23"/>
      <c r="AF31" s="33"/>
      <c r="AG31" s="1"/>
      <c r="AH31" s="33"/>
      <c r="AI31" s="153"/>
      <c r="AJ31" s="794"/>
      <c r="AK31" s="157"/>
      <c r="AL31" s="1"/>
      <c r="AM31" s="157"/>
      <c r="AN31" s="192"/>
      <c r="AO31" s="880"/>
      <c r="AP31" s="770"/>
      <c r="AQ31" s="880"/>
      <c r="AR31" s="153"/>
      <c r="AS31" s="811"/>
      <c r="AT31" s="811"/>
      <c r="AU31" s="153"/>
      <c r="AV31" s="811"/>
      <c r="AW31" s="811"/>
      <c r="AX31" s="811"/>
      <c r="AY31" s="811"/>
      <c r="AZ31" s="811"/>
      <c r="BA31" s="811"/>
      <c r="BB31" s="157"/>
      <c r="BC31" s="157"/>
      <c r="BD31" s="157"/>
      <c r="BE31" s="157"/>
      <c r="BF31" s="46"/>
      <c r="BG31" s="23"/>
      <c r="BH31" s="23"/>
      <c r="BI31" s="23"/>
      <c r="BJ31" s="46"/>
      <c r="BK31" s="142"/>
      <c r="BL31" s="135"/>
      <c r="BM31" s="142"/>
    </row>
    <row r="32" spans="1:65" ht="17.25" customHeight="1" thickBot="1" x14ac:dyDescent="0.3">
      <c r="A32" s="771"/>
      <c r="B32" s="336"/>
      <c r="C32" s="776"/>
      <c r="D32" s="192"/>
      <c r="E32" s="768"/>
      <c r="F32" s="768"/>
      <c r="G32" s="768"/>
      <c r="H32" s="768"/>
      <c r="I32" s="153"/>
      <c r="J32" s="157"/>
      <c r="K32" s="831"/>
      <c r="L32" s="98"/>
      <c r="M32" s="100"/>
      <c r="N32" s="810"/>
      <c r="O32" s="137"/>
      <c r="P32" s="1"/>
      <c r="Q32" s="81"/>
      <c r="R32" s="1"/>
      <c r="S32" s="23"/>
      <c r="T32" s="33"/>
      <c r="U32" s="768"/>
      <c r="V32" s="784"/>
      <c r="W32" s="768"/>
      <c r="X32" s="153"/>
      <c r="Y32" s="336"/>
      <c r="Z32" s="336"/>
      <c r="AA32" s="771"/>
      <c r="AB32" s="859"/>
      <c r="AC32" s="771"/>
      <c r="AD32" s="192"/>
      <c r="AE32" s="192"/>
      <c r="AF32" s="153"/>
      <c r="AG32" s="157"/>
      <c r="AH32" s="157"/>
      <c r="AI32" s="153"/>
      <c r="AJ32" s="192"/>
      <c r="AK32" s="153"/>
      <c r="AL32" s="33"/>
      <c r="AM32" s="153"/>
      <c r="AN32" s="192"/>
      <c r="AO32" s="784"/>
      <c r="AP32" s="879"/>
      <c r="AQ32" s="153"/>
      <c r="AR32" s="153"/>
      <c r="AS32" s="153"/>
      <c r="AT32" s="153"/>
      <c r="AU32" s="153"/>
      <c r="AV32" s="157"/>
      <c r="AW32" s="157"/>
      <c r="AX32" s="157"/>
      <c r="AY32" s="157"/>
      <c r="AZ32" s="157"/>
      <c r="BA32" s="157"/>
      <c r="BB32" s="157"/>
      <c r="BC32" s="157"/>
      <c r="BD32" s="157"/>
      <c r="BE32" s="157"/>
      <c r="BF32" s="46"/>
      <c r="BG32" s="23"/>
      <c r="BH32" s="23"/>
      <c r="BI32" s="23"/>
      <c r="BJ32" s="46"/>
      <c r="BK32" s="142"/>
      <c r="BL32" s="135"/>
      <c r="BM32" s="142"/>
    </row>
    <row r="33" spans="1:65" ht="17.25" customHeight="1" x14ac:dyDescent="0.25">
      <c r="A33" s="1147"/>
      <c r="B33" s="153"/>
      <c r="C33" s="776"/>
      <c r="D33" s="784"/>
      <c r="E33" s="768"/>
      <c r="F33" s="768"/>
      <c r="G33" s="768"/>
      <c r="H33" s="768"/>
      <c r="I33" s="153"/>
      <c r="J33" s="811"/>
      <c r="K33" s="153"/>
      <c r="L33" s="61"/>
      <c r="M33" s="146"/>
      <c r="N33" s="810"/>
      <c r="O33" s="1"/>
      <c r="P33" s="1"/>
      <c r="Q33" s="81"/>
      <c r="R33" s="1"/>
      <c r="S33" s="23"/>
      <c r="T33" s="23"/>
      <c r="U33" s="153"/>
      <c r="V33" s="768"/>
      <c r="W33" s="153"/>
      <c r="X33" s="153"/>
      <c r="Y33" s="336"/>
      <c r="Z33" s="336"/>
      <c r="AA33" s="153"/>
      <c r="AB33" s="771"/>
      <c r="AC33" s="771"/>
      <c r="AD33" s="771"/>
      <c r="AE33" s="192"/>
      <c r="AF33" s="153"/>
      <c r="AG33" s="157"/>
      <c r="AH33" s="157"/>
      <c r="AI33" s="192"/>
      <c r="AJ33" s="192"/>
      <c r="AK33" s="153"/>
      <c r="AL33" s="33"/>
      <c r="AM33" s="153"/>
      <c r="AN33" s="192"/>
      <c r="AO33" s="153"/>
      <c r="AP33" s="853"/>
      <c r="AQ33" s="153"/>
      <c r="AR33" s="153"/>
      <c r="AS33" s="157"/>
      <c r="AT33" s="157"/>
      <c r="AU33" s="153"/>
      <c r="AV33" s="153"/>
      <c r="AW33" s="153"/>
      <c r="AX33" s="153"/>
      <c r="AY33" s="157"/>
      <c r="AZ33" s="157"/>
      <c r="BA33" s="157"/>
      <c r="BB33" s="157"/>
      <c r="BC33" s="157"/>
      <c r="BD33" s="157"/>
      <c r="BE33" s="887"/>
      <c r="BF33" s="46"/>
      <c r="BG33" s="23"/>
      <c r="BH33" s="23"/>
      <c r="BI33" s="99"/>
      <c r="BJ33" s="46"/>
      <c r="BK33" s="135"/>
      <c r="BL33" s="142"/>
      <c r="BM33" s="135"/>
    </row>
    <row r="34" spans="1:65" ht="17.25" customHeight="1" x14ac:dyDescent="0.25">
      <c r="A34" s="1148"/>
      <c r="B34" s="92"/>
      <c r="C34" s="776"/>
      <c r="D34" s="819"/>
      <c r="E34" s="1150"/>
      <c r="F34" s="1150"/>
      <c r="G34" s="1150"/>
      <c r="H34" s="1150"/>
      <c r="I34" s="805"/>
      <c r="J34" s="192"/>
      <c r="K34" s="831"/>
      <c r="L34" s="808"/>
      <c r="M34" s="809"/>
      <c r="N34" s="810"/>
      <c r="O34" s="153"/>
      <c r="P34" s="153"/>
      <c r="Q34" s="336"/>
      <c r="R34" s="811"/>
      <c r="S34" s="23"/>
      <c r="T34" s="23"/>
      <c r="U34" s="153"/>
      <c r="V34" s="153"/>
      <c r="W34" s="153"/>
      <c r="X34" s="157"/>
      <c r="Y34" s="336"/>
      <c r="Z34" s="336"/>
      <c r="AA34" s="33"/>
      <c r="AB34" s="153"/>
      <c r="AC34" s="153"/>
      <c r="AD34" s="771"/>
      <c r="AE34" s="192"/>
      <c r="AF34" s="1151"/>
      <c r="AG34" s="1151"/>
      <c r="AH34" s="1151"/>
      <c r="AI34" s="192"/>
      <c r="AJ34" s="192"/>
      <c r="AK34" s="153"/>
      <c r="AL34" s="33"/>
      <c r="AM34" s="153"/>
      <c r="AN34" s="153"/>
      <c r="AO34" s="153"/>
      <c r="AP34" s="764"/>
      <c r="AQ34" s="764"/>
      <c r="AR34" s="764"/>
      <c r="AS34" s="764"/>
      <c r="AT34" s="764"/>
      <c r="AU34" s="153"/>
      <c r="AV34" s="153"/>
      <c r="AW34" s="766"/>
      <c r="AX34" s="766"/>
      <c r="AY34" s="766"/>
      <c r="AZ34" s="153"/>
      <c r="BA34" s="766"/>
      <c r="BB34" s="887"/>
      <c r="BC34" s="887"/>
      <c r="BD34" s="157"/>
      <c r="BE34" s="766"/>
      <c r="BF34" s="878"/>
      <c r="BG34" s="192"/>
      <c r="BH34" s="192"/>
      <c r="BI34" s="884"/>
      <c r="BJ34" s="46"/>
      <c r="BK34" s="135"/>
      <c r="BL34" s="135"/>
      <c r="BM34" s="135"/>
    </row>
    <row r="35" spans="1:65" ht="17.25" customHeight="1" x14ac:dyDescent="0.25">
      <c r="A35" s="1148"/>
      <c r="B35" s="153"/>
      <c r="C35" s="153"/>
      <c r="D35" s="819"/>
      <c r="E35" s="804"/>
      <c r="F35" s="804"/>
      <c r="G35" s="804"/>
      <c r="H35" s="804"/>
      <c r="I35" s="824"/>
      <c r="J35" s="192"/>
      <c r="K35" s="831"/>
      <c r="L35" s="808"/>
      <c r="M35" s="809"/>
      <c r="N35" s="810"/>
      <c r="O35" s="153"/>
      <c r="P35" s="153"/>
      <c r="Q35" s="811"/>
      <c r="R35" s="811"/>
      <c r="S35" s="23"/>
      <c r="T35" s="23"/>
      <c r="U35" s="157"/>
      <c r="V35" s="157"/>
      <c r="W35" s="157"/>
      <c r="X35" s="157"/>
      <c r="Y35" s="153"/>
      <c r="Z35" s="771"/>
      <c r="AA35" s="33"/>
      <c r="AB35" s="771"/>
      <c r="AC35" s="771"/>
      <c r="AD35" s="192"/>
      <c r="AE35" s="192"/>
      <c r="AF35" s="153"/>
      <c r="AG35" s="153"/>
      <c r="AH35" s="153"/>
      <c r="AI35" s="192"/>
      <c r="AJ35" s="192"/>
      <c r="AK35" s="153"/>
      <c r="AL35" s="33"/>
      <c r="AM35" s="153"/>
      <c r="AN35" s="153"/>
      <c r="AO35" s="153"/>
      <c r="AP35" s="764"/>
      <c r="AQ35" s="764"/>
      <c r="AR35" s="764"/>
      <c r="AS35" s="764"/>
      <c r="AT35" s="764"/>
      <c r="AU35" s="153"/>
      <c r="AV35" s="153"/>
      <c r="AW35" s="766"/>
      <c r="AX35" s="766"/>
      <c r="AY35" s="766"/>
      <c r="AZ35" s="153"/>
      <c r="BA35" s="766"/>
      <c r="BB35" s="887"/>
      <c r="BC35" s="887"/>
      <c r="BD35" s="157"/>
      <c r="BE35" s="766"/>
      <c r="BF35" s="878"/>
      <c r="BG35" s="192"/>
      <c r="BH35" s="192"/>
      <c r="BI35" s="884"/>
      <c r="BJ35" s="151"/>
      <c r="BK35" s="23"/>
      <c r="BL35" s="23"/>
      <c r="BM35" s="23"/>
    </row>
    <row r="36" spans="1:65" ht="17.25" customHeight="1" thickBot="1" x14ac:dyDescent="0.3">
      <c r="A36" s="1149"/>
      <c r="B36" s="153"/>
      <c r="C36" s="192"/>
      <c r="D36" s="774"/>
      <c r="E36" s="832"/>
      <c r="F36" s="832"/>
      <c r="G36" s="832"/>
      <c r="H36" s="832"/>
      <c r="I36" s="791"/>
      <c r="J36" s="153"/>
      <c r="K36" s="831"/>
      <c r="L36" s="808"/>
      <c r="M36" s="809"/>
      <c r="N36" s="812"/>
      <c r="O36" s="153"/>
      <c r="P36" s="153"/>
      <c r="Q36" s="157"/>
      <c r="R36" s="157"/>
      <c r="S36" s="23"/>
      <c r="T36" s="23"/>
      <c r="U36" s="157"/>
      <c r="V36" s="157"/>
      <c r="W36" s="157"/>
      <c r="X36" s="157"/>
      <c r="Y36" s="153"/>
      <c r="Z36" s="192"/>
      <c r="AA36" s="23"/>
      <c r="AB36" s="192"/>
      <c r="AC36" s="1152"/>
      <c r="AD36" s="1152"/>
      <c r="AE36" s="1152"/>
      <c r="AF36" s="157"/>
      <c r="AG36" s="153"/>
      <c r="AH36" s="153"/>
      <c r="AI36" s="192"/>
      <c r="AJ36" s="153"/>
      <c r="AK36" s="153"/>
      <c r="AL36" s="1"/>
      <c r="AM36" s="153"/>
      <c r="AN36" s="157"/>
      <c r="AO36" s="153"/>
      <c r="AP36" s="157"/>
      <c r="AQ36" s="157"/>
      <c r="AR36" s="157"/>
      <c r="AS36" s="157"/>
      <c r="AT36" s="157"/>
      <c r="AU36" s="153"/>
      <c r="AV36" s="784"/>
      <c r="AW36" s="153"/>
      <c r="AX36" s="153"/>
      <c r="AY36" s="153"/>
      <c r="AZ36" s="153"/>
      <c r="BA36" s="153"/>
      <c r="BB36" s="153"/>
      <c r="BC36" s="153"/>
      <c r="BD36" s="157"/>
      <c r="BE36" s="766"/>
      <c r="BF36" s="878"/>
      <c r="BG36" s="192"/>
      <c r="BH36" s="192"/>
      <c r="BI36" s="884"/>
      <c r="BJ36" s="46"/>
      <c r="BK36" s="154"/>
      <c r="BL36" s="23"/>
      <c r="BM36" s="23"/>
    </row>
    <row r="37" spans="1:65" ht="17.25" customHeight="1" x14ac:dyDescent="0.25">
      <c r="A37" s="777"/>
      <c r="B37" s="192"/>
      <c r="C37" s="1138"/>
      <c r="D37" s="1142"/>
      <c r="E37" s="770"/>
      <c r="F37" s="770"/>
      <c r="G37" s="770"/>
      <c r="H37" s="770"/>
      <c r="I37" s="1143"/>
      <c r="J37" s="153"/>
      <c r="K37" s="831"/>
      <c r="L37" s="808"/>
      <c r="M37" s="809"/>
      <c r="N37" s="812"/>
      <c r="O37" s="774"/>
      <c r="P37" s="153"/>
      <c r="Q37" s="811"/>
      <c r="R37" s="157"/>
      <c r="S37" s="23"/>
      <c r="T37" s="23"/>
      <c r="U37" s="157"/>
      <c r="V37" s="853"/>
      <c r="W37" s="853"/>
      <c r="X37" s="853"/>
      <c r="Y37" s="153"/>
      <c r="Z37" s="853"/>
      <c r="AA37" s="33"/>
      <c r="AB37" s="192"/>
      <c r="AC37" s="153"/>
      <c r="AD37" s="199"/>
      <c r="AE37" s="153"/>
      <c r="AF37" s="157"/>
      <c r="AG37" s="153"/>
      <c r="AH37" s="153"/>
      <c r="AI37" s="192"/>
      <c r="AJ37" s="153"/>
      <c r="AK37" s="153"/>
      <c r="AL37" s="1"/>
      <c r="AM37" s="199"/>
      <c r="AN37" s="811"/>
      <c r="AO37" s="153"/>
      <c r="AP37" s="811"/>
      <c r="AQ37" s="157"/>
      <c r="AR37" s="157"/>
      <c r="AS37" s="157"/>
      <c r="AT37" s="157"/>
      <c r="AU37" s="157"/>
      <c r="AV37" s="157"/>
      <c r="AW37" s="153"/>
      <c r="AX37" s="153"/>
      <c r="AY37" s="153"/>
      <c r="AZ37" s="153"/>
      <c r="BA37" s="153"/>
      <c r="BB37" s="153"/>
      <c r="BC37" s="153"/>
      <c r="BD37" s="157"/>
      <c r="BE37" s="766"/>
      <c r="BF37" s="878"/>
      <c r="BG37" s="888"/>
      <c r="BH37" s="192"/>
      <c r="BI37" s="884"/>
      <c r="BJ37" s="46"/>
      <c r="BK37" s="154"/>
      <c r="BL37" s="23"/>
      <c r="BM37" s="23"/>
    </row>
    <row r="38" spans="1:65" ht="17.25" customHeight="1" thickBot="1" x14ac:dyDescent="0.3">
      <c r="A38" s="766"/>
      <c r="B38" s="192"/>
      <c r="C38" s="1138"/>
      <c r="D38" s="1142"/>
      <c r="E38" s="770"/>
      <c r="F38" s="770"/>
      <c r="G38" s="770"/>
      <c r="H38" s="770"/>
      <c r="I38" s="1143"/>
      <c r="J38" s="153"/>
      <c r="K38" s="831"/>
      <c r="L38" s="808"/>
      <c r="M38" s="809"/>
      <c r="N38" s="1098"/>
      <c r="O38" s="1099"/>
      <c r="P38" s="153"/>
      <c r="Q38" s="153"/>
      <c r="R38" s="157"/>
      <c r="S38" s="23"/>
      <c r="T38" s="23"/>
      <c r="U38" s="854"/>
      <c r="V38" s="855"/>
      <c r="W38" s="855"/>
      <c r="X38" s="855"/>
      <c r="Y38" s="791"/>
      <c r="Z38" s="153"/>
      <c r="AA38" s="33"/>
      <c r="AB38" s="192"/>
      <c r="AC38" s="854"/>
      <c r="AD38" s="781"/>
      <c r="AE38" s="199"/>
      <c r="AF38" s="811"/>
      <c r="AG38" s="153"/>
      <c r="AH38" s="153"/>
      <c r="AI38" s="769"/>
      <c r="AJ38" s="768"/>
      <c r="AK38" s="153"/>
      <c r="AL38" s="33"/>
      <c r="AM38" s="153"/>
      <c r="AN38" s="153"/>
      <c r="AO38" s="768"/>
      <c r="AP38" s="153"/>
      <c r="AQ38" s="877"/>
      <c r="AR38" s="811"/>
      <c r="AS38" s="766"/>
      <c r="AT38" s="766"/>
      <c r="AU38" s="766"/>
      <c r="AV38" s="766"/>
      <c r="AW38" s="153"/>
      <c r="AX38" s="764"/>
      <c r="AY38" s="764"/>
      <c r="AZ38" s="153"/>
      <c r="BA38" s="794"/>
      <c r="BB38" s="794"/>
      <c r="BC38" s="794"/>
      <c r="BD38" s="157"/>
      <c r="BE38" s="784"/>
      <c r="BF38" s="878"/>
      <c r="BG38" s="192"/>
      <c r="BH38" s="192"/>
      <c r="BI38" s="884"/>
      <c r="BJ38" s="151"/>
      <c r="BK38" s="23"/>
      <c r="BL38" s="23"/>
      <c r="BM38" s="23"/>
    </row>
    <row r="39" spans="1:65" ht="17.25" customHeight="1" x14ac:dyDescent="0.25">
      <c r="A39" s="766"/>
      <c r="B39" s="192"/>
      <c r="C39" s="779"/>
      <c r="D39" s="784"/>
      <c r="E39" s="832"/>
      <c r="F39" s="832"/>
      <c r="G39" s="832"/>
      <c r="H39" s="832"/>
      <c r="I39" s="833"/>
      <c r="J39" s="153"/>
      <c r="K39" s="831"/>
      <c r="L39" s="808"/>
      <c r="M39" s="813"/>
      <c r="N39" s="814"/>
      <c r="O39" s="782"/>
      <c r="P39" s="783"/>
      <c r="Q39" s="157"/>
      <c r="R39" s="157"/>
      <c r="S39" s="23"/>
      <c r="T39" s="23"/>
      <c r="U39" s="821"/>
      <c r="V39" s="770"/>
      <c r="W39" s="770"/>
      <c r="X39" s="770"/>
      <c r="Y39" s="1144"/>
      <c r="Z39" s="153"/>
      <c r="AA39" s="33"/>
      <c r="AB39" s="192"/>
      <c r="AC39" s="781"/>
      <c r="AD39" s="770"/>
      <c r="AE39" s="781"/>
      <c r="AF39" s="153"/>
      <c r="AG39" s="153"/>
      <c r="AH39" s="153"/>
      <c r="AI39" s="768"/>
      <c r="AJ39" s="861"/>
      <c r="AK39" s="768"/>
      <c r="AL39" s="33"/>
      <c r="AM39" s="153"/>
      <c r="AN39" s="768"/>
      <c r="AO39" s="157"/>
      <c r="AP39" s="768"/>
      <c r="AQ39" s="153"/>
      <c r="AR39" s="811"/>
      <c r="AS39" s="766"/>
      <c r="AT39" s="766"/>
      <c r="AU39" s="766"/>
      <c r="AV39" s="766"/>
      <c r="AW39" s="153"/>
      <c r="AX39" s="764"/>
      <c r="AY39" s="764"/>
      <c r="AZ39" s="153"/>
      <c r="BA39" s="794"/>
      <c r="BB39" s="794"/>
      <c r="BC39" s="794"/>
      <c r="BD39" s="157"/>
      <c r="BE39" s="167"/>
      <c r="BF39" s="878"/>
      <c r="BG39" s="192"/>
      <c r="BH39" s="192"/>
      <c r="BI39" s="884"/>
      <c r="BJ39" s="46"/>
      <c r="BK39" s="23"/>
      <c r="BL39" s="23"/>
      <c r="BM39" s="23"/>
    </row>
    <row r="40" spans="1:65" ht="17.25" customHeight="1" thickBot="1" x14ac:dyDescent="0.3">
      <c r="A40" s="780"/>
      <c r="B40" s="192"/>
      <c r="C40" s="779"/>
      <c r="D40" s="819"/>
      <c r="E40" s="804"/>
      <c r="F40" s="804"/>
      <c r="G40" s="804"/>
      <c r="H40" s="804"/>
      <c r="I40" s="819"/>
      <c r="J40" s="192"/>
      <c r="K40" s="831"/>
      <c r="L40" s="808"/>
      <c r="M40" s="813"/>
      <c r="N40" s="814"/>
      <c r="O40" s="782"/>
      <c r="P40" s="772"/>
      <c r="Q40" s="811"/>
      <c r="R40" s="811"/>
      <c r="S40" s="23"/>
      <c r="T40" s="23"/>
      <c r="U40" s="821"/>
      <c r="V40" s="770"/>
      <c r="W40" s="770"/>
      <c r="X40" s="770"/>
      <c r="Y40" s="1145"/>
      <c r="Z40" s="153"/>
      <c r="AA40" s="33"/>
      <c r="AB40" s="781"/>
      <c r="AC40" s="770"/>
      <c r="AD40" s="781"/>
      <c r="AE40" s="770"/>
      <c r="AF40" s="781"/>
      <c r="AG40" s="153"/>
      <c r="AH40" s="153"/>
      <c r="AI40" s="153"/>
      <c r="AJ40" s="768"/>
      <c r="AK40" s="153"/>
      <c r="AL40" s="33"/>
      <c r="AM40" s="153"/>
      <c r="AN40" s="153"/>
      <c r="AO40" s="768"/>
      <c r="AP40" s="153"/>
      <c r="AQ40" s="153"/>
      <c r="AR40" s="811"/>
      <c r="AS40" s="157"/>
      <c r="AT40" s="157"/>
      <c r="AU40" s="157"/>
      <c r="AV40" s="157"/>
      <c r="AW40" s="153"/>
      <c r="AX40" s="153"/>
      <c r="AY40" s="153"/>
      <c r="AZ40" s="153"/>
      <c r="BA40" s="153"/>
      <c r="BB40" s="153"/>
      <c r="BC40" s="153"/>
      <c r="BD40" s="153"/>
      <c r="BE40" s="167"/>
      <c r="BF40" s="878"/>
      <c r="BG40" s="192"/>
      <c r="BH40" s="192"/>
      <c r="BI40" s="884"/>
      <c r="BJ40" s="46"/>
      <c r="BK40" s="23"/>
      <c r="BL40" s="23"/>
      <c r="BM40" s="23"/>
    </row>
    <row r="41" spans="1:65" ht="17.25" customHeight="1" x14ac:dyDescent="0.25">
      <c r="A41" s="336"/>
      <c r="B41" s="192"/>
      <c r="C41" s="779"/>
      <c r="D41" s="192"/>
      <c r="E41" s="1099"/>
      <c r="F41" s="1099"/>
      <c r="G41" s="1099"/>
      <c r="H41" s="1099"/>
      <c r="I41" s="1099"/>
      <c r="J41" s="192"/>
      <c r="K41" s="834"/>
      <c r="L41" s="808"/>
      <c r="M41" s="813"/>
      <c r="N41" s="814"/>
      <c r="O41" s="782"/>
      <c r="P41" s="772"/>
      <c r="Q41" s="157"/>
      <c r="R41" s="157"/>
      <c r="S41" s="23"/>
      <c r="T41" s="23"/>
      <c r="U41" s="784"/>
      <c r="V41" s="855"/>
      <c r="W41" s="855"/>
      <c r="X41" s="855"/>
      <c r="Y41" s="856"/>
      <c r="Z41" s="153"/>
      <c r="AA41" s="33"/>
      <c r="AB41" s="153"/>
      <c r="AC41" s="781"/>
      <c r="AD41" s="770"/>
      <c r="AE41" s="781"/>
      <c r="AF41" s="860"/>
      <c r="AG41" s="153"/>
      <c r="AH41" s="153"/>
      <c r="AI41" s="192"/>
      <c r="AJ41" s="153"/>
      <c r="AK41" s="153"/>
      <c r="AL41" s="33"/>
      <c r="AM41" s="153"/>
      <c r="AN41" s="153"/>
      <c r="AO41" s="877"/>
      <c r="AP41" s="153"/>
      <c r="AQ41" s="153"/>
      <c r="AR41" s="811"/>
      <c r="AS41" s="1"/>
      <c r="AT41" s="1"/>
      <c r="AU41" s="1"/>
      <c r="AV41" s="33"/>
      <c r="AW41" s="153"/>
      <c r="AX41" s="153"/>
      <c r="AY41" s="153"/>
      <c r="AZ41" s="153"/>
      <c r="BA41" s="157"/>
      <c r="BB41" s="157"/>
      <c r="BC41" s="157"/>
      <c r="BD41" s="157"/>
      <c r="BE41" s="167"/>
      <c r="BF41" s="878"/>
      <c r="BG41" s="192"/>
      <c r="BH41" s="192"/>
      <c r="BI41" s="884"/>
      <c r="BJ41" s="46"/>
      <c r="BK41" s="23"/>
      <c r="BL41" s="23"/>
      <c r="BM41" s="23"/>
    </row>
    <row r="42" spans="1:65" ht="17.25" customHeight="1" thickBot="1" x14ac:dyDescent="0.3">
      <c r="A42" s="172"/>
      <c r="B42" s="192"/>
      <c r="C42" s="779"/>
      <c r="D42" s="192"/>
      <c r="E42" s="804"/>
      <c r="F42" s="804"/>
      <c r="G42" s="804"/>
      <c r="H42" s="804"/>
      <c r="I42" s="804"/>
      <c r="J42" s="192"/>
      <c r="K42" s="834"/>
      <c r="L42" s="808"/>
      <c r="M42" s="813"/>
      <c r="N42" s="815"/>
      <c r="O42" s="816"/>
      <c r="P42" s="817"/>
      <c r="Q42" s="157"/>
      <c r="R42" s="157"/>
      <c r="S42" s="23"/>
      <c r="T42" s="23"/>
      <c r="U42" s="853"/>
      <c r="V42" s="853"/>
      <c r="W42" s="853"/>
      <c r="X42" s="853"/>
      <c r="Y42" s="192"/>
      <c r="Z42" s="153"/>
      <c r="AA42" s="153"/>
      <c r="AB42" s="819"/>
      <c r="AC42" s="784"/>
      <c r="AD42" s="781"/>
      <c r="AE42" s="153"/>
      <c r="AF42" s="153"/>
      <c r="AG42" s="153"/>
      <c r="AH42" s="153"/>
      <c r="AI42" s="153"/>
      <c r="AJ42" s="819"/>
      <c r="AK42" s="199"/>
      <c r="AL42" s="1"/>
      <c r="AM42" s="153"/>
      <c r="AN42" s="811"/>
      <c r="AO42" s="153"/>
      <c r="AP42" s="153"/>
      <c r="AQ42" s="153"/>
      <c r="AR42" s="153"/>
      <c r="AS42" s="33"/>
      <c r="AT42" s="33"/>
      <c r="AU42" s="33"/>
      <c r="AV42" s="81"/>
      <c r="AW42" s="81"/>
      <c r="AX42" s="33"/>
      <c r="AY42" s="33"/>
      <c r="AZ42" s="33"/>
      <c r="BA42" s="33"/>
      <c r="BB42" s="33"/>
      <c r="BC42" s="33"/>
      <c r="BD42" s="90"/>
      <c r="BE42" s="167"/>
      <c r="BF42" s="878"/>
      <c r="BG42" s="192"/>
      <c r="BH42" s="192"/>
      <c r="BI42" s="884"/>
      <c r="BJ42" s="46"/>
      <c r="BK42" s="23"/>
      <c r="BL42" s="23"/>
      <c r="BM42" s="23"/>
    </row>
    <row r="43" spans="1:65" ht="17.25" customHeight="1" x14ac:dyDescent="0.25">
      <c r="A43" s="774"/>
      <c r="B43" s="153"/>
      <c r="C43" s="779"/>
      <c r="D43" s="774"/>
      <c r="E43" s="832"/>
      <c r="F43" s="832"/>
      <c r="G43" s="832"/>
      <c r="H43" s="832"/>
      <c r="I43" s="832"/>
      <c r="J43" s="791"/>
      <c r="K43" s="834"/>
      <c r="L43" s="157"/>
      <c r="M43" s="157"/>
      <c r="N43" s="157"/>
      <c r="O43" s="818"/>
      <c r="P43" s="818"/>
      <c r="Q43" s="1132"/>
      <c r="R43" s="1133"/>
      <c r="S43" s="23"/>
      <c r="T43" s="176"/>
      <c r="U43" s="157"/>
      <c r="V43" s="1104"/>
      <c r="W43" s="1104"/>
      <c r="X43" s="1104"/>
      <c r="Y43" s="180"/>
      <c r="Z43" s="153"/>
      <c r="AA43" s="153"/>
      <c r="AB43" s="819"/>
      <c r="AC43" s="199"/>
      <c r="AD43" s="199"/>
      <c r="AE43" s="153"/>
      <c r="AF43" s="811"/>
      <c r="AG43" s="853"/>
      <c r="AH43" s="153"/>
      <c r="AI43" s="153"/>
      <c r="AJ43" s="819"/>
      <c r="AK43" s="157"/>
      <c r="AL43" s="1"/>
      <c r="AM43" s="1"/>
      <c r="AN43" s="116"/>
      <c r="AP43" s="33"/>
      <c r="AQ43" s="116"/>
      <c r="AR43" s="116"/>
      <c r="AS43" s="116"/>
      <c r="AT43" s="116"/>
      <c r="AU43" s="192"/>
      <c r="AV43" s="192"/>
      <c r="AW43" s="192"/>
      <c r="AX43" s="192"/>
      <c r="AY43" s="192"/>
      <c r="AZ43" s="192"/>
      <c r="BA43" s="23"/>
      <c r="BB43" s="23"/>
      <c r="BC43" s="23"/>
      <c r="BD43" s="23"/>
      <c r="BE43" s="167"/>
      <c r="BF43" s="878"/>
      <c r="BG43" s="192"/>
      <c r="BH43" s="192"/>
      <c r="BI43" s="884"/>
      <c r="BJ43" s="46"/>
      <c r="BK43" s="23"/>
      <c r="BL43" s="23"/>
      <c r="BM43" s="23"/>
    </row>
    <row r="44" spans="1:65" ht="17.25" customHeight="1" x14ac:dyDescent="0.25">
      <c r="A44" s="1098"/>
      <c r="B44" s="1099"/>
      <c r="C44" s="1138"/>
      <c r="D44" s="1139"/>
      <c r="E44" s="770"/>
      <c r="F44" s="770"/>
      <c r="G44" s="770"/>
      <c r="H44" s="770"/>
      <c r="I44" s="770"/>
      <c r="J44" s="1140"/>
      <c r="K44" s="1141"/>
      <c r="L44" s="192"/>
      <c r="M44" s="192"/>
      <c r="N44" s="819"/>
      <c r="O44" s="153"/>
      <c r="P44" s="153"/>
      <c r="Q44" s="1134"/>
      <c r="R44" s="1135"/>
      <c r="S44" s="176"/>
      <c r="T44" s="23"/>
      <c r="U44" s="192"/>
      <c r="V44" s="819"/>
      <c r="W44" s="1099"/>
      <c r="X44" s="1099"/>
      <c r="Y44" s="1099"/>
      <c r="Z44" s="1099"/>
      <c r="AA44" s="819"/>
      <c r="AB44" s="1117"/>
      <c r="AC44" s="1117"/>
      <c r="AD44" s="1117"/>
      <c r="AE44" s="1117"/>
      <c r="AF44" s="819"/>
      <c r="AG44" s="819"/>
      <c r="AH44" s="819"/>
      <c r="AI44" s="819"/>
      <c r="AJ44" s="819"/>
      <c r="AK44" s="192"/>
      <c r="AL44" s="116"/>
      <c r="AM44" s="116"/>
      <c r="AN44" s="1118"/>
      <c r="AO44" s="1118"/>
      <c r="AP44" s="1118"/>
      <c r="AQ44" s="33"/>
      <c r="AR44" s="33"/>
      <c r="AS44" s="33"/>
      <c r="AT44" s="23"/>
      <c r="AU44" s="192"/>
      <c r="AV44" s="1119"/>
      <c r="AW44" s="1119"/>
      <c r="AX44" s="1119"/>
      <c r="AY44" s="192"/>
      <c r="AZ44" s="192"/>
      <c r="BA44" s="23"/>
      <c r="BB44" s="23"/>
      <c r="BC44" s="23"/>
      <c r="BD44" s="23"/>
      <c r="BE44" s="167"/>
      <c r="BF44" s="878"/>
      <c r="BG44" s="192"/>
      <c r="BH44" s="192"/>
      <c r="BI44" s="884"/>
      <c r="BJ44" s="46"/>
      <c r="BK44" s="23"/>
      <c r="BL44" s="23"/>
      <c r="BM44" s="23"/>
    </row>
    <row r="45" spans="1:65" ht="17.25" customHeight="1" thickBot="1" x14ac:dyDescent="0.3">
      <c r="A45" s="781"/>
      <c r="B45" s="774"/>
      <c r="C45" s="1138"/>
      <c r="D45" s="1139"/>
      <c r="E45" s="770"/>
      <c r="F45" s="770"/>
      <c r="G45" s="770"/>
      <c r="H45" s="770"/>
      <c r="I45" s="770"/>
      <c r="J45" s="1140"/>
      <c r="K45" s="1141"/>
      <c r="L45" s="192"/>
      <c r="M45" s="192"/>
      <c r="N45" s="819"/>
      <c r="O45" s="192"/>
      <c r="P45" s="811"/>
      <c r="Q45" s="1136"/>
      <c r="R45" s="1137"/>
      <c r="S45" s="176"/>
      <c r="T45" s="23"/>
      <c r="U45" s="192"/>
      <c r="V45" s="153"/>
      <c r="W45" s="804"/>
      <c r="X45" s="804"/>
      <c r="Y45" s="804"/>
      <c r="Z45" s="804"/>
      <c r="AA45" s="789"/>
      <c r="AB45" s="804"/>
      <c r="AC45" s="804"/>
      <c r="AD45" s="804"/>
      <c r="AE45" s="804"/>
      <c r="AF45" s="825"/>
      <c r="AG45" s="811"/>
      <c r="AH45" s="811"/>
      <c r="AI45" s="811"/>
      <c r="AJ45" s="811"/>
      <c r="AK45" s="153"/>
      <c r="AL45" s="33"/>
      <c r="AM45" s="33"/>
      <c r="AN45" s="153"/>
      <c r="AO45" s="153"/>
      <c r="AP45" s="153"/>
      <c r="AQ45" s="153"/>
      <c r="AR45" s="33"/>
      <c r="AS45" s="33"/>
      <c r="AT45" s="33"/>
      <c r="AU45" s="153"/>
      <c r="AV45" s="876"/>
      <c r="AW45" s="180"/>
      <c r="AX45" s="876"/>
      <c r="AY45" s="157"/>
      <c r="AZ45" s="192"/>
      <c r="BA45" s="23"/>
      <c r="BB45" s="23"/>
      <c r="BC45" s="23"/>
      <c r="BD45" s="23"/>
      <c r="BE45" s="181"/>
      <c r="BF45" s="881"/>
      <c r="BG45" s="868"/>
      <c r="BH45" s="868"/>
      <c r="BI45" s="885"/>
      <c r="BJ45" s="46"/>
      <c r="BK45" s="23"/>
      <c r="BL45" s="23"/>
      <c r="BM45" s="23"/>
    </row>
    <row r="46" spans="1:65" ht="17.25" customHeight="1" thickBot="1" x14ac:dyDescent="0.3">
      <c r="A46" s="770"/>
      <c r="B46" s="782"/>
      <c r="C46" s="783"/>
      <c r="D46" s="784"/>
      <c r="E46" s="832"/>
      <c r="F46" s="832"/>
      <c r="G46" s="832"/>
      <c r="H46" s="832"/>
      <c r="I46" s="832"/>
      <c r="J46" s="819"/>
      <c r="K46" s="835"/>
      <c r="L46" s="23"/>
      <c r="M46" s="23"/>
      <c r="N46" s="116"/>
      <c r="O46" s="23"/>
      <c r="P46" s="81"/>
      <c r="Q46" s="183"/>
      <c r="R46" s="33"/>
      <c r="S46" s="176"/>
      <c r="T46" s="23"/>
      <c r="U46" s="192"/>
      <c r="V46" s="774"/>
      <c r="W46" s="790"/>
      <c r="X46" s="790"/>
      <c r="Y46" s="790"/>
      <c r="Z46" s="790"/>
      <c r="AA46" s="774"/>
      <c r="AB46" s="857"/>
      <c r="AC46" s="857"/>
      <c r="AD46" s="857"/>
      <c r="AE46" s="857"/>
      <c r="AF46" s="791"/>
      <c r="AG46" s="811"/>
      <c r="AH46" s="157"/>
      <c r="AI46" s="1120"/>
      <c r="AJ46" s="1120"/>
      <c r="AK46" s="1120"/>
      <c r="AL46" s="33"/>
      <c r="AM46" s="33"/>
      <c r="AN46" s="153"/>
      <c r="AO46" s="153"/>
      <c r="AP46" s="153"/>
      <c r="AQ46" s="153"/>
      <c r="AR46" s="33"/>
      <c r="AS46" s="33"/>
      <c r="AT46" s="33"/>
      <c r="AU46" s="791"/>
      <c r="AV46" s="821"/>
      <c r="AW46" s="821"/>
      <c r="AX46" s="821"/>
      <c r="AY46" s="774"/>
      <c r="AZ46" s="192"/>
      <c r="BA46" s="23"/>
      <c r="BB46" s="23"/>
      <c r="BC46" s="23"/>
      <c r="BD46" s="23"/>
      <c r="BE46" s="33"/>
      <c r="BF46" s="1121"/>
      <c r="BG46" s="1122"/>
      <c r="BH46" s="1122"/>
      <c r="BI46" s="1123"/>
      <c r="BJ46" s="46"/>
      <c r="BK46" s="23"/>
      <c r="BL46" s="23"/>
      <c r="BM46" s="23"/>
    </row>
    <row r="47" spans="1:65" ht="17.25" customHeight="1" thickBot="1" x14ac:dyDescent="0.3">
      <c r="A47" s="770"/>
      <c r="B47" s="782"/>
      <c r="C47" s="772"/>
      <c r="D47" s="194"/>
      <c r="E47" s="804"/>
      <c r="F47" s="804"/>
      <c r="G47" s="804"/>
      <c r="H47" s="804"/>
      <c r="I47" s="804"/>
      <c r="J47" s="192"/>
      <c r="K47" s="192"/>
      <c r="L47" s="23"/>
      <c r="M47" s="23"/>
      <c r="N47" s="23"/>
      <c r="O47" s="1"/>
      <c r="P47" s="185"/>
      <c r="Q47" s="796"/>
      <c r="R47" s="33"/>
      <c r="S47" s="176"/>
      <c r="T47" s="23"/>
      <c r="U47" s="192"/>
      <c r="V47" s="804"/>
      <c r="W47" s="770"/>
      <c r="X47" s="770"/>
      <c r="Y47" s="770"/>
      <c r="Z47" s="770"/>
      <c r="AA47" s="830"/>
      <c r="AB47" s="770"/>
      <c r="AC47" s="770"/>
      <c r="AD47" s="770"/>
      <c r="AE47" s="770"/>
      <c r="AF47" s="830"/>
      <c r="AG47" s="33"/>
      <c r="AH47" s="33"/>
      <c r="AI47" s="768"/>
      <c r="AJ47" s="768"/>
      <c r="AK47" s="768"/>
      <c r="AL47" s="33"/>
      <c r="AM47" s="33"/>
      <c r="AN47" s="153"/>
      <c r="AO47" s="153"/>
      <c r="AP47" s="768"/>
      <c r="AQ47" s="153"/>
      <c r="AR47" s="33"/>
      <c r="AS47" s="33"/>
      <c r="AT47" s="33"/>
      <c r="AU47" s="821"/>
      <c r="AV47" s="770"/>
      <c r="AW47" s="770"/>
      <c r="AX47" s="770"/>
      <c r="AY47" s="821"/>
      <c r="AZ47" s="192"/>
      <c r="BA47" s="23"/>
      <c r="BB47" s="23"/>
      <c r="BC47" s="23"/>
      <c r="BD47" s="23"/>
      <c r="BE47" s="181"/>
      <c r="BF47" s="1124"/>
      <c r="BG47" s="1125"/>
      <c r="BH47" s="1125"/>
      <c r="BI47" s="1126"/>
      <c r="BJ47" s="46"/>
      <c r="BK47" s="23"/>
      <c r="BL47" s="23"/>
      <c r="BM47" s="23"/>
    </row>
    <row r="48" spans="1:65" ht="17.25" customHeight="1" x14ac:dyDescent="0.25">
      <c r="A48" s="770"/>
      <c r="B48" s="782"/>
      <c r="C48" s="772"/>
      <c r="D48" s="180"/>
      <c r="E48" s="1130"/>
      <c r="F48" s="1130"/>
      <c r="G48" s="1130"/>
      <c r="H48" s="1130"/>
      <c r="I48" s="157"/>
      <c r="J48" s="157"/>
      <c r="K48" s="192"/>
      <c r="L48" s="23"/>
      <c r="M48" s="23"/>
      <c r="N48" s="23"/>
      <c r="O48" s="795"/>
      <c r="P48" s="796"/>
      <c r="Q48" s="190"/>
      <c r="R48" s="33"/>
      <c r="S48" s="176"/>
      <c r="T48" s="23"/>
      <c r="U48" s="192"/>
      <c r="V48" s="804"/>
      <c r="W48" s="770"/>
      <c r="X48" s="770"/>
      <c r="Y48" s="770"/>
      <c r="Z48" s="770"/>
      <c r="AA48" s="830"/>
      <c r="AB48" s="770"/>
      <c r="AC48" s="770"/>
      <c r="AD48" s="770"/>
      <c r="AE48" s="770"/>
      <c r="AF48" s="830"/>
      <c r="AG48" s="33"/>
      <c r="AH48" s="33"/>
      <c r="AI48" s="768"/>
      <c r="AJ48" s="768"/>
      <c r="AK48" s="768"/>
      <c r="AL48" s="33"/>
      <c r="AM48" s="33"/>
      <c r="AN48" s="784"/>
      <c r="AO48" s="768"/>
      <c r="AP48" s="153"/>
      <c r="AQ48" s="768"/>
      <c r="AR48" s="33"/>
      <c r="AS48" s="33"/>
      <c r="AT48" s="33"/>
      <c r="AU48" s="821"/>
      <c r="AV48" s="770"/>
      <c r="AW48" s="770"/>
      <c r="AX48" s="770"/>
      <c r="AY48" s="821"/>
      <c r="AZ48" s="192"/>
      <c r="BA48" s="23"/>
      <c r="BB48" s="23"/>
      <c r="BC48" s="23"/>
      <c r="BD48" s="23"/>
      <c r="BE48" s="181"/>
      <c r="BF48" s="1124"/>
      <c r="BG48" s="1125"/>
      <c r="BH48" s="1125"/>
      <c r="BI48" s="1126"/>
      <c r="BJ48" s="46"/>
      <c r="BK48" s="23"/>
      <c r="BL48" s="23"/>
      <c r="BM48" s="23"/>
    </row>
    <row r="49" spans="1:65" ht="17.25" customHeight="1" x14ac:dyDescent="0.25">
      <c r="A49" s="770"/>
      <c r="B49" s="782"/>
      <c r="C49" s="772"/>
      <c r="D49" s="180"/>
      <c r="E49" s="804"/>
      <c r="F49" s="804"/>
      <c r="G49" s="804"/>
      <c r="H49" s="804"/>
      <c r="I49" s="804"/>
      <c r="J49" s="157"/>
      <c r="K49" s="192"/>
      <c r="L49" s="23"/>
      <c r="M49" s="23"/>
      <c r="N49" s="33"/>
      <c r="O49" s="795"/>
      <c r="P49" s="796"/>
      <c r="Q49" s="33"/>
      <c r="R49" s="176"/>
      <c r="S49" s="176"/>
      <c r="T49" s="23"/>
      <c r="U49" s="192"/>
      <c r="V49" s="791"/>
      <c r="W49" s="790"/>
      <c r="X49" s="790"/>
      <c r="Y49" s="790"/>
      <c r="Z49" s="790"/>
      <c r="AA49" s="784"/>
      <c r="AB49" s="857"/>
      <c r="AC49" s="857"/>
      <c r="AD49" s="857"/>
      <c r="AE49" s="857"/>
      <c r="AF49" s="784"/>
      <c r="AG49" s="1"/>
      <c r="AH49" s="1"/>
      <c r="AI49" s="784"/>
      <c r="AJ49" s="153"/>
      <c r="AK49" s="153"/>
      <c r="AL49" s="33"/>
      <c r="AM49" s="33"/>
      <c r="AN49" s="153"/>
      <c r="AO49" s="153"/>
      <c r="AP49" s="768"/>
      <c r="AQ49" s="153"/>
      <c r="AR49" s="33"/>
      <c r="AS49" s="33"/>
      <c r="AT49" s="33"/>
      <c r="AU49" s="153"/>
      <c r="AV49" s="821"/>
      <c r="AW49" s="821"/>
      <c r="AX49" s="821"/>
      <c r="AY49" s="157"/>
      <c r="AZ49" s="192"/>
      <c r="BB49" s="23"/>
      <c r="BC49" s="23"/>
      <c r="BD49" s="191"/>
      <c r="BE49" s="192"/>
      <c r="BF49" s="1125"/>
      <c r="BG49" s="1125"/>
      <c r="BH49" s="1125"/>
      <c r="BI49" s="1126"/>
      <c r="BJ49" s="46"/>
      <c r="BK49" s="23"/>
      <c r="BL49" s="23"/>
      <c r="BM49" s="23"/>
    </row>
    <row r="50" spans="1:65" ht="17.25" customHeight="1" x14ac:dyDescent="0.25">
      <c r="A50" s="781"/>
      <c r="B50" s="780"/>
      <c r="C50" s="772"/>
      <c r="D50" s="774"/>
      <c r="E50" s="92"/>
      <c r="F50" s="92"/>
      <c r="G50" s="92"/>
      <c r="H50" s="92"/>
      <c r="I50" s="804"/>
      <c r="J50" s="157"/>
      <c r="K50" s="192"/>
      <c r="L50" s="23"/>
      <c r="M50" s="23"/>
      <c r="N50" s="33"/>
      <c r="O50" s="795"/>
      <c r="P50" s="796"/>
      <c r="Q50" s="176"/>
      <c r="R50" s="176"/>
      <c r="S50" s="81"/>
      <c r="T50" s="23"/>
      <c r="U50" s="192"/>
      <c r="V50" s="192"/>
      <c r="W50" s="804"/>
      <c r="X50" s="804"/>
      <c r="Y50" s="804"/>
      <c r="Z50" s="804"/>
      <c r="AA50" s="153"/>
      <c r="AB50" s="804"/>
      <c r="AC50" s="804"/>
      <c r="AD50" s="804"/>
      <c r="AE50" s="804"/>
      <c r="AF50" s="192"/>
      <c r="AG50" s="1"/>
      <c r="AH50" s="1"/>
      <c r="AI50" s="180"/>
      <c r="AJ50" s="157"/>
      <c r="AK50" s="157"/>
      <c r="AL50" s="33"/>
      <c r="AM50" s="33"/>
      <c r="AN50" s="153"/>
      <c r="AO50" s="153"/>
      <c r="AP50" s="153"/>
      <c r="AQ50" s="153"/>
      <c r="AR50" s="33"/>
      <c r="AS50" s="33"/>
      <c r="AT50" s="33"/>
      <c r="AU50" s="153"/>
      <c r="AV50" s="876"/>
      <c r="AW50" s="199"/>
      <c r="AX50" s="876"/>
      <c r="AY50" s="153"/>
      <c r="AZ50" s="192"/>
      <c r="BB50" s="191"/>
      <c r="BC50" s="194"/>
      <c r="BD50" s="157"/>
      <c r="BE50" s="191"/>
      <c r="BF50" s="1125"/>
      <c r="BG50" s="1125"/>
      <c r="BH50" s="1125"/>
      <c r="BI50" s="1126"/>
      <c r="BJ50" s="46"/>
      <c r="BK50" s="23"/>
      <c r="BL50" s="23"/>
      <c r="BM50" s="23"/>
    </row>
    <row r="51" spans="1:65" ht="17.25" customHeight="1" x14ac:dyDescent="0.25">
      <c r="A51" s="768"/>
      <c r="B51" s="774"/>
      <c r="C51" s="772"/>
      <c r="D51" s="771"/>
      <c r="E51" s="770"/>
      <c r="F51" s="770"/>
      <c r="G51" s="770"/>
      <c r="H51" s="770"/>
      <c r="I51" s="771"/>
      <c r="J51" s="157"/>
      <c r="K51" s="192"/>
      <c r="L51" s="23"/>
      <c r="M51" s="23"/>
      <c r="N51" s="33"/>
      <c r="O51" s="795"/>
      <c r="P51" s="797"/>
      <c r="Q51" s="176"/>
      <c r="R51" s="176"/>
      <c r="S51" s="81"/>
      <c r="T51" s="23"/>
      <c r="U51" s="192"/>
      <c r="V51" s="192"/>
      <c r="W51" s="192"/>
      <c r="X51" s="858"/>
      <c r="Y51" s="858"/>
      <c r="Z51" s="858"/>
      <c r="AA51" s="153"/>
      <c r="AB51" s="192"/>
      <c r="AC51" s="192"/>
      <c r="AD51" s="192"/>
      <c r="AE51" s="192"/>
      <c r="AF51" s="192"/>
      <c r="AG51" s="1"/>
      <c r="AH51" s="1"/>
      <c r="AI51" s="197">
        <v>1</v>
      </c>
      <c r="AJ51" s="197">
        <v>2</v>
      </c>
      <c r="AK51" s="197">
        <v>3</v>
      </c>
      <c r="AL51" s="33"/>
      <c r="AM51" s="33"/>
      <c r="AN51" s="33"/>
      <c r="AO51" s="1"/>
      <c r="AP51" s="197">
        <v>1</v>
      </c>
      <c r="AQ51" s="197">
        <v>2</v>
      </c>
      <c r="AR51" s="197">
        <v>3</v>
      </c>
      <c r="AS51" s="33"/>
      <c r="AT51" s="33"/>
      <c r="AU51" s="336"/>
      <c r="AV51" s="875"/>
      <c r="AW51" s="875"/>
      <c r="AX51" s="875"/>
      <c r="AY51" s="153"/>
      <c r="AZ51" s="192"/>
      <c r="BB51" s="194"/>
      <c r="BC51" s="191"/>
      <c r="BD51" s="191"/>
      <c r="BE51" s="199"/>
      <c r="BF51" s="1125"/>
      <c r="BG51" s="1125"/>
      <c r="BH51" s="1125"/>
      <c r="BI51" s="1126"/>
      <c r="BJ51" s="46"/>
      <c r="BK51" s="23"/>
      <c r="BL51" s="23"/>
      <c r="BM51" s="23"/>
    </row>
    <row r="52" spans="1:65" ht="17.25" customHeight="1" thickBot="1" x14ac:dyDescent="0.3">
      <c r="A52" s="774"/>
      <c r="B52" s="153"/>
      <c r="C52" s="153"/>
      <c r="D52" s="771"/>
      <c r="E52" s="770"/>
      <c r="F52" s="770"/>
      <c r="G52" s="770"/>
      <c r="H52" s="770"/>
      <c r="I52" s="771"/>
      <c r="J52" s="157"/>
      <c r="K52" s="192"/>
      <c r="L52" s="23"/>
      <c r="M52" s="23"/>
      <c r="N52" s="33"/>
      <c r="O52" s="795"/>
      <c r="P52" s="797"/>
      <c r="Q52" s="176"/>
      <c r="R52" s="176"/>
      <c r="S52" s="81"/>
      <c r="T52" s="23"/>
      <c r="U52" s="192"/>
      <c r="V52" s="192"/>
      <c r="W52" s="784"/>
      <c r="X52" s="157"/>
      <c r="Y52" s="157"/>
      <c r="Z52" s="157"/>
      <c r="AA52" s="153"/>
      <c r="AB52" s="1131"/>
      <c r="AC52" s="1131"/>
      <c r="AD52" s="1131"/>
      <c r="AE52" s="1131"/>
      <c r="AF52" s="192"/>
      <c r="AG52" s="200"/>
      <c r="AH52" s="146" t="s">
        <v>183</v>
      </c>
      <c r="AI52" s="100" t="s">
        <v>160</v>
      </c>
      <c r="AJ52" s="100" t="s">
        <v>160</v>
      </c>
      <c r="AK52" s="100" t="s">
        <v>160</v>
      </c>
      <c r="AL52" s="118" t="s">
        <v>250</v>
      </c>
      <c r="AM52" s="33"/>
      <c r="AN52" s="33"/>
      <c r="AO52" s="49" t="s">
        <v>251</v>
      </c>
      <c r="AP52" s="50" t="s">
        <v>160</v>
      </c>
      <c r="AQ52" s="50" t="s">
        <v>160</v>
      </c>
      <c r="AR52" s="50" t="s">
        <v>160</v>
      </c>
      <c r="AS52" s="146"/>
      <c r="AT52" s="33"/>
      <c r="AU52" s="201"/>
      <c r="AY52" s="201"/>
      <c r="AZ52" s="23"/>
      <c r="BB52" s="157"/>
      <c r="BC52" s="153"/>
      <c r="BD52" s="157"/>
      <c r="BE52" s="153"/>
      <c r="BF52" s="1125"/>
      <c r="BG52" s="1125"/>
      <c r="BH52" s="1125"/>
      <c r="BI52" s="1126"/>
      <c r="BJ52" s="46"/>
      <c r="BK52" s="23"/>
      <c r="BL52" s="23"/>
      <c r="BM52" s="23"/>
    </row>
    <row r="53" spans="1:65" ht="17.25" customHeight="1" x14ac:dyDescent="0.25">
      <c r="A53" s="1099"/>
      <c r="B53" s="1099"/>
      <c r="C53" s="192"/>
      <c r="D53" s="784"/>
      <c r="E53" s="92"/>
      <c r="F53" s="92"/>
      <c r="G53" s="92"/>
      <c r="H53" s="92"/>
      <c r="I53" s="806"/>
      <c r="J53" s="157"/>
      <c r="K53" s="192"/>
      <c r="L53" s="23"/>
      <c r="M53" s="23"/>
      <c r="N53" s="33"/>
      <c r="O53" s="795"/>
      <c r="P53" s="797"/>
      <c r="Q53" s="176"/>
      <c r="R53" s="176"/>
      <c r="S53" s="81"/>
      <c r="T53" s="23"/>
      <c r="U53" s="192"/>
      <c r="V53" s="192"/>
      <c r="W53" s="794"/>
      <c r="X53" s="794"/>
      <c r="Y53" s="794"/>
      <c r="Z53" s="157"/>
      <c r="AA53" s="153"/>
      <c r="AB53" s="796"/>
      <c r="AC53" s="796"/>
      <c r="AD53" s="796"/>
      <c r="AE53" s="796"/>
      <c r="AF53" s="192"/>
      <c r="AG53" s="197"/>
      <c r="AH53" s="1101" t="s">
        <v>253</v>
      </c>
      <c r="AI53" s="203">
        <v>100</v>
      </c>
      <c r="AJ53" s="204">
        <v>100</v>
      </c>
      <c r="AK53" s="203">
        <v>100</v>
      </c>
      <c r="AL53" s="100"/>
      <c r="AM53" s="197"/>
      <c r="AN53" s="197"/>
      <c r="AO53" s="50"/>
      <c r="AP53" s="205">
        <v>100</v>
      </c>
      <c r="AQ53" s="206">
        <v>100</v>
      </c>
      <c r="AR53" s="205">
        <v>100</v>
      </c>
      <c r="AS53" s="50"/>
      <c r="AT53" s="197"/>
      <c r="AU53" s="207"/>
      <c r="AV53" s="208"/>
      <c r="AW53" s="208"/>
      <c r="AX53" s="209"/>
      <c r="AZ53" s="201"/>
      <c r="BA53" s="23"/>
      <c r="BB53" s="194"/>
      <c r="BC53" s="194"/>
      <c r="BD53" s="33"/>
      <c r="BE53" s="1"/>
      <c r="BF53" s="1124"/>
      <c r="BG53" s="1125"/>
      <c r="BH53" s="1125"/>
      <c r="BI53" s="1126"/>
      <c r="BJ53" s="46"/>
      <c r="BK53" s="23"/>
      <c r="BL53" s="23"/>
      <c r="BM53" s="23"/>
    </row>
    <row r="54" spans="1:65" ht="17.25" customHeight="1" thickBot="1" x14ac:dyDescent="0.3">
      <c r="A54" s="92"/>
      <c r="B54" s="774"/>
      <c r="C54" s="192"/>
      <c r="D54" s="787"/>
      <c r="E54" s="804"/>
      <c r="F54" s="804"/>
      <c r="G54" s="804"/>
      <c r="H54" s="804"/>
      <c r="I54" s="153"/>
      <c r="J54" s="157"/>
      <c r="K54" s="192"/>
      <c r="L54" s="23"/>
      <c r="M54" s="23"/>
      <c r="N54" s="23"/>
      <c r="O54" s="793"/>
      <c r="P54" s="797"/>
      <c r="Q54" s="176"/>
      <c r="R54" s="176"/>
      <c r="S54" s="81"/>
      <c r="T54" s="23"/>
      <c r="U54" s="192"/>
      <c r="V54" s="192"/>
      <c r="W54" s="794"/>
      <c r="X54" s="794"/>
      <c r="Y54" s="794"/>
      <c r="Z54" s="157"/>
      <c r="AA54" s="153"/>
      <c r="AB54" s="796"/>
      <c r="AC54" s="796"/>
      <c r="AD54" s="796"/>
      <c r="AE54" s="796"/>
      <c r="AF54" s="192"/>
      <c r="AG54" s="197"/>
      <c r="AH54" s="1102"/>
      <c r="AI54" s="212">
        <v>100</v>
      </c>
      <c r="AJ54" s="212">
        <v>100</v>
      </c>
      <c r="AK54" s="212">
        <v>100</v>
      </c>
      <c r="AL54" s="100"/>
      <c r="AM54" s="197"/>
      <c r="AN54" s="197"/>
      <c r="AO54" s="50"/>
      <c r="AP54" s="11">
        <v>100</v>
      </c>
      <c r="AQ54" s="11">
        <v>100</v>
      </c>
      <c r="AR54" s="213">
        <v>100</v>
      </c>
      <c r="AS54" s="50"/>
      <c r="AT54" s="197"/>
      <c r="AU54" s="207"/>
      <c r="AV54" s="209"/>
      <c r="AW54" s="214"/>
      <c r="AX54" s="214"/>
      <c r="AZ54" s="201"/>
      <c r="BA54" s="23"/>
      <c r="BB54" s="194"/>
      <c r="BC54" s="33"/>
      <c r="BD54" s="33"/>
      <c r="BE54" s="33"/>
      <c r="BF54" s="1124"/>
      <c r="BG54" s="1125"/>
      <c r="BH54" s="1125"/>
      <c r="BI54" s="1126"/>
      <c r="BJ54" s="46"/>
      <c r="BK54" s="23"/>
      <c r="BL54" s="23"/>
      <c r="BM54" s="23"/>
    </row>
    <row r="55" spans="1:65" ht="17.25" customHeight="1" x14ac:dyDescent="0.25">
      <c r="A55" s="770"/>
      <c r="B55" s="92"/>
      <c r="C55" s="783"/>
      <c r="D55" s="807"/>
      <c r="E55" s="794"/>
      <c r="F55" s="794"/>
      <c r="G55" s="794"/>
      <c r="H55" s="794"/>
      <c r="I55" s="153"/>
      <c r="J55" s="157"/>
      <c r="K55" s="192"/>
      <c r="L55" s="23"/>
      <c r="M55" s="23"/>
      <c r="N55" s="33"/>
      <c r="O55" s="793"/>
      <c r="P55" s="797"/>
      <c r="Q55" s="176"/>
      <c r="R55" s="176"/>
      <c r="S55" s="81"/>
      <c r="T55" s="23"/>
      <c r="U55" s="192"/>
      <c r="V55" s="192"/>
      <c r="W55" s="1103"/>
      <c r="X55" s="1103"/>
      <c r="Y55" s="1103"/>
      <c r="Z55" s="157"/>
      <c r="AA55" s="153"/>
      <c r="AB55" s="784"/>
      <c r="AC55" s="216"/>
      <c r="AD55" s="216"/>
      <c r="AE55" s="157"/>
      <c r="AF55" s="192"/>
      <c r="AG55" s="1"/>
      <c r="AH55" s="197"/>
      <c r="AI55" s="100" t="s">
        <v>160</v>
      </c>
      <c r="AJ55" s="100" t="s">
        <v>160</v>
      </c>
      <c r="AK55" s="100" t="s">
        <v>160</v>
      </c>
      <c r="AL55" s="197"/>
      <c r="AM55" s="33"/>
      <c r="AN55" s="33"/>
      <c r="AO55" s="197"/>
      <c r="AP55" s="50" t="s">
        <v>160</v>
      </c>
      <c r="AQ55" s="50" t="s">
        <v>160</v>
      </c>
      <c r="AR55" s="50" t="s">
        <v>160</v>
      </c>
      <c r="AS55" s="197"/>
      <c r="AT55" s="81"/>
      <c r="AU55" s="201"/>
      <c r="AV55" s="199"/>
      <c r="AX55" s="336"/>
      <c r="AY55" s="775"/>
      <c r="AZ55" s="192"/>
      <c r="BA55" s="192"/>
      <c r="BB55" s="194"/>
      <c r="BC55" s="194"/>
      <c r="BD55" s="23"/>
      <c r="BE55" s="23"/>
      <c r="BF55" s="1124"/>
      <c r="BG55" s="1125"/>
      <c r="BH55" s="1125"/>
      <c r="BI55" s="1126"/>
      <c r="BJ55" s="46"/>
      <c r="BK55" s="23"/>
      <c r="BL55" s="23"/>
      <c r="BM55" s="23"/>
    </row>
    <row r="56" spans="1:65" ht="17.25" customHeight="1" thickBot="1" x14ac:dyDescent="0.3">
      <c r="A56" s="770"/>
      <c r="B56" s="92"/>
      <c r="C56" s="772"/>
      <c r="D56" s="784"/>
      <c r="E56" s="794"/>
      <c r="F56" s="794"/>
      <c r="G56" s="794"/>
      <c r="H56" s="794"/>
      <c r="I56" s="192"/>
      <c r="J56" s="192"/>
      <c r="K56" s="192"/>
      <c r="L56" s="23"/>
      <c r="M56" s="23"/>
      <c r="N56" s="33"/>
      <c r="O56" s="798"/>
      <c r="P56" s="799"/>
      <c r="Q56" s="176"/>
      <c r="R56" s="176"/>
      <c r="S56" s="81"/>
      <c r="T56" s="23"/>
      <c r="U56" s="192"/>
      <c r="V56" s="192"/>
      <c r="W56" s="153"/>
      <c r="X56" s="153"/>
      <c r="Y56" s="153"/>
      <c r="Z56" s="153"/>
      <c r="AA56" s="153"/>
      <c r="AB56" s="153"/>
      <c r="AC56" s="1104"/>
      <c r="AD56" s="1104"/>
      <c r="AE56" s="1104"/>
      <c r="AF56" s="153"/>
      <c r="AG56" s="33"/>
      <c r="AH56" s="199"/>
      <c r="AI56" s="197">
        <v>6</v>
      </c>
      <c r="AJ56" s="197">
        <v>5</v>
      </c>
      <c r="AK56" s="197">
        <v>4</v>
      </c>
      <c r="AL56" s="1"/>
      <c r="AM56" s="33"/>
      <c r="AN56" s="33"/>
      <c r="AO56" s="199"/>
      <c r="AP56" s="197">
        <v>6</v>
      </c>
      <c r="AQ56" s="197">
        <v>5</v>
      </c>
      <c r="AR56" s="197">
        <v>4</v>
      </c>
      <c r="AS56" s="33"/>
      <c r="AT56" s="1"/>
      <c r="AV56" s="198"/>
      <c r="AW56" s="198"/>
      <c r="AX56" s="875"/>
      <c r="AY56" s="153"/>
      <c r="AZ56" s="192"/>
      <c r="BA56" s="192"/>
      <c r="BB56" s="194"/>
      <c r="BC56" s="194"/>
      <c r="BD56" s="23"/>
      <c r="BE56" s="23"/>
      <c r="BF56" s="1127"/>
      <c r="BG56" s="1128"/>
      <c r="BH56" s="1128"/>
      <c r="BI56" s="1129"/>
      <c r="BJ56" s="46"/>
      <c r="BK56" s="23"/>
      <c r="BL56" s="23"/>
      <c r="BM56" s="23"/>
    </row>
    <row r="57" spans="1:65" ht="17.25" customHeight="1" thickBot="1" x14ac:dyDescent="0.3">
      <c r="A57" s="770"/>
      <c r="B57" s="92"/>
      <c r="C57" s="772"/>
      <c r="D57" s="153"/>
      <c r="E57" s="153"/>
      <c r="F57" s="153"/>
      <c r="G57" s="153"/>
      <c r="H57" s="153"/>
      <c r="I57" s="153"/>
      <c r="J57" s="153"/>
      <c r="K57" s="153"/>
      <c r="L57" s="33"/>
      <c r="M57" s="33"/>
      <c r="N57" s="33"/>
      <c r="O57" s="798"/>
      <c r="P57" s="799"/>
      <c r="Q57" s="137"/>
      <c r="R57" s="81"/>
      <c r="S57" s="81"/>
      <c r="T57" s="23"/>
      <c r="U57" s="192"/>
      <c r="V57" s="192"/>
      <c r="W57" s="157"/>
      <c r="X57" s="157"/>
      <c r="Y57" s="157"/>
      <c r="Z57" s="157"/>
      <c r="AA57" s="157"/>
      <c r="AB57" s="153"/>
      <c r="AC57" s="853"/>
      <c r="AD57" s="853"/>
      <c r="AE57" s="853"/>
      <c r="AF57" s="153"/>
      <c r="AG57" s="33"/>
      <c r="AH57" s="33"/>
      <c r="AI57" s="219"/>
      <c r="AJ57" s="219"/>
      <c r="AK57" s="219"/>
      <c r="AL57" s="23"/>
      <c r="AM57" s="23"/>
      <c r="AN57" s="33"/>
      <c r="AO57" s="33"/>
      <c r="AP57" s="33"/>
      <c r="AQ57" s="33"/>
      <c r="AR57" s="33"/>
      <c r="AS57" s="33"/>
      <c r="AT57" s="33"/>
      <c r="AX57" s="336"/>
      <c r="AY57" s="336"/>
      <c r="AZ57" s="194"/>
      <c r="BA57" s="194"/>
      <c r="BB57" s="194"/>
      <c r="BC57" s="194"/>
      <c r="BD57" s="23"/>
      <c r="BE57" s="23"/>
      <c r="BF57" s="192"/>
      <c r="BG57" s="192"/>
      <c r="BH57" s="192"/>
      <c r="BI57" s="1105"/>
      <c r="BJ57" s="46"/>
      <c r="BK57" s="23"/>
      <c r="BL57" s="23"/>
      <c r="BM57" s="23"/>
    </row>
    <row r="58" spans="1:65" ht="17.25" customHeight="1" x14ac:dyDescent="0.25">
      <c r="A58" s="770"/>
      <c r="B58" s="92"/>
      <c r="C58" s="772"/>
      <c r="D58" s="153"/>
      <c r="E58" s="764"/>
      <c r="F58" s="764"/>
      <c r="G58" s="764"/>
      <c r="H58" s="153"/>
      <c r="I58" s="153"/>
      <c r="J58" s="153"/>
      <c r="K58" s="153"/>
      <c r="L58" s="33"/>
      <c r="M58" s="33"/>
      <c r="N58" s="33"/>
      <c r="O58" s="798"/>
      <c r="P58" s="799"/>
      <c r="Q58" s="137"/>
      <c r="R58" s="81"/>
      <c r="S58" s="81"/>
      <c r="T58" s="23"/>
      <c r="U58" s="192"/>
      <c r="V58" s="192"/>
      <c r="W58" s="847"/>
      <c r="X58" s="847"/>
      <c r="Y58" s="847"/>
      <c r="Z58" s="847"/>
      <c r="AA58" s="153"/>
      <c r="AB58" s="854"/>
      <c r="AC58" s="855"/>
      <c r="AD58" s="855"/>
      <c r="AE58" s="855"/>
      <c r="AF58" s="791"/>
      <c r="AG58" s="23"/>
      <c r="AH58" s="33"/>
      <c r="AI58" s="1"/>
      <c r="AJ58" s="1"/>
      <c r="AK58" s="33"/>
      <c r="AL58" s="33"/>
      <c r="AM58" s="33"/>
      <c r="AN58" s="219"/>
      <c r="AO58" s="33"/>
      <c r="AP58" s="33"/>
      <c r="AQ58" s="33"/>
      <c r="AR58" s="33"/>
      <c r="AS58" s="33"/>
      <c r="AT58" s="33"/>
      <c r="AU58" s="1"/>
      <c r="AV58" s="23"/>
      <c r="AW58" s="23"/>
      <c r="AX58" s="1107"/>
      <c r="AY58" s="1108"/>
      <c r="AZ58" s="1108"/>
      <c r="BA58" s="1108"/>
      <c r="BB58" s="1108"/>
      <c r="BC58" s="1109"/>
      <c r="BD58" s="23"/>
      <c r="BE58" s="23"/>
      <c r="BF58" s="192"/>
      <c r="BG58" s="192"/>
      <c r="BH58" s="192"/>
      <c r="BI58" s="1105"/>
      <c r="BJ58" s="46"/>
      <c r="BK58" s="23"/>
      <c r="BL58" s="23"/>
      <c r="BM58" s="23"/>
    </row>
    <row r="59" spans="1:65" ht="17.25" customHeight="1" thickBot="1" x14ac:dyDescent="0.3">
      <c r="A59" s="768"/>
      <c r="B59" s="784"/>
      <c r="C59" s="153"/>
      <c r="D59" s="153"/>
      <c r="E59" s="764"/>
      <c r="F59" s="764"/>
      <c r="G59" s="764"/>
      <c r="H59" s="153"/>
      <c r="I59" s="153"/>
      <c r="J59" s="153"/>
      <c r="K59" s="153"/>
      <c r="L59" s="33"/>
      <c r="M59" s="33"/>
      <c r="N59" s="33"/>
      <c r="O59" s="798"/>
      <c r="P59" s="799"/>
      <c r="Q59" s="137"/>
      <c r="R59" s="81"/>
      <c r="S59" s="81"/>
      <c r="T59" s="23"/>
      <c r="U59" s="192"/>
      <c r="V59" s="192"/>
      <c r="W59" s="847"/>
      <c r="X59" s="847"/>
      <c r="Y59" s="847"/>
      <c r="Z59" s="847"/>
      <c r="AA59" s="153"/>
      <c r="AB59" s="855"/>
      <c r="AC59" s="770"/>
      <c r="AD59" s="770"/>
      <c r="AE59" s="770"/>
      <c r="AF59" s="855"/>
      <c r="AG59" s="33"/>
      <c r="AH59" s="153"/>
      <c r="AI59" s="153"/>
      <c r="AJ59" s="153"/>
      <c r="AK59" s="153"/>
      <c r="AL59" s="33"/>
      <c r="AM59" s="33"/>
      <c r="AN59" s="33"/>
      <c r="AO59" s="220"/>
      <c r="AP59" s="221">
        <v>1</v>
      </c>
      <c r="AQ59" s="221">
        <v>2</v>
      </c>
      <c r="AR59" s="221">
        <v>3</v>
      </c>
      <c r="AS59" s="222"/>
      <c r="AT59" s="33"/>
      <c r="AU59" s="33"/>
      <c r="AV59" s="33"/>
      <c r="AW59" s="23"/>
      <c r="AX59" s="1110"/>
      <c r="AY59" s="1111"/>
      <c r="AZ59" s="1111"/>
      <c r="BA59" s="1111"/>
      <c r="BB59" s="1111"/>
      <c r="BC59" s="1112"/>
      <c r="BD59" s="132"/>
      <c r="BE59" s="133"/>
      <c r="BF59" s="868"/>
      <c r="BG59" s="868"/>
      <c r="BH59" s="885"/>
      <c r="BI59" s="1106"/>
      <c r="BJ59" s="46"/>
      <c r="BK59" s="23"/>
      <c r="BL59" s="23"/>
      <c r="BM59" s="23"/>
    </row>
    <row r="60" spans="1:65" ht="17.25" customHeight="1" x14ac:dyDescent="0.25">
      <c r="A60" s="785"/>
      <c r="B60" s="153"/>
      <c r="C60" s="153"/>
      <c r="D60" s="192"/>
      <c r="E60" s="1116"/>
      <c r="F60" s="1116"/>
      <c r="G60" s="1116"/>
      <c r="H60" s="1116"/>
      <c r="I60" s="192"/>
      <c r="J60" s="192"/>
      <c r="K60" s="192"/>
      <c r="L60" s="23"/>
      <c r="M60" s="23"/>
      <c r="N60" s="33"/>
      <c r="O60" s="798"/>
      <c r="P60" s="799"/>
      <c r="Q60" s="137"/>
      <c r="R60" s="81"/>
      <c r="S60" s="81"/>
      <c r="T60" s="23"/>
      <c r="U60" s="192"/>
      <c r="V60" s="192"/>
      <c r="W60" s="784"/>
      <c r="X60" s="153"/>
      <c r="Y60" s="153"/>
      <c r="Z60" s="153"/>
      <c r="AA60" s="153"/>
      <c r="AB60" s="855"/>
      <c r="AC60" s="770"/>
      <c r="AD60" s="770"/>
      <c r="AE60" s="770"/>
      <c r="AF60" s="855"/>
      <c r="AG60" s="33"/>
      <c r="AH60" s="153"/>
      <c r="AI60" s="157"/>
      <c r="AJ60" s="157"/>
      <c r="AK60" s="157"/>
      <c r="AL60" s="33"/>
      <c r="AM60" s="33"/>
      <c r="AN60" s="33"/>
      <c r="AO60" s="146" t="s">
        <v>193</v>
      </c>
      <c r="AP60" s="100" t="s">
        <v>160</v>
      </c>
      <c r="AQ60" s="100" t="s">
        <v>160</v>
      </c>
      <c r="AR60" s="100" t="s">
        <v>160</v>
      </c>
      <c r="AS60" s="146"/>
      <c r="AT60" s="33"/>
      <c r="AU60" s="33"/>
      <c r="AV60" s="33"/>
      <c r="AW60" s="23"/>
      <c r="AX60" s="1110"/>
      <c r="AY60" s="1111"/>
      <c r="AZ60" s="1111"/>
      <c r="BA60" s="1111"/>
      <c r="BB60" s="1111"/>
      <c r="BC60" s="1112"/>
      <c r="BD60" s="23"/>
      <c r="BE60" s="23"/>
      <c r="BF60" s="23"/>
      <c r="BG60" s="23"/>
      <c r="BH60" s="23"/>
      <c r="BI60" s="23"/>
      <c r="BJ60" s="46"/>
      <c r="BK60" s="23"/>
      <c r="BL60" s="23"/>
      <c r="BM60" s="23"/>
    </row>
    <row r="61" spans="1:65" ht="17.25" customHeight="1" x14ac:dyDescent="0.25">
      <c r="A61" s="785"/>
      <c r="B61" s="153"/>
      <c r="C61" s="153"/>
      <c r="D61" s="153"/>
      <c r="E61" s="789"/>
      <c r="F61" s="789"/>
      <c r="G61" s="789"/>
      <c r="H61" s="789"/>
      <c r="I61" s="153"/>
      <c r="J61" s="153"/>
      <c r="K61" s="153"/>
      <c r="L61" s="23"/>
      <c r="M61" s="23"/>
      <c r="N61" s="33"/>
      <c r="O61" s="798"/>
      <c r="P61" s="799"/>
      <c r="Q61" s="1"/>
      <c r="R61" s="81"/>
      <c r="S61" s="81"/>
      <c r="T61" s="23"/>
      <c r="U61" s="192"/>
      <c r="V61" s="192"/>
      <c r="W61" s="157"/>
      <c r="X61" s="157"/>
      <c r="Y61" s="192"/>
      <c r="Z61" s="157"/>
      <c r="AA61" s="157"/>
      <c r="AB61" s="784"/>
      <c r="AC61" s="855"/>
      <c r="AD61" s="855"/>
      <c r="AE61" s="855"/>
      <c r="AF61" s="192"/>
      <c r="AG61" s="23"/>
      <c r="AH61" s="153"/>
      <c r="AI61" s="862"/>
      <c r="AJ61" s="863"/>
      <c r="AK61" s="863"/>
      <c r="AL61" s="33"/>
      <c r="AM61" s="33"/>
      <c r="AN61" s="221"/>
      <c r="AO61" s="100"/>
      <c r="AP61" s="12">
        <v>100</v>
      </c>
      <c r="AQ61" s="12">
        <v>100</v>
      </c>
      <c r="AR61" s="226">
        <v>100</v>
      </c>
      <c r="AS61" s="100"/>
      <c r="AT61" s="146"/>
      <c r="AU61" s="33"/>
      <c r="AV61" s="33"/>
      <c r="AW61" s="23"/>
      <c r="AX61" s="1110"/>
      <c r="AY61" s="1111"/>
      <c r="AZ61" s="1111"/>
      <c r="BA61" s="1111"/>
      <c r="BB61" s="1111"/>
      <c r="BC61" s="1112"/>
      <c r="BD61" s="23"/>
      <c r="BE61" s="23"/>
      <c r="BF61" s="23"/>
      <c r="BG61" s="23"/>
      <c r="BH61" s="23"/>
      <c r="BI61" s="23"/>
      <c r="BJ61" s="46"/>
      <c r="BK61" s="23"/>
      <c r="BL61" s="23"/>
      <c r="BM61" s="23"/>
    </row>
    <row r="62" spans="1:65" ht="17.25" customHeight="1" thickBot="1" x14ac:dyDescent="0.3">
      <c r="A62" s="785"/>
      <c r="B62" s="180"/>
      <c r="C62" s="153"/>
      <c r="D62" s="774"/>
      <c r="E62" s="790"/>
      <c r="F62" s="790"/>
      <c r="G62" s="790"/>
      <c r="H62" s="790"/>
      <c r="I62" s="791"/>
      <c r="J62" s="153"/>
      <c r="K62" s="153"/>
      <c r="L62" s="23"/>
      <c r="M62" s="23"/>
      <c r="N62" s="33"/>
      <c r="O62" s="153"/>
      <c r="P62" s="799"/>
      <c r="Q62" s="1"/>
      <c r="R62" s="81"/>
      <c r="S62" s="81"/>
      <c r="T62" s="23"/>
      <c r="U62" s="192"/>
      <c r="V62" s="192"/>
      <c r="W62" s="157"/>
      <c r="X62" s="157"/>
      <c r="Y62" s="192"/>
      <c r="Z62" s="157"/>
      <c r="AA62" s="157"/>
      <c r="AB62" s="157"/>
      <c r="AC62" s="853"/>
      <c r="AD62" s="853"/>
      <c r="AE62" s="853"/>
      <c r="AF62" s="153"/>
      <c r="AG62" s="33"/>
      <c r="AH62" s="153"/>
      <c r="AI62" s="863"/>
      <c r="AJ62" s="864"/>
      <c r="AK62" s="864"/>
      <c r="AL62" s="33"/>
      <c r="AM62" s="33"/>
      <c r="AN62" s="221"/>
      <c r="AO62" s="100"/>
      <c r="AP62" s="14">
        <v>100</v>
      </c>
      <c r="AQ62" s="14">
        <v>100</v>
      </c>
      <c r="AR62" s="228">
        <v>100</v>
      </c>
      <c r="AS62" s="100"/>
      <c r="AT62" s="146"/>
      <c r="AU62" s="33"/>
      <c r="AV62" s="33"/>
      <c r="AW62" s="23"/>
      <c r="AX62" s="1113"/>
      <c r="AY62" s="1114"/>
      <c r="AZ62" s="1114"/>
      <c r="BA62" s="1114"/>
      <c r="BB62" s="1114"/>
      <c r="BC62" s="1115"/>
      <c r="BD62" s="23"/>
      <c r="BE62" s="23"/>
      <c r="BF62" s="23"/>
      <c r="BG62" s="23"/>
      <c r="BH62" s="23"/>
      <c r="BI62" s="23"/>
      <c r="BJ62" s="46"/>
      <c r="BK62" s="23"/>
      <c r="BL62" s="23"/>
      <c r="BM62" s="23"/>
    </row>
    <row r="63" spans="1:65" ht="17.25" customHeight="1" x14ac:dyDescent="0.25">
      <c r="A63" s="785"/>
      <c r="B63" s="180"/>
      <c r="C63" s="153"/>
      <c r="D63" s="790"/>
      <c r="E63" s="770"/>
      <c r="F63" s="770"/>
      <c r="G63" s="770"/>
      <c r="H63" s="770"/>
      <c r="I63" s="790"/>
      <c r="J63" s="153"/>
      <c r="K63" s="153"/>
      <c r="L63" s="23"/>
      <c r="M63" s="23"/>
      <c r="N63" s="33"/>
      <c r="O63" s="153"/>
      <c r="P63" s="799"/>
      <c r="Q63" s="1"/>
      <c r="R63" s="31"/>
      <c r="S63" s="33"/>
      <c r="T63" s="23"/>
      <c r="U63" s="192"/>
      <c r="V63" s="192"/>
      <c r="W63" s="157"/>
      <c r="X63" s="153"/>
      <c r="Y63" s="192"/>
      <c r="Z63" s="157"/>
      <c r="AA63" s="153"/>
      <c r="AB63" s="153"/>
      <c r="AC63" s="153"/>
      <c r="AD63" s="157"/>
      <c r="AE63" s="157"/>
      <c r="AF63" s="153"/>
      <c r="AG63" s="33"/>
      <c r="AH63" s="153"/>
      <c r="AI63" s="157"/>
      <c r="AJ63" s="157"/>
      <c r="AK63" s="157"/>
      <c r="AL63" s="33"/>
      <c r="AM63" s="33"/>
      <c r="AN63" s="33"/>
      <c r="AO63" s="221"/>
      <c r="AP63" s="100" t="s">
        <v>160</v>
      </c>
      <c r="AQ63" s="100" t="s">
        <v>160</v>
      </c>
      <c r="AR63" s="100" t="s">
        <v>160</v>
      </c>
      <c r="AS63" s="221"/>
      <c r="AT63" s="33"/>
      <c r="AU63" s="33"/>
      <c r="AV63" s="33"/>
      <c r="AW63" s="23"/>
      <c r="AX63" s="229"/>
      <c r="AY63" s="181"/>
      <c r="AZ63" s="23"/>
      <c r="BA63" s="230"/>
      <c r="BB63" s="230"/>
      <c r="BC63" s="23"/>
      <c r="BD63" s="23"/>
      <c r="BE63" s="23"/>
      <c r="BF63" s="23"/>
      <c r="BG63" s="23"/>
      <c r="BH63" s="23"/>
      <c r="BI63" s="23"/>
      <c r="BJ63" s="46"/>
      <c r="BK63" s="23"/>
      <c r="BL63" s="23"/>
      <c r="BM63" s="23"/>
    </row>
    <row r="64" spans="1:65" ht="17.25" customHeight="1" x14ac:dyDescent="0.25">
      <c r="A64" s="785"/>
      <c r="B64" s="180"/>
      <c r="C64" s="153"/>
      <c r="D64" s="790"/>
      <c r="E64" s="770"/>
      <c r="F64" s="770"/>
      <c r="G64" s="770"/>
      <c r="H64" s="770"/>
      <c r="I64" s="790"/>
      <c r="J64" s="153"/>
      <c r="K64" s="153"/>
      <c r="L64" s="23"/>
      <c r="M64" s="33"/>
      <c r="N64" s="33"/>
      <c r="O64" s="153"/>
      <c r="P64" s="799"/>
      <c r="Q64" s="137"/>
      <c r="R64" s="31"/>
      <c r="S64" s="33"/>
      <c r="T64" s="23"/>
      <c r="U64" s="192"/>
      <c r="V64" s="192"/>
      <c r="W64" s="231"/>
      <c r="X64" s="153"/>
      <c r="Y64" s="153"/>
      <c r="Z64" s="153"/>
      <c r="AA64" s="153"/>
      <c r="AB64" s="153"/>
      <c r="AC64" s="157"/>
      <c r="AD64" s="157"/>
      <c r="AE64" s="157"/>
      <c r="AF64" s="153"/>
      <c r="AG64" s="33"/>
      <c r="AH64" s="33"/>
      <c r="AI64" s="1"/>
      <c r="AJ64" s="1"/>
      <c r="AK64" s="1"/>
      <c r="AO64" s="199"/>
      <c r="AP64" s="221">
        <v>6</v>
      </c>
      <c r="AQ64" s="221">
        <v>5</v>
      </c>
      <c r="AR64" s="221">
        <v>4</v>
      </c>
      <c r="AS64" s="220"/>
      <c r="AT64" s="33"/>
      <c r="AU64" s="33"/>
      <c r="AV64" s="33"/>
      <c r="AW64" s="23"/>
      <c r="AX64" s="232"/>
      <c r="AY64" s="181"/>
      <c r="AZ64" s="230"/>
      <c r="BA64" s="230"/>
      <c r="BB64" s="230"/>
      <c r="BC64" s="23"/>
      <c r="BD64" s="23"/>
      <c r="BE64" s="23"/>
      <c r="BF64" s="23"/>
      <c r="BG64" s="23"/>
      <c r="BH64" s="23"/>
      <c r="BI64" s="23"/>
      <c r="BJ64" s="46"/>
      <c r="BK64" s="23"/>
      <c r="BL64" s="23"/>
      <c r="BM64" s="23"/>
    </row>
    <row r="65" spans="1:65" ht="17.25" customHeight="1" x14ac:dyDescent="0.25">
      <c r="A65" s="785"/>
      <c r="B65" s="153"/>
      <c r="C65" s="153"/>
      <c r="D65" s="784"/>
      <c r="E65" s="790"/>
      <c r="F65" s="790"/>
      <c r="G65" s="790"/>
      <c r="H65" s="790"/>
      <c r="I65" s="153"/>
      <c r="J65" s="153"/>
      <c r="K65" s="153"/>
      <c r="L65" s="23"/>
      <c r="M65" s="33"/>
      <c r="N65" s="33"/>
      <c r="O65" s="153"/>
      <c r="P65" s="799"/>
      <c r="Q65" s="137"/>
      <c r="R65" s="31"/>
      <c r="S65" s="81"/>
      <c r="T65" s="23"/>
      <c r="U65" s="192"/>
      <c r="V65" s="192"/>
      <c r="W65" s="157"/>
      <c r="X65" s="157"/>
      <c r="Y65" s="153"/>
      <c r="Z65" s="153"/>
      <c r="AA65" s="153"/>
      <c r="AB65" s="157"/>
      <c r="AC65" s="157"/>
      <c r="AD65" s="157"/>
      <c r="AE65" s="157"/>
      <c r="AF65" s="192"/>
      <c r="AG65" s="23"/>
      <c r="AH65" s="23"/>
      <c r="AI65" s="1"/>
      <c r="AJ65" s="1"/>
      <c r="AK65" s="1"/>
      <c r="AO65" s="233"/>
      <c r="AP65" s="1"/>
      <c r="AQ65" s="33"/>
      <c r="AR65" s="33"/>
      <c r="AS65" s="33"/>
      <c r="AT65" s="33"/>
      <c r="AU65" s="33"/>
      <c r="AV65" s="181"/>
      <c r="AW65" s="181"/>
      <c r="AX65" s="232"/>
      <c r="AY65" s="230"/>
      <c r="AZ65" s="230"/>
      <c r="BA65" s="234"/>
      <c r="BB65" s="230"/>
      <c r="BC65" s="23"/>
      <c r="BD65" s="23"/>
      <c r="BE65" s="23"/>
      <c r="BF65" s="23"/>
      <c r="BG65" s="23"/>
      <c r="BH65" s="23"/>
      <c r="BI65" s="23"/>
      <c r="BJ65" s="46"/>
      <c r="BK65" s="23"/>
      <c r="BL65" s="23"/>
      <c r="BM65" s="23"/>
    </row>
    <row r="66" spans="1:65" ht="17.25" customHeight="1" x14ac:dyDescent="0.25">
      <c r="A66" s="785"/>
      <c r="B66" s="153"/>
      <c r="C66" s="153"/>
      <c r="D66" s="192"/>
      <c r="E66" s="789"/>
      <c r="F66" s="789"/>
      <c r="G66" s="789"/>
      <c r="H66" s="789"/>
      <c r="I66" s="192"/>
      <c r="J66" s="153"/>
      <c r="K66" s="153"/>
      <c r="L66" s="23"/>
      <c r="M66" s="33"/>
      <c r="N66" s="33"/>
      <c r="O66" s="800"/>
      <c r="P66" s="799"/>
      <c r="Q66" s="137"/>
      <c r="R66" s="1"/>
      <c r="S66" s="1"/>
      <c r="T66" s="23"/>
      <c r="U66" s="23"/>
      <c r="V66" s="23"/>
      <c r="W66" s="1"/>
      <c r="X66" s="157"/>
      <c r="Y66" s="192"/>
      <c r="Z66" s="153"/>
      <c r="AA66" s="153"/>
      <c r="AB66" s="153"/>
      <c r="AC66" s="153"/>
      <c r="AD66" s="153"/>
      <c r="AE66" s="153"/>
      <c r="AF66" s="153"/>
      <c r="AG66" s="192"/>
      <c r="AH66" s="865"/>
      <c r="AI66" s="157"/>
      <c r="AJ66" s="157"/>
      <c r="AK66" s="1"/>
      <c r="AL66" s="33"/>
      <c r="AM66" s="237"/>
      <c r="AN66" s="33"/>
      <c r="AO66" s="237"/>
      <c r="AP66" s="238"/>
      <c r="AQ66" s="33"/>
      <c r="AR66" s="33"/>
      <c r="AS66" s="33"/>
      <c r="AT66" s="33"/>
      <c r="AU66" s="33"/>
      <c r="AV66" s="181"/>
      <c r="AW66" s="239"/>
      <c r="AX66" s="181"/>
      <c r="AY66" s="230"/>
      <c r="AZ66" s="230"/>
      <c r="BA66" s="73"/>
      <c r="BB66" s="230"/>
      <c r="BC66" s="23"/>
      <c r="BD66" s="23"/>
      <c r="BE66" s="23"/>
      <c r="BF66" s="23"/>
      <c r="BG66" s="23"/>
      <c r="BH66" s="23"/>
      <c r="BI66" s="23"/>
      <c r="BJ66" s="46"/>
      <c r="BK66" s="23"/>
      <c r="BL66" s="23"/>
      <c r="BM66" s="23"/>
    </row>
    <row r="67" spans="1:65" ht="17.25" customHeight="1" thickBot="1" x14ac:dyDescent="0.3">
      <c r="A67" s="785"/>
      <c r="B67" s="153"/>
      <c r="C67" s="153"/>
      <c r="D67" s="192"/>
      <c r="E67" s="1082"/>
      <c r="F67" s="1082"/>
      <c r="G67" s="1082"/>
      <c r="H67" s="1082"/>
      <c r="I67" s="192"/>
      <c r="J67" s="153"/>
      <c r="K67" s="153"/>
      <c r="L67" s="23"/>
      <c r="M67" s="33"/>
      <c r="N67" s="33"/>
      <c r="O67" s="800"/>
      <c r="P67" s="799"/>
      <c r="Q67" s="1"/>
      <c r="R67" s="1"/>
      <c r="S67" s="1"/>
      <c r="T67" s="1"/>
      <c r="U67" s="23"/>
      <c r="V67" s="23"/>
      <c r="W67" s="1"/>
      <c r="X67" s="157"/>
      <c r="Y67" s="157"/>
      <c r="Z67" s="157"/>
      <c r="AA67" s="157"/>
      <c r="AB67" s="157"/>
      <c r="AC67" s="157"/>
      <c r="AD67" s="157"/>
      <c r="AE67" s="157"/>
      <c r="AF67" s="157"/>
      <c r="AG67" s="153"/>
      <c r="AH67" s="866"/>
      <c r="AI67" s="867"/>
      <c r="AJ67" s="153"/>
      <c r="AK67" s="237"/>
      <c r="AL67" s="233"/>
      <c r="AM67" s="241"/>
      <c r="AN67" s="33"/>
      <c r="AO67" s="33"/>
      <c r="AS67" s="33"/>
      <c r="AT67" s="33"/>
      <c r="AU67" s="33"/>
      <c r="AV67" s="33"/>
      <c r="AW67" s="239"/>
      <c r="AX67" s="23"/>
      <c r="AY67" s="23"/>
      <c r="AZ67" s="23"/>
      <c r="BA67" s="23"/>
      <c r="BB67" s="23"/>
      <c r="BC67" s="23"/>
      <c r="BD67" s="23"/>
      <c r="BE67" s="23"/>
      <c r="BF67" s="23"/>
      <c r="BG67" s="23"/>
      <c r="BH67" s="23"/>
      <c r="BI67" s="23"/>
      <c r="BJ67" s="46"/>
      <c r="BK67" s="23"/>
      <c r="BL67" s="23"/>
      <c r="BM67" s="23"/>
    </row>
    <row r="68" spans="1:65" ht="17.25" customHeight="1" thickBot="1" x14ac:dyDescent="0.3">
      <c r="A68" s="786"/>
      <c r="B68" s="153"/>
      <c r="C68" s="153"/>
      <c r="D68" s="192"/>
      <c r="E68" s="789"/>
      <c r="F68" s="789"/>
      <c r="G68" s="789"/>
      <c r="H68" s="789"/>
      <c r="I68" s="192"/>
      <c r="J68" s="153"/>
      <c r="K68" s="192"/>
      <c r="L68" s="192"/>
      <c r="M68" s="153"/>
      <c r="N68" s="153"/>
      <c r="O68" s="800"/>
      <c r="P68" s="801"/>
      <c r="Q68" s="1"/>
      <c r="R68" s="1"/>
      <c r="S68" s="1"/>
      <c r="T68" s="1"/>
      <c r="U68" s="33"/>
      <c r="V68" s="33"/>
      <c r="W68" s="23"/>
      <c r="X68" s="192"/>
      <c r="Y68" s="192"/>
      <c r="Z68" s="192"/>
      <c r="AA68" s="192"/>
      <c r="AB68" s="153"/>
      <c r="AC68" s="153"/>
      <c r="AD68" s="153"/>
      <c r="AE68" s="153"/>
      <c r="AF68" s="153"/>
      <c r="AG68" s="153"/>
      <c r="AH68" s="866"/>
      <c r="AI68" s="157"/>
      <c r="AJ68" s="867"/>
      <c r="AK68" s="1"/>
      <c r="AL68" s="1"/>
      <c r="AM68" s="33"/>
      <c r="AN68" s="33"/>
      <c r="AO68" s="33"/>
      <c r="AS68" s="33"/>
      <c r="AT68" s="33"/>
      <c r="AU68" s="33"/>
      <c r="AV68" s="33"/>
      <c r="AW68" s="244"/>
      <c r="AX68" s="23"/>
      <c r="AY68" s="23"/>
      <c r="AZ68" s="23"/>
      <c r="BA68" s="23"/>
      <c r="BB68" s="23"/>
      <c r="BC68" s="23"/>
      <c r="BD68" s="23"/>
      <c r="BE68" s="23"/>
      <c r="BF68" s="23"/>
      <c r="BG68" s="23"/>
      <c r="BH68" s="23"/>
      <c r="BI68" s="23"/>
      <c r="BJ68" s="46"/>
      <c r="BK68" s="23"/>
      <c r="BL68" s="23"/>
      <c r="BM68" s="23"/>
    </row>
    <row r="69" spans="1:65" ht="17.25" customHeight="1" thickBot="1" x14ac:dyDescent="0.3">
      <c r="A69" s="781"/>
      <c r="B69" s="774"/>
      <c r="C69" s="153"/>
      <c r="D69" s="774"/>
      <c r="E69" s="790"/>
      <c r="F69" s="790"/>
      <c r="G69" s="790"/>
      <c r="H69" s="790"/>
      <c r="I69" s="791"/>
      <c r="J69" s="153"/>
      <c r="K69" s="192"/>
      <c r="L69" s="192"/>
      <c r="M69" s="192"/>
      <c r="N69" s="153"/>
      <c r="O69" s="800"/>
      <c r="P69" s="797"/>
      <c r="Q69" s="1"/>
      <c r="R69" s="1"/>
      <c r="S69" s="1"/>
      <c r="T69" s="1"/>
      <c r="U69" s="245"/>
      <c r="V69" s="245"/>
      <c r="W69" s="245"/>
      <c r="X69" s="868"/>
      <c r="Y69" s="868"/>
      <c r="Z69" s="868"/>
      <c r="AA69" s="868"/>
      <c r="AB69" s="868"/>
      <c r="AC69" s="868"/>
      <c r="AD69" s="868"/>
      <c r="AE69" s="868"/>
      <c r="AF69" s="153"/>
      <c r="AG69" s="153"/>
      <c r="AH69" s="157"/>
      <c r="AI69" s="157"/>
      <c r="AJ69" s="869"/>
      <c r="AK69" s="246"/>
      <c r="AL69" s="246"/>
      <c r="AM69" s="246"/>
      <c r="AN69" s="246"/>
      <c r="AO69" s="247"/>
      <c r="AP69" s="247"/>
      <c r="AQ69" s="248" t="s">
        <v>204</v>
      </c>
      <c r="AR69" s="247"/>
      <c r="AS69" s="247"/>
      <c r="AT69" s="247"/>
      <c r="AU69" s="247"/>
      <c r="AV69" s="247"/>
      <c r="AW69" s="249"/>
      <c r="AX69" s="31"/>
      <c r="AY69" s="31"/>
      <c r="AZ69" s="31"/>
      <c r="BA69" s="31"/>
      <c r="BB69" s="31"/>
      <c r="BC69" s="23"/>
      <c r="BD69" s="23"/>
      <c r="BE69" s="23"/>
      <c r="BF69" s="23"/>
      <c r="BG69" s="23"/>
      <c r="BH69" s="23"/>
      <c r="BI69" s="23"/>
      <c r="BJ69" s="46"/>
      <c r="BK69" s="23"/>
      <c r="BL69" s="23"/>
      <c r="BM69" s="23"/>
    </row>
    <row r="70" spans="1:65" ht="17.25" customHeight="1" x14ac:dyDescent="0.25">
      <c r="A70" s="770"/>
      <c r="B70" s="781"/>
      <c r="C70" s="783"/>
      <c r="D70" s="790"/>
      <c r="E70" s="770"/>
      <c r="F70" s="770"/>
      <c r="G70" s="770"/>
      <c r="H70" s="770"/>
      <c r="I70" s="790"/>
      <c r="J70" s="153"/>
      <c r="K70" s="766"/>
      <c r="L70" s="785"/>
      <c r="M70" s="785"/>
      <c r="N70" s="153"/>
      <c r="O70" s="800"/>
      <c r="P70" s="797"/>
      <c r="Q70" s="1"/>
      <c r="R70" s="1"/>
      <c r="S70" s="1"/>
      <c r="T70" s="1"/>
      <c r="U70" s="250"/>
      <c r="V70" s="177"/>
      <c r="W70" s="251"/>
      <c r="X70" s="870"/>
      <c r="Y70" s="870"/>
      <c r="Z70" s="870"/>
      <c r="AA70" s="870"/>
      <c r="AB70" s="870"/>
      <c r="AC70" s="1083"/>
      <c r="AD70" s="1084"/>
      <c r="AE70" s="870"/>
      <c r="AF70" s="1089"/>
      <c r="AG70" s="1090"/>
      <c r="AH70" s="1090"/>
      <c r="AI70" s="1091"/>
      <c r="AJ70" s="157"/>
      <c r="AK70" s="1"/>
      <c r="AL70" s="1"/>
      <c r="AM70" s="1"/>
      <c r="AN70" s="1"/>
      <c r="AO70" s="33"/>
      <c r="AP70" s="1"/>
      <c r="AQ70" s="1"/>
      <c r="AR70" s="1"/>
      <c r="AS70" s="1"/>
      <c r="AT70" s="31"/>
      <c r="AU70" s="31"/>
      <c r="AV70" s="31"/>
      <c r="AW70" s="31"/>
      <c r="AX70" s="31"/>
      <c r="AY70" s="31"/>
      <c r="AZ70" s="31"/>
      <c r="BA70" s="31"/>
      <c r="BB70" s="31"/>
      <c r="BC70" s="23"/>
      <c r="BD70" s="23"/>
      <c r="BE70" s="23"/>
      <c r="BF70" s="23"/>
      <c r="BG70" s="23"/>
      <c r="BH70" s="23"/>
      <c r="BI70" s="23"/>
      <c r="BJ70" s="46"/>
      <c r="BK70" s="23"/>
      <c r="BL70" s="23"/>
      <c r="BM70" s="23"/>
    </row>
    <row r="71" spans="1:65" ht="17.25" customHeight="1" x14ac:dyDescent="0.25">
      <c r="A71" s="770"/>
      <c r="B71" s="781"/>
      <c r="C71" s="772"/>
      <c r="D71" s="790"/>
      <c r="E71" s="770"/>
      <c r="F71" s="770"/>
      <c r="G71" s="770"/>
      <c r="H71" s="770"/>
      <c r="I71" s="790"/>
      <c r="J71" s="153"/>
      <c r="K71" s="766"/>
      <c r="L71" s="785"/>
      <c r="M71" s="785"/>
      <c r="N71" s="792"/>
      <c r="O71" s="800"/>
      <c r="P71" s="802"/>
      <c r="Q71" s="1"/>
      <c r="R71" s="1"/>
      <c r="S71" s="1"/>
      <c r="T71" s="1"/>
      <c r="U71" s="1"/>
      <c r="V71" s="251"/>
      <c r="W71" s="251"/>
      <c r="X71" s="871"/>
      <c r="Y71" s="872"/>
      <c r="Z71" s="872"/>
      <c r="AA71" s="872"/>
      <c r="AB71" s="872"/>
      <c r="AC71" s="1085"/>
      <c r="AD71" s="1086"/>
      <c r="AE71" s="873"/>
      <c r="AF71" s="1092"/>
      <c r="AG71" s="1093"/>
      <c r="AH71" s="1093"/>
      <c r="AI71" s="1094"/>
      <c r="AJ71" s="157"/>
      <c r="AK71" s="1"/>
      <c r="AL71" s="1"/>
      <c r="AM71" s="194"/>
      <c r="AN71" s="31"/>
      <c r="AO71" s="1"/>
      <c r="AP71" s="1"/>
      <c r="AQ71" s="1"/>
      <c r="AR71" s="1"/>
      <c r="AS71" s="1"/>
      <c r="AT71" s="1"/>
      <c r="AU71" s="1"/>
      <c r="AV71" s="1"/>
      <c r="AW71" s="1"/>
      <c r="AX71" s="23"/>
      <c r="AY71" s="23"/>
      <c r="AZ71" s="23"/>
      <c r="BA71" s="23"/>
      <c r="BB71" s="23"/>
      <c r="BC71" s="23"/>
      <c r="BD71" s="23"/>
      <c r="BE71" s="23"/>
      <c r="BF71" s="23"/>
      <c r="BG71" s="23"/>
      <c r="BH71" s="23"/>
      <c r="BI71" s="23"/>
      <c r="BJ71" s="46"/>
      <c r="BK71" s="23"/>
      <c r="BL71" s="23"/>
      <c r="BM71" s="23"/>
    </row>
    <row r="72" spans="1:65" ht="17.25" customHeight="1" x14ac:dyDescent="0.25">
      <c r="A72" s="770"/>
      <c r="B72" s="781"/>
      <c r="C72" s="772"/>
      <c r="D72" s="784"/>
      <c r="E72" s="790"/>
      <c r="F72" s="790"/>
      <c r="G72" s="790"/>
      <c r="H72" s="790"/>
      <c r="I72" s="153"/>
      <c r="J72" s="153"/>
      <c r="K72" s="784"/>
      <c r="L72" s="192"/>
      <c r="M72" s="192"/>
      <c r="N72" s="792"/>
      <c r="O72" s="192"/>
      <c r="P72" s="803"/>
      <c r="Q72" s="258"/>
      <c r="R72" s="258"/>
      <c r="S72" s="1"/>
      <c r="T72" s="1"/>
      <c r="U72" s="1"/>
      <c r="V72" s="251"/>
      <c r="W72" s="251"/>
      <c r="X72" s="870"/>
      <c r="Y72" s="870"/>
      <c r="Z72" s="870"/>
      <c r="AA72" s="870"/>
      <c r="AB72" s="870"/>
      <c r="AC72" s="1085"/>
      <c r="AD72" s="1086"/>
      <c r="AE72" s="870"/>
      <c r="AF72" s="1092"/>
      <c r="AG72" s="1093"/>
      <c r="AH72" s="1093"/>
      <c r="AI72" s="1094"/>
      <c r="AJ72" s="157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23"/>
      <c r="AY72" s="23"/>
      <c r="AZ72" s="23"/>
      <c r="BA72" s="23"/>
      <c r="BB72" s="23"/>
      <c r="BC72" s="23"/>
      <c r="BD72" s="23"/>
      <c r="BE72" s="23"/>
      <c r="BF72" s="23"/>
      <c r="BG72" s="23"/>
      <c r="BH72" s="23"/>
      <c r="BI72" s="23"/>
      <c r="BJ72" s="46"/>
      <c r="BK72" s="23"/>
      <c r="BL72" s="23"/>
      <c r="BM72" s="23"/>
    </row>
    <row r="73" spans="1:65" ht="17.25" customHeight="1" thickBot="1" x14ac:dyDescent="0.3">
      <c r="A73" s="770"/>
      <c r="B73" s="781"/>
      <c r="C73" s="772"/>
      <c r="D73" s="153"/>
      <c r="E73" s="1082"/>
      <c r="F73" s="1082"/>
      <c r="G73" s="1082"/>
      <c r="H73" s="1082"/>
      <c r="I73" s="153"/>
      <c r="J73" s="153"/>
      <c r="K73" s="192"/>
      <c r="L73" s="192"/>
      <c r="M73" s="192"/>
      <c r="N73" s="792"/>
      <c r="O73" s="259"/>
      <c r="P73" s="260"/>
      <c r="Q73" s="259"/>
      <c r="R73" s="258"/>
      <c r="S73" s="33"/>
      <c r="T73" s="261"/>
      <c r="U73" s="259"/>
      <c r="V73" s="259"/>
      <c r="W73" s="259"/>
      <c r="X73" s="874"/>
      <c r="Y73" s="874"/>
      <c r="Z73" s="874"/>
      <c r="AA73" s="874"/>
      <c r="AB73" s="874"/>
      <c r="AC73" s="1087"/>
      <c r="AD73" s="1088"/>
      <c r="AE73" s="874"/>
      <c r="AF73" s="1095"/>
      <c r="AG73" s="1096"/>
      <c r="AH73" s="1096"/>
      <c r="AI73" s="1097"/>
      <c r="AJ73" s="869"/>
      <c r="AK73" s="246"/>
      <c r="AL73" s="246"/>
      <c r="AM73" s="246"/>
      <c r="AN73" s="246"/>
      <c r="AO73" s="246"/>
      <c r="AP73" s="246"/>
      <c r="AQ73" s="246"/>
      <c r="AR73" s="246"/>
      <c r="AS73" s="246"/>
      <c r="AT73" s="246"/>
      <c r="AU73" s="246"/>
      <c r="AV73" s="246"/>
      <c r="AW73" s="246"/>
      <c r="AX73" s="133"/>
      <c r="AY73" s="133"/>
      <c r="AZ73" s="133"/>
      <c r="BA73" s="133"/>
      <c r="BB73" s="133"/>
      <c r="BC73" s="133"/>
      <c r="BD73" s="133"/>
      <c r="BE73" s="133"/>
      <c r="BF73" s="133"/>
      <c r="BG73" s="133"/>
      <c r="BH73" s="133"/>
      <c r="BI73" s="133"/>
      <c r="BJ73" s="46"/>
      <c r="BK73" s="23"/>
      <c r="BL73" s="23"/>
      <c r="BM73" s="23"/>
    </row>
    <row r="74" spans="1:65" ht="17.25" customHeight="1" x14ac:dyDescent="0.25">
      <c r="A74" s="781"/>
      <c r="B74" s="784"/>
      <c r="C74" s="153"/>
      <c r="D74" s="153"/>
      <c r="E74" s="789"/>
      <c r="F74" s="789"/>
      <c r="G74" s="789"/>
      <c r="H74" s="789"/>
      <c r="I74" s="792"/>
      <c r="J74" s="153"/>
      <c r="K74" s="792"/>
      <c r="L74" s="792"/>
      <c r="M74" s="153"/>
      <c r="N74" s="153"/>
      <c r="O74" s="263"/>
      <c r="P74" s="210"/>
      <c r="Q74" s="210"/>
      <c r="R74" s="264"/>
      <c r="S74" s="264"/>
      <c r="T74" s="31"/>
      <c r="U74" s="31"/>
      <c r="V74" s="31"/>
      <c r="W74" s="31"/>
      <c r="X74" s="180"/>
      <c r="Y74" s="180"/>
      <c r="Z74" s="180"/>
      <c r="AA74" s="180"/>
      <c r="AB74" s="180"/>
      <c r="AC74" s="180"/>
      <c r="AD74" s="180"/>
      <c r="AE74" s="180"/>
      <c r="AF74" s="180"/>
      <c r="AG74" s="180"/>
      <c r="AH74" s="180"/>
      <c r="AI74" s="180"/>
      <c r="AJ74" s="192"/>
      <c r="AK74" s="23"/>
      <c r="AL74" s="23"/>
      <c r="AM74" s="23"/>
      <c r="AN74" s="23"/>
      <c r="AO74" s="23"/>
      <c r="AP74" s="23"/>
      <c r="AQ74" s="23"/>
      <c r="AR74" s="23"/>
      <c r="AS74" s="23"/>
      <c r="AT74" s="23"/>
      <c r="AU74" s="23"/>
      <c r="AV74" s="23"/>
      <c r="AW74" s="23"/>
      <c r="AX74" s="23"/>
      <c r="AY74" s="23"/>
      <c r="AZ74" s="23"/>
      <c r="BA74" s="31"/>
      <c r="BB74" s="31"/>
      <c r="BC74" s="31"/>
      <c r="BD74" s="31"/>
      <c r="BE74" s="23"/>
      <c r="BF74" s="23"/>
      <c r="BG74" s="23"/>
      <c r="BH74" s="23"/>
      <c r="BI74" s="23"/>
      <c r="BJ74" s="23"/>
      <c r="BK74" s="23"/>
      <c r="BL74" s="23"/>
      <c r="BM74" s="23"/>
    </row>
    <row r="75" spans="1:65" ht="17.25" customHeight="1" x14ac:dyDescent="0.25">
      <c r="A75" s="1098"/>
      <c r="B75" s="1099"/>
      <c r="C75" s="153"/>
      <c r="D75" s="153"/>
      <c r="E75" s="153"/>
      <c r="F75" s="153"/>
      <c r="G75" s="153"/>
      <c r="H75" s="153"/>
      <c r="I75" s="792"/>
      <c r="J75" s="153"/>
      <c r="K75" s="792"/>
      <c r="L75" s="153"/>
      <c r="M75" s="153"/>
      <c r="N75" s="153"/>
      <c r="O75" s="263"/>
      <c r="P75" s="265"/>
      <c r="Q75" s="265"/>
      <c r="R75" s="265"/>
      <c r="S75" s="265"/>
      <c r="T75" s="31"/>
      <c r="U75" s="31"/>
      <c r="V75" s="31"/>
      <c r="W75" s="31"/>
      <c r="X75" s="31"/>
      <c r="Y75" s="31"/>
      <c r="Z75" s="31"/>
      <c r="AA75" s="31"/>
      <c r="AB75" s="31"/>
      <c r="AC75" s="31"/>
      <c r="AD75" s="31"/>
      <c r="AE75" s="31"/>
      <c r="AF75" s="31"/>
      <c r="AG75" s="31"/>
      <c r="AH75" s="31"/>
      <c r="AI75" s="31"/>
      <c r="AJ75" s="31"/>
      <c r="AK75" s="31"/>
      <c r="AL75" s="31"/>
      <c r="AM75" s="31"/>
      <c r="AN75" s="266"/>
      <c r="AO75" s="266"/>
      <c r="AP75" s="266"/>
      <c r="AQ75" s="266"/>
      <c r="AR75" s="266"/>
      <c r="AS75" s="266"/>
      <c r="AT75" s="266"/>
      <c r="AU75" s="266"/>
      <c r="AV75" s="266"/>
      <c r="AW75" s="266"/>
      <c r="AX75" s="108"/>
      <c r="AY75" s="108"/>
      <c r="AZ75" s="108"/>
      <c r="BA75" s="108"/>
      <c r="BB75" s="108"/>
      <c r="BC75" s="108"/>
      <c r="BD75" s="108"/>
      <c r="BE75" s="108"/>
      <c r="BF75" s="108"/>
      <c r="BG75" s="108"/>
      <c r="BH75" s="108"/>
      <c r="BI75" s="108"/>
      <c r="BJ75" s="108"/>
      <c r="BK75" s="108"/>
      <c r="BL75" s="108"/>
      <c r="BM75" s="108"/>
    </row>
    <row r="76" spans="1:65" ht="17.25" customHeight="1" x14ac:dyDescent="0.25">
      <c r="A76" s="785"/>
      <c r="B76" s="787"/>
      <c r="C76" s="153"/>
      <c r="D76" s="153"/>
      <c r="E76" s="153"/>
      <c r="F76" s="153"/>
      <c r="G76" s="153"/>
      <c r="H76" s="153"/>
      <c r="I76" s="1100"/>
      <c r="J76" s="1100"/>
      <c r="K76" s="1100"/>
      <c r="L76" s="153"/>
      <c r="M76" s="153"/>
      <c r="N76" s="766"/>
      <c r="O76" s="26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  <c r="AA76" s="33"/>
      <c r="AB76" s="33"/>
      <c r="AC76" s="33"/>
      <c r="AD76" s="33"/>
      <c r="AE76" s="33"/>
      <c r="AF76" s="33"/>
      <c r="AG76" s="33"/>
      <c r="AH76" s="33"/>
      <c r="AI76" s="33"/>
      <c r="AJ76" s="33"/>
      <c r="AK76" s="33"/>
      <c r="AL76" s="33"/>
      <c r="AM76" s="33"/>
      <c r="AN76" s="33"/>
      <c r="AO76" s="33"/>
      <c r="AP76" s="33"/>
      <c r="AQ76" s="33"/>
      <c r="AR76" s="33"/>
      <c r="AS76" s="33"/>
      <c r="AT76" s="33"/>
      <c r="AU76" s="33"/>
      <c r="AV76" s="33"/>
      <c r="AW76" s="33"/>
      <c r="AX76" s="33"/>
      <c r="AY76" s="33"/>
      <c r="AZ76" s="33"/>
      <c r="BA76" s="33"/>
      <c r="BB76" s="33"/>
      <c r="BC76" s="33"/>
      <c r="BD76" s="33"/>
      <c r="BE76" s="33"/>
      <c r="BF76" s="33"/>
      <c r="BG76" s="33"/>
      <c r="BH76" s="33"/>
      <c r="BI76" s="33"/>
      <c r="BJ76" s="33"/>
      <c r="BK76" s="33"/>
      <c r="BL76" s="33"/>
      <c r="BM76" s="33"/>
    </row>
    <row r="77" spans="1:65" ht="17.25" customHeight="1" x14ac:dyDescent="0.25">
      <c r="A77" s="785"/>
      <c r="B77" s="788"/>
      <c r="C77" s="788"/>
      <c r="D77" s="153"/>
      <c r="E77" s="793"/>
      <c r="F77" s="793"/>
      <c r="G77" s="793"/>
      <c r="H77" s="192"/>
      <c r="I77" s="794"/>
      <c r="J77" s="794"/>
      <c r="K77" s="794"/>
      <c r="L77" s="153"/>
      <c r="M77" s="153"/>
      <c r="N77" s="766"/>
      <c r="O77" s="26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  <c r="AA77" s="33"/>
      <c r="AB77" s="33"/>
      <c r="AC77" s="33"/>
      <c r="AD77" s="33"/>
      <c r="AE77" s="33"/>
      <c r="AF77" s="33"/>
      <c r="AG77" s="33"/>
      <c r="AH77" s="33"/>
      <c r="AI77" s="33"/>
      <c r="AJ77" s="33"/>
      <c r="AK77" s="33"/>
      <c r="AL77" s="33"/>
      <c r="AM77" s="33"/>
      <c r="AN77" s="33"/>
      <c r="AO77" s="33"/>
      <c r="AP77" s="33"/>
      <c r="AQ77" s="33"/>
      <c r="AR77" s="33"/>
      <c r="AS77" s="33"/>
      <c r="AT77" s="33"/>
      <c r="AU77" s="33"/>
      <c r="AV77" s="33"/>
      <c r="AW77" s="33"/>
      <c r="AX77" s="33"/>
      <c r="AY77" s="33"/>
      <c r="AZ77" s="33"/>
      <c r="BA77" s="33"/>
      <c r="BB77" s="33"/>
      <c r="BC77" s="33"/>
      <c r="BD77" s="33"/>
      <c r="BE77" s="33"/>
      <c r="BF77" s="33"/>
      <c r="BG77" s="33"/>
      <c r="BH77" s="33"/>
      <c r="BI77" s="33"/>
      <c r="BJ77" s="33"/>
      <c r="BK77" s="33"/>
      <c r="BL77" s="33"/>
      <c r="BM77" s="33"/>
    </row>
    <row r="78" spans="1:65" ht="17.25" customHeight="1" x14ac:dyDescent="0.25">
      <c r="A78" s="785"/>
      <c r="B78" s="153"/>
      <c r="C78" s="153"/>
      <c r="D78" s="153"/>
      <c r="E78" s="793"/>
      <c r="F78" s="793"/>
      <c r="G78" s="793"/>
      <c r="H78" s="192"/>
      <c r="I78" s="794"/>
      <c r="J78" s="794"/>
      <c r="K78" s="794"/>
      <c r="L78" s="153"/>
      <c r="M78" s="153"/>
      <c r="N78" s="766"/>
      <c r="O78" s="26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  <c r="AA78" s="33"/>
      <c r="AB78" s="33"/>
      <c r="AC78" s="33"/>
      <c r="AD78" s="33"/>
      <c r="AE78" s="33"/>
      <c r="AF78" s="33"/>
      <c r="AG78" s="33"/>
      <c r="AH78" s="33"/>
      <c r="AI78" s="33"/>
      <c r="AJ78" s="33"/>
      <c r="AK78" s="33"/>
      <c r="AL78" s="33"/>
      <c r="AM78" s="33"/>
      <c r="AN78" s="33"/>
      <c r="AO78" s="33"/>
      <c r="AP78" s="33"/>
      <c r="AQ78" s="33"/>
      <c r="AR78" s="33"/>
      <c r="AS78" s="33"/>
      <c r="AT78" s="33"/>
      <c r="AU78" s="33"/>
      <c r="AV78" s="33"/>
      <c r="AW78" s="33"/>
      <c r="AX78" s="33"/>
      <c r="AY78" s="33"/>
      <c r="AZ78" s="33"/>
      <c r="BA78" s="33"/>
      <c r="BB78" s="33"/>
      <c r="BC78" s="33"/>
      <c r="BD78" s="33"/>
      <c r="BE78" s="33"/>
      <c r="BF78" s="33"/>
      <c r="BG78" s="33"/>
      <c r="BH78" s="33"/>
      <c r="BI78" s="33"/>
      <c r="BJ78" s="33"/>
      <c r="BK78" s="33"/>
      <c r="BL78" s="33"/>
      <c r="BM78" s="33"/>
    </row>
    <row r="79" spans="1:65" ht="17.25" customHeight="1" x14ac:dyDescent="0.25">
      <c r="A79" s="784"/>
      <c r="B79" s="33"/>
      <c r="C79" s="33"/>
      <c r="D79" s="153"/>
      <c r="E79" s="784"/>
      <c r="F79" s="153"/>
      <c r="G79" s="153"/>
      <c r="H79" s="153"/>
      <c r="I79" s="153"/>
      <c r="J79" s="153"/>
      <c r="K79" s="784"/>
      <c r="L79" s="153"/>
      <c r="M79" s="153"/>
      <c r="N79" s="766"/>
      <c r="O79" s="26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  <c r="AA79" s="33"/>
      <c r="AB79" s="33"/>
      <c r="AC79" s="33"/>
      <c r="AD79" s="33"/>
      <c r="AE79" s="33"/>
      <c r="AF79" s="33"/>
      <c r="AG79" s="33"/>
      <c r="AH79" s="33"/>
      <c r="AI79" s="33"/>
      <c r="AJ79" s="33"/>
      <c r="AK79" s="33"/>
      <c r="AL79" s="33"/>
      <c r="AM79" s="33"/>
      <c r="AN79" s="33"/>
      <c r="AO79" s="33"/>
      <c r="AP79" s="33"/>
      <c r="AQ79" s="33"/>
      <c r="AR79" s="33"/>
      <c r="AS79" s="33"/>
      <c r="AT79" s="33"/>
      <c r="AU79" s="33"/>
      <c r="AV79" s="33"/>
      <c r="AW79" s="33"/>
      <c r="AX79" s="33"/>
      <c r="AY79" s="33"/>
      <c r="AZ79" s="33"/>
      <c r="BA79" s="33"/>
      <c r="BB79" s="33"/>
      <c r="BC79" s="33"/>
      <c r="BD79" s="33"/>
      <c r="BE79" s="33"/>
      <c r="BF79" s="33"/>
      <c r="BG79" s="33"/>
      <c r="BH79" s="33"/>
      <c r="BI79" s="33"/>
      <c r="BJ79" s="33"/>
      <c r="BK79" s="33"/>
      <c r="BL79" s="33"/>
      <c r="BM79" s="33"/>
    </row>
    <row r="80" spans="1:65" ht="17.25" customHeight="1" x14ac:dyDescent="0.25">
      <c r="A80" s="33"/>
      <c r="B80" s="33"/>
      <c r="C80" s="33"/>
      <c r="D80" s="33"/>
      <c r="E80" s="33"/>
      <c r="F80" s="33"/>
      <c r="G80" s="33"/>
      <c r="H80" s="33"/>
      <c r="I80" s="33"/>
      <c r="J80" s="33"/>
      <c r="K80" s="23"/>
      <c r="L80" s="33"/>
      <c r="M80" s="33"/>
      <c r="N80" s="33"/>
      <c r="O80" s="26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  <c r="AA80" s="33"/>
      <c r="AB80" s="33"/>
      <c r="AC80" s="33"/>
      <c r="AD80" s="33"/>
      <c r="AE80" s="33"/>
      <c r="AF80" s="33"/>
      <c r="AG80" s="33"/>
      <c r="AH80" s="33"/>
      <c r="AI80" s="33"/>
      <c r="AJ80" s="33"/>
      <c r="AK80" s="33"/>
      <c r="AL80" s="33"/>
      <c r="AM80" s="33"/>
      <c r="AN80" s="33"/>
      <c r="AO80" s="33"/>
      <c r="AP80" s="33"/>
      <c r="AQ80" s="33"/>
      <c r="AR80" s="33"/>
      <c r="AS80" s="33"/>
      <c r="AT80" s="33"/>
      <c r="AU80" s="33"/>
      <c r="AV80" s="33"/>
      <c r="AW80" s="33"/>
      <c r="AX80" s="33"/>
      <c r="AY80" s="33"/>
      <c r="AZ80" s="33"/>
      <c r="BA80" s="33"/>
      <c r="BB80" s="33"/>
      <c r="BC80" s="33"/>
      <c r="BD80" s="33"/>
      <c r="BE80" s="33"/>
      <c r="BF80" s="33"/>
      <c r="BG80" s="33"/>
      <c r="BH80" s="33"/>
      <c r="BI80" s="33"/>
      <c r="BJ80" s="33"/>
      <c r="BK80" s="33"/>
      <c r="BL80" s="33"/>
      <c r="BM80" s="33"/>
    </row>
    <row r="81" spans="1:79" ht="17.25" customHeight="1" thickBot="1" x14ac:dyDescent="0.3">
      <c r="A81" s="28"/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134"/>
      <c r="O81" s="26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  <c r="AA81" s="33"/>
      <c r="AB81" s="33"/>
      <c r="AC81" s="33"/>
      <c r="AD81" s="33"/>
      <c r="AE81" s="33"/>
      <c r="AF81" s="33"/>
      <c r="AG81" s="33"/>
      <c r="AH81" s="33"/>
      <c r="AI81" s="33"/>
      <c r="AJ81" s="33"/>
      <c r="AK81" s="33"/>
      <c r="AL81" s="33"/>
      <c r="AM81" s="33"/>
      <c r="AN81" s="33"/>
      <c r="AO81" s="33"/>
      <c r="AP81" s="33"/>
      <c r="AQ81" s="33"/>
      <c r="AR81" s="33"/>
      <c r="AS81" s="33"/>
      <c r="AT81" s="33"/>
      <c r="AU81" s="33"/>
      <c r="AV81" s="33"/>
      <c r="AW81" s="33"/>
      <c r="AX81" s="33"/>
      <c r="AY81" s="33"/>
      <c r="AZ81" s="33"/>
      <c r="BA81" s="33"/>
      <c r="BB81" s="33"/>
      <c r="BC81" s="33"/>
      <c r="BD81" s="33"/>
      <c r="BE81" s="33"/>
      <c r="BF81" s="33"/>
      <c r="BG81" s="33"/>
      <c r="BH81" s="33"/>
      <c r="BI81" s="33"/>
      <c r="BJ81" s="33"/>
      <c r="BK81" s="33"/>
      <c r="BL81" s="33"/>
      <c r="BM81" s="33"/>
    </row>
    <row r="82" spans="1:79" ht="17.25" customHeight="1" x14ac:dyDescent="0.25">
      <c r="A82" s="33"/>
      <c r="B82" s="33"/>
      <c r="C82" s="33"/>
      <c r="D82" s="33"/>
      <c r="E82" s="33"/>
      <c r="F82" s="33"/>
      <c r="G82" s="33"/>
      <c r="H82" s="33"/>
      <c r="I82" s="33"/>
      <c r="J82" s="33"/>
      <c r="K82" s="33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  <c r="AA82" s="33"/>
      <c r="AB82" s="33"/>
      <c r="AC82" s="33"/>
      <c r="AD82" s="33"/>
      <c r="AE82" s="33"/>
      <c r="AF82" s="33"/>
      <c r="AG82" s="33"/>
      <c r="AH82" s="33"/>
      <c r="AI82" s="33"/>
      <c r="AJ82" s="33"/>
      <c r="AK82" s="33"/>
      <c r="AL82" s="33"/>
      <c r="AM82" s="33"/>
      <c r="AN82" s="33"/>
      <c r="AO82" s="33"/>
      <c r="AP82" s="33"/>
      <c r="AQ82" s="33"/>
      <c r="AR82" s="33"/>
      <c r="AS82" s="33"/>
      <c r="AT82" s="33"/>
      <c r="AU82" s="33"/>
      <c r="AV82" s="33"/>
      <c r="AW82" s="33"/>
      <c r="AX82" s="33"/>
      <c r="AY82" s="33"/>
      <c r="AZ82" s="33"/>
      <c r="BA82" s="33"/>
      <c r="BB82" s="33"/>
      <c r="BC82" s="33"/>
      <c r="BD82" s="33"/>
      <c r="BE82" s="33"/>
      <c r="BF82" s="33"/>
      <c r="BG82" s="33"/>
      <c r="BH82" s="33"/>
      <c r="BI82" s="33"/>
      <c r="BJ82" s="33"/>
      <c r="BK82" s="33"/>
      <c r="BL82" s="33"/>
      <c r="BM82" s="33"/>
    </row>
    <row r="83" spans="1:79" ht="17.25" customHeight="1" x14ac:dyDescent="0.25">
      <c r="A83" s="33"/>
      <c r="B83" s="33"/>
      <c r="C83" s="33"/>
      <c r="D83" s="33"/>
      <c r="E83" s="33"/>
      <c r="F83" s="33"/>
      <c r="G83" s="33"/>
      <c r="H83" s="33"/>
      <c r="I83" s="33"/>
      <c r="J83" s="33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  <c r="AA83" s="33"/>
      <c r="AB83" s="33"/>
      <c r="AC83" s="33"/>
      <c r="AD83" s="33"/>
      <c r="AE83" s="33"/>
      <c r="AF83" s="33"/>
      <c r="AG83" s="33"/>
      <c r="AH83" s="33"/>
      <c r="AI83" s="33"/>
      <c r="AJ83" s="33"/>
      <c r="AK83" s="33"/>
      <c r="AL83" s="33"/>
      <c r="AM83" s="33"/>
      <c r="AN83" s="33"/>
      <c r="AO83" s="33"/>
      <c r="AP83" s="33"/>
      <c r="AQ83" s="33"/>
      <c r="AR83" s="33"/>
      <c r="AS83" s="33"/>
      <c r="AT83" s="33"/>
      <c r="AU83" s="33"/>
      <c r="AV83" s="33"/>
      <c r="AW83" s="33"/>
      <c r="AX83" s="33"/>
      <c r="AY83" s="33"/>
      <c r="AZ83" s="33"/>
      <c r="BA83" s="33"/>
      <c r="BB83" s="33"/>
      <c r="BC83" s="33"/>
      <c r="BD83" s="33"/>
      <c r="BE83" s="33"/>
      <c r="BF83" s="33"/>
      <c r="BG83" s="33"/>
      <c r="BH83" s="33"/>
      <c r="BI83" s="33"/>
      <c r="BJ83" s="33"/>
      <c r="BK83" s="33"/>
      <c r="BL83" s="33"/>
      <c r="BM83" s="33"/>
    </row>
    <row r="84" spans="1:79" ht="17.25" customHeight="1" x14ac:dyDescent="0.25">
      <c r="A84" s="220"/>
      <c r="B84" s="220"/>
      <c r="C84" s="220"/>
      <c r="D84" s="220"/>
      <c r="E84" s="220"/>
      <c r="F84" s="220"/>
      <c r="G84" s="220"/>
      <c r="H84" s="220"/>
      <c r="I84" s="220"/>
      <c r="J84" s="220"/>
      <c r="K84" s="220"/>
      <c r="L84" s="220"/>
      <c r="M84" s="220"/>
      <c r="N84" s="220"/>
      <c r="O84" s="220"/>
      <c r="P84" s="220"/>
      <c r="Q84" s="220"/>
      <c r="R84" s="220"/>
      <c r="S84" s="220"/>
      <c r="T84" s="220"/>
      <c r="U84" s="220"/>
      <c r="V84" s="220"/>
      <c r="W84" s="220"/>
      <c r="X84" s="220"/>
      <c r="Y84" s="220"/>
      <c r="Z84" s="220"/>
      <c r="AA84" s="220"/>
      <c r="AB84" s="220"/>
      <c r="AC84" s="220"/>
      <c r="AD84" s="220"/>
      <c r="AE84" s="220"/>
      <c r="AF84" s="220"/>
      <c r="AG84" s="220"/>
      <c r="AH84" s="220"/>
      <c r="AI84" s="220"/>
      <c r="AJ84" s="220"/>
      <c r="AK84" s="220"/>
      <c r="AL84" s="220"/>
      <c r="AM84" s="220"/>
      <c r="AN84" s="220"/>
      <c r="AO84" s="220"/>
      <c r="AP84" s="220"/>
      <c r="AQ84" s="220"/>
      <c r="AR84" s="220"/>
      <c r="AS84" s="220"/>
      <c r="AT84" s="220"/>
      <c r="AU84" s="220"/>
      <c r="AV84" s="220"/>
      <c r="AW84" s="220"/>
      <c r="AX84" s="220"/>
      <c r="AY84" s="220"/>
      <c r="AZ84" s="220"/>
      <c r="BA84" s="220"/>
      <c r="BB84" s="220"/>
      <c r="BC84" s="220"/>
      <c r="BD84" s="220"/>
      <c r="BE84" s="220"/>
      <c r="BF84" s="220"/>
      <c r="BG84" s="220"/>
      <c r="BH84" s="220"/>
      <c r="BI84" s="220"/>
      <c r="BJ84" s="220"/>
      <c r="BK84" s="220"/>
      <c r="BL84" s="220"/>
      <c r="BM84" s="220"/>
      <c r="BN84" s="220"/>
      <c r="BO84" s="220"/>
      <c r="BP84" s="220"/>
      <c r="BQ84" s="220"/>
      <c r="BR84" s="220"/>
      <c r="BS84" s="220"/>
      <c r="BT84" s="220"/>
      <c r="BU84" s="220"/>
      <c r="BV84" s="220"/>
      <c r="BW84" s="220"/>
      <c r="BX84" s="220"/>
      <c r="BY84" s="220"/>
      <c r="BZ84" s="220"/>
      <c r="CA84" s="220"/>
    </row>
    <row r="85" spans="1:79" ht="17.25" customHeight="1" x14ac:dyDescent="0.25">
      <c r="A85" s="220"/>
      <c r="B85" s="220"/>
      <c r="C85" s="220"/>
      <c r="D85" s="220"/>
      <c r="E85" s="220"/>
      <c r="F85" s="220"/>
      <c r="G85" s="220"/>
      <c r="H85" s="220"/>
      <c r="I85" s="220"/>
      <c r="J85" s="220"/>
      <c r="K85" s="220"/>
      <c r="L85" s="220"/>
      <c r="M85" s="220"/>
      <c r="N85" s="220"/>
      <c r="O85" s="220"/>
      <c r="P85" s="220"/>
      <c r="Q85" s="220"/>
      <c r="R85" s="220"/>
      <c r="S85" s="220"/>
      <c r="T85" s="220"/>
      <c r="U85" s="220"/>
      <c r="V85" s="220"/>
      <c r="W85" s="220"/>
      <c r="X85" s="220"/>
      <c r="Y85" s="220"/>
      <c r="Z85" s="220"/>
      <c r="AA85" s="220"/>
      <c r="AB85" s="220"/>
      <c r="AC85" s="220"/>
      <c r="AD85" s="220"/>
      <c r="AE85" s="220"/>
      <c r="AF85" s="220"/>
      <c r="AG85" s="220"/>
      <c r="AH85" s="220"/>
      <c r="AI85" s="220"/>
      <c r="AJ85" s="220"/>
      <c r="AK85" s="220"/>
      <c r="AL85" s="220"/>
      <c r="AM85" s="220"/>
      <c r="AN85" s="220"/>
      <c r="AO85" s="220"/>
      <c r="AP85" s="220"/>
      <c r="AQ85" s="220"/>
      <c r="AR85" s="220"/>
      <c r="AS85" s="220"/>
      <c r="AT85" s="220"/>
      <c r="AU85" s="220"/>
      <c r="AV85" s="220"/>
      <c r="AW85" s="220"/>
      <c r="AX85" s="220"/>
      <c r="AY85" s="220"/>
      <c r="AZ85" s="220"/>
      <c r="BA85" s="220"/>
      <c r="BB85" s="220"/>
      <c r="BC85" s="220"/>
      <c r="BD85" s="220"/>
      <c r="BE85" s="220"/>
      <c r="BF85" s="220"/>
      <c r="BG85" s="220"/>
      <c r="BH85" s="220"/>
      <c r="BI85" s="220"/>
      <c r="BJ85" s="220"/>
      <c r="BK85" s="220"/>
      <c r="BL85" s="220"/>
      <c r="BM85" s="220"/>
      <c r="BN85" s="220"/>
      <c r="BO85" s="220"/>
      <c r="BP85" s="220"/>
      <c r="BQ85" s="220"/>
      <c r="BR85" s="220"/>
      <c r="BS85" s="220"/>
      <c r="BT85" s="220"/>
      <c r="BU85" s="220"/>
      <c r="BV85" s="220"/>
      <c r="BW85" s="220"/>
      <c r="BX85" s="220"/>
      <c r="BY85" s="220"/>
      <c r="BZ85" s="220"/>
      <c r="CA85" s="220"/>
    </row>
    <row r="86" spans="1:79" ht="17.25" customHeight="1" x14ac:dyDescent="0.25">
      <c r="A86" s="220"/>
      <c r="B86" s="220"/>
      <c r="C86" s="220"/>
      <c r="D86" s="220"/>
      <c r="E86" s="220"/>
      <c r="F86" s="220"/>
      <c r="G86" s="220"/>
      <c r="H86" s="220"/>
      <c r="I86" s="220"/>
      <c r="J86" s="220"/>
      <c r="K86" s="220"/>
      <c r="L86" s="220"/>
      <c r="M86" s="220"/>
      <c r="N86" s="220"/>
      <c r="O86" s="220"/>
      <c r="P86" s="220"/>
      <c r="Q86" s="220"/>
      <c r="R86" s="220"/>
      <c r="S86" s="220"/>
      <c r="T86" s="220"/>
      <c r="U86" s="220"/>
      <c r="V86" s="220"/>
      <c r="W86" s="220"/>
      <c r="X86" s="220"/>
      <c r="Y86" s="220"/>
      <c r="Z86" s="220"/>
      <c r="AA86" s="220"/>
      <c r="AB86" s="220"/>
      <c r="AC86" s="220"/>
      <c r="AD86" s="220"/>
      <c r="AE86" s="220"/>
      <c r="AF86" s="220"/>
      <c r="AG86" s="220"/>
      <c r="AH86" s="220"/>
      <c r="AI86" s="220"/>
      <c r="AJ86" s="220"/>
      <c r="AK86" s="220"/>
      <c r="AL86" s="220"/>
      <c r="AM86" s="220"/>
      <c r="AN86" s="220"/>
      <c r="AO86" s="220"/>
      <c r="AP86" s="220"/>
      <c r="AQ86" s="220"/>
      <c r="AR86" s="220"/>
      <c r="AS86" s="220"/>
      <c r="AT86" s="220"/>
      <c r="AU86" s="220"/>
      <c r="AV86" s="220"/>
      <c r="AW86" s="220"/>
      <c r="AX86" s="220"/>
      <c r="AY86" s="220"/>
      <c r="AZ86" s="220"/>
      <c r="BA86" s="220"/>
      <c r="BB86" s="220"/>
      <c r="BC86" s="220"/>
      <c r="BD86" s="220"/>
      <c r="BE86" s="220"/>
      <c r="BF86" s="220"/>
      <c r="BG86" s="220"/>
      <c r="BH86" s="220"/>
      <c r="BI86" s="220"/>
      <c r="BJ86" s="220"/>
      <c r="BK86" s="220"/>
      <c r="BL86" s="220"/>
      <c r="BM86" s="220"/>
      <c r="BN86" s="220"/>
      <c r="BO86" s="220"/>
      <c r="BP86" s="220"/>
      <c r="BQ86" s="220"/>
      <c r="BR86" s="220"/>
      <c r="BS86" s="220"/>
      <c r="BT86" s="220"/>
      <c r="BU86" s="220"/>
      <c r="BV86" s="220"/>
      <c r="BW86" s="220"/>
      <c r="BX86" s="220"/>
      <c r="BY86" s="220"/>
      <c r="BZ86" s="220"/>
      <c r="CA86" s="220"/>
    </row>
    <row r="87" spans="1:79" ht="17.25" customHeight="1" x14ac:dyDescent="0.25">
      <c r="A87" s="220"/>
      <c r="B87" s="220"/>
      <c r="C87" s="220"/>
      <c r="D87" s="220"/>
      <c r="E87" s="220"/>
      <c r="F87" s="220"/>
      <c r="G87" s="220"/>
      <c r="H87" s="220"/>
      <c r="I87" s="220"/>
      <c r="J87" s="220"/>
      <c r="K87" s="220"/>
      <c r="L87" s="220"/>
      <c r="M87" s="220"/>
      <c r="N87" s="220"/>
      <c r="O87" s="220"/>
      <c r="P87" s="220"/>
      <c r="Q87" s="220"/>
      <c r="R87" s="220"/>
      <c r="S87" s="220"/>
      <c r="T87" s="220"/>
      <c r="U87" s="220"/>
      <c r="V87" s="220"/>
      <c r="W87" s="220"/>
      <c r="X87" s="220"/>
      <c r="Y87" s="220"/>
      <c r="Z87" s="220"/>
      <c r="AA87" s="220"/>
      <c r="AB87" s="220"/>
      <c r="AC87" s="220"/>
      <c r="AD87" s="220"/>
      <c r="AE87" s="220"/>
      <c r="AF87" s="220"/>
      <c r="AG87" s="220"/>
      <c r="AH87" s="220"/>
      <c r="AI87" s="220"/>
      <c r="AJ87" s="220"/>
      <c r="AK87" s="220"/>
      <c r="AL87" s="220"/>
      <c r="AM87" s="220"/>
      <c r="AN87" s="220"/>
      <c r="AO87" s="220"/>
      <c r="AP87" s="220"/>
      <c r="AQ87" s="220"/>
      <c r="AR87" s="220"/>
      <c r="AS87" s="220"/>
      <c r="AT87" s="220"/>
      <c r="AU87" s="220"/>
      <c r="AV87" s="220"/>
      <c r="AW87" s="220"/>
      <c r="AX87" s="220"/>
      <c r="AY87" s="220"/>
      <c r="AZ87" s="220"/>
      <c r="BA87" s="220"/>
      <c r="BB87" s="220"/>
      <c r="BC87" s="220"/>
      <c r="BD87" s="220"/>
      <c r="BE87" s="220"/>
      <c r="BF87" s="220"/>
      <c r="BG87" s="220"/>
      <c r="BH87" s="220"/>
      <c r="BI87" s="220"/>
      <c r="BJ87" s="220"/>
      <c r="BK87" s="220"/>
      <c r="BL87" s="220"/>
      <c r="BM87" s="220"/>
      <c r="BN87" s="220"/>
      <c r="BO87" s="220"/>
      <c r="BP87" s="220"/>
      <c r="BQ87" s="220"/>
      <c r="BR87" s="220"/>
      <c r="BS87" s="220"/>
      <c r="BT87" s="220"/>
      <c r="BU87" s="220"/>
      <c r="BV87" s="220"/>
      <c r="BW87" s="220"/>
      <c r="BX87" s="220"/>
      <c r="BY87" s="220"/>
      <c r="BZ87" s="220"/>
      <c r="CA87" s="220"/>
    </row>
    <row r="88" spans="1:79" ht="17.25" customHeight="1" x14ac:dyDescent="0.25">
      <c r="A88" s="220"/>
      <c r="B88" s="220"/>
      <c r="C88" s="220"/>
      <c r="D88" s="220"/>
      <c r="E88" s="220"/>
      <c r="F88" s="220"/>
      <c r="G88" s="220"/>
      <c r="H88" s="220"/>
      <c r="I88" s="220"/>
      <c r="J88" s="220"/>
      <c r="K88" s="220"/>
      <c r="L88" s="220"/>
      <c r="M88" s="220"/>
      <c r="N88" s="220"/>
      <c r="O88" s="220"/>
      <c r="P88" s="220"/>
      <c r="Q88" s="220"/>
      <c r="R88" s="220"/>
      <c r="S88" s="220"/>
      <c r="T88" s="220"/>
      <c r="U88" s="220"/>
      <c r="V88" s="220"/>
      <c r="W88" s="220"/>
      <c r="X88" s="220"/>
      <c r="Y88" s="220"/>
      <c r="Z88" s="220"/>
      <c r="AA88" s="220"/>
      <c r="AB88" s="220"/>
      <c r="AC88" s="220"/>
      <c r="AD88" s="220"/>
      <c r="AE88" s="220"/>
      <c r="AF88" s="220"/>
      <c r="AG88" s="220"/>
      <c r="AH88" s="220"/>
      <c r="AI88" s="220"/>
      <c r="AJ88" s="220"/>
      <c r="AK88" s="220"/>
      <c r="AL88" s="220"/>
      <c r="AM88" s="220"/>
      <c r="AN88" s="220"/>
      <c r="AO88" s="220"/>
      <c r="AP88" s="220"/>
      <c r="AQ88" s="220"/>
      <c r="AR88" s="220"/>
      <c r="AS88" s="220"/>
      <c r="AT88" s="220"/>
      <c r="AU88" s="220"/>
      <c r="AV88" s="220"/>
      <c r="AW88" s="220"/>
      <c r="AX88" s="220"/>
      <c r="AY88" s="220"/>
      <c r="AZ88" s="220"/>
      <c r="BA88" s="220"/>
      <c r="BB88" s="220"/>
      <c r="BC88" s="220"/>
      <c r="BD88" s="220"/>
      <c r="BE88" s="220"/>
      <c r="BF88" s="220"/>
      <c r="BG88" s="220"/>
      <c r="BH88" s="220"/>
      <c r="BI88" s="220"/>
      <c r="BJ88" s="220"/>
      <c r="BK88" s="220"/>
      <c r="BL88" s="220"/>
      <c r="BM88" s="220"/>
      <c r="BN88" s="220"/>
      <c r="BO88" s="220"/>
      <c r="BP88" s="220"/>
      <c r="BQ88" s="220"/>
      <c r="BR88" s="220"/>
      <c r="BS88" s="220"/>
      <c r="BT88" s="220"/>
      <c r="BU88" s="220"/>
      <c r="BV88" s="220"/>
      <c r="BW88" s="220"/>
      <c r="BX88" s="220"/>
      <c r="BY88" s="220"/>
      <c r="BZ88" s="220"/>
      <c r="CA88" s="220"/>
    </row>
    <row r="89" spans="1:79" ht="17.25" customHeight="1" x14ac:dyDescent="0.25">
      <c r="A89" s="220"/>
      <c r="B89" s="220"/>
      <c r="C89" s="220"/>
      <c r="D89" s="220"/>
      <c r="E89" s="220"/>
      <c r="F89" s="220"/>
      <c r="G89" s="220"/>
      <c r="H89" s="220"/>
      <c r="I89" s="220"/>
      <c r="J89" s="220"/>
      <c r="K89" s="220"/>
      <c r="L89" s="220"/>
      <c r="M89" s="220"/>
      <c r="N89" s="220"/>
      <c r="O89" s="220"/>
      <c r="P89" s="220"/>
      <c r="Q89" s="220"/>
      <c r="R89" s="220"/>
      <c r="S89" s="220"/>
      <c r="T89" s="220"/>
      <c r="U89" s="220"/>
      <c r="V89" s="220"/>
      <c r="W89" s="220"/>
      <c r="X89" s="220"/>
      <c r="Y89" s="220"/>
      <c r="Z89" s="220"/>
      <c r="AA89" s="220"/>
      <c r="AB89" s="220"/>
      <c r="AC89" s="220"/>
      <c r="AD89" s="220"/>
      <c r="AE89" s="220"/>
      <c r="AF89" s="220"/>
      <c r="AG89" s="220"/>
      <c r="AH89" s="220"/>
      <c r="AI89" s="220"/>
      <c r="AJ89" s="220"/>
      <c r="AK89" s="220"/>
      <c r="AL89" s="220"/>
      <c r="AM89" s="220"/>
      <c r="AN89" s="220"/>
      <c r="AO89" s="220"/>
      <c r="AP89" s="220"/>
      <c r="AQ89" s="220"/>
      <c r="AR89" s="220"/>
      <c r="AS89" s="220"/>
      <c r="AT89" s="220"/>
      <c r="AU89" s="220"/>
      <c r="AV89" s="220"/>
      <c r="AW89" s="220"/>
      <c r="AX89" s="220"/>
      <c r="AY89" s="220"/>
      <c r="AZ89" s="220"/>
      <c r="BA89" s="220"/>
      <c r="BB89" s="220"/>
      <c r="BC89" s="220"/>
      <c r="BD89" s="220"/>
      <c r="BE89" s="220"/>
      <c r="BF89" s="220"/>
      <c r="BG89" s="220"/>
      <c r="BH89" s="220"/>
      <c r="BI89" s="220"/>
      <c r="BJ89" s="220"/>
      <c r="BK89" s="220"/>
      <c r="BL89" s="220"/>
      <c r="BM89" s="220"/>
      <c r="BN89" s="220"/>
      <c r="BO89" s="220"/>
      <c r="BP89" s="220"/>
      <c r="BQ89" s="220"/>
      <c r="BR89" s="220"/>
      <c r="BS89" s="220"/>
      <c r="BT89" s="220"/>
      <c r="BU89" s="220"/>
      <c r="BV89" s="220"/>
      <c r="BW89" s="220"/>
      <c r="BX89" s="220"/>
      <c r="BY89" s="220"/>
      <c r="BZ89" s="220"/>
      <c r="CA89" s="220"/>
    </row>
    <row r="94" spans="1:79" ht="17.25" customHeight="1" x14ac:dyDescent="0.25">
      <c r="M94" s="268"/>
    </row>
    <row r="95" spans="1:79" ht="17.25" customHeight="1" x14ac:dyDescent="0.25">
      <c r="M95" s="268"/>
    </row>
    <row r="96" spans="1:79" ht="17.25" customHeight="1" x14ac:dyDescent="0.25">
      <c r="M96" s="268"/>
    </row>
    <row r="101" spans="1:33" ht="17.25" customHeight="1" x14ac:dyDescent="0.25">
      <c r="M101" s="268"/>
    </row>
    <row r="102" spans="1:33" ht="17.25" customHeight="1" x14ac:dyDescent="0.25">
      <c r="M102" s="268"/>
    </row>
    <row r="103" spans="1:33" ht="17.25" customHeight="1" x14ac:dyDescent="0.25">
      <c r="M103" s="268"/>
    </row>
    <row r="108" spans="1:33" ht="17.25" customHeight="1" x14ac:dyDescent="0.25">
      <c r="M108" s="268"/>
    </row>
    <row r="109" spans="1:33" ht="17.25" customHeight="1" x14ac:dyDescent="0.25">
      <c r="M109" s="268"/>
    </row>
    <row r="110" spans="1:33" ht="17.25" customHeight="1" thickBot="1" x14ac:dyDescent="0.3">
      <c r="M110" s="268"/>
    </row>
    <row r="111" spans="1:33" ht="17.25" customHeight="1" thickBot="1" x14ac:dyDescent="0.3">
      <c r="A111" s="1074" t="s">
        <v>289</v>
      </c>
      <c r="B111" s="1075"/>
      <c r="C111" s="1075"/>
      <c r="D111" s="1075"/>
      <c r="E111" s="1075"/>
      <c r="F111" s="1075"/>
      <c r="G111" s="1075"/>
      <c r="H111" s="1075"/>
      <c r="I111" s="1076"/>
      <c r="J111" s="1077">
        <f>IFERROR(SUM(AE128:AE244)+G113,"")</f>
        <v>1</v>
      </c>
      <c r="K111" s="1078"/>
      <c r="L111" s="1078"/>
      <c r="M111" s="1079"/>
      <c r="Q111" s="1080" t="s">
        <v>290</v>
      </c>
      <c r="R111" s="1080"/>
      <c r="S111" s="1080"/>
      <c r="T111" s="1080"/>
      <c r="W111" s="1080" t="s">
        <v>291</v>
      </c>
      <c r="X111" s="1080"/>
      <c r="Y111" s="1080"/>
      <c r="Z111" s="1080"/>
      <c r="AB111" s="269"/>
      <c r="AC111" s="269"/>
      <c r="AD111" s="269"/>
      <c r="AE111" s="269"/>
      <c r="AF111" s="269"/>
      <c r="AG111" s="269"/>
    </row>
    <row r="112" spans="1:33" ht="17.25" customHeight="1" thickBot="1" x14ac:dyDescent="0.35">
      <c r="A112" s="270" t="s">
        <v>292</v>
      </c>
      <c r="B112" s="271"/>
      <c r="C112" s="271"/>
      <c r="D112" s="271"/>
      <c r="E112" s="271"/>
      <c r="F112" s="271"/>
      <c r="G112" s="271"/>
      <c r="H112" s="271"/>
      <c r="I112" s="271"/>
      <c r="J112" s="271"/>
      <c r="K112" s="271"/>
      <c r="L112" s="271"/>
      <c r="M112" s="272"/>
      <c r="Q112" s="1081" t="s">
        <v>293</v>
      </c>
      <c r="R112" s="1081"/>
      <c r="S112" s="1081" t="s">
        <v>294</v>
      </c>
      <c r="T112" s="1081"/>
      <c r="W112" s="1081" t="s">
        <v>293</v>
      </c>
      <c r="X112" s="1081"/>
      <c r="Y112" s="1081" t="s">
        <v>294</v>
      </c>
      <c r="Z112" s="1081"/>
      <c r="AB112" s="273"/>
      <c r="AC112" s="273"/>
      <c r="AD112" s="273"/>
      <c r="AE112" s="273"/>
      <c r="AF112" s="273"/>
      <c r="AG112" s="273"/>
    </row>
    <row r="113" spans="1:58" ht="17.25" customHeight="1" thickBot="1" x14ac:dyDescent="0.35">
      <c r="A113" s="1066" t="s">
        <v>295</v>
      </c>
      <c r="B113" s="1067"/>
      <c r="C113" s="1067"/>
      <c r="D113" s="1067"/>
      <c r="E113" s="1067"/>
      <c r="F113" s="1068"/>
      <c r="G113" s="1069">
        <f>I128+V128</f>
        <v>0</v>
      </c>
      <c r="H113" s="1070"/>
      <c r="I113" s="1071"/>
      <c r="Q113" s="1072">
        <v>45041</v>
      </c>
      <c r="R113" s="1072"/>
      <c r="S113" s="1073" t="s">
        <v>296</v>
      </c>
      <c r="T113" s="1073"/>
      <c r="W113" s="1072">
        <v>45182</v>
      </c>
      <c r="X113" s="1072"/>
      <c r="Y113" s="1073" t="s">
        <v>297</v>
      </c>
      <c r="Z113" s="1073"/>
      <c r="AB113" s="273"/>
      <c r="AC113" s="273"/>
      <c r="AD113" s="273"/>
      <c r="AE113" s="273"/>
      <c r="AF113" s="273"/>
      <c r="AG113" s="273"/>
    </row>
    <row r="114" spans="1:58" ht="17.25" customHeight="1" thickBot="1" x14ac:dyDescent="0.4">
      <c r="A114" s="274"/>
      <c r="B114" s="274"/>
      <c r="C114" s="274"/>
      <c r="D114" s="274"/>
      <c r="E114" s="274"/>
      <c r="F114" s="274"/>
      <c r="G114" s="274"/>
      <c r="H114" s="274"/>
      <c r="I114" s="274"/>
      <c r="Q114" s="275" t="s">
        <v>298</v>
      </c>
      <c r="R114" s="276" t="s">
        <v>299</v>
      </c>
      <c r="S114" s="277" t="s">
        <v>300</v>
      </c>
      <c r="T114" s="277" t="s">
        <v>301</v>
      </c>
      <c r="U114" s="1059" t="s">
        <v>302</v>
      </c>
      <c r="V114" s="1060"/>
      <c r="W114" s="275" t="s">
        <v>298</v>
      </c>
      <c r="X114" s="276" t="s">
        <v>299</v>
      </c>
      <c r="Y114" s="277" t="s">
        <v>300</v>
      </c>
      <c r="Z114" s="277" t="s">
        <v>301</v>
      </c>
      <c r="AF114" s="278"/>
      <c r="AG114" s="278"/>
    </row>
    <row r="115" spans="1:58" ht="17.25" customHeight="1" thickTop="1" thickBot="1" x14ac:dyDescent="0.3">
      <c r="A115" s="1061" t="s">
        <v>303</v>
      </c>
      <c r="B115" s="1062"/>
      <c r="C115" s="1062"/>
      <c r="D115" s="1062"/>
      <c r="E115" s="279">
        <f>I124+V124</f>
        <v>0</v>
      </c>
      <c r="F115" s="274"/>
      <c r="G115" s="274"/>
      <c r="H115" s="274"/>
      <c r="I115" s="274"/>
      <c r="Q115" s="280" t="s">
        <v>304</v>
      </c>
      <c r="R115" s="281" t="str">
        <f>IF(ISBLANK(Q114)," ",IFERROR(VLOOKUP("TOTAL",#REF!,13,0),""))</f>
        <v/>
      </c>
      <c r="S115" s="281" t="str">
        <f>IF(ISBLANK(Q114)," ",IFERROR(VLOOKUP("TOTAL F POWER",#REF!,13,0),""))</f>
        <v/>
      </c>
      <c r="T115" s="281" t="str">
        <f>IF(ISBLANK(Q114)," ",IFERROR(VLOOKUP("TOTAL SIN F POWER",#REF!,13,0),""))</f>
        <v/>
      </c>
      <c r="W115" s="280" t="s">
        <v>304</v>
      </c>
      <c r="X115" s="281" t="str">
        <f>IF(ISBLANK(W114)," ",IFERROR(VLOOKUP("TOTAL",#REF!,13,0),""))</f>
        <v/>
      </c>
      <c r="Y115" s="281" t="str">
        <f>IF(ISBLANK(W114)," ",IFERROR(VLOOKUP("TOTAL F POWER",#REF!,13,0),""))</f>
        <v/>
      </c>
      <c r="Z115" s="281" t="str">
        <f>IF(ISBLANK(W114)," ",IFERROR(VLOOKUP("TOTAL SIN F POWER",#REF!,13,0),""))</f>
        <v/>
      </c>
      <c r="AF115" s="282"/>
      <c r="AG115" s="282"/>
    </row>
    <row r="116" spans="1:58" ht="17.25" customHeight="1" thickTop="1" thickBot="1" x14ac:dyDescent="0.3">
      <c r="A116" s="1061" t="s">
        <v>305</v>
      </c>
      <c r="B116" s="1062"/>
      <c r="C116" s="1062"/>
      <c r="D116" s="1062"/>
      <c r="E116" s="279">
        <f>I125+V125</f>
        <v>34</v>
      </c>
      <c r="F116" s="274"/>
      <c r="G116" s="274"/>
      <c r="H116" s="274"/>
      <c r="I116" s="283"/>
      <c r="Q116" s="284" t="s">
        <v>306</v>
      </c>
      <c r="R116" s="285" t="str">
        <f>IF(ISBLANK(Q114)," ",IFERROR(VLOOKUP("TOTAL",#REF!,4,0),""))</f>
        <v/>
      </c>
      <c r="S116" s="285" t="str">
        <f>IF(ISBLANK(Q114)," ",IFERROR(VLOOKUP("TOTAL F POWER",#REF!,4,0),""))</f>
        <v/>
      </c>
      <c r="T116" s="285" t="str">
        <f>IF(ISBLANK(Q114)," ",IFERROR(VLOOKUP("TOTAL SIN F POWER",#REF!,4,0),""))</f>
        <v/>
      </c>
      <c r="W116" s="284" t="s">
        <v>306</v>
      </c>
      <c r="X116" s="286" t="str">
        <f>IF(ISBLANK(W114)," ",IFERROR(VLOOKUP("TOTAL",#REF!,4,0),""))</f>
        <v/>
      </c>
      <c r="Y116" s="286" t="str">
        <f>IF(ISBLANK(W114)," ",IFERROR(VLOOKUP("TOTAL F POWER",#REF!,4,0),""))</f>
        <v/>
      </c>
      <c r="Z116" s="286" t="str">
        <f>IF(ISBLANK(W114)," ",IFERROR(VLOOKUP("TOTAL SIN F POWER",#REF!,4,0),""))</f>
        <v/>
      </c>
      <c r="AF116" s="282"/>
      <c r="AG116" s="282"/>
    </row>
    <row r="117" spans="1:58" ht="17.25" customHeight="1" thickBot="1" x14ac:dyDescent="0.3">
      <c r="F117" s="287"/>
      <c r="G117" s="274"/>
      <c r="H117" s="274"/>
      <c r="I117" s="274"/>
      <c r="Q117" s="288" t="s">
        <v>307</v>
      </c>
      <c r="R117" s="289" t="str">
        <f>IF(ISBLANK(Q115)," ",IFERROR(VLOOKUP("TOTAL",#REF!,14,0),""))</f>
        <v/>
      </c>
      <c r="S117" s="289" t="str">
        <f>IF(ISBLANK(Q115)," ",IFERROR(VLOOKUP("TOTAL F POWER",#REF!,14,0),""))</f>
        <v/>
      </c>
      <c r="T117" s="289" t="str">
        <f>IF(ISBLANK(Q115)," ",IFERROR(VLOOKUP("TOTAL SIN F POWER",#REF!,14,0),""))</f>
        <v/>
      </c>
      <c r="W117" s="288" t="s">
        <v>307</v>
      </c>
      <c r="X117" s="289" t="str">
        <f>IF(ISBLANK(W114)," ",IFERROR(VLOOKUP("TOTAL",#REF!,14,0),""))</f>
        <v/>
      </c>
      <c r="Y117" s="289" t="str">
        <f>IF(ISBLANK(W114)," ",IFERROR(VLOOKUP("TOTAL F POWER",#REF!,14,0),""))</f>
        <v/>
      </c>
      <c r="Z117" s="289" t="str">
        <f>IF(ISBLANK(W114)," ",IFERROR(VLOOKUP("TOTAL SIN F POWER",#REF!,14,0),""))</f>
        <v/>
      </c>
      <c r="AF117" s="290"/>
      <c r="AG117" s="290"/>
    </row>
    <row r="118" spans="1:58" ht="17.25" customHeight="1" thickBot="1" x14ac:dyDescent="0.3">
      <c r="A118" s="1063" t="s">
        <v>308</v>
      </c>
      <c r="B118" s="1064"/>
      <c r="C118" s="1064"/>
      <c r="D118" s="1065"/>
      <c r="E118" s="291">
        <f>K228+X228</f>
        <v>0</v>
      </c>
      <c r="F118" s="274"/>
      <c r="G118" s="274"/>
      <c r="H118" s="274"/>
      <c r="I118" s="274"/>
      <c r="Q118" s="292" t="s">
        <v>309</v>
      </c>
      <c r="R118" s="293" t="str">
        <f>IF(ISBLANK(Q114)," ",IFERROR(VLOOKUP("TOTAL",#REF!,11,0),""))</f>
        <v/>
      </c>
      <c r="S118" s="293" t="str">
        <f>IF(ISBLANK(Q114)," ",IFERROR(VLOOKUP("TOTAL F POWER",#REF!,11,0),""))</f>
        <v/>
      </c>
      <c r="T118" s="293" t="str">
        <f>IF(ISBLANK(Q114)," ",IFERROR(VLOOKUP("TOTAL SIN F POWER",#REF!,11,0),""))</f>
        <v/>
      </c>
      <c r="W118" s="292" t="s">
        <v>309</v>
      </c>
      <c r="X118" s="294" t="str">
        <f>IF(ISBLANK(W114)," ",IFERROR(VLOOKUP("TOTAL",#REF!,11,0),""))</f>
        <v/>
      </c>
      <c r="Y118" s="294" t="str">
        <f>IF(ISBLANK(W114)," ",IFERROR(VLOOKUP("TOTAL F POWER",#REF!,11,0),""))</f>
        <v/>
      </c>
      <c r="Z118" s="294" t="str">
        <f>IF(ISBLANK(W114)," ",IFERROR(VLOOKUP("TOTAL SIN F POWER",#REF!,11,0),""))</f>
        <v/>
      </c>
    </row>
    <row r="119" spans="1:58" ht="17.25" customHeight="1" thickBot="1" x14ac:dyDescent="0.3">
      <c r="A119" s="1063" t="s">
        <v>310</v>
      </c>
      <c r="B119" s="1064"/>
      <c r="C119" s="1064"/>
      <c r="D119" s="1065"/>
      <c r="E119" s="295">
        <f>L228+Y228</f>
        <v>0</v>
      </c>
      <c r="F119" s="274"/>
      <c r="G119" s="274"/>
      <c r="H119" s="274"/>
      <c r="I119" s="274"/>
      <c r="Q119" s="296" t="s">
        <v>311</v>
      </c>
      <c r="R119" s="297" t="str">
        <f>IF(ISBLANK(Q114)," ",IFERROR(VLOOKUP("TOTAL",#REF!,15,0),""))</f>
        <v/>
      </c>
      <c r="S119" s="297" t="str">
        <f>IF(ISBLANK(Q114)," ",IFERROR(VLOOKUP("TOTAL F POWER",#REF!,15,0),""))</f>
        <v/>
      </c>
      <c r="T119" s="297" t="str">
        <f>IF(ISBLANK(Q114)," ",IFERROR(VLOOKUP("TOTAL SIN F POWER",#REF!,15,0),""))</f>
        <v/>
      </c>
      <c r="W119" s="296" t="s">
        <v>311</v>
      </c>
      <c r="X119" s="298" t="str">
        <f>IF(ISBLANK(W114)," ",IFERROR(VLOOKUP("TOTAL",#REF!,15,0),""))</f>
        <v/>
      </c>
      <c r="Y119" s="298" t="str">
        <f>IF(ISBLANK(W114)," ",IFERROR(VLOOKUP("TOTAL F POWER",#REF!,15,0),""))</f>
        <v/>
      </c>
      <c r="Z119" s="298" t="str">
        <f>IF(ISBLANK(W114)," ",IFERROR(VLOOKUP("TOTAL SIN F POWER",#REF!,15,0),""))</f>
        <v/>
      </c>
    </row>
    <row r="120" spans="1:58" ht="17.25" customHeight="1" thickBot="1" x14ac:dyDescent="0.3">
      <c r="A120" s="1063" t="s">
        <v>312</v>
      </c>
      <c r="B120" s="1064"/>
      <c r="C120" s="1064"/>
      <c r="D120" s="1065"/>
      <c r="E120" s="299">
        <f>J228+W228</f>
        <v>0</v>
      </c>
      <c r="Q120" s="300" t="s">
        <v>313</v>
      </c>
      <c r="R120" s="301" t="str">
        <f>IF(ISBLANK(Q114)," ",IFERROR(VLOOKUP("TOTAL",#REF!,16,0),""))</f>
        <v/>
      </c>
      <c r="S120" s="301" t="str">
        <f>IF(ISBLANK(Q114)," ",IFERROR(VLOOKUP("TOTAL F POWER",#REF!,16,0),""))</f>
        <v/>
      </c>
      <c r="T120" s="301" t="str">
        <f>IF(ISBLANK(Q114)," ",IFERROR(VLOOKUP("TOTAL SIN F POWER",#REF!,16,0),""))</f>
        <v/>
      </c>
      <c r="W120" s="300" t="s">
        <v>313</v>
      </c>
      <c r="X120" s="302" t="str">
        <f>IF(ISBLANK(W114)," ",IFERROR(VLOOKUP("TOTAL",#REF!,16,0),""))</f>
        <v/>
      </c>
      <c r="Y120" s="302" t="str">
        <f>IF(ISBLANK(W114)," ",IFERROR(VLOOKUP("TOTAL F POWER",#REF!,16,0),""))</f>
        <v/>
      </c>
      <c r="Z120" s="302" t="str">
        <f>IF(ISBLANK(W114)," ",IFERROR(VLOOKUP("TOTAL SIN F POWER",#REF!,16,0),""))</f>
        <v/>
      </c>
    </row>
    <row r="123" spans="1:58" ht="17.25" customHeight="1" thickBot="1" x14ac:dyDescent="0.75">
      <c r="A123" s="1049" t="s">
        <v>314</v>
      </c>
      <c r="B123" s="1050"/>
      <c r="C123" s="1050"/>
      <c r="D123" s="1050"/>
      <c r="E123" s="1050"/>
      <c r="F123" s="1050"/>
      <c r="G123" s="1050"/>
      <c r="H123" s="1050"/>
      <c r="I123" s="1050"/>
      <c r="J123" s="1050"/>
      <c r="K123" s="1050"/>
      <c r="L123" s="1050"/>
      <c r="M123" s="1050"/>
      <c r="N123" s="1050"/>
      <c r="O123" s="1050"/>
      <c r="P123" s="1050"/>
      <c r="Q123" s="1050"/>
      <c r="R123" s="1050"/>
      <c r="S123" s="1050"/>
      <c r="T123" s="1050"/>
      <c r="U123" s="1050"/>
      <c r="V123" s="1050"/>
      <c r="W123" s="1050"/>
      <c r="X123" s="1050"/>
      <c r="Y123" s="1050"/>
      <c r="Z123" s="1050"/>
      <c r="AA123" s="272"/>
    </row>
    <row r="124" spans="1:58" ht="17.25" customHeight="1" thickTop="1" thickBot="1" x14ac:dyDescent="0.45">
      <c r="D124" s="1037" t="s">
        <v>315</v>
      </c>
      <c r="E124" s="1038"/>
      <c r="F124" s="1038"/>
      <c r="G124" s="1039"/>
      <c r="H124" s="1039"/>
      <c r="I124" s="1051">
        <f>COUNTIF($A$4:$M$42,"25C")+COUNTIF($A$43:$O$81,"25C")+COUNTIF($N$4:$T$19,"25C")+COUNTIF($O$20:$S$23,"25C")+COUNTIF($N$24:$Q$25,"25C")+COUNTIF($N$26:$P$26,"25C")+COUNTIF($P$42,"25C")+COUNTIF($T$21:$T$22,"25C")+COUNTIF($R$24,"25C")+COUNTIF($N$27:$O$28,"25C")</f>
        <v>0</v>
      </c>
      <c r="J124" s="1052"/>
      <c r="M124" s="268"/>
      <c r="Q124" s="1037" t="s">
        <v>316</v>
      </c>
      <c r="R124" s="1038"/>
      <c r="S124" s="1038"/>
      <c r="T124" s="1039"/>
      <c r="U124" s="1039"/>
      <c r="V124" s="1051">
        <f>COUNTIF($T$23:$BI$73,"25C")+COUNTIF($N$29:$S$39,"25C")+COUNTIF($P$47:$S$68,"25C")+COUNTIF($Q$40:$S$42,"25C")+COUNTIF($P$27:$S$28,"25C")+COUNTIF($R$25:$S$25,"25C")+COUNTIF($S$24:$S$24,"25C")</f>
        <v>0</v>
      </c>
      <c r="W124" s="1052"/>
      <c r="AA124" s="303"/>
      <c r="AB124" s="304"/>
      <c r="AC124" s="1053" t="s">
        <v>317</v>
      </c>
      <c r="AD124" s="1054"/>
      <c r="AE124" s="1054"/>
      <c r="AF124" s="1055"/>
      <c r="AG124" s="304"/>
      <c r="AI124" s="305"/>
      <c r="AJ124" s="306"/>
      <c r="AK124" s="306"/>
      <c r="AL124" s="306"/>
      <c r="AM124" s="306"/>
      <c r="AN124" s="306"/>
      <c r="AO124" s="306"/>
      <c r="AP124" s="306"/>
      <c r="AQ124" s="306"/>
      <c r="AR124" s="306"/>
      <c r="AS124" s="306"/>
      <c r="AT124" s="306"/>
      <c r="AU124" s="306"/>
      <c r="AV124" s="306"/>
      <c r="AW124" s="306"/>
      <c r="AX124" s="306"/>
      <c r="AY124" s="306"/>
      <c r="AZ124" s="306"/>
      <c r="BA124" s="307"/>
    </row>
    <row r="125" spans="1:58" ht="17.25" customHeight="1" thickTop="1" thickBot="1" x14ac:dyDescent="0.4">
      <c r="D125" s="1037" t="s">
        <v>318</v>
      </c>
      <c r="E125" s="1038"/>
      <c r="F125" s="1038"/>
      <c r="G125" s="1039"/>
      <c r="H125" s="1039"/>
      <c r="I125" s="1051">
        <f>COUNTIF($A$4:$M$42,"50C")+COUNTIF($A$43:$O$81,"50C")+COUNTIF($N$4:$T$19,"50C")+COUNTIF($O$20:$S$23,"50C")+COUNTIF($N$24:$Q$25,"50C")+COUNTIF($N$26:$P$26,"50C")+COUNTIF($P$42,"50C")+COUNTIF($T$21:$T$22,"50C")+COUNTIF($R$24,"50C")+COUNTIF($N$27:$O$28,"50C")</f>
        <v>16</v>
      </c>
      <c r="J125" s="1052"/>
      <c r="M125" s="268"/>
      <c r="Q125" s="1037" t="s">
        <v>319</v>
      </c>
      <c r="R125" s="1038"/>
      <c r="S125" s="1038"/>
      <c r="T125" s="1039"/>
      <c r="U125" s="1039"/>
      <c r="V125" s="1051">
        <f>COUNTIF($T$23:$BI$73,"50C")+COUNTIF($N$29:$S$39,"50C")+COUNTIF($P$47:$S$68,"50C")+COUNTIF($Q$40:$S$42,"50C")+COUNTIF($P$27:$S$28,"50C")+COUNTIF($R$25:$S$25,"50C")+COUNTIF($S$24:$S$24,"50C")</f>
        <v>18</v>
      </c>
      <c r="W125" s="1052"/>
      <c r="AA125" s="303"/>
      <c r="AC125" s="1056"/>
      <c r="AD125" s="1057"/>
      <c r="AE125" s="1057"/>
      <c r="AF125" s="1058"/>
      <c r="AH125" s="308"/>
      <c r="AI125" s="1044" t="s">
        <v>320</v>
      </c>
      <c r="AJ125" s="1045"/>
      <c r="AK125" s="1045"/>
      <c r="AL125" s="1045"/>
      <c r="AM125" s="1045"/>
      <c r="AN125" s="1046"/>
      <c r="AO125" s="309" t="s">
        <v>299</v>
      </c>
      <c r="AP125" s="310"/>
      <c r="AQ125" s="308"/>
      <c r="AR125" s="907" t="s">
        <v>321</v>
      </c>
      <c r="AS125" s="908"/>
      <c r="AT125" s="908"/>
      <c r="AU125" s="908"/>
      <c r="AV125" s="908"/>
      <c r="AW125" s="904"/>
      <c r="AX125" s="309" t="s">
        <v>299</v>
      </c>
      <c r="AY125" s="310"/>
      <c r="AZ125" s="308"/>
      <c r="BA125" s="311"/>
    </row>
    <row r="126" spans="1:58" ht="17.25" customHeight="1" thickBot="1" x14ac:dyDescent="0.45">
      <c r="A126" s="271"/>
      <c r="B126" s="271"/>
      <c r="C126" s="271"/>
      <c r="D126" s="1037" t="s">
        <v>322</v>
      </c>
      <c r="E126" s="1038"/>
      <c r="F126" s="1038"/>
      <c r="G126" s="1039"/>
      <c r="H126" s="1040"/>
      <c r="I126" s="1041">
        <f>G152</f>
        <v>0</v>
      </c>
      <c r="J126" s="1042"/>
      <c r="K126" s="271"/>
      <c r="L126" s="158"/>
      <c r="M126" s="303"/>
      <c r="N126" s="303"/>
      <c r="O126" s="312"/>
      <c r="P126" s="312"/>
      <c r="Q126" s="1037" t="s">
        <v>323</v>
      </c>
      <c r="R126" s="1038"/>
      <c r="S126" s="1038"/>
      <c r="T126" s="1038"/>
      <c r="U126" s="1043"/>
      <c r="V126" s="1041">
        <f>T152</f>
        <v>0</v>
      </c>
      <c r="W126" s="1042"/>
      <c r="X126" s="312"/>
      <c r="Y126" s="312"/>
      <c r="Z126" s="313"/>
      <c r="AA126" s="303"/>
      <c r="AC126" s="1047" t="s">
        <v>324</v>
      </c>
      <c r="AD126" s="1048"/>
      <c r="AE126" s="314" t="s">
        <v>325</v>
      </c>
      <c r="AF126" s="315" t="s">
        <v>326</v>
      </c>
      <c r="AH126" s="308"/>
      <c r="AI126" s="896" t="s">
        <v>327</v>
      </c>
      <c r="AJ126" s="897"/>
      <c r="AK126" s="897"/>
      <c r="AL126" s="897"/>
      <c r="AM126" s="897"/>
      <c r="AN126" s="316" t="s">
        <v>328</v>
      </c>
      <c r="AO126" s="317">
        <f t="shared" ref="AO126:AO189" si="0">COUNTIF($A$1:$GO$103,AN126)</f>
        <v>0</v>
      </c>
      <c r="AP126" s="318"/>
      <c r="AQ126" s="308"/>
      <c r="AR126" s="911" t="s">
        <v>329</v>
      </c>
      <c r="AS126" s="912"/>
      <c r="AT126" s="912"/>
      <c r="AU126" s="912"/>
      <c r="AV126" s="912"/>
      <c r="AW126" s="321" t="s">
        <v>330</v>
      </c>
      <c r="AX126" s="317">
        <f t="shared" ref="AX126:AX166" si="1">COUNTIF($A$1:$GO$103,AW126)</f>
        <v>0</v>
      </c>
      <c r="AY126" s="322"/>
      <c r="AZ126" s="308"/>
      <c r="BA126" s="311"/>
      <c r="BC126" s="323"/>
      <c r="BD126" s="323"/>
      <c r="BE126" s="323"/>
      <c r="BF126" s="323"/>
    </row>
    <row r="127" spans="1:58" ht="17.25" customHeight="1" thickBot="1" x14ac:dyDescent="0.4">
      <c r="C127" s="324" t="b">
        <v>0</v>
      </c>
      <c r="D127" s="1037" t="s">
        <v>331</v>
      </c>
      <c r="E127" s="1038"/>
      <c r="F127" s="1038"/>
      <c r="G127" s="1039"/>
      <c r="H127" s="1040"/>
      <c r="I127" s="1041">
        <f>G176</f>
        <v>0</v>
      </c>
      <c r="J127" s="1042"/>
      <c r="M127" s="268"/>
      <c r="Q127" s="1037" t="s">
        <v>332</v>
      </c>
      <c r="R127" s="1038"/>
      <c r="S127" s="1038"/>
      <c r="T127" s="1038"/>
      <c r="U127" s="1043"/>
      <c r="V127" s="1041">
        <f>T176</f>
        <v>0</v>
      </c>
      <c r="W127" s="1042"/>
      <c r="AA127" s="324"/>
      <c r="AC127" s="1027" t="s">
        <v>333</v>
      </c>
      <c r="AD127" s="1028"/>
      <c r="AE127" s="1028"/>
      <c r="AF127" s="1028"/>
      <c r="AH127" s="308"/>
      <c r="AI127" s="896" t="s">
        <v>334</v>
      </c>
      <c r="AJ127" s="897"/>
      <c r="AK127" s="897"/>
      <c r="AL127" s="897"/>
      <c r="AM127" s="897"/>
      <c r="AN127" s="325" t="s">
        <v>335</v>
      </c>
      <c r="AO127" s="317">
        <f t="shared" si="0"/>
        <v>0</v>
      </c>
      <c r="AP127" s="318"/>
      <c r="AQ127" s="308"/>
      <c r="AR127" s="911" t="s">
        <v>336</v>
      </c>
      <c r="AS127" s="912"/>
      <c r="AT127" s="912"/>
      <c r="AU127" s="912"/>
      <c r="AV127" s="912"/>
      <c r="AW127" s="326" t="s">
        <v>337</v>
      </c>
      <c r="AX127" s="317">
        <f t="shared" si="1"/>
        <v>0</v>
      </c>
      <c r="AY127" s="327"/>
      <c r="AZ127" s="308"/>
      <c r="BA127" s="311"/>
      <c r="BC127" s="328"/>
      <c r="BD127" s="328"/>
      <c r="BE127" s="329"/>
      <c r="BF127" s="329"/>
    </row>
    <row r="128" spans="1:58" ht="17.25" customHeight="1" thickBot="1" x14ac:dyDescent="0.4">
      <c r="C128" s="324" t="b">
        <v>0</v>
      </c>
      <c r="D128" s="1032" t="s">
        <v>338</v>
      </c>
      <c r="E128" s="1033"/>
      <c r="F128" s="1033"/>
      <c r="G128" s="1033"/>
      <c r="H128" s="1034"/>
      <c r="I128" s="1035">
        <f>G228</f>
        <v>0</v>
      </c>
      <c r="J128" s="1036"/>
      <c r="M128" s="268"/>
      <c r="Q128" s="1032" t="s">
        <v>339</v>
      </c>
      <c r="R128" s="1033"/>
      <c r="S128" s="1033"/>
      <c r="T128" s="1033"/>
      <c r="U128" s="1034"/>
      <c r="V128" s="1035">
        <f>T228</f>
        <v>0</v>
      </c>
      <c r="W128" s="1036"/>
      <c r="AA128" s="268"/>
      <c r="AC128" s="330" t="s">
        <v>320</v>
      </c>
      <c r="AD128" s="331" t="s">
        <v>320</v>
      </c>
      <c r="AE128" s="332">
        <f>AO202</f>
        <v>0</v>
      </c>
      <c r="AF128" s="333" t="str">
        <f>IFERROR(AE128/$J$4,"")</f>
        <v/>
      </c>
      <c r="AH128" s="308"/>
      <c r="AI128" s="896" t="s">
        <v>340</v>
      </c>
      <c r="AJ128" s="897"/>
      <c r="AK128" s="897"/>
      <c r="AL128" s="897"/>
      <c r="AM128" s="897"/>
      <c r="AN128" s="334" t="s">
        <v>341</v>
      </c>
      <c r="AO128" s="317">
        <f t="shared" si="0"/>
        <v>0</v>
      </c>
      <c r="AP128" s="318"/>
      <c r="AQ128" s="308"/>
      <c r="AR128" s="911" t="s">
        <v>342</v>
      </c>
      <c r="AS128" s="912"/>
      <c r="AT128" s="912"/>
      <c r="AU128" s="912"/>
      <c r="AV128" s="912"/>
      <c r="AW128" s="335" t="s">
        <v>343</v>
      </c>
      <c r="AX128" s="317">
        <f t="shared" si="1"/>
        <v>0</v>
      </c>
      <c r="AY128" s="327"/>
      <c r="AZ128" s="308"/>
      <c r="BA128" s="311"/>
      <c r="BC128" s="328"/>
      <c r="BD128" s="328"/>
      <c r="BE128" s="329"/>
      <c r="BF128" s="329"/>
    </row>
    <row r="129" spans="1:58" ht="17.25" customHeight="1" x14ac:dyDescent="0.35">
      <c r="A129" s="336"/>
      <c r="B129" s="336"/>
      <c r="C129" s="337"/>
      <c r="D129" s="338"/>
      <c r="E129" s="338"/>
      <c r="F129" s="338"/>
      <c r="G129" s="338"/>
      <c r="H129" s="338"/>
      <c r="I129" s="339"/>
      <c r="J129" s="339"/>
      <c r="K129" s="336"/>
      <c r="L129" s="336"/>
      <c r="M129" s="340"/>
      <c r="N129" s="336"/>
      <c r="O129" s="336"/>
      <c r="P129" s="336"/>
      <c r="Q129" s="338"/>
      <c r="R129" s="338"/>
      <c r="S129" s="338"/>
      <c r="T129" s="338"/>
      <c r="U129" s="338"/>
      <c r="V129" s="339"/>
      <c r="W129" s="339"/>
      <c r="X129" s="336"/>
      <c r="Y129" s="336"/>
      <c r="Z129" s="336"/>
      <c r="AA129" s="324"/>
      <c r="AC129" s="330" t="s">
        <v>344</v>
      </c>
      <c r="AD129" s="341" t="s">
        <v>345</v>
      </c>
      <c r="AE129" s="332">
        <f>AX302</f>
        <v>0</v>
      </c>
      <c r="AF129" s="333" t="str">
        <f t="shared" ref="AF129:AF150" si="2">IFERROR(AE129/$J$4,"")</f>
        <v/>
      </c>
      <c r="AH129" s="308"/>
      <c r="AI129" s="896" t="s">
        <v>346</v>
      </c>
      <c r="AJ129" s="897"/>
      <c r="AK129" s="897"/>
      <c r="AL129" s="897"/>
      <c r="AM129" s="897"/>
      <c r="AN129" s="342" t="s">
        <v>347</v>
      </c>
      <c r="AO129" s="317">
        <f t="shared" si="0"/>
        <v>0</v>
      </c>
      <c r="AP129" s="318"/>
      <c r="AQ129" s="308"/>
      <c r="AR129" s="911" t="s">
        <v>348</v>
      </c>
      <c r="AS129" s="912"/>
      <c r="AT129" s="912"/>
      <c r="AU129" s="912"/>
      <c r="AV129" s="912"/>
      <c r="AW129" s="343" t="s">
        <v>349</v>
      </c>
      <c r="AX129" s="317">
        <f t="shared" si="1"/>
        <v>0</v>
      </c>
      <c r="AY129" s="327"/>
      <c r="AZ129" s="308"/>
      <c r="BA129" s="311"/>
      <c r="BC129" s="344"/>
      <c r="BD129" s="344"/>
      <c r="BE129" s="345"/>
      <c r="BF129" s="345"/>
    </row>
    <row r="130" spans="1:58" ht="17.25" customHeight="1" thickBot="1" x14ac:dyDescent="0.3">
      <c r="A130" s="1029" t="s">
        <v>350</v>
      </c>
      <c r="B130" s="1030"/>
      <c r="C130" s="1030"/>
      <c r="D130" s="1030"/>
      <c r="E130" s="1030"/>
      <c r="F130" s="1030"/>
      <c r="G130" s="1030"/>
      <c r="H130" s="1030"/>
      <c r="I130" s="1031"/>
      <c r="J130" s="346" t="s">
        <v>351</v>
      </c>
      <c r="K130" s="346" t="s">
        <v>352</v>
      </c>
      <c r="L130" s="346" t="s">
        <v>353</v>
      </c>
      <c r="M130" s="324"/>
      <c r="N130" s="1029" t="s">
        <v>350</v>
      </c>
      <c r="O130" s="1030"/>
      <c r="P130" s="1030"/>
      <c r="Q130" s="1030"/>
      <c r="R130" s="1030"/>
      <c r="S130" s="1030"/>
      <c r="T130" s="1030"/>
      <c r="U130" s="1030"/>
      <c r="V130" s="1031"/>
      <c r="W130" s="347" t="s">
        <v>351</v>
      </c>
      <c r="X130" s="347" t="s">
        <v>352</v>
      </c>
      <c r="Y130" s="347" t="s">
        <v>353</v>
      </c>
      <c r="Z130" s="347" t="s">
        <v>354</v>
      </c>
      <c r="AA130" s="324"/>
      <c r="AC130" s="330" t="s">
        <v>355</v>
      </c>
      <c r="AD130" s="348" t="s">
        <v>356</v>
      </c>
      <c r="AE130" s="332">
        <f>AO235</f>
        <v>0</v>
      </c>
      <c r="AF130" s="333" t="str">
        <f t="shared" si="2"/>
        <v/>
      </c>
      <c r="AH130" s="308"/>
      <c r="AI130" s="896" t="s">
        <v>357</v>
      </c>
      <c r="AJ130" s="897"/>
      <c r="AK130" s="897"/>
      <c r="AL130" s="897"/>
      <c r="AM130" s="897"/>
      <c r="AN130" s="349" t="s">
        <v>358</v>
      </c>
      <c r="AO130" s="317">
        <f t="shared" si="0"/>
        <v>0</v>
      </c>
      <c r="AP130" s="318"/>
      <c r="AQ130" s="308"/>
      <c r="AR130" s="911" t="s">
        <v>359</v>
      </c>
      <c r="AS130" s="912"/>
      <c r="AT130" s="912"/>
      <c r="AU130" s="912"/>
      <c r="AV130" s="912"/>
      <c r="AW130" s="343" t="s">
        <v>360</v>
      </c>
      <c r="AX130" s="317">
        <f t="shared" si="1"/>
        <v>0</v>
      </c>
      <c r="AY130" s="327"/>
      <c r="AZ130" s="308"/>
      <c r="BA130" s="311"/>
      <c r="BC130" s="328"/>
      <c r="BD130" s="328"/>
      <c r="BE130" s="350"/>
      <c r="BF130" s="350"/>
    </row>
    <row r="131" spans="1:58" ht="17.25" customHeight="1" thickBot="1" x14ac:dyDescent="0.3">
      <c r="A131" s="978" t="s">
        <v>70</v>
      </c>
      <c r="B131" s="979"/>
      <c r="C131" s="980"/>
      <c r="D131" s="351" t="s">
        <v>25</v>
      </c>
      <c r="E131" s="352"/>
      <c r="F131" s="353" t="s">
        <v>69</v>
      </c>
      <c r="G131" s="926">
        <f t="shared" ref="G131:G151" si="3">COUNTIF($A$4:$M$42,F131)+COUNTIF($A$43:$O$81,F131)+COUNTIF($N$4:$T$19,F131)+COUNTIF($O$20:$S$23,F131)+COUNTIF($N$24:$Q$25,F131)+COUNTIF($N$26:$P$26,F131)+COUNTIF($P$42,F131)+COUNTIF($T$21:$T$22,F131)+COUNTIF($R$24,F131)+COUNTIF($N$27:$O$28,F131)</f>
        <v>0</v>
      </c>
      <c r="H131" s="927"/>
      <c r="I131" s="928"/>
      <c r="J131" s="354">
        <v>0</v>
      </c>
      <c r="K131" s="355">
        <v>0</v>
      </c>
      <c r="L131" s="356">
        <f>G131-K131-J131</f>
        <v>0</v>
      </c>
      <c r="M131" s="324"/>
      <c r="N131" s="978" t="s">
        <v>70</v>
      </c>
      <c r="O131" s="979"/>
      <c r="P131" s="980"/>
      <c r="Q131" s="351" t="s">
        <v>25</v>
      </c>
      <c r="R131" s="352"/>
      <c r="S131" s="353" t="s">
        <v>69</v>
      </c>
      <c r="T131" s="929">
        <f t="shared" ref="T131:T151" si="4">COUNTIF($T$23:$BI$73,S131)+COUNTIF($N$29:$S$39,S131)+COUNTIF($P$47:$S$68,S131)+COUNTIF($Q$40:$S$42,S131)+COUNTIF($P$27:$S$28,S131)+COUNTIF($R$25:$S$25,S131)+COUNTIF($S$24:$S$24,S131)</f>
        <v>0</v>
      </c>
      <c r="U131" s="929"/>
      <c r="V131" s="929"/>
      <c r="W131" s="354">
        <v>0</v>
      </c>
      <c r="X131" s="355">
        <v>0</v>
      </c>
      <c r="Y131" s="356">
        <f t="shared" ref="Y131:Y151" si="5">T131-X131-W131</f>
        <v>0</v>
      </c>
      <c r="Z131" s="357">
        <f t="shared" ref="Z131:Z195" si="6">T131+G131</f>
        <v>0</v>
      </c>
      <c r="AA131" s="324"/>
      <c r="AC131" s="330" t="s">
        <v>361</v>
      </c>
      <c r="AD131" s="358" t="s">
        <v>362</v>
      </c>
      <c r="AE131" s="332">
        <f>AX279</f>
        <v>0</v>
      </c>
      <c r="AF131" s="333" t="str">
        <f t="shared" si="2"/>
        <v/>
      </c>
      <c r="AH131" s="308"/>
      <c r="AI131" s="896" t="s">
        <v>363</v>
      </c>
      <c r="AJ131" s="897"/>
      <c r="AK131" s="897"/>
      <c r="AL131" s="897"/>
      <c r="AM131" s="897"/>
      <c r="AN131" s="359" t="s">
        <v>364</v>
      </c>
      <c r="AO131" s="317">
        <f t="shared" si="0"/>
        <v>0</v>
      </c>
      <c r="AP131" s="318"/>
      <c r="AQ131" s="308"/>
      <c r="AR131" s="911" t="s">
        <v>365</v>
      </c>
      <c r="AS131" s="912"/>
      <c r="AT131" s="912"/>
      <c r="AU131" s="912"/>
      <c r="AV131" s="912"/>
      <c r="AW131" s="360" t="s">
        <v>366</v>
      </c>
      <c r="AX131" s="317">
        <f t="shared" si="1"/>
        <v>0</v>
      </c>
      <c r="AY131" s="327"/>
      <c r="AZ131" s="308"/>
      <c r="BA131" s="311"/>
      <c r="BC131" s="328"/>
      <c r="BD131" s="328"/>
      <c r="BE131" s="328"/>
      <c r="BF131" s="328"/>
    </row>
    <row r="132" spans="1:58" ht="17.25" customHeight="1" thickBot="1" x14ac:dyDescent="0.3">
      <c r="A132" s="978" t="s">
        <v>28</v>
      </c>
      <c r="B132" s="979"/>
      <c r="C132" s="980"/>
      <c r="D132" s="351"/>
      <c r="E132" s="352" t="s">
        <v>367</v>
      </c>
      <c r="F132" s="361" t="s">
        <v>25</v>
      </c>
      <c r="G132" s="926">
        <f t="shared" si="3"/>
        <v>0</v>
      </c>
      <c r="H132" s="927"/>
      <c r="I132" s="928"/>
      <c r="J132" s="354">
        <v>0</v>
      </c>
      <c r="K132" s="355">
        <v>0</v>
      </c>
      <c r="L132" s="356">
        <f t="shared" ref="L132:L151" si="7">G132-K132-J132</f>
        <v>0</v>
      </c>
      <c r="M132" s="324"/>
      <c r="N132" s="978" t="s">
        <v>28</v>
      </c>
      <c r="O132" s="979"/>
      <c r="P132" s="980"/>
      <c r="Q132" s="351"/>
      <c r="R132" s="352" t="s">
        <v>367</v>
      </c>
      <c r="S132" s="361" t="s">
        <v>25</v>
      </c>
      <c r="T132" s="929">
        <f t="shared" si="4"/>
        <v>0</v>
      </c>
      <c r="U132" s="929"/>
      <c r="V132" s="929"/>
      <c r="W132" s="354">
        <v>0</v>
      </c>
      <c r="X132" s="355">
        <v>0</v>
      </c>
      <c r="Y132" s="356">
        <f t="shared" si="5"/>
        <v>0</v>
      </c>
      <c r="Z132" s="357">
        <f t="shared" si="6"/>
        <v>0</v>
      </c>
      <c r="AA132" s="324"/>
      <c r="AC132" s="330" t="s">
        <v>368</v>
      </c>
      <c r="AD132" s="362" t="s">
        <v>368</v>
      </c>
      <c r="AE132" s="332">
        <f>AX224</f>
        <v>0</v>
      </c>
      <c r="AF132" s="333" t="str">
        <f t="shared" si="2"/>
        <v/>
      </c>
      <c r="AH132" s="308"/>
      <c r="AI132" s="896" t="s">
        <v>369</v>
      </c>
      <c r="AJ132" s="897"/>
      <c r="AK132" s="897"/>
      <c r="AL132" s="897"/>
      <c r="AM132" s="897"/>
      <c r="AN132" s="363" t="s">
        <v>370</v>
      </c>
      <c r="AO132" s="317">
        <f t="shared" si="0"/>
        <v>0</v>
      </c>
      <c r="AP132" s="318"/>
      <c r="AQ132" s="308"/>
      <c r="AR132" s="911" t="s">
        <v>371</v>
      </c>
      <c r="AS132" s="912"/>
      <c r="AT132" s="912"/>
      <c r="AU132" s="912"/>
      <c r="AV132" s="912"/>
      <c r="AW132" s="364" t="s">
        <v>372</v>
      </c>
      <c r="AX132" s="317">
        <f t="shared" si="1"/>
        <v>0</v>
      </c>
      <c r="AY132" s="327"/>
      <c r="AZ132" s="308"/>
      <c r="BA132" s="311"/>
      <c r="BC132" s="328"/>
      <c r="BD132" s="328"/>
      <c r="BE132" s="329"/>
      <c r="BF132" s="329"/>
    </row>
    <row r="133" spans="1:58" ht="17.25" customHeight="1" thickBot="1" x14ac:dyDescent="0.3">
      <c r="A133" s="978" t="s">
        <v>22</v>
      </c>
      <c r="B133" s="979"/>
      <c r="C133" s="980"/>
      <c r="D133" s="351"/>
      <c r="E133" s="352" t="s">
        <v>367</v>
      </c>
      <c r="F133" s="365" t="s">
        <v>71</v>
      </c>
      <c r="G133" s="926">
        <f t="shared" si="3"/>
        <v>0</v>
      </c>
      <c r="H133" s="927"/>
      <c r="I133" s="928"/>
      <c r="J133" s="354">
        <v>0</v>
      </c>
      <c r="K133" s="355">
        <v>0</v>
      </c>
      <c r="L133" s="356">
        <f t="shared" si="7"/>
        <v>0</v>
      </c>
      <c r="M133" s="324"/>
      <c r="N133" s="978" t="s">
        <v>22</v>
      </c>
      <c r="O133" s="979"/>
      <c r="P133" s="980"/>
      <c r="Q133" s="351"/>
      <c r="R133" s="352" t="s">
        <v>367</v>
      </c>
      <c r="S133" s="365" t="s">
        <v>71</v>
      </c>
      <c r="T133" s="929">
        <f t="shared" si="4"/>
        <v>0</v>
      </c>
      <c r="U133" s="929"/>
      <c r="V133" s="929"/>
      <c r="W133" s="354">
        <v>0</v>
      </c>
      <c r="X133" s="355">
        <v>0</v>
      </c>
      <c r="Y133" s="356">
        <f t="shared" si="5"/>
        <v>0</v>
      </c>
      <c r="Z133" s="357">
        <f t="shared" si="6"/>
        <v>0</v>
      </c>
      <c r="AA133" s="324"/>
      <c r="AC133" s="330" t="s">
        <v>373</v>
      </c>
      <c r="AD133" s="366" t="s">
        <v>373</v>
      </c>
      <c r="AE133" s="332">
        <f>AO241</f>
        <v>0</v>
      </c>
      <c r="AF133" s="333" t="str">
        <f t="shared" si="2"/>
        <v/>
      </c>
      <c r="AH133" s="308"/>
      <c r="AI133" s="896" t="s">
        <v>374</v>
      </c>
      <c r="AJ133" s="897"/>
      <c r="AK133" s="897"/>
      <c r="AL133" s="897"/>
      <c r="AM133" s="897"/>
      <c r="AN133" s="367" t="s">
        <v>375</v>
      </c>
      <c r="AO133" s="317">
        <f t="shared" si="0"/>
        <v>0</v>
      </c>
      <c r="AP133" s="318"/>
      <c r="AQ133" s="308"/>
      <c r="AR133" s="911" t="s">
        <v>376</v>
      </c>
      <c r="AS133" s="912"/>
      <c r="AT133" s="912"/>
      <c r="AU133" s="912"/>
      <c r="AV133" s="912"/>
      <c r="AW133" s="368" t="s">
        <v>377</v>
      </c>
      <c r="AX133" s="317">
        <f t="shared" si="1"/>
        <v>0</v>
      </c>
      <c r="AY133" s="327"/>
      <c r="AZ133" s="308"/>
      <c r="BA133" s="311"/>
      <c r="BC133" s="344"/>
      <c r="BD133" s="344"/>
      <c r="BE133" s="369"/>
      <c r="BF133" s="369"/>
    </row>
    <row r="134" spans="1:58" ht="17.25" customHeight="1" thickBot="1" x14ac:dyDescent="0.3">
      <c r="A134" s="978" t="s">
        <v>73</v>
      </c>
      <c r="B134" s="979"/>
      <c r="C134" s="980"/>
      <c r="D134" s="351" t="s">
        <v>378</v>
      </c>
      <c r="E134" s="352" t="s">
        <v>367</v>
      </c>
      <c r="F134" s="370" t="s">
        <v>72</v>
      </c>
      <c r="G134" s="926">
        <f t="shared" si="3"/>
        <v>0</v>
      </c>
      <c r="H134" s="927"/>
      <c r="I134" s="928"/>
      <c r="J134" s="354">
        <v>0</v>
      </c>
      <c r="K134" s="355">
        <v>0</v>
      </c>
      <c r="L134" s="356">
        <f t="shared" si="7"/>
        <v>0</v>
      </c>
      <c r="M134" s="324"/>
      <c r="N134" s="978" t="s">
        <v>73</v>
      </c>
      <c r="O134" s="979"/>
      <c r="P134" s="980"/>
      <c r="Q134" s="351" t="s">
        <v>378</v>
      </c>
      <c r="R134" s="352" t="s">
        <v>367</v>
      </c>
      <c r="S134" s="370" t="s">
        <v>72</v>
      </c>
      <c r="T134" s="929">
        <f t="shared" si="4"/>
        <v>0</v>
      </c>
      <c r="U134" s="929"/>
      <c r="V134" s="929"/>
      <c r="W134" s="354">
        <v>0</v>
      </c>
      <c r="X134" s="355">
        <v>0</v>
      </c>
      <c r="Y134" s="356">
        <f t="shared" si="5"/>
        <v>0</v>
      </c>
      <c r="Z134" s="357">
        <f t="shared" si="6"/>
        <v>0</v>
      </c>
      <c r="AA134" s="324"/>
      <c r="AC134" s="330" t="s">
        <v>379</v>
      </c>
      <c r="AD134" s="371" t="s">
        <v>380</v>
      </c>
      <c r="AE134" s="332">
        <f>AO252</f>
        <v>0</v>
      </c>
      <c r="AF134" s="333" t="str">
        <f t="shared" si="2"/>
        <v/>
      </c>
      <c r="AH134" s="308"/>
      <c r="AI134" s="896" t="s">
        <v>381</v>
      </c>
      <c r="AJ134" s="897"/>
      <c r="AK134" s="897"/>
      <c r="AL134" s="897"/>
      <c r="AM134" s="897"/>
      <c r="AN134" s="372" t="s">
        <v>382</v>
      </c>
      <c r="AO134" s="317">
        <f t="shared" si="0"/>
        <v>0</v>
      </c>
      <c r="AP134" s="318"/>
      <c r="AQ134" s="308"/>
      <c r="AR134" s="911" t="s">
        <v>383</v>
      </c>
      <c r="AS134" s="912"/>
      <c r="AT134" s="912"/>
      <c r="AU134" s="912"/>
      <c r="AV134" s="912"/>
      <c r="AW134" s="373" t="s">
        <v>384</v>
      </c>
      <c r="AX134" s="317">
        <f t="shared" si="1"/>
        <v>0</v>
      </c>
      <c r="AY134" s="327"/>
      <c r="AZ134" s="308"/>
      <c r="BA134" s="311"/>
    </row>
    <row r="135" spans="1:58" ht="17.25" customHeight="1" thickBot="1" x14ac:dyDescent="0.3">
      <c r="A135" s="978" t="s">
        <v>45</v>
      </c>
      <c r="B135" s="979"/>
      <c r="C135" s="980"/>
      <c r="D135" s="351"/>
      <c r="E135" s="352" t="s">
        <v>367</v>
      </c>
      <c r="F135" s="374" t="s">
        <v>46</v>
      </c>
      <c r="G135" s="926">
        <f t="shared" si="3"/>
        <v>0</v>
      </c>
      <c r="H135" s="927"/>
      <c r="I135" s="928"/>
      <c r="J135" s="354">
        <v>0</v>
      </c>
      <c r="K135" s="355">
        <v>0</v>
      </c>
      <c r="L135" s="356">
        <f t="shared" si="7"/>
        <v>0</v>
      </c>
      <c r="M135" s="324"/>
      <c r="N135" s="978" t="s">
        <v>45</v>
      </c>
      <c r="O135" s="979"/>
      <c r="P135" s="980"/>
      <c r="Q135" s="351"/>
      <c r="R135" s="352" t="s">
        <v>367</v>
      </c>
      <c r="S135" s="374" t="s">
        <v>46</v>
      </c>
      <c r="T135" s="929">
        <f t="shared" si="4"/>
        <v>0</v>
      </c>
      <c r="U135" s="929"/>
      <c r="V135" s="929"/>
      <c r="W135" s="354">
        <v>0</v>
      </c>
      <c r="X135" s="355">
        <v>0</v>
      </c>
      <c r="Y135" s="356">
        <f t="shared" si="5"/>
        <v>0</v>
      </c>
      <c r="Z135" s="357">
        <f t="shared" si="6"/>
        <v>0</v>
      </c>
      <c r="AA135" s="324" t="b">
        <f>IFERROR(T137&gt;0.5,FALSE)</f>
        <v>0</v>
      </c>
      <c r="AC135" s="330" t="s">
        <v>385</v>
      </c>
      <c r="AD135" s="375" t="s">
        <v>386</v>
      </c>
      <c r="AE135" s="332">
        <f>AO308</f>
        <v>0</v>
      </c>
      <c r="AF135" s="333" t="str">
        <f t="shared" si="2"/>
        <v/>
      </c>
      <c r="AH135" s="308"/>
      <c r="AI135" s="896" t="s">
        <v>387</v>
      </c>
      <c r="AJ135" s="897"/>
      <c r="AK135" s="897"/>
      <c r="AL135" s="897"/>
      <c r="AM135" s="897"/>
      <c r="AN135" s="376" t="s">
        <v>388</v>
      </c>
      <c r="AO135" s="317">
        <f t="shared" si="0"/>
        <v>0</v>
      </c>
      <c r="AP135" s="318"/>
      <c r="AQ135" s="308"/>
      <c r="AR135" s="911" t="s">
        <v>389</v>
      </c>
      <c r="AS135" s="912"/>
      <c r="AT135" s="912"/>
      <c r="AU135" s="912"/>
      <c r="AV135" s="912"/>
      <c r="AW135" s="377" t="s">
        <v>390</v>
      </c>
      <c r="AX135" s="317">
        <f t="shared" si="1"/>
        <v>0</v>
      </c>
      <c r="AY135" s="327"/>
      <c r="AZ135" s="308"/>
      <c r="BA135" s="311"/>
    </row>
    <row r="136" spans="1:58" ht="17.25" customHeight="1" thickBot="1" x14ac:dyDescent="0.3">
      <c r="A136" s="978" t="s">
        <v>75</v>
      </c>
      <c r="B136" s="979"/>
      <c r="C136" s="980"/>
      <c r="D136" s="351" t="s">
        <v>137</v>
      </c>
      <c r="E136" s="352" t="s">
        <v>367</v>
      </c>
      <c r="F136" s="378" t="s">
        <v>74</v>
      </c>
      <c r="G136" s="926">
        <f t="shared" si="3"/>
        <v>0</v>
      </c>
      <c r="H136" s="927"/>
      <c r="I136" s="928"/>
      <c r="J136" s="354">
        <v>0</v>
      </c>
      <c r="K136" s="355">
        <v>0</v>
      </c>
      <c r="L136" s="356">
        <f t="shared" si="7"/>
        <v>0</v>
      </c>
      <c r="M136" s="324"/>
      <c r="N136" s="978" t="s">
        <v>75</v>
      </c>
      <c r="O136" s="979"/>
      <c r="P136" s="980"/>
      <c r="Q136" s="351" t="s">
        <v>137</v>
      </c>
      <c r="R136" s="352" t="s">
        <v>367</v>
      </c>
      <c r="S136" s="378" t="s">
        <v>74</v>
      </c>
      <c r="T136" s="929">
        <f t="shared" si="4"/>
        <v>0</v>
      </c>
      <c r="U136" s="929"/>
      <c r="V136" s="929"/>
      <c r="W136" s="354">
        <v>0</v>
      </c>
      <c r="X136" s="355">
        <v>0</v>
      </c>
      <c r="Y136" s="356">
        <f t="shared" si="5"/>
        <v>0</v>
      </c>
      <c r="Z136" s="357">
        <f t="shared" si="6"/>
        <v>0</v>
      </c>
      <c r="AA136" s="324" t="b">
        <f>IFERROR(T138&gt;0.5,FALSE)</f>
        <v>0</v>
      </c>
      <c r="AC136" s="330" t="s">
        <v>391</v>
      </c>
      <c r="AD136" s="379" t="s">
        <v>392</v>
      </c>
      <c r="AE136" s="332">
        <f>AO272</f>
        <v>0</v>
      </c>
      <c r="AF136" s="333" t="str">
        <f t="shared" si="2"/>
        <v/>
      </c>
      <c r="AH136" s="308"/>
      <c r="AI136" s="896" t="s">
        <v>393</v>
      </c>
      <c r="AJ136" s="897"/>
      <c r="AK136" s="897"/>
      <c r="AL136" s="897"/>
      <c r="AM136" s="897"/>
      <c r="AN136" s="380" t="s">
        <v>394</v>
      </c>
      <c r="AO136" s="317">
        <f t="shared" si="0"/>
        <v>0</v>
      </c>
      <c r="AP136" s="318"/>
      <c r="AQ136" s="308"/>
      <c r="AR136" s="911" t="s">
        <v>395</v>
      </c>
      <c r="AS136" s="912"/>
      <c r="AT136" s="912"/>
      <c r="AU136" s="912"/>
      <c r="AV136" s="912"/>
      <c r="AW136" s="381" t="s">
        <v>396</v>
      </c>
      <c r="AX136" s="317">
        <f t="shared" si="1"/>
        <v>0</v>
      </c>
      <c r="AY136" s="327"/>
      <c r="AZ136" s="308"/>
      <c r="BA136" s="311"/>
    </row>
    <row r="137" spans="1:58" ht="17.25" customHeight="1" thickBot="1" x14ac:dyDescent="0.3">
      <c r="A137" s="978" t="s">
        <v>8</v>
      </c>
      <c r="B137" s="979"/>
      <c r="C137" s="980"/>
      <c r="D137" s="351"/>
      <c r="E137" s="352" t="s">
        <v>367</v>
      </c>
      <c r="F137" s="382" t="s">
        <v>9</v>
      </c>
      <c r="G137" s="926">
        <f t="shared" si="3"/>
        <v>0</v>
      </c>
      <c r="H137" s="927"/>
      <c r="I137" s="928"/>
      <c r="J137" s="354">
        <v>0</v>
      </c>
      <c r="K137" s="355">
        <v>0</v>
      </c>
      <c r="L137" s="356">
        <f t="shared" si="7"/>
        <v>0</v>
      </c>
      <c r="M137" s="324"/>
      <c r="N137" s="978" t="s">
        <v>8</v>
      </c>
      <c r="O137" s="979"/>
      <c r="P137" s="980"/>
      <c r="Q137" s="351"/>
      <c r="R137" s="352" t="s">
        <v>367</v>
      </c>
      <c r="S137" s="382" t="s">
        <v>9</v>
      </c>
      <c r="T137" s="929">
        <f t="shared" si="4"/>
        <v>0</v>
      </c>
      <c r="U137" s="929"/>
      <c r="V137" s="929"/>
      <c r="W137" s="354">
        <v>0</v>
      </c>
      <c r="X137" s="355">
        <v>0</v>
      </c>
      <c r="Y137" s="356">
        <f t="shared" si="5"/>
        <v>0</v>
      </c>
      <c r="Z137" s="357">
        <f t="shared" si="6"/>
        <v>0</v>
      </c>
      <c r="AA137" s="324"/>
      <c r="AC137" s="330" t="s">
        <v>397</v>
      </c>
      <c r="AD137" s="383" t="s">
        <v>57</v>
      </c>
      <c r="AE137" s="332">
        <f>AX265</f>
        <v>0</v>
      </c>
      <c r="AF137" s="333" t="str">
        <f t="shared" si="2"/>
        <v/>
      </c>
      <c r="AH137" s="308"/>
      <c r="AI137" s="896" t="s">
        <v>398</v>
      </c>
      <c r="AJ137" s="897"/>
      <c r="AK137" s="897"/>
      <c r="AL137" s="897"/>
      <c r="AM137" s="897"/>
      <c r="AN137" s="384" t="s">
        <v>399</v>
      </c>
      <c r="AO137" s="317">
        <f t="shared" si="0"/>
        <v>0</v>
      </c>
      <c r="AP137" s="318"/>
      <c r="AQ137" s="308"/>
      <c r="AR137" s="911" t="s">
        <v>400</v>
      </c>
      <c r="AS137" s="912"/>
      <c r="AT137" s="912"/>
      <c r="AU137" s="912"/>
      <c r="AV137" s="912"/>
      <c r="AW137" s="385" t="s">
        <v>401</v>
      </c>
      <c r="AX137" s="317">
        <f t="shared" si="1"/>
        <v>0</v>
      </c>
      <c r="AY137" s="327"/>
      <c r="AZ137" s="308"/>
      <c r="BA137" s="311"/>
    </row>
    <row r="138" spans="1:58" ht="17.25" customHeight="1" thickBot="1" x14ac:dyDescent="0.3">
      <c r="A138" s="978" t="s">
        <v>15</v>
      </c>
      <c r="B138" s="979"/>
      <c r="C138" s="980"/>
      <c r="D138" s="351"/>
      <c r="E138" s="352"/>
      <c r="F138" s="386" t="s">
        <v>14</v>
      </c>
      <c r="G138" s="926">
        <f t="shared" si="3"/>
        <v>0</v>
      </c>
      <c r="H138" s="927"/>
      <c r="I138" s="928"/>
      <c r="J138" s="354">
        <v>0</v>
      </c>
      <c r="K138" s="355">
        <v>0</v>
      </c>
      <c r="L138" s="356">
        <f t="shared" si="7"/>
        <v>0</v>
      </c>
      <c r="M138" s="324"/>
      <c r="N138" s="978" t="s">
        <v>15</v>
      </c>
      <c r="O138" s="979"/>
      <c r="P138" s="980"/>
      <c r="Q138" s="351"/>
      <c r="R138" s="352"/>
      <c r="S138" s="386" t="s">
        <v>14</v>
      </c>
      <c r="T138" s="929">
        <f t="shared" si="4"/>
        <v>0</v>
      </c>
      <c r="U138" s="929"/>
      <c r="V138" s="929"/>
      <c r="W138" s="354">
        <v>0</v>
      </c>
      <c r="X138" s="355">
        <v>0</v>
      </c>
      <c r="Y138" s="356">
        <f t="shared" si="5"/>
        <v>0</v>
      </c>
      <c r="Z138" s="357">
        <f t="shared" si="6"/>
        <v>0</v>
      </c>
      <c r="AA138" s="324"/>
      <c r="AC138" s="330" t="s">
        <v>402</v>
      </c>
      <c r="AD138" s="387" t="s">
        <v>402</v>
      </c>
      <c r="AE138" s="332">
        <f>AX270</f>
        <v>0</v>
      </c>
      <c r="AF138" s="333" t="str">
        <f t="shared" si="2"/>
        <v/>
      </c>
      <c r="AH138" s="308"/>
      <c r="AI138" s="896" t="s">
        <v>403</v>
      </c>
      <c r="AJ138" s="897"/>
      <c r="AK138" s="897"/>
      <c r="AL138" s="897"/>
      <c r="AM138" s="897"/>
      <c r="AN138" s="384" t="s">
        <v>404</v>
      </c>
      <c r="AO138" s="317">
        <f t="shared" si="0"/>
        <v>0</v>
      </c>
      <c r="AP138" s="318"/>
      <c r="AQ138" s="308"/>
      <c r="AR138" s="911" t="s">
        <v>405</v>
      </c>
      <c r="AS138" s="912"/>
      <c r="AT138" s="912"/>
      <c r="AU138" s="912"/>
      <c r="AV138" s="912"/>
      <c r="AW138" s="388" t="s">
        <v>406</v>
      </c>
      <c r="AX138" s="317">
        <f t="shared" si="1"/>
        <v>0</v>
      </c>
      <c r="AY138" s="327"/>
      <c r="AZ138" s="308"/>
      <c r="BA138" s="311"/>
    </row>
    <row r="139" spans="1:58" ht="17.25" customHeight="1" thickBot="1" x14ac:dyDescent="0.3">
      <c r="A139" s="978" t="s">
        <v>29</v>
      </c>
      <c r="B139" s="979"/>
      <c r="C139" s="980"/>
      <c r="D139" s="351"/>
      <c r="E139" s="352"/>
      <c r="F139" s="389" t="s">
        <v>26</v>
      </c>
      <c r="G139" s="926">
        <f t="shared" si="3"/>
        <v>0</v>
      </c>
      <c r="H139" s="927"/>
      <c r="I139" s="928"/>
      <c r="J139" s="354">
        <v>0</v>
      </c>
      <c r="K139" s="355">
        <v>0</v>
      </c>
      <c r="L139" s="356">
        <f t="shared" si="7"/>
        <v>0</v>
      </c>
      <c r="M139" s="324"/>
      <c r="N139" s="978" t="s">
        <v>29</v>
      </c>
      <c r="O139" s="979"/>
      <c r="P139" s="980"/>
      <c r="Q139" s="351"/>
      <c r="R139" s="352"/>
      <c r="S139" s="389" t="s">
        <v>26</v>
      </c>
      <c r="T139" s="929">
        <f t="shared" si="4"/>
        <v>0</v>
      </c>
      <c r="U139" s="929"/>
      <c r="V139" s="929"/>
      <c r="W139" s="354">
        <v>0</v>
      </c>
      <c r="X139" s="355">
        <v>0</v>
      </c>
      <c r="Y139" s="356">
        <f t="shared" si="5"/>
        <v>0</v>
      </c>
      <c r="Z139" s="357">
        <f t="shared" si="6"/>
        <v>0</v>
      </c>
      <c r="AA139" s="324"/>
      <c r="AC139" s="390" t="s">
        <v>407</v>
      </c>
      <c r="AD139" s="391" t="s">
        <v>408</v>
      </c>
      <c r="AE139" s="332">
        <f>AX283</f>
        <v>0</v>
      </c>
      <c r="AF139" s="333" t="str">
        <f t="shared" si="2"/>
        <v/>
      </c>
      <c r="AH139" s="308"/>
      <c r="AI139" s="896" t="s">
        <v>409</v>
      </c>
      <c r="AJ139" s="897"/>
      <c r="AK139" s="897"/>
      <c r="AL139" s="897"/>
      <c r="AM139" s="897"/>
      <c r="AN139" s="392" t="s">
        <v>410</v>
      </c>
      <c r="AO139" s="317">
        <f t="shared" si="0"/>
        <v>0</v>
      </c>
      <c r="AP139" s="318"/>
      <c r="AQ139" s="308"/>
      <c r="AR139" s="911" t="s">
        <v>411</v>
      </c>
      <c r="AS139" s="912"/>
      <c r="AT139" s="912"/>
      <c r="AU139" s="912"/>
      <c r="AV139" s="912"/>
      <c r="AW139" s="393" t="s">
        <v>412</v>
      </c>
      <c r="AX139" s="317">
        <f t="shared" si="1"/>
        <v>0</v>
      </c>
      <c r="AY139" s="327"/>
      <c r="AZ139" s="308"/>
      <c r="BA139" s="311"/>
    </row>
    <row r="140" spans="1:58" ht="17.25" customHeight="1" x14ac:dyDescent="0.25">
      <c r="A140" s="978" t="s">
        <v>77</v>
      </c>
      <c r="B140" s="979"/>
      <c r="C140" s="980"/>
      <c r="D140" s="351"/>
      <c r="E140" s="352" t="s">
        <v>367</v>
      </c>
      <c r="F140" s="2" t="s">
        <v>76</v>
      </c>
      <c r="G140" s="926">
        <f t="shared" si="3"/>
        <v>0</v>
      </c>
      <c r="H140" s="927"/>
      <c r="I140" s="928"/>
      <c r="J140" s="354">
        <v>0</v>
      </c>
      <c r="K140" s="355">
        <v>0</v>
      </c>
      <c r="L140" s="356">
        <f t="shared" si="7"/>
        <v>0</v>
      </c>
      <c r="M140" s="324"/>
      <c r="N140" s="978" t="s">
        <v>77</v>
      </c>
      <c r="O140" s="979"/>
      <c r="P140" s="980"/>
      <c r="Q140" s="351"/>
      <c r="R140" s="352" t="s">
        <v>367</v>
      </c>
      <c r="S140" s="2" t="s">
        <v>76</v>
      </c>
      <c r="T140" s="929">
        <f t="shared" si="4"/>
        <v>0</v>
      </c>
      <c r="U140" s="929"/>
      <c r="V140" s="929"/>
      <c r="W140" s="354">
        <v>0</v>
      </c>
      <c r="X140" s="355">
        <v>0</v>
      </c>
      <c r="Y140" s="356">
        <f t="shared" si="5"/>
        <v>0</v>
      </c>
      <c r="Z140" s="357">
        <f t="shared" si="6"/>
        <v>0</v>
      </c>
      <c r="AA140" s="324"/>
      <c r="AC140" s="390" t="s">
        <v>413</v>
      </c>
      <c r="AD140" s="394" t="s">
        <v>414</v>
      </c>
      <c r="AE140" s="332" t="s">
        <v>415</v>
      </c>
      <c r="AF140" s="333" t="str">
        <f t="shared" si="2"/>
        <v/>
      </c>
      <c r="AH140" s="308"/>
      <c r="AI140" s="896" t="s">
        <v>416</v>
      </c>
      <c r="AJ140" s="897"/>
      <c r="AK140" s="897"/>
      <c r="AL140" s="897"/>
      <c r="AM140" s="897"/>
      <c r="AN140" s="395" t="s">
        <v>417</v>
      </c>
      <c r="AO140" s="317">
        <f t="shared" si="0"/>
        <v>0</v>
      </c>
      <c r="AP140" s="318"/>
      <c r="AQ140" s="308"/>
      <c r="AR140" s="911" t="s">
        <v>418</v>
      </c>
      <c r="AS140" s="912"/>
      <c r="AT140" s="912"/>
      <c r="AU140" s="912"/>
      <c r="AV140" s="912"/>
      <c r="AW140" s="396" t="s">
        <v>419</v>
      </c>
      <c r="AX140" s="317">
        <f t="shared" si="1"/>
        <v>0</v>
      </c>
      <c r="AY140" s="327"/>
      <c r="AZ140" s="308"/>
      <c r="BA140" s="311"/>
    </row>
    <row r="141" spans="1:58" ht="17.25" customHeight="1" thickBot="1" x14ac:dyDescent="0.3">
      <c r="A141" s="978" t="s">
        <v>79</v>
      </c>
      <c r="B141" s="979"/>
      <c r="C141" s="980"/>
      <c r="D141" s="351"/>
      <c r="E141" s="352" t="s">
        <v>367</v>
      </c>
      <c r="F141" s="397" t="s">
        <v>78</v>
      </c>
      <c r="G141" s="926">
        <f t="shared" si="3"/>
        <v>0</v>
      </c>
      <c r="H141" s="927"/>
      <c r="I141" s="928"/>
      <c r="J141" s="354">
        <v>0</v>
      </c>
      <c r="K141" s="355">
        <v>0</v>
      </c>
      <c r="L141" s="356">
        <f t="shared" si="7"/>
        <v>0</v>
      </c>
      <c r="M141" s="324"/>
      <c r="N141" s="978" t="s">
        <v>79</v>
      </c>
      <c r="O141" s="979"/>
      <c r="P141" s="980"/>
      <c r="Q141" s="351"/>
      <c r="R141" s="352" t="s">
        <v>367</v>
      </c>
      <c r="S141" s="397" t="s">
        <v>78</v>
      </c>
      <c r="T141" s="929">
        <f t="shared" si="4"/>
        <v>0</v>
      </c>
      <c r="U141" s="929"/>
      <c r="V141" s="929"/>
      <c r="W141" s="354">
        <v>0</v>
      </c>
      <c r="X141" s="355">
        <v>0</v>
      </c>
      <c r="Y141" s="356">
        <f t="shared" si="5"/>
        <v>0</v>
      </c>
      <c r="Z141" s="357">
        <f t="shared" si="6"/>
        <v>0</v>
      </c>
      <c r="AA141" s="324"/>
      <c r="AC141" s="390" t="s">
        <v>420</v>
      </c>
      <c r="AD141" s="398" t="s">
        <v>421</v>
      </c>
      <c r="AE141" s="332">
        <f>AX287</f>
        <v>0</v>
      </c>
      <c r="AF141" s="333" t="str">
        <f t="shared" si="2"/>
        <v/>
      </c>
      <c r="AH141" s="308"/>
      <c r="AI141" s="896" t="s">
        <v>422</v>
      </c>
      <c r="AJ141" s="897"/>
      <c r="AK141" s="897"/>
      <c r="AL141" s="897"/>
      <c r="AM141" s="897"/>
      <c r="AN141" s="399" t="s">
        <v>423</v>
      </c>
      <c r="AO141" s="317">
        <f t="shared" si="0"/>
        <v>0</v>
      </c>
      <c r="AP141" s="318"/>
      <c r="AQ141" s="308"/>
      <c r="AR141" s="911" t="s">
        <v>424</v>
      </c>
      <c r="AS141" s="912"/>
      <c r="AT141" s="912"/>
      <c r="AU141" s="912"/>
      <c r="AV141" s="912"/>
      <c r="AW141" s="400" t="s">
        <v>425</v>
      </c>
      <c r="AX141" s="317">
        <f t="shared" si="1"/>
        <v>0</v>
      </c>
      <c r="AY141" s="327"/>
      <c r="AZ141" s="308"/>
      <c r="BA141" s="311"/>
    </row>
    <row r="142" spans="1:58" ht="17.25" customHeight="1" thickBot="1" x14ac:dyDescent="0.3">
      <c r="A142" s="978" t="s">
        <v>80</v>
      </c>
      <c r="B142" s="979"/>
      <c r="C142" s="980"/>
      <c r="D142" s="351"/>
      <c r="E142" s="352"/>
      <c r="F142" s="401" t="s">
        <v>115</v>
      </c>
      <c r="G142" s="926">
        <f t="shared" si="3"/>
        <v>0</v>
      </c>
      <c r="H142" s="927"/>
      <c r="I142" s="928"/>
      <c r="J142" s="354">
        <v>0</v>
      </c>
      <c r="K142" s="355">
        <v>0</v>
      </c>
      <c r="L142" s="356">
        <f t="shared" si="7"/>
        <v>0</v>
      </c>
      <c r="M142" s="324"/>
      <c r="N142" s="978" t="s">
        <v>80</v>
      </c>
      <c r="O142" s="979"/>
      <c r="P142" s="980"/>
      <c r="Q142" s="351"/>
      <c r="R142" s="352"/>
      <c r="S142" s="401" t="s">
        <v>115</v>
      </c>
      <c r="T142" s="929">
        <f t="shared" si="4"/>
        <v>0</v>
      </c>
      <c r="U142" s="929"/>
      <c r="V142" s="929"/>
      <c r="W142" s="354">
        <v>0</v>
      </c>
      <c r="X142" s="355">
        <v>0</v>
      </c>
      <c r="Y142" s="356">
        <f t="shared" si="5"/>
        <v>0</v>
      </c>
      <c r="Z142" s="357">
        <f t="shared" si="6"/>
        <v>0</v>
      </c>
      <c r="AA142" s="324"/>
      <c r="AC142" s="390" t="s">
        <v>426</v>
      </c>
      <c r="AD142" s="402" t="s">
        <v>427</v>
      </c>
      <c r="AE142" s="332">
        <f>AO290</f>
        <v>0</v>
      </c>
      <c r="AF142" s="333" t="str">
        <f t="shared" si="2"/>
        <v/>
      </c>
      <c r="AH142" s="308"/>
      <c r="AI142" s="896" t="s">
        <v>428</v>
      </c>
      <c r="AJ142" s="897"/>
      <c r="AK142" s="897"/>
      <c r="AL142" s="897"/>
      <c r="AM142" s="897"/>
      <c r="AN142" s="403" t="s">
        <v>429</v>
      </c>
      <c r="AO142" s="317">
        <f t="shared" si="0"/>
        <v>0</v>
      </c>
      <c r="AP142" s="318"/>
      <c r="AQ142" s="308"/>
      <c r="AR142" s="911" t="s">
        <v>430</v>
      </c>
      <c r="AS142" s="912"/>
      <c r="AT142" s="912"/>
      <c r="AU142" s="912"/>
      <c r="AV142" s="912"/>
      <c r="AW142" s="404" t="s">
        <v>431</v>
      </c>
      <c r="AX142" s="317">
        <f t="shared" si="1"/>
        <v>0</v>
      </c>
      <c r="AY142" s="327"/>
      <c r="AZ142" s="308"/>
      <c r="BA142" s="311"/>
    </row>
    <row r="143" spans="1:58" ht="17.25" customHeight="1" thickBot="1" x14ac:dyDescent="0.3">
      <c r="A143" s="978" t="s">
        <v>36</v>
      </c>
      <c r="B143" s="979"/>
      <c r="C143" s="980"/>
      <c r="D143" s="351"/>
      <c r="E143" s="352" t="s">
        <v>367</v>
      </c>
      <c r="F143" s="405" t="s">
        <v>37</v>
      </c>
      <c r="G143" s="926">
        <f t="shared" si="3"/>
        <v>0</v>
      </c>
      <c r="H143" s="927"/>
      <c r="I143" s="928"/>
      <c r="J143" s="354">
        <v>0</v>
      </c>
      <c r="K143" s="355">
        <v>0</v>
      </c>
      <c r="L143" s="356">
        <f t="shared" si="7"/>
        <v>0</v>
      </c>
      <c r="M143" s="324"/>
      <c r="N143" s="978" t="s">
        <v>36</v>
      </c>
      <c r="O143" s="979"/>
      <c r="P143" s="980"/>
      <c r="Q143" s="351"/>
      <c r="R143" s="352" t="s">
        <v>367</v>
      </c>
      <c r="S143" s="405" t="s">
        <v>37</v>
      </c>
      <c r="T143" s="929">
        <f t="shared" si="4"/>
        <v>0</v>
      </c>
      <c r="U143" s="929"/>
      <c r="V143" s="929"/>
      <c r="W143" s="354">
        <v>0</v>
      </c>
      <c r="X143" s="355">
        <v>0</v>
      </c>
      <c r="Y143" s="356">
        <f t="shared" si="5"/>
        <v>0</v>
      </c>
      <c r="Z143" s="357">
        <f t="shared" si="6"/>
        <v>0</v>
      </c>
      <c r="AA143" s="324"/>
      <c r="AC143" s="390" t="s">
        <v>321</v>
      </c>
      <c r="AD143" s="406" t="s">
        <v>432</v>
      </c>
      <c r="AE143" s="332">
        <f>AX167</f>
        <v>0</v>
      </c>
      <c r="AF143" s="333" t="str">
        <f t="shared" si="2"/>
        <v/>
      </c>
      <c r="AH143" s="308"/>
      <c r="AI143" s="896" t="s">
        <v>433</v>
      </c>
      <c r="AJ143" s="897"/>
      <c r="AK143" s="897"/>
      <c r="AL143" s="897"/>
      <c r="AM143" s="897"/>
      <c r="AN143" s="407" t="s">
        <v>434</v>
      </c>
      <c r="AO143" s="317">
        <f t="shared" si="0"/>
        <v>0</v>
      </c>
      <c r="AP143" s="318"/>
      <c r="AQ143" s="308"/>
      <c r="AR143" s="911" t="s">
        <v>435</v>
      </c>
      <c r="AS143" s="912"/>
      <c r="AT143" s="912"/>
      <c r="AU143" s="912"/>
      <c r="AV143" s="912"/>
      <c r="AW143" s="404" t="s">
        <v>436</v>
      </c>
      <c r="AX143" s="317">
        <f t="shared" si="1"/>
        <v>0</v>
      </c>
      <c r="AY143" s="327"/>
      <c r="AZ143" s="308"/>
      <c r="BA143" s="311"/>
    </row>
    <row r="144" spans="1:58" ht="17.25" customHeight="1" x14ac:dyDescent="0.25">
      <c r="A144" s="978" t="s">
        <v>43</v>
      </c>
      <c r="B144" s="979"/>
      <c r="C144" s="980"/>
      <c r="D144" s="351"/>
      <c r="E144" s="352"/>
      <c r="F144" s="408" t="s">
        <v>44</v>
      </c>
      <c r="G144" s="926">
        <f t="shared" si="3"/>
        <v>0</v>
      </c>
      <c r="H144" s="927"/>
      <c r="I144" s="928"/>
      <c r="J144" s="354">
        <v>0</v>
      </c>
      <c r="K144" s="355">
        <v>0</v>
      </c>
      <c r="L144" s="356">
        <f t="shared" si="7"/>
        <v>0</v>
      </c>
      <c r="M144" s="324"/>
      <c r="N144" s="978" t="s">
        <v>43</v>
      </c>
      <c r="O144" s="979"/>
      <c r="P144" s="980"/>
      <c r="Q144" s="351"/>
      <c r="R144" s="352"/>
      <c r="S144" s="408" t="s">
        <v>44</v>
      </c>
      <c r="T144" s="929">
        <f t="shared" si="4"/>
        <v>0</v>
      </c>
      <c r="U144" s="929"/>
      <c r="V144" s="929"/>
      <c r="W144" s="354">
        <v>0</v>
      </c>
      <c r="X144" s="355">
        <v>0</v>
      </c>
      <c r="Y144" s="356">
        <f t="shared" si="5"/>
        <v>0</v>
      </c>
      <c r="Z144" s="357">
        <f t="shared" si="6"/>
        <v>0</v>
      </c>
      <c r="AA144" s="324"/>
      <c r="AC144" s="409" t="s">
        <v>166</v>
      </c>
      <c r="AD144" s="410" t="s">
        <v>437</v>
      </c>
      <c r="AE144" s="332">
        <f t="shared" ref="AE144" si="8">COUNTIF($P$1:$Q$1,AD144)</f>
        <v>0</v>
      </c>
      <c r="AF144" s="333" t="str">
        <f t="shared" si="2"/>
        <v/>
      </c>
      <c r="AH144" s="308"/>
      <c r="AI144" s="896" t="s">
        <v>438</v>
      </c>
      <c r="AJ144" s="897"/>
      <c r="AK144" s="897"/>
      <c r="AL144" s="897"/>
      <c r="AM144" s="897"/>
      <c r="AN144" s="411" t="s">
        <v>439</v>
      </c>
      <c r="AO144" s="317">
        <f t="shared" si="0"/>
        <v>0</v>
      </c>
      <c r="AP144" s="318"/>
      <c r="AQ144" s="308"/>
      <c r="AR144" s="911" t="s">
        <v>440</v>
      </c>
      <c r="AS144" s="912"/>
      <c r="AT144" s="912"/>
      <c r="AU144" s="912"/>
      <c r="AV144" s="912"/>
      <c r="AW144" s="412" t="s">
        <v>441</v>
      </c>
      <c r="AX144" s="317">
        <f t="shared" si="1"/>
        <v>0</v>
      </c>
      <c r="AY144" s="327"/>
      <c r="AZ144" s="308"/>
      <c r="BA144" s="311"/>
      <c r="BB144" s="308"/>
      <c r="BC144" s="308"/>
      <c r="BD144" s="308"/>
      <c r="BE144" s="308"/>
      <c r="BF144" s="308"/>
    </row>
    <row r="145" spans="1:58" ht="17.25" customHeight="1" thickBot="1" x14ac:dyDescent="0.3">
      <c r="A145" s="978" t="s">
        <v>16</v>
      </c>
      <c r="B145" s="979"/>
      <c r="C145" s="980"/>
      <c r="D145" s="351"/>
      <c r="E145" s="352"/>
      <c r="F145" s="413" t="s">
        <v>7</v>
      </c>
      <c r="G145" s="926">
        <f t="shared" si="3"/>
        <v>0</v>
      </c>
      <c r="H145" s="927"/>
      <c r="I145" s="928"/>
      <c r="J145" s="354">
        <v>0</v>
      </c>
      <c r="K145" s="355">
        <v>0</v>
      </c>
      <c r="L145" s="356">
        <f t="shared" si="7"/>
        <v>0</v>
      </c>
      <c r="M145" s="324"/>
      <c r="N145" s="978" t="s">
        <v>16</v>
      </c>
      <c r="O145" s="979"/>
      <c r="P145" s="980"/>
      <c r="Q145" s="351"/>
      <c r="R145" s="352"/>
      <c r="S145" s="413" t="s">
        <v>7</v>
      </c>
      <c r="T145" s="929">
        <f t="shared" si="4"/>
        <v>0</v>
      </c>
      <c r="U145" s="929"/>
      <c r="V145" s="929"/>
      <c r="W145" s="354">
        <v>0</v>
      </c>
      <c r="X145" s="355">
        <v>0</v>
      </c>
      <c r="Y145" s="356">
        <f t="shared" si="5"/>
        <v>0</v>
      </c>
      <c r="Z145" s="357">
        <f t="shared" si="6"/>
        <v>0</v>
      </c>
      <c r="AA145" s="324"/>
      <c r="AC145" s="390" t="s">
        <v>442</v>
      </c>
      <c r="AD145" s="414" t="s">
        <v>443</v>
      </c>
      <c r="AE145" s="332">
        <f>COUNTIF($P$1:$Q$1,AD145)</f>
        <v>0</v>
      </c>
      <c r="AF145" s="333" t="str">
        <f t="shared" si="2"/>
        <v/>
      </c>
      <c r="AH145" s="308"/>
      <c r="AI145" s="896" t="s">
        <v>444</v>
      </c>
      <c r="AJ145" s="897"/>
      <c r="AK145" s="897"/>
      <c r="AL145" s="897"/>
      <c r="AM145" s="897"/>
      <c r="AN145" s="415" t="s">
        <v>445</v>
      </c>
      <c r="AO145" s="317">
        <f t="shared" si="0"/>
        <v>0</v>
      </c>
      <c r="AP145" s="318"/>
      <c r="AQ145" s="308"/>
      <c r="AR145" s="911" t="s">
        <v>446</v>
      </c>
      <c r="AS145" s="912"/>
      <c r="AT145" s="912"/>
      <c r="AU145" s="912"/>
      <c r="AV145" s="912"/>
      <c r="AW145" s="416" t="s">
        <v>447</v>
      </c>
      <c r="AX145" s="317">
        <f t="shared" si="1"/>
        <v>0</v>
      </c>
      <c r="AY145" s="327"/>
      <c r="AZ145" s="308"/>
      <c r="BA145" s="311"/>
      <c r="BB145" s="308"/>
      <c r="BC145" s="308"/>
      <c r="BD145" s="308"/>
      <c r="BE145" s="308"/>
      <c r="BF145" s="308"/>
    </row>
    <row r="146" spans="1:58" ht="17.25" customHeight="1" thickBot="1" x14ac:dyDescent="0.3">
      <c r="A146" s="978" t="s">
        <v>21</v>
      </c>
      <c r="B146" s="979"/>
      <c r="C146" s="980"/>
      <c r="D146" s="351"/>
      <c r="E146" s="352"/>
      <c r="F146" s="417" t="s">
        <v>11</v>
      </c>
      <c r="G146" s="926">
        <f t="shared" si="3"/>
        <v>0</v>
      </c>
      <c r="H146" s="927"/>
      <c r="I146" s="928"/>
      <c r="J146" s="354">
        <v>0</v>
      </c>
      <c r="K146" s="355">
        <v>0</v>
      </c>
      <c r="L146" s="356">
        <f t="shared" si="7"/>
        <v>0</v>
      </c>
      <c r="M146" s="324"/>
      <c r="N146" s="978" t="s">
        <v>21</v>
      </c>
      <c r="O146" s="979"/>
      <c r="P146" s="980"/>
      <c r="Q146" s="351"/>
      <c r="R146" s="352"/>
      <c r="S146" s="417" t="s">
        <v>11</v>
      </c>
      <c r="T146" s="929">
        <f t="shared" si="4"/>
        <v>0</v>
      </c>
      <c r="U146" s="929"/>
      <c r="V146" s="929"/>
      <c r="W146" s="354">
        <v>0</v>
      </c>
      <c r="X146" s="355">
        <v>0</v>
      </c>
      <c r="Y146" s="356">
        <f t="shared" si="5"/>
        <v>0</v>
      </c>
      <c r="Z146" s="357">
        <f t="shared" si="6"/>
        <v>0</v>
      </c>
      <c r="AA146" s="324"/>
      <c r="AC146" s="390" t="s">
        <v>448</v>
      </c>
      <c r="AD146" s="418" t="s">
        <v>449</v>
      </c>
      <c r="AE146" s="332">
        <f>AO303</f>
        <v>0</v>
      </c>
      <c r="AF146" s="333" t="str">
        <f t="shared" si="2"/>
        <v/>
      </c>
      <c r="AH146" s="308"/>
      <c r="AI146" s="896" t="s">
        <v>450</v>
      </c>
      <c r="AJ146" s="897"/>
      <c r="AK146" s="897"/>
      <c r="AL146" s="897"/>
      <c r="AM146" s="897"/>
      <c r="AN146" s="419" t="s">
        <v>451</v>
      </c>
      <c r="AO146" s="317">
        <f t="shared" si="0"/>
        <v>0</v>
      </c>
      <c r="AP146" s="318"/>
      <c r="AQ146" s="308"/>
      <c r="AR146" s="911" t="s">
        <v>452</v>
      </c>
      <c r="AS146" s="912"/>
      <c r="AT146" s="912"/>
      <c r="AU146" s="912"/>
      <c r="AV146" s="912"/>
      <c r="AW146" s="420" t="s">
        <v>453</v>
      </c>
      <c r="AX146" s="317">
        <f t="shared" si="1"/>
        <v>0</v>
      </c>
      <c r="AY146" s="327"/>
      <c r="AZ146" s="308"/>
      <c r="BA146" s="311"/>
    </row>
    <row r="147" spans="1:58" ht="17.25" customHeight="1" thickBot="1" x14ac:dyDescent="0.3">
      <c r="A147" s="978" t="s">
        <v>81</v>
      </c>
      <c r="B147" s="979"/>
      <c r="C147" s="980"/>
      <c r="D147" s="351"/>
      <c r="E147" s="352" t="s">
        <v>367</v>
      </c>
      <c r="F147" s="421" t="s">
        <v>35</v>
      </c>
      <c r="G147" s="926">
        <f t="shared" si="3"/>
        <v>0</v>
      </c>
      <c r="H147" s="927"/>
      <c r="I147" s="928"/>
      <c r="J147" s="354">
        <v>0</v>
      </c>
      <c r="K147" s="355">
        <v>0</v>
      </c>
      <c r="L147" s="356">
        <f t="shared" si="7"/>
        <v>0</v>
      </c>
      <c r="M147" s="324"/>
      <c r="N147" s="978" t="s">
        <v>81</v>
      </c>
      <c r="O147" s="979"/>
      <c r="P147" s="980"/>
      <c r="Q147" s="351"/>
      <c r="R147" s="352" t="s">
        <v>367</v>
      </c>
      <c r="S147" s="421" t="s">
        <v>35</v>
      </c>
      <c r="T147" s="929">
        <f t="shared" si="4"/>
        <v>0</v>
      </c>
      <c r="U147" s="929"/>
      <c r="V147" s="929"/>
      <c r="W147" s="354">
        <v>0</v>
      </c>
      <c r="X147" s="355">
        <v>0</v>
      </c>
      <c r="Y147" s="356">
        <f t="shared" si="5"/>
        <v>0</v>
      </c>
      <c r="Z147" s="357">
        <f t="shared" si="6"/>
        <v>0</v>
      </c>
      <c r="AA147" s="324"/>
      <c r="AC147" s="390" t="s">
        <v>454</v>
      </c>
      <c r="AD147" s="422" t="s">
        <v>455</v>
      </c>
      <c r="AE147" s="332">
        <f>AX295</f>
        <v>0</v>
      </c>
      <c r="AF147" s="333" t="str">
        <f t="shared" si="2"/>
        <v/>
      </c>
      <c r="AH147" s="308"/>
      <c r="AI147" s="896" t="s">
        <v>456</v>
      </c>
      <c r="AJ147" s="897"/>
      <c r="AK147" s="897"/>
      <c r="AL147" s="897"/>
      <c r="AM147" s="897"/>
      <c r="AN147" s="423" t="s">
        <v>457</v>
      </c>
      <c r="AO147" s="317">
        <f t="shared" si="0"/>
        <v>0</v>
      </c>
      <c r="AP147" s="318"/>
      <c r="AQ147" s="308"/>
      <c r="AR147" s="911" t="s">
        <v>458</v>
      </c>
      <c r="AS147" s="912"/>
      <c r="AT147" s="912"/>
      <c r="AU147" s="912"/>
      <c r="AV147" s="912"/>
      <c r="AW147" s="381" t="s">
        <v>459</v>
      </c>
      <c r="AX147" s="317">
        <f t="shared" si="1"/>
        <v>0</v>
      </c>
      <c r="AY147" s="327"/>
      <c r="AZ147" s="308"/>
      <c r="BA147" s="311"/>
    </row>
    <row r="148" spans="1:58" ht="17.25" customHeight="1" thickBot="1" x14ac:dyDescent="0.3">
      <c r="A148" s="978" t="s">
        <v>12</v>
      </c>
      <c r="B148" s="979"/>
      <c r="C148" s="980"/>
      <c r="D148" s="351"/>
      <c r="E148" s="352"/>
      <c r="F148" s="424" t="s">
        <v>13</v>
      </c>
      <c r="G148" s="926">
        <f t="shared" si="3"/>
        <v>0</v>
      </c>
      <c r="H148" s="927"/>
      <c r="I148" s="928"/>
      <c r="J148" s="354">
        <v>0</v>
      </c>
      <c r="K148" s="355">
        <v>0</v>
      </c>
      <c r="L148" s="356">
        <f t="shared" si="7"/>
        <v>0</v>
      </c>
      <c r="M148" s="324"/>
      <c r="N148" s="978" t="s">
        <v>12</v>
      </c>
      <c r="O148" s="979"/>
      <c r="P148" s="980"/>
      <c r="Q148" s="351"/>
      <c r="R148" s="352"/>
      <c r="S148" s="424" t="s">
        <v>13</v>
      </c>
      <c r="T148" s="929">
        <f t="shared" si="4"/>
        <v>0</v>
      </c>
      <c r="U148" s="929"/>
      <c r="V148" s="929"/>
      <c r="W148" s="354">
        <v>0</v>
      </c>
      <c r="X148" s="355">
        <v>0</v>
      </c>
      <c r="Y148" s="356">
        <f t="shared" si="5"/>
        <v>0</v>
      </c>
      <c r="Z148" s="357">
        <f t="shared" si="6"/>
        <v>0</v>
      </c>
      <c r="AA148" s="324"/>
      <c r="AC148" s="390" t="s">
        <v>460</v>
      </c>
      <c r="AD148" s="425" t="s">
        <v>461</v>
      </c>
      <c r="AE148" s="332">
        <f>AO285</f>
        <v>0</v>
      </c>
      <c r="AF148" s="333" t="str">
        <f t="shared" si="2"/>
        <v/>
      </c>
      <c r="AH148" s="308"/>
      <c r="AI148" s="896" t="s">
        <v>462</v>
      </c>
      <c r="AJ148" s="897"/>
      <c r="AK148" s="897"/>
      <c r="AL148" s="897"/>
      <c r="AM148" s="897"/>
      <c r="AN148" s="415" t="s">
        <v>463</v>
      </c>
      <c r="AO148" s="317">
        <f t="shared" si="0"/>
        <v>0</v>
      </c>
      <c r="AP148" s="318"/>
      <c r="AQ148" s="308"/>
      <c r="AR148" s="911" t="s">
        <v>464</v>
      </c>
      <c r="AS148" s="912"/>
      <c r="AT148" s="912"/>
      <c r="AU148" s="912"/>
      <c r="AV148" s="912"/>
      <c r="AW148" s="426" t="s">
        <v>465</v>
      </c>
      <c r="AX148" s="317">
        <f t="shared" si="1"/>
        <v>0</v>
      </c>
      <c r="AY148" s="327"/>
      <c r="AZ148" s="308"/>
      <c r="BA148" s="311"/>
    </row>
    <row r="149" spans="1:58" ht="17.25" customHeight="1" thickBot="1" x14ac:dyDescent="0.3">
      <c r="A149" s="978" t="s">
        <v>83</v>
      </c>
      <c r="B149" s="979"/>
      <c r="C149" s="980"/>
      <c r="D149" s="351" t="s">
        <v>46</v>
      </c>
      <c r="E149" s="352"/>
      <c r="F149" s="427" t="s">
        <v>82</v>
      </c>
      <c r="G149" s="926">
        <f t="shared" si="3"/>
        <v>0</v>
      </c>
      <c r="H149" s="927"/>
      <c r="I149" s="928"/>
      <c r="J149" s="354">
        <v>0</v>
      </c>
      <c r="K149" s="355">
        <v>0</v>
      </c>
      <c r="L149" s="356">
        <f t="shared" si="7"/>
        <v>0</v>
      </c>
      <c r="M149" s="324"/>
      <c r="N149" s="978" t="s">
        <v>83</v>
      </c>
      <c r="O149" s="979"/>
      <c r="P149" s="980"/>
      <c r="Q149" s="351" t="s">
        <v>46</v>
      </c>
      <c r="R149" s="352"/>
      <c r="S149" s="427" t="s">
        <v>82</v>
      </c>
      <c r="T149" s="929">
        <f t="shared" si="4"/>
        <v>0</v>
      </c>
      <c r="U149" s="929"/>
      <c r="V149" s="929"/>
      <c r="W149" s="354">
        <v>0</v>
      </c>
      <c r="X149" s="355">
        <v>0</v>
      </c>
      <c r="Y149" s="356">
        <f t="shared" si="5"/>
        <v>0</v>
      </c>
      <c r="Z149" s="357">
        <f t="shared" si="6"/>
        <v>0</v>
      </c>
      <c r="AA149" s="324"/>
      <c r="AC149" s="409" t="s">
        <v>466</v>
      </c>
      <c r="AD149" s="428" t="s">
        <v>467</v>
      </c>
      <c r="AE149" s="332">
        <f>AX291</f>
        <v>0</v>
      </c>
      <c r="AF149" s="333" t="str">
        <f t="shared" si="2"/>
        <v/>
      </c>
      <c r="AH149" s="308"/>
      <c r="AI149" s="896" t="s">
        <v>468</v>
      </c>
      <c r="AJ149" s="897"/>
      <c r="AK149" s="897"/>
      <c r="AL149" s="897"/>
      <c r="AM149" s="897"/>
      <c r="AN149" s="429" t="s">
        <v>469</v>
      </c>
      <c r="AO149" s="317">
        <f t="shared" si="0"/>
        <v>0</v>
      </c>
      <c r="AP149" s="318"/>
      <c r="AQ149" s="308"/>
      <c r="AR149" s="911" t="s">
        <v>470</v>
      </c>
      <c r="AS149" s="912"/>
      <c r="AT149" s="912"/>
      <c r="AU149" s="912"/>
      <c r="AV149" s="912"/>
      <c r="AW149" s="430" t="s">
        <v>471</v>
      </c>
      <c r="AX149" s="317">
        <f t="shared" si="1"/>
        <v>0</v>
      </c>
      <c r="AY149" s="327"/>
      <c r="AZ149" s="308"/>
      <c r="BA149" s="311"/>
    </row>
    <row r="150" spans="1:58" ht="17.25" customHeight="1" thickBot="1" x14ac:dyDescent="0.3">
      <c r="A150" s="978" t="s">
        <v>85</v>
      </c>
      <c r="B150" s="979"/>
      <c r="C150" s="980"/>
      <c r="D150" s="351"/>
      <c r="E150" s="352" t="s">
        <v>367</v>
      </c>
      <c r="F150" s="431" t="s">
        <v>84</v>
      </c>
      <c r="G150" s="926">
        <f t="shared" si="3"/>
        <v>0</v>
      </c>
      <c r="H150" s="927"/>
      <c r="I150" s="928"/>
      <c r="J150" s="354">
        <v>0</v>
      </c>
      <c r="K150" s="355">
        <v>0</v>
      </c>
      <c r="L150" s="356">
        <f t="shared" si="7"/>
        <v>0</v>
      </c>
      <c r="M150" s="324"/>
      <c r="N150" s="978" t="s">
        <v>85</v>
      </c>
      <c r="O150" s="979"/>
      <c r="P150" s="980"/>
      <c r="Q150" s="351"/>
      <c r="R150" s="352" t="s">
        <v>367</v>
      </c>
      <c r="S150" s="431" t="s">
        <v>84</v>
      </c>
      <c r="T150" s="929">
        <f t="shared" si="4"/>
        <v>0</v>
      </c>
      <c r="U150" s="929"/>
      <c r="V150" s="929"/>
      <c r="W150" s="354">
        <v>0</v>
      </c>
      <c r="X150" s="355">
        <v>0</v>
      </c>
      <c r="Y150" s="356">
        <f t="shared" si="5"/>
        <v>0</v>
      </c>
      <c r="Z150" s="357">
        <f t="shared" si="6"/>
        <v>0</v>
      </c>
      <c r="AA150" s="324"/>
      <c r="AC150" s="390" t="s">
        <v>472</v>
      </c>
      <c r="AD150" s="425" t="s">
        <v>473</v>
      </c>
      <c r="AE150" s="332">
        <f>COUNTIF($A$1:$GO$103,AD150)</f>
        <v>0</v>
      </c>
      <c r="AF150" s="333" t="str">
        <f t="shared" si="2"/>
        <v/>
      </c>
      <c r="AH150" s="308"/>
      <c r="AI150" s="896" t="s">
        <v>474</v>
      </c>
      <c r="AJ150" s="897"/>
      <c r="AK150" s="897"/>
      <c r="AL150" s="897"/>
      <c r="AM150" s="897"/>
      <c r="AN150" s="432" t="s">
        <v>475</v>
      </c>
      <c r="AO150" s="317">
        <f t="shared" si="0"/>
        <v>0</v>
      </c>
      <c r="AP150" s="318"/>
      <c r="AQ150" s="308"/>
      <c r="AR150" s="911" t="s">
        <v>476</v>
      </c>
      <c r="AS150" s="912"/>
      <c r="AT150" s="912"/>
      <c r="AU150" s="912"/>
      <c r="AV150" s="912"/>
      <c r="AW150" s="433" t="s">
        <v>477</v>
      </c>
      <c r="AX150" s="317">
        <f t="shared" si="1"/>
        <v>0</v>
      </c>
      <c r="AY150" s="327"/>
      <c r="AZ150" s="308"/>
      <c r="BA150" s="311"/>
    </row>
    <row r="151" spans="1:58" ht="17.25" customHeight="1" thickBot="1" x14ac:dyDescent="0.3">
      <c r="A151" s="978" t="s">
        <v>87</v>
      </c>
      <c r="B151" s="979"/>
      <c r="C151" s="980"/>
      <c r="D151" s="351" t="s">
        <v>9</v>
      </c>
      <c r="E151" s="352" t="s">
        <v>367</v>
      </c>
      <c r="F151" s="434" t="s">
        <v>86</v>
      </c>
      <c r="G151" s="926">
        <f t="shared" si="3"/>
        <v>0</v>
      </c>
      <c r="H151" s="927"/>
      <c r="I151" s="928"/>
      <c r="J151" s="354">
        <v>0</v>
      </c>
      <c r="K151" s="355">
        <v>0</v>
      </c>
      <c r="L151" s="356">
        <f t="shared" si="7"/>
        <v>0</v>
      </c>
      <c r="M151" s="324"/>
      <c r="N151" s="978" t="s">
        <v>87</v>
      </c>
      <c r="O151" s="979"/>
      <c r="P151" s="980"/>
      <c r="Q151" s="351" t="s">
        <v>9</v>
      </c>
      <c r="R151" s="352" t="s">
        <v>367</v>
      </c>
      <c r="S151" s="434" t="s">
        <v>86</v>
      </c>
      <c r="T151" s="926">
        <f t="shared" si="4"/>
        <v>0</v>
      </c>
      <c r="U151" s="927"/>
      <c r="V151" s="928"/>
      <c r="W151" s="354">
        <v>0</v>
      </c>
      <c r="X151" s="355">
        <v>0</v>
      </c>
      <c r="Y151" s="356">
        <f t="shared" si="5"/>
        <v>0</v>
      </c>
      <c r="Z151" s="357">
        <f t="shared" si="6"/>
        <v>0</v>
      </c>
      <c r="AA151" s="324"/>
      <c r="AC151" s="1027" t="s">
        <v>478</v>
      </c>
      <c r="AD151" s="1028"/>
      <c r="AE151" s="1028"/>
      <c r="AF151" s="1028"/>
      <c r="AH151" s="308"/>
      <c r="AI151" s="896" t="s">
        <v>479</v>
      </c>
      <c r="AJ151" s="897"/>
      <c r="AK151" s="897"/>
      <c r="AL151" s="897"/>
      <c r="AM151" s="897"/>
      <c r="AN151" s="435" t="s">
        <v>480</v>
      </c>
      <c r="AO151" s="317">
        <f t="shared" si="0"/>
        <v>0</v>
      </c>
      <c r="AP151" s="318"/>
      <c r="AQ151" s="308"/>
      <c r="AR151" s="911" t="s">
        <v>481</v>
      </c>
      <c r="AS151" s="912"/>
      <c r="AT151" s="912"/>
      <c r="AU151" s="912"/>
      <c r="AV151" s="912"/>
      <c r="AW151" s="436" t="s">
        <v>482</v>
      </c>
      <c r="AX151" s="317">
        <f t="shared" si="1"/>
        <v>0</v>
      </c>
      <c r="AY151" s="327"/>
      <c r="AZ151" s="308"/>
      <c r="BA151" s="437"/>
    </row>
    <row r="152" spans="1:58" ht="17.25" customHeight="1" x14ac:dyDescent="0.25">
      <c r="A152" s="1024" t="s">
        <v>299</v>
      </c>
      <c r="B152" s="1025"/>
      <c r="C152" s="1025"/>
      <c r="D152" s="1025"/>
      <c r="E152" s="1025"/>
      <c r="F152" s="438"/>
      <c r="G152" s="1026">
        <f>SUM(G131:I151)</f>
        <v>0</v>
      </c>
      <c r="H152" s="1026"/>
      <c r="I152" s="1026"/>
      <c r="J152" s="439">
        <f>SUM(J131:J151)</f>
        <v>0</v>
      </c>
      <c r="K152" s="440">
        <f>SUM(K131:K151)</f>
        <v>0</v>
      </c>
      <c r="L152" s="356">
        <f>SUM(L131:L151)</f>
        <v>0</v>
      </c>
      <c r="M152" s="324"/>
      <c r="N152" s="1001" t="s">
        <v>299</v>
      </c>
      <c r="O152" s="1002"/>
      <c r="P152" s="1002"/>
      <c r="Q152" s="1002"/>
      <c r="R152" s="1002"/>
      <c r="S152" s="441"/>
      <c r="T152" s="1000">
        <f>SUM(T131:V151)</f>
        <v>0</v>
      </c>
      <c r="U152" s="1000"/>
      <c r="V152" s="1000"/>
      <c r="W152" s="439">
        <f>SUM(W131:W151)</f>
        <v>0</v>
      </c>
      <c r="X152" s="440">
        <f>SUM(X131:X151)</f>
        <v>0</v>
      </c>
      <c r="Y152" s="356">
        <f>SUM(Y131:Y151)</f>
        <v>0</v>
      </c>
      <c r="Z152" s="357">
        <f t="shared" si="6"/>
        <v>0</v>
      </c>
      <c r="AA152" s="324"/>
      <c r="AC152" s="442" t="s">
        <v>483</v>
      </c>
      <c r="AD152" s="443" t="s">
        <v>167</v>
      </c>
      <c r="AE152" s="332">
        <f t="shared" ref="AE152:AE215" si="9">COUNTIF($A$1:$GO$103,AD152)</f>
        <v>0</v>
      </c>
      <c r="AF152" s="333" t="str">
        <f>IFERROR(AE152/$J$4,"")</f>
        <v/>
      </c>
      <c r="AH152" s="308"/>
      <c r="AI152" s="896" t="s">
        <v>484</v>
      </c>
      <c r="AJ152" s="897"/>
      <c r="AK152" s="897"/>
      <c r="AL152" s="897"/>
      <c r="AM152" s="897"/>
      <c r="AN152" s="444" t="s">
        <v>485</v>
      </c>
      <c r="AO152" s="317">
        <f t="shared" si="0"/>
        <v>0</v>
      </c>
      <c r="AP152" s="318"/>
      <c r="AQ152" s="308"/>
      <c r="AR152" s="911" t="s">
        <v>486</v>
      </c>
      <c r="AS152" s="912"/>
      <c r="AT152" s="912"/>
      <c r="AU152" s="912"/>
      <c r="AV152" s="912"/>
      <c r="AW152" s="445" t="s">
        <v>487</v>
      </c>
      <c r="AX152" s="317">
        <f t="shared" si="1"/>
        <v>0</v>
      </c>
      <c r="AY152" s="327"/>
      <c r="AZ152" s="308"/>
      <c r="BA152" s="437"/>
    </row>
    <row r="153" spans="1:58" ht="17.25" customHeight="1" x14ac:dyDescent="0.25">
      <c r="A153" s="1021" t="s">
        <v>488</v>
      </c>
      <c r="B153" s="1022"/>
      <c r="C153" s="1022"/>
      <c r="D153" s="1022"/>
      <c r="E153" s="1022"/>
      <c r="F153" s="1022"/>
      <c r="G153" s="1022"/>
      <c r="H153" s="1022"/>
      <c r="I153" s="1023"/>
      <c r="J153" s="346" t="s">
        <v>351</v>
      </c>
      <c r="K153" s="346" t="s">
        <v>352</v>
      </c>
      <c r="L153" s="346" t="s">
        <v>353</v>
      </c>
      <c r="M153" s="324"/>
      <c r="N153" s="1021" t="s">
        <v>488</v>
      </c>
      <c r="O153" s="1022"/>
      <c r="P153" s="1022"/>
      <c r="Q153" s="1022"/>
      <c r="R153" s="1022"/>
      <c r="S153" s="1022"/>
      <c r="T153" s="1022"/>
      <c r="U153" s="1022"/>
      <c r="V153" s="1023"/>
      <c r="W153" s="347" t="s">
        <v>351</v>
      </c>
      <c r="X153" s="347" t="s">
        <v>352</v>
      </c>
      <c r="Y153" s="347" t="s">
        <v>353</v>
      </c>
      <c r="Z153" s="446"/>
      <c r="AA153" s="324"/>
      <c r="AC153" s="442" t="s">
        <v>489</v>
      </c>
      <c r="AD153" s="447" t="s">
        <v>490</v>
      </c>
      <c r="AE153" s="332">
        <f t="shared" si="9"/>
        <v>0</v>
      </c>
      <c r="AF153" s="333" t="str">
        <f t="shared" ref="AF153:AF216" si="10">IFERROR(AE153/$J$4,"")</f>
        <v/>
      </c>
      <c r="AH153" s="308"/>
      <c r="AI153" s="896" t="s">
        <v>491</v>
      </c>
      <c r="AJ153" s="897"/>
      <c r="AK153" s="897"/>
      <c r="AL153" s="897"/>
      <c r="AM153" s="897"/>
      <c r="AN153" s="448" t="s">
        <v>492</v>
      </c>
      <c r="AO153" s="317">
        <f t="shared" si="0"/>
        <v>0</v>
      </c>
      <c r="AP153" s="318"/>
      <c r="AQ153" s="308"/>
      <c r="AR153" s="911" t="s">
        <v>493</v>
      </c>
      <c r="AS153" s="912"/>
      <c r="AT153" s="912"/>
      <c r="AU153" s="912"/>
      <c r="AV153" s="912"/>
      <c r="AW153" s="449" t="s">
        <v>494</v>
      </c>
      <c r="AX153" s="317">
        <f t="shared" si="1"/>
        <v>0</v>
      </c>
      <c r="AY153" s="327"/>
      <c r="AZ153" s="308"/>
      <c r="BA153" s="311"/>
    </row>
    <row r="154" spans="1:58" ht="17.25" customHeight="1" x14ac:dyDescent="0.25">
      <c r="A154" s="1016" t="s">
        <v>17</v>
      </c>
      <c r="B154" s="1017"/>
      <c r="C154" s="1018"/>
      <c r="D154" s="450"/>
      <c r="E154" s="451" t="s">
        <v>367</v>
      </c>
      <c r="F154" s="452" t="s">
        <v>6</v>
      </c>
      <c r="G154" s="1019">
        <f t="shared" ref="G154:G171" si="11">COUNTIF($A$4:$M$42,F154)+COUNTIF($A$43:$O$81,F154)+COUNTIF($N$4:$T$19,F154)+COUNTIF($O$20:$S$23,F154)+COUNTIF($N$24:$Q$25,F154)+COUNTIF($N$26:$P$26,F154)+COUNTIF($P$42,F154)+COUNTIF($T$21:$T$22,F154)+COUNTIF($R$24,F154)+COUNTIF($N$27:$O$28,F154)</f>
        <v>0</v>
      </c>
      <c r="H154" s="986"/>
      <c r="I154" s="987"/>
      <c r="J154" s="354">
        <v>0</v>
      </c>
      <c r="K154" s="355">
        <v>0</v>
      </c>
      <c r="L154" s="356">
        <f t="shared" ref="L154:L171" si="12">G154-K154-J154</f>
        <v>0</v>
      </c>
      <c r="M154" s="324"/>
      <c r="N154" s="1016" t="s">
        <v>17</v>
      </c>
      <c r="O154" s="1017"/>
      <c r="P154" s="1018"/>
      <c r="Q154" s="450"/>
      <c r="R154" s="451" t="s">
        <v>367</v>
      </c>
      <c r="S154" s="452" t="s">
        <v>6</v>
      </c>
      <c r="T154" s="929">
        <f t="shared" ref="T154:T171" si="13">COUNTIF($T$23:$BI$73,S154)+COUNTIF($N$29:$S$39,S154)+COUNTIF($P$47:$S$68,S154)+COUNTIF($Q$40:$S$42,S154)+COUNTIF($P$27:$S$28,S154)+COUNTIF($R$25:$S$25,S154)+COUNTIF($S$24:$S$24,S154)</f>
        <v>0</v>
      </c>
      <c r="U154" s="929"/>
      <c r="V154" s="929"/>
      <c r="W154" s="354">
        <v>0</v>
      </c>
      <c r="X154" s="355">
        <v>0</v>
      </c>
      <c r="Y154" s="356">
        <f t="shared" ref="Y154:Y171" si="14">T154-X154-W154</f>
        <v>0</v>
      </c>
      <c r="Z154" s="357">
        <f t="shared" ref="Z154:Z172" si="15">T154+G154</f>
        <v>0</v>
      </c>
      <c r="AA154" s="324"/>
      <c r="AC154" s="442" t="s">
        <v>495</v>
      </c>
      <c r="AD154" s="453" t="s">
        <v>496</v>
      </c>
      <c r="AE154" s="332">
        <f t="shared" si="9"/>
        <v>0</v>
      </c>
      <c r="AF154" s="333" t="str">
        <f t="shared" si="10"/>
        <v/>
      </c>
      <c r="AH154" s="308"/>
      <c r="AI154" s="896" t="s">
        <v>497</v>
      </c>
      <c r="AJ154" s="897"/>
      <c r="AK154" s="897"/>
      <c r="AL154" s="897"/>
      <c r="AM154" s="897"/>
      <c r="AN154" s="454" t="s">
        <v>498</v>
      </c>
      <c r="AO154" s="317">
        <f t="shared" si="0"/>
        <v>0</v>
      </c>
      <c r="AP154" s="318"/>
      <c r="AQ154" s="308"/>
      <c r="AR154" s="911" t="s">
        <v>499</v>
      </c>
      <c r="AS154" s="912"/>
      <c r="AT154" s="912"/>
      <c r="AU154" s="912"/>
      <c r="AV154" s="912"/>
      <c r="AW154" s="455" t="s">
        <v>500</v>
      </c>
      <c r="AX154" s="317">
        <f t="shared" si="1"/>
        <v>0</v>
      </c>
      <c r="AY154" s="327"/>
      <c r="AZ154" s="308"/>
      <c r="BA154" s="311"/>
    </row>
    <row r="155" spans="1:58" ht="17.25" customHeight="1" thickBot="1" x14ac:dyDescent="0.3">
      <c r="A155" s="1010" t="s">
        <v>89</v>
      </c>
      <c r="B155" s="1011"/>
      <c r="C155" s="1012"/>
      <c r="D155" s="351" t="s">
        <v>31</v>
      </c>
      <c r="E155" s="456"/>
      <c r="F155" s="13" t="s">
        <v>88</v>
      </c>
      <c r="G155" s="926">
        <f t="shared" si="11"/>
        <v>0</v>
      </c>
      <c r="H155" s="927"/>
      <c r="I155" s="928"/>
      <c r="J155" s="354">
        <v>0</v>
      </c>
      <c r="K155" s="355">
        <v>0</v>
      </c>
      <c r="L155" s="356">
        <f t="shared" si="12"/>
        <v>0</v>
      </c>
      <c r="M155" s="324"/>
      <c r="N155" s="1010" t="s">
        <v>89</v>
      </c>
      <c r="O155" s="1011"/>
      <c r="P155" s="1012"/>
      <c r="Q155" s="351" t="s">
        <v>31</v>
      </c>
      <c r="R155" s="352"/>
      <c r="S155" s="457" t="s">
        <v>88</v>
      </c>
      <c r="T155" s="929">
        <f t="shared" si="13"/>
        <v>0</v>
      </c>
      <c r="U155" s="929"/>
      <c r="V155" s="929"/>
      <c r="W155" s="354">
        <v>0</v>
      </c>
      <c r="X155" s="355">
        <v>0</v>
      </c>
      <c r="Y155" s="356">
        <f t="shared" si="14"/>
        <v>0</v>
      </c>
      <c r="Z155" s="357">
        <f t="shared" si="15"/>
        <v>0</v>
      </c>
      <c r="AA155" s="324"/>
      <c r="AC155" s="442" t="s">
        <v>501</v>
      </c>
      <c r="AD155" s="458" t="s">
        <v>502</v>
      </c>
      <c r="AE155" s="332">
        <f t="shared" si="9"/>
        <v>0</v>
      </c>
      <c r="AF155" s="333" t="str">
        <f t="shared" si="10"/>
        <v/>
      </c>
      <c r="AH155" s="308"/>
      <c r="AI155" s="896" t="s">
        <v>503</v>
      </c>
      <c r="AJ155" s="897"/>
      <c r="AK155" s="897"/>
      <c r="AL155" s="897"/>
      <c r="AM155" s="897"/>
      <c r="AN155" s="459" t="s">
        <v>504</v>
      </c>
      <c r="AO155" s="317">
        <f t="shared" si="0"/>
        <v>0</v>
      </c>
      <c r="AP155" s="318"/>
      <c r="AQ155" s="308"/>
      <c r="AR155" s="911" t="s">
        <v>505</v>
      </c>
      <c r="AS155" s="912"/>
      <c r="AT155" s="912"/>
      <c r="AU155" s="912"/>
      <c r="AV155" s="912"/>
      <c r="AW155" s="455" t="s">
        <v>506</v>
      </c>
      <c r="AX155" s="317">
        <f t="shared" si="1"/>
        <v>0</v>
      </c>
      <c r="AY155" s="327"/>
      <c r="AZ155" s="308"/>
      <c r="BA155" s="311"/>
    </row>
    <row r="156" spans="1:58" ht="17.25" customHeight="1" x14ac:dyDescent="0.25">
      <c r="A156" s="1010" t="s">
        <v>138</v>
      </c>
      <c r="B156" s="1011"/>
      <c r="C156" s="1012"/>
      <c r="D156" s="351"/>
      <c r="E156" s="352"/>
      <c r="F156" s="460" t="s">
        <v>133</v>
      </c>
      <c r="G156" s="926">
        <f t="shared" si="11"/>
        <v>0</v>
      </c>
      <c r="H156" s="927"/>
      <c r="I156" s="928"/>
      <c r="J156" s="354">
        <v>0</v>
      </c>
      <c r="K156" s="355">
        <v>0</v>
      </c>
      <c r="L156" s="356">
        <f t="shared" si="12"/>
        <v>0</v>
      </c>
      <c r="M156" s="324"/>
      <c r="N156" s="1010" t="s">
        <v>138</v>
      </c>
      <c r="O156" s="1011"/>
      <c r="P156" s="1012"/>
      <c r="Q156" s="351"/>
      <c r="R156" s="352"/>
      <c r="S156" s="460" t="s">
        <v>133</v>
      </c>
      <c r="T156" s="929">
        <f t="shared" si="13"/>
        <v>0</v>
      </c>
      <c r="U156" s="929"/>
      <c r="V156" s="929"/>
      <c r="W156" s="354">
        <v>0</v>
      </c>
      <c r="X156" s="355">
        <v>0</v>
      </c>
      <c r="Y156" s="356">
        <f t="shared" si="14"/>
        <v>0</v>
      </c>
      <c r="Z156" s="357">
        <f t="shared" si="15"/>
        <v>0</v>
      </c>
      <c r="AA156" s="324"/>
      <c r="AC156" s="442" t="s">
        <v>166</v>
      </c>
      <c r="AD156" s="410" t="s">
        <v>166</v>
      </c>
      <c r="AE156" s="332">
        <f t="shared" si="9"/>
        <v>0</v>
      </c>
      <c r="AF156" s="333" t="str">
        <f t="shared" si="10"/>
        <v/>
      </c>
      <c r="AH156" s="308"/>
      <c r="AI156" s="896" t="s">
        <v>507</v>
      </c>
      <c r="AJ156" s="897"/>
      <c r="AK156" s="897"/>
      <c r="AL156" s="897"/>
      <c r="AM156" s="897"/>
      <c r="AN156" s="419" t="s">
        <v>508</v>
      </c>
      <c r="AO156" s="317">
        <f t="shared" si="0"/>
        <v>0</v>
      </c>
      <c r="AP156" s="318"/>
      <c r="AQ156" s="308"/>
      <c r="AR156" s="911" t="s">
        <v>509</v>
      </c>
      <c r="AS156" s="912"/>
      <c r="AT156" s="912"/>
      <c r="AU156" s="912"/>
      <c r="AV156" s="912"/>
      <c r="AW156" s="461" t="s">
        <v>510</v>
      </c>
      <c r="AX156" s="317">
        <f t="shared" si="1"/>
        <v>0</v>
      </c>
      <c r="AY156" s="327"/>
      <c r="AZ156" s="308"/>
      <c r="BA156" s="311"/>
    </row>
    <row r="157" spans="1:58" ht="17.25" customHeight="1" thickBot="1" x14ac:dyDescent="0.3">
      <c r="A157" s="1010" t="s">
        <v>139</v>
      </c>
      <c r="B157" s="1011"/>
      <c r="C157" s="1012"/>
      <c r="D157" s="351"/>
      <c r="E157" s="352"/>
      <c r="F157" s="462" t="s">
        <v>135</v>
      </c>
      <c r="G157" s="926">
        <f t="shared" si="11"/>
        <v>0</v>
      </c>
      <c r="H157" s="927"/>
      <c r="I157" s="928"/>
      <c r="J157" s="354">
        <v>0</v>
      </c>
      <c r="K157" s="355">
        <v>0</v>
      </c>
      <c r="L157" s="356">
        <f t="shared" si="12"/>
        <v>0</v>
      </c>
      <c r="M157" s="324"/>
      <c r="N157" s="1010" t="s">
        <v>139</v>
      </c>
      <c r="O157" s="1011"/>
      <c r="P157" s="1012"/>
      <c r="Q157" s="351"/>
      <c r="R157" s="352"/>
      <c r="S157" s="462" t="s">
        <v>135</v>
      </c>
      <c r="T157" s="929">
        <f t="shared" si="13"/>
        <v>0</v>
      </c>
      <c r="U157" s="929"/>
      <c r="V157" s="929"/>
      <c r="W157" s="354">
        <v>0</v>
      </c>
      <c r="X157" s="355">
        <v>0</v>
      </c>
      <c r="Y157" s="356">
        <f t="shared" si="14"/>
        <v>0</v>
      </c>
      <c r="Z157" s="357">
        <f t="shared" si="15"/>
        <v>0</v>
      </c>
      <c r="AA157" s="324"/>
      <c r="AC157" s="442" t="s">
        <v>511</v>
      </c>
      <c r="AD157" s="463" t="s">
        <v>177</v>
      </c>
      <c r="AE157" s="332">
        <f t="shared" si="9"/>
        <v>0</v>
      </c>
      <c r="AF157" s="333" t="str">
        <f t="shared" si="10"/>
        <v/>
      </c>
      <c r="AH157" s="308"/>
      <c r="AI157" s="896" t="s">
        <v>512</v>
      </c>
      <c r="AJ157" s="897"/>
      <c r="AK157" s="897"/>
      <c r="AL157" s="897"/>
      <c r="AM157" s="897"/>
      <c r="AN157" s="464" t="s">
        <v>513</v>
      </c>
      <c r="AO157" s="317">
        <f t="shared" si="0"/>
        <v>0</v>
      </c>
      <c r="AP157" s="318"/>
      <c r="AQ157" s="308"/>
      <c r="AR157" s="911" t="s">
        <v>514</v>
      </c>
      <c r="AS157" s="912"/>
      <c r="AT157" s="912"/>
      <c r="AU157" s="912"/>
      <c r="AV157" s="912"/>
      <c r="AW157" s="465" t="s">
        <v>515</v>
      </c>
      <c r="AX157" s="317">
        <f t="shared" si="1"/>
        <v>0</v>
      </c>
      <c r="AY157" s="327"/>
      <c r="AZ157" s="308"/>
      <c r="BA157" s="311"/>
    </row>
    <row r="158" spans="1:58" ht="17.25" customHeight="1" thickBot="1" x14ac:dyDescent="0.3">
      <c r="A158" s="1010" t="s">
        <v>30</v>
      </c>
      <c r="B158" s="1011"/>
      <c r="C158" s="1012"/>
      <c r="D158" s="351"/>
      <c r="E158" s="352" t="s">
        <v>367</v>
      </c>
      <c r="F158" s="466" t="s">
        <v>31</v>
      </c>
      <c r="G158" s="926">
        <f t="shared" si="11"/>
        <v>0</v>
      </c>
      <c r="H158" s="927"/>
      <c r="I158" s="928"/>
      <c r="J158" s="354">
        <v>0</v>
      </c>
      <c r="K158" s="355">
        <v>0</v>
      </c>
      <c r="L158" s="356">
        <f t="shared" si="12"/>
        <v>0</v>
      </c>
      <c r="M158" s="324"/>
      <c r="N158" s="1010" t="s">
        <v>30</v>
      </c>
      <c r="O158" s="1011"/>
      <c r="P158" s="1012"/>
      <c r="Q158" s="351"/>
      <c r="R158" s="352" t="s">
        <v>367</v>
      </c>
      <c r="S158" s="466" t="s">
        <v>31</v>
      </c>
      <c r="T158" s="929">
        <f t="shared" si="13"/>
        <v>0</v>
      </c>
      <c r="U158" s="929"/>
      <c r="V158" s="929"/>
      <c r="W158" s="354">
        <v>0</v>
      </c>
      <c r="X158" s="355">
        <v>0</v>
      </c>
      <c r="Y158" s="356">
        <f t="shared" si="14"/>
        <v>0</v>
      </c>
      <c r="Z158" s="357">
        <f t="shared" si="15"/>
        <v>0</v>
      </c>
      <c r="AA158" s="324"/>
      <c r="AC158" s="442" t="s">
        <v>516</v>
      </c>
      <c r="AD158" s="467" t="s">
        <v>517</v>
      </c>
      <c r="AE158" s="332">
        <f t="shared" si="9"/>
        <v>0</v>
      </c>
      <c r="AF158" s="333" t="str">
        <f t="shared" si="10"/>
        <v/>
      </c>
      <c r="AH158" s="308"/>
      <c r="AI158" s="896" t="s">
        <v>518</v>
      </c>
      <c r="AJ158" s="897"/>
      <c r="AK158" s="897"/>
      <c r="AL158" s="897"/>
      <c r="AM158" s="897"/>
      <c r="AN158" s="468" t="s">
        <v>519</v>
      </c>
      <c r="AO158" s="317">
        <f t="shared" si="0"/>
        <v>0</v>
      </c>
      <c r="AP158" s="318"/>
      <c r="AQ158" s="308"/>
      <c r="AR158" s="911" t="s">
        <v>520</v>
      </c>
      <c r="AS158" s="912"/>
      <c r="AT158" s="912"/>
      <c r="AU158" s="912"/>
      <c r="AV158" s="912"/>
      <c r="AW158" s="469" t="s">
        <v>521</v>
      </c>
      <c r="AX158" s="317">
        <f t="shared" si="1"/>
        <v>0</v>
      </c>
      <c r="AY158" s="327"/>
      <c r="AZ158" s="308"/>
      <c r="BA158" s="311"/>
    </row>
    <row r="159" spans="1:58" ht="17.25" customHeight="1" thickBot="1" x14ac:dyDescent="0.3">
      <c r="A159" s="1010" t="s">
        <v>27</v>
      </c>
      <c r="B159" s="1011"/>
      <c r="C159" s="1012"/>
      <c r="D159" s="351"/>
      <c r="E159" s="352"/>
      <c r="F159" s="470" t="s">
        <v>24</v>
      </c>
      <c r="G159" s="926">
        <f t="shared" si="11"/>
        <v>0</v>
      </c>
      <c r="H159" s="927"/>
      <c r="I159" s="928"/>
      <c r="J159" s="354">
        <v>0</v>
      </c>
      <c r="K159" s="355">
        <v>0</v>
      </c>
      <c r="L159" s="356">
        <f t="shared" si="12"/>
        <v>0</v>
      </c>
      <c r="M159" s="324"/>
      <c r="N159" s="1010" t="s">
        <v>27</v>
      </c>
      <c r="O159" s="1011"/>
      <c r="P159" s="1012"/>
      <c r="Q159" s="351"/>
      <c r="R159" s="352"/>
      <c r="S159" s="470" t="s">
        <v>24</v>
      </c>
      <c r="T159" s="929">
        <f t="shared" si="13"/>
        <v>0</v>
      </c>
      <c r="U159" s="929"/>
      <c r="V159" s="929"/>
      <c r="W159" s="354">
        <v>0</v>
      </c>
      <c r="X159" s="355">
        <v>0</v>
      </c>
      <c r="Y159" s="356">
        <f t="shared" si="14"/>
        <v>0</v>
      </c>
      <c r="Z159" s="357">
        <f t="shared" si="15"/>
        <v>0</v>
      </c>
      <c r="AA159" s="324"/>
      <c r="AC159" s="442" t="s">
        <v>522</v>
      </c>
      <c r="AD159" s="471" t="s">
        <v>522</v>
      </c>
      <c r="AE159" s="332">
        <f t="shared" si="9"/>
        <v>0</v>
      </c>
      <c r="AF159" s="333" t="str">
        <f t="shared" si="10"/>
        <v/>
      </c>
      <c r="AH159" s="308"/>
      <c r="AI159" s="896" t="s">
        <v>523</v>
      </c>
      <c r="AJ159" s="897"/>
      <c r="AK159" s="897"/>
      <c r="AL159" s="897"/>
      <c r="AM159" s="897"/>
      <c r="AN159" s="472" t="s">
        <v>524</v>
      </c>
      <c r="AO159" s="317">
        <f t="shared" si="0"/>
        <v>0</v>
      </c>
      <c r="AP159" s="318"/>
      <c r="AQ159" s="308"/>
      <c r="AR159" s="911" t="s">
        <v>525</v>
      </c>
      <c r="AS159" s="912"/>
      <c r="AT159" s="912"/>
      <c r="AU159" s="912"/>
      <c r="AV159" s="912"/>
      <c r="AW159" s="473" t="s">
        <v>526</v>
      </c>
      <c r="AX159" s="317">
        <f t="shared" si="1"/>
        <v>0</v>
      </c>
      <c r="AY159" s="474"/>
      <c r="AZ159" s="308"/>
      <c r="BA159" s="311"/>
    </row>
    <row r="160" spans="1:58" ht="17.25" customHeight="1" x14ac:dyDescent="0.25">
      <c r="A160" s="1010" t="s">
        <v>114</v>
      </c>
      <c r="B160" s="1011"/>
      <c r="C160" s="1012"/>
      <c r="D160" s="351"/>
      <c r="E160" s="352"/>
      <c r="F160" s="475" t="s">
        <v>113</v>
      </c>
      <c r="G160" s="926">
        <f t="shared" si="11"/>
        <v>0</v>
      </c>
      <c r="H160" s="927"/>
      <c r="I160" s="928"/>
      <c r="J160" s="354">
        <v>0</v>
      </c>
      <c r="K160" s="355">
        <v>0</v>
      </c>
      <c r="L160" s="356">
        <f t="shared" si="12"/>
        <v>0</v>
      </c>
      <c r="M160" s="324"/>
      <c r="N160" s="1010" t="s">
        <v>114</v>
      </c>
      <c r="O160" s="1011"/>
      <c r="P160" s="1012"/>
      <c r="Q160" s="351"/>
      <c r="R160" s="352"/>
      <c r="S160" s="475" t="s">
        <v>113</v>
      </c>
      <c r="T160" s="929">
        <f t="shared" si="13"/>
        <v>0</v>
      </c>
      <c r="U160" s="929"/>
      <c r="V160" s="929"/>
      <c r="W160" s="354">
        <v>0</v>
      </c>
      <c r="X160" s="355">
        <v>0</v>
      </c>
      <c r="Y160" s="356">
        <f t="shared" si="14"/>
        <v>0</v>
      </c>
      <c r="Z160" s="357">
        <f t="shared" si="15"/>
        <v>0</v>
      </c>
      <c r="AA160" s="324"/>
      <c r="AC160" s="442" t="s">
        <v>527</v>
      </c>
      <c r="AD160" s="476" t="s">
        <v>528</v>
      </c>
      <c r="AE160" s="332">
        <f t="shared" si="9"/>
        <v>0</v>
      </c>
      <c r="AF160" s="333" t="str">
        <f t="shared" si="10"/>
        <v/>
      </c>
      <c r="AH160" s="308"/>
      <c r="AI160" s="896" t="s">
        <v>529</v>
      </c>
      <c r="AJ160" s="897"/>
      <c r="AK160" s="897"/>
      <c r="AL160" s="897"/>
      <c r="AM160" s="897"/>
      <c r="AN160" s="477" t="s">
        <v>530</v>
      </c>
      <c r="AO160" s="317">
        <f t="shared" si="0"/>
        <v>0</v>
      </c>
      <c r="AP160" s="318"/>
      <c r="AQ160" s="308"/>
      <c r="AR160" s="911" t="s">
        <v>531</v>
      </c>
      <c r="AS160" s="912"/>
      <c r="AT160" s="912"/>
      <c r="AU160" s="912"/>
      <c r="AV160" s="912"/>
      <c r="AW160" s="478" t="s">
        <v>532</v>
      </c>
      <c r="AX160" s="317">
        <f t="shared" si="1"/>
        <v>0</v>
      </c>
      <c r="AY160" s="474"/>
      <c r="AZ160" s="308"/>
      <c r="BA160" s="311"/>
    </row>
    <row r="161" spans="1:58" ht="17.25" customHeight="1" thickBot="1" x14ac:dyDescent="0.3">
      <c r="A161" s="1010" t="s">
        <v>112</v>
      </c>
      <c r="B161" s="1011"/>
      <c r="C161" s="1012"/>
      <c r="D161" s="351"/>
      <c r="E161" s="352"/>
      <c r="F161" s="479" t="s">
        <v>111</v>
      </c>
      <c r="G161" s="926">
        <f t="shared" si="11"/>
        <v>0</v>
      </c>
      <c r="H161" s="927"/>
      <c r="I161" s="928"/>
      <c r="J161" s="354">
        <v>0</v>
      </c>
      <c r="K161" s="355">
        <v>0</v>
      </c>
      <c r="L161" s="356">
        <f t="shared" si="12"/>
        <v>0</v>
      </c>
      <c r="M161" s="324"/>
      <c r="N161" s="1010" t="s">
        <v>112</v>
      </c>
      <c r="O161" s="1011"/>
      <c r="P161" s="1012"/>
      <c r="Q161" s="351"/>
      <c r="R161" s="352"/>
      <c r="S161" s="480" t="s">
        <v>111</v>
      </c>
      <c r="T161" s="929">
        <f t="shared" si="13"/>
        <v>0</v>
      </c>
      <c r="U161" s="929"/>
      <c r="V161" s="929"/>
      <c r="W161" s="354">
        <v>0</v>
      </c>
      <c r="X161" s="355">
        <v>0</v>
      </c>
      <c r="Y161" s="356">
        <f t="shared" si="14"/>
        <v>0</v>
      </c>
      <c r="Z161" s="357">
        <f t="shared" si="15"/>
        <v>0</v>
      </c>
      <c r="AA161" s="324"/>
      <c r="AC161" s="442" t="s">
        <v>533</v>
      </c>
      <c r="AD161" s="481" t="s">
        <v>534</v>
      </c>
      <c r="AE161" s="332">
        <f t="shared" si="9"/>
        <v>0</v>
      </c>
      <c r="AF161" s="333" t="str">
        <f t="shared" si="10"/>
        <v/>
      </c>
      <c r="AH161" s="308"/>
      <c r="AI161" s="896" t="s">
        <v>535</v>
      </c>
      <c r="AJ161" s="897"/>
      <c r="AK161" s="897"/>
      <c r="AL161" s="897"/>
      <c r="AM161" s="897"/>
      <c r="AN161" s="360" t="s">
        <v>536</v>
      </c>
      <c r="AO161" s="317">
        <f t="shared" si="0"/>
        <v>0</v>
      </c>
      <c r="AP161" s="318"/>
      <c r="AQ161" s="308"/>
      <c r="AR161" s="911" t="s">
        <v>537</v>
      </c>
      <c r="AS161" s="912"/>
      <c r="AT161" s="912"/>
      <c r="AU161" s="912"/>
      <c r="AV161" s="912"/>
      <c r="AW161" s="482" t="s">
        <v>538</v>
      </c>
      <c r="AX161" s="317">
        <f t="shared" si="1"/>
        <v>0</v>
      </c>
      <c r="AY161" s="327"/>
      <c r="AZ161" s="308"/>
      <c r="BA161" s="311"/>
    </row>
    <row r="162" spans="1:58" ht="17.25" customHeight="1" x14ac:dyDescent="0.25">
      <c r="A162" s="1010" t="s">
        <v>140</v>
      </c>
      <c r="B162" s="1011"/>
      <c r="C162" s="1012"/>
      <c r="D162" s="351"/>
      <c r="E162" s="352"/>
      <c r="F162" s="483" t="s">
        <v>134</v>
      </c>
      <c r="G162" s="926">
        <f t="shared" si="11"/>
        <v>0</v>
      </c>
      <c r="H162" s="927"/>
      <c r="I162" s="928"/>
      <c r="J162" s="484"/>
      <c r="K162" s="485"/>
      <c r="L162" s="356"/>
      <c r="M162" s="324"/>
      <c r="N162" s="1010" t="s">
        <v>140</v>
      </c>
      <c r="O162" s="1011"/>
      <c r="P162" s="1012"/>
      <c r="Q162" s="351"/>
      <c r="R162" s="352"/>
      <c r="S162" s="483" t="s">
        <v>134</v>
      </c>
      <c r="T162" s="929">
        <f t="shared" si="13"/>
        <v>0</v>
      </c>
      <c r="U162" s="929"/>
      <c r="V162" s="929"/>
      <c r="W162" s="354">
        <v>0</v>
      </c>
      <c r="X162" s="355">
        <v>0</v>
      </c>
      <c r="Y162" s="356">
        <f t="shared" si="14"/>
        <v>0</v>
      </c>
      <c r="Z162" s="357">
        <f t="shared" si="15"/>
        <v>0</v>
      </c>
      <c r="AA162" s="324"/>
      <c r="AC162" s="442" t="s">
        <v>539</v>
      </c>
      <c r="AD162" s="486" t="s">
        <v>539</v>
      </c>
      <c r="AE162" s="332">
        <f t="shared" si="9"/>
        <v>0</v>
      </c>
      <c r="AF162" s="333" t="str">
        <f t="shared" si="10"/>
        <v/>
      </c>
      <c r="AH162" s="308"/>
      <c r="AI162" s="896" t="s">
        <v>540</v>
      </c>
      <c r="AJ162" s="897"/>
      <c r="AK162" s="897"/>
      <c r="AL162" s="897"/>
      <c r="AM162" s="897"/>
      <c r="AN162" s="468" t="s">
        <v>541</v>
      </c>
      <c r="AO162" s="317">
        <f t="shared" si="0"/>
        <v>0</v>
      </c>
      <c r="AP162" s="318"/>
      <c r="AQ162" s="308"/>
      <c r="AR162" s="911" t="s">
        <v>542</v>
      </c>
      <c r="AS162" s="912"/>
      <c r="AT162" s="912"/>
      <c r="AU162" s="912"/>
      <c r="AV162" s="912"/>
      <c r="AW162" s="487" t="s">
        <v>543</v>
      </c>
      <c r="AX162" s="317">
        <f t="shared" si="1"/>
        <v>0</v>
      </c>
      <c r="AY162" s="327"/>
      <c r="AZ162" s="308"/>
      <c r="BA162" s="311"/>
      <c r="BC162" s="308"/>
      <c r="BD162" s="308"/>
      <c r="BE162" s="308"/>
      <c r="BF162" s="308"/>
    </row>
    <row r="163" spans="1:58" ht="17.25" customHeight="1" thickBot="1" x14ac:dyDescent="0.3">
      <c r="A163" s="1010" t="s">
        <v>42</v>
      </c>
      <c r="B163" s="1011"/>
      <c r="C163" s="1012"/>
      <c r="D163" s="351"/>
      <c r="E163" s="352"/>
      <c r="F163" s="488" t="s">
        <v>42</v>
      </c>
      <c r="G163" s="926">
        <f t="shared" si="11"/>
        <v>0</v>
      </c>
      <c r="H163" s="927"/>
      <c r="I163" s="928"/>
      <c r="J163" s="354">
        <v>0</v>
      </c>
      <c r="K163" s="355">
        <v>0</v>
      </c>
      <c r="L163" s="356">
        <f t="shared" si="12"/>
        <v>0</v>
      </c>
      <c r="M163" s="324"/>
      <c r="N163" s="1010" t="s">
        <v>42</v>
      </c>
      <c r="O163" s="1011"/>
      <c r="P163" s="1012"/>
      <c r="Q163" s="351"/>
      <c r="R163" s="352"/>
      <c r="S163" s="489" t="s">
        <v>42</v>
      </c>
      <c r="T163" s="929">
        <f t="shared" si="13"/>
        <v>0</v>
      </c>
      <c r="U163" s="929"/>
      <c r="V163" s="929"/>
      <c r="W163" s="354">
        <v>0</v>
      </c>
      <c r="X163" s="355">
        <v>0</v>
      </c>
      <c r="Y163" s="356">
        <f t="shared" si="14"/>
        <v>0</v>
      </c>
      <c r="Z163" s="357">
        <f t="shared" si="15"/>
        <v>0</v>
      </c>
      <c r="AA163" s="324"/>
      <c r="AC163" s="442" t="s">
        <v>544</v>
      </c>
      <c r="AD163" s="316" t="s">
        <v>175</v>
      </c>
      <c r="AE163" s="332">
        <f t="shared" si="9"/>
        <v>0</v>
      </c>
      <c r="AF163" s="333" t="str">
        <f t="shared" si="10"/>
        <v/>
      </c>
      <c r="AH163" s="308"/>
      <c r="AI163" s="896" t="s">
        <v>545</v>
      </c>
      <c r="AJ163" s="897"/>
      <c r="AK163" s="897"/>
      <c r="AL163" s="897"/>
      <c r="AM163" s="897"/>
      <c r="AN163" s="423" t="s">
        <v>546</v>
      </c>
      <c r="AO163" s="317">
        <f t="shared" si="0"/>
        <v>0</v>
      </c>
      <c r="AP163" s="318"/>
      <c r="AQ163" s="308"/>
      <c r="AR163" s="319" t="s">
        <v>547</v>
      </c>
      <c r="AS163" s="320"/>
      <c r="AT163" s="320"/>
      <c r="AU163" s="320"/>
      <c r="AV163" s="320"/>
      <c r="AW163" s="490" t="s">
        <v>548</v>
      </c>
      <c r="AX163" s="317">
        <f t="shared" si="1"/>
        <v>0</v>
      </c>
      <c r="AY163" s="474"/>
      <c r="AZ163" s="308"/>
      <c r="BA163" s="311"/>
      <c r="BB163" s="308"/>
      <c r="BC163" s="308"/>
      <c r="BD163" s="308"/>
      <c r="BE163" s="308"/>
      <c r="BF163" s="308"/>
    </row>
    <row r="164" spans="1:58" ht="17.25" customHeight="1" x14ac:dyDescent="0.25">
      <c r="A164" s="1010" t="s">
        <v>141</v>
      </c>
      <c r="B164" s="1011"/>
      <c r="C164" s="1012"/>
      <c r="D164" s="351"/>
      <c r="E164" s="352"/>
      <c r="F164" s="22" t="s">
        <v>119</v>
      </c>
      <c r="G164" s="926">
        <f t="shared" si="11"/>
        <v>0</v>
      </c>
      <c r="H164" s="927"/>
      <c r="I164" s="928"/>
      <c r="J164" s="354">
        <v>0</v>
      </c>
      <c r="K164" s="355">
        <v>0</v>
      </c>
      <c r="L164" s="356">
        <f t="shared" si="12"/>
        <v>0</v>
      </c>
      <c r="M164" s="324"/>
      <c r="N164" s="1010" t="s">
        <v>141</v>
      </c>
      <c r="O164" s="1011"/>
      <c r="P164" s="1012"/>
      <c r="Q164" s="351"/>
      <c r="R164" s="352"/>
      <c r="S164" s="22" t="s">
        <v>119</v>
      </c>
      <c r="T164" s="929">
        <f t="shared" si="13"/>
        <v>0</v>
      </c>
      <c r="U164" s="929"/>
      <c r="V164" s="929"/>
      <c r="W164" s="354">
        <v>0</v>
      </c>
      <c r="X164" s="355">
        <v>0</v>
      </c>
      <c r="Y164" s="356">
        <f t="shared" si="14"/>
        <v>0</v>
      </c>
      <c r="Z164" s="357">
        <f t="shared" si="15"/>
        <v>0</v>
      </c>
      <c r="AA164" s="324"/>
      <c r="AC164" s="442" t="s">
        <v>549</v>
      </c>
      <c r="AD164" s="491" t="s">
        <v>550</v>
      </c>
      <c r="AE164" s="332">
        <f t="shared" si="9"/>
        <v>0</v>
      </c>
      <c r="AF164" s="333" t="str">
        <f t="shared" si="10"/>
        <v/>
      </c>
      <c r="AH164" s="308"/>
      <c r="AI164" s="896" t="s">
        <v>551</v>
      </c>
      <c r="AJ164" s="897"/>
      <c r="AK164" s="897"/>
      <c r="AL164" s="897"/>
      <c r="AM164" s="897"/>
      <c r="AN164" s="468" t="s">
        <v>552</v>
      </c>
      <c r="AO164" s="317">
        <f t="shared" si="0"/>
        <v>0</v>
      </c>
      <c r="AP164" s="318"/>
      <c r="AQ164" s="308"/>
      <c r="AR164" s="319" t="s">
        <v>553</v>
      </c>
      <c r="AS164" s="320"/>
      <c r="AT164" s="320"/>
      <c r="AU164" s="320"/>
      <c r="AV164" s="320"/>
      <c r="AW164" s="404" t="s">
        <v>554</v>
      </c>
      <c r="AX164" s="317">
        <f t="shared" si="1"/>
        <v>0</v>
      </c>
      <c r="AY164" s="474"/>
      <c r="AZ164" s="308"/>
      <c r="BA164" s="311"/>
      <c r="BB164" s="308"/>
      <c r="BC164" s="308"/>
      <c r="BD164" s="308"/>
      <c r="BE164" s="308"/>
      <c r="BF164" s="308"/>
    </row>
    <row r="165" spans="1:58" ht="17.25" customHeight="1" thickBot="1" x14ac:dyDescent="0.3">
      <c r="A165" s="978" t="s">
        <v>91</v>
      </c>
      <c r="B165" s="979"/>
      <c r="C165" s="980"/>
      <c r="D165" s="351"/>
      <c r="E165" s="352" t="s">
        <v>367</v>
      </c>
      <c r="F165" s="492" t="s">
        <v>90</v>
      </c>
      <c r="G165" s="926">
        <f t="shared" si="11"/>
        <v>0</v>
      </c>
      <c r="H165" s="927"/>
      <c r="I165" s="928"/>
      <c r="J165" s="354">
        <v>0</v>
      </c>
      <c r="K165" s="355">
        <v>0</v>
      </c>
      <c r="L165" s="356">
        <f t="shared" si="12"/>
        <v>0</v>
      </c>
      <c r="M165" s="324"/>
      <c r="N165" s="978" t="s">
        <v>91</v>
      </c>
      <c r="O165" s="979"/>
      <c r="P165" s="980"/>
      <c r="Q165" s="351"/>
      <c r="R165" s="352" t="s">
        <v>367</v>
      </c>
      <c r="S165" s="492" t="s">
        <v>90</v>
      </c>
      <c r="T165" s="929">
        <f t="shared" si="13"/>
        <v>0</v>
      </c>
      <c r="U165" s="929"/>
      <c r="V165" s="929"/>
      <c r="W165" s="354">
        <v>0</v>
      </c>
      <c r="X165" s="355">
        <v>0</v>
      </c>
      <c r="Y165" s="356">
        <f t="shared" si="14"/>
        <v>0</v>
      </c>
      <c r="Z165" s="357">
        <f t="shared" si="15"/>
        <v>0</v>
      </c>
      <c r="AA165" s="324"/>
      <c r="AC165" s="442" t="s">
        <v>555</v>
      </c>
      <c r="AD165" s="447" t="s">
        <v>556</v>
      </c>
      <c r="AE165" s="332">
        <f t="shared" si="9"/>
        <v>0</v>
      </c>
      <c r="AF165" s="333" t="str">
        <f t="shared" si="10"/>
        <v/>
      </c>
      <c r="AH165" s="308"/>
      <c r="AI165" s="896" t="s">
        <v>557</v>
      </c>
      <c r="AJ165" s="897"/>
      <c r="AK165" s="897"/>
      <c r="AL165" s="897"/>
      <c r="AM165" s="897"/>
      <c r="AN165" s="493" t="s">
        <v>558</v>
      </c>
      <c r="AO165" s="317">
        <f t="shared" si="0"/>
        <v>0</v>
      </c>
      <c r="AP165" s="318"/>
      <c r="AQ165" s="308"/>
      <c r="AR165" s="948" t="s">
        <v>559</v>
      </c>
      <c r="AS165" s="949"/>
      <c r="AT165" s="949"/>
      <c r="AU165" s="949"/>
      <c r="AV165" s="1020"/>
      <c r="AW165" s="494" t="s">
        <v>560</v>
      </c>
      <c r="AX165" s="317">
        <f t="shared" si="1"/>
        <v>0</v>
      </c>
      <c r="AY165" s="327"/>
      <c r="AZ165" s="308"/>
      <c r="BA165" s="311"/>
      <c r="BB165" s="308"/>
      <c r="BC165" s="308"/>
      <c r="BD165" s="308"/>
      <c r="BE165" s="308"/>
      <c r="BF165" s="308"/>
    </row>
    <row r="166" spans="1:58" ht="17.25" customHeight="1" thickBot="1" x14ac:dyDescent="0.3">
      <c r="A166" s="1010" t="s">
        <v>93</v>
      </c>
      <c r="B166" s="1011"/>
      <c r="C166" s="1012"/>
      <c r="D166" s="351"/>
      <c r="E166" s="352" t="s">
        <v>367</v>
      </c>
      <c r="F166" s="495" t="s">
        <v>92</v>
      </c>
      <c r="G166" s="926">
        <f t="shared" si="11"/>
        <v>0</v>
      </c>
      <c r="H166" s="927"/>
      <c r="I166" s="928"/>
      <c r="J166" s="354">
        <v>0</v>
      </c>
      <c r="K166" s="355">
        <v>0</v>
      </c>
      <c r="L166" s="356">
        <f t="shared" si="12"/>
        <v>0</v>
      </c>
      <c r="M166" s="324"/>
      <c r="N166" s="1010" t="s">
        <v>93</v>
      </c>
      <c r="O166" s="1011"/>
      <c r="P166" s="1012"/>
      <c r="Q166" s="351"/>
      <c r="R166" s="352" t="s">
        <v>367</v>
      </c>
      <c r="S166" s="495" t="s">
        <v>92</v>
      </c>
      <c r="T166" s="929">
        <f t="shared" si="13"/>
        <v>0</v>
      </c>
      <c r="U166" s="929"/>
      <c r="V166" s="929"/>
      <c r="W166" s="354">
        <v>0</v>
      </c>
      <c r="X166" s="355">
        <v>0</v>
      </c>
      <c r="Y166" s="356">
        <f t="shared" si="14"/>
        <v>0</v>
      </c>
      <c r="Z166" s="357">
        <f t="shared" si="15"/>
        <v>0</v>
      </c>
      <c r="AA166" s="324"/>
      <c r="AC166" s="442" t="s">
        <v>561</v>
      </c>
      <c r="AD166" s="496" t="s">
        <v>562</v>
      </c>
      <c r="AE166" s="332">
        <f t="shared" si="9"/>
        <v>0</v>
      </c>
      <c r="AF166" s="333" t="str">
        <f t="shared" si="10"/>
        <v/>
      </c>
      <c r="AH166" s="308"/>
      <c r="AI166" s="896" t="s">
        <v>563</v>
      </c>
      <c r="AJ166" s="897"/>
      <c r="AK166" s="897"/>
      <c r="AL166" s="897"/>
      <c r="AM166" s="897"/>
      <c r="AN166" s="468" t="s">
        <v>564</v>
      </c>
      <c r="AO166" s="317">
        <f t="shared" si="0"/>
        <v>0</v>
      </c>
      <c r="AP166" s="318"/>
      <c r="AQ166" s="308"/>
      <c r="AR166" s="914" t="s">
        <v>565</v>
      </c>
      <c r="AS166" s="915"/>
      <c r="AT166" s="915"/>
      <c r="AU166" s="915"/>
      <c r="AV166" s="915"/>
      <c r="AW166" s="497" t="s">
        <v>566</v>
      </c>
      <c r="AX166" s="317">
        <f t="shared" si="1"/>
        <v>0</v>
      </c>
      <c r="AY166" s="498"/>
      <c r="AZ166" s="308"/>
      <c r="BA166" s="311"/>
      <c r="BB166" s="308"/>
      <c r="BC166" s="308"/>
      <c r="BD166" s="308"/>
      <c r="BE166" s="308"/>
      <c r="BF166" s="308"/>
    </row>
    <row r="167" spans="1:58" ht="17.25" customHeight="1" thickBot="1" x14ac:dyDescent="0.3">
      <c r="A167" s="1010" t="s">
        <v>116</v>
      </c>
      <c r="B167" s="1011"/>
      <c r="C167" s="1012"/>
      <c r="D167" s="351" t="s">
        <v>6</v>
      </c>
      <c r="E167" s="352" t="s">
        <v>367</v>
      </c>
      <c r="F167" s="499" t="s">
        <v>117</v>
      </c>
      <c r="G167" s="926">
        <f t="shared" si="11"/>
        <v>0</v>
      </c>
      <c r="H167" s="927"/>
      <c r="I167" s="928"/>
      <c r="J167" s="354">
        <v>0</v>
      </c>
      <c r="K167" s="355">
        <v>0</v>
      </c>
      <c r="L167" s="356">
        <f t="shared" si="12"/>
        <v>0</v>
      </c>
      <c r="M167" s="324"/>
      <c r="N167" s="1010" t="s">
        <v>116</v>
      </c>
      <c r="O167" s="1011"/>
      <c r="P167" s="1012"/>
      <c r="Q167" s="351" t="s">
        <v>6</v>
      </c>
      <c r="R167" s="352" t="s">
        <v>367</v>
      </c>
      <c r="S167" s="499" t="s">
        <v>117</v>
      </c>
      <c r="T167" s="929">
        <f t="shared" si="13"/>
        <v>0</v>
      </c>
      <c r="U167" s="929"/>
      <c r="V167" s="929"/>
      <c r="W167" s="354">
        <v>0</v>
      </c>
      <c r="X167" s="355">
        <v>0</v>
      </c>
      <c r="Y167" s="356">
        <f t="shared" si="14"/>
        <v>0</v>
      </c>
      <c r="Z167" s="357">
        <f t="shared" si="15"/>
        <v>0</v>
      </c>
      <c r="AA167" s="324"/>
      <c r="AC167" s="442" t="s">
        <v>567</v>
      </c>
      <c r="AD167" s="394" t="s">
        <v>568</v>
      </c>
      <c r="AE167" s="332">
        <f t="shared" si="9"/>
        <v>0</v>
      </c>
      <c r="AF167" s="333" t="str">
        <f t="shared" si="10"/>
        <v/>
      </c>
      <c r="AH167" s="308"/>
      <c r="AI167" s="896" t="s">
        <v>569</v>
      </c>
      <c r="AJ167" s="897"/>
      <c r="AK167" s="897"/>
      <c r="AL167" s="897"/>
      <c r="AM167" s="897"/>
      <c r="AN167" s="500" t="s">
        <v>570</v>
      </c>
      <c r="AO167" s="317">
        <f t="shared" si="0"/>
        <v>0</v>
      </c>
      <c r="AP167" s="318"/>
      <c r="AQ167" s="308"/>
      <c r="AR167" s="951" t="s">
        <v>571</v>
      </c>
      <c r="AS167" s="952"/>
      <c r="AT167" s="952"/>
      <c r="AU167" s="952"/>
      <c r="AV167" s="953"/>
      <c r="AW167" s="501"/>
      <c r="AX167" s="502">
        <f>SUM(AX126:AX166)</f>
        <v>0</v>
      </c>
      <c r="AY167" s="308"/>
      <c r="AZ167" s="308"/>
      <c r="BA167" s="311"/>
      <c r="BB167" s="308"/>
      <c r="BC167" s="308"/>
      <c r="BD167" s="308"/>
      <c r="BE167" s="308"/>
      <c r="BF167" s="308"/>
    </row>
    <row r="168" spans="1:58" ht="17.25" customHeight="1" thickBot="1" x14ac:dyDescent="0.3">
      <c r="A168" s="1010" t="s">
        <v>33</v>
      </c>
      <c r="B168" s="1011"/>
      <c r="C168" s="1012"/>
      <c r="D168" s="351"/>
      <c r="E168" s="352" t="s">
        <v>367</v>
      </c>
      <c r="F168" s="503" t="s">
        <v>34</v>
      </c>
      <c r="G168" s="926">
        <f t="shared" si="11"/>
        <v>0</v>
      </c>
      <c r="H168" s="927"/>
      <c r="I168" s="928"/>
      <c r="J168" s="354">
        <v>0</v>
      </c>
      <c r="K168" s="355">
        <v>0</v>
      </c>
      <c r="L168" s="356">
        <f t="shared" si="12"/>
        <v>0</v>
      </c>
      <c r="M168" s="324"/>
      <c r="N168" s="1010" t="s">
        <v>33</v>
      </c>
      <c r="O168" s="1011"/>
      <c r="P168" s="1012"/>
      <c r="Q168" s="351"/>
      <c r="R168" s="352" t="s">
        <v>367</v>
      </c>
      <c r="S168" s="503" t="s">
        <v>34</v>
      </c>
      <c r="T168" s="929">
        <f t="shared" si="13"/>
        <v>0</v>
      </c>
      <c r="U168" s="929"/>
      <c r="V168" s="929"/>
      <c r="W168" s="354">
        <v>0</v>
      </c>
      <c r="X168" s="355">
        <v>0</v>
      </c>
      <c r="Y168" s="356">
        <f t="shared" si="14"/>
        <v>0</v>
      </c>
      <c r="Z168" s="357">
        <f t="shared" si="15"/>
        <v>0</v>
      </c>
      <c r="AA168" s="324"/>
      <c r="AC168" s="442" t="s">
        <v>407</v>
      </c>
      <c r="AD168" s="504" t="s">
        <v>572</v>
      </c>
      <c r="AE168" s="332">
        <f t="shared" si="9"/>
        <v>0</v>
      </c>
      <c r="AF168" s="333" t="str">
        <f t="shared" si="10"/>
        <v/>
      </c>
      <c r="AH168" s="308"/>
      <c r="AI168" s="896" t="s">
        <v>573</v>
      </c>
      <c r="AJ168" s="897"/>
      <c r="AK168" s="897"/>
      <c r="AL168" s="897"/>
      <c r="AM168" s="897"/>
      <c r="AN168" s="505" t="s">
        <v>574</v>
      </c>
      <c r="AO168" s="317">
        <f t="shared" si="0"/>
        <v>0</v>
      </c>
      <c r="AP168" s="318"/>
      <c r="AQ168" s="308"/>
      <c r="AR168" s="308"/>
      <c r="AS168" s="308"/>
      <c r="AT168" s="308"/>
      <c r="AU168" s="308"/>
      <c r="AV168" s="308"/>
      <c r="AW168" s="308"/>
      <c r="AX168" s="308"/>
      <c r="AY168" s="308"/>
      <c r="AZ168" s="308"/>
      <c r="BA168" s="311"/>
      <c r="BB168" s="308"/>
      <c r="BC168" s="308"/>
      <c r="BD168" s="308"/>
      <c r="BE168" s="308"/>
      <c r="BF168" s="308"/>
    </row>
    <row r="169" spans="1:58" ht="17.25" customHeight="1" thickBot="1" x14ac:dyDescent="0.3">
      <c r="A169" s="1010" t="s">
        <v>95</v>
      </c>
      <c r="B169" s="1011"/>
      <c r="C169" s="1012"/>
      <c r="D169" s="351"/>
      <c r="E169" s="352" t="s">
        <v>367</v>
      </c>
      <c r="F169" s="506" t="s">
        <v>94</v>
      </c>
      <c r="G169" s="926">
        <f t="shared" si="11"/>
        <v>0</v>
      </c>
      <c r="H169" s="927"/>
      <c r="I169" s="928"/>
      <c r="J169" s="354">
        <v>0</v>
      </c>
      <c r="K169" s="355">
        <v>0</v>
      </c>
      <c r="L169" s="356">
        <f t="shared" si="12"/>
        <v>0</v>
      </c>
      <c r="M169" s="324"/>
      <c r="N169" s="1010" t="s">
        <v>95</v>
      </c>
      <c r="O169" s="1011"/>
      <c r="P169" s="1012"/>
      <c r="Q169" s="351"/>
      <c r="R169" s="352" t="s">
        <v>367</v>
      </c>
      <c r="S169" s="506" t="s">
        <v>94</v>
      </c>
      <c r="T169" s="929">
        <f t="shared" si="13"/>
        <v>0</v>
      </c>
      <c r="U169" s="929"/>
      <c r="V169" s="929"/>
      <c r="W169" s="354">
        <v>0</v>
      </c>
      <c r="X169" s="355">
        <v>0</v>
      </c>
      <c r="Y169" s="356">
        <f t="shared" si="14"/>
        <v>0</v>
      </c>
      <c r="Z169" s="357">
        <f t="shared" si="15"/>
        <v>0</v>
      </c>
      <c r="AA169" s="324"/>
      <c r="AC169" s="442" t="s">
        <v>575</v>
      </c>
      <c r="AD169" s="507" t="s">
        <v>576</v>
      </c>
      <c r="AE169" s="332">
        <f t="shared" si="9"/>
        <v>0</v>
      </c>
      <c r="AF169" s="333" t="str">
        <f t="shared" si="10"/>
        <v/>
      </c>
      <c r="AH169" s="308"/>
      <c r="AI169" s="896" t="s">
        <v>577</v>
      </c>
      <c r="AJ169" s="897"/>
      <c r="AK169" s="897"/>
      <c r="AL169" s="897"/>
      <c r="AM169" s="897"/>
      <c r="AN169" s="505" t="s">
        <v>578</v>
      </c>
      <c r="AO169" s="317">
        <f t="shared" si="0"/>
        <v>0</v>
      </c>
      <c r="AP169" s="318"/>
      <c r="AQ169" s="308"/>
      <c r="AR169" s="907" t="s">
        <v>368</v>
      </c>
      <c r="AS169" s="908"/>
      <c r="AT169" s="908"/>
      <c r="AU169" s="908"/>
      <c r="AV169" s="908"/>
      <c r="AW169" s="904"/>
      <c r="AX169" s="309" t="s">
        <v>299</v>
      </c>
      <c r="AY169" s="310"/>
      <c r="AZ169" s="308"/>
      <c r="BA169" s="311"/>
      <c r="BB169" s="308"/>
      <c r="BC169" s="308"/>
      <c r="BD169" s="308"/>
      <c r="BE169" s="308"/>
      <c r="BF169" s="308"/>
    </row>
    <row r="170" spans="1:58" ht="17.25" customHeight="1" thickBot="1" x14ac:dyDescent="0.3">
      <c r="A170" s="1010" t="s">
        <v>97</v>
      </c>
      <c r="B170" s="1011"/>
      <c r="C170" s="1012"/>
      <c r="D170" s="351"/>
      <c r="E170" s="352" t="s">
        <v>367</v>
      </c>
      <c r="F170" s="508" t="s">
        <v>96</v>
      </c>
      <c r="G170" s="926">
        <f t="shared" si="11"/>
        <v>0</v>
      </c>
      <c r="H170" s="927"/>
      <c r="I170" s="928"/>
      <c r="J170" s="354">
        <v>0</v>
      </c>
      <c r="K170" s="355">
        <v>0</v>
      </c>
      <c r="L170" s="356">
        <f t="shared" si="12"/>
        <v>0</v>
      </c>
      <c r="M170" s="324"/>
      <c r="N170" s="1010" t="s">
        <v>97</v>
      </c>
      <c r="O170" s="1011"/>
      <c r="P170" s="1012"/>
      <c r="Q170" s="351"/>
      <c r="R170" s="352" t="s">
        <v>367</v>
      </c>
      <c r="S170" s="508" t="s">
        <v>96</v>
      </c>
      <c r="T170" s="929">
        <f t="shared" si="13"/>
        <v>0</v>
      </c>
      <c r="U170" s="929"/>
      <c r="V170" s="929"/>
      <c r="W170" s="354">
        <v>0</v>
      </c>
      <c r="X170" s="355">
        <v>0</v>
      </c>
      <c r="Y170" s="356">
        <f t="shared" si="14"/>
        <v>0</v>
      </c>
      <c r="Z170" s="357">
        <f t="shared" si="15"/>
        <v>0</v>
      </c>
      <c r="AA170" s="324"/>
      <c r="AC170" s="509" t="s">
        <v>48</v>
      </c>
      <c r="AD170" s="66" t="s">
        <v>48</v>
      </c>
      <c r="AE170" s="332">
        <f t="shared" si="9"/>
        <v>0</v>
      </c>
      <c r="AF170" s="333" t="str">
        <f t="shared" si="10"/>
        <v/>
      </c>
      <c r="AH170" s="308"/>
      <c r="AI170" s="896" t="s">
        <v>579</v>
      </c>
      <c r="AJ170" s="897"/>
      <c r="AK170" s="897"/>
      <c r="AL170" s="897"/>
      <c r="AM170" s="897"/>
      <c r="AN170" s="510" t="s">
        <v>580</v>
      </c>
      <c r="AO170" s="317">
        <f t="shared" si="0"/>
        <v>0</v>
      </c>
      <c r="AP170" s="318"/>
      <c r="AQ170" s="308"/>
      <c r="AR170" s="954" t="s">
        <v>581</v>
      </c>
      <c r="AS170" s="955"/>
      <c r="AT170" s="955"/>
      <c r="AU170" s="955"/>
      <c r="AV170" s="955"/>
      <c r="AW170" s="511" t="s">
        <v>582</v>
      </c>
      <c r="AX170" s="317">
        <f t="shared" ref="AX170:AX223" si="16">COUNTIF($A$1:$GO$103,AW170)</f>
        <v>0</v>
      </c>
      <c r="AY170" s="512"/>
      <c r="AZ170" s="308"/>
      <c r="BA170" s="311"/>
      <c r="BB170" s="308"/>
    </row>
    <row r="171" spans="1:58" ht="17.25" customHeight="1" x14ac:dyDescent="0.25">
      <c r="A171" s="1010" t="s">
        <v>142</v>
      </c>
      <c r="B171" s="1011"/>
      <c r="C171" s="1012"/>
      <c r="D171" s="513"/>
      <c r="E171" s="456"/>
      <c r="F171" s="514" t="s">
        <v>136</v>
      </c>
      <c r="G171" s="926">
        <f t="shared" si="11"/>
        <v>0</v>
      </c>
      <c r="H171" s="927"/>
      <c r="I171" s="928"/>
      <c r="J171" s="354">
        <v>0</v>
      </c>
      <c r="K171" s="355">
        <v>0</v>
      </c>
      <c r="L171" s="356">
        <f t="shared" si="12"/>
        <v>0</v>
      </c>
      <c r="M171" s="324"/>
      <c r="N171" s="1010" t="s">
        <v>142</v>
      </c>
      <c r="O171" s="1011"/>
      <c r="P171" s="1012"/>
      <c r="Q171" s="515"/>
      <c r="R171" s="516"/>
      <c r="S171" s="514" t="s">
        <v>136</v>
      </c>
      <c r="T171" s="929">
        <f t="shared" si="13"/>
        <v>0</v>
      </c>
      <c r="U171" s="929"/>
      <c r="V171" s="929"/>
      <c r="W171" s="354">
        <v>0</v>
      </c>
      <c r="X171" s="355">
        <v>0</v>
      </c>
      <c r="Y171" s="356">
        <f t="shared" si="14"/>
        <v>0</v>
      </c>
      <c r="Z171" s="357">
        <f t="shared" si="15"/>
        <v>0</v>
      </c>
      <c r="AA171" s="324"/>
      <c r="AC171" s="442" t="s">
        <v>583</v>
      </c>
      <c r="AD171" s="321" t="s">
        <v>584</v>
      </c>
      <c r="AE171" s="332">
        <f t="shared" si="9"/>
        <v>0</v>
      </c>
      <c r="AF171" s="333" t="str">
        <f t="shared" si="10"/>
        <v/>
      </c>
      <c r="AH171" s="308"/>
      <c r="AI171" s="896" t="s">
        <v>585</v>
      </c>
      <c r="AJ171" s="897"/>
      <c r="AK171" s="897"/>
      <c r="AL171" s="897"/>
      <c r="AM171" s="897"/>
      <c r="AN171" s="411" t="s">
        <v>586</v>
      </c>
      <c r="AO171" s="317">
        <f t="shared" si="0"/>
        <v>0</v>
      </c>
      <c r="AP171" s="318"/>
      <c r="AQ171" s="308"/>
      <c r="AR171" s="954" t="s">
        <v>587</v>
      </c>
      <c r="AS171" s="955"/>
      <c r="AT171" s="955"/>
      <c r="AU171" s="955"/>
      <c r="AV171" s="955"/>
      <c r="AW171" s="517" t="s">
        <v>588</v>
      </c>
      <c r="AX171" s="317">
        <f t="shared" si="16"/>
        <v>0</v>
      </c>
      <c r="AY171" s="512"/>
      <c r="AZ171" s="308"/>
      <c r="BA171" s="311"/>
      <c r="BB171" s="308"/>
    </row>
    <row r="172" spans="1:58" ht="17.25" customHeight="1" x14ac:dyDescent="0.25">
      <c r="A172" s="972" t="s">
        <v>299</v>
      </c>
      <c r="B172" s="973"/>
      <c r="C172" s="973"/>
      <c r="D172" s="973"/>
      <c r="E172" s="973"/>
      <c r="F172" s="518"/>
      <c r="G172" s="1000">
        <f>SUM(G154:I171)</f>
        <v>0</v>
      </c>
      <c r="H172" s="1000"/>
      <c r="I172" s="1000"/>
      <c r="J172" s="439">
        <f>SUM(J154:J171)</f>
        <v>0</v>
      </c>
      <c r="K172" s="440">
        <f>SUM(K154:K171)</f>
        <v>0</v>
      </c>
      <c r="L172" s="356">
        <f>SUM(L154:L171)</f>
        <v>0</v>
      </c>
      <c r="M172" s="324"/>
      <c r="N172" s="1001" t="s">
        <v>299</v>
      </c>
      <c r="O172" s="1002"/>
      <c r="P172" s="1002"/>
      <c r="Q172" s="1002"/>
      <c r="R172" s="1002"/>
      <c r="S172" s="519"/>
      <c r="T172" s="1003">
        <f>SUM(T154:V171)</f>
        <v>0</v>
      </c>
      <c r="U172" s="1003"/>
      <c r="V172" s="1003"/>
      <c r="W172" s="439">
        <f>SUM(W154:W171)</f>
        <v>0</v>
      </c>
      <c r="X172" s="440">
        <f>SUM(X154:X171)</f>
        <v>0</v>
      </c>
      <c r="Y172" s="356">
        <f>SUM(Y154:Y171)</f>
        <v>0</v>
      </c>
      <c r="Z172" s="357">
        <f t="shared" si="15"/>
        <v>0</v>
      </c>
      <c r="AA172" s="324"/>
      <c r="AC172" s="442" t="s">
        <v>589</v>
      </c>
      <c r="AD172" s="520" t="s">
        <v>590</v>
      </c>
      <c r="AE172" s="332">
        <f t="shared" si="9"/>
        <v>0</v>
      </c>
      <c r="AF172" s="333" t="str">
        <f t="shared" si="10"/>
        <v/>
      </c>
      <c r="AH172" s="308"/>
      <c r="AI172" s="896" t="s">
        <v>591</v>
      </c>
      <c r="AJ172" s="897"/>
      <c r="AK172" s="897"/>
      <c r="AL172" s="897"/>
      <c r="AM172" s="897"/>
      <c r="AN172" s="521" t="s">
        <v>592</v>
      </c>
      <c r="AO172" s="317">
        <f t="shared" si="0"/>
        <v>0</v>
      </c>
      <c r="AP172" s="318"/>
      <c r="AQ172" s="308"/>
      <c r="AR172" s="954" t="s">
        <v>593</v>
      </c>
      <c r="AS172" s="955"/>
      <c r="AT172" s="955"/>
      <c r="AU172" s="955"/>
      <c r="AV172" s="955"/>
      <c r="AW172" s="517" t="s">
        <v>594</v>
      </c>
      <c r="AX172" s="317">
        <f t="shared" si="16"/>
        <v>0</v>
      </c>
      <c r="AY172" s="512"/>
      <c r="AZ172" s="308"/>
      <c r="BA172" s="311"/>
      <c r="BB172" s="308"/>
    </row>
    <row r="173" spans="1:58" ht="17.25" customHeight="1" x14ac:dyDescent="0.25">
      <c r="A173" s="1013" t="s">
        <v>595</v>
      </c>
      <c r="B173" s="1014"/>
      <c r="C173" s="1014"/>
      <c r="D173" s="1014"/>
      <c r="E173" s="1014"/>
      <c r="F173" s="1014"/>
      <c r="G173" s="1014"/>
      <c r="H173" s="1014"/>
      <c r="I173" s="1015"/>
      <c r="J173" s="346" t="s">
        <v>351</v>
      </c>
      <c r="K173" s="346" t="s">
        <v>352</v>
      </c>
      <c r="L173" s="346" t="s">
        <v>353</v>
      </c>
      <c r="M173" s="324"/>
      <c r="N173" s="1013" t="s">
        <v>595</v>
      </c>
      <c r="O173" s="1014"/>
      <c r="P173" s="1014"/>
      <c r="Q173" s="1014"/>
      <c r="R173" s="1014"/>
      <c r="S173" s="1014"/>
      <c r="T173" s="1014"/>
      <c r="U173" s="1014"/>
      <c r="V173" s="1015"/>
      <c r="W173" s="347" t="s">
        <v>351</v>
      </c>
      <c r="X173" s="347" t="s">
        <v>352</v>
      </c>
      <c r="Y173" s="347" t="s">
        <v>353</v>
      </c>
      <c r="Z173" s="446"/>
      <c r="AA173" s="324"/>
      <c r="AC173" s="442" t="s">
        <v>596</v>
      </c>
      <c r="AD173" s="522" t="s">
        <v>597</v>
      </c>
      <c r="AE173" s="332">
        <f t="shared" si="9"/>
        <v>0</v>
      </c>
      <c r="AF173" s="333" t="str">
        <f t="shared" si="10"/>
        <v/>
      </c>
      <c r="AH173" s="308"/>
      <c r="AI173" s="896" t="s">
        <v>598</v>
      </c>
      <c r="AJ173" s="897"/>
      <c r="AK173" s="897"/>
      <c r="AL173" s="897"/>
      <c r="AM173" s="897"/>
      <c r="AN173" s="468" t="s">
        <v>599</v>
      </c>
      <c r="AO173" s="317">
        <f t="shared" si="0"/>
        <v>0</v>
      </c>
      <c r="AP173" s="318"/>
      <c r="AQ173" s="308"/>
      <c r="AR173" s="954" t="s">
        <v>600</v>
      </c>
      <c r="AS173" s="955"/>
      <c r="AT173" s="955"/>
      <c r="AU173" s="955"/>
      <c r="AV173" s="955"/>
      <c r="AW173" s="523" t="s">
        <v>601</v>
      </c>
      <c r="AX173" s="317">
        <f t="shared" si="16"/>
        <v>0</v>
      </c>
      <c r="AY173" s="512"/>
      <c r="AZ173" s="308"/>
      <c r="BA173" s="311"/>
    </row>
    <row r="174" spans="1:58" ht="17.25" customHeight="1" thickBot="1" x14ac:dyDescent="0.3">
      <c r="A174" s="1016" t="s">
        <v>143</v>
      </c>
      <c r="B174" s="1017"/>
      <c r="C174" s="1018"/>
      <c r="D174" s="450"/>
      <c r="E174" s="451"/>
      <c r="F174" s="365" t="s">
        <v>122</v>
      </c>
      <c r="G174" s="1019">
        <f>COUNTIF($A$4:$M$42,F174)+COUNTIF($A$43:$O$81,F174)+COUNTIF($N$4:$T$19,F174)+COUNTIF($O$20:$S$23,F174)+COUNTIF($N$24:$Q$25,F174)+COUNTIF($N$26:$P$26,F174)+COUNTIF($P$42,F174)+COUNTIF($T$21:$T$22,F174)+COUNTIF($R$24,F174)+COUNTIF($N$27:$O$28,F174)</f>
        <v>0</v>
      </c>
      <c r="H174" s="986"/>
      <c r="I174" s="987"/>
      <c r="J174" s="354">
        <v>0</v>
      </c>
      <c r="K174" s="355">
        <v>0</v>
      </c>
      <c r="L174" s="356">
        <f t="shared" ref="L174:L175" si="17">G174-K174-J174</f>
        <v>0</v>
      </c>
      <c r="M174" s="324"/>
      <c r="N174" s="1016" t="s">
        <v>143</v>
      </c>
      <c r="O174" s="1017"/>
      <c r="P174" s="1018"/>
      <c r="Q174" s="450"/>
      <c r="R174" s="451"/>
      <c r="S174" s="365" t="s">
        <v>122</v>
      </c>
      <c r="T174" s="929">
        <f>COUNTIF($T$23:$BI$73,S174)+COUNTIF($N$29:$S$39,S174)+COUNTIF($P$47:$S$68,S174)+COUNTIF($Q$40:$S$42,S174)+COUNTIF($P$27:$S$28,S174)+COUNTIF($R$25:$S$25,S174)+COUNTIF($S$24:$S$24,S174)</f>
        <v>0</v>
      </c>
      <c r="U174" s="929"/>
      <c r="V174" s="929"/>
      <c r="W174" s="354">
        <v>0</v>
      </c>
      <c r="X174" s="355">
        <v>0</v>
      </c>
      <c r="Y174" s="356">
        <f t="shared" ref="Y174:Y175" si="18">T174-X174-W174</f>
        <v>0</v>
      </c>
      <c r="Z174" s="357">
        <f t="shared" ref="Z174:Z176" si="19">T174+G174</f>
        <v>0</v>
      </c>
      <c r="AA174" s="324"/>
      <c r="AC174" s="442" t="s">
        <v>602</v>
      </c>
      <c r="AD174" s="524" t="s">
        <v>603</v>
      </c>
      <c r="AE174" s="332">
        <f t="shared" si="9"/>
        <v>0</v>
      </c>
      <c r="AF174" s="333" t="str">
        <f t="shared" si="10"/>
        <v/>
      </c>
      <c r="AH174" s="308"/>
      <c r="AI174" s="896" t="s">
        <v>604</v>
      </c>
      <c r="AJ174" s="897"/>
      <c r="AK174" s="897"/>
      <c r="AL174" s="897"/>
      <c r="AM174" s="897"/>
      <c r="AN174" s="525" t="s">
        <v>605</v>
      </c>
      <c r="AO174" s="317">
        <f t="shared" si="0"/>
        <v>0</v>
      </c>
      <c r="AP174" s="318"/>
      <c r="AQ174" s="308"/>
      <c r="AR174" s="954" t="s">
        <v>606</v>
      </c>
      <c r="AS174" s="955"/>
      <c r="AT174" s="955"/>
      <c r="AU174" s="955"/>
      <c r="AV174" s="955"/>
      <c r="AW174" s="412" t="s">
        <v>155</v>
      </c>
      <c r="AX174" s="317">
        <f t="shared" si="16"/>
        <v>0</v>
      </c>
      <c r="AY174" s="512"/>
      <c r="AZ174" s="308"/>
      <c r="BA174" s="311"/>
    </row>
    <row r="175" spans="1:58" ht="17.25" customHeight="1" thickBot="1" x14ac:dyDescent="0.3">
      <c r="A175" s="1010" t="s">
        <v>144</v>
      </c>
      <c r="B175" s="1011"/>
      <c r="C175" s="1012"/>
      <c r="D175" s="351"/>
      <c r="E175" s="352"/>
      <c r="F175" s="466" t="s">
        <v>123</v>
      </c>
      <c r="G175" s="926">
        <f>COUNTIF($A$4:$M$42,F175)+COUNTIF($A$43:$O$81,F175)+COUNTIF($N$4:$T$19,F175)+COUNTIF($O$20:$S$23,F175)+COUNTIF($N$24:$Q$25,F175)+COUNTIF($N$26:$P$26,F175)+COUNTIF($P$42,F175)+COUNTIF($T$21:$T$22,F175)+COUNTIF($R$24,F175)+COUNTIF($N$27:$O$28,F175)</f>
        <v>0</v>
      </c>
      <c r="H175" s="927"/>
      <c r="I175" s="928"/>
      <c r="J175" s="354">
        <v>0</v>
      </c>
      <c r="K175" s="355">
        <v>0</v>
      </c>
      <c r="L175" s="356">
        <f t="shared" si="17"/>
        <v>0</v>
      </c>
      <c r="M175" s="324"/>
      <c r="N175" s="1010" t="s">
        <v>144</v>
      </c>
      <c r="O175" s="1011"/>
      <c r="P175" s="1012"/>
      <c r="Q175" s="351"/>
      <c r="R175" s="352"/>
      <c r="S175" s="466" t="s">
        <v>123</v>
      </c>
      <c r="T175" s="929">
        <f>COUNTIF($T$23:$BI$73,S175)+COUNTIF($N$29:$S$39,S175)+COUNTIF($P$47:$S$68,S175)+COUNTIF($Q$40:$S$42,S175)+COUNTIF($P$27:$S$28,S175)+COUNTIF($R$25:$S$25,S175)+COUNTIF($S$24:$S$24,S175)</f>
        <v>0</v>
      </c>
      <c r="U175" s="929"/>
      <c r="V175" s="929"/>
      <c r="W175" s="354">
        <v>0</v>
      </c>
      <c r="X175" s="355">
        <v>0</v>
      </c>
      <c r="Y175" s="356">
        <f t="shared" si="18"/>
        <v>0</v>
      </c>
      <c r="Z175" s="357">
        <f t="shared" si="19"/>
        <v>0</v>
      </c>
      <c r="AA175" s="324"/>
      <c r="AC175" s="442" t="s">
        <v>607</v>
      </c>
      <c r="AD175" s="526" t="s">
        <v>607</v>
      </c>
      <c r="AE175" s="332">
        <f t="shared" si="9"/>
        <v>0</v>
      </c>
      <c r="AF175" s="333" t="str">
        <f t="shared" si="10"/>
        <v/>
      </c>
      <c r="AH175" s="308"/>
      <c r="AI175" s="896" t="s">
        <v>608</v>
      </c>
      <c r="AJ175" s="897"/>
      <c r="AK175" s="897"/>
      <c r="AL175" s="897"/>
      <c r="AM175" s="897"/>
      <c r="AN175" s="527" t="s">
        <v>609</v>
      </c>
      <c r="AO175" s="317">
        <f t="shared" si="0"/>
        <v>0</v>
      </c>
      <c r="AP175" s="318"/>
      <c r="AQ175" s="308"/>
      <c r="AR175" s="954" t="s">
        <v>610</v>
      </c>
      <c r="AS175" s="955"/>
      <c r="AT175" s="955"/>
      <c r="AU175" s="955"/>
      <c r="AV175" s="955"/>
      <c r="AW175" s="412" t="s">
        <v>611</v>
      </c>
      <c r="AX175" s="317">
        <f t="shared" si="16"/>
        <v>0</v>
      </c>
      <c r="AY175" s="512"/>
      <c r="AZ175" s="308"/>
      <c r="BA175" s="311"/>
    </row>
    <row r="176" spans="1:58" ht="17.25" customHeight="1" x14ac:dyDescent="0.25">
      <c r="A176" s="972" t="s">
        <v>299</v>
      </c>
      <c r="B176" s="973"/>
      <c r="C176" s="973"/>
      <c r="D176" s="973"/>
      <c r="E176" s="973"/>
      <c r="F176" s="518"/>
      <c r="G176" s="1000">
        <f>SUM(G174:I175)</f>
        <v>0</v>
      </c>
      <c r="H176" s="1000"/>
      <c r="I176" s="1000"/>
      <c r="J176" s="439">
        <f>SUM(J174:J175)</f>
        <v>0</v>
      </c>
      <c r="K176" s="440">
        <f>SUM(K174:K175)</f>
        <v>0</v>
      </c>
      <c r="L176" s="356">
        <f>SUM(L174:L175)</f>
        <v>0</v>
      </c>
      <c r="M176" s="324"/>
      <c r="N176" s="1001" t="s">
        <v>299</v>
      </c>
      <c r="O176" s="1002"/>
      <c r="P176" s="1002"/>
      <c r="Q176" s="1002"/>
      <c r="R176" s="1002"/>
      <c r="S176" s="519"/>
      <c r="T176" s="1003">
        <f>SUM(T174:V175)</f>
        <v>0</v>
      </c>
      <c r="U176" s="1003"/>
      <c r="V176" s="1003"/>
      <c r="W176" s="439">
        <f>SUM(W174:W175)</f>
        <v>0</v>
      </c>
      <c r="X176" s="440">
        <f>SUM(X174:X175)</f>
        <v>0</v>
      </c>
      <c r="Y176" s="356">
        <f>SUM(Y174:Y175)</f>
        <v>0</v>
      </c>
      <c r="Z176" s="357">
        <f t="shared" si="19"/>
        <v>0</v>
      </c>
      <c r="AA176" s="324"/>
      <c r="AC176" s="442" t="s">
        <v>612</v>
      </c>
      <c r="AD176" s="528" t="s">
        <v>613</v>
      </c>
      <c r="AE176" s="332">
        <f t="shared" si="9"/>
        <v>0</v>
      </c>
      <c r="AF176" s="333" t="str">
        <f t="shared" si="10"/>
        <v/>
      </c>
      <c r="AH176" s="308"/>
      <c r="AI176" s="896" t="s">
        <v>614</v>
      </c>
      <c r="AJ176" s="897"/>
      <c r="AK176" s="897"/>
      <c r="AL176" s="897"/>
      <c r="AM176" s="897"/>
      <c r="AN176" s="529" t="s">
        <v>615</v>
      </c>
      <c r="AO176" s="317">
        <f t="shared" si="0"/>
        <v>0</v>
      </c>
      <c r="AP176" s="318"/>
      <c r="AQ176" s="308"/>
      <c r="AR176" s="954" t="s">
        <v>616</v>
      </c>
      <c r="AS176" s="955"/>
      <c r="AT176" s="955"/>
      <c r="AU176" s="955"/>
      <c r="AV176" s="955"/>
      <c r="AW176" s="412" t="s">
        <v>617</v>
      </c>
      <c r="AX176" s="317">
        <f t="shared" si="16"/>
        <v>0</v>
      </c>
      <c r="AY176" s="530"/>
      <c r="AZ176" s="308"/>
      <c r="BA176" s="311"/>
    </row>
    <row r="177" spans="1:53" ht="17.25" customHeight="1" x14ac:dyDescent="0.25">
      <c r="A177" s="1004" t="s">
        <v>618</v>
      </c>
      <c r="B177" s="1005"/>
      <c r="C177" s="1005"/>
      <c r="D177" s="1005"/>
      <c r="E177" s="1005"/>
      <c r="F177" s="1005"/>
      <c r="G177" s="1005"/>
      <c r="H177" s="1005"/>
      <c r="I177" s="1006"/>
      <c r="J177" s="346" t="s">
        <v>351</v>
      </c>
      <c r="K177" s="346" t="s">
        <v>352</v>
      </c>
      <c r="L177" s="346" t="s">
        <v>353</v>
      </c>
      <c r="M177" s="324"/>
      <c r="N177" s="1004" t="s">
        <v>618</v>
      </c>
      <c r="O177" s="1005"/>
      <c r="P177" s="1005"/>
      <c r="Q177" s="1005"/>
      <c r="R177" s="1005"/>
      <c r="S177" s="1005"/>
      <c r="T177" s="1005"/>
      <c r="U177" s="1005"/>
      <c r="V177" s="1006"/>
      <c r="W177" s="347" t="s">
        <v>351</v>
      </c>
      <c r="X177" s="347" t="s">
        <v>352</v>
      </c>
      <c r="Y177" s="347" t="s">
        <v>353</v>
      </c>
      <c r="Z177" s="446"/>
      <c r="AA177" s="324"/>
      <c r="AC177" s="442" t="s">
        <v>619</v>
      </c>
      <c r="AD177" s="531" t="s">
        <v>620</v>
      </c>
      <c r="AE177" s="332">
        <f t="shared" si="9"/>
        <v>0</v>
      </c>
      <c r="AF177" s="333" t="str">
        <f t="shared" si="10"/>
        <v/>
      </c>
      <c r="AH177" s="308"/>
      <c r="AI177" s="896" t="s">
        <v>621</v>
      </c>
      <c r="AJ177" s="897"/>
      <c r="AK177" s="897"/>
      <c r="AL177" s="897"/>
      <c r="AM177" s="897"/>
      <c r="AN177" s="532" t="s">
        <v>621</v>
      </c>
      <c r="AO177" s="317">
        <f t="shared" si="0"/>
        <v>0</v>
      </c>
      <c r="AP177" s="318"/>
      <c r="AQ177" s="308"/>
      <c r="AR177" s="954" t="s">
        <v>622</v>
      </c>
      <c r="AS177" s="955"/>
      <c r="AT177" s="955"/>
      <c r="AU177" s="955"/>
      <c r="AV177" s="955"/>
      <c r="AW177" s="533" t="s">
        <v>623</v>
      </c>
      <c r="AX177" s="317">
        <f t="shared" si="16"/>
        <v>0</v>
      </c>
      <c r="AY177" s="530"/>
      <c r="AZ177" s="308"/>
      <c r="BA177" s="311"/>
    </row>
    <row r="178" spans="1:53" ht="17.25" customHeight="1" thickBot="1" x14ac:dyDescent="0.3">
      <c r="A178" s="978" t="s">
        <v>99</v>
      </c>
      <c r="B178" s="979"/>
      <c r="C178" s="980"/>
      <c r="D178" s="351" t="s">
        <v>624</v>
      </c>
      <c r="E178" s="352" t="s">
        <v>367</v>
      </c>
      <c r="F178" s="534" t="s">
        <v>98</v>
      </c>
      <c r="G178" s="1007">
        <f t="shared" ref="G178:G194" si="20">COUNTIF($A$4:$M$42,F178)+COUNTIF($A$43:$O$81,F178)+COUNTIF($N$4:$T$19,F178)+COUNTIF($O$20:$S$23,F178)+COUNTIF($N$24:$Q$25,F178)+COUNTIF($N$26:$P$26,F178)+COUNTIF($P$42,F178)+COUNTIF($T$21:$T$22,F178)+COUNTIF($R$24,F178)+COUNTIF($N$27:$O$28,F178)</f>
        <v>0</v>
      </c>
      <c r="H178" s="1008"/>
      <c r="I178" s="1009"/>
      <c r="J178" s="354">
        <v>0</v>
      </c>
      <c r="K178" s="355">
        <v>0</v>
      </c>
      <c r="L178" s="356">
        <f t="shared" ref="L178:L194" si="21">G178-K178-J178</f>
        <v>0</v>
      </c>
      <c r="M178" s="324"/>
      <c r="N178" s="978" t="s">
        <v>99</v>
      </c>
      <c r="O178" s="979"/>
      <c r="P178" s="980"/>
      <c r="Q178" s="351" t="s">
        <v>624</v>
      </c>
      <c r="R178" s="352" t="s">
        <v>367</v>
      </c>
      <c r="S178" s="534" t="s">
        <v>98</v>
      </c>
      <c r="T178" s="929">
        <f t="shared" ref="T178:T194" si="22">COUNTIF($T$23:$BI$73,S178)+COUNTIF($N$29:$S$39,S178)+COUNTIF($P$47:$S$68,S178)+COUNTIF($Q$40:$S$42,S178)+COUNTIF($P$27:$S$28,S178)+COUNTIF($R$25:$S$25,S178)+COUNTIF($S$24:$S$24,S178)</f>
        <v>0</v>
      </c>
      <c r="U178" s="929"/>
      <c r="V178" s="929"/>
      <c r="W178" s="354">
        <v>0</v>
      </c>
      <c r="X178" s="355">
        <v>0</v>
      </c>
      <c r="Y178" s="356">
        <f t="shared" ref="Y178:Y194" si="23">T178-X178-W178</f>
        <v>0</v>
      </c>
      <c r="Z178" s="357">
        <f t="shared" si="6"/>
        <v>0</v>
      </c>
      <c r="AA178" s="324" t="b">
        <f>IFERROR(#REF!&gt;0.5,FALSE)</f>
        <v>0</v>
      </c>
      <c r="AC178" s="442" t="s">
        <v>625</v>
      </c>
      <c r="AD178" s="535" t="s">
        <v>626</v>
      </c>
      <c r="AE178" s="332">
        <f t="shared" si="9"/>
        <v>0</v>
      </c>
      <c r="AF178" s="333" t="str">
        <f t="shared" si="10"/>
        <v/>
      </c>
      <c r="AH178" s="308"/>
      <c r="AI178" s="896" t="s">
        <v>627</v>
      </c>
      <c r="AJ178" s="897"/>
      <c r="AK178" s="897"/>
      <c r="AL178" s="897"/>
      <c r="AM178" s="897"/>
      <c r="AN178" s="536" t="s">
        <v>628</v>
      </c>
      <c r="AO178" s="317">
        <f t="shared" si="0"/>
        <v>0</v>
      </c>
      <c r="AP178" s="318"/>
      <c r="AQ178" s="308"/>
      <c r="AR178" s="954" t="s">
        <v>629</v>
      </c>
      <c r="AS178" s="955"/>
      <c r="AT178" s="955"/>
      <c r="AU178" s="955"/>
      <c r="AV178" s="955"/>
      <c r="AW178" s="533" t="s">
        <v>630</v>
      </c>
      <c r="AX178" s="317">
        <f t="shared" si="16"/>
        <v>0</v>
      </c>
      <c r="AY178" s="530"/>
      <c r="AZ178" s="308"/>
      <c r="BA178" s="311"/>
    </row>
    <row r="179" spans="1:53" ht="17.25" customHeight="1" x14ac:dyDescent="0.25">
      <c r="A179" s="978" t="s">
        <v>145</v>
      </c>
      <c r="B179" s="979"/>
      <c r="C179" s="980"/>
      <c r="D179" s="351"/>
      <c r="E179" s="352"/>
      <c r="F179" s="537" t="s">
        <v>146</v>
      </c>
      <c r="G179" s="927">
        <f t="shared" si="20"/>
        <v>0</v>
      </c>
      <c r="H179" s="927"/>
      <c r="I179" s="928"/>
      <c r="J179" s="354">
        <v>0</v>
      </c>
      <c r="K179" s="355">
        <v>0</v>
      </c>
      <c r="L179" s="356">
        <f t="shared" si="21"/>
        <v>0</v>
      </c>
      <c r="M179" s="324"/>
      <c r="N179" s="978" t="s">
        <v>145</v>
      </c>
      <c r="O179" s="979"/>
      <c r="P179" s="980"/>
      <c r="Q179" s="351"/>
      <c r="R179" s="352"/>
      <c r="S179" s="537" t="s">
        <v>146</v>
      </c>
      <c r="T179" s="928">
        <f t="shared" si="22"/>
        <v>0</v>
      </c>
      <c r="U179" s="929"/>
      <c r="V179" s="929"/>
      <c r="W179" s="354">
        <v>0</v>
      </c>
      <c r="X179" s="355">
        <v>0</v>
      </c>
      <c r="Y179" s="356">
        <f t="shared" si="23"/>
        <v>0</v>
      </c>
      <c r="Z179" s="357">
        <f t="shared" si="6"/>
        <v>0</v>
      </c>
      <c r="AA179" s="324"/>
      <c r="AC179" s="409" t="s">
        <v>631</v>
      </c>
      <c r="AD179" s="538" t="s">
        <v>632</v>
      </c>
      <c r="AE179" s="332">
        <f t="shared" si="9"/>
        <v>0</v>
      </c>
      <c r="AF179" s="333" t="str">
        <f t="shared" si="10"/>
        <v/>
      </c>
      <c r="AH179" s="308"/>
      <c r="AI179" s="896" t="s">
        <v>633</v>
      </c>
      <c r="AJ179" s="897"/>
      <c r="AK179" s="897"/>
      <c r="AL179" s="897"/>
      <c r="AM179" s="897"/>
      <c r="AN179" s="186" t="s">
        <v>634</v>
      </c>
      <c r="AO179" s="317">
        <f t="shared" si="0"/>
        <v>0</v>
      </c>
      <c r="AP179" s="318"/>
      <c r="AQ179" s="308"/>
      <c r="AR179" s="954" t="s">
        <v>635</v>
      </c>
      <c r="AS179" s="955"/>
      <c r="AT179" s="955"/>
      <c r="AU179" s="955"/>
      <c r="AV179" s="955"/>
      <c r="AW179" s="539" t="s">
        <v>636</v>
      </c>
      <c r="AX179" s="317">
        <f t="shared" si="16"/>
        <v>0</v>
      </c>
      <c r="AY179" s="530"/>
      <c r="AZ179" s="308"/>
      <c r="BA179" s="311"/>
    </row>
    <row r="180" spans="1:53" ht="17.25" customHeight="1" thickBot="1" x14ac:dyDescent="0.3">
      <c r="A180" s="978" t="s">
        <v>100</v>
      </c>
      <c r="B180" s="979"/>
      <c r="C180" s="980"/>
      <c r="D180" s="351"/>
      <c r="E180" s="352"/>
      <c r="F180" s="540" t="s">
        <v>0</v>
      </c>
      <c r="G180" s="927">
        <f t="shared" si="20"/>
        <v>0</v>
      </c>
      <c r="H180" s="927"/>
      <c r="I180" s="928"/>
      <c r="J180" s="354">
        <v>0</v>
      </c>
      <c r="K180" s="355">
        <v>0</v>
      </c>
      <c r="L180" s="356">
        <f t="shared" si="21"/>
        <v>0</v>
      </c>
      <c r="M180" s="324"/>
      <c r="N180" s="978" t="s">
        <v>100</v>
      </c>
      <c r="O180" s="979"/>
      <c r="P180" s="980"/>
      <c r="Q180" s="351"/>
      <c r="R180" s="352"/>
      <c r="S180" s="540" t="s">
        <v>0</v>
      </c>
      <c r="T180" s="928">
        <f t="shared" si="22"/>
        <v>0</v>
      </c>
      <c r="U180" s="929"/>
      <c r="V180" s="929"/>
      <c r="W180" s="354">
        <v>0</v>
      </c>
      <c r="X180" s="355">
        <v>0</v>
      </c>
      <c r="Y180" s="356">
        <f t="shared" si="23"/>
        <v>0</v>
      </c>
      <c r="Z180" s="357">
        <f t="shared" si="6"/>
        <v>0</v>
      </c>
      <c r="AA180" s="324"/>
      <c r="AC180" s="442" t="s">
        <v>637</v>
      </c>
      <c r="AD180" s="541" t="s">
        <v>638</v>
      </c>
      <c r="AE180" s="332">
        <f t="shared" si="9"/>
        <v>0</v>
      </c>
      <c r="AF180" s="333" t="str">
        <f t="shared" si="10"/>
        <v/>
      </c>
      <c r="AH180" s="308"/>
      <c r="AI180" s="896" t="s">
        <v>639</v>
      </c>
      <c r="AJ180" s="897"/>
      <c r="AK180" s="897"/>
      <c r="AL180" s="897"/>
      <c r="AM180" s="897"/>
      <c r="AN180" s="542" t="s">
        <v>640</v>
      </c>
      <c r="AO180" s="317">
        <f t="shared" si="0"/>
        <v>0</v>
      </c>
      <c r="AP180" s="543"/>
      <c r="AQ180" s="308"/>
      <c r="AR180" s="954" t="s">
        <v>641</v>
      </c>
      <c r="AS180" s="955"/>
      <c r="AT180" s="955"/>
      <c r="AU180" s="955"/>
      <c r="AV180" s="955"/>
      <c r="AW180" s="533" t="s">
        <v>642</v>
      </c>
      <c r="AX180" s="317">
        <f t="shared" si="16"/>
        <v>0</v>
      </c>
      <c r="AY180" s="512"/>
      <c r="AZ180" s="308"/>
      <c r="BA180" s="311"/>
    </row>
    <row r="181" spans="1:53" ht="17.25" customHeight="1" thickBot="1" x14ac:dyDescent="0.3">
      <c r="A181" s="978" t="s">
        <v>102</v>
      </c>
      <c r="B181" s="979"/>
      <c r="C181" s="980"/>
      <c r="D181" s="351" t="s">
        <v>0</v>
      </c>
      <c r="E181" s="352"/>
      <c r="F181" s="544" t="s">
        <v>101</v>
      </c>
      <c r="G181" s="927">
        <f t="shared" si="20"/>
        <v>0</v>
      </c>
      <c r="H181" s="927"/>
      <c r="I181" s="928"/>
      <c r="J181" s="354">
        <v>0</v>
      </c>
      <c r="K181" s="355">
        <v>0</v>
      </c>
      <c r="L181" s="356">
        <f t="shared" si="21"/>
        <v>0</v>
      </c>
      <c r="M181" s="324"/>
      <c r="N181" s="978" t="s">
        <v>102</v>
      </c>
      <c r="O181" s="979"/>
      <c r="P181" s="980"/>
      <c r="Q181" s="351" t="s">
        <v>0</v>
      </c>
      <c r="R181" s="352"/>
      <c r="S181" s="544" t="s">
        <v>101</v>
      </c>
      <c r="T181" s="928">
        <f t="shared" si="22"/>
        <v>0</v>
      </c>
      <c r="U181" s="929"/>
      <c r="V181" s="929"/>
      <c r="W181" s="354">
        <v>0</v>
      </c>
      <c r="X181" s="355">
        <v>0</v>
      </c>
      <c r="Y181" s="356">
        <f t="shared" si="23"/>
        <v>0</v>
      </c>
      <c r="Z181" s="357">
        <f t="shared" si="6"/>
        <v>0</v>
      </c>
      <c r="AA181" s="324"/>
      <c r="AC181" s="442" t="s">
        <v>643</v>
      </c>
      <c r="AD181" s="545" t="s">
        <v>644</v>
      </c>
      <c r="AE181" s="332">
        <f t="shared" si="9"/>
        <v>0</v>
      </c>
      <c r="AF181" s="333" t="str">
        <f t="shared" si="10"/>
        <v/>
      </c>
      <c r="AH181" s="308"/>
      <c r="AI181" s="896" t="s">
        <v>645</v>
      </c>
      <c r="AJ181" s="897"/>
      <c r="AK181" s="897"/>
      <c r="AL181" s="897"/>
      <c r="AM181" s="897"/>
      <c r="AN181" s="447" t="s">
        <v>646</v>
      </c>
      <c r="AO181" s="317">
        <f t="shared" si="0"/>
        <v>0</v>
      </c>
      <c r="AP181" s="318"/>
      <c r="AQ181" s="308"/>
      <c r="AR181" s="954" t="s">
        <v>647</v>
      </c>
      <c r="AS181" s="955"/>
      <c r="AT181" s="955"/>
      <c r="AU181" s="955"/>
      <c r="AV181" s="955"/>
      <c r="AW181" s="546" t="s">
        <v>648</v>
      </c>
      <c r="AX181" s="317">
        <f t="shared" si="16"/>
        <v>0</v>
      </c>
      <c r="AY181" s="512"/>
      <c r="AZ181" s="308"/>
      <c r="BA181" s="437"/>
    </row>
    <row r="182" spans="1:53" ht="17.25" customHeight="1" thickBot="1" x14ac:dyDescent="0.3">
      <c r="A182" s="978" t="s">
        <v>18</v>
      </c>
      <c r="B182" s="979"/>
      <c r="C182" s="980"/>
      <c r="D182" s="351"/>
      <c r="E182" s="352"/>
      <c r="F182" s="547" t="s">
        <v>1</v>
      </c>
      <c r="G182" s="927">
        <f t="shared" si="20"/>
        <v>0</v>
      </c>
      <c r="H182" s="927"/>
      <c r="I182" s="928"/>
      <c r="J182" s="354">
        <v>0</v>
      </c>
      <c r="K182" s="355">
        <v>0</v>
      </c>
      <c r="L182" s="356">
        <f t="shared" si="21"/>
        <v>0</v>
      </c>
      <c r="M182" s="324"/>
      <c r="N182" s="978" t="s">
        <v>18</v>
      </c>
      <c r="O182" s="979"/>
      <c r="P182" s="980"/>
      <c r="Q182" s="351"/>
      <c r="R182" s="352"/>
      <c r="S182" s="547" t="s">
        <v>1</v>
      </c>
      <c r="T182" s="928">
        <f t="shared" si="22"/>
        <v>0</v>
      </c>
      <c r="U182" s="929"/>
      <c r="V182" s="929"/>
      <c r="W182" s="354">
        <v>0</v>
      </c>
      <c r="X182" s="355">
        <v>0</v>
      </c>
      <c r="Y182" s="356">
        <f t="shared" si="23"/>
        <v>0</v>
      </c>
      <c r="Z182" s="357">
        <f t="shared" si="6"/>
        <v>0</v>
      </c>
      <c r="AC182" s="442" t="s">
        <v>204</v>
      </c>
      <c r="AD182" s="548" t="s">
        <v>204</v>
      </c>
      <c r="AE182" s="332">
        <f t="shared" si="9"/>
        <v>1</v>
      </c>
      <c r="AF182" s="333" t="str">
        <f t="shared" si="10"/>
        <v/>
      </c>
      <c r="AH182" s="308"/>
      <c r="AI182" s="896" t="s">
        <v>649</v>
      </c>
      <c r="AJ182" s="897"/>
      <c r="AK182" s="897"/>
      <c r="AL182" s="897"/>
      <c r="AM182" s="897"/>
      <c r="AN182" s="536" t="s">
        <v>650</v>
      </c>
      <c r="AO182" s="317">
        <f t="shared" si="0"/>
        <v>0</v>
      </c>
      <c r="AP182" s="318"/>
      <c r="AQ182" s="308"/>
      <c r="AR182" s="954" t="s">
        <v>651</v>
      </c>
      <c r="AS182" s="955"/>
      <c r="AT182" s="955"/>
      <c r="AU182" s="955"/>
      <c r="AV182" s="955"/>
      <c r="AW182" s="549" t="s">
        <v>652</v>
      </c>
      <c r="AX182" s="317">
        <f t="shared" si="16"/>
        <v>0</v>
      </c>
      <c r="AY182" s="512"/>
      <c r="AZ182" s="308"/>
      <c r="BA182" s="437"/>
    </row>
    <row r="183" spans="1:53" ht="17.25" customHeight="1" x14ac:dyDescent="0.25">
      <c r="A183" s="978" t="s">
        <v>147</v>
      </c>
      <c r="B183" s="979"/>
      <c r="C183" s="980"/>
      <c r="D183" s="351"/>
      <c r="E183" s="352"/>
      <c r="F183" s="550" t="s">
        <v>148</v>
      </c>
      <c r="G183" s="926">
        <f t="shared" si="20"/>
        <v>0</v>
      </c>
      <c r="H183" s="927"/>
      <c r="I183" s="928"/>
      <c r="J183" s="354">
        <v>0</v>
      </c>
      <c r="K183" s="355">
        <v>0</v>
      </c>
      <c r="L183" s="356">
        <f t="shared" si="21"/>
        <v>0</v>
      </c>
      <c r="M183" s="324"/>
      <c r="N183" s="978" t="s">
        <v>147</v>
      </c>
      <c r="O183" s="979"/>
      <c r="P183" s="980"/>
      <c r="Q183" s="351"/>
      <c r="R183" s="352"/>
      <c r="S183" s="550" t="s">
        <v>148</v>
      </c>
      <c r="T183" s="929">
        <f t="shared" si="22"/>
        <v>0</v>
      </c>
      <c r="U183" s="929"/>
      <c r="V183" s="929"/>
      <c r="W183" s="354">
        <v>0</v>
      </c>
      <c r="X183" s="355">
        <v>0</v>
      </c>
      <c r="Y183" s="356">
        <f t="shared" si="23"/>
        <v>0</v>
      </c>
      <c r="Z183" s="357">
        <f t="shared" si="6"/>
        <v>0</v>
      </c>
      <c r="AC183" s="442" t="s">
        <v>653</v>
      </c>
      <c r="AD183" s="551" t="s">
        <v>654</v>
      </c>
      <c r="AE183" s="332">
        <f t="shared" si="9"/>
        <v>0</v>
      </c>
      <c r="AF183" s="333" t="str">
        <f t="shared" si="10"/>
        <v/>
      </c>
      <c r="AH183" s="308"/>
      <c r="AI183" s="896" t="s">
        <v>655</v>
      </c>
      <c r="AJ183" s="897"/>
      <c r="AK183" s="897"/>
      <c r="AL183" s="897"/>
      <c r="AM183" s="897"/>
      <c r="AN183" s="552" t="s">
        <v>656</v>
      </c>
      <c r="AO183" s="317">
        <f t="shared" si="0"/>
        <v>0</v>
      </c>
      <c r="AP183" s="318"/>
      <c r="AQ183" s="308"/>
      <c r="AR183" s="954" t="s">
        <v>657</v>
      </c>
      <c r="AS183" s="955"/>
      <c r="AT183" s="955"/>
      <c r="AU183" s="955"/>
      <c r="AV183" s="955"/>
      <c r="AW183" s="553" t="s">
        <v>658</v>
      </c>
      <c r="AX183" s="317">
        <f t="shared" si="16"/>
        <v>0</v>
      </c>
      <c r="AY183" s="512"/>
      <c r="AZ183" s="308"/>
      <c r="BA183" s="437"/>
    </row>
    <row r="184" spans="1:53" ht="17.25" customHeight="1" x14ac:dyDescent="0.25">
      <c r="A184" s="978" t="s">
        <v>32</v>
      </c>
      <c r="B184" s="979"/>
      <c r="C184" s="980"/>
      <c r="D184" s="351"/>
      <c r="E184" s="352" t="s">
        <v>367</v>
      </c>
      <c r="F184" s="382" t="s">
        <v>68</v>
      </c>
      <c r="G184" s="926">
        <f t="shared" si="20"/>
        <v>0</v>
      </c>
      <c r="H184" s="927"/>
      <c r="I184" s="928"/>
      <c r="J184" s="354">
        <v>0</v>
      </c>
      <c r="K184" s="355">
        <v>0</v>
      </c>
      <c r="L184" s="356">
        <f t="shared" si="21"/>
        <v>0</v>
      </c>
      <c r="M184" s="324"/>
      <c r="N184" s="978" t="s">
        <v>32</v>
      </c>
      <c r="O184" s="979"/>
      <c r="P184" s="980"/>
      <c r="Q184" s="351"/>
      <c r="R184" s="352" t="s">
        <v>367</v>
      </c>
      <c r="S184" s="382" t="s">
        <v>68</v>
      </c>
      <c r="T184" s="929">
        <f t="shared" si="22"/>
        <v>0</v>
      </c>
      <c r="U184" s="929"/>
      <c r="V184" s="929"/>
      <c r="W184" s="354">
        <v>0</v>
      </c>
      <c r="X184" s="355">
        <v>0</v>
      </c>
      <c r="Y184" s="356">
        <f t="shared" si="23"/>
        <v>0</v>
      </c>
      <c r="Z184" s="357">
        <f t="shared" si="6"/>
        <v>0</v>
      </c>
      <c r="AC184" s="442" t="s">
        <v>659</v>
      </c>
      <c r="AD184" s="554" t="s">
        <v>660</v>
      </c>
      <c r="AE184" s="332">
        <f t="shared" si="9"/>
        <v>0</v>
      </c>
      <c r="AF184" s="333" t="str">
        <f t="shared" si="10"/>
        <v/>
      </c>
      <c r="AH184" s="308"/>
      <c r="AI184" s="896" t="s">
        <v>661</v>
      </c>
      <c r="AJ184" s="897"/>
      <c r="AK184" s="897"/>
      <c r="AL184" s="897"/>
      <c r="AM184" s="897"/>
      <c r="AN184" s="468" t="s">
        <v>662</v>
      </c>
      <c r="AO184" s="317">
        <f t="shared" si="0"/>
        <v>0</v>
      </c>
      <c r="AP184" s="318"/>
      <c r="AQ184" s="308"/>
      <c r="AR184" s="954" t="s">
        <v>663</v>
      </c>
      <c r="AS184" s="955"/>
      <c r="AT184" s="955"/>
      <c r="AU184" s="955"/>
      <c r="AV184" s="955"/>
      <c r="AW184" s="555" t="s">
        <v>664</v>
      </c>
      <c r="AX184" s="317">
        <f t="shared" si="16"/>
        <v>0</v>
      </c>
      <c r="AY184" s="512"/>
      <c r="AZ184" s="308"/>
      <c r="BA184" s="437"/>
    </row>
    <row r="185" spans="1:53" ht="17.25" customHeight="1" x14ac:dyDescent="0.25">
      <c r="A185" s="978" t="s">
        <v>110</v>
      </c>
      <c r="B185" s="979"/>
      <c r="C185" s="980"/>
      <c r="D185" s="351"/>
      <c r="E185" s="352"/>
      <c r="F185" s="556" t="s">
        <v>109</v>
      </c>
      <c r="G185" s="926">
        <f t="shared" si="20"/>
        <v>0</v>
      </c>
      <c r="H185" s="927"/>
      <c r="I185" s="928"/>
      <c r="J185" s="354">
        <v>0</v>
      </c>
      <c r="K185" s="355">
        <v>0</v>
      </c>
      <c r="L185" s="356">
        <f t="shared" si="21"/>
        <v>0</v>
      </c>
      <c r="M185" s="324"/>
      <c r="N185" s="978" t="s">
        <v>110</v>
      </c>
      <c r="O185" s="979"/>
      <c r="P185" s="980"/>
      <c r="Q185" s="351"/>
      <c r="R185" s="352"/>
      <c r="S185" s="556" t="s">
        <v>109</v>
      </c>
      <c r="T185" s="929">
        <f t="shared" si="22"/>
        <v>0</v>
      </c>
      <c r="U185" s="929"/>
      <c r="V185" s="929"/>
      <c r="W185" s="354">
        <v>0</v>
      </c>
      <c r="X185" s="355">
        <v>0</v>
      </c>
      <c r="Y185" s="356">
        <f t="shared" si="23"/>
        <v>0</v>
      </c>
      <c r="Z185" s="357">
        <f t="shared" si="6"/>
        <v>0</v>
      </c>
      <c r="AC185" s="442" t="s">
        <v>665</v>
      </c>
      <c r="AD185" s="557" t="s">
        <v>666</v>
      </c>
      <c r="AE185" s="332">
        <f t="shared" si="9"/>
        <v>0</v>
      </c>
      <c r="AF185" s="333" t="str">
        <f t="shared" si="10"/>
        <v/>
      </c>
      <c r="AH185" s="308"/>
      <c r="AI185" s="896" t="s">
        <v>667</v>
      </c>
      <c r="AJ185" s="897"/>
      <c r="AK185" s="897"/>
      <c r="AL185" s="897"/>
      <c r="AM185" s="897"/>
      <c r="AN185" s="558" t="s">
        <v>668</v>
      </c>
      <c r="AO185" s="317">
        <f t="shared" si="0"/>
        <v>0</v>
      </c>
      <c r="AP185" s="318"/>
      <c r="AQ185" s="308"/>
      <c r="AR185" s="954" t="s">
        <v>669</v>
      </c>
      <c r="AS185" s="955"/>
      <c r="AT185" s="955"/>
      <c r="AU185" s="955"/>
      <c r="AV185" s="955"/>
      <c r="AW185" s="559" t="s">
        <v>670</v>
      </c>
      <c r="AX185" s="317">
        <f t="shared" si="16"/>
        <v>0</v>
      </c>
      <c r="AY185" s="530"/>
      <c r="AZ185" s="308"/>
      <c r="BA185" s="311"/>
    </row>
    <row r="186" spans="1:53" ht="17.25" customHeight="1" x14ac:dyDescent="0.25">
      <c r="A186" s="978" t="s">
        <v>106</v>
      </c>
      <c r="B186" s="979"/>
      <c r="C186" s="980"/>
      <c r="D186" s="351"/>
      <c r="E186" s="352"/>
      <c r="F186" s="560" t="s">
        <v>105</v>
      </c>
      <c r="G186" s="926">
        <f t="shared" si="20"/>
        <v>0</v>
      </c>
      <c r="H186" s="927"/>
      <c r="I186" s="928"/>
      <c r="J186" s="354">
        <v>0</v>
      </c>
      <c r="K186" s="355">
        <v>0</v>
      </c>
      <c r="L186" s="356">
        <f t="shared" si="21"/>
        <v>0</v>
      </c>
      <c r="M186" s="324"/>
      <c r="N186" s="978" t="s">
        <v>106</v>
      </c>
      <c r="O186" s="979"/>
      <c r="P186" s="980"/>
      <c r="Q186" s="351"/>
      <c r="R186" s="352"/>
      <c r="S186" s="560" t="s">
        <v>105</v>
      </c>
      <c r="T186" s="929">
        <f t="shared" si="22"/>
        <v>0</v>
      </c>
      <c r="U186" s="929"/>
      <c r="V186" s="929"/>
      <c r="W186" s="354">
        <v>0</v>
      </c>
      <c r="X186" s="355">
        <v>0</v>
      </c>
      <c r="Y186" s="356">
        <f t="shared" si="23"/>
        <v>0</v>
      </c>
      <c r="Z186" s="357">
        <f t="shared" si="6"/>
        <v>0</v>
      </c>
      <c r="AC186" s="442" t="s">
        <v>671</v>
      </c>
      <c r="AD186" s="557" t="s">
        <v>672</v>
      </c>
      <c r="AE186" s="332">
        <f t="shared" si="9"/>
        <v>0</v>
      </c>
      <c r="AF186" s="333" t="str">
        <f t="shared" si="10"/>
        <v/>
      </c>
      <c r="AH186" s="308"/>
      <c r="AI186" s="896" t="s">
        <v>673</v>
      </c>
      <c r="AJ186" s="897"/>
      <c r="AK186" s="897"/>
      <c r="AL186" s="897"/>
      <c r="AM186" s="897"/>
      <c r="AN186" s="561" t="s">
        <v>674</v>
      </c>
      <c r="AO186" s="317">
        <f t="shared" si="0"/>
        <v>0</v>
      </c>
      <c r="AP186" s="318"/>
      <c r="AQ186" s="308"/>
      <c r="AR186" s="954" t="s">
        <v>675</v>
      </c>
      <c r="AS186" s="955"/>
      <c r="AT186" s="955"/>
      <c r="AU186" s="955"/>
      <c r="AV186" s="955"/>
      <c r="AW186" s="562" t="s">
        <v>676</v>
      </c>
      <c r="AX186" s="317">
        <f t="shared" si="16"/>
        <v>0</v>
      </c>
      <c r="AY186" s="512"/>
      <c r="AZ186" s="308"/>
      <c r="BA186" s="311"/>
    </row>
    <row r="187" spans="1:53" ht="17.25" customHeight="1" thickBot="1" x14ac:dyDescent="0.3">
      <c r="A187" s="978" t="s">
        <v>10</v>
      </c>
      <c r="B187" s="979"/>
      <c r="C187" s="980"/>
      <c r="D187" s="351"/>
      <c r="E187" s="352"/>
      <c r="F187" s="544" t="s">
        <v>47</v>
      </c>
      <c r="G187" s="926">
        <f t="shared" si="20"/>
        <v>0</v>
      </c>
      <c r="H187" s="927"/>
      <c r="I187" s="928"/>
      <c r="J187" s="354">
        <v>0</v>
      </c>
      <c r="K187" s="355">
        <v>0</v>
      </c>
      <c r="L187" s="356">
        <f t="shared" si="21"/>
        <v>0</v>
      </c>
      <c r="M187" s="324"/>
      <c r="N187" s="978" t="s">
        <v>10</v>
      </c>
      <c r="O187" s="979"/>
      <c r="P187" s="980"/>
      <c r="Q187" s="351"/>
      <c r="R187" s="352"/>
      <c r="S187" s="544" t="s">
        <v>47</v>
      </c>
      <c r="T187" s="929">
        <f t="shared" si="22"/>
        <v>0</v>
      </c>
      <c r="U187" s="929"/>
      <c r="V187" s="929"/>
      <c r="W187" s="354">
        <v>0</v>
      </c>
      <c r="X187" s="355">
        <v>0</v>
      </c>
      <c r="Y187" s="356">
        <f t="shared" si="23"/>
        <v>0</v>
      </c>
      <c r="Z187" s="357">
        <f t="shared" si="6"/>
        <v>0</v>
      </c>
      <c r="AC187" s="442" t="s">
        <v>677</v>
      </c>
      <c r="AD187" s="563" t="s">
        <v>678</v>
      </c>
      <c r="AE187" s="332">
        <f t="shared" si="9"/>
        <v>0</v>
      </c>
      <c r="AF187" s="333" t="str">
        <f t="shared" si="10"/>
        <v/>
      </c>
      <c r="AH187" s="308"/>
      <c r="AI187" s="896" t="s">
        <v>679</v>
      </c>
      <c r="AJ187" s="897"/>
      <c r="AK187" s="897"/>
      <c r="AL187" s="897"/>
      <c r="AM187" s="897"/>
      <c r="AN187" s="564" t="s">
        <v>680</v>
      </c>
      <c r="AO187" s="317">
        <f t="shared" si="0"/>
        <v>0</v>
      </c>
      <c r="AP187" s="318"/>
      <c r="AQ187" s="308"/>
      <c r="AR187" s="954" t="s">
        <v>681</v>
      </c>
      <c r="AS187" s="955"/>
      <c r="AT187" s="955"/>
      <c r="AU187" s="955"/>
      <c r="AV187" s="955"/>
      <c r="AW187" s="565" t="s">
        <v>682</v>
      </c>
      <c r="AX187" s="317">
        <f t="shared" si="16"/>
        <v>0</v>
      </c>
      <c r="AY187" s="512"/>
      <c r="AZ187" s="308"/>
      <c r="BA187" s="437"/>
    </row>
    <row r="188" spans="1:53" ht="17.25" customHeight="1" thickBot="1" x14ac:dyDescent="0.3">
      <c r="A188" s="978" t="s">
        <v>38</v>
      </c>
      <c r="B188" s="979"/>
      <c r="C188" s="980"/>
      <c r="D188" s="351"/>
      <c r="E188" s="352"/>
      <c r="F188" s="566" t="s">
        <v>39</v>
      </c>
      <c r="G188" s="926">
        <f t="shared" si="20"/>
        <v>0</v>
      </c>
      <c r="H188" s="927"/>
      <c r="I188" s="928"/>
      <c r="J188" s="354">
        <v>0</v>
      </c>
      <c r="K188" s="355">
        <v>0</v>
      </c>
      <c r="L188" s="356">
        <f t="shared" si="21"/>
        <v>0</v>
      </c>
      <c r="M188" s="324"/>
      <c r="N188" s="978" t="s">
        <v>38</v>
      </c>
      <c r="O188" s="979"/>
      <c r="P188" s="980"/>
      <c r="Q188" s="351"/>
      <c r="R188" s="352"/>
      <c r="S188" s="566" t="s">
        <v>39</v>
      </c>
      <c r="T188" s="929">
        <f t="shared" si="22"/>
        <v>0</v>
      </c>
      <c r="U188" s="929"/>
      <c r="V188" s="929"/>
      <c r="W188" s="354">
        <v>0</v>
      </c>
      <c r="X188" s="355">
        <v>0</v>
      </c>
      <c r="Y188" s="356">
        <f t="shared" si="23"/>
        <v>0</v>
      </c>
      <c r="Z188" s="357">
        <f t="shared" si="6"/>
        <v>0</v>
      </c>
      <c r="AC188" s="442" t="s">
        <v>683</v>
      </c>
      <c r="AD188" s="567" t="s">
        <v>684</v>
      </c>
      <c r="AE188" s="332">
        <f t="shared" si="9"/>
        <v>0</v>
      </c>
      <c r="AF188" s="333" t="str">
        <f t="shared" si="10"/>
        <v/>
      </c>
      <c r="AH188" s="308"/>
      <c r="AI188" s="896" t="s">
        <v>685</v>
      </c>
      <c r="AJ188" s="897"/>
      <c r="AK188" s="897"/>
      <c r="AL188" s="897"/>
      <c r="AM188" s="897"/>
      <c r="AN188" s="568" t="s">
        <v>686</v>
      </c>
      <c r="AO188" s="317">
        <f t="shared" si="0"/>
        <v>0</v>
      </c>
      <c r="AP188" s="318"/>
      <c r="AQ188" s="308"/>
      <c r="AR188" s="954" t="s">
        <v>687</v>
      </c>
      <c r="AS188" s="955"/>
      <c r="AT188" s="955"/>
      <c r="AU188" s="955"/>
      <c r="AV188" s="955"/>
      <c r="AW188" s="565" t="s">
        <v>688</v>
      </c>
      <c r="AX188" s="317">
        <f t="shared" si="16"/>
        <v>0</v>
      </c>
      <c r="AY188" s="512"/>
      <c r="AZ188" s="308"/>
      <c r="BA188" s="437"/>
    </row>
    <row r="189" spans="1:53" ht="17.25" customHeight="1" thickBot="1" x14ac:dyDescent="0.3">
      <c r="A189" s="978" t="s">
        <v>104</v>
      </c>
      <c r="B189" s="979"/>
      <c r="C189" s="980"/>
      <c r="D189" s="351" t="s">
        <v>2</v>
      </c>
      <c r="E189" s="352"/>
      <c r="F189" s="544" t="s">
        <v>103</v>
      </c>
      <c r="G189" s="926">
        <f t="shared" si="20"/>
        <v>0</v>
      </c>
      <c r="H189" s="927"/>
      <c r="I189" s="928"/>
      <c r="J189" s="354">
        <v>0</v>
      </c>
      <c r="K189" s="355">
        <v>0</v>
      </c>
      <c r="L189" s="356">
        <f t="shared" si="21"/>
        <v>0</v>
      </c>
      <c r="M189" s="324"/>
      <c r="N189" s="978" t="s">
        <v>104</v>
      </c>
      <c r="O189" s="979"/>
      <c r="P189" s="980"/>
      <c r="Q189" s="351" t="s">
        <v>2</v>
      </c>
      <c r="R189" s="352"/>
      <c r="S189" s="544" t="s">
        <v>103</v>
      </c>
      <c r="T189" s="929">
        <f t="shared" si="22"/>
        <v>0</v>
      </c>
      <c r="U189" s="929"/>
      <c r="V189" s="929"/>
      <c r="W189" s="354">
        <v>0</v>
      </c>
      <c r="X189" s="355">
        <v>0</v>
      </c>
      <c r="Y189" s="356">
        <f t="shared" si="23"/>
        <v>0</v>
      </c>
      <c r="Z189" s="357">
        <f t="shared" si="6"/>
        <v>0</v>
      </c>
      <c r="AC189" s="442" t="s">
        <v>689</v>
      </c>
      <c r="AD189" s="567" t="s">
        <v>690</v>
      </c>
      <c r="AE189" s="332">
        <f t="shared" si="9"/>
        <v>0</v>
      </c>
      <c r="AF189" s="333" t="str">
        <f t="shared" si="10"/>
        <v/>
      </c>
      <c r="AH189" s="308"/>
      <c r="AI189" s="896" t="s">
        <v>691</v>
      </c>
      <c r="AJ189" s="897"/>
      <c r="AK189" s="897"/>
      <c r="AL189" s="897"/>
      <c r="AM189" s="897"/>
      <c r="AN189" s="569" t="s">
        <v>692</v>
      </c>
      <c r="AO189" s="317">
        <f t="shared" si="0"/>
        <v>0</v>
      </c>
      <c r="AP189" s="318"/>
      <c r="AQ189" s="308"/>
      <c r="AR189" s="954" t="s">
        <v>693</v>
      </c>
      <c r="AS189" s="955"/>
      <c r="AT189" s="955"/>
      <c r="AU189" s="955"/>
      <c r="AV189" s="955"/>
      <c r="AW189" s="570" t="s">
        <v>694</v>
      </c>
      <c r="AX189" s="317">
        <f t="shared" si="16"/>
        <v>0</v>
      </c>
      <c r="AY189" s="512"/>
      <c r="AZ189" s="308"/>
      <c r="BA189" s="437"/>
    </row>
    <row r="190" spans="1:53" ht="17.25" customHeight="1" thickBot="1" x14ac:dyDescent="0.3">
      <c r="A190" s="978" t="s">
        <v>23</v>
      </c>
      <c r="B190" s="979"/>
      <c r="C190" s="980"/>
      <c r="D190" s="351"/>
      <c r="E190" s="352" t="s">
        <v>367</v>
      </c>
      <c r="F190" s="571" t="s">
        <v>4</v>
      </c>
      <c r="G190" s="926">
        <f t="shared" si="20"/>
        <v>0</v>
      </c>
      <c r="H190" s="927"/>
      <c r="I190" s="928"/>
      <c r="J190" s="354">
        <v>0</v>
      </c>
      <c r="K190" s="355">
        <v>0</v>
      </c>
      <c r="L190" s="356">
        <f t="shared" si="21"/>
        <v>0</v>
      </c>
      <c r="M190" s="324"/>
      <c r="N190" s="978" t="s">
        <v>23</v>
      </c>
      <c r="O190" s="979"/>
      <c r="P190" s="980"/>
      <c r="Q190" s="351"/>
      <c r="R190" s="352" t="s">
        <v>367</v>
      </c>
      <c r="S190" s="571" t="s">
        <v>4</v>
      </c>
      <c r="T190" s="929">
        <f t="shared" si="22"/>
        <v>0</v>
      </c>
      <c r="U190" s="929"/>
      <c r="V190" s="929"/>
      <c r="W190" s="354">
        <v>0</v>
      </c>
      <c r="X190" s="355">
        <v>0</v>
      </c>
      <c r="Y190" s="356">
        <f t="shared" si="23"/>
        <v>0</v>
      </c>
      <c r="Z190" s="357">
        <f t="shared" si="6"/>
        <v>0</v>
      </c>
      <c r="AC190" s="442" t="s">
        <v>695</v>
      </c>
      <c r="AD190" s="572" t="s">
        <v>696</v>
      </c>
      <c r="AE190" s="332">
        <f t="shared" si="9"/>
        <v>0</v>
      </c>
      <c r="AF190" s="333" t="str">
        <f t="shared" si="10"/>
        <v/>
      </c>
      <c r="AH190" s="308"/>
      <c r="AI190" s="896" t="s">
        <v>697</v>
      </c>
      <c r="AJ190" s="897"/>
      <c r="AK190" s="897"/>
      <c r="AL190" s="897"/>
      <c r="AM190" s="898"/>
      <c r="AN190" s="505" t="s">
        <v>698</v>
      </c>
      <c r="AO190" s="317">
        <f t="shared" ref="AO190:AO201" si="24">COUNTIF($A$1:$GO$103,AN190)</f>
        <v>0</v>
      </c>
      <c r="AP190" s="318"/>
      <c r="AQ190" s="308"/>
      <c r="AR190" s="954" t="s">
        <v>699</v>
      </c>
      <c r="AS190" s="955"/>
      <c r="AT190" s="955"/>
      <c r="AU190" s="955"/>
      <c r="AV190" s="955"/>
      <c r="AW190" s="573" t="s">
        <v>700</v>
      </c>
      <c r="AX190" s="317">
        <f t="shared" si="16"/>
        <v>0</v>
      </c>
      <c r="AY190" s="512"/>
      <c r="AZ190" s="308"/>
      <c r="BA190" s="437"/>
    </row>
    <row r="191" spans="1:53" ht="17.25" customHeight="1" x14ac:dyDescent="0.25">
      <c r="A191" s="978" t="s">
        <v>19</v>
      </c>
      <c r="B191" s="979"/>
      <c r="C191" s="980"/>
      <c r="D191" s="351"/>
      <c r="E191" s="352"/>
      <c r="F191" s="574" t="s">
        <v>2</v>
      </c>
      <c r="G191" s="926">
        <f t="shared" si="20"/>
        <v>0</v>
      </c>
      <c r="H191" s="927"/>
      <c r="I191" s="928"/>
      <c r="J191" s="354">
        <v>0</v>
      </c>
      <c r="K191" s="355">
        <v>0</v>
      </c>
      <c r="L191" s="356">
        <f t="shared" si="21"/>
        <v>0</v>
      </c>
      <c r="M191" s="324"/>
      <c r="N191" s="978" t="s">
        <v>19</v>
      </c>
      <c r="O191" s="979"/>
      <c r="P191" s="980"/>
      <c r="Q191" s="351"/>
      <c r="R191" s="352"/>
      <c r="S191" s="574" t="s">
        <v>2</v>
      </c>
      <c r="T191" s="929">
        <f t="shared" si="22"/>
        <v>0</v>
      </c>
      <c r="U191" s="929"/>
      <c r="V191" s="929"/>
      <c r="W191" s="354">
        <v>0</v>
      </c>
      <c r="X191" s="355">
        <v>0</v>
      </c>
      <c r="Y191" s="356">
        <f t="shared" si="23"/>
        <v>0</v>
      </c>
      <c r="Z191" s="357">
        <f t="shared" si="6"/>
        <v>0</v>
      </c>
      <c r="AC191" s="442" t="s">
        <v>701</v>
      </c>
      <c r="AD191" s="575" t="s">
        <v>702</v>
      </c>
      <c r="AE191" s="332">
        <f t="shared" si="9"/>
        <v>0</v>
      </c>
      <c r="AF191" s="333" t="str">
        <f t="shared" si="10"/>
        <v/>
      </c>
      <c r="AH191" s="308"/>
      <c r="AI191" s="896" t="s">
        <v>703</v>
      </c>
      <c r="AJ191" s="897"/>
      <c r="AK191" s="897"/>
      <c r="AL191" s="897"/>
      <c r="AM191" s="897"/>
      <c r="AN191" s="372" t="s">
        <v>124</v>
      </c>
      <c r="AO191" s="317">
        <f t="shared" si="24"/>
        <v>0</v>
      </c>
      <c r="AP191" s="318"/>
      <c r="AQ191" s="308"/>
      <c r="AR191" s="954" t="s">
        <v>704</v>
      </c>
      <c r="AS191" s="955"/>
      <c r="AT191" s="955"/>
      <c r="AU191" s="955"/>
      <c r="AV191" s="955"/>
      <c r="AW191" s="573" t="s">
        <v>705</v>
      </c>
      <c r="AX191" s="317">
        <f t="shared" si="16"/>
        <v>0</v>
      </c>
      <c r="AY191" s="512"/>
      <c r="AZ191" s="308"/>
      <c r="BA191" s="437"/>
    </row>
    <row r="192" spans="1:53" ht="17.25" customHeight="1" x14ac:dyDescent="0.25">
      <c r="A192" s="978" t="s">
        <v>40</v>
      </c>
      <c r="B192" s="979"/>
      <c r="C192" s="980"/>
      <c r="D192" s="351"/>
      <c r="E192" s="352"/>
      <c r="F192" s="576" t="s">
        <v>41</v>
      </c>
      <c r="G192" s="926">
        <f t="shared" si="20"/>
        <v>0</v>
      </c>
      <c r="H192" s="927"/>
      <c r="I192" s="928"/>
      <c r="J192" s="354">
        <v>0</v>
      </c>
      <c r="K192" s="355">
        <v>0</v>
      </c>
      <c r="L192" s="356">
        <f t="shared" si="21"/>
        <v>0</v>
      </c>
      <c r="M192" s="324"/>
      <c r="N192" s="978" t="s">
        <v>40</v>
      </c>
      <c r="O192" s="979"/>
      <c r="P192" s="980"/>
      <c r="Q192" s="351"/>
      <c r="R192" s="352"/>
      <c r="S192" s="576" t="s">
        <v>41</v>
      </c>
      <c r="T192" s="929">
        <f t="shared" si="22"/>
        <v>0</v>
      </c>
      <c r="U192" s="929"/>
      <c r="V192" s="929"/>
      <c r="W192" s="354">
        <v>0</v>
      </c>
      <c r="X192" s="355">
        <v>0</v>
      </c>
      <c r="Y192" s="356">
        <f t="shared" si="23"/>
        <v>0</v>
      </c>
      <c r="Z192" s="357">
        <f t="shared" si="6"/>
        <v>0</v>
      </c>
      <c r="AC192" s="442" t="s">
        <v>706</v>
      </c>
      <c r="AD192" s="577" t="s">
        <v>707</v>
      </c>
      <c r="AE192" s="332">
        <f t="shared" si="9"/>
        <v>0</v>
      </c>
      <c r="AF192" s="333" t="str">
        <f t="shared" si="10"/>
        <v/>
      </c>
      <c r="AH192" s="308"/>
      <c r="AI192" s="896" t="s">
        <v>708</v>
      </c>
      <c r="AJ192" s="897"/>
      <c r="AK192" s="897"/>
      <c r="AL192" s="897"/>
      <c r="AM192" s="897"/>
      <c r="AN192" s="578" t="s">
        <v>709</v>
      </c>
      <c r="AO192" s="317">
        <f t="shared" si="24"/>
        <v>0</v>
      </c>
      <c r="AP192" s="318"/>
      <c r="AQ192" s="308"/>
      <c r="AR192" s="954" t="s">
        <v>710</v>
      </c>
      <c r="AS192" s="955"/>
      <c r="AT192" s="955"/>
      <c r="AU192" s="955"/>
      <c r="AV192" s="955"/>
      <c r="AW192" s="579" t="s">
        <v>711</v>
      </c>
      <c r="AX192" s="317">
        <f t="shared" si="16"/>
        <v>0</v>
      </c>
      <c r="AY192" s="512"/>
      <c r="AZ192" s="308"/>
      <c r="BA192" s="437"/>
    </row>
    <row r="193" spans="1:53" ht="17.25" customHeight="1" x14ac:dyDescent="0.25">
      <c r="A193" s="978" t="s">
        <v>20</v>
      </c>
      <c r="B193" s="979"/>
      <c r="C193" s="980"/>
      <c r="D193" s="351"/>
      <c r="E193" s="352"/>
      <c r="F193" s="580" t="s">
        <v>3</v>
      </c>
      <c r="G193" s="926">
        <f t="shared" si="20"/>
        <v>0</v>
      </c>
      <c r="H193" s="927"/>
      <c r="I193" s="928"/>
      <c r="J193" s="354">
        <v>0</v>
      </c>
      <c r="K193" s="355">
        <v>0</v>
      </c>
      <c r="L193" s="356">
        <f t="shared" si="21"/>
        <v>0</v>
      </c>
      <c r="M193" s="324"/>
      <c r="N193" s="978" t="s">
        <v>20</v>
      </c>
      <c r="O193" s="979"/>
      <c r="P193" s="980"/>
      <c r="Q193" s="351"/>
      <c r="R193" s="352"/>
      <c r="S193" s="580" t="s">
        <v>3</v>
      </c>
      <c r="T193" s="929">
        <f t="shared" si="22"/>
        <v>0</v>
      </c>
      <c r="U193" s="929"/>
      <c r="V193" s="929"/>
      <c r="W193" s="354">
        <v>0</v>
      </c>
      <c r="X193" s="355">
        <v>0</v>
      </c>
      <c r="Y193" s="356">
        <f t="shared" si="23"/>
        <v>0</v>
      </c>
      <c r="Z193" s="357">
        <f t="shared" si="6"/>
        <v>0</v>
      </c>
      <c r="AC193" s="442" t="s">
        <v>187</v>
      </c>
      <c r="AD193" s="581" t="s">
        <v>187</v>
      </c>
      <c r="AE193" s="332">
        <f t="shared" si="9"/>
        <v>0</v>
      </c>
      <c r="AF193" s="333" t="str">
        <f t="shared" si="10"/>
        <v/>
      </c>
      <c r="AH193" s="308"/>
      <c r="AI193" s="896" t="s">
        <v>712</v>
      </c>
      <c r="AJ193" s="897"/>
      <c r="AK193" s="897"/>
      <c r="AL193" s="897"/>
      <c r="AM193" s="897"/>
      <c r="AN193" s="582" t="s">
        <v>713</v>
      </c>
      <c r="AO193" s="317">
        <f t="shared" si="24"/>
        <v>0</v>
      </c>
      <c r="AP193" s="318"/>
      <c r="AQ193" s="308"/>
      <c r="AR193" s="954" t="s">
        <v>714</v>
      </c>
      <c r="AS193" s="955"/>
      <c r="AT193" s="955"/>
      <c r="AU193" s="955"/>
      <c r="AV193" s="955"/>
      <c r="AW193" s="517" t="s">
        <v>715</v>
      </c>
      <c r="AX193" s="317">
        <f t="shared" si="16"/>
        <v>0</v>
      </c>
      <c r="AY193" s="512"/>
      <c r="AZ193" s="308"/>
      <c r="BA193" s="437"/>
    </row>
    <row r="194" spans="1:53" ht="17.25" customHeight="1" thickBot="1" x14ac:dyDescent="0.3">
      <c r="A194" s="978" t="s">
        <v>108</v>
      </c>
      <c r="B194" s="979"/>
      <c r="C194" s="980"/>
      <c r="D194" s="351" t="s">
        <v>3</v>
      </c>
      <c r="E194" s="352" t="s">
        <v>367</v>
      </c>
      <c r="F194" s="583" t="s">
        <v>107</v>
      </c>
      <c r="G194" s="926">
        <f t="shared" si="20"/>
        <v>0</v>
      </c>
      <c r="H194" s="927"/>
      <c r="I194" s="928"/>
      <c r="J194" s="354">
        <v>0</v>
      </c>
      <c r="K194" s="355">
        <v>0</v>
      </c>
      <c r="L194" s="356">
        <f t="shared" si="21"/>
        <v>0</v>
      </c>
      <c r="M194" s="324"/>
      <c r="N194" s="978" t="s">
        <v>108</v>
      </c>
      <c r="O194" s="979"/>
      <c r="P194" s="980"/>
      <c r="Q194" s="351" t="s">
        <v>3</v>
      </c>
      <c r="R194" s="352" t="s">
        <v>367</v>
      </c>
      <c r="S194" s="583" t="s">
        <v>107</v>
      </c>
      <c r="T194" s="929">
        <f t="shared" si="22"/>
        <v>0</v>
      </c>
      <c r="U194" s="929"/>
      <c r="V194" s="929"/>
      <c r="W194" s="354">
        <v>0</v>
      </c>
      <c r="X194" s="355">
        <v>0</v>
      </c>
      <c r="Y194" s="356">
        <f t="shared" si="23"/>
        <v>0</v>
      </c>
      <c r="Z194" s="357">
        <f t="shared" si="6"/>
        <v>0</v>
      </c>
      <c r="AC194" s="442" t="s">
        <v>716</v>
      </c>
      <c r="AD194" s="584" t="s">
        <v>717</v>
      </c>
      <c r="AE194" s="332">
        <f t="shared" si="9"/>
        <v>0</v>
      </c>
      <c r="AF194" s="333" t="str">
        <f t="shared" si="10"/>
        <v/>
      </c>
      <c r="AH194" s="308"/>
      <c r="AI194" s="896" t="s">
        <v>718</v>
      </c>
      <c r="AJ194" s="897"/>
      <c r="AK194" s="897"/>
      <c r="AL194" s="897"/>
      <c r="AM194" s="897"/>
      <c r="AN194" s="372" t="s">
        <v>719</v>
      </c>
      <c r="AO194" s="317">
        <f t="shared" si="24"/>
        <v>0</v>
      </c>
      <c r="AP194" s="318"/>
      <c r="AQ194" s="308"/>
      <c r="AR194" s="954" t="s">
        <v>720</v>
      </c>
      <c r="AS194" s="955"/>
      <c r="AT194" s="955"/>
      <c r="AU194" s="955"/>
      <c r="AV194" s="955"/>
      <c r="AW194" s="335" t="s">
        <v>721</v>
      </c>
      <c r="AX194" s="317">
        <f t="shared" si="16"/>
        <v>0</v>
      </c>
      <c r="AY194" s="512"/>
      <c r="AZ194" s="308"/>
      <c r="BA194" s="437"/>
    </row>
    <row r="195" spans="1:53" ht="17.25" customHeight="1" x14ac:dyDescent="0.25">
      <c r="A195" s="972" t="s">
        <v>299</v>
      </c>
      <c r="B195" s="973"/>
      <c r="C195" s="973"/>
      <c r="D195" s="973"/>
      <c r="E195" s="973"/>
      <c r="F195" s="518"/>
      <c r="G195" s="1000">
        <f>SUM(G178:I194)</f>
        <v>0</v>
      </c>
      <c r="H195" s="1000"/>
      <c r="I195" s="1000"/>
      <c r="J195" s="439">
        <f>SUM(J178:J194)</f>
        <v>0</v>
      </c>
      <c r="K195" s="440">
        <f>SUM(K178:K194)</f>
        <v>0</v>
      </c>
      <c r="L195" s="356">
        <f>SUM(L178:L194)</f>
        <v>0</v>
      </c>
      <c r="M195" s="324"/>
      <c r="N195" s="1001" t="s">
        <v>299</v>
      </c>
      <c r="O195" s="1002"/>
      <c r="P195" s="1002"/>
      <c r="Q195" s="1002"/>
      <c r="R195" s="1002"/>
      <c r="S195" s="519"/>
      <c r="T195" s="1003">
        <f>SUM(T178:V194)</f>
        <v>0</v>
      </c>
      <c r="U195" s="1003"/>
      <c r="V195" s="1003"/>
      <c r="W195" s="439">
        <f>SUM(W178:W194)</f>
        <v>0</v>
      </c>
      <c r="X195" s="440">
        <f>SUM(X178:X194)</f>
        <v>0</v>
      </c>
      <c r="Y195" s="356">
        <f>SUM(Y178:Y194)</f>
        <v>0</v>
      </c>
      <c r="Z195" s="357">
        <f t="shared" si="6"/>
        <v>0</v>
      </c>
      <c r="AC195" s="442" t="s">
        <v>722</v>
      </c>
      <c r="AD195" s="585" t="s">
        <v>723</v>
      </c>
      <c r="AE195" s="332">
        <f t="shared" si="9"/>
        <v>0</v>
      </c>
      <c r="AF195" s="333" t="str">
        <f t="shared" si="10"/>
        <v/>
      </c>
      <c r="AH195" s="308"/>
      <c r="AI195" s="896" t="s">
        <v>724</v>
      </c>
      <c r="AJ195" s="897"/>
      <c r="AK195" s="897"/>
      <c r="AL195" s="897"/>
      <c r="AM195" s="897"/>
      <c r="AN195" s="586" t="s">
        <v>725</v>
      </c>
      <c r="AO195" s="317">
        <f t="shared" si="24"/>
        <v>0</v>
      </c>
      <c r="AP195" s="318"/>
      <c r="AQ195" s="308"/>
      <c r="AR195" s="954" t="s">
        <v>726</v>
      </c>
      <c r="AS195" s="955"/>
      <c r="AT195" s="955"/>
      <c r="AU195" s="955"/>
      <c r="AV195" s="955"/>
      <c r="AW195" s="335" t="s">
        <v>157</v>
      </c>
      <c r="AX195" s="317">
        <f t="shared" si="16"/>
        <v>0</v>
      </c>
      <c r="AY195" s="512"/>
      <c r="AZ195" s="308"/>
      <c r="BA195" s="437"/>
    </row>
    <row r="196" spans="1:53" ht="17.25" customHeight="1" x14ac:dyDescent="0.25">
      <c r="A196" s="587"/>
      <c r="B196" s="587"/>
      <c r="C196" s="587"/>
      <c r="D196" s="587"/>
      <c r="E196" s="587"/>
      <c r="F196" s="588"/>
      <c r="J196" s="589"/>
      <c r="K196" s="589"/>
      <c r="M196" s="268"/>
      <c r="N196" s="587"/>
      <c r="O196" s="587"/>
      <c r="P196" s="587"/>
      <c r="Q196" s="587"/>
      <c r="R196" s="587"/>
      <c r="S196" s="588"/>
      <c r="W196" s="589"/>
      <c r="X196" s="589"/>
      <c r="AC196" s="409" t="s">
        <v>727</v>
      </c>
      <c r="AD196" s="428" t="s">
        <v>728</v>
      </c>
      <c r="AE196" s="332">
        <f t="shared" si="9"/>
        <v>0</v>
      </c>
      <c r="AF196" s="333" t="str">
        <f t="shared" si="10"/>
        <v/>
      </c>
      <c r="AH196" s="308"/>
      <c r="AI196" s="896" t="s">
        <v>729</v>
      </c>
      <c r="AJ196" s="897"/>
      <c r="AK196" s="897"/>
      <c r="AL196" s="897"/>
      <c r="AM196" s="897"/>
      <c r="AN196" s="372" t="s">
        <v>730</v>
      </c>
      <c r="AO196" s="317">
        <f t="shared" si="24"/>
        <v>0</v>
      </c>
      <c r="AP196" s="318"/>
      <c r="AQ196" s="308"/>
      <c r="AR196" s="954" t="s">
        <v>731</v>
      </c>
      <c r="AS196" s="955"/>
      <c r="AT196" s="955"/>
      <c r="AU196" s="955"/>
      <c r="AV196" s="955"/>
      <c r="AW196" s="404" t="s">
        <v>732</v>
      </c>
      <c r="AX196" s="317">
        <f t="shared" si="16"/>
        <v>0</v>
      </c>
      <c r="AY196" s="512"/>
      <c r="AZ196" s="308"/>
      <c r="BA196" s="437"/>
    </row>
    <row r="197" spans="1:53" ht="17.25" customHeight="1" x14ac:dyDescent="0.25">
      <c r="A197" s="587"/>
      <c r="B197" s="587"/>
      <c r="C197" s="587"/>
      <c r="D197" s="587"/>
      <c r="E197" s="587"/>
      <c r="F197" s="588"/>
      <c r="J197" s="589"/>
      <c r="K197" s="589"/>
      <c r="M197" s="268"/>
      <c r="N197" s="587"/>
      <c r="O197" s="587"/>
      <c r="P197" s="587"/>
      <c r="Q197" s="587"/>
      <c r="R197" s="587"/>
      <c r="S197" s="588"/>
      <c r="W197" s="589"/>
      <c r="X197" s="589"/>
      <c r="AC197" s="442" t="s">
        <v>733</v>
      </c>
      <c r="AD197" s="428" t="s">
        <v>734</v>
      </c>
      <c r="AE197" s="332">
        <f t="shared" si="9"/>
        <v>0</v>
      </c>
      <c r="AF197" s="333" t="str">
        <f t="shared" si="10"/>
        <v/>
      </c>
      <c r="AH197" s="308"/>
      <c r="AI197" s="896" t="s">
        <v>735</v>
      </c>
      <c r="AJ197" s="897"/>
      <c r="AK197" s="897"/>
      <c r="AL197" s="897"/>
      <c r="AM197" s="897"/>
      <c r="AN197" s="578" t="s">
        <v>736</v>
      </c>
      <c r="AO197" s="317">
        <f t="shared" si="24"/>
        <v>0</v>
      </c>
      <c r="AP197" s="318"/>
      <c r="AQ197" s="308"/>
      <c r="AR197" s="954" t="s">
        <v>737</v>
      </c>
      <c r="AS197" s="955"/>
      <c r="AT197" s="955"/>
      <c r="AU197" s="955"/>
      <c r="AV197" s="955"/>
      <c r="AW197" s="590" t="s">
        <v>738</v>
      </c>
      <c r="AX197" s="317">
        <f t="shared" si="16"/>
        <v>0</v>
      </c>
      <c r="AY197" s="512"/>
      <c r="AZ197" s="308"/>
      <c r="BA197" s="437"/>
    </row>
    <row r="198" spans="1:53" ht="17.25" customHeight="1" x14ac:dyDescent="0.25">
      <c r="A198" s="997" t="s">
        <v>739</v>
      </c>
      <c r="B198" s="998"/>
      <c r="C198" s="998"/>
      <c r="D198" s="998"/>
      <c r="E198" s="999"/>
      <c r="F198" s="591"/>
      <c r="G198" s="986"/>
      <c r="H198" s="986"/>
      <c r="I198" s="987"/>
      <c r="J198" s="592" t="s">
        <v>351</v>
      </c>
      <c r="K198" s="593" t="s">
        <v>352</v>
      </c>
      <c r="L198" s="592" t="s">
        <v>353</v>
      </c>
      <c r="M198" s="268"/>
      <c r="N198" s="997" t="s">
        <v>739</v>
      </c>
      <c r="O198" s="998"/>
      <c r="P198" s="998"/>
      <c r="Q198" s="998"/>
      <c r="R198" s="999"/>
      <c r="S198" s="591"/>
      <c r="T198" s="986"/>
      <c r="U198" s="986"/>
      <c r="V198" s="987"/>
      <c r="W198" s="592" t="s">
        <v>351</v>
      </c>
      <c r="X198" s="593" t="s">
        <v>352</v>
      </c>
      <c r="Y198" s="592" t="s">
        <v>353</v>
      </c>
      <c r="AC198" s="442" t="s">
        <v>740</v>
      </c>
      <c r="AD198" s="428" t="s">
        <v>741</v>
      </c>
      <c r="AE198" s="332">
        <f t="shared" si="9"/>
        <v>0</v>
      </c>
      <c r="AF198" s="333" t="str">
        <f t="shared" si="10"/>
        <v/>
      </c>
      <c r="AH198" s="308"/>
      <c r="AI198" s="896" t="s">
        <v>742</v>
      </c>
      <c r="AJ198" s="897"/>
      <c r="AK198" s="897"/>
      <c r="AL198" s="897"/>
      <c r="AM198" s="897"/>
      <c r="AN198" s="582" t="s">
        <v>743</v>
      </c>
      <c r="AO198" s="317">
        <f t="shared" si="24"/>
        <v>0</v>
      </c>
      <c r="AP198" s="318"/>
      <c r="AQ198" s="308"/>
      <c r="AR198" s="954" t="s">
        <v>744</v>
      </c>
      <c r="AS198" s="955"/>
      <c r="AT198" s="955"/>
      <c r="AU198" s="955"/>
      <c r="AV198" s="955"/>
      <c r="AW198" s="590" t="s">
        <v>745</v>
      </c>
      <c r="AX198" s="317">
        <f t="shared" si="16"/>
        <v>0</v>
      </c>
      <c r="AY198" s="530"/>
      <c r="AZ198" s="308"/>
      <c r="BA198" s="437"/>
    </row>
    <row r="199" spans="1:53" ht="17.25" customHeight="1" x14ac:dyDescent="0.25">
      <c r="A199" s="978" t="s">
        <v>56</v>
      </c>
      <c r="B199" s="979"/>
      <c r="C199" s="980"/>
      <c r="D199" s="981"/>
      <c r="E199" s="982"/>
      <c r="F199" s="3" t="s">
        <v>55</v>
      </c>
      <c r="G199" s="926">
        <f>COUNTIF($A$4:$M$42,F199)+COUNTIF($A$43:$O$81,F199)+COUNTIF($N$4:$T$19,F199)+COUNTIF($O$20:$S$23,F199)+COUNTIF($N$24:$Q$25,F199)+COUNTIF($N$26:$P$26,F199)+COUNTIF($P$42,F199)+COUNTIF($T$21:$T$22,F199)+COUNTIF($R$24,F199)+COUNTIF($N$27:$O$28,F199)</f>
        <v>0</v>
      </c>
      <c r="H199" s="927"/>
      <c r="I199" s="928"/>
      <c r="J199" s="354">
        <v>0</v>
      </c>
      <c r="K199" s="355">
        <v>0</v>
      </c>
      <c r="L199" s="356">
        <f t="shared" ref="L199:L202" si="25">G199-K199-J199</f>
        <v>0</v>
      </c>
      <c r="M199" s="268"/>
      <c r="N199" s="978" t="s">
        <v>56</v>
      </c>
      <c r="O199" s="979"/>
      <c r="P199" s="980"/>
      <c r="Q199" s="981"/>
      <c r="R199" s="982"/>
      <c r="S199" s="3" t="s">
        <v>55</v>
      </c>
      <c r="T199" s="929">
        <f>COUNTIF($T$23:$BI$73,S199)+COUNTIF($N$29:$S$39,S199)+COUNTIF($P$47:$S$68,S199)+COUNTIF($Q$40:$S$42,S199)+COUNTIF($P$27:$S$28,S199)+COUNTIF($R$25:$S$25,S199)+COUNTIF($S$24:$S$24,S199)</f>
        <v>0</v>
      </c>
      <c r="U199" s="929"/>
      <c r="V199" s="929"/>
      <c r="W199" s="354">
        <v>0</v>
      </c>
      <c r="X199" s="355">
        <v>0</v>
      </c>
      <c r="Y199" s="356">
        <f t="shared" ref="Y199:Y202" si="26">T199-X199-W199</f>
        <v>0</v>
      </c>
      <c r="Z199" s="357">
        <f t="shared" ref="Z199:Z203" si="27">T199+G199</f>
        <v>0</v>
      </c>
      <c r="AC199" s="442" t="s">
        <v>746</v>
      </c>
      <c r="AD199" s="594" t="s">
        <v>747</v>
      </c>
      <c r="AE199" s="332">
        <f t="shared" si="9"/>
        <v>0</v>
      </c>
      <c r="AF199" s="333" t="str">
        <f t="shared" si="10"/>
        <v/>
      </c>
      <c r="AH199" s="308"/>
      <c r="AI199" s="896" t="s">
        <v>748</v>
      </c>
      <c r="AJ199" s="897"/>
      <c r="AK199" s="897"/>
      <c r="AL199" s="897"/>
      <c r="AM199" s="897"/>
      <c r="AN199" s="595" t="s">
        <v>749</v>
      </c>
      <c r="AO199" s="317">
        <f t="shared" si="24"/>
        <v>0</v>
      </c>
      <c r="AP199" s="318"/>
      <c r="AQ199" s="308"/>
      <c r="AR199" s="954" t="s">
        <v>750</v>
      </c>
      <c r="AS199" s="955"/>
      <c r="AT199" s="955"/>
      <c r="AU199" s="955"/>
      <c r="AV199" s="955"/>
      <c r="AW199" s="590" t="s">
        <v>751</v>
      </c>
      <c r="AX199" s="317">
        <f t="shared" si="16"/>
        <v>0</v>
      </c>
      <c r="AY199" s="530"/>
      <c r="AZ199" s="308"/>
      <c r="BA199" s="311"/>
    </row>
    <row r="200" spans="1:53" ht="17.25" customHeight="1" x14ac:dyDescent="0.25">
      <c r="A200" s="978" t="s">
        <v>53</v>
      </c>
      <c r="B200" s="979"/>
      <c r="C200" s="980"/>
      <c r="D200" s="981"/>
      <c r="E200" s="982"/>
      <c r="F200" s="4" t="s">
        <v>54</v>
      </c>
      <c r="G200" s="926">
        <f>COUNTIF($A$4:$M$42,F200)+COUNTIF($A$43:$O$81,F200)+COUNTIF($N$4:$T$19,F200)+COUNTIF($O$20:$S$23,F200)+COUNTIF($N$24:$Q$25,F200)+COUNTIF($N$26:$P$26,F200)+COUNTIF($P$42,F200)+COUNTIF($T$21:$T$22,F200)+COUNTIF($R$24,F200)+COUNTIF($N$27:$O$28,F200)</f>
        <v>0</v>
      </c>
      <c r="H200" s="927"/>
      <c r="I200" s="928"/>
      <c r="J200" s="354">
        <v>0</v>
      </c>
      <c r="K200" s="355">
        <v>0</v>
      </c>
      <c r="L200" s="356">
        <f t="shared" si="25"/>
        <v>0</v>
      </c>
      <c r="M200" s="268"/>
      <c r="N200" s="978" t="s">
        <v>53</v>
      </c>
      <c r="O200" s="979"/>
      <c r="P200" s="980"/>
      <c r="Q200" s="981"/>
      <c r="R200" s="982"/>
      <c r="S200" s="4" t="s">
        <v>54</v>
      </c>
      <c r="T200" s="929">
        <f>COUNTIF($T$23:$BI$73,S200)+COUNTIF($N$29:$S$39,S200)+COUNTIF($P$47:$S$68,S200)+COUNTIF($Q$40:$S$42,S200)+COUNTIF($P$27:$S$28,S200)+COUNTIF($R$25:$S$25,S200)+COUNTIF($S$24:$S$24,S200)</f>
        <v>0</v>
      </c>
      <c r="U200" s="929"/>
      <c r="V200" s="929"/>
      <c r="W200" s="354">
        <v>0</v>
      </c>
      <c r="X200" s="355">
        <v>0</v>
      </c>
      <c r="Y200" s="356">
        <f t="shared" si="26"/>
        <v>0</v>
      </c>
      <c r="Z200" s="357">
        <f t="shared" si="27"/>
        <v>0</v>
      </c>
      <c r="AC200" s="442" t="s">
        <v>752</v>
      </c>
      <c r="AD200" s="596" t="s">
        <v>752</v>
      </c>
      <c r="AE200" s="332">
        <f t="shared" si="9"/>
        <v>0</v>
      </c>
      <c r="AF200" s="333" t="str">
        <f t="shared" si="10"/>
        <v/>
      </c>
      <c r="AH200" s="308"/>
      <c r="AI200" s="896" t="s">
        <v>753</v>
      </c>
      <c r="AJ200" s="897"/>
      <c r="AK200" s="897"/>
      <c r="AL200" s="897"/>
      <c r="AM200" s="897"/>
      <c r="AN200" s="597" t="s">
        <v>754</v>
      </c>
      <c r="AO200" s="317">
        <f t="shared" si="24"/>
        <v>0</v>
      </c>
      <c r="AP200" s="318"/>
      <c r="AQ200" s="308"/>
      <c r="AR200" s="954" t="s">
        <v>755</v>
      </c>
      <c r="AS200" s="955"/>
      <c r="AT200" s="955"/>
      <c r="AU200" s="955"/>
      <c r="AV200" s="955"/>
      <c r="AW200" s="598" t="s">
        <v>756</v>
      </c>
      <c r="AX200" s="317">
        <f t="shared" si="16"/>
        <v>0</v>
      </c>
      <c r="AY200" s="530"/>
      <c r="BA200" s="311"/>
    </row>
    <row r="201" spans="1:53" ht="17.25" customHeight="1" x14ac:dyDescent="0.25">
      <c r="A201" s="978" t="s">
        <v>51</v>
      </c>
      <c r="B201" s="979"/>
      <c r="C201" s="980"/>
      <c r="D201" s="981"/>
      <c r="E201" s="982"/>
      <c r="F201" s="5" t="s">
        <v>52</v>
      </c>
      <c r="G201" s="926">
        <f>COUNTIF($A$4:$M$42,F201)+COUNTIF($A$43:$O$81,F201)+COUNTIF($N$4:$T$19,F201)+COUNTIF($O$20:$S$23,F201)+COUNTIF($N$24:$Q$25,F201)+COUNTIF($N$26:$P$26,F201)+COUNTIF($P$42,F201)+COUNTIF($T$21:$T$22,F201)+COUNTIF($R$24,F201)+COUNTIF($N$27:$O$28,F201)</f>
        <v>0</v>
      </c>
      <c r="H201" s="927"/>
      <c r="I201" s="928"/>
      <c r="J201" s="354">
        <v>0</v>
      </c>
      <c r="K201" s="355">
        <v>0</v>
      </c>
      <c r="L201" s="356">
        <f t="shared" si="25"/>
        <v>0</v>
      </c>
      <c r="M201" s="268"/>
      <c r="N201" s="978" t="s">
        <v>51</v>
      </c>
      <c r="O201" s="979"/>
      <c r="P201" s="980"/>
      <c r="Q201" s="981"/>
      <c r="R201" s="982"/>
      <c r="S201" s="5" t="s">
        <v>52</v>
      </c>
      <c r="T201" s="929">
        <f>COUNTIF($T$23:$BI$73,S201)+COUNTIF($N$29:$S$39,S201)+COUNTIF($P$47:$S$68,S201)+COUNTIF($Q$40:$S$42,S201)+COUNTIF($P$27:$S$28,S201)+COUNTIF($R$25:$S$25,S201)+COUNTIF($S$24:$S$24,S201)</f>
        <v>0</v>
      </c>
      <c r="U201" s="929"/>
      <c r="V201" s="929"/>
      <c r="W201" s="354">
        <v>0</v>
      </c>
      <c r="X201" s="355">
        <v>0</v>
      </c>
      <c r="Y201" s="356">
        <f t="shared" si="26"/>
        <v>0</v>
      </c>
      <c r="Z201" s="357">
        <f t="shared" si="27"/>
        <v>0</v>
      </c>
      <c r="AC201" s="442" t="s">
        <v>757</v>
      </c>
      <c r="AD201" s="375" t="s">
        <v>260</v>
      </c>
      <c r="AE201" s="332">
        <f t="shared" si="9"/>
        <v>0</v>
      </c>
      <c r="AF201" s="333" t="str">
        <f t="shared" si="10"/>
        <v/>
      </c>
      <c r="AH201" s="308"/>
      <c r="AI201" s="896" t="s">
        <v>758</v>
      </c>
      <c r="AJ201" s="897"/>
      <c r="AK201" s="897"/>
      <c r="AL201" s="897"/>
      <c r="AM201" s="897"/>
      <c r="AN201" s="599" t="s">
        <v>759</v>
      </c>
      <c r="AO201" s="317">
        <f t="shared" si="24"/>
        <v>0</v>
      </c>
      <c r="AP201" s="318"/>
      <c r="AQ201" s="308"/>
      <c r="AR201" s="954" t="s">
        <v>760</v>
      </c>
      <c r="AS201" s="955"/>
      <c r="AT201" s="955"/>
      <c r="AU201" s="955"/>
      <c r="AV201" s="955"/>
      <c r="AW201" s="600" t="s">
        <v>761</v>
      </c>
      <c r="AX201" s="317">
        <f t="shared" si="16"/>
        <v>0</v>
      </c>
      <c r="AY201" s="530"/>
      <c r="BA201" s="311"/>
    </row>
    <row r="202" spans="1:53" ht="17.25" customHeight="1" thickBot="1" x14ac:dyDescent="0.3">
      <c r="A202" s="978" t="s">
        <v>49</v>
      </c>
      <c r="B202" s="979"/>
      <c r="C202" s="980"/>
      <c r="D202" s="981"/>
      <c r="E202" s="982"/>
      <c r="F202" s="6" t="s">
        <v>50</v>
      </c>
      <c r="G202" s="926">
        <f>COUNTIF($A$4:$M$42,F202)+COUNTIF($A$43:$O$81,F202)+COUNTIF($N$4:$T$19,F202)+COUNTIF($O$20:$S$23,F202)+COUNTIF($N$24:$Q$25,F202)+COUNTIF($N$26:$P$26,F202)+COUNTIF($P$42,F202)+COUNTIF($T$21:$T$22,F202)+COUNTIF($R$24,F202)+COUNTIF($N$27:$O$28,F202)</f>
        <v>0</v>
      </c>
      <c r="H202" s="927"/>
      <c r="I202" s="928"/>
      <c r="J202" s="354">
        <v>0</v>
      </c>
      <c r="K202" s="355">
        <v>0</v>
      </c>
      <c r="L202" s="356">
        <f t="shared" si="25"/>
        <v>0</v>
      </c>
      <c r="M202" s="268"/>
      <c r="N202" s="978" t="s">
        <v>49</v>
      </c>
      <c r="O202" s="979"/>
      <c r="P202" s="980"/>
      <c r="Q202" s="981"/>
      <c r="R202" s="982"/>
      <c r="S202" s="6" t="s">
        <v>50</v>
      </c>
      <c r="T202" s="929">
        <f>COUNTIF($T$23:$BI$73,S202)+COUNTIF($N$29:$S$39,S202)+COUNTIF($P$47:$S$68,S202)+COUNTIF($Q$40:$S$42,S202)+COUNTIF($P$27:$S$28,S202)+COUNTIF($R$25:$S$25,S202)+COUNTIF($S$24:$S$24,S202)</f>
        <v>0</v>
      </c>
      <c r="U202" s="929"/>
      <c r="V202" s="929"/>
      <c r="W202" s="354">
        <v>0</v>
      </c>
      <c r="X202" s="355">
        <v>0</v>
      </c>
      <c r="Y202" s="356">
        <f t="shared" si="26"/>
        <v>0</v>
      </c>
      <c r="Z202" s="357">
        <f t="shared" si="27"/>
        <v>0</v>
      </c>
      <c r="AC202" s="442" t="s">
        <v>762</v>
      </c>
      <c r="AD202" s="601" t="s">
        <v>763</v>
      </c>
      <c r="AE202" s="332">
        <f t="shared" si="9"/>
        <v>0</v>
      </c>
      <c r="AF202" s="333" t="str">
        <f t="shared" si="10"/>
        <v/>
      </c>
      <c r="AH202" s="308"/>
      <c r="AI202" s="996" t="s">
        <v>764</v>
      </c>
      <c r="AJ202" s="952"/>
      <c r="AK202" s="952"/>
      <c r="AL202" s="952"/>
      <c r="AM202" s="953"/>
      <c r="AN202" s="602"/>
      <c r="AO202" s="502">
        <f>SUM(AO126:AO200)</f>
        <v>0</v>
      </c>
      <c r="AQ202" s="308"/>
      <c r="AR202" s="954" t="s">
        <v>765</v>
      </c>
      <c r="AS202" s="955"/>
      <c r="AT202" s="955"/>
      <c r="AU202" s="955"/>
      <c r="AV202" s="955"/>
      <c r="AW202" s="536" t="s">
        <v>766</v>
      </c>
      <c r="AX202" s="317">
        <f t="shared" si="16"/>
        <v>0</v>
      </c>
      <c r="AY202" s="530"/>
      <c r="BA202" s="311"/>
    </row>
    <row r="203" spans="1:53" ht="17.25" customHeight="1" thickBot="1" x14ac:dyDescent="0.35">
      <c r="A203" s="976" t="s">
        <v>767</v>
      </c>
      <c r="B203" s="976"/>
      <c r="C203" s="976"/>
      <c r="D203" s="976"/>
      <c r="E203" s="976"/>
      <c r="F203" s="588"/>
      <c r="G203" s="977">
        <f>SUM(G199:I202)</f>
        <v>0</v>
      </c>
      <c r="H203" s="977"/>
      <c r="I203" s="977"/>
      <c r="J203" s="603">
        <f t="shared" ref="J203:L203" si="28">SUM(J199:J202)</f>
        <v>0</v>
      </c>
      <c r="K203" s="604">
        <f t="shared" si="28"/>
        <v>0</v>
      </c>
      <c r="L203" s="605">
        <f t="shared" si="28"/>
        <v>0</v>
      </c>
      <c r="M203" s="268"/>
      <c r="N203" s="976" t="s">
        <v>767</v>
      </c>
      <c r="O203" s="976"/>
      <c r="P203" s="976"/>
      <c r="Q203" s="976"/>
      <c r="R203" s="976"/>
      <c r="S203" s="588"/>
      <c r="T203" s="977">
        <f>SUM(T199:V202)</f>
        <v>0</v>
      </c>
      <c r="U203" s="977"/>
      <c r="V203" s="977"/>
      <c r="W203" s="603">
        <f t="shared" ref="W203:Y203" si="29">SUM(W199:W202)</f>
        <v>0</v>
      </c>
      <c r="X203" s="604">
        <f t="shared" si="29"/>
        <v>0</v>
      </c>
      <c r="Y203" s="605">
        <f t="shared" si="29"/>
        <v>0</v>
      </c>
      <c r="Z203" s="357">
        <f t="shared" si="27"/>
        <v>0</v>
      </c>
      <c r="AC203" s="442" t="s">
        <v>768</v>
      </c>
      <c r="AD203" s="606" t="s">
        <v>200</v>
      </c>
      <c r="AE203" s="332">
        <f t="shared" si="9"/>
        <v>0</v>
      </c>
      <c r="AF203" s="333" t="str">
        <f t="shared" si="10"/>
        <v/>
      </c>
      <c r="AH203" s="308"/>
      <c r="AI203" s="994" t="s">
        <v>769</v>
      </c>
      <c r="AJ203" s="995"/>
      <c r="AK203" s="995"/>
      <c r="AL203" s="995"/>
      <c r="AM203" s="995"/>
      <c r="AN203" s="607" t="s">
        <v>770</v>
      </c>
      <c r="AO203" s="317">
        <f>COUNTIF($P$1:$Q$1,"O-FUT")</f>
        <v>0</v>
      </c>
      <c r="AQ203" s="308"/>
      <c r="AR203" s="954" t="s">
        <v>771</v>
      </c>
      <c r="AS203" s="955"/>
      <c r="AT203" s="955"/>
      <c r="AU203" s="955"/>
      <c r="AV203" s="955"/>
      <c r="AW203" s="469" t="s">
        <v>772</v>
      </c>
      <c r="AX203" s="317">
        <f t="shared" si="16"/>
        <v>0</v>
      </c>
      <c r="AY203" s="530"/>
      <c r="BA203" s="311"/>
    </row>
    <row r="204" spans="1:53" ht="17.25" customHeight="1" x14ac:dyDescent="0.25">
      <c r="A204" s="587"/>
      <c r="B204" s="587"/>
      <c r="C204" s="587"/>
      <c r="D204" s="587"/>
      <c r="E204" s="587"/>
      <c r="F204" s="588"/>
      <c r="J204" s="589"/>
      <c r="K204" s="589"/>
      <c r="M204" s="268"/>
      <c r="N204" s="587"/>
      <c r="O204" s="587"/>
      <c r="P204" s="587"/>
      <c r="Q204" s="587"/>
      <c r="R204" s="587"/>
      <c r="S204" s="588"/>
      <c r="W204" s="589"/>
      <c r="X204" s="589"/>
      <c r="AA204" s="324"/>
      <c r="AC204" s="442" t="s">
        <v>773</v>
      </c>
      <c r="AD204" s="608" t="s">
        <v>774</v>
      </c>
      <c r="AE204" s="332">
        <f t="shared" si="9"/>
        <v>0</v>
      </c>
      <c r="AF204" s="333" t="str">
        <f t="shared" si="10"/>
        <v/>
      </c>
      <c r="AH204" s="308"/>
      <c r="AI204" s="609"/>
      <c r="AJ204" s="610"/>
      <c r="AK204" s="610"/>
      <c r="AL204" s="610"/>
      <c r="AM204" s="610"/>
      <c r="AQ204" s="308"/>
      <c r="AR204" s="954" t="s">
        <v>775</v>
      </c>
      <c r="AS204" s="955"/>
      <c r="AT204" s="955"/>
      <c r="AU204" s="955"/>
      <c r="AV204" s="955"/>
      <c r="AW204" s="393" t="s">
        <v>776</v>
      </c>
      <c r="AX204" s="317">
        <f t="shared" si="16"/>
        <v>0</v>
      </c>
      <c r="AY204" s="530"/>
      <c r="BA204" s="311"/>
    </row>
    <row r="205" spans="1:53" ht="17.25" customHeight="1" x14ac:dyDescent="0.25">
      <c r="A205" s="587"/>
      <c r="B205" s="587"/>
      <c r="C205" s="587"/>
      <c r="D205" s="587"/>
      <c r="E205" s="587"/>
      <c r="F205" s="588"/>
      <c r="J205" s="589"/>
      <c r="K205" s="589"/>
      <c r="M205" s="268"/>
      <c r="N205" s="587"/>
      <c r="O205" s="587"/>
      <c r="P205" s="587"/>
      <c r="Q205" s="587"/>
      <c r="R205" s="587"/>
      <c r="S205" s="588"/>
      <c r="W205" s="589"/>
      <c r="X205" s="589"/>
      <c r="AA205" s="324"/>
      <c r="AC205" s="442" t="s">
        <v>777</v>
      </c>
      <c r="AD205" s="611" t="s">
        <v>202</v>
      </c>
      <c r="AE205" s="332">
        <f t="shared" si="9"/>
        <v>0</v>
      </c>
      <c r="AF205" s="333" t="str">
        <f t="shared" si="10"/>
        <v/>
      </c>
      <c r="AH205" s="308"/>
      <c r="AI205" s="918" t="s">
        <v>355</v>
      </c>
      <c r="AJ205" s="908"/>
      <c r="AK205" s="908"/>
      <c r="AL205" s="908"/>
      <c r="AM205" s="908"/>
      <c r="AN205" s="904"/>
      <c r="AO205" s="309" t="s">
        <v>299</v>
      </c>
      <c r="AP205" s="612"/>
      <c r="AQ205" s="308"/>
      <c r="AR205" s="954" t="s">
        <v>778</v>
      </c>
      <c r="AS205" s="955"/>
      <c r="AT205" s="955"/>
      <c r="AU205" s="955"/>
      <c r="AV205" s="955"/>
      <c r="AW205" s="393" t="s">
        <v>153</v>
      </c>
      <c r="AX205" s="317">
        <f t="shared" si="16"/>
        <v>0</v>
      </c>
      <c r="AY205" s="530"/>
      <c r="BA205" s="311"/>
    </row>
    <row r="206" spans="1:53" ht="17.25" customHeight="1" x14ac:dyDescent="0.25">
      <c r="A206" s="991" t="s">
        <v>779</v>
      </c>
      <c r="B206" s="992"/>
      <c r="C206" s="992"/>
      <c r="D206" s="992"/>
      <c r="E206" s="993"/>
      <c r="F206" s="591"/>
      <c r="G206" s="986"/>
      <c r="H206" s="986"/>
      <c r="I206" s="987"/>
      <c r="J206" s="592" t="s">
        <v>351</v>
      </c>
      <c r="K206" s="593" t="s">
        <v>352</v>
      </c>
      <c r="L206" s="592" t="s">
        <v>353</v>
      </c>
      <c r="M206" s="268"/>
      <c r="N206" s="991" t="s">
        <v>779</v>
      </c>
      <c r="O206" s="992"/>
      <c r="P206" s="992"/>
      <c r="Q206" s="992"/>
      <c r="R206" s="993"/>
      <c r="S206" s="591"/>
      <c r="T206" s="986"/>
      <c r="U206" s="986"/>
      <c r="V206" s="987"/>
      <c r="W206" s="592" t="s">
        <v>351</v>
      </c>
      <c r="X206" s="593" t="s">
        <v>352</v>
      </c>
      <c r="Y206" s="592" t="s">
        <v>353</v>
      </c>
      <c r="AA206" s="324"/>
      <c r="AC206" s="442" t="s">
        <v>780</v>
      </c>
      <c r="AD206" s="601" t="s">
        <v>781</v>
      </c>
      <c r="AE206" s="332">
        <f t="shared" si="9"/>
        <v>0</v>
      </c>
      <c r="AF206" s="333" t="str">
        <f t="shared" si="10"/>
        <v/>
      </c>
      <c r="AH206" s="308"/>
      <c r="AI206" s="914" t="s">
        <v>782</v>
      </c>
      <c r="AJ206" s="915"/>
      <c r="AK206" s="915"/>
      <c r="AL206" s="915"/>
      <c r="AM206" s="915"/>
      <c r="AN206" s="613" t="s">
        <v>783</v>
      </c>
      <c r="AO206" s="317">
        <f t="shared" ref="AO206:AO234" si="30">COUNTIF($A$1:$GO$103,AN206)</f>
        <v>0</v>
      </c>
      <c r="AP206" s="614"/>
      <c r="AQ206" s="308"/>
      <c r="AR206" s="954" t="s">
        <v>784</v>
      </c>
      <c r="AS206" s="955"/>
      <c r="AT206" s="955"/>
      <c r="AU206" s="955"/>
      <c r="AV206" s="955"/>
      <c r="AW206" s="396" t="s">
        <v>156</v>
      </c>
      <c r="AX206" s="317">
        <f t="shared" si="16"/>
        <v>0</v>
      </c>
      <c r="AY206" s="530"/>
      <c r="BA206" s="311"/>
    </row>
    <row r="207" spans="1:53" ht="17.25" customHeight="1" x14ac:dyDescent="0.25">
      <c r="A207" s="978" t="s">
        <v>125</v>
      </c>
      <c r="B207" s="979"/>
      <c r="C207" s="980"/>
      <c r="D207" s="981"/>
      <c r="E207" s="982"/>
      <c r="F207" s="15" t="s">
        <v>65</v>
      </c>
      <c r="G207" s="926">
        <f>COUNTIF($A$4:$M$42,F207)+COUNTIF($A$43:$O$81,F207)+COUNTIF($N$4:$T$19,F207)+COUNTIF($O$20:$S$23,F207)+COUNTIF($N$24:$Q$25,F207)+COUNTIF($N$26:$P$26,F207)+COUNTIF($P$42,F207)+COUNTIF($T$21:$T$22,F207)+COUNTIF($R$24,F207)+COUNTIF($N$27:$O$28,F207)</f>
        <v>0</v>
      </c>
      <c r="H207" s="927"/>
      <c r="I207" s="928"/>
      <c r="J207" s="354">
        <v>0</v>
      </c>
      <c r="K207" s="355">
        <v>0</v>
      </c>
      <c r="L207" s="356">
        <f t="shared" ref="L207:L209" si="31">G207-K207-J207</f>
        <v>0</v>
      </c>
      <c r="M207" s="268"/>
      <c r="N207" s="978" t="s">
        <v>125</v>
      </c>
      <c r="O207" s="979"/>
      <c r="P207" s="980"/>
      <c r="Q207" s="981"/>
      <c r="R207" s="982"/>
      <c r="S207" s="15" t="s">
        <v>65</v>
      </c>
      <c r="T207" s="929">
        <f>COUNTIF($T$23:$BI$73,S207)+COUNTIF($N$29:$S$39,S207)+COUNTIF($P$47:$S$68,S207)+COUNTIF($Q$40:$S$42,S207)+COUNTIF($P$27:$S$28,S207)+COUNTIF($R$25:$S$25,S207)+COUNTIF($S$24:$S$24,S207)</f>
        <v>0</v>
      </c>
      <c r="U207" s="929"/>
      <c r="V207" s="929"/>
      <c r="W207" s="354">
        <v>0</v>
      </c>
      <c r="X207" s="355">
        <v>0</v>
      </c>
      <c r="Y207" s="356">
        <f t="shared" ref="Y207:Y209" si="32">T207-X207-W207</f>
        <v>0</v>
      </c>
      <c r="Z207" s="357">
        <f t="shared" ref="Z207:Z210" si="33">T207+G207</f>
        <v>0</v>
      </c>
      <c r="AA207" s="324"/>
      <c r="AC207" s="442" t="s">
        <v>785</v>
      </c>
      <c r="AD207" s="615" t="s">
        <v>786</v>
      </c>
      <c r="AE207" s="332">
        <f t="shared" si="9"/>
        <v>0</v>
      </c>
      <c r="AF207" s="333" t="str">
        <f t="shared" si="10"/>
        <v/>
      </c>
      <c r="AH207" s="308"/>
      <c r="AI207" s="914" t="s">
        <v>787</v>
      </c>
      <c r="AJ207" s="915"/>
      <c r="AK207" s="915"/>
      <c r="AL207" s="915"/>
      <c r="AM207" s="915"/>
      <c r="AN207" s="616" t="s">
        <v>788</v>
      </c>
      <c r="AO207" s="317">
        <f t="shared" si="30"/>
        <v>0</v>
      </c>
      <c r="AP207" s="614"/>
      <c r="AQ207" s="308"/>
      <c r="AR207" s="954" t="s">
        <v>789</v>
      </c>
      <c r="AS207" s="955"/>
      <c r="AT207" s="955"/>
      <c r="AU207" s="955"/>
      <c r="AV207" s="955"/>
      <c r="AW207" s="465" t="s">
        <v>790</v>
      </c>
      <c r="AX207" s="317">
        <f t="shared" si="16"/>
        <v>0</v>
      </c>
      <c r="AY207" s="530"/>
      <c r="BA207" s="311"/>
    </row>
    <row r="208" spans="1:53" ht="17.25" customHeight="1" x14ac:dyDescent="0.25">
      <c r="A208" s="978" t="s">
        <v>126</v>
      </c>
      <c r="B208" s="979"/>
      <c r="C208" s="980"/>
      <c r="D208" s="981"/>
      <c r="E208" s="982"/>
      <c r="F208" s="16" t="s">
        <v>64</v>
      </c>
      <c r="G208" s="926">
        <f>COUNTIF($A$4:$M$42,F208)+COUNTIF($A$43:$O$81,F208)+COUNTIF($N$4:$T$19,F208)+COUNTIF($O$20:$S$23,F208)+COUNTIF($N$24:$Q$25,F208)+COUNTIF($N$26:$P$26,F208)+COUNTIF($P$42,F208)+COUNTIF($T$21:$T$22,F208)+COUNTIF($R$24,F208)+COUNTIF($N$27:$O$28,F208)</f>
        <v>0</v>
      </c>
      <c r="H208" s="927"/>
      <c r="I208" s="928"/>
      <c r="J208" s="354">
        <v>0</v>
      </c>
      <c r="K208" s="355">
        <v>0</v>
      </c>
      <c r="L208" s="356">
        <f t="shared" si="31"/>
        <v>0</v>
      </c>
      <c r="M208" s="268"/>
      <c r="N208" s="978" t="s">
        <v>126</v>
      </c>
      <c r="O208" s="979"/>
      <c r="P208" s="980"/>
      <c r="Q208" s="981"/>
      <c r="R208" s="982"/>
      <c r="S208" s="16" t="s">
        <v>64</v>
      </c>
      <c r="T208" s="929">
        <f>COUNTIF($T$23:$BI$73,S208)+COUNTIF($N$29:$S$39,S208)+COUNTIF($P$47:$S$68,S208)+COUNTIF($Q$40:$S$42,S208)+COUNTIF($P$27:$S$28,S208)+COUNTIF($R$25:$S$25,S208)+COUNTIF($S$24:$S$24,S208)</f>
        <v>0</v>
      </c>
      <c r="U208" s="929"/>
      <c r="V208" s="929"/>
      <c r="W208" s="354">
        <v>0</v>
      </c>
      <c r="X208" s="355">
        <v>0</v>
      </c>
      <c r="Y208" s="356">
        <f t="shared" si="32"/>
        <v>0</v>
      </c>
      <c r="Z208" s="357">
        <f t="shared" si="33"/>
        <v>0</v>
      </c>
      <c r="AA208" s="324"/>
      <c r="AC208" s="442" t="s">
        <v>791</v>
      </c>
      <c r="AD208" s="617" t="s">
        <v>792</v>
      </c>
      <c r="AE208" s="332">
        <f t="shared" si="9"/>
        <v>0</v>
      </c>
      <c r="AF208" s="333" t="str">
        <f t="shared" si="10"/>
        <v/>
      </c>
      <c r="AH208" s="308"/>
      <c r="AI208" s="914" t="s">
        <v>793</v>
      </c>
      <c r="AJ208" s="915"/>
      <c r="AK208" s="915"/>
      <c r="AL208" s="915"/>
      <c r="AM208" s="915"/>
      <c r="AN208" s="618" t="s">
        <v>794</v>
      </c>
      <c r="AO208" s="317">
        <f t="shared" si="30"/>
        <v>0</v>
      </c>
      <c r="AP208" s="614"/>
      <c r="AQ208" s="308"/>
      <c r="AR208" s="954" t="s">
        <v>795</v>
      </c>
      <c r="AS208" s="955"/>
      <c r="AT208" s="955"/>
      <c r="AU208" s="955"/>
      <c r="AV208" s="955"/>
      <c r="AW208" s="465" t="s">
        <v>796</v>
      </c>
      <c r="AX208" s="317">
        <f t="shared" si="16"/>
        <v>0</v>
      </c>
      <c r="AY208" s="530"/>
      <c r="BA208" s="311"/>
    </row>
    <row r="209" spans="1:58" ht="17.25" customHeight="1" x14ac:dyDescent="0.25">
      <c r="A209" s="978" t="s">
        <v>66</v>
      </c>
      <c r="B209" s="979"/>
      <c r="C209" s="980"/>
      <c r="D209" s="981"/>
      <c r="E209" s="982"/>
      <c r="F209" s="17" t="s">
        <v>67</v>
      </c>
      <c r="G209" s="926">
        <f>COUNTIF($A$4:$M$42,F209)+COUNTIF($A$43:$O$81,F209)+COUNTIF($N$4:$T$19,F209)+COUNTIF($O$20:$S$23,F209)+COUNTIF($N$24:$Q$25,F209)+COUNTIF($N$26:$P$26,F209)+COUNTIF($P$42,F209)+COUNTIF($T$21:$T$22,F209)+COUNTIF($R$24,F209)+COUNTIF($N$27:$O$28,F209)</f>
        <v>0</v>
      </c>
      <c r="H209" s="927"/>
      <c r="I209" s="928"/>
      <c r="J209" s="354">
        <v>0</v>
      </c>
      <c r="K209" s="355">
        <v>0</v>
      </c>
      <c r="L209" s="356">
        <f t="shared" si="31"/>
        <v>0</v>
      </c>
      <c r="M209" s="268"/>
      <c r="N209" s="978" t="s">
        <v>66</v>
      </c>
      <c r="O209" s="979"/>
      <c r="P209" s="980"/>
      <c r="Q209" s="981"/>
      <c r="R209" s="982"/>
      <c r="S209" s="17" t="s">
        <v>67</v>
      </c>
      <c r="T209" s="929">
        <f>COUNTIF($T$23:$BI$73,S209)+COUNTIF($N$29:$S$39,S209)+COUNTIF($P$47:$S$68,S209)+COUNTIF($Q$40:$S$42,S209)+COUNTIF($P$27:$S$28,S209)+COUNTIF($R$25:$S$25,S209)+COUNTIF($S$24:$S$24,S209)</f>
        <v>0</v>
      </c>
      <c r="U209" s="929"/>
      <c r="V209" s="929"/>
      <c r="W209" s="354">
        <v>0</v>
      </c>
      <c r="X209" s="355">
        <v>0</v>
      </c>
      <c r="Y209" s="356">
        <f t="shared" si="32"/>
        <v>0</v>
      </c>
      <c r="Z209" s="357">
        <f t="shared" si="33"/>
        <v>0</v>
      </c>
      <c r="AA209" s="324"/>
      <c r="AC209" s="442" t="s">
        <v>797</v>
      </c>
      <c r="AD209" s="619" t="s">
        <v>798</v>
      </c>
      <c r="AE209" s="332">
        <f t="shared" si="9"/>
        <v>0</v>
      </c>
      <c r="AF209" s="333" t="str">
        <f t="shared" si="10"/>
        <v/>
      </c>
      <c r="AH209" s="308"/>
      <c r="AI209" s="914" t="s">
        <v>799</v>
      </c>
      <c r="AJ209" s="915"/>
      <c r="AK209" s="915"/>
      <c r="AL209" s="915"/>
      <c r="AM209" s="915"/>
      <c r="AN209" s="620" t="s">
        <v>800</v>
      </c>
      <c r="AO209" s="317">
        <f t="shared" si="30"/>
        <v>0</v>
      </c>
      <c r="AP209" s="614"/>
      <c r="AQ209" s="308"/>
      <c r="AR209" s="954" t="s">
        <v>801</v>
      </c>
      <c r="AS209" s="955"/>
      <c r="AT209" s="955"/>
      <c r="AU209" s="955"/>
      <c r="AV209" s="955"/>
      <c r="AW209" s="465" t="s">
        <v>802</v>
      </c>
      <c r="AX209" s="317">
        <f t="shared" si="16"/>
        <v>0</v>
      </c>
      <c r="AY209" s="530"/>
      <c r="BA209" s="311"/>
    </row>
    <row r="210" spans="1:58" ht="17.25" customHeight="1" x14ac:dyDescent="0.25">
      <c r="A210" s="976" t="s">
        <v>803</v>
      </c>
      <c r="B210" s="976"/>
      <c r="C210" s="976"/>
      <c r="D210" s="976"/>
      <c r="E210" s="976"/>
      <c r="F210" s="588"/>
      <c r="G210" s="977">
        <f t="shared" ref="G210:L210" si="34">SUM(G207:I209)</f>
        <v>0</v>
      </c>
      <c r="H210" s="977"/>
      <c r="I210" s="977"/>
      <c r="J210" s="603">
        <f t="shared" si="34"/>
        <v>0</v>
      </c>
      <c r="K210" s="604">
        <f t="shared" si="34"/>
        <v>0</v>
      </c>
      <c r="L210" s="356">
        <f t="shared" si="34"/>
        <v>0</v>
      </c>
      <c r="M210" s="268"/>
      <c r="N210" s="976" t="s">
        <v>803</v>
      </c>
      <c r="O210" s="976"/>
      <c r="P210" s="976"/>
      <c r="Q210" s="976"/>
      <c r="R210" s="976"/>
      <c r="S210" s="588"/>
      <c r="T210" s="977">
        <f t="shared" ref="T210" si="35">SUM(T207:V209)</f>
        <v>0</v>
      </c>
      <c r="U210" s="977"/>
      <c r="V210" s="977"/>
      <c r="W210" s="603">
        <f t="shared" ref="W210:X210" si="36">SUM(W207:Y209)</f>
        <v>0</v>
      </c>
      <c r="X210" s="604">
        <f t="shared" si="36"/>
        <v>0</v>
      </c>
      <c r="Y210" s="356">
        <f>SUM(Y203:AA205)</f>
        <v>0</v>
      </c>
      <c r="Z210" s="357">
        <f t="shared" si="33"/>
        <v>0</v>
      </c>
      <c r="AA210" s="324" t="b">
        <f>IFERROR(#REF!&gt;0.5,FALSE)</f>
        <v>0</v>
      </c>
      <c r="AC210" s="442" t="s">
        <v>804</v>
      </c>
      <c r="AD210" s="621" t="s">
        <v>805</v>
      </c>
      <c r="AE210" s="332">
        <f t="shared" si="9"/>
        <v>0</v>
      </c>
      <c r="AF210" s="333" t="str">
        <f t="shared" si="10"/>
        <v/>
      </c>
      <c r="AH210" s="308"/>
      <c r="AI210" s="914" t="s">
        <v>806</v>
      </c>
      <c r="AJ210" s="915"/>
      <c r="AK210" s="915"/>
      <c r="AL210" s="915"/>
      <c r="AM210" s="915"/>
      <c r="AN210" s="622" t="s">
        <v>807</v>
      </c>
      <c r="AO210" s="317">
        <f t="shared" si="30"/>
        <v>0</v>
      </c>
      <c r="AP210" s="614"/>
      <c r="AQ210" s="308"/>
      <c r="AR210" s="954" t="s">
        <v>808</v>
      </c>
      <c r="AS210" s="955"/>
      <c r="AT210" s="955"/>
      <c r="AU210" s="955"/>
      <c r="AV210" s="955"/>
      <c r="AW210" s="461" t="s">
        <v>152</v>
      </c>
      <c r="AX210" s="317">
        <f t="shared" si="16"/>
        <v>0</v>
      </c>
      <c r="AY210" s="530"/>
      <c r="BA210" s="311"/>
    </row>
    <row r="211" spans="1:58" ht="17.25" customHeight="1" x14ac:dyDescent="0.25">
      <c r="A211" s="587"/>
      <c r="B211" s="587"/>
      <c r="C211" s="587"/>
      <c r="D211" s="587"/>
      <c r="E211" s="587"/>
      <c r="F211" s="588"/>
      <c r="J211" s="589"/>
      <c r="K211" s="589"/>
      <c r="M211" s="268"/>
      <c r="N211" s="587"/>
      <c r="O211" s="587"/>
      <c r="P211" s="587"/>
      <c r="Q211" s="587"/>
      <c r="R211" s="587"/>
      <c r="S211" s="588"/>
      <c r="W211" s="589"/>
      <c r="X211" s="589"/>
      <c r="AA211" s="324"/>
      <c r="AC211" s="442" t="s">
        <v>809</v>
      </c>
      <c r="AD211" s="621" t="s">
        <v>809</v>
      </c>
      <c r="AE211" s="332">
        <f t="shared" si="9"/>
        <v>0</v>
      </c>
      <c r="AF211" s="333" t="str">
        <f t="shared" si="10"/>
        <v/>
      </c>
      <c r="AH211" s="308"/>
      <c r="AI211" s="914" t="s">
        <v>810</v>
      </c>
      <c r="AJ211" s="915"/>
      <c r="AK211" s="915"/>
      <c r="AL211" s="915"/>
      <c r="AM211" s="915"/>
      <c r="AN211" s="623" t="s">
        <v>811</v>
      </c>
      <c r="AO211" s="317">
        <f t="shared" si="30"/>
        <v>0</v>
      </c>
      <c r="AP211" s="614"/>
      <c r="AQ211" s="308"/>
      <c r="AR211" s="954" t="s">
        <v>812</v>
      </c>
      <c r="AS211" s="955"/>
      <c r="AT211" s="955"/>
      <c r="AU211" s="955"/>
      <c r="AV211" s="955"/>
      <c r="AW211" s="461" t="s">
        <v>813</v>
      </c>
      <c r="AX211" s="317">
        <f t="shared" si="16"/>
        <v>0</v>
      </c>
      <c r="AY211" s="530"/>
      <c r="BA211" s="311"/>
    </row>
    <row r="212" spans="1:58" ht="17.25" customHeight="1" x14ac:dyDescent="0.25">
      <c r="A212" s="587"/>
      <c r="B212" s="587"/>
      <c r="C212" s="587"/>
      <c r="D212" s="587"/>
      <c r="E212" s="587"/>
      <c r="F212" s="588"/>
      <c r="J212" s="589"/>
      <c r="K212" s="589"/>
      <c r="M212" s="268"/>
      <c r="N212" s="587"/>
      <c r="O212" s="587"/>
      <c r="P212" s="587"/>
      <c r="Q212" s="587"/>
      <c r="R212" s="587"/>
      <c r="S212" s="588"/>
      <c r="W212" s="589"/>
      <c r="X212" s="589"/>
      <c r="AA212" s="324"/>
      <c r="AC212" s="442" t="s">
        <v>361</v>
      </c>
      <c r="AD212" s="624" t="s">
        <v>814</v>
      </c>
      <c r="AE212" s="332">
        <f t="shared" si="9"/>
        <v>0</v>
      </c>
      <c r="AF212" s="333" t="str">
        <f t="shared" si="10"/>
        <v/>
      </c>
      <c r="AH212" s="308"/>
      <c r="AI212" s="914" t="s">
        <v>815</v>
      </c>
      <c r="AJ212" s="915"/>
      <c r="AK212" s="915"/>
      <c r="AL212" s="915"/>
      <c r="AM212" s="915"/>
      <c r="AN212" s="393" t="s">
        <v>816</v>
      </c>
      <c r="AO212" s="317">
        <f t="shared" si="30"/>
        <v>0</v>
      </c>
      <c r="AP212" s="614"/>
      <c r="AQ212" s="308"/>
      <c r="AR212" s="954" t="s">
        <v>817</v>
      </c>
      <c r="AS212" s="955"/>
      <c r="AT212" s="955"/>
      <c r="AU212" s="955"/>
      <c r="AV212" s="955"/>
      <c r="AW212" s="321" t="s">
        <v>154</v>
      </c>
      <c r="AX212" s="317">
        <f t="shared" si="16"/>
        <v>0</v>
      </c>
      <c r="AY212" s="530"/>
      <c r="BA212" s="311"/>
      <c r="BC212" s="625"/>
      <c r="BD212" s="625"/>
      <c r="BE212" s="625"/>
      <c r="BF212" s="625"/>
    </row>
    <row r="213" spans="1:58" ht="17.25" customHeight="1" x14ac:dyDescent="0.25">
      <c r="A213" s="988" t="s">
        <v>818</v>
      </c>
      <c r="B213" s="989"/>
      <c r="C213" s="989"/>
      <c r="D213" s="989"/>
      <c r="E213" s="990"/>
      <c r="F213" s="591"/>
      <c r="G213" s="986"/>
      <c r="H213" s="986"/>
      <c r="I213" s="987"/>
      <c r="J213" s="592" t="s">
        <v>351</v>
      </c>
      <c r="K213" s="593" t="s">
        <v>352</v>
      </c>
      <c r="L213" s="592" t="s">
        <v>353</v>
      </c>
      <c r="M213" s="268"/>
      <c r="N213" s="988" t="s">
        <v>818</v>
      </c>
      <c r="O213" s="989"/>
      <c r="P213" s="989"/>
      <c r="Q213" s="989"/>
      <c r="R213" s="990"/>
      <c r="S213" s="591"/>
      <c r="T213" s="986"/>
      <c r="U213" s="986"/>
      <c r="V213" s="987"/>
      <c r="W213" s="592" t="s">
        <v>351</v>
      </c>
      <c r="X213" s="593" t="s">
        <v>352</v>
      </c>
      <c r="Y213" s="592" t="s">
        <v>353</v>
      </c>
      <c r="AA213" s="324"/>
      <c r="AC213" s="442" t="s">
        <v>819</v>
      </c>
      <c r="AD213" s="32" t="s">
        <v>151</v>
      </c>
      <c r="AE213" s="332">
        <f t="shared" si="9"/>
        <v>0</v>
      </c>
      <c r="AF213" s="333" t="str">
        <f t="shared" si="10"/>
        <v/>
      </c>
      <c r="AH213" s="308"/>
      <c r="AI213" s="914" t="s">
        <v>820</v>
      </c>
      <c r="AJ213" s="915"/>
      <c r="AK213" s="915"/>
      <c r="AL213" s="915"/>
      <c r="AM213" s="915"/>
      <c r="AN213" s="321" t="s">
        <v>821</v>
      </c>
      <c r="AO213" s="317">
        <f t="shared" si="30"/>
        <v>0</v>
      </c>
      <c r="AP213" s="614"/>
      <c r="AQ213" s="308"/>
      <c r="AR213" s="954" t="s">
        <v>822</v>
      </c>
      <c r="AS213" s="955"/>
      <c r="AT213" s="955"/>
      <c r="AU213" s="955"/>
      <c r="AV213" s="955"/>
      <c r="AW213" s="626" t="s">
        <v>823</v>
      </c>
      <c r="AX213" s="317">
        <f t="shared" si="16"/>
        <v>0</v>
      </c>
      <c r="AY213" s="530"/>
      <c r="BA213" s="311"/>
      <c r="BC213" s="627"/>
      <c r="BD213" s="627"/>
      <c r="BE213" s="627"/>
      <c r="BF213" s="627"/>
    </row>
    <row r="214" spans="1:58" ht="17.25" customHeight="1" x14ac:dyDescent="0.25">
      <c r="A214" s="978" t="s">
        <v>127</v>
      </c>
      <c r="B214" s="979"/>
      <c r="C214" s="980"/>
      <c r="D214" s="981"/>
      <c r="E214" s="982"/>
      <c r="F214" s="18" t="s">
        <v>128</v>
      </c>
      <c r="G214" s="926">
        <f>COUNTIF($A$4:$M$42,F214)+COUNTIF($A$43:$O$81,F214)+COUNTIF($N$4:$T$19,F214)+COUNTIF($O$20:$S$23,F214)+COUNTIF($N$24:$Q$25,F214)+COUNTIF($N$26:$P$26,F214)+COUNTIF($P$42,F214)+COUNTIF($T$21:$T$22,F214)+COUNTIF($R$24,F214)+COUNTIF($N$27:$O$28,F214)</f>
        <v>0</v>
      </c>
      <c r="H214" s="927"/>
      <c r="I214" s="928"/>
      <c r="J214" s="354">
        <v>0</v>
      </c>
      <c r="K214" s="355">
        <v>0</v>
      </c>
      <c r="L214" s="356">
        <f t="shared" ref="L214:L217" si="37">G214-K214-J214</f>
        <v>0</v>
      </c>
      <c r="M214" s="268"/>
      <c r="N214" s="978" t="s">
        <v>127</v>
      </c>
      <c r="O214" s="979"/>
      <c r="P214" s="980"/>
      <c r="Q214" s="981"/>
      <c r="R214" s="982"/>
      <c r="S214" s="18" t="s">
        <v>128</v>
      </c>
      <c r="T214" s="929">
        <f>COUNTIF($T$23:$BI$73,S214)+COUNTIF($N$29:$S$39,S214)+COUNTIF($P$47:$S$68,S214)+COUNTIF($Q$40:$S$42,S214)+COUNTIF($P$27:$S$28,S214)+COUNTIF($R$25:$S$25,S214)+COUNTIF($S$24:$S$24,S214)</f>
        <v>0</v>
      </c>
      <c r="U214" s="929"/>
      <c r="V214" s="929"/>
      <c r="W214" s="354">
        <v>0</v>
      </c>
      <c r="X214" s="355">
        <v>0</v>
      </c>
      <c r="Y214" s="356">
        <f t="shared" ref="Y214:Y217" si="38">T214-X214-W214</f>
        <v>0</v>
      </c>
      <c r="Z214" s="357">
        <f t="shared" ref="Z214:Z218" si="39">T214+G214</f>
        <v>0</v>
      </c>
      <c r="AA214" s="324"/>
      <c r="AC214" s="442" t="s">
        <v>824</v>
      </c>
      <c r="AD214" s="628" t="s">
        <v>825</v>
      </c>
      <c r="AE214" s="332">
        <f t="shared" si="9"/>
        <v>0</v>
      </c>
      <c r="AF214" s="333" t="str">
        <f t="shared" si="10"/>
        <v/>
      </c>
      <c r="AH214" s="308"/>
      <c r="AI214" s="914" t="s">
        <v>826</v>
      </c>
      <c r="AJ214" s="915"/>
      <c r="AK214" s="915"/>
      <c r="AL214" s="915"/>
      <c r="AM214" s="915"/>
      <c r="AN214" s="461" t="s">
        <v>827</v>
      </c>
      <c r="AO214" s="317">
        <f t="shared" si="30"/>
        <v>0</v>
      </c>
      <c r="AP214" s="614"/>
      <c r="AQ214" s="308"/>
      <c r="AR214" s="954" t="s">
        <v>828</v>
      </c>
      <c r="AS214" s="955"/>
      <c r="AT214" s="955"/>
      <c r="AU214" s="955"/>
      <c r="AV214" s="955"/>
      <c r="AW214" s="629" t="s">
        <v>829</v>
      </c>
      <c r="AX214" s="317">
        <f t="shared" si="16"/>
        <v>0</v>
      </c>
      <c r="AY214" s="530"/>
      <c r="BA214" s="311"/>
      <c r="BC214" s="625"/>
      <c r="BD214" s="625"/>
      <c r="BE214" s="625"/>
      <c r="BF214" s="625"/>
    </row>
    <row r="215" spans="1:58" ht="17.25" customHeight="1" x14ac:dyDescent="0.25">
      <c r="A215" s="978" t="s">
        <v>129</v>
      </c>
      <c r="B215" s="979"/>
      <c r="C215" s="980"/>
      <c r="D215" s="981"/>
      <c r="E215" s="982"/>
      <c r="F215" s="19" t="s">
        <v>130</v>
      </c>
      <c r="G215" s="926">
        <f>COUNTIF($A$4:$M$42,F215)+COUNTIF($A$43:$O$81,F215)+COUNTIF($N$4:$T$19,F215)+COUNTIF($O$20:$S$23,F215)+COUNTIF($N$24:$Q$25,F215)+COUNTIF($N$26:$P$26,F215)+COUNTIF($P$42,F215)+COUNTIF($T$21:$T$22,F215)+COUNTIF($R$24,F215)+COUNTIF($N$27:$O$28,F215)</f>
        <v>0</v>
      </c>
      <c r="H215" s="927"/>
      <c r="I215" s="928"/>
      <c r="J215" s="354">
        <v>0</v>
      </c>
      <c r="K215" s="355">
        <v>0</v>
      </c>
      <c r="L215" s="356">
        <f t="shared" si="37"/>
        <v>0</v>
      </c>
      <c r="M215" s="268"/>
      <c r="N215" s="978" t="s">
        <v>129</v>
      </c>
      <c r="O215" s="979"/>
      <c r="P215" s="980"/>
      <c r="Q215" s="981"/>
      <c r="R215" s="982"/>
      <c r="S215" s="19" t="s">
        <v>130</v>
      </c>
      <c r="T215" s="929">
        <f>COUNTIF($T$23:$BI$73,S215)+COUNTIF($N$29:$S$39,S215)+COUNTIF($P$47:$S$68,S215)+COUNTIF($Q$40:$S$42,S215)+COUNTIF($P$27:$S$28,S215)+COUNTIF($R$25:$S$25,S215)+COUNTIF($S$24:$S$24,S215)</f>
        <v>0</v>
      </c>
      <c r="U215" s="929"/>
      <c r="V215" s="929"/>
      <c r="W215" s="354">
        <v>0</v>
      </c>
      <c r="X215" s="355">
        <v>0</v>
      </c>
      <c r="Y215" s="356">
        <f t="shared" si="38"/>
        <v>0</v>
      </c>
      <c r="Z215" s="357">
        <f t="shared" si="39"/>
        <v>0</v>
      </c>
      <c r="AA215" s="324"/>
      <c r="AC215" s="442" t="s">
        <v>830</v>
      </c>
      <c r="AD215" s="630" t="s">
        <v>831</v>
      </c>
      <c r="AE215" s="332">
        <f t="shared" si="9"/>
        <v>0</v>
      </c>
      <c r="AF215" s="333" t="str">
        <f t="shared" si="10"/>
        <v/>
      </c>
      <c r="AH215" s="308"/>
      <c r="AI215" s="914" t="s">
        <v>832</v>
      </c>
      <c r="AJ215" s="915"/>
      <c r="AK215" s="915"/>
      <c r="AL215" s="915"/>
      <c r="AM215" s="915"/>
      <c r="AN215" s="461" t="s">
        <v>5</v>
      </c>
      <c r="AO215" s="317">
        <f t="shared" si="30"/>
        <v>0</v>
      </c>
      <c r="AP215" s="614"/>
      <c r="AQ215" s="308"/>
      <c r="AR215" s="954" t="s">
        <v>833</v>
      </c>
      <c r="AS215" s="955"/>
      <c r="AT215" s="955"/>
      <c r="AU215" s="955"/>
      <c r="AV215" s="955"/>
      <c r="AW215" s="631" t="s">
        <v>834</v>
      </c>
      <c r="AX215" s="317">
        <f t="shared" si="16"/>
        <v>0</v>
      </c>
      <c r="AY215" s="530"/>
      <c r="BA215" s="311"/>
      <c r="BC215" s="632"/>
      <c r="BD215" s="632"/>
      <c r="BE215" s="632"/>
      <c r="BF215" s="632"/>
    </row>
    <row r="216" spans="1:58" ht="17.25" customHeight="1" x14ac:dyDescent="0.25">
      <c r="A216" s="978" t="s">
        <v>131</v>
      </c>
      <c r="B216" s="979"/>
      <c r="C216" s="980"/>
      <c r="D216" s="981"/>
      <c r="E216" s="982"/>
      <c r="F216" s="20" t="s">
        <v>120</v>
      </c>
      <c r="G216" s="926">
        <f>COUNTIF($A$4:$M$42,F216)+COUNTIF($A$43:$O$81,F216)+COUNTIF($N$4:$T$19,F216)+COUNTIF($O$20:$S$23,F216)+COUNTIF($N$24:$Q$25,F216)+COUNTIF($N$26:$P$26,F216)+COUNTIF($P$42,F216)+COUNTIF($T$21:$T$22,F216)+COUNTIF($R$24,F216)+COUNTIF($N$27:$O$28,F216)</f>
        <v>0</v>
      </c>
      <c r="H216" s="927"/>
      <c r="I216" s="928"/>
      <c r="J216" s="354">
        <v>0</v>
      </c>
      <c r="K216" s="355">
        <v>0</v>
      </c>
      <c r="L216" s="356">
        <f t="shared" si="37"/>
        <v>0</v>
      </c>
      <c r="M216" s="268"/>
      <c r="N216" s="978" t="s">
        <v>131</v>
      </c>
      <c r="O216" s="979"/>
      <c r="P216" s="980"/>
      <c r="Q216" s="981"/>
      <c r="R216" s="982"/>
      <c r="S216" s="20" t="s">
        <v>120</v>
      </c>
      <c r="T216" s="929">
        <f>COUNTIF($T$23:$BI$73,S216)+COUNTIF($N$29:$S$39,S216)+COUNTIF($P$47:$S$68,S216)+COUNTIF($Q$40:$S$42,S216)+COUNTIF($P$27:$S$28,S216)+COUNTIF($R$25:$S$25,S216)+COUNTIF($S$24:$S$24,S216)</f>
        <v>0</v>
      </c>
      <c r="U216" s="929"/>
      <c r="V216" s="929"/>
      <c r="W216" s="354">
        <v>0</v>
      </c>
      <c r="X216" s="355">
        <v>0</v>
      </c>
      <c r="Y216" s="356">
        <f t="shared" si="38"/>
        <v>0</v>
      </c>
      <c r="Z216" s="357">
        <f t="shared" si="39"/>
        <v>0</v>
      </c>
      <c r="AA216" s="324"/>
      <c r="AC216" s="442" t="s">
        <v>835</v>
      </c>
      <c r="AD216" s="630" t="s">
        <v>836</v>
      </c>
      <c r="AE216" s="332">
        <f t="shared" ref="AE216:AE224" si="40">COUNTIF($A$1:$GO$103,AD216)</f>
        <v>0</v>
      </c>
      <c r="AF216" s="333" t="str">
        <f t="shared" si="10"/>
        <v/>
      </c>
      <c r="AH216" s="308"/>
      <c r="AI216" s="914" t="s">
        <v>837</v>
      </c>
      <c r="AJ216" s="915"/>
      <c r="AK216" s="915"/>
      <c r="AL216" s="915"/>
      <c r="AM216" s="915"/>
      <c r="AN216" s="633" t="s">
        <v>838</v>
      </c>
      <c r="AO216" s="317">
        <f t="shared" si="30"/>
        <v>0</v>
      </c>
      <c r="AP216" s="614"/>
      <c r="AQ216" s="308"/>
      <c r="AR216" s="954" t="s">
        <v>839</v>
      </c>
      <c r="AS216" s="955"/>
      <c r="AT216" s="955"/>
      <c r="AU216" s="955"/>
      <c r="AV216" s="955"/>
      <c r="AW216" s="631" t="s">
        <v>840</v>
      </c>
      <c r="AX216" s="317">
        <f t="shared" si="16"/>
        <v>0</v>
      </c>
      <c r="AY216" s="530"/>
      <c r="BA216" s="311"/>
    </row>
    <row r="217" spans="1:58" ht="17.25" customHeight="1" x14ac:dyDescent="0.25">
      <c r="A217" s="978" t="s">
        <v>132</v>
      </c>
      <c r="B217" s="979"/>
      <c r="C217" s="980"/>
      <c r="D217" s="981"/>
      <c r="E217" s="982"/>
      <c r="F217" s="21" t="s">
        <v>121</v>
      </c>
      <c r="G217" s="926">
        <f>COUNTIF($A$4:$M$42,F217)+COUNTIF($A$43:$O$81,F217)+COUNTIF($N$4:$T$19,F217)+COUNTIF($O$20:$S$23,F217)+COUNTIF($N$24:$Q$25,F217)+COUNTIF($N$26:$P$26,F217)+COUNTIF($P$42,F217)+COUNTIF($T$21:$T$22,F217)+COUNTIF($R$24,F217)+COUNTIF($N$27:$O$28,F217)</f>
        <v>0</v>
      </c>
      <c r="H217" s="927"/>
      <c r="I217" s="928"/>
      <c r="J217" s="354">
        <v>0</v>
      </c>
      <c r="K217" s="355">
        <v>0</v>
      </c>
      <c r="L217" s="356">
        <f t="shared" si="37"/>
        <v>0</v>
      </c>
      <c r="M217" s="268"/>
      <c r="N217" s="978" t="s">
        <v>132</v>
      </c>
      <c r="O217" s="979"/>
      <c r="P217" s="980"/>
      <c r="Q217" s="981"/>
      <c r="R217" s="982"/>
      <c r="S217" s="21" t="s">
        <v>121</v>
      </c>
      <c r="T217" s="929">
        <f>COUNTIF($T$23:$BI$73,S217)+COUNTIF($N$29:$S$39,S217)+COUNTIF($P$47:$S$68,S217)+COUNTIF($Q$40:$S$42,S217)+COUNTIF($P$27:$S$28,S217)+COUNTIF($R$25:$S$25,S217)+COUNTIF($S$24:$S$24,S217)</f>
        <v>0</v>
      </c>
      <c r="U217" s="929"/>
      <c r="V217" s="929"/>
      <c r="W217" s="354">
        <v>0</v>
      </c>
      <c r="X217" s="355">
        <v>0</v>
      </c>
      <c r="Y217" s="356">
        <f t="shared" si="38"/>
        <v>0</v>
      </c>
      <c r="Z217" s="357">
        <f t="shared" si="39"/>
        <v>0</v>
      </c>
      <c r="AA217" s="324"/>
      <c r="AC217" s="442" t="s">
        <v>841</v>
      </c>
      <c r="AD217" s="634" t="s">
        <v>842</v>
      </c>
      <c r="AE217" s="332">
        <f t="shared" si="40"/>
        <v>0</v>
      </c>
      <c r="AF217" s="333" t="str">
        <f t="shared" ref="AF217:AF224" si="41">IFERROR(AE217/$J$4,"")</f>
        <v/>
      </c>
      <c r="AH217" s="308"/>
      <c r="AI217" s="914" t="s">
        <v>843</v>
      </c>
      <c r="AJ217" s="915"/>
      <c r="AK217" s="915"/>
      <c r="AL217" s="915"/>
      <c r="AM217" s="915"/>
      <c r="AN217" s="335" t="s">
        <v>844</v>
      </c>
      <c r="AO217" s="317">
        <f t="shared" si="30"/>
        <v>0</v>
      </c>
      <c r="AP217" s="614"/>
      <c r="AQ217" s="308"/>
      <c r="AR217" s="954" t="s">
        <v>845</v>
      </c>
      <c r="AS217" s="955"/>
      <c r="AT217" s="955"/>
      <c r="AU217" s="955"/>
      <c r="AV217" s="955"/>
      <c r="AW217" s="635" t="s">
        <v>846</v>
      </c>
      <c r="AX217" s="317">
        <f t="shared" si="16"/>
        <v>0</v>
      </c>
      <c r="AY217" s="530"/>
      <c r="BA217" s="311"/>
      <c r="BC217" s="625"/>
      <c r="BD217" s="625"/>
      <c r="BE217" s="625"/>
      <c r="BF217" s="625"/>
    </row>
    <row r="218" spans="1:58" ht="17.25" customHeight="1" x14ac:dyDescent="0.25">
      <c r="A218" s="976" t="s">
        <v>847</v>
      </c>
      <c r="B218" s="976"/>
      <c r="C218" s="976"/>
      <c r="D218" s="976"/>
      <c r="E218" s="976"/>
      <c r="F218" s="588"/>
      <c r="G218" s="977">
        <f>SUM(G214:I217)</f>
        <v>0</v>
      </c>
      <c r="H218" s="977"/>
      <c r="I218" s="977"/>
      <c r="J218" s="603">
        <f t="shared" ref="J218:L218" si="42">SUM(J214:J217)</f>
        <v>0</v>
      </c>
      <c r="K218" s="604">
        <f t="shared" si="42"/>
        <v>0</v>
      </c>
      <c r="L218" s="605">
        <f t="shared" si="42"/>
        <v>0</v>
      </c>
      <c r="M218" s="268"/>
      <c r="N218" s="976" t="s">
        <v>847</v>
      </c>
      <c r="O218" s="976"/>
      <c r="P218" s="976"/>
      <c r="Q218" s="976"/>
      <c r="R218" s="976"/>
      <c r="S218" s="588"/>
      <c r="T218" s="977">
        <f>SUM(T214:V217)</f>
        <v>0</v>
      </c>
      <c r="U218" s="977"/>
      <c r="V218" s="977"/>
      <c r="W218" s="603">
        <f t="shared" ref="W218:Y218" si="43">SUM(W214:W217)</f>
        <v>0</v>
      </c>
      <c r="X218" s="604">
        <f t="shared" si="43"/>
        <v>0</v>
      </c>
      <c r="Y218" s="605">
        <f t="shared" si="43"/>
        <v>0</v>
      </c>
      <c r="Z218" s="357">
        <f t="shared" si="39"/>
        <v>0</v>
      </c>
      <c r="AA218" s="324"/>
      <c r="AC218" s="442" t="s">
        <v>848</v>
      </c>
      <c r="AD218" s="611" t="s">
        <v>849</v>
      </c>
      <c r="AE218" s="332">
        <f t="shared" si="40"/>
        <v>0</v>
      </c>
      <c r="AF218" s="333" t="str">
        <f t="shared" si="41"/>
        <v/>
      </c>
      <c r="AI218" s="914" t="s">
        <v>850</v>
      </c>
      <c r="AJ218" s="915"/>
      <c r="AK218" s="915"/>
      <c r="AL218" s="915"/>
      <c r="AM218" s="915"/>
      <c r="AN218" s="412" t="s">
        <v>851</v>
      </c>
      <c r="AO218" s="317">
        <f t="shared" si="30"/>
        <v>0</v>
      </c>
      <c r="AP218" s="614"/>
      <c r="AQ218" s="308"/>
      <c r="AR218" s="954" t="s">
        <v>852</v>
      </c>
      <c r="AS218" s="955"/>
      <c r="AT218" s="955"/>
      <c r="AU218" s="955"/>
      <c r="AV218" s="955"/>
      <c r="AW218" s="636" t="s">
        <v>853</v>
      </c>
      <c r="AX218" s="317">
        <f t="shared" si="16"/>
        <v>0</v>
      </c>
      <c r="AY218" s="530"/>
      <c r="BA218" s="311"/>
      <c r="BC218" s="627"/>
      <c r="BD218" s="627"/>
      <c r="BE218" s="627"/>
      <c r="BF218" s="627"/>
    </row>
    <row r="219" spans="1:58" ht="17.25" customHeight="1" x14ac:dyDescent="0.25">
      <c r="A219" s="587"/>
      <c r="B219" s="587"/>
      <c r="C219" s="587"/>
      <c r="D219" s="587"/>
      <c r="E219" s="587"/>
      <c r="F219" s="588"/>
      <c r="J219" s="589"/>
      <c r="K219" s="589"/>
      <c r="M219" s="268"/>
      <c r="N219" s="587"/>
      <c r="O219" s="587"/>
      <c r="P219" s="587"/>
      <c r="Q219" s="587"/>
      <c r="R219" s="587"/>
      <c r="S219" s="588"/>
      <c r="W219" s="589"/>
      <c r="X219" s="589"/>
      <c r="AA219" s="324"/>
      <c r="AC219" s="442" t="s">
        <v>854</v>
      </c>
      <c r="AD219" s="628" t="s">
        <v>855</v>
      </c>
      <c r="AE219" s="332">
        <f t="shared" si="40"/>
        <v>0</v>
      </c>
      <c r="AF219" s="333" t="str">
        <f t="shared" si="41"/>
        <v/>
      </c>
      <c r="AI219" s="914" t="s">
        <v>856</v>
      </c>
      <c r="AJ219" s="915"/>
      <c r="AK219" s="915"/>
      <c r="AL219" s="915"/>
      <c r="AM219" s="915"/>
      <c r="AN219" s="469" t="s">
        <v>857</v>
      </c>
      <c r="AO219" s="317">
        <f t="shared" si="30"/>
        <v>0</v>
      </c>
      <c r="AP219" s="614"/>
      <c r="AQ219" s="308"/>
      <c r="AR219" s="954" t="s">
        <v>858</v>
      </c>
      <c r="AS219" s="955"/>
      <c r="AT219" s="955"/>
      <c r="AU219" s="955"/>
      <c r="AV219" s="955"/>
      <c r="AW219" s="637" t="s">
        <v>859</v>
      </c>
      <c r="AX219" s="317">
        <f t="shared" si="16"/>
        <v>0</v>
      </c>
      <c r="AY219" s="530"/>
      <c r="BA219" s="311"/>
      <c r="BC219" s="625"/>
      <c r="BD219" s="625"/>
      <c r="BE219" s="625"/>
      <c r="BF219" s="625"/>
    </row>
    <row r="220" spans="1:58" ht="17.25" customHeight="1" x14ac:dyDescent="0.25">
      <c r="A220" s="587"/>
      <c r="B220" s="587"/>
      <c r="C220" s="587"/>
      <c r="D220" s="587"/>
      <c r="E220" s="587"/>
      <c r="F220" s="588"/>
      <c r="J220" s="589"/>
      <c r="K220" s="589"/>
      <c r="M220" s="268"/>
      <c r="N220" s="587"/>
      <c r="O220" s="587"/>
      <c r="P220" s="587"/>
      <c r="Q220" s="587"/>
      <c r="R220" s="587"/>
      <c r="S220" s="588"/>
      <c r="W220" s="589"/>
      <c r="X220" s="589"/>
      <c r="AA220" s="324"/>
      <c r="AC220" s="442" t="s">
        <v>860</v>
      </c>
      <c r="AD220" s="638" t="s">
        <v>861</v>
      </c>
      <c r="AE220" s="332">
        <f t="shared" si="40"/>
        <v>0</v>
      </c>
      <c r="AF220" s="333" t="str">
        <f t="shared" si="41"/>
        <v/>
      </c>
      <c r="AI220" s="914" t="s">
        <v>862</v>
      </c>
      <c r="AJ220" s="915"/>
      <c r="AK220" s="915"/>
      <c r="AL220" s="915"/>
      <c r="AM220" s="915"/>
      <c r="AN220" s="465" t="s">
        <v>863</v>
      </c>
      <c r="AO220" s="317">
        <f t="shared" si="30"/>
        <v>0</v>
      </c>
      <c r="AP220" s="614"/>
      <c r="AQ220" s="308"/>
      <c r="AR220" s="954" t="s">
        <v>864</v>
      </c>
      <c r="AS220" s="955"/>
      <c r="AT220" s="955"/>
      <c r="AU220" s="955"/>
      <c r="AV220" s="955"/>
      <c r="AW220" s="639" t="s">
        <v>865</v>
      </c>
      <c r="AX220" s="317">
        <f t="shared" si="16"/>
        <v>0</v>
      </c>
      <c r="AY220" s="530"/>
      <c r="BA220" s="311"/>
      <c r="BC220" s="632"/>
      <c r="BD220" s="632"/>
      <c r="BE220" s="632"/>
      <c r="BF220" s="632"/>
    </row>
    <row r="221" spans="1:58" ht="17.25" customHeight="1" x14ac:dyDescent="0.25">
      <c r="A221" s="983" t="s">
        <v>866</v>
      </c>
      <c r="B221" s="984"/>
      <c r="C221" s="984"/>
      <c r="D221" s="984"/>
      <c r="E221" s="985"/>
      <c r="F221" s="591"/>
      <c r="G221" s="986"/>
      <c r="H221" s="986"/>
      <c r="I221" s="987"/>
      <c r="J221" s="592" t="s">
        <v>351</v>
      </c>
      <c r="K221" s="593" t="s">
        <v>352</v>
      </c>
      <c r="L221" s="592" t="s">
        <v>353</v>
      </c>
      <c r="M221" s="268"/>
      <c r="N221" s="983" t="s">
        <v>866</v>
      </c>
      <c r="O221" s="984"/>
      <c r="P221" s="984"/>
      <c r="Q221" s="984"/>
      <c r="R221" s="985"/>
      <c r="S221" s="591"/>
      <c r="T221" s="986"/>
      <c r="U221" s="986"/>
      <c r="V221" s="987"/>
      <c r="W221" s="592" t="s">
        <v>351</v>
      </c>
      <c r="X221" s="593" t="s">
        <v>352</v>
      </c>
      <c r="Y221" s="592" t="s">
        <v>353</v>
      </c>
      <c r="AA221" s="324"/>
      <c r="AC221" s="442" t="s">
        <v>867</v>
      </c>
      <c r="AD221" s="640" t="s">
        <v>867</v>
      </c>
      <c r="AE221" s="332">
        <f t="shared" si="40"/>
        <v>0</v>
      </c>
      <c r="AF221" s="333" t="str">
        <f t="shared" si="41"/>
        <v/>
      </c>
      <c r="AI221" s="914" t="s">
        <v>868</v>
      </c>
      <c r="AJ221" s="915"/>
      <c r="AK221" s="915"/>
      <c r="AL221" s="915"/>
      <c r="AM221" s="915"/>
      <c r="AN221" s="478" t="s">
        <v>869</v>
      </c>
      <c r="AO221" s="317">
        <f t="shared" si="30"/>
        <v>0</v>
      </c>
      <c r="AP221" s="614"/>
      <c r="AQ221" s="308"/>
      <c r="AR221" s="954" t="s">
        <v>870</v>
      </c>
      <c r="AS221" s="955"/>
      <c r="AT221" s="955"/>
      <c r="AU221" s="955"/>
      <c r="AV221" s="955"/>
      <c r="AW221" s="641" t="s">
        <v>871</v>
      </c>
      <c r="AX221" s="317">
        <f t="shared" si="16"/>
        <v>0</v>
      </c>
      <c r="AY221" s="530"/>
      <c r="BA221" s="311"/>
    </row>
    <row r="222" spans="1:58" ht="17.25" customHeight="1" x14ac:dyDescent="0.25">
      <c r="A222" s="978" t="s">
        <v>58</v>
      </c>
      <c r="B222" s="979"/>
      <c r="C222" s="980"/>
      <c r="D222" s="981"/>
      <c r="E222" s="982"/>
      <c r="F222" s="7" t="s">
        <v>59</v>
      </c>
      <c r="G222" s="926">
        <f>COUNTIF($A$4:$M$42,F222)+COUNTIF($A$43:$O$81,F222)+COUNTIF($N$4:$T$19,F222)+COUNTIF($O$20:$S$23,F222)+COUNTIF($N$24:$Q$25,F222)+COUNTIF($N$26:$P$26,F222)+COUNTIF($P$42,F222)+COUNTIF($T$21:$T$22,F222)+COUNTIF($R$24,F222)+COUNTIF($N$27:$O$28,F222)</f>
        <v>0</v>
      </c>
      <c r="H222" s="927"/>
      <c r="I222" s="928"/>
      <c r="J222" s="354">
        <v>0</v>
      </c>
      <c r="K222" s="355">
        <v>0</v>
      </c>
      <c r="L222" s="356">
        <f t="shared" ref="L222:L224" si="44">G222-K222-J222</f>
        <v>0</v>
      </c>
      <c r="M222" s="268"/>
      <c r="N222" s="978" t="s">
        <v>58</v>
      </c>
      <c r="O222" s="979"/>
      <c r="P222" s="980"/>
      <c r="Q222" s="981"/>
      <c r="R222" s="982"/>
      <c r="S222" s="7" t="s">
        <v>59</v>
      </c>
      <c r="T222" s="929">
        <f>COUNTIF($T$23:$BI$73,S222)+COUNTIF($N$29:$S$39,S222)+COUNTIF($P$47:$S$68,S222)+COUNTIF($Q$40:$S$42,S222)+COUNTIF($P$27:$S$28,S222)+COUNTIF($R$25:$S$25,S222)+COUNTIF($S$24:$S$24,S222)</f>
        <v>0</v>
      </c>
      <c r="U222" s="929"/>
      <c r="V222" s="929"/>
      <c r="W222" s="354">
        <v>0</v>
      </c>
      <c r="X222" s="355">
        <v>0</v>
      </c>
      <c r="Y222" s="356">
        <f t="shared" ref="Y222:Y224" si="45">T222-X222-W222</f>
        <v>0</v>
      </c>
      <c r="Z222" s="357">
        <f t="shared" ref="Z222:Z225" si="46">T222+G222</f>
        <v>0</v>
      </c>
      <c r="AA222" s="324"/>
      <c r="AC222" s="442" t="s">
        <v>872</v>
      </c>
      <c r="AD222" s="379" t="s">
        <v>195</v>
      </c>
      <c r="AE222" s="332">
        <f t="shared" si="40"/>
        <v>0</v>
      </c>
      <c r="AF222" s="333" t="str">
        <f t="shared" si="41"/>
        <v/>
      </c>
      <c r="AI222" s="914" t="s">
        <v>873</v>
      </c>
      <c r="AJ222" s="915"/>
      <c r="AK222" s="915"/>
      <c r="AL222" s="915"/>
      <c r="AM222" s="915"/>
      <c r="AN222" s="626" t="s">
        <v>874</v>
      </c>
      <c r="AO222" s="317">
        <f t="shared" si="30"/>
        <v>0</v>
      </c>
      <c r="AP222" s="614"/>
      <c r="AQ222" s="308"/>
      <c r="AR222" s="954" t="s">
        <v>875</v>
      </c>
      <c r="AS222" s="955"/>
      <c r="AT222" s="955"/>
      <c r="AU222" s="955"/>
      <c r="AV222" s="955"/>
      <c r="AW222" s="478" t="s">
        <v>876</v>
      </c>
      <c r="AX222" s="317">
        <f t="shared" si="16"/>
        <v>0</v>
      </c>
      <c r="AY222" s="530"/>
      <c r="BA222" s="311"/>
      <c r="BC222" s="625"/>
      <c r="BD222" s="625"/>
      <c r="BE222" s="625"/>
      <c r="BF222" s="625"/>
    </row>
    <row r="223" spans="1:58" ht="17.25" customHeight="1" x14ac:dyDescent="0.25">
      <c r="A223" s="978" t="s">
        <v>60</v>
      </c>
      <c r="B223" s="979"/>
      <c r="C223" s="980"/>
      <c r="D223" s="981"/>
      <c r="E223" s="982"/>
      <c r="F223" s="8" t="s">
        <v>61</v>
      </c>
      <c r="G223" s="926">
        <f>COUNTIF($A$4:$M$42,F223)+COUNTIF($A$43:$O$81,F223)+COUNTIF($N$4:$T$19,F223)+COUNTIF($O$20:$S$23,F223)+COUNTIF($N$24:$Q$25,F223)+COUNTIF($N$26:$P$26,F223)+COUNTIF($P$42,F223)+COUNTIF($T$21:$T$22,F223)+COUNTIF($R$24,F223)+COUNTIF($N$27:$O$28,F223)</f>
        <v>0</v>
      </c>
      <c r="H223" s="927"/>
      <c r="I223" s="928"/>
      <c r="J223" s="354">
        <v>0</v>
      </c>
      <c r="K223" s="355">
        <v>0</v>
      </c>
      <c r="L223" s="356">
        <f t="shared" si="44"/>
        <v>0</v>
      </c>
      <c r="M223" s="268"/>
      <c r="N223" s="978" t="s">
        <v>60</v>
      </c>
      <c r="O223" s="979"/>
      <c r="P223" s="980"/>
      <c r="Q223" s="981"/>
      <c r="R223" s="982"/>
      <c r="S223" s="8" t="s">
        <v>61</v>
      </c>
      <c r="T223" s="929">
        <f>COUNTIF($T$23:$BI$73,S223)+COUNTIF($N$29:$S$39,S223)+COUNTIF($P$47:$S$68,S223)+COUNTIF($Q$40:$S$42,S223)+COUNTIF($P$27:$S$28,S223)+COUNTIF($R$25:$S$25,S223)+COUNTIF($S$24:$S$24,S223)</f>
        <v>0</v>
      </c>
      <c r="U223" s="929"/>
      <c r="V223" s="929"/>
      <c r="W223" s="354">
        <v>0</v>
      </c>
      <c r="X223" s="355">
        <v>0</v>
      </c>
      <c r="Y223" s="356">
        <f t="shared" si="45"/>
        <v>0</v>
      </c>
      <c r="Z223" s="357">
        <f t="shared" si="46"/>
        <v>0</v>
      </c>
      <c r="AA223" s="324"/>
      <c r="AC223" s="442" t="s">
        <v>877</v>
      </c>
      <c r="AD223" s="563" t="s">
        <v>878</v>
      </c>
      <c r="AE223" s="332">
        <f t="shared" si="40"/>
        <v>0</v>
      </c>
      <c r="AF223" s="333" t="str">
        <f t="shared" si="41"/>
        <v/>
      </c>
      <c r="AI223" s="914" t="s">
        <v>879</v>
      </c>
      <c r="AJ223" s="915"/>
      <c r="AK223" s="915"/>
      <c r="AL223" s="915"/>
      <c r="AM223" s="915"/>
      <c r="AN223" s="642" t="s">
        <v>880</v>
      </c>
      <c r="AO223" s="317">
        <f t="shared" si="30"/>
        <v>0</v>
      </c>
      <c r="AP223" s="614"/>
      <c r="AQ223" s="308"/>
      <c r="AR223" s="954" t="s">
        <v>881</v>
      </c>
      <c r="AS223" s="955"/>
      <c r="AT223" s="955"/>
      <c r="AU223" s="955"/>
      <c r="AV223" s="955"/>
      <c r="AW223" s="643" t="s">
        <v>882</v>
      </c>
      <c r="AX223" s="317">
        <f t="shared" si="16"/>
        <v>0</v>
      </c>
      <c r="AY223" s="530"/>
      <c r="BA223" s="311"/>
      <c r="BC223" s="627"/>
      <c r="BD223" s="627"/>
      <c r="BE223" s="627"/>
      <c r="BF223" s="627"/>
    </row>
    <row r="224" spans="1:58" ht="17.25" customHeight="1" x14ac:dyDescent="0.25">
      <c r="A224" s="978" t="s">
        <v>62</v>
      </c>
      <c r="B224" s="979"/>
      <c r="C224" s="980"/>
      <c r="D224" s="981"/>
      <c r="E224" s="982"/>
      <c r="F224" s="9" t="s">
        <v>63</v>
      </c>
      <c r="G224" s="926">
        <f>COUNTIF($A$4:$M$42,F224)+COUNTIF($A$43:$O$81,F224)+COUNTIF($N$4:$T$19,F224)+COUNTIF($O$20:$S$23,F224)+COUNTIF($N$24:$Q$25,F224)+COUNTIF($N$26:$P$26,F224)+COUNTIF($P$42,F224)+COUNTIF($T$21:$T$22,F224)+COUNTIF($R$24,F224)+COUNTIF($N$27:$O$28,F224)</f>
        <v>0</v>
      </c>
      <c r="H224" s="927"/>
      <c r="I224" s="928"/>
      <c r="J224" s="354">
        <v>0</v>
      </c>
      <c r="K224" s="355">
        <v>0</v>
      </c>
      <c r="L224" s="356">
        <f t="shared" si="44"/>
        <v>0</v>
      </c>
      <c r="M224" s="268"/>
      <c r="N224" s="978" t="s">
        <v>62</v>
      </c>
      <c r="O224" s="979"/>
      <c r="P224" s="980"/>
      <c r="Q224" s="981"/>
      <c r="R224" s="982"/>
      <c r="S224" s="9" t="s">
        <v>63</v>
      </c>
      <c r="T224" s="929">
        <f>COUNTIF($T$23:$BI$73,S224)+COUNTIF($N$29:$S$39,S224)+COUNTIF($P$47:$S$68,S224)+COUNTIF($Q$40:$S$42,S224)+COUNTIF($P$27:$S$28,S224)+COUNTIF($R$25:$S$25,S224)+COUNTIF($S$24:$S$24,S224)</f>
        <v>0</v>
      </c>
      <c r="U224" s="929"/>
      <c r="V224" s="929"/>
      <c r="W224" s="354">
        <v>0</v>
      </c>
      <c r="X224" s="355">
        <v>0</v>
      </c>
      <c r="Y224" s="356">
        <f t="shared" si="45"/>
        <v>0</v>
      </c>
      <c r="Z224" s="357">
        <f t="shared" si="46"/>
        <v>0</v>
      </c>
      <c r="AA224" s="324"/>
      <c r="AC224" s="442" t="s">
        <v>883</v>
      </c>
      <c r="AD224" s="644" t="s">
        <v>884</v>
      </c>
      <c r="AE224" s="332">
        <f t="shared" si="40"/>
        <v>0</v>
      </c>
      <c r="AF224" s="333" t="str">
        <f t="shared" si="41"/>
        <v/>
      </c>
      <c r="AI224" s="914" t="s">
        <v>885</v>
      </c>
      <c r="AJ224" s="915"/>
      <c r="AK224" s="915"/>
      <c r="AL224" s="915"/>
      <c r="AM224" s="915"/>
      <c r="AN224" s="645" t="s">
        <v>886</v>
      </c>
      <c r="AO224" s="317">
        <f t="shared" si="30"/>
        <v>0</v>
      </c>
      <c r="AP224" s="614"/>
      <c r="AQ224" s="308"/>
      <c r="AR224" s="951" t="s">
        <v>887</v>
      </c>
      <c r="AS224" s="952"/>
      <c r="AT224" s="952"/>
      <c r="AU224" s="952"/>
      <c r="AV224" s="953"/>
      <c r="AW224" s="501"/>
      <c r="AX224" s="502">
        <f>SUM(AX170:AX223)</f>
        <v>0</v>
      </c>
      <c r="AY224" s="308"/>
      <c r="BA224" s="311"/>
      <c r="BC224" s="625"/>
      <c r="BD224" s="625"/>
      <c r="BE224" s="625"/>
      <c r="BF224" s="625"/>
    </row>
    <row r="225" spans="1:58" ht="17.25" customHeight="1" x14ac:dyDescent="0.25">
      <c r="A225" s="975" t="s">
        <v>888</v>
      </c>
      <c r="B225" s="976"/>
      <c r="C225" s="976"/>
      <c r="D225" s="976"/>
      <c r="E225" s="976"/>
      <c r="F225" s="588"/>
      <c r="G225" s="977">
        <f t="shared" ref="G225" si="47">SUM(G222:I224)</f>
        <v>0</v>
      </c>
      <c r="H225" s="977"/>
      <c r="I225" s="977"/>
      <c r="J225" s="603">
        <f t="shared" ref="J225:L225" si="48">SUM(J222:L224)</f>
        <v>0</v>
      </c>
      <c r="K225" s="604">
        <f t="shared" si="48"/>
        <v>0</v>
      </c>
      <c r="L225" s="356">
        <f t="shared" si="48"/>
        <v>0</v>
      </c>
      <c r="M225" s="268"/>
      <c r="N225" s="975" t="s">
        <v>888</v>
      </c>
      <c r="O225" s="976"/>
      <c r="P225" s="976"/>
      <c r="Q225" s="976"/>
      <c r="R225" s="976"/>
      <c r="S225" s="588"/>
      <c r="T225" s="977">
        <f t="shared" ref="T225" si="49">SUM(T222:V224)</f>
        <v>0</v>
      </c>
      <c r="U225" s="977"/>
      <c r="V225" s="977"/>
      <c r="W225" s="603">
        <f t="shared" ref="W225:X225" si="50">SUM(W222:Y224)</f>
        <v>0</v>
      </c>
      <c r="X225" s="604">
        <f t="shared" si="50"/>
        <v>0</v>
      </c>
      <c r="Y225" s="356">
        <f>SUM(Y218:AA220)</f>
        <v>0</v>
      </c>
      <c r="Z225" s="357">
        <f t="shared" si="46"/>
        <v>0</v>
      </c>
      <c r="AA225" s="324"/>
      <c r="AI225" s="914" t="s">
        <v>889</v>
      </c>
      <c r="AJ225" s="915"/>
      <c r="AK225" s="915"/>
      <c r="AL225" s="915"/>
      <c r="AM225" s="915"/>
      <c r="AN225" s="565" t="s">
        <v>890</v>
      </c>
      <c r="AO225" s="317">
        <f t="shared" si="30"/>
        <v>0</v>
      </c>
      <c r="AP225" s="614"/>
      <c r="AQ225" s="308"/>
      <c r="AR225" s="308"/>
      <c r="AS225" s="308"/>
      <c r="AT225" s="308"/>
      <c r="AU225" s="308"/>
      <c r="AV225" s="308"/>
      <c r="AW225" s="308"/>
      <c r="AX225" s="308"/>
      <c r="AY225" s="308"/>
      <c r="BA225" s="311"/>
      <c r="BC225" s="632"/>
      <c r="BD225" s="632"/>
      <c r="BE225" s="632"/>
      <c r="BF225" s="632"/>
    </row>
    <row r="226" spans="1:58" ht="17.25" customHeight="1" x14ac:dyDescent="0.25">
      <c r="M226" s="268"/>
      <c r="AA226" s="324"/>
      <c r="AI226" s="914" t="s">
        <v>891</v>
      </c>
      <c r="AJ226" s="915"/>
      <c r="AK226" s="915"/>
      <c r="AL226" s="915"/>
      <c r="AM226" s="915"/>
      <c r="AN226" s="646" t="s">
        <v>892</v>
      </c>
      <c r="AO226" s="317">
        <f t="shared" si="30"/>
        <v>0</v>
      </c>
      <c r="AP226" s="614"/>
      <c r="AQ226" s="308"/>
      <c r="AR226" s="907" t="s">
        <v>397</v>
      </c>
      <c r="AS226" s="908"/>
      <c r="AT226" s="908"/>
      <c r="AU226" s="908"/>
      <c r="AV226" s="908"/>
      <c r="AW226" s="904"/>
      <c r="AX226" s="309" t="s">
        <v>299</v>
      </c>
      <c r="AY226" s="310"/>
      <c r="BA226" s="311"/>
    </row>
    <row r="227" spans="1:58" ht="17.25" customHeight="1" x14ac:dyDescent="0.25">
      <c r="M227" s="268"/>
      <c r="AA227" s="324"/>
      <c r="AI227" s="914" t="s">
        <v>893</v>
      </c>
      <c r="AJ227" s="915"/>
      <c r="AK227" s="915"/>
      <c r="AL227" s="915"/>
      <c r="AM227" s="915"/>
      <c r="AN227" s="646" t="s">
        <v>894</v>
      </c>
      <c r="AO227" s="317">
        <f t="shared" si="30"/>
        <v>0</v>
      </c>
      <c r="AP227" s="614"/>
      <c r="AQ227" s="308"/>
      <c r="AR227" s="954" t="s">
        <v>895</v>
      </c>
      <c r="AS227" s="955"/>
      <c r="AT227" s="955"/>
      <c r="AU227" s="955"/>
      <c r="AV227" s="955"/>
      <c r="AW227" s="647" t="s">
        <v>896</v>
      </c>
      <c r="AX227" s="317">
        <f t="shared" ref="AX227:AX264" si="51">COUNTIF($A$1:$GO$103,AW227)</f>
        <v>0</v>
      </c>
      <c r="AY227" s="648"/>
      <c r="BA227" s="311"/>
      <c r="BC227" s="625"/>
      <c r="BD227" s="625"/>
      <c r="BE227" s="625"/>
      <c r="BF227" s="625"/>
    </row>
    <row r="228" spans="1:58" ht="17.25" customHeight="1" x14ac:dyDescent="0.25">
      <c r="A228" s="972" t="s">
        <v>897</v>
      </c>
      <c r="B228" s="973"/>
      <c r="C228" s="973"/>
      <c r="D228" s="973"/>
      <c r="E228" s="973"/>
      <c r="F228" s="441"/>
      <c r="G228" s="974">
        <f>G195+G152+G176+G225+G218+G210+G203+G172</f>
        <v>0</v>
      </c>
      <c r="H228" s="974"/>
      <c r="I228" s="974"/>
      <c r="J228" s="649">
        <f>J195+J152+J176+J225+J218+J210+J203+J172</f>
        <v>0</v>
      </c>
      <c r="K228" s="440">
        <f>K195+K152+K176+K225+K218+K210+K203+K172</f>
        <v>0</v>
      </c>
      <c r="L228" s="356">
        <f>L195+L152+L176+L225+L218+L210+L203+L172</f>
        <v>0</v>
      </c>
      <c r="M228" s="324"/>
      <c r="N228" s="972" t="s">
        <v>897</v>
      </c>
      <c r="O228" s="973"/>
      <c r="P228" s="973"/>
      <c r="Q228" s="973"/>
      <c r="R228" s="973"/>
      <c r="S228" s="441"/>
      <c r="T228" s="974">
        <f>T195+T152+T176+T225+T218+T210+T203+T172</f>
        <v>0</v>
      </c>
      <c r="U228" s="974"/>
      <c r="V228" s="974"/>
      <c r="W228" s="649">
        <f>W195+W152+W176+W225+W218+W210+W203+W172</f>
        <v>0</v>
      </c>
      <c r="X228" s="440">
        <f>X195+X152+X176+X225+X218+X210+X203+X172</f>
        <v>0</v>
      </c>
      <c r="Y228" s="356">
        <f>Y195+Y152+Y176+Y225+Y218+Y210+Y203+Y172</f>
        <v>0</v>
      </c>
      <c r="Z228" s="357">
        <f>T228+G228</f>
        <v>0</v>
      </c>
      <c r="AA228" s="324"/>
      <c r="AI228" s="914" t="s">
        <v>898</v>
      </c>
      <c r="AJ228" s="915"/>
      <c r="AK228" s="915"/>
      <c r="AL228" s="915"/>
      <c r="AM228" s="915"/>
      <c r="AN228" s="650" t="s">
        <v>899</v>
      </c>
      <c r="AO228" s="317">
        <f t="shared" si="30"/>
        <v>0</v>
      </c>
      <c r="AP228" s="614"/>
      <c r="AQ228" s="308"/>
      <c r="AR228" s="954" t="s">
        <v>900</v>
      </c>
      <c r="AS228" s="955"/>
      <c r="AT228" s="955"/>
      <c r="AU228" s="955"/>
      <c r="AV228" s="955"/>
      <c r="AW228" s="412" t="s">
        <v>901</v>
      </c>
      <c r="AX228" s="317">
        <f t="shared" si="51"/>
        <v>0</v>
      </c>
      <c r="AY228" s="648"/>
      <c r="BA228" s="311"/>
      <c r="BC228" s="625"/>
      <c r="BD228" s="625"/>
      <c r="BE228" s="625"/>
      <c r="BF228" s="625"/>
    </row>
    <row r="229" spans="1:58" ht="17.25" customHeight="1" x14ac:dyDescent="0.25">
      <c r="M229" s="268"/>
      <c r="AA229" s="324"/>
      <c r="AI229" s="914" t="s">
        <v>902</v>
      </c>
      <c r="AJ229" s="915"/>
      <c r="AK229" s="915"/>
      <c r="AL229" s="915"/>
      <c r="AM229" s="915"/>
      <c r="AN229" s="651" t="s">
        <v>903</v>
      </c>
      <c r="AO229" s="317">
        <f t="shared" si="30"/>
        <v>0</v>
      </c>
      <c r="AP229" s="614"/>
      <c r="AQ229" s="308"/>
      <c r="AR229" s="954" t="s">
        <v>904</v>
      </c>
      <c r="AS229" s="955"/>
      <c r="AT229" s="955"/>
      <c r="AU229" s="955"/>
      <c r="AV229" s="955"/>
      <c r="AW229" s="652" t="s">
        <v>905</v>
      </c>
      <c r="AX229" s="317">
        <f t="shared" si="51"/>
        <v>0</v>
      </c>
      <c r="AY229" s="648"/>
      <c r="BA229" s="311"/>
      <c r="BB229" s="653"/>
      <c r="BC229" s="632"/>
      <c r="BD229" s="632"/>
      <c r="BE229" s="632"/>
      <c r="BF229" s="632"/>
    </row>
    <row r="230" spans="1:58" ht="17.25" customHeight="1" x14ac:dyDescent="0.25">
      <c r="M230" s="268"/>
      <c r="AA230" s="324"/>
      <c r="AI230" s="914" t="s">
        <v>906</v>
      </c>
      <c r="AJ230" s="915"/>
      <c r="AK230" s="915"/>
      <c r="AL230" s="915"/>
      <c r="AM230" s="915"/>
      <c r="AN230" s="396" t="s">
        <v>906</v>
      </c>
      <c r="AO230" s="317">
        <f t="shared" si="30"/>
        <v>0</v>
      </c>
      <c r="AP230" s="614"/>
      <c r="AQ230" s="308"/>
      <c r="AR230" s="954" t="s">
        <v>907</v>
      </c>
      <c r="AS230" s="955"/>
      <c r="AT230" s="955"/>
      <c r="AU230" s="955"/>
      <c r="AV230" s="955"/>
      <c r="AW230" s="654" t="s">
        <v>908</v>
      </c>
      <c r="AX230" s="317">
        <f t="shared" si="51"/>
        <v>0</v>
      </c>
      <c r="AY230" s="648"/>
      <c r="BA230" s="311"/>
      <c r="BB230" s="10"/>
    </row>
    <row r="231" spans="1:58" ht="17.25" customHeight="1" x14ac:dyDescent="0.25">
      <c r="M231" s="268"/>
      <c r="AA231" s="324"/>
      <c r="AI231" s="914" t="s">
        <v>909</v>
      </c>
      <c r="AJ231" s="915"/>
      <c r="AK231" s="915"/>
      <c r="AL231" s="915"/>
      <c r="AM231" s="915"/>
      <c r="AN231" s="655" t="s">
        <v>910</v>
      </c>
      <c r="AO231" s="317">
        <f t="shared" si="30"/>
        <v>0</v>
      </c>
      <c r="AP231" s="614"/>
      <c r="AQ231" s="308"/>
      <c r="AR231" s="954" t="s">
        <v>911</v>
      </c>
      <c r="AS231" s="955"/>
      <c r="AT231" s="955"/>
      <c r="AU231" s="955"/>
      <c r="AV231" s="955"/>
      <c r="AW231" s="656" t="s">
        <v>912</v>
      </c>
      <c r="AX231" s="317">
        <f t="shared" si="51"/>
        <v>0</v>
      </c>
      <c r="AY231" s="648"/>
      <c r="BA231" s="311"/>
      <c r="BB231" s="653"/>
      <c r="BC231" s="625"/>
      <c r="BD231" s="625"/>
      <c r="BE231" s="625"/>
      <c r="BF231" s="625"/>
    </row>
    <row r="232" spans="1:58" ht="17.25" customHeight="1" x14ac:dyDescent="0.25">
      <c r="A232" s="971" t="s">
        <v>913</v>
      </c>
      <c r="B232" s="971"/>
      <c r="C232" s="971"/>
      <c r="D232" s="971"/>
      <c r="E232" s="971"/>
      <c r="F232" s="971"/>
      <c r="G232" s="971"/>
      <c r="H232" s="971"/>
      <c r="I232" s="971"/>
      <c r="J232" s="971"/>
      <c r="K232" s="971"/>
      <c r="L232" s="971"/>
      <c r="M232" s="971"/>
      <c r="N232" s="971"/>
      <c r="O232" s="971"/>
      <c r="P232" s="971"/>
      <c r="Q232" s="971"/>
      <c r="R232" s="971"/>
      <c r="S232" s="971"/>
      <c r="T232" s="971"/>
      <c r="U232" s="971"/>
      <c r="V232" s="971"/>
      <c r="W232" s="971"/>
      <c r="X232" s="971"/>
      <c r="Y232" s="971"/>
      <c r="Z232" s="971"/>
      <c r="AA232" s="324"/>
      <c r="AI232" s="914" t="s">
        <v>914</v>
      </c>
      <c r="AJ232" s="915"/>
      <c r="AK232" s="915"/>
      <c r="AL232" s="915"/>
      <c r="AM232" s="915"/>
      <c r="AN232" s="657" t="s">
        <v>915</v>
      </c>
      <c r="AO232" s="317">
        <f t="shared" si="30"/>
        <v>0</v>
      </c>
      <c r="AP232" s="614"/>
      <c r="AQ232" s="308"/>
      <c r="AR232" s="954" t="s">
        <v>916</v>
      </c>
      <c r="AS232" s="955"/>
      <c r="AT232" s="955"/>
      <c r="AU232" s="955"/>
      <c r="AV232" s="955"/>
      <c r="AW232" s="658" t="s">
        <v>917</v>
      </c>
      <c r="AX232" s="317">
        <f t="shared" si="51"/>
        <v>0</v>
      </c>
      <c r="AY232" s="648"/>
      <c r="BA232" s="311"/>
      <c r="BB232" s="653"/>
      <c r="BC232" s="627"/>
      <c r="BD232" s="627"/>
      <c r="BE232" s="627"/>
      <c r="BF232" s="627"/>
    </row>
    <row r="233" spans="1:58" ht="17.25" customHeight="1" x14ac:dyDescent="0.25">
      <c r="A233" s="971"/>
      <c r="B233" s="971"/>
      <c r="C233" s="971"/>
      <c r="D233" s="971"/>
      <c r="E233" s="971"/>
      <c r="F233" s="971"/>
      <c r="G233" s="971"/>
      <c r="H233" s="971"/>
      <c r="I233" s="971"/>
      <c r="J233" s="971"/>
      <c r="K233" s="971"/>
      <c r="L233" s="971"/>
      <c r="M233" s="971"/>
      <c r="N233" s="971"/>
      <c r="O233" s="971"/>
      <c r="P233" s="971"/>
      <c r="Q233" s="971"/>
      <c r="R233" s="971"/>
      <c r="S233" s="971"/>
      <c r="T233" s="971"/>
      <c r="U233" s="971"/>
      <c r="V233" s="971"/>
      <c r="W233" s="971"/>
      <c r="X233" s="971"/>
      <c r="Y233" s="971"/>
      <c r="Z233" s="971"/>
      <c r="AA233" s="324" t="b">
        <f>IFERROR(#REF!&gt;0.5,FALSE)</f>
        <v>0</v>
      </c>
      <c r="AI233" s="914" t="s">
        <v>918</v>
      </c>
      <c r="AJ233" s="915"/>
      <c r="AK233" s="915"/>
      <c r="AL233" s="915"/>
      <c r="AM233" s="915"/>
      <c r="AN233" s="659" t="s">
        <v>919</v>
      </c>
      <c r="AO233" s="317">
        <f t="shared" si="30"/>
        <v>0</v>
      </c>
      <c r="AP233" s="614"/>
      <c r="AQ233" s="308"/>
      <c r="AR233" s="954" t="s">
        <v>920</v>
      </c>
      <c r="AS233" s="955"/>
      <c r="AT233" s="955"/>
      <c r="AU233" s="955"/>
      <c r="AV233" s="955"/>
      <c r="AW233" s="658" t="s">
        <v>921</v>
      </c>
      <c r="AX233" s="317">
        <f t="shared" si="51"/>
        <v>0</v>
      </c>
      <c r="AY233" s="648"/>
      <c r="BA233" s="311"/>
      <c r="BC233" s="625"/>
      <c r="BD233" s="625"/>
      <c r="BE233" s="625"/>
      <c r="BF233" s="625"/>
    </row>
    <row r="234" spans="1:58" ht="17.25" customHeight="1" thickBot="1" x14ac:dyDescent="0.3">
      <c r="AA234" s="324" t="b">
        <f>IFERROR(#REF!&gt;0.5,FALSE)</f>
        <v>0</v>
      </c>
      <c r="AI234" s="914" t="s">
        <v>922</v>
      </c>
      <c r="AJ234" s="915"/>
      <c r="AK234" s="915"/>
      <c r="AL234" s="915"/>
      <c r="AM234" s="915"/>
      <c r="AN234" s="660" t="s">
        <v>923</v>
      </c>
      <c r="AO234" s="317">
        <f t="shared" si="30"/>
        <v>0</v>
      </c>
      <c r="AP234" s="614"/>
      <c r="AQ234" s="308"/>
      <c r="AR234" s="954" t="s">
        <v>924</v>
      </c>
      <c r="AS234" s="955"/>
      <c r="AT234" s="955"/>
      <c r="AU234" s="955"/>
      <c r="AV234" s="955"/>
      <c r="AW234" s="658" t="s">
        <v>925</v>
      </c>
      <c r="AX234" s="317">
        <f t="shared" si="51"/>
        <v>0</v>
      </c>
      <c r="AY234" s="648"/>
      <c r="BA234" s="311"/>
      <c r="BB234" s="653"/>
      <c r="BC234" s="632"/>
      <c r="BD234" s="632"/>
      <c r="BE234" s="632"/>
      <c r="BF234" s="632"/>
    </row>
    <row r="235" spans="1:58" ht="17.25" customHeight="1" thickBot="1" x14ac:dyDescent="0.3">
      <c r="A235" s="963" t="s">
        <v>926</v>
      </c>
      <c r="B235" s="964"/>
      <c r="C235" s="964"/>
      <c r="D235" s="964"/>
      <c r="E235" s="964"/>
      <c r="F235" s="964"/>
      <c r="G235" s="965"/>
      <c r="H235" s="661">
        <f>F237+S237</f>
        <v>1</v>
      </c>
      <c r="AA235" s="324"/>
      <c r="AI235" s="893" t="s">
        <v>927</v>
      </c>
      <c r="AJ235" s="894"/>
      <c r="AK235" s="894"/>
      <c r="AL235" s="894"/>
      <c r="AM235" s="895"/>
      <c r="AN235" s="501"/>
      <c r="AO235" s="502">
        <f>SUM(AO206:AO234)</f>
        <v>0</v>
      </c>
      <c r="AP235" s="308"/>
      <c r="AQ235" s="308"/>
      <c r="AR235" s="954" t="s">
        <v>928</v>
      </c>
      <c r="AS235" s="955"/>
      <c r="AT235" s="955"/>
      <c r="AU235" s="955"/>
      <c r="AV235" s="955"/>
      <c r="AW235" s="662" t="s">
        <v>929</v>
      </c>
      <c r="AX235" s="317">
        <f t="shared" si="51"/>
        <v>0</v>
      </c>
      <c r="AY235" s="648"/>
      <c r="BA235" s="311"/>
      <c r="BB235" s="10"/>
    </row>
    <row r="236" spans="1:58" ht="17.25" customHeight="1" thickBot="1" x14ac:dyDescent="0.3">
      <c r="AA236" s="324"/>
      <c r="AI236" s="663"/>
      <c r="AJ236" s="308"/>
      <c r="AK236" s="308"/>
      <c r="AL236" s="308"/>
      <c r="AM236" s="308"/>
      <c r="AN236" s="308"/>
      <c r="AO236" s="308"/>
      <c r="AP236" s="308"/>
      <c r="AQ236" s="308"/>
      <c r="AR236" s="954" t="s">
        <v>930</v>
      </c>
      <c r="AS236" s="955"/>
      <c r="AT236" s="955"/>
      <c r="AU236" s="955"/>
      <c r="AV236" s="955"/>
      <c r="AW236" s="393" t="s">
        <v>931</v>
      </c>
      <c r="AX236" s="317">
        <f t="shared" si="51"/>
        <v>0</v>
      </c>
      <c r="AY236" s="648"/>
      <c r="BA236" s="311"/>
      <c r="BB236" s="653"/>
      <c r="BC236" s="625"/>
      <c r="BD236" s="625"/>
      <c r="BE236" s="625"/>
      <c r="BF236" s="625"/>
    </row>
    <row r="237" spans="1:58" ht="17.25" customHeight="1" thickBot="1" x14ac:dyDescent="0.4">
      <c r="A237" s="966" t="s">
        <v>932</v>
      </c>
      <c r="B237" s="967"/>
      <c r="C237" s="967"/>
      <c r="D237" s="967"/>
      <c r="E237" s="968"/>
      <c r="F237" s="969">
        <f>SUM(G246,G261,G269,G273,G277)</f>
        <v>1</v>
      </c>
      <c r="G237" s="970"/>
      <c r="N237" s="966" t="s">
        <v>897</v>
      </c>
      <c r="O237" s="967"/>
      <c r="P237" s="967"/>
      <c r="Q237" s="967"/>
      <c r="R237" s="968"/>
      <c r="S237" s="969">
        <f>SUM(T246,T261,T269,T273,T277)</f>
        <v>0</v>
      </c>
      <c r="T237" s="970"/>
      <c r="AA237" s="324"/>
      <c r="AI237" s="663"/>
      <c r="AJ237" s="308"/>
      <c r="AK237" s="308"/>
      <c r="AL237" s="308"/>
      <c r="AM237" s="308"/>
      <c r="AN237" s="308"/>
      <c r="AO237" s="308"/>
      <c r="AQ237" s="308"/>
      <c r="AR237" s="954" t="s">
        <v>933</v>
      </c>
      <c r="AS237" s="955"/>
      <c r="AT237" s="955"/>
      <c r="AU237" s="955"/>
      <c r="AV237" s="955"/>
      <c r="AW237" s="664" t="s">
        <v>934</v>
      </c>
      <c r="AX237" s="317">
        <f t="shared" si="51"/>
        <v>0</v>
      </c>
      <c r="AY237" s="665"/>
      <c r="BA237" s="311"/>
      <c r="BB237" s="653"/>
      <c r="BC237" s="627"/>
      <c r="BD237" s="627"/>
      <c r="BE237" s="627"/>
      <c r="BF237" s="627"/>
    </row>
    <row r="238" spans="1:58" ht="17.25" customHeight="1" thickBot="1" x14ac:dyDescent="0.4">
      <c r="A238" s="666"/>
      <c r="B238" s="667"/>
      <c r="C238" s="667"/>
      <c r="D238" s="667"/>
      <c r="E238" s="668"/>
      <c r="F238" s="668"/>
      <c r="G238" s="668"/>
      <c r="Q238" s="668"/>
      <c r="AA238" s="324"/>
      <c r="AI238" s="918" t="s">
        <v>373</v>
      </c>
      <c r="AJ238" s="908"/>
      <c r="AK238" s="908"/>
      <c r="AL238" s="908"/>
      <c r="AM238" s="908"/>
      <c r="AN238" s="909"/>
      <c r="AO238" s="309" t="s">
        <v>299</v>
      </c>
      <c r="AP238" s="310"/>
      <c r="AQ238" s="308"/>
      <c r="AR238" s="954" t="s">
        <v>935</v>
      </c>
      <c r="AS238" s="955"/>
      <c r="AT238" s="955"/>
      <c r="AU238" s="955"/>
      <c r="AV238" s="955"/>
      <c r="AW238" s="669" t="s">
        <v>936</v>
      </c>
      <c r="AX238" s="317">
        <f t="shared" si="51"/>
        <v>0</v>
      </c>
      <c r="AY238" s="665"/>
      <c r="BA238" s="311"/>
      <c r="BC238" s="625"/>
      <c r="BD238" s="625"/>
      <c r="BE238" s="625"/>
      <c r="BF238" s="625"/>
    </row>
    <row r="239" spans="1:58" ht="17.25" customHeight="1" thickBot="1" x14ac:dyDescent="0.3">
      <c r="A239" s="930" t="s">
        <v>937</v>
      </c>
      <c r="B239" s="931"/>
      <c r="C239" s="931"/>
      <c r="D239" s="931"/>
      <c r="E239" s="932"/>
      <c r="G239" s="960"/>
      <c r="H239" s="960"/>
      <c r="I239" s="960"/>
      <c r="N239" s="930" t="s">
        <v>937</v>
      </c>
      <c r="O239" s="931"/>
      <c r="P239" s="931"/>
      <c r="Q239" s="931"/>
      <c r="R239" s="932"/>
      <c r="T239" s="960"/>
      <c r="U239" s="960"/>
      <c r="V239" s="960"/>
      <c r="AA239" s="324"/>
      <c r="AI239" s="914" t="s">
        <v>938</v>
      </c>
      <c r="AJ239" s="915"/>
      <c r="AK239" s="915"/>
      <c r="AL239" s="915"/>
      <c r="AM239" s="916"/>
      <c r="AN239" s="670" t="s">
        <v>939</v>
      </c>
      <c r="AO239" s="317">
        <f>COUNTIF($A$1:$GO$103,AN239)</f>
        <v>0</v>
      </c>
      <c r="AP239" s="671"/>
      <c r="AQ239" s="308"/>
      <c r="AR239" s="961" t="s">
        <v>940</v>
      </c>
      <c r="AS239" s="962"/>
      <c r="AT239" s="962"/>
      <c r="AU239" s="962"/>
      <c r="AV239" s="962"/>
      <c r="AW239" s="672" t="s">
        <v>941</v>
      </c>
      <c r="AX239" s="317">
        <f t="shared" si="51"/>
        <v>0</v>
      </c>
      <c r="AY239" s="665"/>
      <c r="BA239" s="311"/>
      <c r="BC239" s="632"/>
      <c r="BD239" s="632"/>
      <c r="BE239" s="632"/>
      <c r="BF239" s="632"/>
    </row>
    <row r="240" spans="1:58" ht="17.25" customHeight="1" x14ac:dyDescent="0.25">
      <c r="A240" s="957" t="s">
        <v>942</v>
      </c>
      <c r="B240" s="957"/>
      <c r="C240" s="957"/>
      <c r="D240" s="957"/>
      <c r="E240" s="957"/>
      <c r="F240" s="94" t="s">
        <v>943</v>
      </c>
      <c r="G240" s="926">
        <f t="shared" ref="G240:G245" si="52">COUNTIF($A$4:$M$42,F240)+COUNTIF($A$43:$O$81,F240)+COUNTIF($N$4:$T$19,F240)+COUNTIF($O$20:$S$23,F240)+COUNTIF($N$24:$Q$25,F240)+COUNTIF($N$26:$P$26,F240)+COUNTIF($P$42,F240)+COUNTIF($T$21:$T$22,F240)+COUNTIF($R$24,F240)+COUNTIF($N$27:$O$28,F240)</f>
        <v>0</v>
      </c>
      <c r="H240" s="927"/>
      <c r="I240" s="928"/>
      <c r="N240" s="957" t="s">
        <v>942</v>
      </c>
      <c r="O240" s="957"/>
      <c r="P240" s="957"/>
      <c r="Q240" s="957"/>
      <c r="R240" s="957"/>
      <c r="S240" s="94" t="s">
        <v>943</v>
      </c>
      <c r="T240" s="929">
        <f t="shared" ref="T240:T245" si="53">COUNTIF($T$23:$BI$73,S240)+COUNTIF($N$29:$S$39,S240)+COUNTIF($P$47:$S$68,S240)+COUNTIF($Q$40:$S$42,S240)+COUNTIF($P$27:$S$28,S240)+COUNTIF($R$25:$S$25,S240)+COUNTIF($S$24:$S$24,S240)</f>
        <v>0</v>
      </c>
      <c r="U240" s="929"/>
      <c r="V240" s="929"/>
      <c r="AA240" s="324"/>
      <c r="AI240" s="914" t="s">
        <v>944</v>
      </c>
      <c r="AJ240" s="915"/>
      <c r="AK240" s="915"/>
      <c r="AL240" s="915"/>
      <c r="AM240" s="916"/>
      <c r="AN240" s="673" t="s">
        <v>945</v>
      </c>
      <c r="AO240" s="317">
        <f>COUNTIF($A$1:$GO$103,AN240)</f>
        <v>0</v>
      </c>
      <c r="AP240" s="671"/>
      <c r="AQ240" s="308"/>
      <c r="AR240" s="954" t="s">
        <v>946</v>
      </c>
      <c r="AS240" s="955"/>
      <c r="AT240" s="955"/>
      <c r="AU240" s="955"/>
      <c r="AV240" s="955"/>
      <c r="AW240" s="600" t="s">
        <v>947</v>
      </c>
      <c r="AX240" s="317">
        <f t="shared" si="51"/>
        <v>0</v>
      </c>
      <c r="AY240" s="665"/>
      <c r="BA240" s="311"/>
      <c r="BB240" s="653"/>
    </row>
    <row r="241" spans="1:58" ht="17.25" customHeight="1" x14ac:dyDescent="0.25">
      <c r="A241" s="925" t="s">
        <v>948</v>
      </c>
      <c r="B241" s="925"/>
      <c r="C241" s="925"/>
      <c r="D241" s="925"/>
      <c r="E241" s="925"/>
      <c r="F241" s="94" t="s">
        <v>949</v>
      </c>
      <c r="G241" s="926">
        <f t="shared" si="52"/>
        <v>0</v>
      </c>
      <c r="H241" s="927"/>
      <c r="I241" s="928"/>
      <c r="N241" s="925" t="s">
        <v>948</v>
      </c>
      <c r="O241" s="925"/>
      <c r="P241" s="925"/>
      <c r="Q241" s="925"/>
      <c r="R241" s="925"/>
      <c r="S241" s="94" t="s">
        <v>949</v>
      </c>
      <c r="T241" s="929">
        <f t="shared" si="53"/>
        <v>0</v>
      </c>
      <c r="U241" s="929"/>
      <c r="V241" s="929"/>
      <c r="AA241" s="324" t="b">
        <f>IFERROR(#REF!&gt;0.5,FALSE)</f>
        <v>0</v>
      </c>
      <c r="AI241" s="893" t="s">
        <v>950</v>
      </c>
      <c r="AJ241" s="894"/>
      <c r="AK241" s="894"/>
      <c r="AL241" s="894"/>
      <c r="AM241" s="895"/>
      <c r="AN241" s="501"/>
      <c r="AO241" s="502">
        <f>SUM(AO239:AO240)</f>
        <v>0</v>
      </c>
      <c r="AP241" s="308"/>
      <c r="AQ241" s="308"/>
      <c r="AR241" s="954" t="s">
        <v>951</v>
      </c>
      <c r="AS241" s="955"/>
      <c r="AT241" s="955"/>
      <c r="AU241" s="955"/>
      <c r="AV241" s="955"/>
      <c r="AW241" s="674" t="s">
        <v>952</v>
      </c>
      <c r="AX241" s="317">
        <f t="shared" si="51"/>
        <v>0</v>
      </c>
      <c r="AY241" s="665"/>
      <c r="BA241" s="311"/>
      <c r="BB241" s="10"/>
      <c r="BC241" s="625"/>
      <c r="BD241" s="625"/>
      <c r="BE241" s="625"/>
      <c r="BF241" s="625"/>
    </row>
    <row r="242" spans="1:58" ht="17.25" customHeight="1" x14ac:dyDescent="0.25">
      <c r="A242" s="925" t="s">
        <v>953</v>
      </c>
      <c r="B242" s="925"/>
      <c r="C242" s="925"/>
      <c r="D242" s="925"/>
      <c r="E242" s="925"/>
      <c r="F242" s="94" t="s">
        <v>954</v>
      </c>
      <c r="G242" s="926">
        <f t="shared" si="52"/>
        <v>0</v>
      </c>
      <c r="H242" s="927"/>
      <c r="I242" s="928"/>
      <c r="N242" s="925" t="s">
        <v>953</v>
      </c>
      <c r="O242" s="925"/>
      <c r="P242" s="925"/>
      <c r="Q242" s="925"/>
      <c r="R242" s="925"/>
      <c r="S242" s="94" t="s">
        <v>954</v>
      </c>
      <c r="T242" s="929">
        <f t="shared" si="53"/>
        <v>0</v>
      </c>
      <c r="U242" s="929"/>
      <c r="V242" s="929"/>
      <c r="AA242" s="324" t="b">
        <f>IFERROR(#REF!&gt;0.5,FALSE)</f>
        <v>0</v>
      </c>
      <c r="AI242" s="663"/>
      <c r="AJ242" s="308"/>
      <c r="AK242" s="308"/>
      <c r="AL242" s="308"/>
      <c r="AM242" s="308"/>
      <c r="AN242" s="308"/>
      <c r="AO242" s="308"/>
      <c r="AP242" s="308"/>
      <c r="AQ242" s="308"/>
      <c r="AR242" s="954" t="s">
        <v>955</v>
      </c>
      <c r="AS242" s="955"/>
      <c r="AT242" s="955"/>
      <c r="AU242" s="955"/>
      <c r="AV242" s="955"/>
      <c r="AW242" s="675" t="s">
        <v>956</v>
      </c>
      <c r="AX242" s="317">
        <f t="shared" si="51"/>
        <v>0</v>
      </c>
      <c r="AY242" s="665"/>
      <c r="BA242" s="311"/>
      <c r="BB242" s="653"/>
      <c r="BC242" s="627"/>
      <c r="BD242" s="627"/>
      <c r="BE242" s="627"/>
      <c r="BF242" s="627"/>
    </row>
    <row r="243" spans="1:58" ht="17.25" customHeight="1" x14ac:dyDescent="0.25">
      <c r="A243" s="925" t="s">
        <v>957</v>
      </c>
      <c r="B243" s="925"/>
      <c r="C243" s="925"/>
      <c r="D243" s="925"/>
      <c r="E243" s="925"/>
      <c r="F243" s="94" t="s">
        <v>958</v>
      </c>
      <c r="G243" s="926">
        <f t="shared" si="52"/>
        <v>0</v>
      </c>
      <c r="H243" s="927"/>
      <c r="I243" s="928"/>
      <c r="N243" s="925" t="s">
        <v>957</v>
      </c>
      <c r="O243" s="925"/>
      <c r="P243" s="925"/>
      <c r="Q243" s="925"/>
      <c r="R243" s="925"/>
      <c r="S243" s="94" t="s">
        <v>958</v>
      </c>
      <c r="T243" s="929">
        <f t="shared" si="53"/>
        <v>0</v>
      </c>
      <c r="U243" s="929"/>
      <c r="V243" s="929"/>
      <c r="AA243" s="324"/>
      <c r="AI243" s="663"/>
      <c r="AJ243" s="308"/>
      <c r="AK243" s="308"/>
      <c r="AL243" s="308"/>
      <c r="AM243" s="308"/>
      <c r="AN243" s="308"/>
      <c r="AO243" s="308"/>
      <c r="AP243" s="308"/>
      <c r="AQ243" s="308"/>
      <c r="AR243" s="954" t="s">
        <v>959</v>
      </c>
      <c r="AS243" s="955"/>
      <c r="AT243" s="955"/>
      <c r="AU243" s="955"/>
      <c r="AV243" s="955"/>
      <c r="AW243" s="396" t="s">
        <v>960</v>
      </c>
      <c r="AX243" s="317">
        <f t="shared" si="51"/>
        <v>0</v>
      </c>
      <c r="AY243" s="665"/>
      <c r="BA243" s="311"/>
      <c r="BC243" s="625"/>
      <c r="BD243" s="625"/>
      <c r="BE243" s="625"/>
      <c r="BF243" s="625"/>
    </row>
    <row r="244" spans="1:58" ht="17.25" customHeight="1" x14ac:dyDescent="0.25">
      <c r="A244" s="925" t="s">
        <v>961</v>
      </c>
      <c r="B244" s="925"/>
      <c r="C244" s="925"/>
      <c r="D244" s="925"/>
      <c r="E244" s="925"/>
      <c r="F244" s="94" t="s">
        <v>962</v>
      </c>
      <c r="G244" s="926">
        <f t="shared" si="52"/>
        <v>0</v>
      </c>
      <c r="H244" s="927"/>
      <c r="I244" s="928"/>
      <c r="N244" s="925" t="s">
        <v>961</v>
      </c>
      <c r="O244" s="925"/>
      <c r="P244" s="925"/>
      <c r="Q244" s="925"/>
      <c r="R244" s="925"/>
      <c r="S244" s="94" t="s">
        <v>962</v>
      </c>
      <c r="T244" s="929">
        <f t="shared" si="53"/>
        <v>0</v>
      </c>
      <c r="U244" s="929"/>
      <c r="V244" s="929"/>
      <c r="AA244" s="324"/>
      <c r="AI244" s="902" t="s">
        <v>963</v>
      </c>
      <c r="AJ244" s="903"/>
      <c r="AK244" s="903"/>
      <c r="AL244" s="903"/>
      <c r="AM244" s="903"/>
      <c r="AN244" s="904"/>
      <c r="AO244" s="309" t="s">
        <v>299</v>
      </c>
      <c r="AP244" s="310"/>
      <c r="AR244" s="954" t="s">
        <v>964</v>
      </c>
      <c r="AS244" s="955"/>
      <c r="AT244" s="955"/>
      <c r="AU244" s="955"/>
      <c r="AV244" s="955"/>
      <c r="AW244" s="321" t="s">
        <v>965</v>
      </c>
      <c r="AX244" s="317">
        <f t="shared" si="51"/>
        <v>0</v>
      </c>
      <c r="AY244" s="665"/>
      <c r="BA244" s="311"/>
      <c r="BB244" s="653"/>
      <c r="BC244" s="632"/>
      <c r="BD244" s="632"/>
      <c r="BE244" s="632"/>
      <c r="BF244" s="632"/>
    </row>
    <row r="245" spans="1:58" ht="17.25" customHeight="1" x14ac:dyDescent="0.25">
      <c r="A245" s="925" t="s">
        <v>966</v>
      </c>
      <c r="B245" s="925"/>
      <c r="C245" s="925"/>
      <c r="D245" s="925"/>
      <c r="E245" s="925"/>
      <c r="F245" s="94" t="s">
        <v>967</v>
      </c>
      <c r="G245" s="926">
        <f t="shared" si="52"/>
        <v>0</v>
      </c>
      <c r="H245" s="927"/>
      <c r="I245" s="928"/>
      <c r="N245" s="925" t="s">
        <v>966</v>
      </c>
      <c r="O245" s="925"/>
      <c r="P245" s="925"/>
      <c r="Q245" s="925"/>
      <c r="R245" s="925"/>
      <c r="S245" s="94" t="s">
        <v>967</v>
      </c>
      <c r="T245" s="929">
        <f t="shared" si="53"/>
        <v>0</v>
      </c>
      <c r="U245" s="929"/>
      <c r="V245" s="929"/>
      <c r="AA245" s="324"/>
      <c r="AH245" s="311"/>
      <c r="AI245" s="896" t="s">
        <v>968</v>
      </c>
      <c r="AJ245" s="897"/>
      <c r="AK245" s="897"/>
      <c r="AL245" s="897"/>
      <c r="AM245" s="897"/>
      <c r="AN245" s="393" t="s">
        <v>969</v>
      </c>
      <c r="AO245" s="317">
        <f t="shared" ref="AO245:AO251" si="54">COUNTIF($A$1:$GO$103,AN245)</f>
        <v>0</v>
      </c>
      <c r="AP245" s="676"/>
      <c r="AR245" s="954" t="s">
        <v>970</v>
      </c>
      <c r="AS245" s="955"/>
      <c r="AT245" s="955"/>
      <c r="AU245" s="955"/>
      <c r="AV245" s="955"/>
      <c r="AW245" s="677" t="s">
        <v>971</v>
      </c>
      <c r="AX245" s="317">
        <f t="shared" si="51"/>
        <v>0</v>
      </c>
      <c r="AY245" s="665"/>
      <c r="BA245" s="311"/>
      <c r="BB245" s="10"/>
    </row>
    <row r="246" spans="1:58" ht="17.25" customHeight="1" thickBot="1" x14ac:dyDescent="0.3">
      <c r="A246" s="958" t="s">
        <v>299</v>
      </c>
      <c r="B246" s="959"/>
      <c r="C246" s="959"/>
      <c r="D246" s="959"/>
      <c r="E246" s="959"/>
      <c r="F246" s="678"/>
      <c r="G246" s="922">
        <f>SUM(G240:I245)</f>
        <v>0</v>
      </c>
      <c r="H246" s="923"/>
      <c r="I246" s="924"/>
      <c r="N246" s="958" t="s">
        <v>299</v>
      </c>
      <c r="O246" s="959"/>
      <c r="P246" s="959"/>
      <c r="Q246" s="959"/>
      <c r="R246" s="959"/>
      <c r="S246" s="678"/>
      <c r="T246" s="922">
        <f>SUM(T240:V245)</f>
        <v>0</v>
      </c>
      <c r="U246" s="923"/>
      <c r="V246" s="924"/>
      <c r="AA246" s="324" t="b">
        <f>IFERROR(#REF!&gt;0.5,FALSE)</f>
        <v>0</v>
      </c>
      <c r="AH246" s="679"/>
      <c r="AI246" s="896" t="s">
        <v>972</v>
      </c>
      <c r="AJ246" s="897"/>
      <c r="AK246" s="897"/>
      <c r="AL246" s="897"/>
      <c r="AM246" s="905"/>
      <c r="AN246" s="670" t="s">
        <v>973</v>
      </c>
      <c r="AO246" s="317">
        <f t="shared" si="54"/>
        <v>0</v>
      </c>
      <c r="AP246" s="680"/>
      <c r="AR246" s="954" t="s">
        <v>974</v>
      </c>
      <c r="AS246" s="955"/>
      <c r="AT246" s="955"/>
      <c r="AU246" s="955"/>
      <c r="AV246" s="955"/>
      <c r="AW246" s="681" t="s">
        <v>975</v>
      </c>
      <c r="AX246" s="317">
        <f t="shared" si="51"/>
        <v>0</v>
      </c>
      <c r="AY246" s="665"/>
      <c r="BA246" s="311"/>
      <c r="BB246" s="653"/>
    </row>
    <row r="247" spans="1:58" ht="17.25" customHeight="1" thickBot="1" x14ac:dyDescent="0.3">
      <c r="A247" s="930" t="s">
        <v>976</v>
      </c>
      <c r="B247" s="931"/>
      <c r="C247" s="931"/>
      <c r="D247" s="931"/>
      <c r="E247" s="932"/>
      <c r="F247" s="33"/>
      <c r="G247" s="33"/>
      <c r="H247" s="33"/>
      <c r="I247" s="33"/>
      <c r="N247" s="930" t="s">
        <v>976</v>
      </c>
      <c r="O247" s="931"/>
      <c r="P247" s="931"/>
      <c r="Q247" s="931"/>
      <c r="R247" s="932"/>
      <c r="S247" s="33"/>
      <c r="T247" s="33"/>
      <c r="U247" s="33"/>
      <c r="V247" s="33"/>
      <c r="AA247" s="324"/>
      <c r="AH247" s="679"/>
      <c r="AI247" s="896" t="s">
        <v>977</v>
      </c>
      <c r="AJ247" s="897"/>
      <c r="AK247" s="897"/>
      <c r="AL247" s="897"/>
      <c r="AM247" s="905"/>
      <c r="AN247" s="682" t="s">
        <v>978</v>
      </c>
      <c r="AO247" s="317">
        <f t="shared" si="54"/>
        <v>0</v>
      </c>
      <c r="AP247" s="680"/>
      <c r="AR247" s="954" t="s">
        <v>979</v>
      </c>
      <c r="AS247" s="955"/>
      <c r="AT247" s="955"/>
      <c r="AU247" s="955"/>
      <c r="AV247" s="955"/>
      <c r="AW247" s="683" t="s">
        <v>980</v>
      </c>
      <c r="AX247" s="317">
        <f t="shared" si="51"/>
        <v>0</v>
      </c>
      <c r="AY247" s="665"/>
      <c r="AZ247" s="308"/>
      <c r="BA247" s="311"/>
      <c r="BB247" s="653"/>
    </row>
    <row r="248" spans="1:58" ht="17.25" customHeight="1" x14ac:dyDescent="0.25">
      <c r="A248" s="957" t="s">
        <v>942</v>
      </c>
      <c r="B248" s="957"/>
      <c r="C248" s="957"/>
      <c r="D248" s="957"/>
      <c r="E248" s="957"/>
      <c r="F248" s="94" t="s">
        <v>981</v>
      </c>
      <c r="G248" s="926">
        <f t="shared" ref="G248:G260" si="55">COUNTIF($A$4:$M$42,F248)+COUNTIF($A$43:$O$81,F248)+COUNTIF($N$4:$T$19,F248)+COUNTIF($O$20:$S$23,F248)+COUNTIF($N$24:$Q$25,F248)+COUNTIF($N$26:$P$26,F248)+COUNTIF($P$42,F248)+COUNTIF($T$21:$T$22,F248)+COUNTIF($R$24,F248)+COUNTIF($N$27:$O$28,F248)</f>
        <v>0</v>
      </c>
      <c r="H248" s="927"/>
      <c r="I248" s="928"/>
      <c r="N248" s="957" t="s">
        <v>942</v>
      </c>
      <c r="O248" s="957"/>
      <c r="P248" s="957"/>
      <c r="Q248" s="957"/>
      <c r="R248" s="957"/>
      <c r="S248" s="94" t="s">
        <v>981</v>
      </c>
      <c r="T248" s="929">
        <f t="shared" ref="T248:T260" si="56">COUNTIF($T$23:$BI$73,S248)+COUNTIF($N$29:$S$39,S248)+COUNTIF($P$47:$S$68,S248)+COUNTIF($Q$40:$S$42,S248)+COUNTIF($P$27:$S$28,S248)+COUNTIF($R$25:$S$25,S248)+COUNTIF($S$24:$S$24,S248)</f>
        <v>0</v>
      </c>
      <c r="U248" s="929"/>
      <c r="V248" s="929"/>
      <c r="AA248" s="324"/>
      <c r="AI248" s="896" t="s">
        <v>982</v>
      </c>
      <c r="AJ248" s="897"/>
      <c r="AK248" s="897"/>
      <c r="AL248" s="897"/>
      <c r="AM248" s="905"/>
      <c r="AN248" s="684" t="s">
        <v>983</v>
      </c>
      <c r="AO248" s="317">
        <f t="shared" si="54"/>
        <v>0</v>
      </c>
      <c r="AP248" s="680"/>
      <c r="AR248" s="954" t="s">
        <v>984</v>
      </c>
      <c r="AS248" s="955"/>
      <c r="AT248" s="955"/>
      <c r="AU248" s="955"/>
      <c r="AV248" s="955"/>
      <c r="AW248" s="685" t="s">
        <v>985</v>
      </c>
      <c r="AX248" s="317">
        <f t="shared" si="51"/>
        <v>0</v>
      </c>
      <c r="AY248" s="665"/>
      <c r="BA248" s="311"/>
    </row>
    <row r="249" spans="1:58" ht="17.25" customHeight="1" x14ac:dyDescent="0.25">
      <c r="A249" s="925" t="s">
        <v>948</v>
      </c>
      <c r="B249" s="925"/>
      <c r="C249" s="925"/>
      <c r="D249" s="925"/>
      <c r="E249" s="925"/>
      <c r="F249" s="94" t="s">
        <v>986</v>
      </c>
      <c r="G249" s="926">
        <f t="shared" si="55"/>
        <v>0</v>
      </c>
      <c r="H249" s="927"/>
      <c r="I249" s="928"/>
      <c r="N249" s="925" t="s">
        <v>948</v>
      </c>
      <c r="O249" s="925"/>
      <c r="P249" s="925"/>
      <c r="Q249" s="925"/>
      <c r="R249" s="925"/>
      <c r="S249" s="94" t="s">
        <v>986</v>
      </c>
      <c r="T249" s="929">
        <f t="shared" si="56"/>
        <v>0</v>
      </c>
      <c r="U249" s="929"/>
      <c r="V249" s="929"/>
      <c r="AA249" s="324"/>
      <c r="AI249" s="896" t="s">
        <v>987</v>
      </c>
      <c r="AJ249" s="897"/>
      <c r="AK249" s="897"/>
      <c r="AL249" s="897"/>
      <c r="AM249" s="905"/>
      <c r="AN249" s="686" t="s">
        <v>988</v>
      </c>
      <c r="AO249" s="317">
        <f t="shared" si="54"/>
        <v>0</v>
      </c>
      <c r="AP249" s="680"/>
      <c r="AR249" s="954" t="s">
        <v>989</v>
      </c>
      <c r="AS249" s="955"/>
      <c r="AT249" s="955"/>
      <c r="AU249" s="955"/>
      <c r="AV249" s="955"/>
      <c r="AW249" s="687" t="s">
        <v>990</v>
      </c>
      <c r="AX249" s="317">
        <f t="shared" si="51"/>
        <v>0</v>
      </c>
      <c r="AY249" s="665"/>
      <c r="BA249" s="311"/>
      <c r="BB249" s="653"/>
    </row>
    <row r="250" spans="1:58" ht="17.25" customHeight="1" x14ac:dyDescent="0.25">
      <c r="A250" s="925" t="s">
        <v>953</v>
      </c>
      <c r="B250" s="925"/>
      <c r="C250" s="925"/>
      <c r="D250" s="925"/>
      <c r="E250" s="925"/>
      <c r="F250" s="94" t="s">
        <v>991</v>
      </c>
      <c r="G250" s="926">
        <f t="shared" si="55"/>
        <v>0</v>
      </c>
      <c r="H250" s="927"/>
      <c r="I250" s="928"/>
      <c r="N250" s="925" t="s">
        <v>953</v>
      </c>
      <c r="O250" s="925"/>
      <c r="P250" s="925"/>
      <c r="Q250" s="925"/>
      <c r="R250" s="925"/>
      <c r="S250" s="94" t="s">
        <v>991</v>
      </c>
      <c r="T250" s="929">
        <f t="shared" si="56"/>
        <v>0</v>
      </c>
      <c r="U250" s="929"/>
      <c r="V250" s="929"/>
      <c r="AA250" s="324"/>
      <c r="AI250" s="896" t="s">
        <v>992</v>
      </c>
      <c r="AJ250" s="897"/>
      <c r="AK250" s="897"/>
      <c r="AL250" s="897"/>
      <c r="AM250" s="905"/>
      <c r="AN250" s="688" t="s">
        <v>993</v>
      </c>
      <c r="AO250" s="317">
        <f t="shared" si="54"/>
        <v>0</v>
      </c>
      <c r="AP250" s="680"/>
      <c r="AR250" s="954" t="s">
        <v>994</v>
      </c>
      <c r="AS250" s="955"/>
      <c r="AT250" s="955"/>
      <c r="AU250" s="955"/>
      <c r="AV250" s="955"/>
      <c r="AW250" s="689" t="s">
        <v>995</v>
      </c>
      <c r="AX250" s="317">
        <f t="shared" si="51"/>
        <v>0</v>
      </c>
      <c r="AY250" s="665"/>
      <c r="BA250" s="311"/>
      <c r="BB250" s="690"/>
    </row>
    <row r="251" spans="1:58" ht="17.25" customHeight="1" x14ac:dyDescent="0.25">
      <c r="A251" s="925" t="s">
        <v>996</v>
      </c>
      <c r="B251" s="925"/>
      <c r="C251" s="925"/>
      <c r="D251" s="925"/>
      <c r="E251" s="925"/>
      <c r="F251" s="94" t="s">
        <v>997</v>
      </c>
      <c r="G251" s="926">
        <f t="shared" si="55"/>
        <v>0</v>
      </c>
      <c r="H251" s="927"/>
      <c r="I251" s="928"/>
      <c r="N251" s="925" t="s">
        <v>996</v>
      </c>
      <c r="O251" s="925"/>
      <c r="P251" s="925"/>
      <c r="Q251" s="925"/>
      <c r="R251" s="925"/>
      <c r="S251" s="94" t="s">
        <v>997</v>
      </c>
      <c r="T251" s="929">
        <f t="shared" si="56"/>
        <v>0</v>
      </c>
      <c r="U251" s="929"/>
      <c r="V251" s="929"/>
      <c r="AA251" s="324"/>
      <c r="AI251" s="896" t="s">
        <v>998</v>
      </c>
      <c r="AJ251" s="897"/>
      <c r="AK251" s="897"/>
      <c r="AL251" s="897"/>
      <c r="AM251" s="905"/>
      <c r="AN251" s="412" t="s">
        <v>999</v>
      </c>
      <c r="AO251" s="317">
        <f t="shared" si="54"/>
        <v>0</v>
      </c>
      <c r="AP251" s="680"/>
      <c r="AR251" s="954" t="s">
        <v>1000</v>
      </c>
      <c r="AS251" s="955"/>
      <c r="AT251" s="955"/>
      <c r="AU251" s="955"/>
      <c r="AV251" s="955"/>
      <c r="AW251" s="689" t="s">
        <v>1001</v>
      </c>
      <c r="AX251" s="317">
        <f t="shared" si="51"/>
        <v>0</v>
      </c>
      <c r="AY251" s="665"/>
      <c r="BA251" s="311"/>
      <c r="BB251" s="653"/>
    </row>
    <row r="252" spans="1:58" ht="17.25" customHeight="1" x14ac:dyDescent="0.25">
      <c r="A252" s="925" t="s">
        <v>957</v>
      </c>
      <c r="B252" s="925"/>
      <c r="C252" s="925"/>
      <c r="D252" s="925"/>
      <c r="E252" s="925"/>
      <c r="F252" s="94" t="s">
        <v>186</v>
      </c>
      <c r="G252" s="926">
        <f t="shared" si="55"/>
        <v>1</v>
      </c>
      <c r="H252" s="927"/>
      <c r="I252" s="928"/>
      <c r="N252" s="925" t="s">
        <v>957</v>
      </c>
      <c r="O252" s="925"/>
      <c r="P252" s="925"/>
      <c r="Q252" s="925"/>
      <c r="R252" s="925"/>
      <c r="S252" s="94" t="s">
        <v>186</v>
      </c>
      <c r="T252" s="929">
        <f t="shared" si="56"/>
        <v>0</v>
      </c>
      <c r="U252" s="929"/>
      <c r="V252" s="929"/>
      <c r="AA252" s="324"/>
      <c r="AI252" s="893" t="s">
        <v>1002</v>
      </c>
      <c r="AJ252" s="894"/>
      <c r="AK252" s="894"/>
      <c r="AL252" s="894"/>
      <c r="AM252" s="895"/>
      <c r="AN252" s="501"/>
      <c r="AO252" s="502">
        <f>SUM(AO245:AO251)</f>
        <v>0</v>
      </c>
      <c r="AP252" s="308"/>
      <c r="AR252" s="954" t="s">
        <v>1003</v>
      </c>
      <c r="AS252" s="955"/>
      <c r="AT252" s="955"/>
      <c r="AU252" s="955"/>
      <c r="AV252" s="955"/>
      <c r="AW252" s="689" t="s">
        <v>1004</v>
      </c>
      <c r="AX252" s="317">
        <f t="shared" si="51"/>
        <v>0</v>
      </c>
      <c r="AY252" s="665"/>
      <c r="BA252" s="311"/>
      <c r="BB252" s="653"/>
    </row>
    <row r="253" spans="1:58" ht="17.25" customHeight="1" x14ac:dyDescent="0.25">
      <c r="A253" s="925" t="s">
        <v>1005</v>
      </c>
      <c r="B253" s="925"/>
      <c r="C253" s="925"/>
      <c r="D253" s="925"/>
      <c r="E253" s="925"/>
      <c r="F253" s="94" t="s">
        <v>1006</v>
      </c>
      <c r="G253" s="926">
        <f t="shared" si="55"/>
        <v>0</v>
      </c>
      <c r="H253" s="927"/>
      <c r="I253" s="928"/>
      <c r="N253" s="925" t="s">
        <v>1005</v>
      </c>
      <c r="O253" s="925"/>
      <c r="P253" s="925"/>
      <c r="Q253" s="925"/>
      <c r="R253" s="925"/>
      <c r="S253" s="94" t="s">
        <v>1006</v>
      </c>
      <c r="T253" s="929">
        <f t="shared" si="56"/>
        <v>0</v>
      </c>
      <c r="U253" s="929"/>
      <c r="V253" s="929"/>
      <c r="AA253" s="324"/>
      <c r="AI253" s="663"/>
      <c r="AJ253" s="308"/>
      <c r="AK253" s="308"/>
      <c r="AL253" s="308"/>
      <c r="AM253" s="308"/>
      <c r="AN253" s="308"/>
      <c r="AO253" s="308"/>
      <c r="AP253" s="308"/>
      <c r="AR253" s="954" t="s">
        <v>1007</v>
      </c>
      <c r="AS253" s="955"/>
      <c r="AT253" s="955"/>
      <c r="AU253" s="955"/>
      <c r="AV253" s="955"/>
      <c r="AW253" s="691" t="s">
        <v>1008</v>
      </c>
      <c r="AX253" s="317">
        <f t="shared" si="51"/>
        <v>0</v>
      </c>
      <c r="AY253" s="665"/>
      <c r="BA253" s="311"/>
    </row>
    <row r="254" spans="1:58" ht="17.25" customHeight="1" x14ac:dyDescent="0.25">
      <c r="A254" s="925" t="s">
        <v>961</v>
      </c>
      <c r="B254" s="925"/>
      <c r="C254" s="925"/>
      <c r="D254" s="925"/>
      <c r="E254" s="925"/>
      <c r="F254" s="94" t="s">
        <v>1009</v>
      </c>
      <c r="G254" s="926">
        <f t="shared" si="55"/>
        <v>0</v>
      </c>
      <c r="H254" s="927"/>
      <c r="I254" s="928"/>
      <c r="N254" s="925" t="s">
        <v>961</v>
      </c>
      <c r="O254" s="925"/>
      <c r="P254" s="925"/>
      <c r="Q254" s="925"/>
      <c r="R254" s="925"/>
      <c r="S254" s="94" t="s">
        <v>1009</v>
      </c>
      <c r="T254" s="929">
        <f t="shared" si="56"/>
        <v>0</v>
      </c>
      <c r="U254" s="929"/>
      <c r="V254" s="929"/>
      <c r="AA254" s="324"/>
      <c r="AI254" s="692"/>
      <c r="AQ254" s="308"/>
      <c r="AR254" s="954" t="s">
        <v>1010</v>
      </c>
      <c r="AS254" s="955"/>
      <c r="AT254" s="955"/>
      <c r="AU254" s="955"/>
      <c r="AV254" s="955"/>
      <c r="AW254" s="693" t="s">
        <v>1011</v>
      </c>
      <c r="AX254" s="317">
        <f t="shared" si="51"/>
        <v>0</v>
      </c>
      <c r="AY254" s="665"/>
      <c r="BA254" s="311"/>
      <c r="BB254" s="653"/>
    </row>
    <row r="255" spans="1:58" ht="17.25" customHeight="1" x14ac:dyDescent="0.25">
      <c r="A255" s="925" t="s">
        <v>966</v>
      </c>
      <c r="B255" s="925"/>
      <c r="C255" s="925"/>
      <c r="D255" s="925"/>
      <c r="E255" s="925"/>
      <c r="F255" s="94" t="s">
        <v>1012</v>
      </c>
      <c r="G255" s="926">
        <f t="shared" si="55"/>
        <v>0</v>
      </c>
      <c r="H255" s="927"/>
      <c r="I255" s="928"/>
      <c r="N255" s="925" t="s">
        <v>966</v>
      </c>
      <c r="O255" s="925"/>
      <c r="P255" s="925"/>
      <c r="Q255" s="925"/>
      <c r="R255" s="925"/>
      <c r="S255" s="94" t="s">
        <v>1012</v>
      </c>
      <c r="T255" s="929">
        <f t="shared" si="56"/>
        <v>0</v>
      </c>
      <c r="U255" s="929"/>
      <c r="V255" s="929"/>
      <c r="AA255" s="324"/>
      <c r="AI255" s="918" t="s">
        <v>391</v>
      </c>
      <c r="AJ255" s="908"/>
      <c r="AK255" s="908"/>
      <c r="AL255" s="908"/>
      <c r="AM255" s="908"/>
      <c r="AN255" s="909"/>
      <c r="AO255" s="309" t="s">
        <v>299</v>
      </c>
      <c r="AP255" s="310"/>
      <c r="AQ255" s="694"/>
      <c r="AR255" s="914" t="s">
        <v>1013</v>
      </c>
      <c r="AS255" s="915"/>
      <c r="AT255" s="915"/>
      <c r="AU255" s="915"/>
      <c r="AV255" s="915"/>
      <c r="AW255" s="695" t="s">
        <v>1013</v>
      </c>
      <c r="AX255" s="317">
        <f t="shared" si="51"/>
        <v>0</v>
      </c>
      <c r="AY255" s="665"/>
      <c r="BA255" s="311"/>
      <c r="BB255" s="696"/>
    </row>
    <row r="256" spans="1:58" ht="17.25" customHeight="1" x14ac:dyDescent="0.25">
      <c r="A256" s="925" t="s">
        <v>1014</v>
      </c>
      <c r="B256" s="925"/>
      <c r="C256" s="925"/>
      <c r="D256" s="925"/>
      <c r="E256" s="925"/>
      <c r="F256" s="94" t="s">
        <v>1015</v>
      </c>
      <c r="G256" s="926">
        <f t="shared" si="55"/>
        <v>0</v>
      </c>
      <c r="H256" s="927"/>
      <c r="I256" s="928"/>
      <c r="N256" s="925" t="s">
        <v>1014</v>
      </c>
      <c r="O256" s="925"/>
      <c r="P256" s="925"/>
      <c r="Q256" s="925"/>
      <c r="R256" s="925"/>
      <c r="S256" s="94" t="s">
        <v>1015</v>
      </c>
      <c r="T256" s="929">
        <f t="shared" si="56"/>
        <v>0</v>
      </c>
      <c r="U256" s="929"/>
      <c r="V256" s="929"/>
      <c r="AA256" s="324"/>
      <c r="AI256" s="936" t="s">
        <v>1016</v>
      </c>
      <c r="AJ256" s="937"/>
      <c r="AK256" s="937"/>
      <c r="AL256" s="937"/>
      <c r="AM256" s="938"/>
      <c r="AN256" s="697" t="s">
        <v>1017</v>
      </c>
      <c r="AO256" s="317">
        <f t="shared" ref="AO256:AO271" si="57">COUNTIF($A$1:$GO$103,AN256)</f>
        <v>0</v>
      </c>
      <c r="AP256" s="698"/>
      <c r="AR256" s="954" t="s">
        <v>1018</v>
      </c>
      <c r="AS256" s="955"/>
      <c r="AT256" s="955"/>
      <c r="AU256" s="955"/>
      <c r="AV256" s="955"/>
      <c r="AW256" s="461" t="s">
        <v>1019</v>
      </c>
      <c r="AX256" s="317">
        <f t="shared" si="51"/>
        <v>0</v>
      </c>
      <c r="AY256" s="665"/>
      <c r="BA256" s="311"/>
      <c r="BB256" s="653"/>
    </row>
    <row r="257" spans="1:54" ht="17.25" customHeight="1" x14ac:dyDescent="0.25">
      <c r="A257" s="925" t="s">
        <v>1020</v>
      </c>
      <c r="B257" s="925"/>
      <c r="C257" s="925"/>
      <c r="D257" s="925"/>
      <c r="E257" s="925"/>
      <c r="F257" s="94" t="s">
        <v>1021</v>
      </c>
      <c r="G257" s="926">
        <f t="shared" si="55"/>
        <v>0</v>
      </c>
      <c r="H257" s="927"/>
      <c r="I257" s="928"/>
      <c r="N257" s="925" t="s">
        <v>1020</v>
      </c>
      <c r="O257" s="925"/>
      <c r="P257" s="925"/>
      <c r="Q257" s="925"/>
      <c r="R257" s="925"/>
      <c r="S257" s="94" t="s">
        <v>1021</v>
      </c>
      <c r="T257" s="929">
        <f t="shared" si="56"/>
        <v>0</v>
      </c>
      <c r="U257" s="929"/>
      <c r="V257" s="929"/>
      <c r="AA257" s="324"/>
      <c r="AI257" s="936" t="s">
        <v>1022</v>
      </c>
      <c r="AJ257" s="937"/>
      <c r="AK257" s="937"/>
      <c r="AL257" s="937"/>
      <c r="AM257" s="938"/>
      <c r="AN257" s="697" t="s">
        <v>1022</v>
      </c>
      <c r="AO257" s="317">
        <f t="shared" si="57"/>
        <v>0</v>
      </c>
      <c r="AP257" s="699"/>
      <c r="AR257" s="954" t="s">
        <v>1023</v>
      </c>
      <c r="AS257" s="955"/>
      <c r="AT257" s="955"/>
      <c r="AU257" s="955"/>
      <c r="AV257" s="955"/>
      <c r="AW257" s="539" t="s">
        <v>1024</v>
      </c>
      <c r="AX257" s="317">
        <f t="shared" si="51"/>
        <v>0</v>
      </c>
      <c r="AY257" s="665"/>
      <c r="BA257" s="311"/>
      <c r="BB257" s="653"/>
    </row>
    <row r="258" spans="1:54" ht="17.25" customHeight="1" x14ac:dyDescent="0.25">
      <c r="A258" s="925" t="s">
        <v>1025</v>
      </c>
      <c r="B258" s="925"/>
      <c r="C258" s="925"/>
      <c r="D258" s="925"/>
      <c r="E258" s="925"/>
      <c r="F258" s="94" t="s">
        <v>1026</v>
      </c>
      <c r="G258" s="926">
        <f t="shared" si="55"/>
        <v>0</v>
      </c>
      <c r="H258" s="927"/>
      <c r="I258" s="928"/>
      <c r="N258" s="925" t="s">
        <v>1025</v>
      </c>
      <c r="O258" s="925"/>
      <c r="P258" s="925"/>
      <c r="Q258" s="925"/>
      <c r="R258" s="925"/>
      <c r="S258" s="94" t="s">
        <v>1026</v>
      </c>
      <c r="T258" s="929">
        <f t="shared" si="56"/>
        <v>0</v>
      </c>
      <c r="U258" s="929"/>
      <c r="V258" s="929"/>
      <c r="AA258" s="324"/>
      <c r="AI258" s="936" t="s">
        <v>1027</v>
      </c>
      <c r="AJ258" s="937"/>
      <c r="AK258" s="937"/>
      <c r="AL258" s="937"/>
      <c r="AM258" s="938"/>
      <c r="AN258" s="697" t="s">
        <v>1028</v>
      </c>
      <c r="AO258" s="317">
        <f t="shared" si="57"/>
        <v>0</v>
      </c>
      <c r="AP258" s="699"/>
      <c r="AQ258" s="308"/>
      <c r="AR258" s="954" t="s">
        <v>1029</v>
      </c>
      <c r="AS258" s="955"/>
      <c r="AT258" s="955"/>
      <c r="AU258" s="955"/>
      <c r="AV258" s="955"/>
      <c r="AW258" s="677" t="s">
        <v>1030</v>
      </c>
      <c r="AX258" s="317">
        <f t="shared" si="51"/>
        <v>0</v>
      </c>
      <c r="AY258" s="665"/>
      <c r="BA258" s="311"/>
    </row>
    <row r="259" spans="1:54" ht="17.25" customHeight="1" x14ac:dyDescent="0.25">
      <c r="A259" s="925" t="s">
        <v>1031</v>
      </c>
      <c r="B259" s="925"/>
      <c r="C259" s="925"/>
      <c r="D259" s="925"/>
      <c r="E259" s="925"/>
      <c r="F259" s="94" t="s">
        <v>1032</v>
      </c>
      <c r="G259" s="926">
        <f t="shared" si="55"/>
        <v>0</v>
      </c>
      <c r="H259" s="927"/>
      <c r="I259" s="928"/>
      <c r="N259" s="925" t="s">
        <v>1031</v>
      </c>
      <c r="O259" s="925"/>
      <c r="P259" s="925"/>
      <c r="Q259" s="925"/>
      <c r="R259" s="925"/>
      <c r="S259" s="94" t="s">
        <v>1032</v>
      </c>
      <c r="T259" s="929">
        <f t="shared" si="56"/>
        <v>0</v>
      </c>
      <c r="U259" s="929"/>
      <c r="V259" s="929"/>
      <c r="AA259" s="324"/>
      <c r="AI259" s="936" t="s">
        <v>1033</v>
      </c>
      <c r="AJ259" s="937"/>
      <c r="AK259" s="937"/>
      <c r="AL259" s="937"/>
      <c r="AM259" s="938"/>
      <c r="AN259" s="697" t="s">
        <v>1034</v>
      </c>
      <c r="AO259" s="317">
        <f t="shared" si="57"/>
        <v>0</v>
      </c>
      <c r="AP259" s="699"/>
      <c r="AQ259" s="308"/>
      <c r="AR259" s="954" t="s">
        <v>1035</v>
      </c>
      <c r="AS259" s="955"/>
      <c r="AT259" s="955"/>
      <c r="AU259" s="955"/>
      <c r="AV259" s="955"/>
      <c r="AW259" s="700" t="s">
        <v>1036</v>
      </c>
      <c r="AX259" s="317">
        <f t="shared" si="51"/>
        <v>0</v>
      </c>
      <c r="AY259" s="665"/>
      <c r="BA259" s="311"/>
      <c r="BB259" s="653"/>
    </row>
    <row r="260" spans="1:54" ht="17.25" customHeight="1" x14ac:dyDescent="0.25">
      <c r="A260" s="925" t="s">
        <v>1037</v>
      </c>
      <c r="B260" s="925"/>
      <c r="C260" s="925"/>
      <c r="D260" s="925"/>
      <c r="E260" s="925"/>
      <c r="F260" s="94" t="s">
        <v>1038</v>
      </c>
      <c r="G260" s="926">
        <f t="shared" si="55"/>
        <v>0</v>
      </c>
      <c r="H260" s="927"/>
      <c r="I260" s="928"/>
      <c r="N260" s="925" t="s">
        <v>1037</v>
      </c>
      <c r="O260" s="925"/>
      <c r="P260" s="925"/>
      <c r="Q260" s="925"/>
      <c r="R260" s="925"/>
      <c r="S260" s="94" t="s">
        <v>1038</v>
      </c>
      <c r="T260" s="929">
        <f t="shared" si="56"/>
        <v>0</v>
      </c>
      <c r="U260" s="929"/>
      <c r="V260" s="929"/>
      <c r="AA260" s="324"/>
      <c r="AI260" s="936" t="s">
        <v>1039</v>
      </c>
      <c r="AJ260" s="937"/>
      <c r="AK260" s="937"/>
      <c r="AL260" s="937"/>
      <c r="AM260" s="938"/>
      <c r="AN260" s="697" t="s">
        <v>1040</v>
      </c>
      <c r="AO260" s="317">
        <f t="shared" si="57"/>
        <v>0</v>
      </c>
      <c r="AP260" s="699"/>
      <c r="AQ260" s="308"/>
      <c r="AR260" s="954" t="s">
        <v>1041</v>
      </c>
      <c r="AS260" s="955"/>
      <c r="AT260" s="955"/>
      <c r="AU260" s="955"/>
      <c r="AV260" s="955"/>
      <c r="AW260" s="701" t="s">
        <v>1042</v>
      </c>
      <c r="AX260" s="317">
        <f t="shared" si="51"/>
        <v>0</v>
      </c>
      <c r="AY260" s="665"/>
      <c r="BA260" s="311"/>
      <c r="BB260" s="702"/>
    </row>
    <row r="261" spans="1:54" ht="17.25" customHeight="1" thickBot="1" x14ac:dyDescent="0.3">
      <c r="A261" s="956" t="s">
        <v>299</v>
      </c>
      <c r="B261" s="956"/>
      <c r="C261" s="956"/>
      <c r="D261" s="956"/>
      <c r="E261" s="956"/>
      <c r="F261" s="678"/>
      <c r="G261" s="922">
        <f>SUM(G248:I260)</f>
        <v>1</v>
      </c>
      <c r="H261" s="923"/>
      <c r="I261" s="924"/>
      <c r="N261" s="956" t="s">
        <v>299</v>
      </c>
      <c r="O261" s="956"/>
      <c r="P261" s="956"/>
      <c r="Q261" s="956"/>
      <c r="R261" s="956"/>
      <c r="S261" s="678"/>
      <c r="T261" s="922">
        <f>SUM(T248:V260)</f>
        <v>0</v>
      </c>
      <c r="U261" s="923"/>
      <c r="V261" s="924"/>
      <c r="AA261" s="324"/>
      <c r="AI261" s="936" t="s">
        <v>1043</v>
      </c>
      <c r="AJ261" s="937"/>
      <c r="AK261" s="937"/>
      <c r="AL261" s="937"/>
      <c r="AM261" s="938"/>
      <c r="AN261" s="697" t="s">
        <v>1044</v>
      </c>
      <c r="AO261" s="317">
        <f t="shared" si="57"/>
        <v>0</v>
      </c>
      <c r="AP261" s="699"/>
      <c r="AQ261" s="308"/>
      <c r="AR261" s="954" t="s">
        <v>1045</v>
      </c>
      <c r="AS261" s="955"/>
      <c r="AT261" s="955"/>
      <c r="AU261" s="955"/>
      <c r="AV261" s="955"/>
      <c r="AW261" s="703" t="s">
        <v>1046</v>
      </c>
      <c r="AX261" s="317">
        <f t="shared" si="51"/>
        <v>0</v>
      </c>
      <c r="AY261" s="665"/>
      <c r="BA261" s="311"/>
      <c r="BB261" s="653"/>
    </row>
    <row r="262" spans="1:54" ht="17.25" customHeight="1" thickBot="1" x14ac:dyDescent="0.3">
      <c r="A262" s="930" t="s">
        <v>118</v>
      </c>
      <c r="B262" s="931"/>
      <c r="C262" s="931"/>
      <c r="D262" s="931"/>
      <c r="E262" s="932"/>
      <c r="F262" s="33"/>
      <c r="G262" s="33"/>
      <c r="H262" s="33"/>
      <c r="I262" s="33"/>
      <c r="N262" s="930" t="s">
        <v>118</v>
      </c>
      <c r="O262" s="931"/>
      <c r="P262" s="931"/>
      <c r="Q262" s="931"/>
      <c r="R262" s="932"/>
      <c r="S262" s="33"/>
      <c r="T262" s="33"/>
      <c r="U262" s="33"/>
      <c r="V262" s="33"/>
      <c r="AA262" s="268"/>
      <c r="AI262" s="936" t="s">
        <v>1047</v>
      </c>
      <c r="AJ262" s="937"/>
      <c r="AK262" s="937"/>
      <c r="AL262" s="937"/>
      <c r="AM262" s="938"/>
      <c r="AN262" s="697" t="s">
        <v>1048</v>
      </c>
      <c r="AO262" s="317">
        <f t="shared" si="57"/>
        <v>0</v>
      </c>
      <c r="AP262" s="699"/>
      <c r="AQ262" s="308"/>
      <c r="AR262" s="954" t="s">
        <v>1049</v>
      </c>
      <c r="AS262" s="955"/>
      <c r="AT262" s="955"/>
      <c r="AU262" s="955"/>
      <c r="AV262" s="955"/>
      <c r="AW262" s="704" t="s">
        <v>1050</v>
      </c>
      <c r="AX262" s="317">
        <f t="shared" si="51"/>
        <v>0</v>
      </c>
      <c r="AY262" s="665"/>
      <c r="BA262" s="311"/>
      <c r="BB262" s="653"/>
    </row>
    <row r="263" spans="1:54" ht="17.25" customHeight="1" x14ac:dyDescent="0.25">
      <c r="A263" s="925" t="s">
        <v>942</v>
      </c>
      <c r="B263" s="925"/>
      <c r="C263" s="925"/>
      <c r="D263" s="925"/>
      <c r="E263" s="925"/>
      <c r="F263" s="94" t="s">
        <v>1051</v>
      </c>
      <c r="G263" s="926">
        <f t="shared" ref="G263:G268" si="58">COUNTIF($A$4:$M$42,F263)+COUNTIF($A$43:$O$81,F263)+COUNTIF($N$4:$T$19,F263)+COUNTIF($O$20:$S$23,F263)+COUNTIF($N$24:$Q$25,F263)+COUNTIF($N$26:$P$26,F263)+COUNTIF($P$42,F263)+COUNTIF($T$21:$T$22,F263)+COUNTIF($R$24,F263)+COUNTIF($N$27:$O$28,F263)</f>
        <v>0</v>
      </c>
      <c r="H263" s="927"/>
      <c r="I263" s="928"/>
      <c r="N263" s="925" t="s">
        <v>942</v>
      </c>
      <c r="O263" s="925"/>
      <c r="P263" s="925"/>
      <c r="Q263" s="925"/>
      <c r="R263" s="925"/>
      <c r="S263" s="94" t="s">
        <v>1051</v>
      </c>
      <c r="T263" s="929">
        <f t="shared" ref="T263:T268" si="59">COUNTIF($T$23:$BI$73,S263)+COUNTIF($N$29:$S$39,S263)+COUNTIF($P$47:$S$68,S263)+COUNTIF($Q$40:$S$42,S263)+COUNTIF($P$27:$S$28,S263)+COUNTIF($R$25:$S$25,S263)+COUNTIF($S$24:$S$24,S263)</f>
        <v>0</v>
      </c>
      <c r="U263" s="929"/>
      <c r="V263" s="929"/>
      <c r="AI263" s="936" t="s">
        <v>1052</v>
      </c>
      <c r="AJ263" s="937"/>
      <c r="AK263" s="937"/>
      <c r="AL263" s="937"/>
      <c r="AM263" s="938"/>
      <c r="AN263" s="697" t="s">
        <v>1053</v>
      </c>
      <c r="AO263" s="317">
        <f t="shared" si="57"/>
        <v>0</v>
      </c>
      <c r="AP263" s="699"/>
      <c r="AQ263" s="308"/>
      <c r="AR263" s="954" t="s">
        <v>1054</v>
      </c>
      <c r="AS263" s="955"/>
      <c r="AT263" s="955"/>
      <c r="AU263" s="955"/>
      <c r="AV263" s="955"/>
      <c r="AW263" s="701" t="s">
        <v>1055</v>
      </c>
      <c r="AX263" s="317">
        <f t="shared" si="51"/>
        <v>0</v>
      </c>
      <c r="AY263" s="665"/>
      <c r="BA263" s="311"/>
    </row>
    <row r="264" spans="1:54" ht="17.25" customHeight="1" x14ac:dyDescent="0.25">
      <c r="A264" s="925" t="s">
        <v>948</v>
      </c>
      <c r="B264" s="925"/>
      <c r="C264" s="925"/>
      <c r="D264" s="925"/>
      <c r="E264" s="925"/>
      <c r="F264" s="94" t="s">
        <v>1056</v>
      </c>
      <c r="G264" s="926">
        <f t="shared" si="58"/>
        <v>0</v>
      </c>
      <c r="H264" s="927"/>
      <c r="I264" s="928"/>
      <c r="N264" s="925" t="s">
        <v>948</v>
      </c>
      <c r="O264" s="925"/>
      <c r="P264" s="925"/>
      <c r="Q264" s="925"/>
      <c r="R264" s="925"/>
      <c r="S264" s="94" t="s">
        <v>1056</v>
      </c>
      <c r="T264" s="929">
        <f t="shared" si="59"/>
        <v>0</v>
      </c>
      <c r="U264" s="929"/>
      <c r="V264" s="929"/>
      <c r="AI264" s="936" t="s">
        <v>1057</v>
      </c>
      <c r="AJ264" s="937"/>
      <c r="AK264" s="937"/>
      <c r="AL264" s="937"/>
      <c r="AM264" s="938"/>
      <c r="AN264" s="697" t="s">
        <v>1058</v>
      </c>
      <c r="AO264" s="317">
        <f t="shared" si="57"/>
        <v>0</v>
      </c>
      <c r="AP264" s="699"/>
      <c r="AQ264" s="308"/>
      <c r="AR264" s="954" t="s">
        <v>1059</v>
      </c>
      <c r="AS264" s="955"/>
      <c r="AT264" s="955"/>
      <c r="AU264" s="955"/>
      <c r="AV264" s="955"/>
      <c r="AW264" s="705" t="s">
        <v>1060</v>
      </c>
      <c r="AX264" s="317">
        <f t="shared" si="51"/>
        <v>0</v>
      </c>
      <c r="AY264" s="665"/>
      <c r="BA264" s="311"/>
    </row>
    <row r="265" spans="1:54" ht="17.25" customHeight="1" x14ac:dyDescent="0.25">
      <c r="A265" s="925" t="s">
        <v>953</v>
      </c>
      <c r="B265" s="925"/>
      <c r="C265" s="925"/>
      <c r="D265" s="925"/>
      <c r="E265" s="925"/>
      <c r="F265" s="94" t="s">
        <v>1061</v>
      </c>
      <c r="G265" s="926">
        <f t="shared" si="58"/>
        <v>0</v>
      </c>
      <c r="H265" s="927"/>
      <c r="I265" s="928"/>
      <c r="N265" s="925" t="s">
        <v>953</v>
      </c>
      <c r="O265" s="925"/>
      <c r="P265" s="925"/>
      <c r="Q265" s="925"/>
      <c r="R265" s="925"/>
      <c r="S265" s="94" t="s">
        <v>1061</v>
      </c>
      <c r="T265" s="929">
        <f t="shared" si="59"/>
        <v>0</v>
      </c>
      <c r="U265" s="929"/>
      <c r="V265" s="929"/>
      <c r="AI265" s="936" t="s">
        <v>1062</v>
      </c>
      <c r="AJ265" s="937"/>
      <c r="AK265" s="937"/>
      <c r="AL265" s="937"/>
      <c r="AM265" s="938"/>
      <c r="AN265" s="697" t="s">
        <v>1063</v>
      </c>
      <c r="AO265" s="317">
        <f t="shared" si="57"/>
        <v>0</v>
      </c>
      <c r="AP265" s="699"/>
      <c r="AQ265" s="308"/>
      <c r="AR265" s="951" t="s">
        <v>1064</v>
      </c>
      <c r="AS265" s="952"/>
      <c r="AT265" s="952"/>
      <c r="AU265" s="952"/>
      <c r="AV265" s="953"/>
      <c r="AW265" s="501"/>
      <c r="AX265" s="502">
        <f>SUM(AX227:AX264)</f>
        <v>0</v>
      </c>
      <c r="BA265" s="311"/>
    </row>
    <row r="266" spans="1:54" ht="17.25" customHeight="1" x14ac:dyDescent="0.25">
      <c r="A266" s="925" t="s">
        <v>957</v>
      </c>
      <c r="B266" s="925"/>
      <c r="C266" s="925"/>
      <c r="D266" s="925"/>
      <c r="E266" s="925"/>
      <c r="F266" s="94" t="s">
        <v>1065</v>
      </c>
      <c r="G266" s="926">
        <f t="shared" si="58"/>
        <v>0</v>
      </c>
      <c r="H266" s="927"/>
      <c r="I266" s="928"/>
      <c r="N266" s="925" t="s">
        <v>957</v>
      </c>
      <c r="O266" s="925"/>
      <c r="P266" s="925"/>
      <c r="Q266" s="925"/>
      <c r="R266" s="925"/>
      <c r="S266" s="94" t="s">
        <v>1065</v>
      </c>
      <c r="T266" s="929">
        <f t="shared" si="59"/>
        <v>0</v>
      </c>
      <c r="U266" s="929"/>
      <c r="V266" s="929"/>
      <c r="AI266" s="936" t="s">
        <v>1066</v>
      </c>
      <c r="AJ266" s="937"/>
      <c r="AK266" s="937"/>
      <c r="AL266" s="937"/>
      <c r="AM266" s="938"/>
      <c r="AN266" s="697" t="s">
        <v>1067</v>
      </c>
      <c r="AO266" s="317">
        <f t="shared" si="57"/>
        <v>0</v>
      </c>
      <c r="AP266" s="699"/>
      <c r="AQ266" s="308"/>
      <c r="BA266" s="311"/>
    </row>
    <row r="267" spans="1:54" ht="17.25" customHeight="1" x14ac:dyDescent="0.25">
      <c r="A267" s="925" t="s">
        <v>961</v>
      </c>
      <c r="B267" s="925"/>
      <c r="C267" s="925"/>
      <c r="D267" s="925"/>
      <c r="E267" s="925"/>
      <c r="F267" s="94" t="s">
        <v>1068</v>
      </c>
      <c r="G267" s="926">
        <f t="shared" si="58"/>
        <v>0</v>
      </c>
      <c r="H267" s="927"/>
      <c r="I267" s="928"/>
      <c r="N267" s="925" t="s">
        <v>961</v>
      </c>
      <c r="O267" s="925"/>
      <c r="P267" s="925"/>
      <c r="Q267" s="925"/>
      <c r="R267" s="925"/>
      <c r="S267" s="94" t="s">
        <v>1068</v>
      </c>
      <c r="T267" s="929">
        <f t="shared" si="59"/>
        <v>0</v>
      </c>
      <c r="U267" s="929"/>
      <c r="V267" s="929"/>
      <c r="AI267" s="936" t="s">
        <v>1069</v>
      </c>
      <c r="AJ267" s="937"/>
      <c r="AK267" s="937"/>
      <c r="AL267" s="937"/>
      <c r="AM267" s="938"/>
      <c r="AN267" s="697" t="s">
        <v>1069</v>
      </c>
      <c r="AO267" s="317">
        <f t="shared" si="57"/>
        <v>0</v>
      </c>
      <c r="AP267" s="699"/>
      <c r="AR267" s="907" t="s">
        <v>402</v>
      </c>
      <c r="AS267" s="908"/>
      <c r="AT267" s="908"/>
      <c r="AU267" s="908"/>
      <c r="AV267" s="908"/>
      <c r="AW267" s="909"/>
      <c r="AX267" s="309" t="s">
        <v>299</v>
      </c>
      <c r="AY267" s="310"/>
      <c r="BA267" s="311"/>
    </row>
    <row r="268" spans="1:54" ht="17.25" customHeight="1" thickBot="1" x14ac:dyDescent="0.3">
      <c r="A268" s="947" t="s">
        <v>966</v>
      </c>
      <c r="B268" s="947"/>
      <c r="C268" s="947"/>
      <c r="D268" s="947"/>
      <c r="E268" s="947"/>
      <c r="F268" s="94" t="s">
        <v>1070</v>
      </c>
      <c r="G268" s="926">
        <f t="shared" si="58"/>
        <v>0</v>
      </c>
      <c r="H268" s="927"/>
      <c r="I268" s="928"/>
      <c r="N268" s="947" t="s">
        <v>966</v>
      </c>
      <c r="O268" s="947"/>
      <c r="P268" s="947"/>
      <c r="Q268" s="947"/>
      <c r="R268" s="947"/>
      <c r="S268" s="94" t="s">
        <v>1070</v>
      </c>
      <c r="T268" s="929">
        <f t="shared" si="59"/>
        <v>0</v>
      </c>
      <c r="U268" s="929"/>
      <c r="V268" s="929"/>
      <c r="AI268" s="936" t="s">
        <v>1071</v>
      </c>
      <c r="AJ268" s="937"/>
      <c r="AK268" s="937"/>
      <c r="AL268" s="937"/>
      <c r="AM268" s="938"/>
      <c r="AN268" s="697" t="s">
        <v>1072</v>
      </c>
      <c r="AO268" s="317">
        <f t="shared" si="57"/>
        <v>0</v>
      </c>
      <c r="AP268" s="699"/>
      <c r="AR268" s="948" t="s">
        <v>1073</v>
      </c>
      <c r="AS268" s="949"/>
      <c r="AT268" s="949"/>
      <c r="AU268" s="949"/>
      <c r="AV268" s="950"/>
      <c r="AW268" s="706" t="s">
        <v>1074</v>
      </c>
      <c r="AX268" s="317">
        <f>COUNTIF($A$1:$GO$103,AW268)</f>
        <v>0</v>
      </c>
      <c r="AY268" s="707"/>
      <c r="BA268" s="311"/>
    </row>
    <row r="269" spans="1:54" ht="17.25" customHeight="1" thickBot="1" x14ac:dyDescent="0.3">
      <c r="A269" s="942" t="s">
        <v>299</v>
      </c>
      <c r="B269" s="943"/>
      <c r="C269" s="943"/>
      <c r="D269" s="943"/>
      <c r="E269" s="943"/>
      <c r="F269" s="678"/>
      <c r="G269" s="922">
        <f>SUM(G263:I268)</f>
        <v>0</v>
      </c>
      <c r="H269" s="923"/>
      <c r="I269" s="924"/>
      <c r="N269" s="942" t="s">
        <v>299</v>
      </c>
      <c r="O269" s="943"/>
      <c r="P269" s="943"/>
      <c r="Q269" s="943"/>
      <c r="R269" s="943"/>
      <c r="S269" s="678"/>
      <c r="T269" s="922">
        <f>SUM(T263:V268)</f>
        <v>0</v>
      </c>
      <c r="U269" s="923"/>
      <c r="V269" s="924"/>
      <c r="AI269" s="936" t="s">
        <v>1075</v>
      </c>
      <c r="AJ269" s="937"/>
      <c r="AK269" s="937"/>
      <c r="AL269" s="937"/>
      <c r="AM269" s="938"/>
      <c r="AN269" s="697" t="s">
        <v>1075</v>
      </c>
      <c r="AO269" s="317">
        <f t="shared" si="57"/>
        <v>0</v>
      </c>
      <c r="AP269" s="699"/>
      <c r="AR269" s="944" t="s">
        <v>1076</v>
      </c>
      <c r="AS269" s="945"/>
      <c r="AT269" s="945"/>
      <c r="AU269" s="945"/>
      <c r="AV269" s="946"/>
      <c r="AW269" s="708" t="s">
        <v>1077</v>
      </c>
      <c r="AX269" s="317">
        <f>COUNTIF($A$1:$GO$103,AW269)</f>
        <v>0</v>
      </c>
      <c r="AY269" s="707"/>
      <c r="BA269" s="311"/>
    </row>
    <row r="270" spans="1:54" ht="17.25" customHeight="1" thickBot="1" x14ac:dyDescent="0.3">
      <c r="A270" s="933" t="s">
        <v>1078</v>
      </c>
      <c r="B270" s="934"/>
      <c r="C270" s="934"/>
      <c r="D270" s="934"/>
      <c r="E270" s="935"/>
      <c r="F270" s="33"/>
      <c r="G270" s="33"/>
      <c r="H270" s="33"/>
      <c r="I270" s="33"/>
      <c r="N270" s="933" t="s">
        <v>1078</v>
      </c>
      <c r="O270" s="934"/>
      <c r="P270" s="934"/>
      <c r="Q270" s="934"/>
      <c r="R270" s="935"/>
      <c r="S270" s="33"/>
      <c r="T270" s="33"/>
      <c r="U270" s="33"/>
      <c r="V270" s="33"/>
      <c r="AI270" s="936" t="s">
        <v>1079</v>
      </c>
      <c r="AJ270" s="937"/>
      <c r="AK270" s="937"/>
      <c r="AL270" s="937"/>
      <c r="AM270" s="938"/>
      <c r="AN270" s="697" t="s">
        <v>1080</v>
      </c>
      <c r="AO270" s="317">
        <f t="shared" si="57"/>
        <v>0</v>
      </c>
      <c r="AP270" s="699"/>
      <c r="AR270" s="939" t="s">
        <v>1081</v>
      </c>
      <c r="AS270" s="940"/>
      <c r="AT270" s="940"/>
      <c r="AU270" s="940"/>
      <c r="AV270" s="941"/>
      <c r="AW270" s="501"/>
      <c r="AX270" s="502">
        <f>SUM(AX268:AX269)</f>
        <v>0</v>
      </c>
      <c r="BA270" s="311"/>
    </row>
    <row r="271" spans="1:54" ht="17.25" customHeight="1" x14ac:dyDescent="0.25">
      <c r="A271" s="925" t="s">
        <v>942</v>
      </c>
      <c r="B271" s="925"/>
      <c r="C271" s="925"/>
      <c r="D271" s="925"/>
      <c r="E271" s="925"/>
      <c r="F271" s="94" t="s">
        <v>1082</v>
      </c>
      <c r="G271" s="926">
        <f>COUNTIF($A$4:$M$42,F271)+COUNTIF($A$43:$O$81,F271)+COUNTIF($N$4:$T$19,F271)+COUNTIF($O$20:$S$23,F271)+COUNTIF($N$24:$Q$25,F271)+COUNTIF($N$26:$P$26,F271)+COUNTIF($P$42,F271)+COUNTIF($T$21:$T$22,F271)+COUNTIF($R$24,F271)+COUNTIF($N$27:$O$28,F271)</f>
        <v>0</v>
      </c>
      <c r="H271" s="927"/>
      <c r="I271" s="928"/>
      <c r="N271" s="925" t="s">
        <v>942</v>
      </c>
      <c r="O271" s="925"/>
      <c r="P271" s="925"/>
      <c r="Q271" s="925"/>
      <c r="R271" s="925"/>
      <c r="S271" s="94" t="s">
        <v>1082</v>
      </c>
      <c r="T271" s="929">
        <f>COUNTIF($T$23:$BI$73,S271)+COUNTIF($N$29:$S$39,S271)+COUNTIF($P$47:$S$68,S271)+COUNTIF($Q$40:$S$42,S271)+COUNTIF($P$27:$S$28,S271)+COUNTIF($R$25:$S$25,S271)+COUNTIF($S$24:$S$24,S271)</f>
        <v>0</v>
      </c>
      <c r="U271" s="929"/>
      <c r="V271" s="929"/>
      <c r="AI271" s="936" t="s">
        <v>1083</v>
      </c>
      <c r="AJ271" s="937"/>
      <c r="AK271" s="937"/>
      <c r="AL271" s="937"/>
      <c r="AM271" s="938"/>
      <c r="AN271" s="697" t="s">
        <v>1084</v>
      </c>
      <c r="AO271" s="317">
        <f t="shared" si="57"/>
        <v>0</v>
      </c>
      <c r="AP271" s="699"/>
      <c r="AY271" s="308"/>
      <c r="BA271" s="311"/>
    </row>
    <row r="272" spans="1:54" ht="17.25" customHeight="1" x14ac:dyDescent="0.25">
      <c r="A272" s="925" t="s">
        <v>957</v>
      </c>
      <c r="B272" s="925"/>
      <c r="C272" s="925"/>
      <c r="D272" s="925"/>
      <c r="E272" s="925"/>
      <c r="F272" s="94" t="s">
        <v>1085</v>
      </c>
      <c r="G272" s="926">
        <f>COUNTIF($A$4:$M$42,F272)+COUNTIF($A$43:$O$81,F272)+COUNTIF($N$4:$T$19,F272)+COUNTIF($O$20:$S$23,F272)+COUNTIF($N$24:$Q$25,F272)+COUNTIF($N$26:$P$26,F272)+COUNTIF($P$42,F272)+COUNTIF($T$21:$T$22,F272)+COUNTIF($R$24,F272)+COUNTIF($N$27:$O$28,F272)</f>
        <v>0</v>
      </c>
      <c r="H272" s="927"/>
      <c r="I272" s="928"/>
      <c r="N272" s="925" t="s">
        <v>957</v>
      </c>
      <c r="O272" s="925"/>
      <c r="P272" s="925"/>
      <c r="Q272" s="925"/>
      <c r="R272" s="925"/>
      <c r="S272" s="94" t="s">
        <v>1085</v>
      </c>
      <c r="T272" s="929">
        <f>COUNTIF($T$23:$BI$73,S272)+COUNTIF($N$29:$S$39,S272)+COUNTIF($P$47:$S$68,S272)+COUNTIF($Q$40:$S$42,S272)+COUNTIF($P$27:$S$28,S272)+COUNTIF($R$25:$S$25,S272)+COUNTIF($S$24:$S$24,S272)</f>
        <v>0</v>
      </c>
      <c r="U272" s="929"/>
      <c r="V272" s="929"/>
      <c r="AI272" s="893" t="s">
        <v>1086</v>
      </c>
      <c r="AJ272" s="894"/>
      <c r="AK272" s="894"/>
      <c r="AL272" s="894"/>
      <c r="AM272" s="895"/>
      <c r="AN272" s="501"/>
      <c r="AO272" s="502">
        <f>SUM(AO256:AO271)</f>
        <v>0</v>
      </c>
      <c r="AR272" s="907" t="s">
        <v>361</v>
      </c>
      <c r="AS272" s="908"/>
      <c r="AT272" s="908"/>
      <c r="AU272" s="908"/>
      <c r="AV272" s="908"/>
      <c r="AW272" s="909"/>
      <c r="AX272" s="309" t="s">
        <v>299</v>
      </c>
      <c r="AY272" s="310"/>
      <c r="BA272" s="311"/>
    </row>
    <row r="273" spans="1:53" ht="17.25" customHeight="1" thickBot="1" x14ac:dyDescent="0.3">
      <c r="A273" s="919" t="s">
        <v>299</v>
      </c>
      <c r="B273" s="920"/>
      <c r="C273" s="920"/>
      <c r="D273" s="920"/>
      <c r="E273" s="921"/>
      <c r="F273" s="678"/>
      <c r="G273" s="922">
        <f>SUM(G271:I272)</f>
        <v>0</v>
      </c>
      <c r="H273" s="923"/>
      <c r="I273" s="924"/>
      <c r="N273" s="919" t="s">
        <v>299</v>
      </c>
      <c r="O273" s="920"/>
      <c r="P273" s="920"/>
      <c r="Q273" s="920"/>
      <c r="R273" s="921"/>
      <c r="S273" s="678"/>
      <c r="T273" s="922">
        <f>SUM(T271:V272)</f>
        <v>0</v>
      </c>
      <c r="U273" s="923"/>
      <c r="V273" s="924"/>
      <c r="AI273" s="692"/>
      <c r="AR273" s="911" t="s">
        <v>1087</v>
      </c>
      <c r="AS273" s="912"/>
      <c r="AT273" s="912"/>
      <c r="AU273" s="912"/>
      <c r="AV273" s="913"/>
      <c r="AW273" s="709" t="s">
        <v>1088</v>
      </c>
      <c r="AX273" s="317">
        <f t="shared" ref="AX273:AX278" si="60">COUNTIF($A$1:$GO$103,AW273)</f>
        <v>0</v>
      </c>
      <c r="AY273" s="710"/>
      <c r="BA273" s="311"/>
    </row>
    <row r="274" spans="1:53" ht="17.25" customHeight="1" thickBot="1" x14ac:dyDescent="0.3">
      <c r="A274" s="930" t="s">
        <v>1089</v>
      </c>
      <c r="B274" s="931"/>
      <c r="C274" s="931"/>
      <c r="D274" s="931"/>
      <c r="E274" s="932"/>
      <c r="F274" s="33"/>
      <c r="G274" s="33"/>
      <c r="H274" s="33"/>
      <c r="I274" s="33"/>
      <c r="N274" s="930" t="s">
        <v>1089</v>
      </c>
      <c r="O274" s="931"/>
      <c r="P274" s="931"/>
      <c r="Q274" s="931"/>
      <c r="R274" s="932"/>
      <c r="S274" s="33"/>
      <c r="T274" s="33"/>
      <c r="U274" s="33"/>
      <c r="V274" s="33"/>
      <c r="AI274" s="918"/>
      <c r="AJ274" s="908"/>
      <c r="AK274" s="908"/>
      <c r="AL274" s="908"/>
      <c r="AM274" s="908"/>
      <c r="AN274" s="904"/>
      <c r="AO274" s="309"/>
      <c r="AP274" s="310"/>
      <c r="AR274" s="911" t="s">
        <v>1090</v>
      </c>
      <c r="AS274" s="912"/>
      <c r="AT274" s="912"/>
      <c r="AU274" s="912"/>
      <c r="AV274" s="913"/>
      <c r="AW274" s="711" t="s">
        <v>1091</v>
      </c>
      <c r="AX274" s="317">
        <f t="shared" si="60"/>
        <v>0</v>
      </c>
      <c r="AY274" s="710"/>
      <c r="BA274" s="311"/>
    </row>
    <row r="275" spans="1:53" ht="17.25" customHeight="1" x14ac:dyDescent="0.25">
      <c r="A275" s="925" t="s">
        <v>942</v>
      </c>
      <c r="B275" s="925"/>
      <c r="C275" s="925"/>
      <c r="D275" s="925"/>
      <c r="E275" s="925"/>
      <c r="F275" s="94" t="s">
        <v>1092</v>
      </c>
      <c r="G275" s="926">
        <f>COUNTIF($A$4:$M$42,F275)+COUNTIF($A$43:$O$81,F275)+COUNTIF($N$4:$T$19,F275)+COUNTIF($O$20:$S$23,F275)+COUNTIF($N$24:$Q$25,F275)+COUNTIF($N$26:$P$26,F275)+COUNTIF($P$42,F275)+COUNTIF($T$21:$T$22,F275)+COUNTIF($R$24,F275)+COUNTIF($N$27:$O$28,F275)</f>
        <v>0</v>
      </c>
      <c r="H275" s="927"/>
      <c r="I275" s="928"/>
      <c r="N275" s="925" t="s">
        <v>942</v>
      </c>
      <c r="O275" s="925"/>
      <c r="P275" s="925"/>
      <c r="Q275" s="925"/>
      <c r="R275" s="925"/>
      <c r="S275" s="94" t="s">
        <v>1092</v>
      </c>
      <c r="T275" s="929">
        <f>COUNTIF($T$23:$BI$73,S275)+COUNTIF($N$29:$S$39,S275)+COUNTIF($P$47:$S$68,S275)+COUNTIF($Q$40:$S$42,S275)+COUNTIF($P$27:$S$28,S275)+COUNTIF($R$25:$S$25,S275)+COUNTIF($S$24:$S$24,S275)</f>
        <v>0</v>
      </c>
      <c r="U275" s="929"/>
      <c r="V275" s="929"/>
      <c r="AI275" s="914"/>
      <c r="AJ275" s="915"/>
      <c r="AK275" s="915"/>
      <c r="AL275" s="915"/>
      <c r="AM275" s="915"/>
      <c r="AN275" s="497"/>
      <c r="AO275" s="317"/>
      <c r="AP275" s="712"/>
      <c r="AR275" s="911" t="s">
        <v>1093</v>
      </c>
      <c r="AS275" s="912"/>
      <c r="AT275" s="912"/>
      <c r="AU275" s="912"/>
      <c r="AV275" s="913"/>
      <c r="AW275" s="713" t="s">
        <v>1094</v>
      </c>
      <c r="AX275" s="317">
        <f t="shared" si="60"/>
        <v>0</v>
      </c>
      <c r="AY275" s="710"/>
      <c r="BA275" s="311"/>
    </row>
    <row r="276" spans="1:53" ht="17.25" customHeight="1" x14ac:dyDescent="0.25">
      <c r="A276" s="925" t="s">
        <v>957</v>
      </c>
      <c r="B276" s="925"/>
      <c r="C276" s="925"/>
      <c r="D276" s="925"/>
      <c r="E276" s="925"/>
      <c r="F276" s="94" t="s">
        <v>1095</v>
      </c>
      <c r="G276" s="926">
        <f>COUNTIF($A$4:$M$42,F276)+COUNTIF($A$43:$O$81,F276)+COUNTIF($N$4:$T$19,F276)+COUNTIF($O$20:$S$23,F276)+COUNTIF($N$24:$Q$25,F276)+COUNTIF($N$26:$P$26,F276)+COUNTIF($P$42,F276)+COUNTIF($T$21:$T$22,F276)+COUNTIF($R$24,F276)+COUNTIF($N$27:$O$28,F276)</f>
        <v>0</v>
      </c>
      <c r="H276" s="927"/>
      <c r="I276" s="928"/>
      <c r="N276" s="925" t="s">
        <v>957</v>
      </c>
      <c r="O276" s="925"/>
      <c r="P276" s="925"/>
      <c r="Q276" s="925"/>
      <c r="R276" s="925"/>
      <c r="S276" s="94" t="s">
        <v>1095</v>
      </c>
      <c r="T276" s="929">
        <f>COUNTIF($T$23:$BI$73,S276)+COUNTIF($N$29:$S$39,S276)+COUNTIF($P$47:$S$68,S276)+COUNTIF($Q$40:$S$42,S276)+COUNTIF($P$27:$S$28,S276)+COUNTIF($R$25:$S$25,S276)+COUNTIF($S$24:$S$24,S276)</f>
        <v>0</v>
      </c>
      <c r="U276" s="929"/>
      <c r="V276" s="929"/>
      <c r="AI276" s="893"/>
      <c r="AJ276" s="894"/>
      <c r="AK276" s="894"/>
      <c r="AL276" s="894"/>
      <c r="AM276" s="895"/>
      <c r="AN276" s="501"/>
      <c r="AO276" s="502"/>
      <c r="AR276" s="911" t="s">
        <v>1096</v>
      </c>
      <c r="AS276" s="912"/>
      <c r="AT276" s="912"/>
      <c r="AU276" s="912"/>
      <c r="AV276" s="913"/>
      <c r="AW276" s="714" t="s">
        <v>1097</v>
      </c>
      <c r="AX276" s="317">
        <f t="shared" si="60"/>
        <v>0</v>
      </c>
      <c r="AY276" s="710"/>
      <c r="BA276" s="311"/>
    </row>
    <row r="277" spans="1:53" ht="17.25" customHeight="1" thickBot="1" x14ac:dyDescent="0.3">
      <c r="A277" s="919" t="s">
        <v>299</v>
      </c>
      <c r="B277" s="920"/>
      <c r="C277" s="920"/>
      <c r="D277" s="920"/>
      <c r="E277" s="921"/>
      <c r="F277" s="678"/>
      <c r="G277" s="922">
        <f>SUM(G275:I276)</f>
        <v>0</v>
      </c>
      <c r="H277" s="923"/>
      <c r="I277" s="924"/>
      <c r="N277" s="919" t="s">
        <v>299</v>
      </c>
      <c r="O277" s="920"/>
      <c r="P277" s="920"/>
      <c r="Q277" s="920"/>
      <c r="R277" s="921"/>
      <c r="S277" s="678"/>
      <c r="T277" s="922">
        <f>SUM(T275:V276)</f>
        <v>0</v>
      </c>
      <c r="U277" s="923"/>
      <c r="V277" s="924"/>
      <c r="AI277" s="692"/>
      <c r="AR277" s="911" t="s">
        <v>1098</v>
      </c>
      <c r="AS277" s="912"/>
      <c r="AT277" s="912"/>
      <c r="AU277" s="912"/>
      <c r="AV277" s="913"/>
      <c r="AW277" s="715" t="s">
        <v>1099</v>
      </c>
      <c r="AX277" s="317">
        <f t="shared" si="60"/>
        <v>0</v>
      </c>
      <c r="AY277" s="710"/>
      <c r="BA277" s="311"/>
    </row>
    <row r="278" spans="1:53" ht="17.25" customHeight="1" x14ac:dyDescent="0.25">
      <c r="M278" s="268"/>
      <c r="AI278" s="692"/>
      <c r="AR278" s="911" t="s">
        <v>1100</v>
      </c>
      <c r="AS278" s="912"/>
      <c r="AT278" s="912"/>
      <c r="AU278" s="912"/>
      <c r="AV278" s="913"/>
      <c r="AW278" s="716" t="s">
        <v>1101</v>
      </c>
      <c r="AX278" s="317">
        <f t="shared" si="60"/>
        <v>0</v>
      </c>
      <c r="AY278" s="710"/>
      <c r="BA278" s="311"/>
    </row>
    <row r="279" spans="1:53" ht="17.25" customHeight="1" x14ac:dyDescent="0.25">
      <c r="M279" s="268"/>
      <c r="AI279" s="918" t="s">
        <v>809</v>
      </c>
      <c r="AJ279" s="908"/>
      <c r="AK279" s="908"/>
      <c r="AL279" s="908"/>
      <c r="AM279" s="908"/>
      <c r="AN279" s="909"/>
      <c r="AO279" s="309" t="s">
        <v>299</v>
      </c>
      <c r="AP279" s="310"/>
      <c r="AR279" s="907" t="s">
        <v>1102</v>
      </c>
      <c r="AS279" s="908"/>
      <c r="AT279" s="908"/>
      <c r="AU279" s="908"/>
      <c r="AV279" s="909"/>
      <c r="AW279" s="501"/>
      <c r="AX279" s="502">
        <f>SUM(AX273:AX278)</f>
        <v>0</v>
      </c>
      <c r="BA279" s="311"/>
    </row>
    <row r="280" spans="1:53" ht="17.25" customHeight="1" x14ac:dyDescent="0.25">
      <c r="M280" s="268"/>
      <c r="AI280" s="914" t="s">
        <v>1103</v>
      </c>
      <c r="AJ280" s="915"/>
      <c r="AK280" s="915"/>
      <c r="AL280" s="915"/>
      <c r="AM280" s="916"/>
      <c r="AN280" s="717" t="s">
        <v>1104</v>
      </c>
      <c r="AO280" s="317">
        <f>COUNTIF($A$1:$GO$103,AN280)</f>
        <v>0</v>
      </c>
      <c r="AP280" s="718"/>
      <c r="BA280" s="311"/>
    </row>
    <row r="281" spans="1:53" ht="17.25" customHeight="1" x14ac:dyDescent="0.25">
      <c r="M281" s="268"/>
      <c r="AI281" s="914" t="s">
        <v>1105</v>
      </c>
      <c r="AJ281" s="915"/>
      <c r="AK281" s="915"/>
      <c r="AL281" s="915"/>
      <c r="AM281" s="916"/>
      <c r="AN281" s="719" t="s">
        <v>1106</v>
      </c>
      <c r="AO281" s="317">
        <f>COUNTIF($A$1:$GO$103,AN281)</f>
        <v>0</v>
      </c>
      <c r="AP281" s="720"/>
      <c r="AQ281" s="308"/>
      <c r="AR281" s="907" t="s">
        <v>407</v>
      </c>
      <c r="AS281" s="908"/>
      <c r="AT281" s="908"/>
      <c r="AU281" s="908"/>
      <c r="AV281" s="908"/>
      <c r="AW281" s="909"/>
      <c r="AX281" s="309" t="s">
        <v>299</v>
      </c>
      <c r="AY281" s="310"/>
      <c r="BA281" s="311"/>
    </row>
    <row r="282" spans="1:53" ht="17.25" customHeight="1" x14ac:dyDescent="0.25">
      <c r="M282" s="268"/>
      <c r="AI282" s="914" t="s">
        <v>1107</v>
      </c>
      <c r="AJ282" s="915"/>
      <c r="AK282" s="915"/>
      <c r="AL282" s="915"/>
      <c r="AM282" s="916"/>
      <c r="AN282" s="721" t="s">
        <v>1108</v>
      </c>
      <c r="AO282" s="317">
        <f>COUNTIF($A$1:$GO$103,AN282)</f>
        <v>0</v>
      </c>
      <c r="AP282" s="720"/>
      <c r="AR282" s="911" t="s">
        <v>1109</v>
      </c>
      <c r="AS282" s="912"/>
      <c r="AT282" s="912"/>
      <c r="AU282" s="912"/>
      <c r="AV282" s="913"/>
      <c r="AW282" s="722" t="s">
        <v>408</v>
      </c>
      <c r="AX282" s="317">
        <f>COUNTIF($A$1:$GO$103,AW282)</f>
        <v>0</v>
      </c>
      <c r="AY282" s="710"/>
      <c r="BA282" s="311"/>
    </row>
    <row r="283" spans="1:53" ht="17.25" customHeight="1" x14ac:dyDescent="0.25">
      <c r="M283" s="268"/>
      <c r="AI283" s="914" t="s">
        <v>1110</v>
      </c>
      <c r="AJ283" s="915"/>
      <c r="AK283" s="915"/>
      <c r="AL283" s="915"/>
      <c r="AM283" s="916"/>
      <c r="AN283" s="723" t="s">
        <v>1111</v>
      </c>
      <c r="AO283" s="317">
        <f>COUNTIF($A$1:$GO$103,AN283)</f>
        <v>0</v>
      </c>
      <c r="AP283" s="720"/>
      <c r="AR283" s="907" t="s">
        <v>1112</v>
      </c>
      <c r="AS283" s="908"/>
      <c r="AT283" s="908"/>
      <c r="AU283" s="908"/>
      <c r="AV283" s="909"/>
      <c r="AW283" s="501"/>
      <c r="AX283" s="502">
        <f>SUM(AX282:AX282)</f>
        <v>0</v>
      </c>
      <c r="BA283" s="311"/>
    </row>
    <row r="284" spans="1:53" ht="17.25" customHeight="1" x14ac:dyDescent="0.25">
      <c r="M284" s="268"/>
      <c r="AI284" s="914" t="s">
        <v>1113</v>
      </c>
      <c r="AJ284" s="915"/>
      <c r="AK284" s="915"/>
      <c r="AL284" s="915"/>
      <c r="AM284" s="916"/>
      <c r="AN284" s="724" t="s">
        <v>1114</v>
      </c>
      <c r="AO284" s="317">
        <f>COUNTIF($A$1:$GO$103,AN284)</f>
        <v>0</v>
      </c>
      <c r="AP284" s="720"/>
      <c r="AR284" s="308"/>
      <c r="AS284" s="308"/>
      <c r="AT284" s="308"/>
      <c r="AU284" s="308"/>
      <c r="AV284" s="308"/>
      <c r="AW284" s="308"/>
      <c r="AX284" s="308"/>
      <c r="AY284" s="308"/>
      <c r="BA284" s="311"/>
    </row>
    <row r="285" spans="1:53" ht="17.25" customHeight="1" x14ac:dyDescent="0.25">
      <c r="M285" s="268"/>
      <c r="AI285" s="893" t="s">
        <v>1115</v>
      </c>
      <c r="AJ285" s="894"/>
      <c r="AK285" s="894"/>
      <c r="AL285" s="894"/>
      <c r="AM285" s="895"/>
      <c r="AN285" s="501"/>
      <c r="AO285" s="502">
        <f>SUM(AO280:AO284)</f>
        <v>0</v>
      </c>
      <c r="AP285" s="308"/>
      <c r="AR285" s="907" t="s">
        <v>420</v>
      </c>
      <c r="AS285" s="908"/>
      <c r="AT285" s="908"/>
      <c r="AU285" s="908"/>
      <c r="AV285" s="908"/>
      <c r="AW285" s="909"/>
      <c r="AX285" s="309" t="s">
        <v>299</v>
      </c>
      <c r="AY285" s="310"/>
      <c r="BA285" s="311"/>
    </row>
    <row r="286" spans="1:53" ht="17.25" customHeight="1" x14ac:dyDescent="0.25">
      <c r="M286" s="268"/>
      <c r="AI286" s="692"/>
      <c r="AR286" s="917" t="s">
        <v>420</v>
      </c>
      <c r="AS286" s="912"/>
      <c r="AT286" s="912"/>
      <c r="AU286" s="912"/>
      <c r="AV286" s="913"/>
      <c r="AW286" s="725" t="s">
        <v>421</v>
      </c>
      <c r="AX286" s="317">
        <f>COUNTIF($A$1:$GO$103,AW286)</f>
        <v>0</v>
      </c>
      <c r="AY286" s="726"/>
      <c r="BA286" s="679"/>
    </row>
    <row r="287" spans="1:53" ht="17.25" customHeight="1" x14ac:dyDescent="0.25">
      <c r="M287" s="268"/>
      <c r="AI287" s="902" t="s">
        <v>426</v>
      </c>
      <c r="AJ287" s="903"/>
      <c r="AK287" s="903"/>
      <c r="AL287" s="903"/>
      <c r="AM287" s="903"/>
      <c r="AN287" s="904"/>
      <c r="AO287" s="309" t="s">
        <v>299</v>
      </c>
      <c r="AP287" s="310"/>
      <c r="AR287" s="907" t="s">
        <v>1116</v>
      </c>
      <c r="AS287" s="908"/>
      <c r="AT287" s="908"/>
      <c r="AU287" s="908"/>
      <c r="AV287" s="909"/>
      <c r="AW287" s="501"/>
      <c r="AX287" s="502">
        <f>SUM(AX286:AX286)</f>
        <v>0</v>
      </c>
      <c r="BA287" s="679"/>
    </row>
    <row r="288" spans="1:53" ht="17.25" customHeight="1" x14ac:dyDescent="0.25">
      <c r="M288" s="268"/>
      <c r="AI288" s="896" t="s">
        <v>1117</v>
      </c>
      <c r="AJ288" s="897"/>
      <c r="AK288" s="897"/>
      <c r="AL288" s="897"/>
      <c r="AM288" s="897"/>
      <c r="AN288" s="727" t="s">
        <v>1118</v>
      </c>
      <c r="AO288" s="317">
        <f>COUNTIF($A$1:$GO$103,AN288)</f>
        <v>0</v>
      </c>
      <c r="AP288" s="728"/>
      <c r="BA288" s="679"/>
    </row>
    <row r="289" spans="13:53" ht="17.25" customHeight="1" x14ac:dyDescent="0.25">
      <c r="M289" s="268"/>
      <c r="AA289" s="268"/>
      <c r="AI289" s="896" t="s">
        <v>1119</v>
      </c>
      <c r="AJ289" s="897"/>
      <c r="AK289" s="897"/>
      <c r="AL289" s="897"/>
      <c r="AM289" s="905"/>
      <c r="AN289" s="729" t="s">
        <v>1120</v>
      </c>
      <c r="AO289" s="317">
        <f>COUNTIF($A$1:$GO$103,AN289)</f>
        <v>0</v>
      </c>
      <c r="AP289" s="728"/>
      <c r="AR289" s="907" t="s">
        <v>733</v>
      </c>
      <c r="AS289" s="908"/>
      <c r="AT289" s="908"/>
      <c r="AU289" s="908"/>
      <c r="AV289" s="908"/>
      <c r="AW289" s="909"/>
      <c r="AX289" s="309" t="s">
        <v>299</v>
      </c>
      <c r="AY289" s="310"/>
      <c r="BA289" s="679"/>
    </row>
    <row r="290" spans="13:53" ht="17.25" customHeight="1" x14ac:dyDescent="0.25">
      <c r="M290" s="268"/>
      <c r="AA290" s="268"/>
      <c r="AI290" s="893" t="s">
        <v>1121</v>
      </c>
      <c r="AJ290" s="894"/>
      <c r="AK290" s="894"/>
      <c r="AL290" s="894"/>
      <c r="AM290" s="895"/>
      <c r="AN290" s="501"/>
      <c r="AO290" s="502">
        <f>SUM(AO288:AO289)</f>
        <v>0</v>
      </c>
      <c r="AP290" s="308"/>
      <c r="AR290" s="911" t="s">
        <v>733</v>
      </c>
      <c r="AS290" s="912"/>
      <c r="AT290" s="912"/>
      <c r="AU290" s="912"/>
      <c r="AV290" s="913"/>
      <c r="AW290" s="730" t="s">
        <v>1122</v>
      </c>
      <c r="AX290" s="317">
        <f>COUNTIF($A$1:$GO$103,AW290)</f>
        <v>0</v>
      </c>
      <c r="AY290" s="731"/>
      <c r="BA290" s="679"/>
    </row>
    <row r="291" spans="13:53" ht="17.25" customHeight="1" x14ac:dyDescent="0.25">
      <c r="M291" s="268"/>
      <c r="AA291" s="268"/>
      <c r="AI291" s="692"/>
      <c r="AR291" s="907" t="s">
        <v>1123</v>
      </c>
      <c r="AS291" s="908"/>
      <c r="AT291" s="908"/>
      <c r="AU291" s="908"/>
      <c r="AV291" s="909"/>
      <c r="AW291" s="732"/>
      <c r="AX291" s="502">
        <f>SUM(AX290:AX290)</f>
        <v>0</v>
      </c>
      <c r="BA291" s="679"/>
    </row>
    <row r="292" spans="13:53" ht="17.25" customHeight="1" x14ac:dyDescent="0.25">
      <c r="M292" s="268"/>
      <c r="AA292" s="268"/>
      <c r="AI292" s="902" t="s">
        <v>607</v>
      </c>
      <c r="AJ292" s="903"/>
      <c r="AK292" s="903"/>
      <c r="AL292" s="903"/>
      <c r="AM292" s="903"/>
      <c r="AN292" s="904"/>
      <c r="AO292" s="309" t="s">
        <v>299</v>
      </c>
      <c r="AP292" s="310"/>
      <c r="BA292" s="679"/>
    </row>
    <row r="293" spans="13:53" ht="17.25" customHeight="1" x14ac:dyDescent="0.25">
      <c r="M293" s="268"/>
      <c r="AA293" s="268"/>
      <c r="AI293" s="896" t="s">
        <v>1124</v>
      </c>
      <c r="AJ293" s="897"/>
      <c r="AK293" s="897"/>
      <c r="AL293" s="897"/>
      <c r="AM293" s="898"/>
      <c r="AN293" s="717" t="s">
        <v>1125</v>
      </c>
      <c r="AO293" s="317">
        <f t="shared" ref="AO293:AO302" si="61">COUNTIF($A$1:$GO$103,AN293)</f>
        <v>0</v>
      </c>
      <c r="AP293" s="733"/>
      <c r="AR293" s="907" t="s">
        <v>454</v>
      </c>
      <c r="AS293" s="908"/>
      <c r="AT293" s="908"/>
      <c r="AU293" s="908"/>
      <c r="AV293" s="908"/>
      <c r="AW293" s="909"/>
      <c r="AX293" s="309" t="s">
        <v>299</v>
      </c>
      <c r="AY293" s="310"/>
      <c r="BA293" s="679"/>
    </row>
    <row r="294" spans="13:53" ht="17.25" customHeight="1" x14ac:dyDescent="0.25">
      <c r="M294" s="268"/>
      <c r="AA294" s="268"/>
      <c r="AI294" s="896" t="s">
        <v>1126</v>
      </c>
      <c r="AJ294" s="897"/>
      <c r="AK294" s="897"/>
      <c r="AL294" s="897"/>
      <c r="AM294" s="898"/>
      <c r="AN294" s="734" t="s">
        <v>1127</v>
      </c>
      <c r="AO294" s="317">
        <f t="shared" si="61"/>
        <v>0</v>
      </c>
      <c r="AP294" s="733"/>
      <c r="AR294" s="911" t="s">
        <v>1128</v>
      </c>
      <c r="AS294" s="912"/>
      <c r="AT294" s="912"/>
      <c r="AU294" s="912"/>
      <c r="AV294" s="913"/>
      <c r="AW294" s="735" t="s">
        <v>1129</v>
      </c>
      <c r="AX294" s="317">
        <f>COUNTIF($A$1:$GO$103,AW294)</f>
        <v>0</v>
      </c>
      <c r="AY294" s="736"/>
      <c r="BA294" s="679"/>
    </row>
    <row r="295" spans="13:53" ht="17.25" customHeight="1" x14ac:dyDescent="0.25">
      <c r="M295" s="268"/>
      <c r="AA295" s="268"/>
      <c r="AI295" s="896" t="s">
        <v>1130</v>
      </c>
      <c r="AJ295" s="897"/>
      <c r="AK295" s="897"/>
      <c r="AL295" s="897"/>
      <c r="AM295" s="898"/>
      <c r="AN295" s="737" t="s">
        <v>1131</v>
      </c>
      <c r="AO295" s="317">
        <f t="shared" si="61"/>
        <v>0</v>
      </c>
      <c r="AP295" s="733"/>
      <c r="AR295" s="907" t="s">
        <v>1132</v>
      </c>
      <c r="AS295" s="908"/>
      <c r="AT295" s="908"/>
      <c r="AU295" s="908"/>
      <c r="AV295" s="909"/>
      <c r="AW295" s="501"/>
      <c r="AX295" s="502">
        <f>SUM(AX294:AX294)</f>
        <v>0</v>
      </c>
      <c r="BA295" s="679"/>
    </row>
    <row r="296" spans="13:53" ht="17.25" customHeight="1" x14ac:dyDescent="0.25">
      <c r="M296" s="268"/>
      <c r="AA296" s="268"/>
      <c r="AI296" s="896" t="s">
        <v>1133</v>
      </c>
      <c r="AJ296" s="897"/>
      <c r="AK296" s="897"/>
      <c r="AL296" s="897"/>
      <c r="AM296" s="898"/>
      <c r="AN296" s="738" t="s">
        <v>1134</v>
      </c>
      <c r="AO296" s="317">
        <f t="shared" si="61"/>
        <v>0</v>
      </c>
      <c r="AP296" s="733"/>
      <c r="BA296" s="679"/>
    </row>
    <row r="297" spans="13:53" ht="17.25" customHeight="1" x14ac:dyDescent="0.25">
      <c r="M297" s="268"/>
      <c r="AA297" s="268"/>
      <c r="AI297" s="896" t="s">
        <v>1135</v>
      </c>
      <c r="AJ297" s="897"/>
      <c r="AK297" s="897"/>
      <c r="AL297" s="897"/>
      <c r="AM297" s="898"/>
      <c r="AN297" s="739" t="s">
        <v>1136</v>
      </c>
      <c r="AO297" s="317">
        <f t="shared" si="61"/>
        <v>0</v>
      </c>
      <c r="AP297" s="733"/>
      <c r="AR297" s="910" t="s">
        <v>344</v>
      </c>
      <c r="AS297" s="903"/>
      <c r="AT297" s="903"/>
      <c r="AU297" s="903"/>
      <c r="AV297" s="903"/>
      <c r="AW297" s="904"/>
      <c r="AX297" s="309" t="s">
        <v>299</v>
      </c>
      <c r="AY297" s="310"/>
      <c r="BA297" s="679"/>
    </row>
    <row r="298" spans="13:53" ht="17.25" customHeight="1" x14ac:dyDescent="0.25">
      <c r="M298" s="268"/>
      <c r="AA298" s="268"/>
      <c r="AI298" s="896" t="s">
        <v>1137</v>
      </c>
      <c r="AJ298" s="897"/>
      <c r="AK298" s="897"/>
      <c r="AL298" s="897"/>
      <c r="AM298" s="898"/>
      <c r="AN298" s="740" t="s">
        <v>1138</v>
      </c>
      <c r="AO298" s="317">
        <f t="shared" si="61"/>
        <v>0</v>
      </c>
      <c r="AP298" s="733"/>
      <c r="AR298" s="906" t="s">
        <v>1139</v>
      </c>
      <c r="AS298" s="906"/>
      <c r="AT298" s="906"/>
      <c r="AU298" s="906"/>
      <c r="AV298" s="906"/>
      <c r="AW298" s="741" t="s">
        <v>1140</v>
      </c>
      <c r="AX298" s="317">
        <f>COUNTIF($A$1:$GO$103,AW298)</f>
        <v>0</v>
      </c>
      <c r="AY298" s="742"/>
      <c r="BA298" s="679"/>
    </row>
    <row r="299" spans="13:53" ht="17.25" customHeight="1" x14ac:dyDescent="0.25">
      <c r="M299" s="268"/>
      <c r="AA299" s="268"/>
      <c r="AI299" s="896" t="s">
        <v>1141</v>
      </c>
      <c r="AJ299" s="897"/>
      <c r="AK299" s="897"/>
      <c r="AL299" s="897"/>
      <c r="AM299" s="898"/>
      <c r="AN299" s="743" t="s">
        <v>1142</v>
      </c>
      <c r="AO299" s="317">
        <f t="shared" si="61"/>
        <v>0</v>
      </c>
      <c r="AP299" s="733"/>
      <c r="AR299" s="906" t="s">
        <v>1143</v>
      </c>
      <c r="AS299" s="906"/>
      <c r="AT299" s="906"/>
      <c r="AU299" s="906"/>
      <c r="AV299" s="906"/>
      <c r="AW299" s="744" t="s">
        <v>1144</v>
      </c>
      <c r="AX299" s="317">
        <f>COUNTIF($A$1:$GO$103,AW299)</f>
        <v>0</v>
      </c>
      <c r="AY299" s="742"/>
      <c r="BA299" s="679"/>
    </row>
    <row r="300" spans="13:53" ht="17.25" customHeight="1" x14ac:dyDescent="0.25">
      <c r="M300" s="268"/>
      <c r="AA300" s="268"/>
      <c r="AI300" s="896" t="s">
        <v>1145</v>
      </c>
      <c r="AJ300" s="897"/>
      <c r="AK300" s="897"/>
      <c r="AL300" s="897"/>
      <c r="AM300" s="898"/>
      <c r="AN300" s="745" t="s">
        <v>1146</v>
      </c>
      <c r="AO300" s="317">
        <f t="shared" si="61"/>
        <v>0</v>
      </c>
      <c r="AP300" s="733"/>
      <c r="AR300" s="906" t="s">
        <v>1147</v>
      </c>
      <c r="AS300" s="906"/>
      <c r="AT300" s="906"/>
      <c r="AU300" s="906"/>
      <c r="AV300" s="906"/>
      <c r="AW300" s="746" t="s">
        <v>1148</v>
      </c>
      <c r="AX300" s="317">
        <f>COUNTIF($A$1:$GO$103,AW300)</f>
        <v>0</v>
      </c>
      <c r="AY300" s="742"/>
      <c r="BA300" s="679"/>
    </row>
    <row r="301" spans="13:53" ht="17.25" customHeight="1" x14ac:dyDescent="0.25">
      <c r="M301" s="268"/>
      <c r="AA301" s="268"/>
      <c r="AI301" s="896" t="s">
        <v>1149</v>
      </c>
      <c r="AJ301" s="897"/>
      <c r="AK301" s="897"/>
      <c r="AL301" s="897"/>
      <c r="AM301" s="898"/>
      <c r="AN301" s="747" t="s">
        <v>1150</v>
      </c>
      <c r="AO301" s="317">
        <f t="shared" si="61"/>
        <v>0</v>
      </c>
      <c r="AP301" s="733"/>
      <c r="AR301" s="906" t="s">
        <v>1151</v>
      </c>
      <c r="AS301" s="906"/>
      <c r="AT301" s="906"/>
      <c r="AU301" s="906"/>
      <c r="AV301" s="906"/>
      <c r="AW301" s="748" t="s">
        <v>1152</v>
      </c>
      <c r="AX301" s="317">
        <f>COUNTIF($A$1:$GO$103,AW301)</f>
        <v>0</v>
      </c>
      <c r="AY301" s="742"/>
      <c r="BA301" s="679"/>
    </row>
    <row r="302" spans="13:53" ht="17.25" customHeight="1" x14ac:dyDescent="0.25">
      <c r="M302" s="268"/>
      <c r="AA302" s="268"/>
      <c r="AI302" s="896" t="s">
        <v>1153</v>
      </c>
      <c r="AJ302" s="897"/>
      <c r="AK302" s="897"/>
      <c r="AL302" s="897"/>
      <c r="AM302" s="898"/>
      <c r="AN302" s="749" t="s">
        <v>1154</v>
      </c>
      <c r="AO302" s="317">
        <f t="shared" si="61"/>
        <v>0</v>
      </c>
      <c r="AP302" s="733"/>
      <c r="AR302" s="899" t="s">
        <v>1155</v>
      </c>
      <c r="AS302" s="900"/>
      <c r="AT302" s="900"/>
      <c r="AU302" s="900"/>
      <c r="AV302" s="901"/>
      <c r="AW302" s="750"/>
      <c r="AX302" s="502">
        <f>SUM(AX298:AX301)</f>
        <v>0</v>
      </c>
      <c r="BA302" s="679"/>
    </row>
    <row r="303" spans="13:53" ht="17.25" customHeight="1" x14ac:dyDescent="0.25">
      <c r="M303" s="268"/>
      <c r="AA303" s="268"/>
      <c r="AI303" s="893" t="s">
        <v>1156</v>
      </c>
      <c r="AJ303" s="894"/>
      <c r="AK303" s="894"/>
      <c r="AL303" s="894"/>
      <c r="AM303" s="895"/>
      <c r="AN303" s="501"/>
      <c r="AO303" s="502">
        <f>SUM(AO293:AO302)</f>
        <v>0</v>
      </c>
      <c r="AP303" s="308"/>
      <c r="BA303" s="679"/>
    </row>
    <row r="304" spans="13:53" ht="17.25" customHeight="1" x14ac:dyDescent="0.25">
      <c r="M304" s="268"/>
      <c r="AA304" s="268"/>
      <c r="AI304" s="692"/>
      <c r="BA304" s="679"/>
    </row>
    <row r="305" spans="13:53" ht="17.25" customHeight="1" x14ac:dyDescent="0.25">
      <c r="M305" s="268"/>
      <c r="AA305" s="268"/>
      <c r="AI305" s="902" t="s">
        <v>385</v>
      </c>
      <c r="AJ305" s="903"/>
      <c r="AK305" s="903"/>
      <c r="AL305" s="903"/>
      <c r="AM305" s="903"/>
      <c r="AN305" s="904"/>
      <c r="AO305" s="309" t="s">
        <v>299</v>
      </c>
      <c r="AP305" s="310"/>
      <c r="BA305" s="679"/>
    </row>
    <row r="306" spans="13:53" ht="17.25" customHeight="1" x14ac:dyDescent="0.25">
      <c r="M306" s="268"/>
      <c r="AA306" s="268"/>
      <c r="AI306" s="896" t="s">
        <v>1157</v>
      </c>
      <c r="AJ306" s="897"/>
      <c r="AK306" s="897"/>
      <c r="AL306" s="897"/>
      <c r="AM306" s="897"/>
      <c r="AN306" s="751" t="s">
        <v>1158</v>
      </c>
      <c r="AO306" s="317">
        <f>COUNTIF($A$1:$GO$103,AN306)</f>
        <v>0</v>
      </c>
      <c r="AP306" s="728"/>
      <c r="BA306" s="679"/>
    </row>
    <row r="307" spans="13:53" ht="17.25" customHeight="1" x14ac:dyDescent="0.25">
      <c r="M307" s="268"/>
      <c r="AA307" s="268"/>
      <c r="AI307" s="896"/>
      <c r="AJ307" s="897"/>
      <c r="AK307" s="897"/>
      <c r="AL307" s="897"/>
      <c r="AM307" s="905"/>
      <c r="AN307" s="752"/>
      <c r="AO307" s="317"/>
      <c r="AP307" s="728"/>
      <c r="BA307" s="679"/>
    </row>
    <row r="308" spans="13:53" ht="17.25" customHeight="1" x14ac:dyDescent="0.25">
      <c r="M308" s="268"/>
      <c r="AA308" s="268"/>
      <c r="AI308" s="893" t="s">
        <v>1159</v>
      </c>
      <c r="AJ308" s="894"/>
      <c r="AK308" s="894"/>
      <c r="AL308" s="894"/>
      <c r="AM308" s="895"/>
      <c r="AN308" s="501"/>
      <c r="AO308" s="502">
        <f>SUM(AO306:AO307)</f>
        <v>0</v>
      </c>
      <c r="AP308" s="308"/>
      <c r="BA308" s="679"/>
    </row>
    <row r="309" spans="13:53" ht="17.25" customHeight="1" x14ac:dyDescent="0.25">
      <c r="M309" s="268"/>
      <c r="AA309" s="268"/>
      <c r="AI309" s="753"/>
      <c r="AJ309" s="754"/>
      <c r="AK309" s="754"/>
      <c r="AL309" s="754"/>
      <c r="AM309" s="754"/>
      <c r="AN309" s="755"/>
      <c r="AO309" s="756"/>
      <c r="AP309" s="308"/>
      <c r="BA309" s="679"/>
    </row>
    <row r="310" spans="13:53" ht="17.25" customHeight="1" x14ac:dyDescent="0.25">
      <c r="M310" s="268"/>
      <c r="AA310" s="268"/>
      <c r="AI310" s="753"/>
      <c r="AJ310" s="754"/>
      <c r="AK310" s="754"/>
      <c r="AL310" s="754"/>
      <c r="AM310" s="754"/>
      <c r="AN310" s="755"/>
      <c r="AO310" s="756"/>
      <c r="AP310" s="308"/>
      <c r="BA310" s="679"/>
    </row>
    <row r="311" spans="13:53" ht="17.25" customHeight="1" x14ac:dyDescent="0.25">
      <c r="M311" s="268"/>
      <c r="AA311" s="268"/>
      <c r="AI311" s="753"/>
      <c r="AJ311" s="754"/>
      <c r="AK311" s="754"/>
      <c r="AL311" s="754"/>
      <c r="AM311" s="754"/>
      <c r="AN311" s="755"/>
      <c r="AO311" s="756"/>
      <c r="AP311" s="308"/>
      <c r="BA311" s="679"/>
    </row>
    <row r="312" spans="13:53" ht="17.25" customHeight="1" x14ac:dyDescent="0.25">
      <c r="M312" s="268"/>
      <c r="AA312" s="268"/>
      <c r="AI312" s="753"/>
      <c r="AJ312" s="754"/>
      <c r="AK312" s="754"/>
      <c r="AL312" s="754"/>
      <c r="AM312" s="754"/>
      <c r="AN312" s="755"/>
      <c r="AO312" s="756"/>
      <c r="AP312" s="308"/>
      <c r="BA312" s="679"/>
    </row>
    <row r="313" spans="13:53" ht="17.25" customHeight="1" x14ac:dyDescent="0.25">
      <c r="M313" s="268"/>
      <c r="AA313" s="268"/>
      <c r="AI313" s="753"/>
      <c r="AJ313" s="754"/>
      <c r="AK313" s="754"/>
      <c r="AL313" s="754"/>
      <c r="AM313" s="754"/>
      <c r="AN313" s="755"/>
      <c r="AO313" s="756"/>
      <c r="AP313" s="308"/>
      <c r="BA313" s="679"/>
    </row>
    <row r="314" spans="13:53" ht="17.25" customHeight="1" x14ac:dyDescent="0.25">
      <c r="M314" s="268"/>
      <c r="AA314" s="268"/>
      <c r="AI314" s="753"/>
      <c r="AJ314" s="754"/>
      <c r="AK314" s="754"/>
      <c r="AL314" s="754"/>
      <c r="AM314" s="754"/>
      <c r="AN314" s="755"/>
      <c r="AO314" s="756"/>
      <c r="AP314" s="308"/>
      <c r="BA314" s="679"/>
    </row>
    <row r="315" spans="13:53" ht="17.25" customHeight="1" x14ac:dyDescent="0.25">
      <c r="M315" s="268"/>
      <c r="AA315" s="268"/>
      <c r="AI315" s="753"/>
      <c r="AJ315" s="754"/>
      <c r="AK315" s="754"/>
      <c r="AL315" s="754"/>
      <c r="AM315" s="754"/>
      <c r="AN315" s="755"/>
      <c r="AO315" s="756"/>
      <c r="AP315" s="308"/>
      <c r="BA315" s="679"/>
    </row>
    <row r="316" spans="13:53" ht="17.25" customHeight="1" x14ac:dyDescent="0.25">
      <c r="M316" s="268"/>
      <c r="AA316" s="268"/>
      <c r="AI316" s="753"/>
      <c r="AJ316" s="754"/>
      <c r="AK316" s="754"/>
      <c r="AL316" s="754"/>
      <c r="AM316" s="754"/>
      <c r="AN316" s="755"/>
      <c r="AO316" s="756"/>
      <c r="AP316" s="308"/>
      <c r="BA316" s="679"/>
    </row>
    <row r="317" spans="13:53" ht="17.25" customHeight="1" x14ac:dyDescent="0.25">
      <c r="M317" s="268"/>
      <c r="AA317" s="268"/>
      <c r="AI317" s="753"/>
      <c r="AJ317" s="754"/>
      <c r="AK317" s="754"/>
      <c r="AL317" s="754"/>
      <c r="AM317" s="754"/>
      <c r="AN317" s="755"/>
      <c r="AO317" s="756"/>
      <c r="AP317" s="308"/>
      <c r="BA317" s="679"/>
    </row>
    <row r="318" spans="13:53" ht="17.25" customHeight="1" x14ac:dyDescent="0.25">
      <c r="M318" s="268"/>
      <c r="AA318" s="268"/>
      <c r="AI318" s="753"/>
      <c r="AJ318" s="754"/>
      <c r="AK318" s="754"/>
      <c r="AL318" s="754"/>
      <c r="AM318" s="754"/>
      <c r="AN318" s="755"/>
      <c r="AO318" s="756"/>
      <c r="AP318" s="308"/>
      <c r="BA318" s="679"/>
    </row>
    <row r="319" spans="13:53" ht="17.25" customHeight="1" x14ac:dyDescent="0.25">
      <c r="M319" s="268"/>
      <c r="AA319" s="268"/>
      <c r="AI319" s="753"/>
      <c r="AJ319" s="754"/>
      <c r="AK319" s="754"/>
      <c r="AL319" s="754"/>
      <c r="AM319" s="754"/>
      <c r="AN319" s="755"/>
      <c r="AO319" s="756"/>
      <c r="AP319" s="308"/>
      <c r="BA319" s="679"/>
    </row>
    <row r="320" spans="13:53" ht="17.25" customHeight="1" x14ac:dyDescent="0.25">
      <c r="M320" s="268"/>
      <c r="AA320" s="268"/>
      <c r="AI320" s="692"/>
      <c r="BA320" s="679"/>
    </row>
    <row r="321" spans="13:53" ht="17.25" customHeight="1" thickBot="1" x14ac:dyDescent="0.3">
      <c r="M321" s="268"/>
      <c r="AA321" s="268"/>
      <c r="AI321" s="757"/>
      <c r="AJ321" s="758"/>
      <c r="AK321" s="758"/>
      <c r="AL321" s="758"/>
      <c r="AM321" s="758"/>
      <c r="AN321" s="758"/>
      <c r="AO321" s="758"/>
      <c r="AP321" s="758"/>
      <c r="AQ321" s="758"/>
      <c r="AR321" s="758"/>
      <c r="AS321" s="758"/>
      <c r="AT321" s="758"/>
      <c r="AU321" s="758"/>
      <c r="AV321" s="758"/>
      <c r="AW321" s="758"/>
      <c r="AX321" s="758"/>
      <c r="AY321" s="758"/>
      <c r="AZ321" s="758"/>
      <c r="BA321" s="759"/>
    </row>
    <row r="322" spans="13:53" ht="17.25" customHeight="1" x14ac:dyDescent="0.25">
      <c r="M322" s="268"/>
      <c r="AA322" s="268"/>
    </row>
    <row r="323" spans="13:53" ht="17.25" customHeight="1" x14ac:dyDescent="0.25">
      <c r="M323" s="268"/>
      <c r="AA323" s="268"/>
    </row>
    <row r="324" spans="13:53" ht="17.25" customHeight="1" x14ac:dyDescent="0.25">
      <c r="M324" s="268"/>
      <c r="AA324" s="268"/>
    </row>
    <row r="325" spans="13:53" ht="17.25" customHeight="1" x14ac:dyDescent="0.25">
      <c r="M325" s="268"/>
      <c r="AA325" s="268"/>
    </row>
    <row r="326" spans="13:53" ht="17.25" customHeight="1" x14ac:dyDescent="0.25">
      <c r="M326" s="268"/>
      <c r="AA326" s="268"/>
    </row>
    <row r="327" spans="13:53" ht="17.25" customHeight="1" x14ac:dyDescent="0.25">
      <c r="M327" s="268"/>
      <c r="AA327" s="268"/>
      <c r="AZ327" s="653"/>
    </row>
    <row r="328" spans="13:53" ht="17.25" customHeight="1" x14ac:dyDescent="0.25">
      <c r="M328" s="268"/>
      <c r="AA328" s="268"/>
      <c r="AI328" s="137"/>
      <c r="AJ328" s="137"/>
      <c r="AK328" s="137"/>
      <c r="AL328" s="137"/>
      <c r="AM328" s="137"/>
      <c r="AQ328" s="760"/>
    </row>
    <row r="329" spans="13:53" ht="17.25" customHeight="1" x14ac:dyDescent="0.25">
      <c r="M329" s="268"/>
      <c r="AA329" s="268"/>
      <c r="AI329" s="889"/>
      <c r="AJ329" s="889"/>
      <c r="AK329" s="889"/>
      <c r="AL329" s="889"/>
      <c r="AM329" s="889"/>
      <c r="AN329" s="889"/>
      <c r="AO329" s="760"/>
      <c r="AP329" s="760"/>
      <c r="AQ329" s="516"/>
      <c r="BA329" s="653"/>
    </row>
    <row r="330" spans="13:53" ht="17.25" customHeight="1" x14ac:dyDescent="0.25">
      <c r="M330" s="268"/>
      <c r="AA330" s="268"/>
      <c r="AI330" s="890"/>
      <c r="AJ330" s="890"/>
      <c r="AK330" s="890"/>
      <c r="AL330" s="890"/>
      <c r="AM330" s="890"/>
      <c r="AN330" s="10"/>
      <c r="AO330" s="516"/>
      <c r="AP330" s="516"/>
      <c r="AQ330" s="760"/>
      <c r="AZ330" s="653"/>
      <c r="BA330" s="760"/>
    </row>
    <row r="331" spans="13:53" ht="17.25" customHeight="1" x14ac:dyDescent="0.25">
      <c r="M331" s="268"/>
      <c r="AA331" s="268"/>
      <c r="AI331" s="889"/>
      <c r="AJ331" s="889"/>
      <c r="AK331" s="889"/>
      <c r="AL331" s="889"/>
      <c r="AM331" s="889"/>
      <c r="AN331" s="889"/>
      <c r="AO331" s="760"/>
      <c r="AP331" s="760"/>
      <c r="AQ331" s="761"/>
      <c r="AZ331" s="760"/>
      <c r="BA331" s="653"/>
    </row>
    <row r="332" spans="13:53" ht="17.25" customHeight="1" x14ac:dyDescent="0.25">
      <c r="M332" s="268"/>
      <c r="AA332" s="268"/>
      <c r="AI332" s="889"/>
      <c r="AJ332" s="889"/>
      <c r="AK332" s="889"/>
      <c r="AL332" s="889"/>
      <c r="AM332" s="889"/>
      <c r="AN332" s="889"/>
      <c r="AO332" s="761"/>
      <c r="AP332" s="761"/>
      <c r="AQ332" s="761"/>
      <c r="AZ332" s="653"/>
      <c r="BA332" s="653"/>
    </row>
    <row r="333" spans="13:53" ht="17.25" customHeight="1" x14ac:dyDescent="0.25">
      <c r="M333" s="268"/>
      <c r="AA333" s="268"/>
      <c r="AI333" s="653"/>
      <c r="AJ333" s="653"/>
      <c r="AK333" s="653"/>
      <c r="AL333" s="653"/>
      <c r="AM333" s="653"/>
      <c r="AN333" s="653"/>
      <c r="AO333" s="761"/>
      <c r="AP333" s="761"/>
      <c r="AQ333" s="761"/>
      <c r="AZ333" s="653"/>
      <c r="BA333" s="653"/>
    </row>
    <row r="334" spans="13:53" ht="17.25" customHeight="1" x14ac:dyDescent="0.25">
      <c r="M334" s="268"/>
      <c r="AA334" s="268"/>
      <c r="AI334" s="653"/>
      <c r="AJ334" s="653"/>
      <c r="AK334" s="653"/>
      <c r="AL334" s="653"/>
      <c r="AM334" s="653"/>
      <c r="AN334" s="653"/>
      <c r="AO334" s="761"/>
      <c r="AP334" s="761"/>
      <c r="AQ334" s="761"/>
      <c r="AZ334" s="653"/>
      <c r="BA334" s="653"/>
    </row>
    <row r="335" spans="13:53" ht="17.25" customHeight="1" x14ac:dyDescent="0.25">
      <c r="M335" s="268"/>
      <c r="AA335" s="268"/>
      <c r="AI335" s="653"/>
      <c r="AJ335" s="653"/>
      <c r="AK335" s="653"/>
      <c r="AL335" s="653"/>
      <c r="AM335" s="653"/>
      <c r="AN335" s="653"/>
      <c r="AO335" s="761"/>
      <c r="AP335" s="761"/>
      <c r="AQ335" s="761"/>
      <c r="AZ335" s="653"/>
      <c r="BA335" s="653"/>
    </row>
    <row r="336" spans="13:53" ht="17.25" customHeight="1" x14ac:dyDescent="0.25">
      <c r="M336" s="268"/>
      <c r="AA336" s="268"/>
      <c r="AI336" s="653"/>
      <c r="AJ336" s="653"/>
      <c r="AK336" s="653"/>
      <c r="AL336" s="653"/>
      <c r="AM336" s="653"/>
      <c r="AN336" s="653"/>
      <c r="AO336" s="761"/>
      <c r="AP336" s="761"/>
      <c r="AQ336" s="761"/>
      <c r="AZ336" s="653"/>
      <c r="BA336" s="653"/>
    </row>
    <row r="337" spans="13:53" ht="17.25" customHeight="1" x14ac:dyDescent="0.25">
      <c r="M337" s="268"/>
      <c r="AA337" s="268"/>
      <c r="AI337" s="653"/>
      <c r="AJ337" s="653"/>
      <c r="AK337" s="653"/>
      <c r="AL337" s="653"/>
      <c r="AM337" s="653"/>
      <c r="AN337" s="653"/>
      <c r="AO337" s="761"/>
      <c r="AP337" s="761"/>
      <c r="AQ337" s="761"/>
      <c r="AZ337" s="653"/>
      <c r="BA337" s="653"/>
    </row>
    <row r="338" spans="13:53" ht="17.25" customHeight="1" x14ac:dyDescent="0.25">
      <c r="M338" s="268"/>
      <c r="AA338" s="268"/>
      <c r="AI338" s="653"/>
      <c r="AJ338" s="653"/>
      <c r="AK338" s="653"/>
      <c r="AL338" s="653"/>
      <c r="AM338" s="653"/>
      <c r="AN338" s="653"/>
      <c r="AO338" s="761"/>
      <c r="AP338" s="761"/>
      <c r="AQ338" s="761"/>
      <c r="AZ338" s="653"/>
      <c r="BA338" s="653"/>
    </row>
    <row r="339" spans="13:53" ht="17.25" customHeight="1" x14ac:dyDescent="0.25">
      <c r="M339" s="268"/>
      <c r="AA339" s="268"/>
      <c r="AI339" s="653"/>
      <c r="AJ339" s="653"/>
      <c r="AK339" s="653"/>
      <c r="AL339" s="653"/>
      <c r="AM339" s="653"/>
      <c r="AN339" s="653"/>
      <c r="AO339" s="761"/>
      <c r="AP339" s="761"/>
      <c r="AQ339" s="761"/>
      <c r="AZ339" s="653"/>
      <c r="BA339" s="653"/>
    </row>
    <row r="340" spans="13:53" ht="17.25" customHeight="1" x14ac:dyDescent="0.25">
      <c r="M340" s="268"/>
      <c r="AA340" s="268"/>
      <c r="AI340" s="653"/>
      <c r="AJ340" s="653"/>
      <c r="AK340" s="653"/>
      <c r="AL340" s="653"/>
      <c r="AM340" s="653"/>
      <c r="AN340" s="653"/>
      <c r="AO340" s="761"/>
      <c r="AP340" s="761"/>
      <c r="AQ340" s="761"/>
      <c r="AZ340" s="653"/>
      <c r="BA340" s="653"/>
    </row>
    <row r="341" spans="13:53" ht="17.25" customHeight="1" x14ac:dyDescent="0.25">
      <c r="M341" s="268"/>
      <c r="AA341" s="268"/>
      <c r="AI341" s="653"/>
      <c r="AJ341" s="653"/>
      <c r="AK341" s="653"/>
      <c r="AL341" s="653"/>
      <c r="AM341" s="653"/>
      <c r="AN341" s="653"/>
      <c r="AO341" s="761"/>
      <c r="AP341" s="761"/>
      <c r="AQ341" s="761"/>
      <c r="AZ341" s="653"/>
      <c r="BA341" s="653"/>
    </row>
    <row r="342" spans="13:53" ht="17.25" customHeight="1" x14ac:dyDescent="0.25">
      <c r="M342" s="268"/>
      <c r="AA342" s="268"/>
      <c r="AI342" s="653"/>
      <c r="AJ342" s="653"/>
      <c r="AK342" s="653"/>
      <c r="AL342" s="653"/>
      <c r="AM342" s="653"/>
      <c r="AN342" s="653"/>
      <c r="AO342" s="761"/>
      <c r="AP342" s="761"/>
      <c r="AQ342" s="761"/>
      <c r="AZ342" s="653"/>
      <c r="BA342" s="653"/>
    </row>
    <row r="343" spans="13:53" ht="17.25" customHeight="1" x14ac:dyDescent="0.25">
      <c r="M343" s="268"/>
      <c r="AA343" s="268"/>
      <c r="AI343" s="653"/>
      <c r="AJ343" s="653"/>
      <c r="AK343" s="653"/>
      <c r="AL343" s="653"/>
      <c r="AM343" s="653"/>
      <c r="AN343" s="653"/>
      <c r="AO343" s="761"/>
      <c r="AP343" s="761"/>
      <c r="AQ343" s="761"/>
      <c r="AZ343" s="653"/>
      <c r="BA343" s="653"/>
    </row>
    <row r="344" spans="13:53" ht="17.25" customHeight="1" x14ac:dyDescent="0.25">
      <c r="M344" s="268"/>
      <c r="AA344" s="268"/>
      <c r="AI344" s="653"/>
      <c r="AJ344" s="653"/>
      <c r="AK344" s="653"/>
      <c r="AL344" s="653"/>
      <c r="AM344" s="653"/>
      <c r="AN344" s="653"/>
      <c r="AO344" s="761"/>
      <c r="AP344" s="761"/>
      <c r="AQ344" s="761"/>
      <c r="AZ344" s="653"/>
      <c r="BA344" s="653"/>
    </row>
    <row r="345" spans="13:53" ht="17.25" customHeight="1" x14ac:dyDescent="0.25">
      <c r="M345" s="268"/>
      <c r="AA345" s="268"/>
      <c r="AI345" s="137"/>
      <c r="AJ345" s="137"/>
      <c r="AK345" s="137"/>
      <c r="AL345" s="137"/>
      <c r="AM345" s="137"/>
      <c r="AQ345" s="761"/>
      <c r="AZ345" s="653"/>
      <c r="BA345" s="653"/>
    </row>
    <row r="346" spans="13:53" ht="17.25" customHeight="1" x14ac:dyDescent="0.25">
      <c r="M346" s="268"/>
      <c r="AA346" s="268"/>
      <c r="AI346" s="137"/>
      <c r="AJ346" s="137"/>
      <c r="AK346" s="137"/>
      <c r="AL346" s="137"/>
      <c r="AM346" s="137"/>
      <c r="AQ346" s="761"/>
      <c r="AZ346" s="653"/>
      <c r="BA346" s="653"/>
    </row>
    <row r="347" spans="13:53" ht="17.25" customHeight="1" x14ac:dyDescent="0.25">
      <c r="M347" s="268"/>
      <c r="AA347" s="268"/>
      <c r="AI347" s="137"/>
      <c r="AJ347" s="137"/>
      <c r="AK347" s="137"/>
      <c r="AL347" s="137"/>
      <c r="AM347" s="137"/>
      <c r="AQ347" s="761"/>
      <c r="AZ347" s="653"/>
      <c r="BA347" s="653"/>
    </row>
    <row r="348" spans="13:53" ht="17.25" customHeight="1" x14ac:dyDescent="0.25">
      <c r="M348" s="268"/>
      <c r="AA348" s="268"/>
      <c r="AI348" s="137"/>
      <c r="AJ348" s="137"/>
      <c r="AK348" s="137"/>
      <c r="AL348" s="137"/>
      <c r="AM348" s="137"/>
      <c r="AQ348" s="761"/>
      <c r="AZ348" s="653"/>
      <c r="BA348" s="653"/>
    </row>
    <row r="349" spans="13:53" ht="17.25" customHeight="1" x14ac:dyDescent="0.25">
      <c r="M349" s="268"/>
      <c r="AA349" s="268"/>
      <c r="AI349" s="137"/>
      <c r="AJ349" s="137"/>
      <c r="AK349" s="137"/>
      <c r="AL349" s="137"/>
      <c r="AM349" s="137"/>
      <c r="AQ349" s="761"/>
      <c r="AZ349" s="653"/>
      <c r="BA349" s="653"/>
    </row>
    <row r="350" spans="13:53" ht="17.25" customHeight="1" x14ac:dyDescent="0.25">
      <c r="M350" s="268"/>
      <c r="AA350" s="268"/>
      <c r="AI350" s="137"/>
      <c r="AJ350" s="137"/>
      <c r="AK350" s="137"/>
      <c r="AL350" s="137"/>
      <c r="AM350" s="137"/>
      <c r="AQ350" s="761"/>
      <c r="AZ350" s="653"/>
      <c r="BA350" s="653"/>
    </row>
    <row r="351" spans="13:53" ht="17.25" customHeight="1" x14ac:dyDescent="0.25">
      <c r="M351" s="268"/>
      <c r="AA351" s="268"/>
      <c r="AI351" s="137"/>
      <c r="AJ351" s="137"/>
      <c r="AK351" s="137"/>
      <c r="AL351" s="137"/>
      <c r="AM351" s="137"/>
      <c r="AQ351" s="761"/>
      <c r="AZ351" s="653"/>
      <c r="BA351" s="653"/>
    </row>
    <row r="352" spans="13:53" ht="17.25" customHeight="1" x14ac:dyDescent="0.25">
      <c r="M352" s="268"/>
      <c r="AA352" s="268"/>
      <c r="AI352" s="137"/>
      <c r="AJ352" s="137"/>
      <c r="AK352" s="137"/>
      <c r="AL352" s="137"/>
      <c r="AM352" s="137"/>
      <c r="AQ352" s="761"/>
      <c r="AZ352" s="653"/>
      <c r="BA352" s="653"/>
    </row>
    <row r="353" spans="13:53" ht="17.25" customHeight="1" x14ac:dyDescent="0.25">
      <c r="M353" s="268"/>
      <c r="AA353" s="268"/>
      <c r="AI353" s="137"/>
      <c r="AJ353" s="137"/>
      <c r="AK353" s="137"/>
      <c r="AL353" s="137"/>
      <c r="AM353" s="137"/>
      <c r="AQ353" s="761"/>
      <c r="AZ353" s="653"/>
      <c r="BA353" s="653"/>
    </row>
    <row r="354" spans="13:53" ht="17.25" customHeight="1" x14ac:dyDescent="0.25">
      <c r="M354" s="268"/>
      <c r="AA354" s="268"/>
      <c r="AI354" s="137"/>
      <c r="AJ354" s="137"/>
      <c r="AK354" s="137"/>
      <c r="AL354" s="137"/>
      <c r="AM354" s="137"/>
      <c r="AQ354" s="761"/>
      <c r="AZ354" s="653"/>
      <c r="BA354" s="653"/>
    </row>
    <row r="355" spans="13:53" ht="17.25" customHeight="1" x14ac:dyDescent="0.25">
      <c r="M355" s="268"/>
      <c r="AA355" s="268"/>
      <c r="AI355" s="137"/>
      <c r="AJ355" s="137"/>
      <c r="AK355" s="137"/>
      <c r="AL355" s="137"/>
      <c r="AM355" s="137"/>
      <c r="AQ355" s="761"/>
      <c r="AZ355" s="653"/>
      <c r="BA355" s="653"/>
    </row>
    <row r="356" spans="13:53" ht="17.25" customHeight="1" x14ac:dyDescent="0.25">
      <c r="M356" s="268"/>
      <c r="AA356" s="268"/>
      <c r="AI356" s="137"/>
      <c r="AJ356" s="137"/>
      <c r="AK356" s="137"/>
      <c r="AL356" s="137"/>
      <c r="AM356" s="137"/>
      <c r="AQ356" s="761"/>
      <c r="AZ356" s="653"/>
      <c r="BA356" s="653"/>
    </row>
    <row r="357" spans="13:53" ht="17.25" customHeight="1" x14ac:dyDescent="0.25">
      <c r="M357" s="268"/>
      <c r="AA357" s="268"/>
      <c r="AI357" s="137"/>
      <c r="AJ357" s="137"/>
      <c r="AK357" s="137"/>
      <c r="AL357" s="137"/>
      <c r="AM357" s="137"/>
      <c r="AQ357" s="761"/>
      <c r="AZ357" s="653"/>
      <c r="BA357" s="653"/>
    </row>
    <row r="358" spans="13:53" ht="17.25" customHeight="1" x14ac:dyDescent="0.25">
      <c r="M358" s="268"/>
      <c r="AI358" s="137"/>
      <c r="AJ358" s="137"/>
      <c r="AK358" s="137"/>
      <c r="AL358" s="137"/>
      <c r="AM358" s="137"/>
      <c r="AQ358" s="761"/>
      <c r="AZ358" s="653"/>
      <c r="BA358" s="653"/>
    </row>
    <row r="359" spans="13:53" ht="17.25" customHeight="1" x14ac:dyDescent="0.25">
      <c r="M359" s="268"/>
      <c r="AI359" s="137"/>
      <c r="AJ359" s="137"/>
      <c r="AK359" s="137"/>
      <c r="AL359" s="137"/>
      <c r="AM359" s="137"/>
      <c r="AQ359" s="761"/>
      <c r="AZ359" s="653"/>
      <c r="BA359" s="653"/>
    </row>
    <row r="360" spans="13:53" ht="17.25" customHeight="1" x14ac:dyDescent="0.25">
      <c r="M360" s="268"/>
      <c r="AI360" s="137"/>
      <c r="AJ360" s="137"/>
      <c r="AK360" s="137"/>
      <c r="AL360" s="137"/>
      <c r="AM360" s="137"/>
      <c r="AQ360" s="760"/>
      <c r="AZ360" s="653"/>
    </row>
    <row r="361" spans="13:53" ht="17.25" customHeight="1" x14ac:dyDescent="0.25">
      <c r="M361" s="268"/>
      <c r="AI361" s="137"/>
      <c r="AJ361" s="137"/>
      <c r="AK361" s="137"/>
      <c r="AL361" s="137"/>
      <c r="AM361" s="137"/>
      <c r="AQ361" s="516"/>
      <c r="BA361" s="653"/>
    </row>
    <row r="362" spans="13:53" ht="17.25" customHeight="1" x14ac:dyDescent="0.25">
      <c r="M362" s="268"/>
      <c r="AI362" s="890"/>
      <c r="AJ362" s="890"/>
      <c r="AK362" s="890"/>
      <c r="AL362" s="890"/>
      <c r="AM362" s="890"/>
      <c r="AN362" s="10"/>
      <c r="AO362" s="516"/>
      <c r="AP362" s="516"/>
      <c r="AQ362" s="516"/>
      <c r="AZ362" s="653"/>
      <c r="BA362" s="653"/>
    </row>
    <row r="363" spans="13:53" ht="17.25" customHeight="1" x14ac:dyDescent="0.25">
      <c r="M363" s="268"/>
      <c r="AI363" s="760"/>
      <c r="AJ363" s="760"/>
      <c r="AK363" s="760"/>
      <c r="AL363" s="760"/>
      <c r="AM363" s="760"/>
      <c r="AN363" s="10"/>
      <c r="AO363" s="516"/>
      <c r="AP363" s="516"/>
      <c r="AQ363" s="516"/>
      <c r="AZ363" s="653"/>
      <c r="BA363" s="653"/>
    </row>
    <row r="364" spans="13:53" ht="17.25" customHeight="1" x14ac:dyDescent="0.25">
      <c r="M364" s="268"/>
      <c r="AI364" s="760"/>
      <c r="AJ364" s="760"/>
      <c r="AK364" s="760"/>
      <c r="AL364" s="760"/>
      <c r="AM364" s="760"/>
      <c r="AN364" s="10"/>
      <c r="AO364" s="516"/>
      <c r="AP364" s="516"/>
      <c r="AQ364" s="760"/>
      <c r="AZ364" s="653"/>
      <c r="BA364" s="760"/>
    </row>
    <row r="365" spans="13:53" ht="17.25" customHeight="1" x14ac:dyDescent="0.25">
      <c r="M365" s="268"/>
      <c r="AI365" s="760"/>
      <c r="AJ365" s="760"/>
      <c r="AK365" s="760"/>
      <c r="AL365" s="760"/>
      <c r="AM365" s="760"/>
      <c r="AN365" s="10"/>
      <c r="AO365" s="516"/>
      <c r="AP365" s="516"/>
      <c r="AQ365" s="761"/>
      <c r="AR365" s="761"/>
      <c r="AS365" s="761"/>
      <c r="AT365" s="761"/>
      <c r="AU365" s="761"/>
      <c r="AZ365" s="760"/>
      <c r="BA365" s="653"/>
    </row>
    <row r="366" spans="13:53" ht="17.25" customHeight="1" x14ac:dyDescent="0.25">
      <c r="M366" s="268"/>
      <c r="AI366" s="889"/>
      <c r="AJ366" s="889"/>
      <c r="AK366" s="889"/>
      <c r="AL366" s="889"/>
      <c r="AM366" s="889"/>
      <c r="AN366" s="889"/>
      <c r="AO366" s="760"/>
      <c r="AP366" s="760"/>
      <c r="AW366" s="653"/>
      <c r="AX366" s="653"/>
      <c r="AY366" s="653"/>
      <c r="AZ366" s="653"/>
      <c r="BA366" s="653"/>
    </row>
    <row r="367" spans="13:53" ht="17.25" customHeight="1" x14ac:dyDescent="0.25">
      <c r="M367" s="268"/>
      <c r="AI367" s="889"/>
      <c r="AJ367" s="889"/>
      <c r="AK367" s="889"/>
      <c r="AL367" s="889"/>
      <c r="AM367" s="889"/>
      <c r="AN367" s="889"/>
      <c r="AO367" s="761"/>
      <c r="AP367" s="761"/>
      <c r="AQ367" s="760"/>
      <c r="AW367" s="653"/>
      <c r="AX367" s="653"/>
      <c r="AY367" s="653"/>
      <c r="AZ367" s="653"/>
      <c r="BA367" s="653"/>
    </row>
    <row r="368" spans="13:53" ht="17.25" customHeight="1" x14ac:dyDescent="0.25">
      <c r="M368" s="268"/>
      <c r="AQ368" s="760"/>
      <c r="AW368" s="653"/>
      <c r="AX368" s="653"/>
      <c r="AY368" s="653"/>
      <c r="AZ368" s="653"/>
    </row>
    <row r="369" spans="13:53" ht="17.25" customHeight="1" x14ac:dyDescent="0.25">
      <c r="M369" s="268"/>
      <c r="AI369" s="889"/>
      <c r="AJ369" s="889"/>
      <c r="AK369" s="889"/>
      <c r="AL369" s="889"/>
      <c r="AM369" s="889"/>
      <c r="AN369" s="889"/>
      <c r="AO369" s="760"/>
      <c r="AP369" s="760"/>
      <c r="AQ369" s="760"/>
      <c r="AR369" s="760"/>
      <c r="AS369" s="760"/>
      <c r="AT369" s="760"/>
      <c r="AU369" s="760"/>
      <c r="AW369" s="760"/>
      <c r="AX369" s="760"/>
      <c r="AY369" s="760"/>
    </row>
    <row r="370" spans="13:53" ht="17.25" customHeight="1" x14ac:dyDescent="0.25">
      <c r="M370" s="268"/>
      <c r="AI370" s="890"/>
      <c r="AJ370" s="890"/>
      <c r="AK370" s="890"/>
      <c r="AL370" s="890"/>
      <c r="AM370" s="890"/>
      <c r="AN370" s="10"/>
      <c r="AO370" s="516"/>
      <c r="AP370" s="516"/>
      <c r="AQ370" s="516"/>
      <c r="AR370" s="516"/>
      <c r="AS370" s="516"/>
      <c r="AT370" s="516"/>
      <c r="AU370" s="516"/>
      <c r="AW370" s="653"/>
      <c r="AX370" s="653"/>
      <c r="AY370" s="653"/>
      <c r="BA370" s="653"/>
    </row>
    <row r="371" spans="13:53" ht="17.25" customHeight="1" x14ac:dyDescent="0.25">
      <c r="M371" s="268"/>
      <c r="AI371" s="760"/>
      <c r="AJ371" s="760"/>
      <c r="AK371" s="760"/>
      <c r="AL371" s="760"/>
      <c r="AM371" s="760"/>
      <c r="AN371" s="10"/>
      <c r="AO371" s="516"/>
      <c r="AP371" s="516"/>
      <c r="AQ371" s="516"/>
      <c r="AR371" s="516"/>
      <c r="AS371" s="516"/>
      <c r="AT371" s="516"/>
      <c r="AU371" s="516"/>
      <c r="AW371" s="653"/>
      <c r="AX371" s="653"/>
      <c r="AY371" s="653"/>
      <c r="AZ371" s="653"/>
      <c r="BA371" s="653"/>
    </row>
    <row r="372" spans="13:53" ht="17.25" customHeight="1" x14ac:dyDescent="0.25">
      <c r="M372" s="268"/>
      <c r="AI372" s="760"/>
      <c r="AJ372" s="760"/>
      <c r="AK372" s="760"/>
      <c r="AL372" s="760"/>
      <c r="AM372" s="760"/>
      <c r="AN372" s="10"/>
      <c r="AO372" s="516"/>
      <c r="AP372" s="516"/>
      <c r="AQ372" s="516"/>
      <c r="AZ372" s="653"/>
      <c r="BA372" s="653"/>
    </row>
    <row r="373" spans="13:53" ht="17.25" customHeight="1" x14ac:dyDescent="0.25">
      <c r="M373" s="268"/>
      <c r="AI373" s="760"/>
      <c r="AJ373" s="760"/>
      <c r="AK373" s="760"/>
      <c r="AL373" s="760"/>
      <c r="AM373" s="760"/>
      <c r="AN373" s="10"/>
      <c r="AO373" s="516"/>
      <c r="AP373" s="516"/>
      <c r="AQ373" s="516"/>
      <c r="AZ373" s="653"/>
      <c r="BA373" s="653"/>
    </row>
    <row r="374" spans="13:53" ht="17.25" customHeight="1" x14ac:dyDescent="0.25">
      <c r="M374" s="268"/>
      <c r="AI374" s="760"/>
      <c r="AJ374" s="760"/>
      <c r="AK374" s="760"/>
      <c r="AL374" s="760"/>
      <c r="AM374" s="760"/>
      <c r="AN374" s="10"/>
      <c r="AO374" s="516"/>
      <c r="AP374" s="516"/>
      <c r="AQ374" s="516"/>
      <c r="AR374" s="761"/>
      <c r="AS374" s="761"/>
      <c r="AT374" s="761"/>
      <c r="AU374" s="761"/>
      <c r="AZ374" s="653"/>
      <c r="BA374" s="653"/>
    </row>
    <row r="375" spans="13:53" ht="17.25" customHeight="1" x14ac:dyDescent="0.25">
      <c r="M375" s="268"/>
      <c r="AI375" s="760"/>
      <c r="AJ375" s="760"/>
      <c r="AK375" s="760"/>
      <c r="AL375" s="760"/>
      <c r="AM375" s="760"/>
      <c r="AN375" s="10"/>
      <c r="AO375" s="516"/>
      <c r="AP375" s="516"/>
      <c r="AR375" s="761"/>
      <c r="AS375" s="761"/>
      <c r="AT375" s="761"/>
      <c r="AU375" s="761"/>
      <c r="AZ375" s="653"/>
      <c r="BA375" s="653"/>
    </row>
    <row r="376" spans="13:53" ht="17.25" customHeight="1" x14ac:dyDescent="0.25">
      <c r="M376" s="268"/>
      <c r="AI376" s="760"/>
      <c r="AJ376" s="760"/>
      <c r="AK376" s="760"/>
      <c r="AL376" s="760"/>
      <c r="AM376" s="760"/>
      <c r="AN376" s="10"/>
      <c r="AO376" s="516"/>
      <c r="AP376" s="516"/>
      <c r="AQ376" s="760"/>
      <c r="AR376" s="761"/>
      <c r="AS376" s="761"/>
      <c r="AT376" s="761"/>
      <c r="AU376" s="761"/>
      <c r="AZ376" s="653"/>
      <c r="BA376" s="653"/>
    </row>
    <row r="377" spans="13:53" ht="17.25" customHeight="1" x14ac:dyDescent="0.25">
      <c r="M377" s="268"/>
      <c r="AQ377" s="760"/>
      <c r="AW377" s="653"/>
      <c r="AX377" s="653"/>
      <c r="AY377" s="653"/>
      <c r="AZ377" s="653"/>
    </row>
    <row r="378" spans="13:53" ht="17.25" customHeight="1" x14ac:dyDescent="0.25">
      <c r="M378" s="268"/>
      <c r="AI378" s="889"/>
      <c r="AJ378" s="889"/>
      <c r="AK378" s="889"/>
      <c r="AL378" s="889"/>
      <c r="AM378" s="889"/>
      <c r="AN378" s="889"/>
      <c r="AO378" s="760"/>
      <c r="AP378" s="760"/>
      <c r="AQ378" s="516"/>
      <c r="AR378" s="760"/>
      <c r="AS378" s="760"/>
      <c r="AT378" s="760"/>
      <c r="AU378" s="760"/>
      <c r="AW378" s="760"/>
      <c r="AX378" s="760"/>
      <c r="AY378" s="760"/>
    </row>
    <row r="379" spans="13:53" ht="17.25" customHeight="1" x14ac:dyDescent="0.25">
      <c r="M379" s="268"/>
      <c r="AI379" s="890"/>
      <c r="AJ379" s="890"/>
      <c r="AK379" s="890"/>
      <c r="AL379" s="890"/>
      <c r="AM379" s="890"/>
      <c r="AN379" s="10"/>
      <c r="AO379" s="516"/>
      <c r="AP379" s="516"/>
      <c r="AQ379" s="760"/>
      <c r="AR379" s="516"/>
      <c r="AS379" s="516"/>
      <c r="AT379" s="516"/>
      <c r="AU379" s="516"/>
      <c r="AW379" s="653"/>
      <c r="AX379" s="653"/>
      <c r="AY379" s="653"/>
    </row>
    <row r="380" spans="13:53" ht="17.25" customHeight="1" x14ac:dyDescent="0.25">
      <c r="M380" s="268"/>
      <c r="AI380" s="889"/>
      <c r="AJ380" s="889"/>
      <c r="AK380" s="889"/>
      <c r="AL380" s="889"/>
      <c r="AM380" s="889"/>
      <c r="AN380" s="889"/>
      <c r="AO380" s="760"/>
      <c r="AP380" s="760"/>
      <c r="AQ380" s="761"/>
      <c r="AR380" s="760"/>
      <c r="AS380" s="760"/>
      <c r="AT380" s="760"/>
      <c r="AU380" s="760"/>
      <c r="AW380" s="653"/>
      <c r="AX380" s="653"/>
      <c r="AY380" s="653"/>
    </row>
    <row r="381" spans="13:53" ht="17.25" customHeight="1" x14ac:dyDescent="0.25">
      <c r="M381" s="268"/>
      <c r="AI381" s="889"/>
      <c r="AJ381" s="889"/>
      <c r="AK381" s="889"/>
      <c r="AL381" s="889"/>
      <c r="AM381" s="889"/>
      <c r="AN381" s="889"/>
      <c r="AO381" s="761"/>
      <c r="AP381" s="761"/>
      <c r="AR381" s="760"/>
      <c r="AS381" s="760"/>
      <c r="AT381" s="760"/>
      <c r="AU381" s="760"/>
      <c r="AW381" s="653"/>
      <c r="AX381" s="653"/>
      <c r="AY381" s="653"/>
    </row>
    <row r="382" spans="13:53" ht="17.25" customHeight="1" x14ac:dyDescent="0.25">
      <c r="M382" s="268"/>
      <c r="AI382" s="137"/>
      <c r="AJ382" s="137"/>
      <c r="AK382" s="137"/>
      <c r="AL382" s="137"/>
      <c r="AM382" s="137"/>
      <c r="AQ382" s="760"/>
      <c r="AR382" s="761"/>
      <c r="AS382" s="761"/>
      <c r="AT382" s="761"/>
      <c r="AU382" s="761"/>
    </row>
    <row r="383" spans="13:53" ht="17.25" customHeight="1" x14ac:dyDescent="0.25">
      <c r="M383" s="268"/>
      <c r="AI383" s="889"/>
      <c r="AJ383" s="889"/>
      <c r="AK383" s="889"/>
      <c r="AL383" s="889"/>
      <c r="AM383" s="889"/>
      <c r="AN383" s="889"/>
      <c r="AO383" s="760"/>
      <c r="AP383" s="760"/>
      <c r="AQ383" s="516"/>
      <c r="AW383" s="653"/>
      <c r="AX383" s="653"/>
      <c r="AY383" s="653"/>
    </row>
    <row r="384" spans="13:53" ht="17.25" customHeight="1" x14ac:dyDescent="0.25">
      <c r="M384" s="268"/>
      <c r="AI384" s="890"/>
      <c r="AJ384" s="890"/>
      <c r="AK384" s="890"/>
      <c r="AL384" s="890"/>
      <c r="AM384" s="890"/>
      <c r="AN384" s="10"/>
      <c r="AO384" s="516"/>
      <c r="AP384" s="516"/>
      <c r="AQ384" s="760"/>
      <c r="AR384" s="760"/>
      <c r="AS384" s="760"/>
      <c r="AT384" s="760"/>
      <c r="AU384" s="760"/>
      <c r="AW384" s="760"/>
      <c r="AX384" s="760"/>
      <c r="AY384" s="760"/>
    </row>
    <row r="385" spans="13:51" ht="17.25" customHeight="1" x14ac:dyDescent="0.25">
      <c r="M385" s="268"/>
      <c r="AI385" s="889"/>
      <c r="AJ385" s="889"/>
      <c r="AK385" s="889"/>
      <c r="AL385" s="889"/>
      <c r="AM385" s="889"/>
      <c r="AN385" s="889"/>
      <c r="AO385" s="760"/>
      <c r="AP385" s="760"/>
      <c r="AQ385" s="761"/>
      <c r="AR385" s="516"/>
      <c r="AS385" s="516"/>
      <c r="AT385" s="516"/>
      <c r="AU385" s="516"/>
      <c r="AW385" s="653"/>
      <c r="AX385" s="653"/>
      <c r="AY385" s="653"/>
    </row>
    <row r="386" spans="13:51" ht="17.25" customHeight="1" x14ac:dyDescent="0.25">
      <c r="M386" s="268"/>
      <c r="AI386" s="889"/>
      <c r="AJ386" s="889"/>
      <c r="AK386" s="889"/>
      <c r="AL386" s="889"/>
      <c r="AM386" s="889"/>
      <c r="AN386" s="889"/>
      <c r="AO386" s="761"/>
      <c r="AP386" s="761"/>
      <c r="AR386" s="760"/>
      <c r="AS386" s="760"/>
      <c r="AT386" s="760"/>
      <c r="AU386" s="760"/>
      <c r="AW386" s="653"/>
      <c r="AX386" s="653"/>
      <c r="AY386" s="653"/>
    </row>
    <row r="387" spans="13:51" ht="17.25" customHeight="1" x14ac:dyDescent="0.25">
      <c r="M387" s="268"/>
      <c r="AK387" s="308"/>
      <c r="AQ387" s="760"/>
      <c r="AR387" s="761"/>
      <c r="AS387" s="761"/>
      <c r="AT387" s="761"/>
      <c r="AU387" s="761"/>
    </row>
    <row r="388" spans="13:51" ht="17.25" customHeight="1" x14ac:dyDescent="0.25">
      <c r="M388" s="268"/>
      <c r="AI388" s="891"/>
      <c r="AJ388" s="891"/>
      <c r="AK388" s="891"/>
      <c r="AL388" s="891"/>
      <c r="AM388" s="891"/>
      <c r="AN388" s="891"/>
      <c r="AO388" s="760"/>
      <c r="AP388" s="760"/>
      <c r="AQ388" s="516"/>
    </row>
    <row r="389" spans="13:51" ht="17.25" customHeight="1" x14ac:dyDescent="0.25">
      <c r="M389" s="268"/>
      <c r="AI389" s="892"/>
      <c r="AJ389" s="892"/>
      <c r="AK389" s="892"/>
      <c r="AL389" s="892"/>
      <c r="AM389" s="892"/>
      <c r="AN389" s="10"/>
      <c r="AO389" s="516"/>
      <c r="AP389" s="516"/>
      <c r="AQ389" s="760"/>
      <c r="AR389" s="760"/>
      <c r="AS389" s="760"/>
      <c r="AT389" s="760"/>
      <c r="AU389" s="760"/>
    </row>
    <row r="390" spans="13:51" ht="17.25" customHeight="1" x14ac:dyDescent="0.25">
      <c r="M390" s="268"/>
      <c r="AI390" s="891"/>
      <c r="AJ390" s="891"/>
      <c r="AK390" s="891"/>
      <c r="AL390" s="891"/>
      <c r="AM390" s="891"/>
      <c r="AN390" s="891"/>
      <c r="AO390" s="760"/>
      <c r="AP390" s="760"/>
      <c r="AQ390" s="761"/>
      <c r="AR390" s="516"/>
      <c r="AS390" s="516"/>
      <c r="AT390" s="516"/>
      <c r="AU390" s="516"/>
    </row>
    <row r="391" spans="13:51" ht="17.25" customHeight="1" x14ac:dyDescent="0.25">
      <c r="M391" s="268"/>
      <c r="AI391" s="891"/>
      <c r="AJ391" s="891"/>
      <c r="AK391" s="891"/>
      <c r="AL391" s="891"/>
      <c r="AM391" s="891"/>
      <c r="AN391" s="891"/>
      <c r="AO391" s="761"/>
      <c r="AP391" s="761"/>
      <c r="AR391" s="760"/>
      <c r="AS391" s="760"/>
      <c r="AT391" s="760"/>
      <c r="AU391" s="760"/>
    </row>
    <row r="392" spans="13:51" ht="17.25" customHeight="1" x14ac:dyDescent="0.25">
      <c r="M392" s="268"/>
      <c r="AI392" s="137"/>
      <c r="AJ392" s="137"/>
      <c r="AK392" s="137"/>
      <c r="AL392" s="137"/>
      <c r="AM392" s="137"/>
      <c r="AQ392" s="760"/>
      <c r="AR392" s="761"/>
      <c r="AS392" s="761"/>
      <c r="AT392" s="761"/>
      <c r="AU392" s="761"/>
    </row>
    <row r="393" spans="13:51" ht="17.25" customHeight="1" x14ac:dyDescent="0.25">
      <c r="M393" s="268"/>
      <c r="AI393" s="889"/>
      <c r="AJ393" s="889"/>
      <c r="AK393" s="889"/>
      <c r="AL393" s="889"/>
      <c r="AM393" s="889"/>
      <c r="AN393" s="889"/>
      <c r="AO393" s="760"/>
      <c r="AP393" s="760"/>
      <c r="AQ393" s="516"/>
    </row>
    <row r="394" spans="13:51" ht="17.25" customHeight="1" x14ac:dyDescent="0.25">
      <c r="M394" s="268"/>
      <c r="AI394" s="890"/>
      <c r="AJ394" s="890"/>
      <c r="AK394" s="890"/>
      <c r="AL394" s="890"/>
      <c r="AM394" s="890"/>
      <c r="AN394" s="10"/>
      <c r="AO394" s="516"/>
      <c r="AP394" s="516"/>
      <c r="AQ394" s="760"/>
      <c r="AR394" s="760"/>
      <c r="AS394" s="760"/>
      <c r="AT394" s="760"/>
      <c r="AU394" s="760"/>
    </row>
    <row r="395" spans="13:51" ht="17.25" customHeight="1" x14ac:dyDescent="0.25">
      <c r="M395" s="268"/>
      <c r="AI395" s="889"/>
      <c r="AJ395" s="889"/>
      <c r="AK395" s="889"/>
      <c r="AL395" s="889"/>
      <c r="AM395" s="889"/>
      <c r="AN395" s="889"/>
      <c r="AO395" s="760"/>
      <c r="AP395" s="760"/>
      <c r="AQ395" s="761"/>
      <c r="AR395" s="516"/>
      <c r="AS395" s="516"/>
      <c r="AT395" s="516"/>
      <c r="AU395" s="516"/>
    </row>
    <row r="396" spans="13:51" ht="17.25" customHeight="1" x14ac:dyDescent="0.25">
      <c r="M396" s="268"/>
      <c r="AI396" s="889"/>
      <c r="AJ396" s="889"/>
      <c r="AK396" s="889"/>
      <c r="AL396" s="889"/>
      <c r="AM396" s="889"/>
      <c r="AN396" s="889"/>
      <c r="AO396" s="761"/>
      <c r="AP396" s="761"/>
      <c r="AR396" s="760"/>
      <c r="AS396" s="760"/>
      <c r="AT396" s="760"/>
      <c r="AU396" s="760"/>
    </row>
    <row r="397" spans="13:51" ht="17.25" customHeight="1" x14ac:dyDescent="0.25">
      <c r="M397" s="268"/>
      <c r="AR397" s="761"/>
      <c r="AS397" s="761"/>
      <c r="AT397" s="761"/>
      <c r="AU397" s="761"/>
    </row>
    <row r="398" spans="13:51" ht="17.25" customHeight="1" x14ac:dyDescent="0.25">
      <c r="M398" s="268"/>
      <c r="AI398" s="137"/>
      <c r="AJ398" s="137"/>
      <c r="AK398" s="137"/>
      <c r="AL398" s="137"/>
      <c r="AM398" s="137"/>
      <c r="AQ398" s="760"/>
    </row>
    <row r="399" spans="13:51" ht="17.25" customHeight="1" x14ac:dyDescent="0.25">
      <c r="M399" s="268"/>
      <c r="AI399" s="889"/>
      <c r="AJ399" s="889"/>
      <c r="AK399" s="889"/>
      <c r="AL399" s="889"/>
      <c r="AM399" s="889"/>
      <c r="AN399" s="889"/>
      <c r="AO399" s="760"/>
      <c r="AP399" s="760"/>
      <c r="AR399" s="760"/>
      <c r="AS399" s="760"/>
      <c r="AT399" s="760"/>
      <c r="AU399" s="760"/>
    </row>
    <row r="400" spans="13:51" ht="17.25" customHeight="1" x14ac:dyDescent="0.25">
      <c r="M400" s="268"/>
      <c r="AI400" s="890"/>
      <c r="AJ400" s="890"/>
      <c r="AK400" s="890"/>
      <c r="AL400" s="890"/>
      <c r="AM400" s="890"/>
      <c r="AN400" s="10"/>
      <c r="AO400" s="516"/>
      <c r="AP400" s="516"/>
      <c r="AR400" s="516"/>
      <c r="AS400" s="516"/>
      <c r="AT400" s="516"/>
      <c r="AU400" s="516"/>
    </row>
    <row r="401" spans="13:13" ht="17.25" customHeight="1" x14ac:dyDescent="0.25">
      <c r="M401" s="268"/>
    </row>
    <row r="402" spans="13:13" ht="17.25" customHeight="1" x14ac:dyDescent="0.25">
      <c r="M402" s="268"/>
    </row>
    <row r="403" spans="13:13" ht="17.25" customHeight="1" x14ac:dyDescent="0.25">
      <c r="M403" s="268"/>
    </row>
    <row r="404" spans="13:13" ht="17.25" customHeight="1" x14ac:dyDescent="0.25">
      <c r="M404" s="268"/>
    </row>
    <row r="405" spans="13:13" ht="17.25" customHeight="1" x14ac:dyDescent="0.25">
      <c r="M405" s="268"/>
    </row>
    <row r="406" spans="13:13" ht="17.25" customHeight="1" x14ac:dyDescent="0.25">
      <c r="M406" s="268"/>
    </row>
    <row r="407" spans="13:13" ht="17.25" customHeight="1" x14ac:dyDescent="0.25">
      <c r="M407" s="268"/>
    </row>
    <row r="408" spans="13:13" ht="17.25" customHeight="1" x14ac:dyDescent="0.25">
      <c r="M408" s="268"/>
    </row>
    <row r="409" spans="13:13" ht="17.25" customHeight="1" x14ac:dyDescent="0.25">
      <c r="M409" s="268"/>
    </row>
    <row r="410" spans="13:13" ht="17.25" customHeight="1" x14ac:dyDescent="0.25">
      <c r="M410" s="268"/>
    </row>
    <row r="411" spans="13:13" ht="17.25" customHeight="1" x14ac:dyDescent="0.25">
      <c r="M411" s="268"/>
    </row>
    <row r="412" spans="13:13" ht="17.25" customHeight="1" x14ac:dyDescent="0.25">
      <c r="M412" s="268"/>
    </row>
    <row r="413" spans="13:13" ht="17.25" customHeight="1" x14ac:dyDescent="0.25">
      <c r="M413" s="268"/>
    </row>
    <row r="414" spans="13:13" ht="17.25" customHeight="1" x14ac:dyDescent="0.25">
      <c r="M414" s="268"/>
    </row>
    <row r="415" spans="13:13" ht="17.25" customHeight="1" x14ac:dyDescent="0.25">
      <c r="M415" s="268"/>
    </row>
    <row r="416" spans="13:13" ht="17.25" customHeight="1" x14ac:dyDescent="0.25">
      <c r="M416" s="268"/>
    </row>
    <row r="417" spans="13:13" ht="17.25" customHeight="1" x14ac:dyDescent="0.25">
      <c r="M417" s="268"/>
    </row>
    <row r="418" spans="13:13" ht="17.25" customHeight="1" x14ac:dyDescent="0.25">
      <c r="M418" s="268"/>
    </row>
    <row r="419" spans="13:13" ht="17.25" customHeight="1" x14ac:dyDescent="0.25">
      <c r="M419" s="268"/>
    </row>
    <row r="420" spans="13:13" ht="17.25" customHeight="1" x14ac:dyDescent="0.25">
      <c r="M420" s="268"/>
    </row>
    <row r="421" spans="13:13" ht="17.25" customHeight="1" x14ac:dyDescent="0.25">
      <c r="M421" s="268"/>
    </row>
    <row r="422" spans="13:13" ht="17.25" customHeight="1" x14ac:dyDescent="0.25">
      <c r="M422" s="268"/>
    </row>
    <row r="423" spans="13:13" ht="17.25" customHeight="1" x14ac:dyDescent="0.25">
      <c r="M423" s="268"/>
    </row>
    <row r="424" spans="13:13" ht="17.25" customHeight="1" x14ac:dyDescent="0.25">
      <c r="M424" s="268"/>
    </row>
    <row r="425" spans="13:13" ht="17.25" customHeight="1" x14ac:dyDescent="0.25">
      <c r="M425" s="268"/>
    </row>
    <row r="426" spans="13:13" ht="17.25" customHeight="1" x14ac:dyDescent="0.25">
      <c r="M426" s="268"/>
    </row>
    <row r="427" spans="13:13" ht="17.25" customHeight="1" x14ac:dyDescent="0.25">
      <c r="M427" s="268"/>
    </row>
    <row r="428" spans="13:13" ht="17.25" customHeight="1" x14ac:dyDescent="0.25">
      <c r="M428" s="268"/>
    </row>
    <row r="429" spans="13:13" ht="17.25" customHeight="1" x14ac:dyDescent="0.25">
      <c r="M429" s="268"/>
    </row>
    <row r="430" spans="13:13" ht="17.25" customHeight="1" x14ac:dyDescent="0.25">
      <c r="M430" s="268"/>
    </row>
    <row r="431" spans="13:13" ht="17.25" customHeight="1" x14ac:dyDescent="0.25">
      <c r="M431" s="268"/>
    </row>
    <row r="432" spans="13:13" ht="17.25" customHeight="1" x14ac:dyDescent="0.25">
      <c r="M432" s="268"/>
    </row>
    <row r="433" spans="13:13" ht="17.25" customHeight="1" x14ac:dyDescent="0.25">
      <c r="M433" s="268"/>
    </row>
    <row r="434" spans="13:13" ht="17.25" customHeight="1" x14ac:dyDescent="0.25">
      <c r="M434" s="268"/>
    </row>
    <row r="435" spans="13:13" ht="17.25" customHeight="1" x14ac:dyDescent="0.25">
      <c r="M435" s="268"/>
    </row>
    <row r="436" spans="13:13" ht="17.25" customHeight="1" x14ac:dyDescent="0.25">
      <c r="M436" s="268"/>
    </row>
    <row r="437" spans="13:13" ht="17.25" customHeight="1" x14ac:dyDescent="0.25">
      <c r="M437" s="268"/>
    </row>
    <row r="438" spans="13:13" ht="17.25" customHeight="1" x14ac:dyDescent="0.25">
      <c r="M438" s="268"/>
    </row>
    <row r="439" spans="13:13" ht="17.25" customHeight="1" x14ac:dyDescent="0.25">
      <c r="M439" s="268"/>
    </row>
    <row r="440" spans="13:13" ht="17.25" customHeight="1" x14ac:dyDescent="0.25">
      <c r="M440" s="268"/>
    </row>
    <row r="441" spans="13:13" ht="17.25" customHeight="1" x14ac:dyDescent="0.25">
      <c r="M441" s="268"/>
    </row>
    <row r="442" spans="13:13" ht="17.25" customHeight="1" x14ac:dyDescent="0.25">
      <c r="M442" s="268"/>
    </row>
    <row r="443" spans="13:13" ht="17.25" customHeight="1" x14ac:dyDescent="0.25">
      <c r="M443" s="268"/>
    </row>
    <row r="444" spans="13:13" ht="17.25" customHeight="1" x14ac:dyDescent="0.25">
      <c r="M444" s="268"/>
    </row>
    <row r="445" spans="13:13" ht="17.25" customHeight="1" x14ac:dyDescent="0.25">
      <c r="M445" s="268"/>
    </row>
    <row r="446" spans="13:13" ht="17.25" customHeight="1" x14ac:dyDescent="0.25">
      <c r="M446" s="268"/>
    </row>
    <row r="447" spans="13:13" ht="17.25" customHeight="1" x14ac:dyDescent="0.25">
      <c r="M447" s="268"/>
    </row>
    <row r="448" spans="13:13" ht="17.25" customHeight="1" x14ac:dyDescent="0.25">
      <c r="M448" s="268"/>
    </row>
    <row r="449" spans="13:13" ht="17.25" customHeight="1" x14ac:dyDescent="0.25">
      <c r="M449" s="268"/>
    </row>
    <row r="450" spans="13:13" ht="17.25" customHeight="1" x14ac:dyDescent="0.25">
      <c r="M450" s="268"/>
    </row>
    <row r="451" spans="13:13" ht="17.25" customHeight="1" x14ac:dyDescent="0.25">
      <c r="M451" s="268"/>
    </row>
    <row r="452" spans="13:13" ht="17.25" customHeight="1" x14ac:dyDescent="0.25">
      <c r="M452" s="268"/>
    </row>
    <row r="453" spans="13:13" ht="17.25" customHeight="1" x14ac:dyDescent="0.25">
      <c r="M453" s="268"/>
    </row>
    <row r="454" spans="13:13" ht="17.25" customHeight="1" x14ac:dyDescent="0.25">
      <c r="M454" s="268"/>
    </row>
    <row r="455" spans="13:13" ht="17.25" customHeight="1" x14ac:dyDescent="0.25">
      <c r="M455" s="268"/>
    </row>
    <row r="456" spans="13:13" ht="17.25" customHeight="1" x14ac:dyDescent="0.25">
      <c r="M456" s="268"/>
    </row>
    <row r="457" spans="13:13" ht="17.25" customHeight="1" x14ac:dyDescent="0.25">
      <c r="M457" s="268"/>
    </row>
    <row r="458" spans="13:13" ht="17.25" customHeight="1" x14ac:dyDescent="0.25">
      <c r="M458" s="268"/>
    </row>
    <row r="459" spans="13:13" ht="17.25" customHeight="1" x14ac:dyDescent="0.25">
      <c r="M459" s="268"/>
    </row>
    <row r="460" spans="13:13" ht="17.25" customHeight="1" x14ac:dyDescent="0.25">
      <c r="M460" s="268"/>
    </row>
    <row r="461" spans="13:13" ht="17.25" customHeight="1" x14ac:dyDescent="0.25">
      <c r="M461" s="268"/>
    </row>
    <row r="462" spans="13:13" ht="17.25" customHeight="1" x14ac:dyDescent="0.25">
      <c r="M462" s="268"/>
    </row>
    <row r="463" spans="13:13" ht="17.25" customHeight="1" x14ac:dyDescent="0.25">
      <c r="M463" s="268"/>
    </row>
    <row r="464" spans="13:13" ht="17.25" customHeight="1" x14ac:dyDescent="0.25">
      <c r="M464" s="268"/>
    </row>
    <row r="465" spans="13:13" ht="17.25" customHeight="1" x14ac:dyDescent="0.25">
      <c r="M465" s="268"/>
    </row>
    <row r="466" spans="13:13" ht="17.25" customHeight="1" x14ac:dyDescent="0.25">
      <c r="M466" s="268"/>
    </row>
    <row r="467" spans="13:13" ht="17.25" customHeight="1" x14ac:dyDescent="0.25">
      <c r="M467" s="268"/>
    </row>
    <row r="468" spans="13:13" ht="17.25" customHeight="1" x14ac:dyDescent="0.25">
      <c r="M468" s="268"/>
    </row>
    <row r="469" spans="13:13" ht="17.25" customHeight="1" x14ac:dyDescent="0.25">
      <c r="M469" s="268"/>
    </row>
    <row r="470" spans="13:13" ht="17.25" customHeight="1" x14ac:dyDescent="0.25">
      <c r="M470" s="268"/>
    </row>
    <row r="471" spans="13:13" ht="17.25" customHeight="1" x14ac:dyDescent="0.25">
      <c r="M471" s="268"/>
    </row>
    <row r="472" spans="13:13" ht="17.25" customHeight="1" x14ac:dyDescent="0.25">
      <c r="M472" s="268"/>
    </row>
    <row r="473" spans="13:13" ht="17.25" customHeight="1" x14ac:dyDescent="0.25">
      <c r="M473" s="268"/>
    </row>
    <row r="474" spans="13:13" ht="17.25" customHeight="1" x14ac:dyDescent="0.25">
      <c r="M474" s="268"/>
    </row>
    <row r="475" spans="13:13" ht="17.25" customHeight="1" x14ac:dyDescent="0.25">
      <c r="M475" s="268"/>
    </row>
    <row r="476" spans="13:13" ht="17.25" customHeight="1" x14ac:dyDescent="0.25">
      <c r="M476" s="268"/>
    </row>
    <row r="477" spans="13:13" ht="17.25" customHeight="1" x14ac:dyDescent="0.25">
      <c r="M477" s="268"/>
    </row>
    <row r="478" spans="13:13" ht="17.25" customHeight="1" x14ac:dyDescent="0.25">
      <c r="M478" s="268"/>
    </row>
    <row r="479" spans="13:13" ht="17.25" customHeight="1" x14ac:dyDescent="0.25">
      <c r="M479" s="268"/>
    </row>
    <row r="480" spans="13:13" ht="17.25" customHeight="1" x14ac:dyDescent="0.25">
      <c r="M480" s="268"/>
    </row>
    <row r="481" spans="13:58" ht="17.25" customHeight="1" x14ac:dyDescent="0.25">
      <c r="M481" s="268"/>
    </row>
    <row r="482" spans="13:58" ht="17.25" customHeight="1" x14ac:dyDescent="0.25">
      <c r="M482" s="268"/>
    </row>
    <row r="483" spans="13:58" ht="17.25" customHeight="1" x14ac:dyDescent="0.25">
      <c r="M483" s="268"/>
    </row>
    <row r="484" spans="13:58" ht="17.25" customHeight="1" x14ac:dyDescent="0.25">
      <c r="M484" s="268"/>
    </row>
    <row r="485" spans="13:58" ht="17.25" customHeight="1" x14ac:dyDescent="0.25">
      <c r="M485" s="268"/>
    </row>
    <row r="486" spans="13:58" ht="17.25" customHeight="1" x14ac:dyDescent="0.25">
      <c r="M486" s="268"/>
    </row>
    <row r="487" spans="13:58" ht="17.25" customHeight="1" x14ac:dyDescent="0.25">
      <c r="M487" s="268"/>
    </row>
    <row r="488" spans="13:58" ht="17.25" customHeight="1" x14ac:dyDescent="0.25">
      <c r="M488" s="268"/>
    </row>
    <row r="489" spans="13:58" ht="17.25" customHeight="1" x14ac:dyDescent="0.25">
      <c r="M489" s="268"/>
    </row>
    <row r="490" spans="13:58" ht="17.25" customHeight="1" x14ac:dyDescent="0.25">
      <c r="M490" s="268"/>
    </row>
    <row r="491" spans="13:58" ht="17.25" customHeight="1" x14ac:dyDescent="0.25">
      <c r="M491" s="268"/>
    </row>
    <row r="492" spans="13:58" ht="17.25" customHeight="1" x14ac:dyDescent="0.25">
      <c r="M492" s="268"/>
    </row>
    <row r="493" spans="13:58" ht="17.25" customHeight="1" x14ac:dyDescent="0.25">
      <c r="M493" s="268"/>
    </row>
    <row r="494" spans="13:58" ht="17.25" customHeight="1" x14ac:dyDescent="0.25">
      <c r="M494" s="268"/>
    </row>
    <row r="495" spans="13:58" ht="17.25" customHeight="1" x14ac:dyDescent="0.25">
      <c r="M495" s="268"/>
      <c r="BF495" s="762" t="s">
        <v>1160</v>
      </c>
    </row>
  </sheetData>
  <mergeCells count="988">
    <mergeCell ref="AO26:AQ26"/>
    <mergeCell ref="B27:C27"/>
    <mergeCell ref="E31:H31"/>
    <mergeCell ref="A33:A36"/>
    <mergeCell ref="E34:H34"/>
    <mergeCell ref="AF34:AH34"/>
    <mergeCell ref="AC36:AE36"/>
    <mergeCell ref="A1:BI1"/>
    <mergeCell ref="U10:AU21"/>
    <mergeCell ref="E13:G13"/>
    <mergeCell ref="O14:P14"/>
    <mergeCell ref="A16:B16"/>
    <mergeCell ref="L18:M18"/>
    <mergeCell ref="P19:T19"/>
    <mergeCell ref="A44:B44"/>
    <mergeCell ref="C44:C45"/>
    <mergeCell ref="D44:D45"/>
    <mergeCell ref="J44:J45"/>
    <mergeCell ref="K44:K45"/>
    <mergeCell ref="W44:Z44"/>
    <mergeCell ref="C37:C38"/>
    <mergeCell ref="D37:D38"/>
    <mergeCell ref="I37:I38"/>
    <mergeCell ref="N38:O38"/>
    <mergeCell ref="Y39:Y40"/>
    <mergeCell ref="E41:I41"/>
    <mergeCell ref="BI57:BI59"/>
    <mergeCell ref="AX58:BC62"/>
    <mergeCell ref="E60:H60"/>
    <mergeCell ref="AB44:AE44"/>
    <mergeCell ref="AN44:AP44"/>
    <mergeCell ref="AV44:AX44"/>
    <mergeCell ref="AI46:AK46"/>
    <mergeCell ref="BF46:BI56"/>
    <mergeCell ref="E48:H48"/>
    <mergeCell ref="AB52:AE52"/>
    <mergeCell ref="Q43:R45"/>
    <mergeCell ref="V43:X43"/>
    <mergeCell ref="E67:H67"/>
    <mergeCell ref="AC70:AD73"/>
    <mergeCell ref="AF70:AI73"/>
    <mergeCell ref="E73:H73"/>
    <mergeCell ref="A75:B75"/>
    <mergeCell ref="I76:K76"/>
    <mergeCell ref="A53:B53"/>
    <mergeCell ref="AH53:AH54"/>
    <mergeCell ref="W55:Y55"/>
    <mergeCell ref="AC56:AE56"/>
    <mergeCell ref="W113:X113"/>
    <mergeCell ref="Y113:Z113"/>
    <mergeCell ref="A111:I111"/>
    <mergeCell ref="J111:M111"/>
    <mergeCell ref="Q111:T111"/>
    <mergeCell ref="W111:Z111"/>
    <mergeCell ref="Q112:R112"/>
    <mergeCell ref="S112:T112"/>
    <mergeCell ref="W112:X112"/>
    <mergeCell ref="Y112:Z112"/>
    <mergeCell ref="U114:V114"/>
    <mergeCell ref="A115:D115"/>
    <mergeCell ref="A116:D116"/>
    <mergeCell ref="A118:D118"/>
    <mergeCell ref="A119:D119"/>
    <mergeCell ref="A120:D120"/>
    <mergeCell ref="A113:F113"/>
    <mergeCell ref="G113:I113"/>
    <mergeCell ref="Q113:R113"/>
    <mergeCell ref="S113:T113"/>
    <mergeCell ref="A123:Z123"/>
    <mergeCell ref="D124:H124"/>
    <mergeCell ref="I124:J124"/>
    <mergeCell ref="Q124:U124"/>
    <mergeCell ref="V124:W124"/>
    <mergeCell ref="AC124:AF125"/>
    <mergeCell ref="D125:H125"/>
    <mergeCell ref="I125:J125"/>
    <mergeCell ref="Q125:U125"/>
    <mergeCell ref="V125:W125"/>
    <mergeCell ref="AI125:AN125"/>
    <mergeCell ref="AR125:AW125"/>
    <mergeCell ref="D126:H126"/>
    <mergeCell ref="I126:J126"/>
    <mergeCell ref="Q126:U126"/>
    <mergeCell ref="V126:W126"/>
    <mergeCell ref="AC126:AD126"/>
    <mergeCell ref="AI126:AM126"/>
    <mergeCell ref="AR126:AV126"/>
    <mergeCell ref="AI129:AM129"/>
    <mergeCell ref="AR129:AV129"/>
    <mergeCell ref="A130:I130"/>
    <mergeCell ref="N130:V130"/>
    <mergeCell ref="AI130:AM130"/>
    <mergeCell ref="AR130:AV130"/>
    <mergeCell ref="AR127:AV127"/>
    <mergeCell ref="D128:H128"/>
    <mergeCell ref="I128:J128"/>
    <mergeCell ref="Q128:U128"/>
    <mergeCell ref="V128:W128"/>
    <mergeCell ref="AI128:AM128"/>
    <mergeCell ref="AR128:AV128"/>
    <mergeCell ref="D127:H127"/>
    <mergeCell ref="I127:J127"/>
    <mergeCell ref="Q127:U127"/>
    <mergeCell ref="V127:W127"/>
    <mergeCell ref="AC127:AF127"/>
    <mergeCell ref="AI127:AM127"/>
    <mergeCell ref="A132:C132"/>
    <mergeCell ref="G132:I132"/>
    <mergeCell ref="N132:P132"/>
    <mergeCell ref="T132:V132"/>
    <mergeCell ref="AI132:AM132"/>
    <mergeCell ref="AR132:AV132"/>
    <mergeCell ref="A131:C131"/>
    <mergeCell ref="G131:I131"/>
    <mergeCell ref="N131:P131"/>
    <mergeCell ref="T131:V131"/>
    <mergeCell ref="AI131:AM131"/>
    <mergeCell ref="AR131:AV131"/>
    <mergeCell ref="A134:C134"/>
    <mergeCell ref="G134:I134"/>
    <mergeCell ref="N134:P134"/>
    <mergeCell ref="T134:V134"/>
    <mergeCell ref="AI134:AM134"/>
    <mergeCell ref="AR134:AV134"/>
    <mergeCell ref="A133:C133"/>
    <mergeCell ref="G133:I133"/>
    <mergeCell ref="N133:P133"/>
    <mergeCell ref="T133:V133"/>
    <mergeCell ref="AI133:AM133"/>
    <mergeCell ref="AR133:AV133"/>
    <mergeCell ref="A136:C136"/>
    <mergeCell ref="G136:I136"/>
    <mergeCell ref="N136:P136"/>
    <mergeCell ref="T136:V136"/>
    <mergeCell ref="AI136:AM136"/>
    <mergeCell ref="AR136:AV136"/>
    <mergeCell ref="A135:C135"/>
    <mergeCell ref="G135:I135"/>
    <mergeCell ref="N135:P135"/>
    <mergeCell ref="T135:V135"/>
    <mergeCell ref="AI135:AM135"/>
    <mergeCell ref="AR135:AV135"/>
    <mergeCell ref="A138:C138"/>
    <mergeCell ref="G138:I138"/>
    <mergeCell ref="N138:P138"/>
    <mergeCell ref="T138:V138"/>
    <mergeCell ref="AI138:AM138"/>
    <mergeCell ref="AR138:AV138"/>
    <mergeCell ref="A137:C137"/>
    <mergeCell ref="G137:I137"/>
    <mergeCell ref="N137:P137"/>
    <mergeCell ref="T137:V137"/>
    <mergeCell ref="AI137:AM137"/>
    <mergeCell ref="AR137:AV137"/>
    <mergeCell ref="A140:C140"/>
    <mergeCell ref="G140:I140"/>
    <mergeCell ref="N140:P140"/>
    <mergeCell ref="T140:V140"/>
    <mergeCell ref="AI140:AM140"/>
    <mergeCell ref="AR140:AV140"/>
    <mergeCell ref="A139:C139"/>
    <mergeCell ref="G139:I139"/>
    <mergeCell ref="N139:P139"/>
    <mergeCell ref="T139:V139"/>
    <mergeCell ref="AI139:AM139"/>
    <mergeCell ref="AR139:AV139"/>
    <mergeCell ref="A142:C142"/>
    <mergeCell ref="G142:I142"/>
    <mergeCell ref="N142:P142"/>
    <mergeCell ref="T142:V142"/>
    <mergeCell ref="AI142:AM142"/>
    <mergeCell ref="AR142:AV142"/>
    <mergeCell ref="A141:C141"/>
    <mergeCell ref="G141:I141"/>
    <mergeCell ref="N141:P141"/>
    <mergeCell ref="T141:V141"/>
    <mergeCell ref="AI141:AM141"/>
    <mergeCell ref="AR141:AV141"/>
    <mergeCell ref="A144:C144"/>
    <mergeCell ref="G144:I144"/>
    <mergeCell ref="N144:P144"/>
    <mergeCell ref="T144:V144"/>
    <mergeCell ref="AI144:AM144"/>
    <mergeCell ref="AR144:AV144"/>
    <mergeCell ref="A143:C143"/>
    <mergeCell ref="G143:I143"/>
    <mergeCell ref="N143:P143"/>
    <mergeCell ref="T143:V143"/>
    <mergeCell ref="AI143:AM143"/>
    <mergeCell ref="AR143:AV143"/>
    <mergeCell ref="A146:C146"/>
    <mergeCell ref="G146:I146"/>
    <mergeCell ref="N146:P146"/>
    <mergeCell ref="T146:V146"/>
    <mergeCell ref="AI146:AM146"/>
    <mergeCell ref="AR146:AV146"/>
    <mergeCell ref="A145:C145"/>
    <mergeCell ref="G145:I145"/>
    <mergeCell ref="N145:P145"/>
    <mergeCell ref="T145:V145"/>
    <mergeCell ref="AI145:AM145"/>
    <mergeCell ref="AR145:AV145"/>
    <mergeCell ref="A148:C148"/>
    <mergeCell ref="G148:I148"/>
    <mergeCell ref="N148:P148"/>
    <mergeCell ref="T148:V148"/>
    <mergeCell ref="AI148:AM148"/>
    <mergeCell ref="AR148:AV148"/>
    <mergeCell ref="A147:C147"/>
    <mergeCell ref="G147:I147"/>
    <mergeCell ref="N147:P147"/>
    <mergeCell ref="T147:V147"/>
    <mergeCell ref="AI147:AM147"/>
    <mergeCell ref="AR147:AV147"/>
    <mergeCell ref="A150:C150"/>
    <mergeCell ref="G150:I150"/>
    <mergeCell ref="N150:P150"/>
    <mergeCell ref="T150:V150"/>
    <mergeCell ref="AI150:AM150"/>
    <mergeCell ref="AR150:AV150"/>
    <mergeCell ref="A149:C149"/>
    <mergeCell ref="G149:I149"/>
    <mergeCell ref="N149:P149"/>
    <mergeCell ref="T149:V149"/>
    <mergeCell ref="AI149:AM149"/>
    <mergeCell ref="AR149:AV149"/>
    <mergeCell ref="AR151:AV151"/>
    <mergeCell ref="A152:E152"/>
    <mergeCell ref="G152:I152"/>
    <mergeCell ref="N152:R152"/>
    <mergeCell ref="T152:V152"/>
    <mergeCell ref="AI152:AM152"/>
    <mergeCell ref="AR152:AV152"/>
    <mergeCell ref="A151:C151"/>
    <mergeCell ref="G151:I151"/>
    <mergeCell ref="N151:P151"/>
    <mergeCell ref="T151:V151"/>
    <mergeCell ref="AC151:AF151"/>
    <mergeCell ref="AI151:AM151"/>
    <mergeCell ref="A153:I153"/>
    <mergeCell ref="N153:V153"/>
    <mergeCell ref="AI153:AM153"/>
    <mergeCell ref="AR153:AV153"/>
    <mergeCell ref="A154:C154"/>
    <mergeCell ref="G154:I154"/>
    <mergeCell ref="N154:P154"/>
    <mergeCell ref="T154:V154"/>
    <mergeCell ref="AI154:AM154"/>
    <mergeCell ref="AR154:AV154"/>
    <mergeCell ref="A156:C156"/>
    <mergeCell ref="G156:I156"/>
    <mergeCell ref="N156:P156"/>
    <mergeCell ref="T156:V156"/>
    <mergeCell ref="AI156:AM156"/>
    <mergeCell ref="AR156:AV156"/>
    <mergeCell ref="A155:C155"/>
    <mergeCell ref="G155:I155"/>
    <mergeCell ref="N155:P155"/>
    <mergeCell ref="T155:V155"/>
    <mergeCell ref="AI155:AM155"/>
    <mergeCell ref="AR155:AV155"/>
    <mergeCell ref="A158:C158"/>
    <mergeCell ref="G158:I158"/>
    <mergeCell ref="N158:P158"/>
    <mergeCell ref="T158:V158"/>
    <mergeCell ref="AI158:AM158"/>
    <mergeCell ref="AR158:AV158"/>
    <mergeCell ref="A157:C157"/>
    <mergeCell ref="G157:I157"/>
    <mergeCell ref="N157:P157"/>
    <mergeCell ref="T157:V157"/>
    <mergeCell ref="AI157:AM157"/>
    <mergeCell ref="AR157:AV157"/>
    <mergeCell ref="A160:C160"/>
    <mergeCell ref="G160:I160"/>
    <mergeCell ref="N160:P160"/>
    <mergeCell ref="T160:V160"/>
    <mergeCell ref="AI160:AM160"/>
    <mergeCell ref="AR160:AV160"/>
    <mergeCell ref="A159:C159"/>
    <mergeCell ref="G159:I159"/>
    <mergeCell ref="N159:P159"/>
    <mergeCell ref="T159:V159"/>
    <mergeCell ref="AI159:AM159"/>
    <mergeCell ref="AR159:AV159"/>
    <mergeCell ref="A162:C162"/>
    <mergeCell ref="G162:I162"/>
    <mergeCell ref="N162:P162"/>
    <mergeCell ref="T162:V162"/>
    <mergeCell ref="AI162:AM162"/>
    <mergeCell ref="AR162:AV162"/>
    <mergeCell ref="A161:C161"/>
    <mergeCell ref="G161:I161"/>
    <mergeCell ref="N161:P161"/>
    <mergeCell ref="T161:V161"/>
    <mergeCell ref="AI161:AM161"/>
    <mergeCell ref="AR161:AV161"/>
    <mergeCell ref="A165:C165"/>
    <mergeCell ref="G165:I165"/>
    <mergeCell ref="N165:P165"/>
    <mergeCell ref="T165:V165"/>
    <mergeCell ref="AI165:AM165"/>
    <mergeCell ref="AR165:AV165"/>
    <mergeCell ref="A163:C163"/>
    <mergeCell ref="G163:I163"/>
    <mergeCell ref="N163:P163"/>
    <mergeCell ref="T163:V163"/>
    <mergeCell ref="AI163:AM163"/>
    <mergeCell ref="A164:C164"/>
    <mergeCell ref="G164:I164"/>
    <mergeCell ref="N164:P164"/>
    <mergeCell ref="T164:V164"/>
    <mergeCell ref="AI164:AM164"/>
    <mergeCell ref="A167:C167"/>
    <mergeCell ref="G167:I167"/>
    <mergeCell ref="N167:P167"/>
    <mergeCell ref="T167:V167"/>
    <mergeCell ref="AI167:AM167"/>
    <mergeCell ref="AR167:AV167"/>
    <mergeCell ref="A166:C166"/>
    <mergeCell ref="G166:I166"/>
    <mergeCell ref="N166:P166"/>
    <mergeCell ref="T166:V166"/>
    <mergeCell ref="AI166:AM166"/>
    <mergeCell ref="AR166:AV166"/>
    <mergeCell ref="AR169:AW169"/>
    <mergeCell ref="A170:C170"/>
    <mergeCell ref="G170:I170"/>
    <mergeCell ref="N170:P170"/>
    <mergeCell ref="T170:V170"/>
    <mergeCell ref="AI170:AM170"/>
    <mergeCell ref="AR170:AV170"/>
    <mergeCell ref="A168:C168"/>
    <mergeCell ref="G168:I168"/>
    <mergeCell ref="N168:P168"/>
    <mergeCell ref="T168:V168"/>
    <mergeCell ref="AI168:AM168"/>
    <mergeCell ref="A169:C169"/>
    <mergeCell ref="G169:I169"/>
    <mergeCell ref="N169:P169"/>
    <mergeCell ref="T169:V169"/>
    <mergeCell ref="AI169:AM169"/>
    <mergeCell ref="A172:E172"/>
    <mergeCell ref="G172:I172"/>
    <mergeCell ref="N172:R172"/>
    <mergeCell ref="T172:V172"/>
    <mergeCell ref="AI172:AM172"/>
    <mergeCell ref="AR172:AV172"/>
    <mergeCell ref="A171:C171"/>
    <mergeCell ref="G171:I171"/>
    <mergeCell ref="N171:P171"/>
    <mergeCell ref="T171:V171"/>
    <mergeCell ref="AI171:AM171"/>
    <mergeCell ref="AR171:AV171"/>
    <mergeCell ref="A173:I173"/>
    <mergeCell ref="N173:V173"/>
    <mergeCell ref="AI173:AM173"/>
    <mergeCell ref="AR173:AV173"/>
    <mergeCell ref="A174:C174"/>
    <mergeCell ref="G174:I174"/>
    <mergeCell ref="N174:P174"/>
    <mergeCell ref="T174:V174"/>
    <mergeCell ref="AI174:AM174"/>
    <mergeCell ref="AR174:AV174"/>
    <mergeCell ref="A176:E176"/>
    <mergeCell ref="G176:I176"/>
    <mergeCell ref="N176:R176"/>
    <mergeCell ref="T176:V176"/>
    <mergeCell ref="AI176:AM176"/>
    <mergeCell ref="AR176:AV176"/>
    <mergeCell ref="A175:C175"/>
    <mergeCell ref="G175:I175"/>
    <mergeCell ref="N175:P175"/>
    <mergeCell ref="T175:V175"/>
    <mergeCell ref="AI175:AM175"/>
    <mergeCell ref="AR175:AV175"/>
    <mergeCell ref="A179:C179"/>
    <mergeCell ref="G179:I179"/>
    <mergeCell ref="N179:P179"/>
    <mergeCell ref="T179:V179"/>
    <mergeCell ref="AI179:AM179"/>
    <mergeCell ref="AR179:AV179"/>
    <mergeCell ref="A177:I177"/>
    <mergeCell ref="N177:V177"/>
    <mergeCell ref="AI177:AM177"/>
    <mergeCell ref="AR177:AV177"/>
    <mergeCell ref="A178:C178"/>
    <mergeCell ref="G178:I178"/>
    <mergeCell ref="N178:P178"/>
    <mergeCell ref="T178:V178"/>
    <mergeCell ref="AI178:AM178"/>
    <mergeCell ref="AR178:AV178"/>
    <mergeCell ref="A181:C181"/>
    <mergeCell ref="G181:I181"/>
    <mergeCell ref="N181:P181"/>
    <mergeCell ref="T181:V181"/>
    <mergeCell ref="AI181:AM181"/>
    <mergeCell ref="AR181:AV181"/>
    <mergeCell ref="A180:C180"/>
    <mergeCell ref="G180:I180"/>
    <mergeCell ref="N180:P180"/>
    <mergeCell ref="T180:V180"/>
    <mergeCell ref="AI180:AM180"/>
    <mergeCell ref="AR180:AV180"/>
    <mergeCell ref="A183:C183"/>
    <mergeCell ref="G183:I183"/>
    <mergeCell ref="N183:P183"/>
    <mergeCell ref="T183:V183"/>
    <mergeCell ref="AI183:AM183"/>
    <mergeCell ref="AR183:AV183"/>
    <mergeCell ref="A182:C182"/>
    <mergeCell ref="G182:I182"/>
    <mergeCell ref="N182:P182"/>
    <mergeCell ref="T182:V182"/>
    <mergeCell ref="AI182:AM182"/>
    <mergeCell ref="AR182:AV182"/>
    <mergeCell ref="A185:C185"/>
    <mergeCell ref="G185:I185"/>
    <mergeCell ref="N185:P185"/>
    <mergeCell ref="T185:V185"/>
    <mergeCell ref="AI185:AM185"/>
    <mergeCell ref="AR185:AV185"/>
    <mergeCell ref="A184:C184"/>
    <mergeCell ref="G184:I184"/>
    <mergeCell ref="N184:P184"/>
    <mergeCell ref="T184:V184"/>
    <mergeCell ref="AI184:AM184"/>
    <mergeCell ref="AR184:AV184"/>
    <mergeCell ref="A187:C187"/>
    <mergeCell ref="G187:I187"/>
    <mergeCell ref="N187:P187"/>
    <mergeCell ref="T187:V187"/>
    <mergeCell ref="AI187:AM187"/>
    <mergeCell ref="AR187:AV187"/>
    <mergeCell ref="A186:C186"/>
    <mergeCell ref="G186:I186"/>
    <mergeCell ref="N186:P186"/>
    <mergeCell ref="T186:V186"/>
    <mergeCell ref="AI186:AM186"/>
    <mergeCell ref="AR186:AV186"/>
    <mergeCell ref="A189:C189"/>
    <mergeCell ref="G189:I189"/>
    <mergeCell ref="N189:P189"/>
    <mergeCell ref="T189:V189"/>
    <mergeCell ref="AI189:AM189"/>
    <mergeCell ref="AR189:AV189"/>
    <mergeCell ref="A188:C188"/>
    <mergeCell ref="G188:I188"/>
    <mergeCell ref="N188:P188"/>
    <mergeCell ref="T188:V188"/>
    <mergeCell ref="AI188:AM188"/>
    <mergeCell ref="AR188:AV188"/>
    <mergeCell ref="A191:C191"/>
    <mergeCell ref="G191:I191"/>
    <mergeCell ref="N191:P191"/>
    <mergeCell ref="T191:V191"/>
    <mergeCell ref="AI191:AM191"/>
    <mergeCell ref="AR191:AV191"/>
    <mergeCell ref="A190:C190"/>
    <mergeCell ref="G190:I190"/>
    <mergeCell ref="N190:P190"/>
    <mergeCell ref="T190:V190"/>
    <mergeCell ref="AI190:AM190"/>
    <mergeCell ref="AR190:AV190"/>
    <mergeCell ref="A193:C193"/>
    <mergeCell ref="G193:I193"/>
    <mergeCell ref="N193:P193"/>
    <mergeCell ref="T193:V193"/>
    <mergeCell ref="AI193:AM193"/>
    <mergeCell ref="AR193:AV193"/>
    <mergeCell ref="A192:C192"/>
    <mergeCell ref="G192:I192"/>
    <mergeCell ref="N192:P192"/>
    <mergeCell ref="T192:V192"/>
    <mergeCell ref="AI192:AM192"/>
    <mergeCell ref="AR192:AV192"/>
    <mergeCell ref="A195:E195"/>
    <mergeCell ref="G195:I195"/>
    <mergeCell ref="N195:R195"/>
    <mergeCell ref="T195:V195"/>
    <mergeCell ref="AI195:AM195"/>
    <mergeCell ref="AR195:AV195"/>
    <mergeCell ref="A194:C194"/>
    <mergeCell ref="G194:I194"/>
    <mergeCell ref="N194:P194"/>
    <mergeCell ref="T194:V194"/>
    <mergeCell ref="AI194:AM194"/>
    <mergeCell ref="AR194:AV194"/>
    <mergeCell ref="AI196:AM196"/>
    <mergeCell ref="AR196:AV196"/>
    <mergeCell ref="AI197:AM197"/>
    <mergeCell ref="AR197:AV197"/>
    <mergeCell ref="A198:E198"/>
    <mergeCell ref="G198:I198"/>
    <mergeCell ref="N198:R198"/>
    <mergeCell ref="T198:V198"/>
    <mergeCell ref="AI198:AM198"/>
    <mergeCell ref="AR198:AV198"/>
    <mergeCell ref="AI199:AM199"/>
    <mergeCell ref="AR199:AV199"/>
    <mergeCell ref="A200:C200"/>
    <mergeCell ref="D200:E200"/>
    <mergeCell ref="G200:I200"/>
    <mergeCell ref="N200:P200"/>
    <mergeCell ref="Q200:R200"/>
    <mergeCell ref="T200:V200"/>
    <mergeCell ref="AI200:AM200"/>
    <mergeCell ref="AR200:AV200"/>
    <mergeCell ref="A199:C199"/>
    <mergeCell ref="D199:E199"/>
    <mergeCell ref="G199:I199"/>
    <mergeCell ref="N199:P199"/>
    <mergeCell ref="Q199:R199"/>
    <mergeCell ref="T199:V199"/>
    <mergeCell ref="A203:E203"/>
    <mergeCell ref="G203:I203"/>
    <mergeCell ref="N203:R203"/>
    <mergeCell ref="T203:V203"/>
    <mergeCell ref="AI203:AM203"/>
    <mergeCell ref="AR203:AV203"/>
    <mergeCell ref="AI201:AM201"/>
    <mergeCell ref="AR201:AV201"/>
    <mergeCell ref="A202:C202"/>
    <mergeCell ref="D202:E202"/>
    <mergeCell ref="G202:I202"/>
    <mergeCell ref="N202:P202"/>
    <mergeCell ref="Q202:R202"/>
    <mergeCell ref="T202:V202"/>
    <mergeCell ref="AI202:AM202"/>
    <mergeCell ref="AR202:AV202"/>
    <mergeCell ref="A201:C201"/>
    <mergeCell ref="D201:E201"/>
    <mergeCell ref="G201:I201"/>
    <mergeCell ref="N201:P201"/>
    <mergeCell ref="Q201:R201"/>
    <mergeCell ref="T201:V201"/>
    <mergeCell ref="AR204:AV204"/>
    <mergeCell ref="AI205:AN205"/>
    <mergeCell ref="AR205:AV205"/>
    <mergeCell ref="A206:E206"/>
    <mergeCell ref="G206:I206"/>
    <mergeCell ref="N206:R206"/>
    <mergeCell ref="T206:V206"/>
    <mergeCell ref="AI206:AM206"/>
    <mergeCell ref="AR206:AV206"/>
    <mergeCell ref="AI207:AM207"/>
    <mergeCell ref="AR207:AV207"/>
    <mergeCell ref="A208:C208"/>
    <mergeCell ref="D208:E208"/>
    <mergeCell ref="G208:I208"/>
    <mergeCell ref="N208:P208"/>
    <mergeCell ref="Q208:R208"/>
    <mergeCell ref="T208:V208"/>
    <mergeCell ref="AI208:AM208"/>
    <mergeCell ref="AR208:AV208"/>
    <mergeCell ref="A207:C207"/>
    <mergeCell ref="D207:E207"/>
    <mergeCell ref="G207:I207"/>
    <mergeCell ref="N207:P207"/>
    <mergeCell ref="Q207:R207"/>
    <mergeCell ref="T207:V207"/>
    <mergeCell ref="AI209:AM209"/>
    <mergeCell ref="AR209:AV209"/>
    <mergeCell ref="A210:E210"/>
    <mergeCell ref="G210:I210"/>
    <mergeCell ref="N210:R210"/>
    <mergeCell ref="T210:V210"/>
    <mergeCell ref="AI210:AM210"/>
    <mergeCell ref="AR210:AV210"/>
    <mergeCell ref="A209:C209"/>
    <mergeCell ref="D209:E209"/>
    <mergeCell ref="G209:I209"/>
    <mergeCell ref="N209:P209"/>
    <mergeCell ref="Q209:R209"/>
    <mergeCell ref="T209:V209"/>
    <mergeCell ref="AI211:AM211"/>
    <mergeCell ref="AR211:AV211"/>
    <mergeCell ref="AI212:AM212"/>
    <mergeCell ref="AR212:AV212"/>
    <mergeCell ref="A213:E213"/>
    <mergeCell ref="G213:I213"/>
    <mergeCell ref="N213:R213"/>
    <mergeCell ref="T213:V213"/>
    <mergeCell ref="AI213:AM213"/>
    <mergeCell ref="AR213:AV213"/>
    <mergeCell ref="AI214:AM214"/>
    <mergeCell ref="AR214:AV214"/>
    <mergeCell ref="A215:C215"/>
    <mergeCell ref="D215:E215"/>
    <mergeCell ref="G215:I215"/>
    <mergeCell ref="N215:P215"/>
    <mergeCell ref="Q215:R215"/>
    <mergeCell ref="T215:V215"/>
    <mergeCell ref="AI215:AM215"/>
    <mergeCell ref="AR215:AV215"/>
    <mergeCell ref="A214:C214"/>
    <mergeCell ref="D214:E214"/>
    <mergeCell ref="G214:I214"/>
    <mergeCell ref="N214:P214"/>
    <mergeCell ref="Q214:R214"/>
    <mergeCell ref="T214:V214"/>
    <mergeCell ref="A218:E218"/>
    <mergeCell ref="G218:I218"/>
    <mergeCell ref="N218:R218"/>
    <mergeCell ref="T218:V218"/>
    <mergeCell ref="AI218:AM218"/>
    <mergeCell ref="AR218:AV218"/>
    <mergeCell ref="AI216:AM216"/>
    <mergeCell ref="AR216:AV216"/>
    <mergeCell ref="A217:C217"/>
    <mergeCell ref="D217:E217"/>
    <mergeCell ref="G217:I217"/>
    <mergeCell ref="N217:P217"/>
    <mergeCell ref="Q217:R217"/>
    <mergeCell ref="T217:V217"/>
    <mergeCell ref="AI217:AM217"/>
    <mergeCell ref="AR217:AV217"/>
    <mergeCell ref="A216:C216"/>
    <mergeCell ref="D216:E216"/>
    <mergeCell ref="G216:I216"/>
    <mergeCell ref="N216:P216"/>
    <mergeCell ref="Q216:R216"/>
    <mergeCell ref="T216:V216"/>
    <mergeCell ref="AI219:AM219"/>
    <mergeCell ref="AR219:AV219"/>
    <mergeCell ref="AI220:AM220"/>
    <mergeCell ref="AR220:AV220"/>
    <mergeCell ref="A221:E221"/>
    <mergeCell ref="G221:I221"/>
    <mergeCell ref="N221:R221"/>
    <mergeCell ref="T221:V221"/>
    <mergeCell ref="AI221:AM221"/>
    <mergeCell ref="AR221:AV221"/>
    <mergeCell ref="AI222:AM222"/>
    <mergeCell ref="AR222:AV222"/>
    <mergeCell ref="A223:C223"/>
    <mergeCell ref="D223:E223"/>
    <mergeCell ref="G223:I223"/>
    <mergeCell ref="N223:P223"/>
    <mergeCell ref="Q223:R223"/>
    <mergeCell ref="T223:V223"/>
    <mergeCell ref="AI223:AM223"/>
    <mergeCell ref="AR223:AV223"/>
    <mergeCell ref="A222:C222"/>
    <mergeCell ref="D222:E222"/>
    <mergeCell ref="G222:I222"/>
    <mergeCell ref="N222:P222"/>
    <mergeCell ref="Q222:R222"/>
    <mergeCell ref="T222:V222"/>
    <mergeCell ref="AI224:AM224"/>
    <mergeCell ref="AR224:AV224"/>
    <mergeCell ref="A225:E225"/>
    <mergeCell ref="G225:I225"/>
    <mergeCell ref="N225:R225"/>
    <mergeCell ref="T225:V225"/>
    <mergeCell ref="AI225:AM225"/>
    <mergeCell ref="A224:C224"/>
    <mergeCell ref="D224:E224"/>
    <mergeCell ref="G224:I224"/>
    <mergeCell ref="N224:P224"/>
    <mergeCell ref="Q224:R224"/>
    <mergeCell ref="T224:V224"/>
    <mergeCell ref="AI226:AM226"/>
    <mergeCell ref="AR226:AW226"/>
    <mergeCell ref="AI227:AM227"/>
    <mergeCell ref="AR227:AV227"/>
    <mergeCell ref="A228:E228"/>
    <mergeCell ref="G228:I228"/>
    <mergeCell ref="N228:R228"/>
    <mergeCell ref="T228:V228"/>
    <mergeCell ref="AI228:AM228"/>
    <mergeCell ref="AR228:AV228"/>
    <mergeCell ref="A232:Z233"/>
    <mergeCell ref="AI232:AM232"/>
    <mergeCell ref="AR232:AV232"/>
    <mergeCell ref="AI233:AM233"/>
    <mergeCell ref="AR233:AV233"/>
    <mergeCell ref="AI234:AM234"/>
    <mergeCell ref="AR234:AV234"/>
    <mergeCell ref="AI229:AM229"/>
    <mergeCell ref="AR229:AV229"/>
    <mergeCell ref="AI230:AM230"/>
    <mergeCell ref="AR230:AV230"/>
    <mergeCell ref="AI231:AM231"/>
    <mergeCell ref="AR231:AV231"/>
    <mergeCell ref="AI238:AN238"/>
    <mergeCell ref="AR238:AV238"/>
    <mergeCell ref="A239:E239"/>
    <mergeCell ref="G239:I239"/>
    <mergeCell ref="N239:R239"/>
    <mergeCell ref="T239:V239"/>
    <mergeCell ref="AI239:AM239"/>
    <mergeCell ref="AR239:AV239"/>
    <mergeCell ref="A235:G235"/>
    <mergeCell ref="AI235:AM235"/>
    <mergeCell ref="AR235:AV235"/>
    <mergeCell ref="AR236:AV236"/>
    <mergeCell ref="A237:E237"/>
    <mergeCell ref="F237:G237"/>
    <mergeCell ref="N237:R237"/>
    <mergeCell ref="S237:T237"/>
    <mergeCell ref="AR237:AV237"/>
    <mergeCell ref="A241:E241"/>
    <mergeCell ref="G241:I241"/>
    <mergeCell ref="N241:R241"/>
    <mergeCell ref="T241:V241"/>
    <mergeCell ref="AI241:AM241"/>
    <mergeCell ref="AR241:AV241"/>
    <mergeCell ref="A240:E240"/>
    <mergeCell ref="G240:I240"/>
    <mergeCell ref="N240:R240"/>
    <mergeCell ref="T240:V240"/>
    <mergeCell ref="AI240:AM240"/>
    <mergeCell ref="AR240:AV240"/>
    <mergeCell ref="A244:E244"/>
    <mergeCell ref="G244:I244"/>
    <mergeCell ref="N244:R244"/>
    <mergeCell ref="T244:V244"/>
    <mergeCell ref="AI244:AN244"/>
    <mergeCell ref="AR244:AV244"/>
    <mergeCell ref="A242:E242"/>
    <mergeCell ref="G242:I242"/>
    <mergeCell ref="N242:R242"/>
    <mergeCell ref="T242:V242"/>
    <mergeCell ref="AR242:AV242"/>
    <mergeCell ref="A243:E243"/>
    <mergeCell ref="G243:I243"/>
    <mergeCell ref="N243:R243"/>
    <mergeCell ref="T243:V243"/>
    <mergeCell ref="AR243:AV243"/>
    <mergeCell ref="A246:E246"/>
    <mergeCell ref="G246:I246"/>
    <mergeCell ref="N246:R246"/>
    <mergeCell ref="T246:V246"/>
    <mergeCell ref="AI246:AM246"/>
    <mergeCell ref="AR246:AV246"/>
    <mergeCell ref="A245:E245"/>
    <mergeCell ref="G245:I245"/>
    <mergeCell ref="N245:R245"/>
    <mergeCell ref="T245:V245"/>
    <mergeCell ref="AI245:AM245"/>
    <mergeCell ref="AR245:AV245"/>
    <mergeCell ref="A247:E247"/>
    <mergeCell ref="N247:R247"/>
    <mergeCell ref="AI247:AM247"/>
    <mergeCell ref="AR247:AV247"/>
    <mergeCell ref="A248:E248"/>
    <mergeCell ref="G248:I248"/>
    <mergeCell ref="N248:R248"/>
    <mergeCell ref="T248:V248"/>
    <mergeCell ref="AI248:AM248"/>
    <mergeCell ref="AR248:AV248"/>
    <mergeCell ref="A250:E250"/>
    <mergeCell ref="G250:I250"/>
    <mergeCell ref="N250:R250"/>
    <mergeCell ref="T250:V250"/>
    <mergeCell ref="AI250:AM250"/>
    <mergeCell ref="AR250:AV250"/>
    <mergeCell ref="A249:E249"/>
    <mergeCell ref="G249:I249"/>
    <mergeCell ref="N249:R249"/>
    <mergeCell ref="T249:V249"/>
    <mergeCell ref="AI249:AM249"/>
    <mergeCell ref="AR249:AV249"/>
    <mergeCell ref="A252:E252"/>
    <mergeCell ref="G252:I252"/>
    <mergeCell ref="N252:R252"/>
    <mergeCell ref="T252:V252"/>
    <mergeCell ref="AI252:AM252"/>
    <mergeCell ref="AR252:AV252"/>
    <mergeCell ref="A251:E251"/>
    <mergeCell ref="G251:I251"/>
    <mergeCell ref="N251:R251"/>
    <mergeCell ref="T251:V251"/>
    <mergeCell ref="AI251:AM251"/>
    <mergeCell ref="AR251:AV251"/>
    <mergeCell ref="A255:E255"/>
    <mergeCell ref="G255:I255"/>
    <mergeCell ref="N255:R255"/>
    <mergeCell ref="T255:V255"/>
    <mergeCell ref="AI255:AN255"/>
    <mergeCell ref="AR255:AV255"/>
    <mergeCell ref="A253:E253"/>
    <mergeCell ref="G253:I253"/>
    <mergeCell ref="N253:R253"/>
    <mergeCell ref="T253:V253"/>
    <mergeCell ref="AR253:AV253"/>
    <mergeCell ref="A254:E254"/>
    <mergeCell ref="G254:I254"/>
    <mergeCell ref="N254:R254"/>
    <mergeCell ref="T254:V254"/>
    <mergeCell ref="AR254:AV254"/>
    <mergeCell ref="A257:E257"/>
    <mergeCell ref="G257:I257"/>
    <mergeCell ref="N257:R257"/>
    <mergeCell ref="T257:V257"/>
    <mergeCell ref="AI257:AM257"/>
    <mergeCell ref="AR257:AV257"/>
    <mergeCell ref="A256:E256"/>
    <mergeCell ref="G256:I256"/>
    <mergeCell ref="N256:R256"/>
    <mergeCell ref="T256:V256"/>
    <mergeCell ref="AI256:AM256"/>
    <mergeCell ref="AR256:AV256"/>
    <mergeCell ref="A259:E259"/>
    <mergeCell ref="G259:I259"/>
    <mergeCell ref="N259:R259"/>
    <mergeCell ref="T259:V259"/>
    <mergeCell ref="AI259:AM259"/>
    <mergeCell ref="AR259:AV259"/>
    <mergeCell ref="A258:E258"/>
    <mergeCell ref="G258:I258"/>
    <mergeCell ref="N258:R258"/>
    <mergeCell ref="T258:V258"/>
    <mergeCell ref="AI258:AM258"/>
    <mergeCell ref="AR258:AV258"/>
    <mergeCell ref="A261:E261"/>
    <mergeCell ref="G261:I261"/>
    <mergeCell ref="N261:R261"/>
    <mergeCell ref="T261:V261"/>
    <mergeCell ref="AI261:AM261"/>
    <mergeCell ref="AR261:AV261"/>
    <mergeCell ref="A260:E260"/>
    <mergeCell ref="G260:I260"/>
    <mergeCell ref="N260:R260"/>
    <mergeCell ref="T260:V260"/>
    <mergeCell ref="AI260:AM260"/>
    <mergeCell ref="AR260:AV260"/>
    <mergeCell ref="A262:E262"/>
    <mergeCell ref="N262:R262"/>
    <mergeCell ref="AI262:AM262"/>
    <mergeCell ref="AR262:AV262"/>
    <mergeCell ref="A263:E263"/>
    <mergeCell ref="G263:I263"/>
    <mergeCell ref="N263:R263"/>
    <mergeCell ref="T263:V263"/>
    <mergeCell ref="AI263:AM263"/>
    <mergeCell ref="AR263:AV263"/>
    <mergeCell ref="A265:E265"/>
    <mergeCell ref="G265:I265"/>
    <mergeCell ref="N265:R265"/>
    <mergeCell ref="T265:V265"/>
    <mergeCell ref="AI265:AM265"/>
    <mergeCell ref="AR265:AV265"/>
    <mergeCell ref="A264:E264"/>
    <mergeCell ref="G264:I264"/>
    <mergeCell ref="N264:R264"/>
    <mergeCell ref="T264:V264"/>
    <mergeCell ref="AI264:AM264"/>
    <mergeCell ref="AR264:AV264"/>
    <mergeCell ref="A266:E266"/>
    <mergeCell ref="G266:I266"/>
    <mergeCell ref="N266:R266"/>
    <mergeCell ref="T266:V266"/>
    <mergeCell ref="AI266:AM266"/>
    <mergeCell ref="A267:E267"/>
    <mergeCell ref="G267:I267"/>
    <mergeCell ref="N267:R267"/>
    <mergeCell ref="T267:V267"/>
    <mergeCell ref="AI267:AM267"/>
    <mergeCell ref="A269:E269"/>
    <mergeCell ref="G269:I269"/>
    <mergeCell ref="N269:R269"/>
    <mergeCell ref="T269:V269"/>
    <mergeCell ref="AI269:AM269"/>
    <mergeCell ref="AR269:AV269"/>
    <mergeCell ref="AR267:AW267"/>
    <mergeCell ref="A268:E268"/>
    <mergeCell ref="G268:I268"/>
    <mergeCell ref="N268:R268"/>
    <mergeCell ref="T268:V268"/>
    <mergeCell ref="AI268:AM268"/>
    <mergeCell ref="AR268:AV268"/>
    <mergeCell ref="A272:E272"/>
    <mergeCell ref="G272:I272"/>
    <mergeCell ref="N272:R272"/>
    <mergeCell ref="T272:V272"/>
    <mergeCell ref="AI272:AM272"/>
    <mergeCell ref="AR272:AW272"/>
    <mergeCell ref="A270:E270"/>
    <mergeCell ref="N270:R270"/>
    <mergeCell ref="AI270:AM270"/>
    <mergeCell ref="AR270:AV270"/>
    <mergeCell ref="A271:E271"/>
    <mergeCell ref="G271:I271"/>
    <mergeCell ref="N271:R271"/>
    <mergeCell ref="T271:V271"/>
    <mergeCell ref="AI271:AM271"/>
    <mergeCell ref="A275:E275"/>
    <mergeCell ref="G275:I275"/>
    <mergeCell ref="N275:R275"/>
    <mergeCell ref="T275:V275"/>
    <mergeCell ref="AI275:AM275"/>
    <mergeCell ref="AR275:AV275"/>
    <mergeCell ref="A273:E273"/>
    <mergeCell ref="G273:I273"/>
    <mergeCell ref="N273:R273"/>
    <mergeCell ref="T273:V273"/>
    <mergeCell ref="AR273:AV273"/>
    <mergeCell ref="A274:E274"/>
    <mergeCell ref="N274:R274"/>
    <mergeCell ref="AI274:AN274"/>
    <mergeCell ref="AR274:AV274"/>
    <mergeCell ref="A277:E277"/>
    <mergeCell ref="G277:I277"/>
    <mergeCell ref="N277:R277"/>
    <mergeCell ref="T277:V277"/>
    <mergeCell ref="AR277:AV277"/>
    <mergeCell ref="AR278:AV278"/>
    <mergeCell ref="A276:E276"/>
    <mergeCell ref="G276:I276"/>
    <mergeCell ref="N276:R276"/>
    <mergeCell ref="T276:V276"/>
    <mergeCell ref="AI276:AM276"/>
    <mergeCell ref="AR276:AV276"/>
    <mergeCell ref="AI283:AM283"/>
    <mergeCell ref="AR283:AV283"/>
    <mergeCell ref="AI284:AM284"/>
    <mergeCell ref="AI285:AM285"/>
    <mergeCell ref="AR285:AW285"/>
    <mergeCell ref="AR286:AV286"/>
    <mergeCell ref="AI279:AN279"/>
    <mergeCell ref="AR279:AV279"/>
    <mergeCell ref="AI280:AM280"/>
    <mergeCell ref="AI281:AM281"/>
    <mergeCell ref="AR281:AW281"/>
    <mergeCell ref="AI282:AM282"/>
    <mergeCell ref="AR282:AV282"/>
    <mergeCell ref="AR291:AV291"/>
    <mergeCell ref="AI292:AN292"/>
    <mergeCell ref="AI293:AM293"/>
    <mergeCell ref="AR293:AW293"/>
    <mergeCell ref="AI294:AM294"/>
    <mergeCell ref="AR294:AV294"/>
    <mergeCell ref="AI287:AN287"/>
    <mergeCell ref="AR287:AV287"/>
    <mergeCell ref="AI288:AM288"/>
    <mergeCell ref="AI289:AM289"/>
    <mergeCell ref="AR289:AW289"/>
    <mergeCell ref="AI290:AM290"/>
    <mergeCell ref="AR290:AV290"/>
    <mergeCell ref="AI299:AM299"/>
    <mergeCell ref="AR299:AV299"/>
    <mergeCell ref="AI300:AM300"/>
    <mergeCell ref="AR300:AV300"/>
    <mergeCell ref="AI301:AM301"/>
    <mergeCell ref="AR301:AV301"/>
    <mergeCell ref="AI295:AM295"/>
    <mergeCell ref="AR295:AV295"/>
    <mergeCell ref="AI296:AM296"/>
    <mergeCell ref="AI297:AM297"/>
    <mergeCell ref="AR297:AW297"/>
    <mergeCell ref="AI298:AM298"/>
    <mergeCell ref="AR298:AV298"/>
    <mergeCell ref="AI308:AM308"/>
    <mergeCell ref="AI329:AN329"/>
    <mergeCell ref="AI330:AM330"/>
    <mergeCell ref="AI331:AN331"/>
    <mergeCell ref="AI332:AN332"/>
    <mergeCell ref="AI362:AM362"/>
    <mergeCell ref="AI302:AM302"/>
    <mergeCell ref="AR302:AV302"/>
    <mergeCell ref="AI303:AM303"/>
    <mergeCell ref="AI305:AN305"/>
    <mergeCell ref="AI306:AM306"/>
    <mergeCell ref="AI307:AM307"/>
    <mergeCell ref="AI380:AN380"/>
    <mergeCell ref="AI381:AN381"/>
    <mergeCell ref="AI383:AN383"/>
    <mergeCell ref="AI384:AM384"/>
    <mergeCell ref="AI385:AN385"/>
    <mergeCell ref="AI386:AN386"/>
    <mergeCell ref="AI366:AN366"/>
    <mergeCell ref="AI367:AN367"/>
    <mergeCell ref="AI369:AN369"/>
    <mergeCell ref="AI370:AM370"/>
    <mergeCell ref="AI378:AN378"/>
    <mergeCell ref="AI379:AM379"/>
    <mergeCell ref="AI395:AN395"/>
    <mergeCell ref="AI396:AN396"/>
    <mergeCell ref="AI399:AN399"/>
    <mergeCell ref="AI400:AM400"/>
    <mergeCell ref="AI388:AN388"/>
    <mergeCell ref="AI389:AM389"/>
    <mergeCell ref="AI390:AN390"/>
    <mergeCell ref="AI391:AN391"/>
    <mergeCell ref="AI393:AN393"/>
    <mergeCell ref="AI394:AM394"/>
  </mergeCells>
  <conditionalFormatting sqref="A131:A151 A154:A164 N154:N164">
    <cfRule type="expression" dxfId="65" priority="61">
      <formula>IF(D131="DESC",1,0)</formula>
    </cfRule>
  </conditionalFormatting>
  <conditionalFormatting sqref="A174:A175">
    <cfRule type="expression" dxfId="64" priority="54">
      <formula>IF(D174="DESC",1,0)</formula>
    </cfRule>
  </conditionalFormatting>
  <conditionalFormatting sqref="A178:A194">
    <cfRule type="expression" dxfId="63" priority="57">
      <formula>IF(D178="DESC",1,0)</formula>
    </cfRule>
  </conditionalFormatting>
  <conditionalFormatting sqref="A240:A245">
    <cfRule type="expression" dxfId="62" priority="16">
      <formula>IF(#REF!="DESC",1,0)</formula>
    </cfRule>
  </conditionalFormatting>
  <conditionalFormatting sqref="A248:A260">
    <cfRule type="expression" dxfId="61" priority="4">
      <formula>IF(#REF!="DESC",1,0)</formula>
    </cfRule>
  </conditionalFormatting>
  <conditionalFormatting sqref="A263:A268">
    <cfRule type="expression" dxfId="60" priority="15">
      <formula>IF(#REF!="DESC",1,0)</formula>
    </cfRule>
  </conditionalFormatting>
  <conditionalFormatting sqref="A271:A272">
    <cfRule type="expression" dxfId="59" priority="14">
      <formula>IF(#REF!="DESC",1,0)</formula>
    </cfRule>
  </conditionalFormatting>
  <conditionalFormatting sqref="A275:A276">
    <cfRule type="expression" dxfId="58" priority="13">
      <formula>IF(#REF!="DESC",1,0)</formula>
    </cfRule>
  </conditionalFormatting>
  <conditionalFormatting sqref="A199:C202">
    <cfRule type="expression" dxfId="57" priority="27">
      <formula>IF(D199="DESC",1,0)</formula>
    </cfRule>
  </conditionalFormatting>
  <conditionalFormatting sqref="A207:C209">
    <cfRule type="expression" dxfId="56" priority="31">
      <formula>IF(D207="DESC",1,0)</formula>
    </cfRule>
  </conditionalFormatting>
  <conditionalFormatting sqref="A214:C217">
    <cfRule type="expression" dxfId="55" priority="29">
      <formula>IF(D214="DESC",1,0)</formula>
    </cfRule>
  </conditionalFormatting>
  <conditionalFormatting sqref="A222:C224">
    <cfRule type="expression" dxfId="54" priority="26">
      <formula>IF(D222="DESC",1,0)</formula>
    </cfRule>
  </conditionalFormatting>
  <conditionalFormatting sqref="A165:N170">
    <cfRule type="expression" dxfId="53" priority="55">
      <formula>IF(D165="DESC",1,0)</formula>
    </cfRule>
  </conditionalFormatting>
  <conditionalFormatting sqref="A171:P171">
    <cfRule type="expression" dxfId="52" priority="5">
      <formula>IF(D171="DESC",1,0)</formula>
    </cfRule>
  </conditionalFormatting>
  <conditionalFormatting sqref="F140">
    <cfRule type="expression" dxfId="51" priority="62">
      <formula>IF(D140="DESC",1,0)</formula>
    </cfRule>
  </conditionalFormatting>
  <conditionalFormatting sqref="F144">
    <cfRule type="expression" dxfId="50" priority="63">
      <formula>IF(D144="DESC",1,0)</formula>
    </cfRule>
  </conditionalFormatting>
  <conditionalFormatting sqref="F164">
    <cfRule type="expression" dxfId="49" priority="36">
      <formula>IF(D164="DESC",1,0)</formula>
    </cfRule>
  </conditionalFormatting>
  <conditionalFormatting sqref="F199:F202">
    <cfRule type="expression" dxfId="48" priority="28">
      <formula>IF(D199="DESC",1,0)</formula>
    </cfRule>
  </conditionalFormatting>
  <conditionalFormatting sqref="F207:F209">
    <cfRule type="expression" dxfId="47" priority="18">
      <formula>IF(D207="DESC",1,0)</formula>
    </cfRule>
  </conditionalFormatting>
  <conditionalFormatting sqref="F214:F217">
    <cfRule type="expression" dxfId="46" priority="30">
      <formula>IF(D214="DESC",1,0)</formula>
    </cfRule>
  </conditionalFormatting>
  <conditionalFormatting sqref="F222:F224">
    <cfRule type="expression" dxfId="45" priority="32">
      <formula>IF(D222="DESC",1,0)</formula>
    </cfRule>
  </conditionalFormatting>
  <conditionalFormatting sqref="F248:F260">
    <cfRule type="duplicateValues" dxfId="44" priority="3"/>
  </conditionalFormatting>
  <conditionalFormatting sqref="G248:N260">
    <cfRule type="expression" dxfId="43" priority="2">
      <formula>IF(#REF!="DESC",1,0)</formula>
    </cfRule>
  </conditionalFormatting>
  <conditionalFormatting sqref="M156:M157">
    <cfRule type="expression" dxfId="42" priority="6">
      <formula>IF(P156="DESC",1,0)</formula>
    </cfRule>
  </conditionalFormatting>
  <conditionalFormatting sqref="M162">
    <cfRule type="expression" dxfId="41" priority="7">
      <formula>IF(P162="DESC",1,0)</formula>
    </cfRule>
  </conditionalFormatting>
  <conditionalFormatting sqref="N131:N151">
    <cfRule type="expression" dxfId="40" priority="58">
      <formula>IF(Q131="DESC",1,0)</formula>
    </cfRule>
  </conditionalFormatting>
  <conditionalFormatting sqref="N174:N175">
    <cfRule type="expression" dxfId="39" priority="53">
      <formula>IF(Q174="DESC",1,0)</formula>
    </cfRule>
  </conditionalFormatting>
  <conditionalFormatting sqref="N178:N194">
    <cfRule type="expression" dxfId="38" priority="56">
      <formula>IF(Q178="DESC",1,0)</formula>
    </cfRule>
  </conditionalFormatting>
  <conditionalFormatting sqref="N240:N245">
    <cfRule type="expression" dxfId="37" priority="12">
      <formula>IF(#REF!="DESC",1,0)</formula>
    </cfRule>
  </conditionalFormatting>
  <conditionalFormatting sqref="N263:N268">
    <cfRule type="expression" dxfId="36" priority="11">
      <formula>IF(#REF!="DESC",1,0)</formula>
    </cfRule>
  </conditionalFormatting>
  <conditionalFormatting sqref="N271:N272">
    <cfRule type="expression" dxfId="35" priority="10">
      <formula>IF(#REF!="DESC",1,0)</formula>
    </cfRule>
  </conditionalFormatting>
  <conditionalFormatting sqref="N275:N276">
    <cfRule type="expression" dxfId="34" priority="9">
      <formula>IF(#REF!="DESC",1,0)</formula>
    </cfRule>
  </conditionalFormatting>
  <conditionalFormatting sqref="N199:P202">
    <cfRule type="expression" dxfId="33" priority="21">
      <formula>IF(Q199="DESC",1,0)</formula>
    </cfRule>
  </conditionalFormatting>
  <conditionalFormatting sqref="N207:P209">
    <cfRule type="expression" dxfId="32" priority="24">
      <formula>IF(Q207="DESC",1,0)</formula>
    </cfRule>
  </conditionalFormatting>
  <conditionalFormatting sqref="N214:P217">
    <cfRule type="expression" dxfId="31" priority="23">
      <formula>IF(Q214="DESC",1,0)</formula>
    </cfRule>
  </conditionalFormatting>
  <conditionalFormatting sqref="N222:P224">
    <cfRule type="expression" dxfId="30" priority="20">
      <formula>IF(Q222="DESC",1,0)</formula>
    </cfRule>
  </conditionalFormatting>
  <conditionalFormatting sqref="S140">
    <cfRule type="expression" dxfId="29" priority="59">
      <formula>IF(Q140="DESC",1,0)</formula>
    </cfRule>
  </conditionalFormatting>
  <conditionalFormatting sqref="S144">
    <cfRule type="expression" dxfId="28" priority="60">
      <formula>IF(Q144="DESC",1,0)</formula>
    </cfRule>
  </conditionalFormatting>
  <conditionalFormatting sqref="S164">
    <cfRule type="expression" dxfId="27" priority="35">
      <formula>IF(Q164="DESC",1,0)</formula>
    </cfRule>
  </conditionalFormatting>
  <conditionalFormatting sqref="S171">
    <cfRule type="expression" dxfId="26" priority="8">
      <formula>IF(V171="DESC",1,0)</formula>
    </cfRule>
  </conditionalFormatting>
  <conditionalFormatting sqref="S199:S202">
    <cfRule type="expression" dxfId="25" priority="22">
      <formula>IF(Q199="DESC",1,0)</formula>
    </cfRule>
  </conditionalFormatting>
  <conditionalFormatting sqref="S207:S209">
    <cfRule type="expression" dxfId="24" priority="17">
      <formula>IF(Q207="DESC",1,0)</formula>
    </cfRule>
  </conditionalFormatting>
  <conditionalFormatting sqref="S214:S217">
    <cfRule type="expression" dxfId="23" priority="19">
      <formula>IF(Q214="DESC",1,0)</formula>
    </cfRule>
  </conditionalFormatting>
  <conditionalFormatting sqref="S222:S224">
    <cfRule type="expression" dxfId="22" priority="25">
      <formula>IF(Q222="DESC",1,0)</formula>
    </cfRule>
  </conditionalFormatting>
  <conditionalFormatting sqref="S248:S260">
    <cfRule type="duplicateValues" dxfId="21" priority="1"/>
  </conditionalFormatting>
  <conditionalFormatting sqref="AD144">
    <cfRule type="duplicateValues" dxfId="20" priority="64"/>
  </conditionalFormatting>
  <conditionalFormatting sqref="AD149">
    <cfRule type="duplicateValues" dxfId="19" priority="38"/>
  </conditionalFormatting>
  <conditionalFormatting sqref="AD152:AD153 AD155 AD157:AD163 AD165:AD168">
    <cfRule type="duplicateValues" dxfId="18" priority="65"/>
  </conditionalFormatting>
  <conditionalFormatting sqref="AD154">
    <cfRule type="duplicateValues" dxfId="17" priority="50"/>
  </conditionalFormatting>
  <conditionalFormatting sqref="AD156">
    <cfRule type="duplicateValues" dxfId="16" priority="52"/>
  </conditionalFormatting>
  <conditionalFormatting sqref="AD164">
    <cfRule type="duplicateValues" dxfId="15" priority="51"/>
  </conditionalFormatting>
  <conditionalFormatting sqref="AD169">
    <cfRule type="duplicateValues" dxfId="14" priority="44"/>
  </conditionalFormatting>
  <conditionalFormatting sqref="AD170">
    <cfRule type="duplicateValues" dxfId="13" priority="37"/>
  </conditionalFormatting>
  <conditionalFormatting sqref="AD171 AD173:AD176 AD178 AD181:AD184 AD186:AD192 AD194:AD195 AD197:AD205 AD207:AD209 AD211:AD213 AD215:AD221">
    <cfRule type="duplicateValues" dxfId="12" priority="66"/>
  </conditionalFormatting>
  <conditionalFormatting sqref="AD172">
    <cfRule type="duplicateValues" dxfId="11" priority="43"/>
  </conditionalFormatting>
  <conditionalFormatting sqref="AD177">
    <cfRule type="duplicateValues" dxfId="10" priority="48"/>
  </conditionalFormatting>
  <conditionalFormatting sqref="AD179">
    <cfRule type="duplicateValues" dxfId="9" priority="34"/>
  </conditionalFormatting>
  <conditionalFormatting sqref="AD180">
    <cfRule type="duplicateValues" dxfId="8" priority="49"/>
  </conditionalFormatting>
  <conditionalFormatting sqref="AD185">
    <cfRule type="duplicateValues" dxfId="7" priority="41"/>
  </conditionalFormatting>
  <conditionalFormatting sqref="AD193">
    <cfRule type="duplicateValues" dxfId="6" priority="47"/>
  </conditionalFormatting>
  <conditionalFormatting sqref="AD196">
    <cfRule type="duplicateValues" dxfId="5" priority="33"/>
  </conditionalFormatting>
  <conditionalFormatting sqref="AD206">
    <cfRule type="duplicateValues" dxfId="4" priority="42"/>
  </conditionalFormatting>
  <conditionalFormatting sqref="AD210">
    <cfRule type="duplicateValues" dxfId="3" priority="46"/>
  </conditionalFormatting>
  <conditionalFormatting sqref="AD214">
    <cfRule type="duplicateValues" dxfId="2" priority="45"/>
  </conditionalFormatting>
  <conditionalFormatting sqref="AD223">
    <cfRule type="duplicateValues" dxfId="1" priority="40"/>
  </conditionalFormatting>
  <conditionalFormatting sqref="AD224">
    <cfRule type="duplicateValues" dxfId="0" priority="39"/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Licencias actual</vt:lpstr>
      <vt:lpstr>Layout actual</vt:lpstr>
      <vt:lpstr>Denominacion</vt:lpstr>
      <vt:lpstr>Apuesta Minima</vt:lpstr>
    </vt:vector>
  </TitlesOfParts>
  <Company>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area tecnica</dc:creator>
  <cp:lastModifiedBy>Rodrigo Garcia Osorio</cp:lastModifiedBy>
  <cp:lastPrinted>2010-06-01T22:33:54Z</cp:lastPrinted>
  <dcterms:created xsi:type="dcterms:W3CDTF">2009-11-19T18:03:20Z</dcterms:created>
  <dcterms:modified xsi:type="dcterms:W3CDTF">2025-10-28T19:23:54Z</dcterms:modified>
</cp:coreProperties>
</file>