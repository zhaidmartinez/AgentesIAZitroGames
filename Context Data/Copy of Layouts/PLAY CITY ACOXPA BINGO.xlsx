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5054F2D6-9F02-4DE2-9E47-D4FAD9C0F5B8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79" i="51" l="1"/>
  <c r="AO281" i="51" s="1"/>
  <c r="AE108" i="51" s="1"/>
  <c r="AF108" i="51" s="1"/>
  <c r="AO275" i="51"/>
  <c r="AX274" i="51"/>
  <c r="AO274" i="51"/>
  <c r="AX273" i="51"/>
  <c r="AO273" i="51"/>
  <c r="AX272" i="51"/>
  <c r="AO272" i="51"/>
  <c r="AX271" i="51"/>
  <c r="AX275" i="51" s="1"/>
  <c r="AE102" i="51" s="1"/>
  <c r="AF102" i="51" s="1"/>
  <c r="AO271" i="51"/>
  <c r="AO270" i="51"/>
  <c r="AO269" i="51"/>
  <c r="AO268" i="51"/>
  <c r="AX267" i="51"/>
  <c r="AX268" i="51" s="1"/>
  <c r="AE120" i="51" s="1"/>
  <c r="AF120" i="51" s="1"/>
  <c r="AO267" i="51"/>
  <c r="AO266" i="51"/>
  <c r="AO276" i="51" s="1"/>
  <c r="AE119" i="51" s="1"/>
  <c r="AF119" i="51" s="1"/>
  <c r="AX263" i="51"/>
  <c r="AX264" i="51" s="1"/>
  <c r="AE122" i="51" s="1"/>
  <c r="AF122" i="51" s="1"/>
  <c r="AO263" i="51"/>
  <c r="AO262" i="51"/>
  <c r="AO261" i="51"/>
  <c r="AX260" i="51"/>
  <c r="AX259" i="51"/>
  <c r="AO257" i="51"/>
  <c r="AO256" i="51"/>
  <c r="AX255" i="51"/>
  <c r="AX256" i="51" s="1"/>
  <c r="AE112" i="51" s="1"/>
  <c r="AF112" i="51" s="1"/>
  <c r="AO255" i="51"/>
  <c r="AO254" i="51"/>
  <c r="AO253" i="51"/>
  <c r="AO258" i="51" s="1"/>
  <c r="AE121" i="51" s="1"/>
  <c r="AF121" i="51" s="1"/>
  <c r="AX251" i="51"/>
  <c r="AX250" i="51"/>
  <c r="T250" i="51"/>
  <c r="G250" i="51"/>
  <c r="AX249" i="51"/>
  <c r="T249" i="51"/>
  <c r="T251" i="51" s="1"/>
  <c r="G249" i="51"/>
  <c r="G251" i="51" s="1"/>
  <c r="AX248" i="51"/>
  <c r="AX247" i="51"/>
  <c r="G247" i="51"/>
  <c r="AX246" i="51"/>
  <c r="AX252" i="51" s="1"/>
  <c r="AE104" i="51" s="1"/>
  <c r="AF104" i="51" s="1"/>
  <c r="T246" i="51"/>
  <c r="G246" i="51"/>
  <c r="T245" i="51"/>
  <c r="T247" i="51" s="1"/>
  <c r="G245" i="51"/>
  <c r="AO244" i="51"/>
  <c r="AO243" i="51"/>
  <c r="AX242" i="51"/>
  <c r="AO242" i="51"/>
  <c r="T242" i="51"/>
  <c r="G242" i="51"/>
  <c r="AX241" i="51"/>
  <c r="AX243" i="51" s="1"/>
  <c r="AE111" i="51" s="1"/>
  <c r="AF111" i="51" s="1"/>
  <c r="AO241" i="51"/>
  <c r="T241" i="51"/>
  <c r="G241" i="51"/>
  <c r="AO240" i="51"/>
  <c r="T240" i="51"/>
  <c r="G240" i="51"/>
  <c r="AO239" i="51"/>
  <c r="T239" i="51"/>
  <c r="G239" i="51"/>
  <c r="AO238" i="51"/>
  <c r="T238" i="51"/>
  <c r="T243" i="51" s="1"/>
  <c r="G238" i="51"/>
  <c r="AX237" i="51"/>
  <c r="AO237" i="51"/>
  <c r="T237" i="51"/>
  <c r="G237" i="51"/>
  <c r="G243" i="51" s="1"/>
  <c r="AX236" i="51"/>
  <c r="AO236" i="51"/>
  <c r="AX235" i="51"/>
  <c r="AO235" i="51"/>
  <c r="AX234" i="51"/>
  <c r="AO234" i="51"/>
  <c r="T234" i="51"/>
  <c r="G234" i="51"/>
  <c r="AX233" i="51"/>
  <c r="AO233" i="51"/>
  <c r="T233" i="51"/>
  <c r="G233" i="51"/>
  <c r="AX232" i="51"/>
  <c r="AO232" i="51"/>
  <c r="T232" i="51"/>
  <c r="G232" i="51"/>
  <c r="AX231" i="51"/>
  <c r="AO231" i="51"/>
  <c r="T231" i="51"/>
  <c r="G231" i="51"/>
  <c r="AX230" i="51"/>
  <c r="AO230" i="51"/>
  <c r="T230" i="51"/>
  <c r="G230" i="51"/>
  <c r="AX229" i="51"/>
  <c r="AO229" i="51"/>
  <c r="AO245" i="51" s="1"/>
  <c r="AE109" i="51" s="1"/>
  <c r="AF109" i="51" s="1"/>
  <c r="T229" i="51"/>
  <c r="G229" i="51"/>
  <c r="AX228" i="51"/>
  <c r="T228" i="51"/>
  <c r="G228" i="51"/>
  <c r="AX227" i="51"/>
  <c r="T227" i="51"/>
  <c r="G227" i="51"/>
  <c r="AX226" i="51"/>
  <c r="T226" i="51"/>
  <c r="G226" i="51"/>
  <c r="AX225" i="51"/>
  <c r="T225" i="51"/>
  <c r="G225" i="51"/>
  <c r="AX224" i="51"/>
  <c r="AO224" i="51"/>
  <c r="T224" i="51"/>
  <c r="G224" i="51"/>
  <c r="AX223" i="51"/>
  <c r="AO223" i="51"/>
  <c r="T223" i="51"/>
  <c r="G223" i="51"/>
  <c r="AX222" i="51"/>
  <c r="AO222" i="51"/>
  <c r="T222" i="51"/>
  <c r="T235" i="51" s="1"/>
  <c r="G222" i="51"/>
  <c r="G235" i="51" s="1"/>
  <c r="AX221" i="51"/>
  <c r="AO221" i="51"/>
  <c r="AX220" i="51"/>
  <c r="AO220" i="51"/>
  <c r="AX219" i="51"/>
  <c r="AO219" i="51"/>
  <c r="AA219" i="51"/>
  <c r="T219" i="51"/>
  <c r="G219" i="51"/>
  <c r="AX218" i="51"/>
  <c r="AO218" i="51"/>
  <c r="AO225" i="51" s="1"/>
  <c r="AE107" i="51" s="1"/>
  <c r="AF107" i="51" s="1"/>
  <c r="T218" i="51"/>
  <c r="G218" i="51"/>
  <c r="AX217" i="51"/>
  <c r="T217" i="51"/>
  <c r="G217" i="51"/>
  <c r="AX216" i="51"/>
  <c r="T216" i="51"/>
  <c r="G216" i="51"/>
  <c r="AX215" i="51"/>
  <c r="AA215" i="51"/>
  <c r="T215" i="51"/>
  <c r="G215" i="51"/>
  <c r="AX214" i="51"/>
  <c r="AA214" i="51"/>
  <c r="T214" i="51"/>
  <c r="T220" i="51" s="1"/>
  <c r="G214" i="51"/>
  <c r="G220" i="51" s="1"/>
  <c r="F211" i="51" s="1"/>
  <c r="AX213" i="51"/>
  <c r="AO213" i="51"/>
  <c r="AO214" i="51" s="1"/>
  <c r="AE106" i="51" s="1"/>
  <c r="AF106" i="51" s="1"/>
  <c r="AX212" i="51"/>
  <c r="AO212" i="51"/>
  <c r="AX211" i="51"/>
  <c r="AX210" i="51"/>
  <c r="AX209" i="51"/>
  <c r="AX208" i="51"/>
  <c r="AX207" i="51"/>
  <c r="AO207" i="51"/>
  <c r="AA207" i="51"/>
  <c r="AX206" i="51"/>
  <c r="AO206" i="51"/>
  <c r="AA206" i="51"/>
  <c r="AX205" i="51"/>
  <c r="AO205" i="51"/>
  <c r="AX204" i="51"/>
  <c r="AO204" i="51"/>
  <c r="AX203" i="51"/>
  <c r="AO203" i="51"/>
  <c r="AX202" i="51"/>
  <c r="AO202" i="51"/>
  <c r="AX201" i="51"/>
  <c r="AO201" i="51"/>
  <c r="AX200" i="51"/>
  <c r="AX238" i="51" s="1"/>
  <c r="AE110" i="51" s="1"/>
  <c r="AF110" i="51" s="1"/>
  <c r="AO200" i="51"/>
  <c r="AO199" i="51"/>
  <c r="AO198" i="51"/>
  <c r="Y198" i="51"/>
  <c r="T198" i="51"/>
  <c r="L198" i="51"/>
  <c r="K199" i="51" s="1"/>
  <c r="G198" i="51"/>
  <c r="Z198" i="51" s="1"/>
  <c r="AO197" i="51"/>
  <c r="AE197" i="51"/>
  <c r="AF197" i="51" s="1"/>
  <c r="T197" i="51"/>
  <c r="Z197" i="51" s="1"/>
  <c r="L197" i="51"/>
  <c r="G197" i="51"/>
  <c r="AX196" i="51"/>
  <c r="AO196" i="51"/>
  <c r="AF196" i="51"/>
  <c r="AE196" i="51"/>
  <c r="T196" i="51"/>
  <c r="T199" i="51" s="1"/>
  <c r="L196" i="51"/>
  <c r="L199" i="51" s="1"/>
  <c r="G196" i="51"/>
  <c r="G199" i="51" s="1"/>
  <c r="AX195" i="51"/>
  <c r="AO195" i="51"/>
  <c r="AE195" i="51"/>
  <c r="AF195" i="51" s="1"/>
  <c r="AX194" i="51"/>
  <c r="AO194" i="51"/>
  <c r="AF194" i="51"/>
  <c r="AE194" i="51"/>
  <c r="AX193" i="51"/>
  <c r="AO193" i="51"/>
  <c r="AF193" i="51"/>
  <c r="AE193" i="51"/>
  <c r="AX192" i="51"/>
  <c r="AO192" i="51"/>
  <c r="AE192" i="51"/>
  <c r="AF192" i="51" s="1"/>
  <c r="X192" i="51"/>
  <c r="W192" i="51"/>
  <c r="K192" i="51"/>
  <c r="J192" i="51"/>
  <c r="AX191" i="51"/>
  <c r="AO191" i="51"/>
  <c r="AE191" i="51"/>
  <c r="AF191" i="51" s="1"/>
  <c r="Y191" i="51"/>
  <c r="T191" i="51"/>
  <c r="G191" i="51"/>
  <c r="Z191" i="51" s="1"/>
  <c r="AX190" i="51"/>
  <c r="AO190" i="51"/>
  <c r="AF190" i="51"/>
  <c r="AE190" i="51"/>
  <c r="T190" i="51"/>
  <c r="Z190" i="51" s="1"/>
  <c r="L190" i="51"/>
  <c r="G190" i="51"/>
  <c r="AX189" i="51"/>
  <c r="AO189" i="51"/>
  <c r="AF189" i="51"/>
  <c r="AE189" i="51"/>
  <c r="Y189" i="51"/>
  <c r="T189" i="51"/>
  <c r="Z189" i="51" s="1"/>
  <c r="G189" i="51"/>
  <c r="L189" i="51" s="1"/>
  <c r="AX188" i="51"/>
  <c r="AO188" i="51"/>
  <c r="AF188" i="51"/>
  <c r="AE188" i="51"/>
  <c r="Y188" i="51"/>
  <c r="T188" i="51"/>
  <c r="T192" i="51" s="1"/>
  <c r="G188" i="51"/>
  <c r="G192" i="51" s="1"/>
  <c r="AX187" i="51"/>
  <c r="AO187" i="51"/>
  <c r="AE187" i="51"/>
  <c r="AF187" i="51" s="1"/>
  <c r="AX186" i="51"/>
  <c r="AO186" i="51"/>
  <c r="AE186" i="51"/>
  <c r="AF186" i="51" s="1"/>
  <c r="AX185" i="51"/>
  <c r="AO185" i="51"/>
  <c r="AE185" i="51"/>
  <c r="AF185" i="51" s="1"/>
  <c r="AX184" i="51"/>
  <c r="AO184" i="51"/>
  <c r="AE184" i="51"/>
  <c r="AF184" i="51" s="1"/>
  <c r="AX183" i="51"/>
  <c r="AO183" i="51"/>
  <c r="AF183" i="51"/>
  <c r="AE183" i="51"/>
  <c r="AA183" i="51"/>
  <c r="T183" i="51"/>
  <c r="Z183" i="51" s="1"/>
  <c r="L183" i="51"/>
  <c r="G183" i="51"/>
  <c r="AX182" i="51"/>
  <c r="AO182" i="51"/>
  <c r="AF182" i="51"/>
  <c r="AE182" i="51"/>
  <c r="Z182" i="51"/>
  <c r="Y182" i="51"/>
  <c r="T182" i="51"/>
  <c r="G182" i="51"/>
  <c r="L182" i="51" s="1"/>
  <c r="AX181" i="51"/>
  <c r="AO181" i="51"/>
  <c r="AO208" i="51" s="1"/>
  <c r="AE103" i="51" s="1"/>
  <c r="AF103" i="51" s="1"/>
  <c r="AE181" i="51"/>
  <c r="AF181" i="51" s="1"/>
  <c r="Y181" i="51"/>
  <c r="T181" i="51"/>
  <c r="L181" i="51"/>
  <c r="G181" i="51"/>
  <c r="G184" i="51" s="1"/>
  <c r="AX180" i="51"/>
  <c r="AO180" i="51"/>
  <c r="AE180" i="51"/>
  <c r="AF180" i="51" s="1"/>
  <c r="AX179" i="51"/>
  <c r="AO179" i="51"/>
  <c r="AF179" i="51"/>
  <c r="AE179" i="51"/>
  <c r="AX178" i="51"/>
  <c r="AE178" i="51"/>
  <c r="AF178" i="51" s="1"/>
  <c r="AX177" i="51"/>
  <c r="AF177" i="51"/>
  <c r="AE177" i="51"/>
  <c r="Y177" i="51"/>
  <c r="X177" i="51"/>
  <c r="W177" i="51"/>
  <c r="K177" i="51"/>
  <c r="J177" i="51"/>
  <c r="AX176" i="51"/>
  <c r="AO176" i="51"/>
  <c r="AF176" i="51"/>
  <c r="AE176" i="51"/>
  <c r="Z176" i="51"/>
  <c r="Y176" i="51"/>
  <c r="T176" i="51"/>
  <c r="L176" i="51"/>
  <c r="G176" i="51"/>
  <c r="AX175" i="51"/>
  <c r="AF175" i="51"/>
  <c r="AE175" i="51"/>
  <c r="Y175" i="51"/>
  <c r="T175" i="51"/>
  <c r="L175" i="51"/>
  <c r="G175" i="51"/>
  <c r="Z175" i="51" s="1"/>
  <c r="AX174" i="51"/>
  <c r="AO174" i="51"/>
  <c r="AF174" i="51"/>
  <c r="AE174" i="51"/>
  <c r="Y174" i="51"/>
  <c r="T174" i="51"/>
  <c r="T177" i="51" s="1"/>
  <c r="G174" i="51"/>
  <c r="L174" i="51" s="1"/>
  <c r="AX173" i="51"/>
  <c r="AO173" i="51"/>
  <c r="AF173" i="51"/>
  <c r="AE173" i="51"/>
  <c r="Y173" i="51"/>
  <c r="T173" i="51"/>
  <c r="G173" i="51"/>
  <c r="Z173" i="51" s="1"/>
  <c r="AX172" i="51"/>
  <c r="AO172" i="51"/>
  <c r="AF172" i="51"/>
  <c r="AE172" i="51"/>
  <c r="AX171" i="51"/>
  <c r="AO171" i="51"/>
  <c r="AE171" i="51"/>
  <c r="AF171" i="51" s="1"/>
  <c r="AX170" i="51"/>
  <c r="AO170" i="51"/>
  <c r="AE170" i="51"/>
  <c r="AF170" i="51" s="1"/>
  <c r="AX169" i="51"/>
  <c r="AO169" i="51"/>
  <c r="AF169" i="51"/>
  <c r="AE169" i="51"/>
  <c r="X169" i="51"/>
  <c r="W169" i="51"/>
  <c r="K169" i="51"/>
  <c r="J169" i="51"/>
  <c r="AX168" i="51"/>
  <c r="AO168" i="51"/>
  <c r="AE168" i="51"/>
  <c r="AF168" i="51" s="1"/>
  <c r="T168" i="51"/>
  <c r="Z168" i="51" s="1"/>
  <c r="L168" i="51"/>
  <c r="G168" i="51"/>
  <c r="AX167" i="51"/>
  <c r="AO167" i="51"/>
  <c r="AF167" i="51"/>
  <c r="AE167" i="51"/>
  <c r="T167" i="51"/>
  <c r="Z167" i="51" s="1"/>
  <c r="G167" i="51"/>
  <c r="L167" i="51" s="1"/>
  <c r="AX166" i="51"/>
  <c r="AO166" i="51"/>
  <c r="AF166" i="51"/>
  <c r="AE166" i="51"/>
  <c r="Z166" i="51"/>
  <c r="Y166" i="51"/>
  <c r="T166" i="51"/>
  <c r="L166" i="51"/>
  <c r="G166" i="51"/>
  <c r="AX165" i="51"/>
  <c r="AO165" i="51"/>
  <c r="AE165" i="51"/>
  <c r="AF165" i="51" s="1"/>
  <c r="Y165" i="51"/>
  <c r="T165" i="51"/>
  <c r="L165" i="51"/>
  <c r="G165" i="51"/>
  <c r="Z165" i="51" s="1"/>
  <c r="AX164" i="51"/>
  <c r="AO164" i="51"/>
  <c r="AE164" i="51"/>
  <c r="AF164" i="51" s="1"/>
  <c r="T164" i="51"/>
  <c r="Z164" i="51" s="1"/>
  <c r="L164" i="51"/>
  <c r="G164" i="51"/>
  <c r="AX163" i="51"/>
  <c r="AO163" i="51"/>
  <c r="AF163" i="51"/>
  <c r="AE163" i="51"/>
  <c r="T163" i="51"/>
  <c r="Z163" i="51" s="1"/>
  <c r="G163" i="51"/>
  <c r="L163" i="51" s="1"/>
  <c r="AX162" i="51"/>
  <c r="AO162" i="51"/>
  <c r="AF162" i="51"/>
  <c r="AE162" i="51"/>
  <c r="Z162" i="51"/>
  <c r="Y162" i="51"/>
  <c r="T162" i="51"/>
  <c r="L162" i="51"/>
  <c r="G162" i="51"/>
  <c r="AX161" i="51"/>
  <c r="AO161" i="51"/>
  <c r="AE161" i="51"/>
  <c r="AF161" i="51" s="1"/>
  <c r="Y161" i="51"/>
  <c r="T161" i="51"/>
  <c r="L161" i="51"/>
  <c r="G161" i="51"/>
  <c r="Z161" i="51" s="1"/>
  <c r="AX160" i="51"/>
  <c r="AO160" i="51"/>
  <c r="AE160" i="51"/>
  <c r="AF160" i="51" s="1"/>
  <c r="T160" i="51"/>
  <c r="Z160" i="51" s="1"/>
  <c r="L160" i="51"/>
  <c r="G160" i="51"/>
  <c r="AX159" i="51"/>
  <c r="AO159" i="51"/>
  <c r="AF159" i="51"/>
  <c r="AE159" i="51"/>
  <c r="T159" i="51"/>
  <c r="Z159" i="51" s="1"/>
  <c r="G159" i="51"/>
  <c r="L159" i="51" s="1"/>
  <c r="AX158" i="51"/>
  <c r="AO158" i="51"/>
  <c r="AF158" i="51"/>
  <c r="AE158" i="51"/>
  <c r="Z158" i="51"/>
  <c r="Y158" i="51"/>
  <c r="T158" i="51"/>
  <c r="L158" i="51"/>
  <c r="G158" i="51"/>
  <c r="AX157" i="51"/>
  <c r="AO157" i="51"/>
  <c r="AE157" i="51"/>
  <c r="AF157" i="51" s="1"/>
  <c r="Y157" i="51"/>
  <c r="T157" i="51"/>
  <c r="L157" i="51"/>
  <c r="G157" i="51"/>
  <c r="Z157" i="51" s="1"/>
  <c r="AX156" i="51"/>
  <c r="AO156" i="51"/>
  <c r="AE156" i="51"/>
  <c r="AF156" i="51" s="1"/>
  <c r="T156" i="51"/>
  <c r="Z156" i="51" s="1"/>
  <c r="L156" i="51"/>
  <c r="G156" i="51"/>
  <c r="AX155" i="51"/>
  <c r="AO155" i="51"/>
  <c r="AF155" i="51"/>
  <c r="AE155" i="51"/>
  <c r="T155" i="51"/>
  <c r="Z155" i="51" s="1"/>
  <c r="G155" i="51"/>
  <c r="L155" i="51" s="1"/>
  <c r="AX154" i="51"/>
  <c r="AO154" i="51"/>
  <c r="AE154" i="51"/>
  <c r="AF154" i="51" s="1"/>
  <c r="Z154" i="51"/>
  <c r="Y154" i="51"/>
  <c r="T154" i="51"/>
  <c r="L154" i="51"/>
  <c r="G154" i="51"/>
  <c r="AX153" i="51"/>
  <c r="AO153" i="51"/>
  <c r="AE153" i="51"/>
  <c r="AF153" i="51" s="1"/>
  <c r="T153" i="51"/>
  <c r="Y153" i="51" s="1"/>
  <c r="L153" i="51"/>
  <c r="G153" i="51"/>
  <c r="Z153" i="51" s="1"/>
  <c r="AX152" i="51"/>
  <c r="AO152" i="51"/>
  <c r="AE152" i="51"/>
  <c r="AF152" i="51" s="1"/>
  <c r="T152" i="51"/>
  <c r="T169" i="51" s="1"/>
  <c r="L152" i="51"/>
  <c r="G152" i="51"/>
  <c r="AX151" i="51"/>
  <c r="AO151" i="51"/>
  <c r="AF151" i="51"/>
  <c r="AE151" i="51"/>
  <c r="AA151" i="51"/>
  <c r="AX150" i="51"/>
  <c r="AO150" i="51"/>
  <c r="AE150" i="51"/>
  <c r="AF150" i="51" s="1"/>
  <c r="X150" i="51"/>
  <c r="W150" i="51"/>
  <c r="T150" i="51"/>
  <c r="K150" i="51"/>
  <c r="J150" i="51"/>
  <c r="AX149" i="51"/>
  <c r="AO149" i="51"/>
  <c r="AE149" i="51"/>
  <c r="AF149" i="51" s="1"/>
  <c r="T149" i="51"/>
  <c r="Y149" i="51" s="1"/>
  <c r="L149" i="51"/>
  <c r="L150" i="51" s="1"/>
  <c r="G149" i="51"/>
  <c r="Z149" i="51" s="1"/>
  <c r="AX148" i="51"/>
  <c r="AO148" i="51"/>
  <c r="AE148" i="51"/>
  <c r="AF148" i="51" s="1"/>
  <c r="T148" i="51"/>
  <c r="Z148" i="51" s="1"/>
  <c r="L148" i="51"/>
  <c r="G148" i="51"/>
  <c r="AX147" i="51"/>
  <c r="AO147" i="51"/>
  <c r="AF147" i="51"/>
  <c r="AE147" i="51"/>
  <c r="AX146" i="51"/>
  <c r="AO146" i="51"/>
  <c r="AF146" i="51"/>
  <c r="AE146" i="51"/>
  <c r="X146" i="51"/>
  <c r="W146" i="51"/>
  <c r="K146" i="51"/>
  <c r="J146" i="51"/>
  <c r="AX145" i="51"/>
  <c r="AO145" i="51"/>
  <c r="AE145" i="51"/>
  <c r="AF145" i="51" s="1"/>
  <c r="Y145" i="51"/>
  <c r="T145" i="51"/>
  <c r="G145" i="51"/>
  <c r="Z145" i="51" s="1"/>
  <c r="AX144" i="51"/>
  <c r="AO144" i="51"/>
  <c r="AE144" i="51"/>
  <c r="AF144" i="51" s="1"/>
  <c r="Z144" i="51"/>
  <c r="T144" i="51"/>
  <c r="Y144" i="51" s="1"/>
  <c r="L144" i="51"/>
  <c r="G144" i="51"/>
  <c r="AX143" i="51"/>
  <c r="AX197" i="51" s="1"/>
  <c r="AE105" i="51" s="1"/>
  <c r="AF105" i="51" s="1"/>
  <c r="AO143" i="51"/>
  <c r="AF143" i="51"/>
  <c r="AE143" i="51"/>
  <c r="Z143" i="51"/>
  <c r="T143" i="51"/>
  <c r="Y143" i="51" s="1"/>
  <c r="L143" i="51"/>
  <c r="G143" i="51"/>
  <c r="AO142" i="51"/>
  <c r="AF142" i="51"/>
  <c r="AE142" i="51"/>
  <c r="T142" i="51"/>
  <c r="Z142" i="51" s="1"/>
  <c r="L142" i="51"/>
  <c r="G142" i="51"/>
  <c r="AO141" i="51"/>
  <c r="AE141" i="51"/>
  <c r="AF141" i="51" s="1"/>
  <c r="T141" i="51"/>
  <c r="Z141" i="51" s="1"/>
  <c r="G141" i="51"/>
  <c r="L141" i="51" s="1"/>
  <c r="AO140" i="51"/>
  <c r="AF140" i="51"/>
  <c r="AE140" i="51"/>
  <c r="T140" i="51"/>
  <c r="Z140" i="51" s="1"/>
  <c r="G140" i="51"/>
  <c r="L140" i="51" s="1"/>
  <c r="AX139" i="51"/>
  <c r="AO139" i="51"/>
  <c r="AF139" i="51"/>
  <c r="AE139" i="51"/>
  <c r="Z139" i="51"/>
  <c r="Y139" i="51"/>
  <c r="T139" i="51"/>
  <c r="G139" i="51"/>
  <c r="L139" i="51" s="1"/>
  <c r="AX138" i="51"/>
  <c r="AO138" i="51"/>
  <c r="AE138" i="51"/>
  <c r="AF138" i="51" s="1"/>
  <c r="Y138" i="51"/>
  <c r="T138" i="51"/>
  <c r="L138" i="51"/>
  <c r="G138" i="51"/>
  <c r="Z138" i="51" s="1"/>
  <c r="AX137" i="51"/>
  <c r="AO137" i="51"/>
  <c r="AE137" i="51"/>
  <c r="AF137" i="51" s="1"/>
  <c r="T137" i="51"/>
  <c r="Z137" i="51" s="1"/>
  <c r="G137" i="51"/>
  <c r="L137" i="51" s="1"/>
  <c r="AX136" i="51"/>
  <c r="AO136" i="51"/>
  <c r="AF136" i="51"/>
  <c r="AE136" i="51"/>
  <c r="T136" i="51"/>
  <c r="Z136" i="51" s="1"/>
  <c r="G136" i="51"/>
  <c r="AX135" i="51"/>
  <c r="AO135" i="51"/>
  <c r="AE135" i="51"/>
  <c r="AF135" i="51" s="1"/>
  <c r="Y135" i="51"/>
  <c r="T135" i="51"/>
  <c r="Z135" i="51" s="1"/>
  <c r="L135" i="51"/>
  <c r="G135" i="51"/>
  <c r="AX134" i="51"/>
  <c r="AO134" i="51"/>
  <c r="AE134" i="51"/>
  <c r="AF134" i="51" s="1"/>
  <c r="T134" i="51"/>
  <c r="Y134" i="51" s="1"/>
  <c r="G134" i="51"/>
  <c r="Z134" i="51" s="1"/>
  <c r="AX133" i="51"/>
  <c r="AO133" i="51"/>
  <c r="AE133" i="51"/>
  <c r="AF133" i="51" s="1"/>
  <c r="Z133" i="51"/>
  <c r="T133" i="51"/>
  <c r="Y133" i="51" s="1"/>
  <c r="L133" i="51"/>
  <c r="G133" i="51"/>
  <c r="AX132" i="51"/>
  <c r="AO132" i="51"/>
  <c r="AF132" i="51"/>
  <c r="AE132" i="51"/>
  <c r="Z132" i="51"/>
  <c r="T132" i="51"/>
  <c r="Y132" i="51" s="1"/>
  <c r="L132" i="51"/>
  <c r="G132" i="51"/>
  <c r="AX131" i="51"/>
  <c r="AO131" i="51"/>
  <c r="AE131" i="51"/>
  <c r="AF131" i="51" s="1"/>
  <c r="T131" i="51"/>
  <c r="Z131" i="51" s="1"/>
  <c r="L131" i="51"/>
  <c r="G131" i="51"/>
  <c r="AX130" i="51"/>
  <c r="AO130" i="51"/>
  <c r="AE130" i="51"/>
  <c r="AF130" i="51" s="1"/>
  <c r="T130" i="51"/>
  <c r="Y130" i="51" s="1"/>
  <c r="G130" i="51"/>
  <c r="Z130" i="51" s="1"/>
  <c r="AX129" i="51"/>
  <c r="AO129" i="51"/>
  <c r="AE129" i="51"/>
  <c r="AF129" i="51" s="1"/>
  <c r="Z129" i="51"/>
  <c r="T129" i="51"/>
  <c r="Y129" i="51" s="1"/>
  <c r="L129" i="51"/>
  <c r="G129" i="51"/>
  <c r="AX128" i="51"/>
  <c r="AO128" i="51"/>
  <c r="AE128" i="51"/>
  <c r="AF128" i="51" s="1"/>
  <c r="Z128" i="51"/>
  <c r="T128" i="51"/>
  <c r="T146" i="51" s="1"/>
  <c r="L128" i="51"/>
  <c r="G128" i="51"/>
  <c r="G146" i="51" s="1"/>
  <c r="AX127" i="51"/>
  <c r="AO127" i="51"/>
  <c r="AE127" i="51"/>
  <c r="AF127" i="51" s="1"/>
  <c r="AX126" i="51"/>
  <c r="AO126" i="51"/>
  <c r="AF126" i="51"/>
  <c r="AE126" i="51"/>
  <c r="X126" i="51"/>
  <c r="W126" i="51"/>
  <c r="K126" i="51"/>
  <c r="J126" i="51"/>
  <c r="AX125" i="51"/>
  <c r="AO125" i="51"/>
  <c r="AF125" i="51"/>
  <c r="AE125" i="51"/>
  <c r="Y125" i="51"/>
  <c r="T125" i="51"/>
  <c r="Z125" i="51" s="1"/>
  <c r="G125" i="51"/>
  <c r="L125" i="51" s="1"/>
  <c r="AX124" i="51"/>
  <c r="AO124" i="51"/>
  <c r="T124" i="51"/>
  <c r="Z124" i="51" s="1"/>
  <c r="L124" i="51"/>
  <c r="G124" i="51"/>
  <c r="AX123" i="51"/>
  <c r="AO123" i="51"/>
  <c r="AE123" i="51"/>
  <c r="AF123" i="51" s="1"/>
  <c r="T123" i="51"/>
  <c r="Y123" i="51" s="1"/>
  <c r="G123" i="51"/>
  <c r="L123" i="51" s="1"/>
  <c r="AX122" i="51"/>
  <c r="AO122" i="51"/>
  <c r="Z122" i="51"/>
  <c r="T122" i="51"/>
  <c r="Y122" i="51" s="1"/>
  <c r="L122" i="51"/>
  <c r="G122" i="51"/>
  <c r="AX121" i="51"/>
  <c r="AO121" i="51"/>
  <c r="Z121" i="51"/>
  <c r="T121" i="51"/>
  <c r="Y121" i="51" s="1"/>
  <c r="L121" i="51"/>
  <c r="G121" i="51"/>
  <c r="AX120" i="51"/>
  <c r="AO120" i="51"/>
  <c r="T120" i="51"/>
  <c r="Z120" i="51" s="1"/>
  <c r="L120" i="51"/>
  <c r="G120" i="51"/>
  <c r="AX119" i="51"/>
  <c r="AO119" i="51"/>
  <c r="T119" i="51"/>
  <c r="Z119" i="51" s="1"/>
  <c r="G119" i="51"/>
  <c r="L119" i="51" s="1"/>
  <c r="AX118" i="51"/>
  <c r="AO118" i="51"/>
  <c r="AE118" i="51"/>
  <c r="AF118" i="51" s="1"/>
  <c r="Z118" i="51"/>
  <c r="T118" i="51"/>
  <c r="Y118" i="51" s="1"/>
  <c r="L118" i="51"/>
  <c r="G118" i="51"/>
  <c r="AX117" i="51"/>
  <c r="AO117" i="51"/>
  <c r="AE117" i="51"/>
  <c r="AF117" i="51" s="1"/>
  <c r="Z117" i="51"/>
  <c r="T117" i="51"/>
  <c r="Y117" i="51" s="1"/>
  <c r="L117" i="51"/>
  <c r="G117" i="51"/>
  <c r="AX116" i="51"/>
  <c r="AO116" i="51"/>
  <c r="T116" i="51"/>
  <c r="Z116" i="51" s="1"/>
  <c r="L116" i="51"/>
  <c r="G116" i="51"/>
  <c r="AX115" i="51"/>
  <c r="AO115" i="51"/>
  <c r="AE115" i="51"/>
  <c r="AF115" i="51" s="1"/>
  <c r="T115" i="51"/>
  <c r="Y115" i="51" s="1"/>
  <c r="G115" i="51"/>
  <c r="L115" i="51" s="1"/>
  <c r="AX114" i="51"/>
  <c r="AO114" i="51"/>
  <c r="AE114" i="51"/>
  <c r="AF114" i="51" s="1"/>
  <c r="Z114" i="51"/>
  <c r="T114" i="51"/>
  <c r="Y114" i="51" s="1"/>
  <c r="L114" i="51"/>
  <c r="G114" i="51"/>
  <c r="AX113" i="51"/>
  <c r="AO113" i="51"/>
  <c r="AF113" i="51"/>
  <c r="Y113" i="51"/>
  <c r="T113" i="51"/>
  <c r="G113" i="51"/>
  <c r="Z113" i="51" s="1"/>
  <c r="AX112" i="51"/>
  <c r="AO112" i="51"/>
  <c r="T112" i="51"/>
  <c r="Z112" i="51" s="1"/>
  <c r="L112" i="51"/>
  <c r="G112" i="51"/>
  <c r="AX111" i="51"/>
  <c r="AO111" i="51"/>
  <c r="Z111" i="51"/>
  <c r="Y111" i="51"/>
  <c r="T111" i="51"/>
  <c r="L111" i="51"/>
  <c r="G111" i="51"/>
  <c r="AX110" i="51"/>
  <c r="AO110" i="51"/>
  <c r="Y110" i="51"/>
  <c r="T110" i="51"/>
  <c r="G110" i="51"/>
  <c r="Z110" i="51" s="1"/>
  <c r="AX109" i="51"/>
  <c r="AO109" i="51"/>
  <c r="AA109" i="51"/>
  <c r="Z109" i="51"/>
  <c r="T109" i="51"/>
  <c r="Y109" i="51" s="1"/>
  <c r="L109" i="51"/>
  <c r="G109" i="51"/>
  <c r="AX108" i="51"/>
  <c r="AO108" i="51"/>
  <c r="AA108" i="51"/>
  <c r="Y108" i="51"/>
  <c r="T108" i="51"/>
  <c r="Z108" i="51" s="1"/>
  <c r="G108" i="51"/>
  <c r="L108" i="51" s="1"/>
  <c r="AX107" i="51"/>
  <c r="AO107" i="51"/>
  <c r="Y107" i="51"/>
  <c r="T107" i="51"/>
  <c r="Z107" i="51" s="1"/>
  <c r="G107" i="51"/>
  <c r="L107" i="51" s="1"/>
  <c r="AX106" i="51"/>
  <c r="AO106" i="51"/>
  <c r="T106" i="51"/>
  <c r="Z106" i="51" s="1"/>
  <c r="G106" i="51"/>
  <c r="L106" i="51" s="1"/>
  <c r="AX105" i="51"/>
  <c r="AO105" i="51"/>
  <c r="T105" i="51"/>
  <c r="Z105" i="51" s="1"/>
  <c r="G105" i="51"/>
  <c r="L105" i="51" s="1"/>
  <c r="AX104" i="51"/>
  <c r="AO104" i="51"/>
  <c r="Y104" i="51"/>
  <c r="T104" i="51"/>
  <c r="Z104" i="51" s="1"/>
  <c r="G104" i="51"/>
  <c r="G126" i="51" s="1"/>
  <c r="I99" i="51" s="1"/>
  <c r="AX103" i="51"/>
  <c r="AO103" i="51"/>
  <c r="AX102" i="51"/>
  <c r="AO102" i="51"/>
  <c r="AX101" i="51"/>
  <c r="AO101" i="51"/>
  <c r="AX100" i="51"/>
  <c r="AO100" i="51"/>
  <c r="AX99" i="51"/>
  <c r="AX140" i="51" s="1"/>
  <c r="AE116" i="51" s="1"/>
  <c r="AF116" i="51" s="1"/>
  <c r="AO99" i="51"/>
  <c r="AO175" i="51" s="1"/>
  <c r="AE101" i="51" s="1"/>
  <c r="AF101" i="51" s="1"/>
  <c r="V98" i="51"/>
  <c r="I98" i="51"/>
  <c r="V97" i="51"/>
  <c r="E88" i="51" s="1"/>
  <c r="I97" i="51"/>
  <c r="Z93" i="51"/>
  <c r="Y93" i="51"/>
  <c r="X93" i="51"/>
  <c r="Z92" i="51"/>
  <c r="Y92" i="51"/>
  <c r="X92" i="51"/>
  <c r="Z91" i="51"/>
  <c r="Y91" i="51"/>
  <c r="X91" i="51"/>
  <c r="Z90" i="51"/>
  <c r="Y90" i="51"/>
  <c r="X90" i="51"/>
  <c r="Z89" i="51"/>
  <c r="Y89" i="51"/>
  <c r="X89" i="51"/>
  <c r="E89" i="51"/>
  <c r="Z88" i="51"/>
  <c r="Y88" i="51"/>
  <c r="X88" i="51"/>
  <c r="Z146" i="51" l="1"/>
  <c r="S211" i="51"/>
  <c r="H209" i="51" s="1"/>
  <c r="Z199" i="51"/>
  <c r="L169" i="51"/>
  <c r="Z192" i="51"/>
  <c r="J184" i="51"/>
  <c r="Y192" i="51"/>
  <c r="Y199" i="51" s="1"/>
  <c r="Z115" i="51"/>
  <c r="Z123" i="51"/>
  <c r="L110" i="51"/>
  <c r="T126" i="51"/>
  <c r="Y137" i="51"/>
  <c r="Y141" i="51"/>
  <c r="Y148" i="51"/>
  <c r="Y150" i="51" s="1"/>
  <c r="Y152" i="51"/>
  <c r="Y156" i="51"/>
  <c r="Y160" i="51"/>
  <c r="Y164" i="51"/>
  <c r="Y168" i="51"/>
  <c r="K184" i="51"/>
  <c r="K202" i="51" s="1"/>
  <c r="L188" i="51"/>
  <c r="L192" i="51" s="1"/>
  <c r="Y197" i="51"/>
  <c r="Y106" i="51"/>
  <c r="Y126" i="51" s="1"/>
  <c r="Z152" i="51"/>
  <c r="L184" i="51"/>
  <c r="J199" i="51"/>
  <c r="J202" i="51" s="1"/>
  <c r="T184" i="51"/>
  <c r="Z184" i="51" s="1"/>
  <c r="Y105" i="51"/>
  <c r="L113" i="51"/>
  <c r="Y136" i="51"/>
  <c r="Y140" i="51"/>
  <c r="G150" i="51"/>
  <c r="I100" i="51" s="1"/>
  <c r="Y155" i="51"/>
  <c r="Y159" i="51"/>
  <c r="Y163" i="51"/>
  <c r="Y167" i="51"/>
  <c r="Y183" i="51"/>
  <c r="W184" i="51" s="1"/>
  <c r="Z188" i="51"/>
  <c r="L191" i="51"/>
  <c r="Y196" i="51"/>
  <c r="L104" i="51"/>
  <c r="Y128" i="51"/>
  <c r="Y146" i="51" s="1"/>
  <c r="Z196" i="51"/>
  <c r="G169" i="51"/>
  <c r="G202" i="51" s="1"/>
  <c r="I101" i="51" s="1"/>
  <c r="Y116" i="51"/>
  <c r="Y120" i="51"/>
  <c r="Y124" i="51"/>
  <c r="Y131" i="51"/>
  <c r="G177" i="51"/>
  <c r="Z177" i="51" s="1"/>
  <c r="Y184" i="51" s="1"/>
  <c r="Y112" i="51"/>
  <c r="L130" i="51"/>
  <c r="L134" i="51"/>
  <c r="Y142" i="51"/>
  <c r="L145" i="51"/>
  <c r="L146" i="51" s="1"/>
  <c r="L173" i="51"/>
  <c r="L177" i="51" s="1"/>
  <c r="Z174" i="51"/>
  <c r="Y190" i="51"/>
  <c r="V100" i="51"/>
  <c r="Y119" i="51"/>
  <c r="Z181" i="51"/>
  <c r="Z150" i="51" l="1"/>
  <c r="L126" i="51"/>
  <c r="L202" i="51" s="1"/>
  <c r="E92" i="51" s="1"/>
  <c r="X199" i="51"/>
  <c r="X202" i="51" s="1"/>
  <c r="E91" i="51" s="1"/>
  <c r="W199" i="51"/>
  <c r="W202" i="51" s="1"/>
  <c r="E93" i="51" s="1"/>
  <c r="V99" i="51"/>
  <c r="Z126" i="51"/>
  <c r="Y169" i="51"/>
  <c r="Y202" i="51" s="1"/>
  <c r="Z169" i="51"/>
  <c r="T202" i="51"/>
  <c r="X184" i="51"/>
  <c r="Z202" i="51" l="1"/>
  <c r="V101" i="51"/>
  <c r="G86" i="51" s="1"/>
  <c r="J84" i="51" s="1"/>
</calcChain>
</file>

<file path=xl/sharedStrings.xml><?xml version="1.0" encoding="utf-8"?>
<sst xmlns="http://schemas.openxmlformats.org/spreadsheetml/2006/main" count="2343" uniqueCount="1118">
  <si>
    <t>CALA</t>
  </si>
  <si>
    <t>BDR</t>
  </si>
  <si>
    <t>TCM</t>
  </si>
  <si>
    <t>UBP</t>
  </si>
  <si>
    <t>SPI</t>
  </si>
  <si>
    <t>IP</t>
  </si>
  <si>
    <t>BST</t>
  </si>
  <si>
    <t>PWF</t>
  </si>
  <si>
    <t>HOT DICE</t>
  </si>
  <si>
    <t>HOT</t>
  </si>
  <si>
    <t>LOTERIA BONUS</t>
  </si>
  <si>
    <t>P4</t>
  </si>
  <si>
    <t>REVOLUTION</t>
  </si>
  <si>
    <t>REV</t>
  </si>
  <si>
    <t>DBF</t>
  </si>
  <si>
    <t>HOTM</t>
  </si>
  <si>
    <t>HOT DICE MULTI</t>
  </si>
  <si>
    <t>POWER FORCE</t>
  </si>
  <si>
    <t>BINGO STORY</t>
  </si>
  <si>
    <t>DREAM</t>
  </si>
  <si>
    <t>TACOMANIA</t>
  </si>
  <si>
    <t>ULTIMO BINGO EN PARIS</t>
  </si>
  <si>
    <t>POWER FOUR</t>
  </si>
  <si>
    <t>TRIPLE BONUS</t>
  </si>
  <si>
    <t>DOBLE BONUS</t>
  </si>
  <si>
    <t>TBD2</t>
  </si>
  <si>
    <t>SPIN BINGO</t>
  </si>
  <si>
    <t>HALLO</t>
  </si>
  <si>
    <t>TOP3</t>
  </si>
  <si>
    <t>BOBBY</t>
  </si>
  <si>
    <t>BLUE</t>
  </si>
  <si>
    <t>HALLO WIN</t>
  </si>
  <si>
    <t>BEST TOP 3 BONUS</t>
  </si>
  <si>
    <t>BOBBY DOGGIE</t>
  </si>
  <si>
    <t>GO DICE</t>
  </si>
  <si>
    <t>GDICE</t>
  </si>
  <si>
    <t>FISH DOUBLE</t>
  </si>
  <si>
    <t>ROYAL CRAPS</t>
  </si>
  <si>
    <t>RCRP</t>
  </si>
  <si>
    <t>PRWP</t>
  </si>
  <si>
    <t>PIM PAM PUM</t>
  </si>
  <si>
    <t>PPPUM</t>
  </si>
  <si>
    <t>MULTI SPIN BINGO</t>
  </si>
  <si>
    <t>SPIM</t>
  </si>
  <si>
    <t>TACOWAY</t>
  </si>
  <si>
    <t>TCWY</t>
  </si>
  <si>
    <t>KINGO</t>
  </si>
  <si>
    <t>POWER BONUS</t>
  </si>
  <si>
    <t>PWRB</t>
  </si>
  <si>
    <t>GO POWER</t>
  </si>
  <si>
    <t>GO PWR</t>
  </si>
  <si>
    <t>LOTB</t>
  </si>
  <si>
    <t>ENERGY LINK WEST</t>
  </si>
  <si>
    <t>ELK WST</t>
  </si>
  <si>
    <t>ENERGY LINK MEX</t>
  </si>
  <si>
    <t>ELK MEX</t>
  </si>
  <si>
    <t>ENERGY LINK GREEN</t>
  </si>
  <si>
    <t>ELK GRN</t>
  </si>
  <si>
    <t>ELK BLU</t>
  </si>
  <si>
    <t>ENERGY LINK BLUE</t>
  </si>
  <si>
    <t>SLEIC</t>
  </si>
  <si>
    <t>ENERGY KING DOBLE BONUS</t>
  </si>
  <si>
    <t>EK DB</t>
  </si>
  <si>
    <t>ENERGY KING P4 BONUS</t>
  </si>
  <si>
    <t>EK P4</t>
  </si>
  <si>
    <t>ENERGY KING GO DICE</t>
  </si>
  <si>
    <t>EK GDICE</t>
  </si>
  <si>
    <t>ENERGY LINK P4 BONUS</t>
  </si>
  <si>
    <t>ELK P4</t>
  </si>
  <si>
    <t>ENERGY LINK DOBLE BONUS</t>
  </si>
  <si>
    <t>ELK DB</t>
  </si>
  <si>
    <t>ENERGY LINK GO DICE</t>
  </si>
  <si>
    <t>ELK GDICE</t>
  </si>
  <si>
    <t>FSHDB</t>
  </si>
  <si>
    <t>BEER</t>
  </si>
  <si>
    <t>BEER, CHEERS FEST</t>
  </si>
  <si>
    <t>DB</t>
  </si>
  <si>
    <t>DRAGONB</t>
  </si>
  <si>
    <t>DRAGON BINGO</t>
  </si>
  <si>
    <t>GSTORM</t>
  </si>
  <si>
    <t>GOD STORM</t>
  </si>
  <si>
    <t>LMP PWR</t>
  </si>
  <si>
    <t>LAMP POWER</t>
  </si>
  <si>
    <t>LMP MEX</t>
  </si>
  <si>
    <t>LAMP MEX</t>
  </si>
  <si>
    <t>Pi</t>
  </si>
  <si>
    <t>POWER PRIZE</t>
  </si>
  <si>
    <t>TCKKK</t>
  </si>
  <si>
    <t>THE COURSE OF KUKULKAN</t>
  </si>
  <si>
    <t>TB2</t>
  </si>
  <si>
    <t>TRIPLE BONUS 2</t>
  </si>
  <si>
    <t>WDICE</t>
  </si>
  <si>
    <t>WESTERN DICE</t>
  </si>
  <si>
    <t>BLOOTER</t>
  </si>
  <si>
    <t>BLACK LOOTER</t>
  </si>
  <si>
    <t>LMP BOBBY</t>
  </si>
  <si>
    <t>LAMP BOBBY</t>
  </si>
  <si>
    <t>LMP MUS</t>
  </si>
  <si>
    <t>LAMP MUSTANG</t>
  </si>
  <si>
    <t>RFU</t>
  </si>
  <si>
    <t>ROYAL FU</t>
  </si>
  <si>
    <t>RTROP</t>
  </si>
  <si>
    <t>ROYAL TROPICAL BINGO</t>
  </si>
  <si>
    <t>BE3</t>
  </si>
  <si>
    <t>BEETLE 3</t>
  </si>
  <si>
    <t>CALACA</t>
  </si>
  <si>
    <t>DWISH</t>
  </si>
  <si>
    <t>DIAMOND WISH</t>
  </si>
  <si>
    <t>SPELLS</t>
  </si>
  <si>
    <t>SPELLS AND POTIONS</t>
  </si>
  <si>
    <t>LMP TCWY</t>
  </si>
  <si>
    <t>LAMP TACOWAY</t>
  </si>
  <si>
    <t>WCLUB</t>
  </si>
  <si>
    <t>WEALTHY CLUB</t>
  </si>
  <si>
    <t>LMP SPI</t>
  </si>
  <si>
    <t>LAMP SPIN</t>
  </si>
  <si>
    <t>LMP HALLO</t>
  </si>
  <si>
    <t>LAMP HALLO WIN</t>
  </si>
  <si>
    <t>LMP STO</t>
  </si>
  <si>
    <t>LAMP BINGO STORY</t>
  </si>
  <si>
    <t>PI</t>
  </si>
  <si>
    <t>ENERGY KING TOP</t>
  </si>
  <si>
    <t>ENERGY KING AQUA</t>
  </si>
  <si>
    <t>ENERGY KING MEX</t>
  </si>
  <si>
    <t>ENERGY KING WEST</t>
  </si>
  <si>
    <t>EK TOP</t>
  </si>
  <si>
    <t>EK AQUA</t>
  </si>
  <si>
    <t>EK MEX</t>
  </si>
  <si>
    <t>EK WST</t>
  </si>
  <si>
    <t>MAORIS</t>
  </si>
  <si>
    <t>MAORIS LAND</t>
  </si>
  <si>
    <t>KST</t>
  </si>
  <si>
    <t>PZUPDB</t>
  </si>
  <si>
    <t>PZUPGDICE</t>
  </si>
  <si>
    <t>TB</t>
  </si>
  <si>
    <t>EGYTRE</t>
  </si>
  <si>
    <t>MWPANDA</t>
  </si>
  <si>
    <t>FRPIZZA</t>
  </si>
  <si>
    <t>TGREATW</t>
  </si>
  <si>
    <t>EGYPT TREASURES</t>
  </si>
  <si>
    <t>FRATELLI PIZZA</t>
  </si>
  <si>
    <t>MONEY WISE PANDA</t>
  </si>
  <si>
    <t>KINGO STORY</t>
  </si>
  <si>
    <t>THE GREAT WEALTH</t>
  </si>
  <si>
    <t>PRIZE UP DOBLE BONUS</t>
  </si>
  <si>
    <t>PRIZE UP GO DICE</t>
  </si>
  <si>
    <t>BEETLE JEWELS RED</t>
  </si>
  <si>
    <t>BEJR</t>
  </si>
  <si>
    <t>FIREWORKS FU RED</t>
  </si>
  <si>
    <t>FIREFUR</t>
  </si>
  <si>
    <t>ID  1 8 2 - P L A Y   C I T Y - P L A Y   C I T Y   A C O X P A</t>
  </si>
  <si>
    <t>Acoxpa 430 Colonia Ex hacienda Coapa Delegacion Tlalpan</t>
  </si>
  <si>
    <t>BRYKE</t>
  </si>
  <si>
    <t>CAJA</t>
  </si>
  <si>
    <t>APEX</t>
  </si>
  <si>
    <t>EGT</t>
  </si>
  <si>
    <t>EXTINTOR</t>
  </si>
  <si>
    <t>SALIDA DE MERGENCIA</t>
  </si>
  <si>
    <t>MER</t>
  </si>
  <si>
    <t>AFI</t>
  </si>
  <si>
    <t>ISLA 12</t>
  </si>
  <si>
    <t>5C</t>
  </si>
  <si>
    <t>clover link</t>
  </si>
  <si>
    <t>ultra lucky link</t>
  </si>
  <si>
    <t>ESCENARIO</t>
  </si>
  <si>
    <t>TIRADA MIN $ 3.40</t>
  </si>
  <si>
    <t>WS</t>
  </si>
  <si>
    <t>ligthning  2.50</t>
  </si>
  <si>
    <t>Z051</t>
  </si>
  <si>
    <t>TIRADA MIN  $ 2.50</t>
  </si>
  <si>
    <t>RESTAURANTE</t>
  </si>
  <si>
    <t>AR</t>
  </si>
  <si>
    <t>ISLA 1</t>
  </si>
  <si>
    <t>SIGN LK/ LSHOCK-2</t>
  </si>
  <si>
    <t>ISLA 3</t>
  </si>
  <si>
    <t>MIIN JUG $2.00</t>
  </si>
  <si>
    <t>8                   1</t>
  </si>
  <si>
    <t>GOLM</t>
  </si>
  <si>
    <t>GLAR</t>
  </si>
  <si>
    <t>AW</t>
  </si>
  <si>
    <t>7                  2</t>
  </si>
  <si>
    <t>50C</t>
  </si>
  <si>
    <t>6                 3</t>
  </si>
  <si>
    <t>ACM</t>
  </si>
  <si>
    <t>CLOVER LINK</t>
  </si>
  <si>
    <t>TIRADA MIN $ 2.50</t>
  </si>
  <si>
    <t>TIRADA MIN $ 3.00</t>
  </si>
  <si>
    <t>ISLA 5</t>
  </si>
  <si>
    <t>SIGN LK-2</t>
  </si>
  <si>
    <t>SIGN COLF-2</t>
  </si>
  <si>
    <t>IGT</t>
  </si>
  <si>
    <t>SCIGA</t>
  </si>
  <si>
    <t>5c</t>
  </si>
  <si>
    <t>ISLA 2</t>
  </si>
  <si>
    <t>TIRADA MIN $2.50</t>
  </si>
  <si>
    <t>ENDCP-EST</t>
  </si>
  <si>
    <t>FBMRO</t>
  </si>
  <si>
    <t>ISLA 13</t>
  </si>
  <si>
    <t xml:space="preserve">PROSPERITY LINK </t>
  </si>
  <si>
    <t xml:space="preserve">CLOVER LINK </t>
  </si>
  <si>
    <t>LINK HIT</t>
  </si>
  <si>
    <t>WINPOTSL</t>
  </si>
  <si>
    <t>ACCESO FUMAR</t>
  </si>
  <si>
    <t>E-GAM</t>
  </si>
  <si>
    <t>Z038</t>
  </si>
  <si>
    <t>E gyptian link min$3.75</t>
  </si>
  <si>
    <t>ISLA 7</t>
  </si>
  <si>
    <t>SIGN MHAM-2</t>
  </si>
  <si>
    <t>SIGN BLEK/BLEL-2</t>
  </si>
  <si>
    <t>KN</t>
  </si>
  <si>
    <t>ISLA 9</t>
  </si>
  <si>
    <t>SIGN LM-2</t>
  </si>
  <si>
    <t>SIGN MKING-2</t>
  </si>
  <si>
    <t>GUARDA ROPA</t>
  </si>
  <si>
    <t>RECEPCION</t>
  </si>
  <si>
    <t>BLE</t>
  </si>
  <si>
    <t xml:space="preserve">ultra lucky link </t>
  </si>
  <si>
    <t>MIIN JUG $5.00</t>
  </si>
  <si>
    <t>ISLA 6</t>
  </si>
  <si>
    <t>ISLA 4</t>
  </si>
  <si>
    <t>bell link</t>
  </si>
  <si>
    <t>4                   1</t>
  </si>
  <si>
    <t>COIN FU</t>
  </si>
  <si>
    <t>3                   2</t>
  </si>
  <si>
    <t>MIN JUG $2.50</t>
  </si>
  <si>
    <t>ISLA 23</t>
  </si>
  <si>
    <t>ISLA 18</t>
  </si>
  <si>
    <t>ISLA 17</t>
  </si>
  <si>
    <t>FB</t>
  </si>
  <si>
    <t>LN</t>
  </si>
  <si>
    <t>SIGN LKB/LMB-2</t>
  </si>
  <si>
    <t>lucky coin link</t>
  </si>
  <si>
    <t>MIN JUG $4.00 / $1</t>
  </si>
  <si>
    <t>ISLA 10</t>
  </si>
  <si>
    <t>ISLA 8</t>
  </si>
  <si>
    <t>SIGN DW</t>
  </si>
  <si>
    <t>Z034</t>
  </si>
  <si>
    <t>MIN JUG $2.00</t>
  </si>
  <si>
    <t>ISLA 11</t>
  </si>
  <si>
    <t>VESTIBULO DE ACCESO PRINCIPAL</t>
  </si>
  <si>
    <t>welcome to jackpot</t>
  </si>
  <si>
    <t>50c</t>
  </si>
  <si>
    <t>TIRADA MIN $3.00</t>
  </si>
  <si>
    <t>Z036</t>
  </si>
  <si>
    <t>isla19</t>
  </si>
  <si>
    <t>25c</t>
  </si>
  <si>
    <t>MBGP</t>
  </si>
  <si>
    <t>MINJ JUG 3.40</t>
  </si>
  <si>
    <t>MIN JUG $3.75</t>
  </si>
  <si>
    <t>ISLA 21</t>
  </si>
  <si>
    <t>TOTAL SALA</t>
  </si>
  <si>
    <t>ANTERIOR THERMO ENTREGADO</t>
  </si>
  <si>
    <t>THERMO ACTUAL</t>
  </si>
  <si>
    <t>comp</t>
  </si>
  <si>
    <t>FECHA</t>
  </si>
  <si>
    <t>SEMANA</t>
  </si>
  <si>
    <t>TOTAL ZITRO</t>
  </si>
  <si>
    <t>S33 a S44</t>
  </si>
  <si>
    <t>TOTAL</t>
  </si>
  <si>
    <t>F POWER</t>
  </si>
  <si>
    <t>SIN F POWER</t>
  </si>
  <si>
    <t>VS</t>
  </si>
  <si>
    <t>74 MAQ.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</si>
  <si>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</si>
  <si>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</si>
  <si>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</si>
  <si>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</si>
  <si>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</si>
  <si>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</si>
  <si>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</si>
  <si>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</si>
  <si>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</si>
  <si>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</si>
  <si>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</si>
  <si>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</si>
  <si>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</si>
  <si>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</si>
  <si>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</si>
  <si>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</si>
  <si>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</si>
  <si>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</si>
  <si>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</si>
  <si>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</si>
  <si>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</si>
  <si>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</si>
  <si>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</si>
  <si>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</si>
  <si>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</si>
  <si>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</si>
  <si>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</si>
  <si>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</si>
  <si>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</si>
  <si>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</si>
  <si>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</si>
  <si>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</si>
  <si>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</si>
  <si>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</si>
  <si>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</si>
  <si>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</si>
  <si>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</si>
  <si>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</si>
  <si>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</si>
  <si>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</si>
  <si>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</si>
  <si>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</si>
  <si>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</si>
  <si>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</si>
  <si>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</si>
  <si>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</si>
  <si>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</si>
  <si>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</si>
  <si>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</si>
  <si>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TOTAL JUEGO</t>
  </si>
  <si>
    <t>METRONIA / BEMEX</t>
  </si>
  <si>
    <t>MET</t>
  </si>
  <si>
    <t>BEST BINGO</t>
  </si>
  <si>
    <t>BB</t>
  </si>
  <si>
    <t>BINGO GRAND HIT</t>
  </si>
  <si>
    <t>BGHI</t>
  </si>
  <si>
    <t>SABIA</t>
  </si>
  <si>
    <t>SAB</t>
  </si>
  <si>
    <t>BIG SCORE</t>
  </si>
  <si>
    <t>BIGCRE</t>
  </si>
  <si>
    <t xml:space="preserve">BINGO JOKER </t>
  </si>
  <si>
    <t>BJK</t>
  </si>
  <si>
    <t>*</t>
  </si>
  <si>
    <t>FBM</t>
  </si>
  <si>
    <t>BINGO MAN</t>
  </si>
  <si>
    <t>BMAN</t>
  </si>
  <si>
    <t>BINGO LINK 10</t>
  </si>
  <si>
    <t>BLINK10</t>
  </si>
  <si>
    <t>JESTRONIC</t>
  </si>
  <si>
    <t>BINGOL</t>
  </si>
  <si>
    <t>BGOL</t>
  </si>
  <si>
    <t>BINGO LINK DOBLE BONUS</t>
  </si>
  <si>
    <t>BLINKDB</t>
  </si>
  <si>
    <t>DOBLE BONUS EXTRAVAGANZA ST</t>
  </si>
  <si>
    <t>DBXTRAST</t>
  </si>
  <si>
    <t>R. FRANCO</t>
  </si>
  <si>
    <t>FRANCO</t>
  </si>
  <si>
    <t>BINGOLE</t>
  </si>
  <si>
    <t>BINGO LINK GOLDEN</t>
  </si>
  <si>
    <t>BLINKG</t>
  </si>
  <si>
    <t>KONAMI BINGO</t>
  </si>
  <si>
    <t>KNBINGO</t>
  </si>
  <si>
    <t>BINGOLE PLUS</t>
  </si>
  <si>
    <t>BLEP</t>
  </si>
  <si>
    <t>BINGO JONES</t>
  </si>
  <si>
    <t>BJN</t>
  </si>
  <si>
    <t>WINPOT / DREIDEL</t>
  </si>
  <si>
    <t>WINPOT</t>
  </si>
  <si>
    <t>BINGOLE PRIME</t>
  </si>
  <si>
    <t>BLEPm</t>
  </si>
  <si>
    <t>BUFFALO KINGS</t>
  </si>
  <si>
    <t>BUFF</t>
  </si>
  <si>
    <t>SLEIC (OTIUM - UNIDESA)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</si>
  <si>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</si>
  <si>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</si>
  <si>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</si>
  <si>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</si>
  <si>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PACHINKO</t>
  </si>
  <si>
    <t>CAPITAN PARROT</t>
  </si>
  <si>
    <t>CP</t>
  </si>
  <si>
    <t>FIGHT AND WIN</t>
  </si>
  <si>
    <t>FGTW</t>
  </si>
  <si>
    <t>BLUBERI</t>
  </si>
  <si>
    <t>BLUB</t>
  </si>
  <si>
    <t>CHICKEN FARM</t>
  </si>
  <si>
    <t>CFM</t>
  </si>
  <si>
    <t>FLYING PIGS</t>
  </si>
  <si>
    <t>FPIG</t>
  </si>
  <si>
    <t>BETSTONE BINGO</t>
  </si>
  <si>
    <t>BTSB</t>
  </si>
  <si>
    <t>-</t>
  </si>
  <si>
    <t>CINE BINGO</t>
  </si>
  <si>
    <t>CINEB</t>
  </si>
  <si>
    <t>FUNNY CREATURES</t>
  </si>
  <si>
    <t>FC</t>
  </si>
  <si>
    <t>SHOWBALL</t>
  </si>
  <si>
    <t>SHOW</t>
  </si>
  <si>
    <t>CINE BINGO MULTI</t>
  </si>
  <si>
    <t>MCINEB</t>
  </si>
  <si>
    <t>HUNGRY FISH</t>
  </si>
  <si>
    <t>HUF</t>
  </si>
  <si>
    <t>LATINA WORLD GAMING</t>
  </si>
  <si>
    <t>LATINWG</t>
  </si>
  <si>
    <t>CIRCUS</t>
  </si>
  <si>
    <t>CIR</t>
  </si>
  <si>
    <t>LAS MIL Y UNA NOCHES</t>
  </si>
  <si>
    <t>MYUN</t>
  </si>
  <si>
    <t>LUD/IGT B</t>
  </si>
  <si>
    <t>DINO BINGO</t>
  </si>
  <si>
    <t>DINO</t>
  </si>
  <si>
    <t>LA CHIRIPA</t>
  </si>
  <si>
    <t>LACHI</t>
  </si>
  <si>
    <t>AGS</t>
  </si>
  <si>
    <t>AGSB</t>
  </si>
  <si>
    <t>DULCE MANIA</t>
  </si>
  <si>
    <t>DULM</t>
  </si>
  <si>
    <t>LOS GNOMOS</t>
  </si>
  <si>
    <t>LGMS</t>
  </si>
  <si>
    <t>VDK2</t>
  </si>
  <si>
    <t>VDK</t>
  </si>
  <si>
    <t>EL DORADO BINGO</t>
  </si>
  <si>
    <t>DORAD</t>
  </si>
  <si>
    <t>LUCKY PRINCESS</t>
  </si>
  <si>
    <t>LKP</t>
  </si>
  <si>
    <t>DEGESTEC BINGO</t>
  </si>
  <si>
    <t>DEGESTEC B</t>
  </si>
  <si>
    <t>EL PEZ</t>
  </si>
  <si>
    <t>PEZ</t>
  </si>
  <si>
    <t>MARTINS FORTUNE</t>
  </si>
  <si>
    <t>MARTF</t>
  </si>
  <si>
    <t>JCB GAMING</t>
  </si>
  <si>
    <t>JCB</t>
  </si>
  <si>
    <t>FIESTA BINGO</t>
  </si>
  <si>
    <t>FSTB</t>
  </si>
  <si>
    <t>MEDIEBALL</t>
  </si>
  <si>
    <t>MEB</t>
  </si>
  <si>
    <t>RCT BINGO</t>
  </si>
  <si>
    <t>RCT B</t>
  </si>
  <si>
    <t>FIRST MANIA</t>
  </si>
  <si>
    <t>FM</t>
  </si>
  <si>
    <t>MULTI BINGO PACK</t>
  </si>
  <si>
    <t>INTERVISION BINGO</t>
  </si>
  <si>
    <t>INTVB</t>
  </si>
  <si>
    <t>FOUR BINGO</t>
  </si>
  <si>
    <t xml:space="preserve">NEW BINGO CITY </t>
  </si>
  <si>
    <t>BCTY</t>
  </si>
  <si>
    <t>OTROS BINGO</t>
  </si>
  <si>
    <t>OTROS B</t>
  </si>
  <si>
    <t>GAMBETA BINGO</t>
  </si>
  <si>
    <t>GAMB</t>
  </si>
  <si>
    <t>OLYMPUS</t>
  </si>
  <si>
    <t>OLYM</t>
  </si>
  <si>
    <t>R O D I L L O S</t>
  </si>
  <si>
    <t>GLADIATOR</t>
  </si>
  <si>
    <t>PANDA 88</t>
  </si>
  <si>
    <t>PAN88</t>
  </si>
  <si>
    <t>AINSWORTH</t>
  </si>
  <si>
    <t>GOL MANIA</t>
  </si>
  <si>
    <t>PICOSOMETRO</t>
  </si>
  <si>
    <t>PICO</t>
  </si>
  <si>
    <t>ADMIRAL</t>
  </si>
  <si>
    <t>ADMI</t>
  </si>
  <si>
    <t>GOL MANIA PLUS</t>
  </si>
  <si>
    <t>GOLMP</t>
  </si>
  <si>
    <t>PIG WIZARD</t>
  </si>
  <si>
    <t>PGW</t>
  </si>
  <si>
    <t>BISONTE / BINGO STORY</t>
  </si>
  <si>
    <t>ATLAS</t>
  </si>
  <si>
    <t>AGT</t>
  </si>
  <si>
    <t>GOL MANIA PRIME</t>
  </si>
  <si>
    <t>GOLMPm</t>
  </si>
  <si>
    <t>PIRATES OF THE BINGO SEA</t>
  </si>
  <si>
    <t>PSEA</t>
  </si>
  <si>
    <t>ALFASTREET</t>
  </si>
  <si>
    <t>AST</t>
  </si>
  <si>
    <t>HOT CHILLI</t>
  </si>
  <si>
    <t>HTC</t>
  </si>
  <si>
    <t>PLAYA BINGO</t>
  </si>
  <si>
    <t>PLAB</t>
  </si>
  <si>
    <t>KATANA BINGO</t>
  </si>
  <si>
    <t>KATNA</t>
  </si>
  <si>
    <t>REYES DEL RING</t>
  </si>
  <si>
    <t>RDR</t>
  </si>
  <si>
    <t>AMATIC</t>
  </si>
  <si>
    <t>AMA</t>
  </si>
  <si>
    <t>LE BON BON</t>
  </si>
  <si>
    <t>LBON</t>
  </si>
  <si>
    <t>ROUTE 66</t>
  </si>
  <si>
    <t>R66</t>
  </si>
  <si>
    <t>AMUSGO</t>
  </si>
  <si>
    <t>AMGO</t>
  </si>
  <si>
    <t>LOCOMODIN</t>
  </si>
  <si>
    <t>LMDIN</t>
  </si>
  <si>
    <t>ROUTE 66 MULTI</t>
  </si>
  <si>
    <t>R66M</t>
  </si>
  <si>
    <t>LOCOMODIN PLUS</t>
  </si>
  <si>
    <t>LMDIN P</t>
  </si>
  <si>
    <t>ROUTE TO WIN</t>
  </si>
  <si>
    <t>RTW</t>
  </si>
  <si>
    <t>ARISTOCRAT</t>
  </si>
  <si>
    <t>LOCOMODIN PRIME</t>
  </si>
  <si>
    <t>LMDIN Pm</t>
  </si>
  <si>
    <t>RULETA DE LA SUERTE</t>
  </si>
  <si>
    <t>RDS</t>
  </si>
  <si>
    <t>ARUZE</t>
  </si>
  <si>
    <t>ARU</t>
  </si>
  <si>
    <t>LOVE</t>
  </si>
  <si>
    <t>LV</t>
  </si>
  <si>
    <t>SLOT 66</t>
  </si>
  <si>
    <t>S66</t>
  </si>
  <si>
    <t>ASTRO</t>
  </si>
  <si>
    <t>LUCKY NOTE</t>
  </si>
  <si>
    <t>TESORO DEL CARIBE</t>
  </si>
  <si>
    <t>TC</t>
  </si>
  <si>
    <t>ATRONIC</t>
  </si>
  <si>
    <t>AT</t>
  </si>
  <si>
    <t>MAGIC CELTIC BINGO</t>
  </si>
  <si>
    <t>MAGCELT</t>
  </si>
  <si>
    <t>VIKINGS</t>
  </si>
  <si>
    <t>VK</t>
  </si>
  <si>
    <t>AURIFY</t>
  </si>
  <si>
    <t>MAGIC DRAGON</t>
  </si>
  <si>
    <t>MAGD</t>
  </si>
  <si>
    <t>WILD TRAIN</t>
  </si>
  <si>
    <t>WDT</t>
  </si>
  <si>
    <t>AVANTIME</t>
  </si>
  <si>
    <t>AV</t>
  </si>
  <si>
    <t>MASTER SHOW</t>
  </si>
  <si>
    <t>MSTRSH</t>
  </si>
  <si>
    <t>WILD WEST</t>
  </si>
  <si>
    <t>WT</t>
  </si>
  <si>
    <t>BELATRA (MULTIVISION)</t>
  </si>
  <si>
    <t>BEL</t>
  </si>
  <si>
    <t>MIN LUN LUO GOLDEN DRAGON</t>
  </si>
  <si>
    <t>MLUGD</t>
  </si>
  <si>
    <t>WIN &amp; ROLL</t>
  </si>
  <si>
    <t>WNRLL</t>
  </si>
  <si>
    <t>BETSTONE</t>
  </si>
  <si>
    <t>BTS</t>
  </si>
  <si>
    <t>MR.X</t>
  </si>
  <si>
    <t>MX</t>
  </si>
  <si>
    <t>TOTAL LUDICUS</t>
  </si>
  <si>
    <t>BLU</t>
  </si>
  <si>
    <t>MULTI MANIA</t>
  </si>
  <si>
    <t>MULMA</t>
  </si>
  <si>
    <t>BRAVO GAMES</t>
  </si>
  <si>
    <t>BGAMES</t>
  </si>
  <si>
    <t>MULTI TRIPLE</t>
  </si>
  <si>
    <t>MT</t>
  </si>
  <si>
    <t>MULTIBINGO</t>
  </si>
  <si>
    <t>MUL</t>
  </si>
  <si>
    <t>30 MANIA BONUS</t>
  </si>
  <si>
    <t>30MB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</si>
  <si>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</si>
  <si>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</si>
  <si>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</si>
  <si>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</si>
  <si>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</si>
  <si>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</si>
  <si>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</si>
  <si>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</si>
  <si>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</si>
  <si>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</si>
  <si>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</si>
  <si>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</si>
  <si>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CV GAMES</t>
  </si>
  <si>
    <t>CV G</t>
  </si>
  <si>
    <t>NEW TRIPLE</t>
  </si>
  <si>
    <t>NT</t>
  </si>
  <si>
    <t>BASKETBALL BINGO</t>
  </si>
  <si>
    <t>BKTB</t>
  </si>
  <si>
    <t>PRIZE UP</t>
  </si>
  <si>
    <t>CYBERVIEW</t>
  </si>
  <si>
    <t>CYB</t>
  </si>
  <si>
    <t>NIGHT BINGO</t>
  </si>
  <si>
    <t>NBNG</t>
  </si>
  <si>
    <t>BINGO BLAST</t>
  </si>
  <si>
    <t>BIB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</si>
  <si>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</si>
  <si>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</si>
  <si>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</si>
  <si>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</si>
  <si>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</si>
  <si>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</si>
  <si>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</si>
  <si>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</si>
  <si>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</si>
  <si>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</si>
  <si>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</si>
  <si>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DIXPA GAMES</t>
  </si>
  <si>
    <t>DIXG</t>
  </si>
  <si>
    <t>OLE</t>
  </si>
  <si>
    <t>BINGO PILIPINO</t>
  </si>
  <si>
    <t>BPILI</t>
  </si>
  <si>
    <t>RESTO FAM</t>
  </si>
  <si>
    <t>E-GAMING (MULTI JUEGOS)</t>
  </si>
  <si>
    <t>PANDA SHOW</t>
  </si>
  <si>
    <t>PNDSH</t>
  </si>
  <si>
    <t>BINGO RANCHO</t>
  </si>
  <si>
    <t>BRANCH</t>
  </si>
  <si>
    <t>BEETLE BINGO (BDR)</t>
  </si>
  <si>
    <t>EIBE SLOTS OTIUM</t>
  </si>
  <si>
    <t>EIBE-SLTOTIUM</t>
  </si>
  <si>
    <t xml:space="preserve">PILIBINGO </t>
  </si>
  <si>
    <t>PB</t>
  </si>
  <si>
    <t>BINGO-GO</t>
  </si>
  <si>
    <t>BGO</t>
  </si>
  <si>
    <t>EIBE SLOTS</t>
  </si>
  <si>
    <t>EIBE-SLT</t>
  </si>
  <si>
    <t>RICO EL TOPO</t>
  </si>
  <si>
    <t>RET</t>
  </si>
  <si>
    <t>BINGOLICIOUS</t>
  </si>
  <si>
    <t>BLIC</t>
  </si>
  <si>
    <t>ENCORE</t>
  </si>
  <si>
    <t>ENCO</t>
  </si>
  <si>
    <t>RIMBA BINGO</t>
  </si>
  <si>
    <t>RIMB</t>
  </si>
  <si>
    <t>CASH CLOCK</t>
  </si>
  <si>
    <t>$CLK</t>
  </si>
  <si>
    <t>RODEO BINGO</t>
  </si>
  <si>
    <t>RODB</t>
  </si>
  <si>
    <t>CATCH THE GOLD</t>
  </si>
  <si>
    <t>CATG</t>
  </si>
  <si>
    <t>EVERI</t>
  </si>
  <si>
    <t>EVER</t>
  </si>
  <si>
    <t>ROMA BINGO</t>
  </si>
  <si>
    <t>ROMB</t>
  </si>
  <si>
    <t>CHAMPION BINGO</t>
  </si>
  <si>
    <t>CHBIN</t>
  </si>
  <si>
    <t>FBM RODILLOS</t>
  </si>
  <si>
    <t>ROYAL TRIPLE</t>
  </si>
  <si>
    <t>RT</t>
  </si>
  <si>
    <t>CHICHEN ITZA</t>
  </si>
  <si>
    <t>CHIT</t>
  </si>
  <si>
    <t>GAME MEDIA WORKS</t>
  </si>
  <si>
    <t>GMW</t>
  </si>
  <si>
    <t>SIX BINGO</t>
  </si>
  <si>
    <t>SIXB</t>
  </si>
  <si>
    <t>EASY MONEY BINGO</t>
  </si>
  <si>
    <t>EMB</t>
  </si>
  <si>
    <t>GAMES UNLIMITED</t>
  </si>
  <si>
    <t>GU</t>
  </si>
  <si>
    <t>SKY BONUS</t>
  </si>
  <si>
    <t>SKB</t>
  </si>
  <si>
    <t>GOLD FEVER</t>
  </si>
  <si>
    <t>GLDF</t>
  </si>
  <si>
    <t>GAMINATOR</t>
  </si>
  <si>
    <t>GTOR</t>
  </si>
  <si>
    <t>SMASH BINGO</t>
  </si>
  <si>
    <t>SMB</t>
  </si>
  <si>
    <t>GOLDEN BALL</t>
  </si>
  <si>
    <t>GBALL</t>
  </si>
  <si>
    <t>GOLDEN GAMING</t>
  </si>
  <si>
    <t>GGAM</t>
  </si>
  <si>
    <t>TAJ BINGO</t>
  </si>
  <si>
    <t>TAJ</t>
  </si>
  <si>
    <t>GOLDEN CITY</t>
  </si>
  <si>
    <t>GCT</t>
  </si>
  <si>
    <t>GOLDEN SYSTEM</t>
  </si>
  <si>
    <t>GSYM</t>
  </si>
  <si>
    <t>TOP PREMIUM</t>
  </si>
  <si>
    <t>TOP</t>
  </si>
  <si>
    <t>GOLDEN LUCK</t>
  </si>
  <si>
    <t>GLK</t>
  </si>
  <si>
    <t>GT SOURCE</t>
  </si>
  <si>
    <t>GTS</t>
  </si>
  <si>
    <t>TOWER LINK</t>
  </si>
  <si>
    <t>TLINK</t>
  </si>
  <si>
    <t>GOLDEN METROPOLIS</t>
  </si>
  <si>
    <t>GMET</t>
  </si>
  <si>
    <t>HEAL TECNOLOGY</t>
  </si>
  <si>
    <t>HTEC</t>
  </si>
  <si>
    <t>GOLDEN NEW YEAR</t>
  </si>
  <si>
    <t>GNWY</t>
  </si>
  <si>
    <t>ID GAMMING</t>
  </si>
  <si>
    <t>IDG</t>
  </si>
  <si>
    <t>TRIPLE BONUS PLUS</t>
  </si>
  <si>
    <t>TBP</t>
  </si>
  <si>
    <t>HUNT BINGO</t>
  </si>
  <si>
    <t>HB</t>
  </si>
  <si>
    <t>TRIPLE BONUS PRIME</t>
  </si>
  <si>
    <t>TBPm</t>
  </si>
  <si>
    <t>ICE BLAST</t>
  </si>
  <si>
    <t>ICEB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</si>
  <si>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</si>
  <si>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</si>
  <si>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</si>
  <si>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</si>
  <si>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</si>
  <si>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</si>
  <si>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</si>
  <si>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</si>
  <si>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</si>
  <si>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TM</t>
  </si>
  <si>
    <t>MAGIC CHAMPION</t>
  </si>
  <si>
    <t>MGCH</t>
  </si>
  <si>
    <t>INTERBLOCK</t>
  </si>
  <si>
    <t>INTB</t>
  </si>
  <si>
    <t>TRIPLE MANIA BONUS</t>
  </si>
  <si>
    <t>TMB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</si>
  <si>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</si>
  <si>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</si>
  <si>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</si>
  <si>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</si>
  <si>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</si>
  <si>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</si>
  <si>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</si>
  <si>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</si>
  <si>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JAMES</t>
  </si>
  <si>
    <t>JMES</t>
  </si>
  <si>
    <t>TRIPLE MANIA BONUS PRIME</t>
  </si>
  <si>
    <t>TMBPm</t>
  </si>
  <si>
    <t>MASSKARA BINGO</t>
  </si>
  <si>
    <t>MSKB</t>
  </si>
  <si>
    <t>ENERGY LINK</t>
  </si>
  <si>
    <t>JESTRE</t>
  </si>
  <si>
    <t>JES</t>
  </si>
  <si>
    <t>TRIPLE TURBO</t>
  </si>
  <si>
    <t>TT</t>
  </si>
  <si>
    <t>MAYA</t>
  </si>
  <si>
    <t>MY</t>
  </si>
  <si>
    <t>JVL</t>
  </si>
  <si>
    <t>VIKINGS GOLD</t>
  </si>
  <si>
    <t>VKG</t>
  </si>
  <si>
    <t>MEDIEVAL BINGO</t>
  </si>
  <si>
    <t>MDVB</t>
  </si>
  <si>
    <t>KONAMI</t>
  </si>
  <si>
    <t>WHITE TIGER BINGO</t>
  </si>
  <si>
    <t>WTB</t>
  </si>
  <si>
    <t>MEGA 25</t>
  </si>
  <si>
    <t>MG25</t>
  </si>
  <si>
    <t>LEGENDARY GAMING/BAUM GAMES</t>
  </si>
  <si>
    <t>BAUM</t>
  </si>
  <si>
    <t>TOTAL EIBE</t>
  </si>
  <si>
    <t>MEGA CHAMPION</t>
  </si>
  <si>
    <t>MCHAM</t>
  </si>
  <si>
    <t>MERKUR</t>
  </si>
  <si>
    <t>TOTAL MUEBLE O-FUTURE</t>
  </si>
  <si>
    <t>O-FUT</t>
  </si>
  <si>
    <t>MULTI BINGO</t>
  </si>
  <si>
    <t>MB</t>
  </si>
  <si>
    <t>TOTAL ENERGY LINK</t>
  </si>
  <si>
    <t>MULTI MEDIA GAMES</t>
  </si>
  <si>
    <t>MMG</t>
  </si>
  <si>
    <t>MULTI CHAMPION BONUS</t>
  </si>
  <si>
    <t>MCHB</t>
  </si>
  <si>
    <t>NOVOMATIC</t>
  </si>
  <si>
    <t>NOV</t>
  </si>
  <si>
    <t>MULTI CHANCE</t>
  </si>
  <si>
    <t>MCH</t>
  </si>
  <si>
    <t>OPERADORA CLASS LK</t>
  </si>
  <si>
    <t>CLASSLK</t>
  </si>
  <si>
    <t>20 GRATIS</t>
  </si>
  <si>
    <t>20G</t>
  </si>
  <si>
    <t>MULTI MEGA</t>
  </si>
  <si>
    <t>MM</t>
  </si>
  <si>
    <t>ENERGY LINK 3x5</t>
  </si>
  <si>
    <t>ORION</t>
  </si>
  <si>
    <t>ORI</t>
  </si>
  <si>
    <t>ASTRAL</t>
  </si>
  <si>
    <t>ASTRA</t>
  </si>
  <si>
    <t>MULTI MEGA BONUS</t>
  </si>
  <si>
    <t>MMB</t>
  </si>
  <si>
    <t>PAULA</t>
  </si>
  <si>
    <t>PAU</t>
  </si>
  <si>
    <t>AVE CAESAR GRATIS</t>
  </si>
  <si>
    <t>ACG</t>
  </si>
  <si>
    <t>MULTI MEGA ICE BLAST</t>
  </si>
  <si>
    <t>MMIB</t>
  </si>
  <si>
    <t>PRIOR 2 ARRIVAL</t>
  </si>
  <si>
    <t>P2A</t>
  </si>
  <si>
    <t>BINGO IMPERIUM XII</t>
  </si>
  <si>
    <t>IMP XII</t>
  </si>
  <si>
    <t>MULTI MEGA MILLONAIRE</t>
  </si>
  <si>
    <t>MMBM</t>
  </si>
  <si>
    <t>PROMATIC</t>
  </si>
  <si>
    <t>PMAT</t>
  </si>
  <si>
    <t>BINGO TOP GRATIS</t>
  </si>
  <si>
    <t>BNTG</t>
  </si>
  <si>
    <t>MULTI PLUS</t>
  </si>
  <si>
    <t>MP</t>
  </si>
  <si>
    <t>TOTAL ENERGY LINK 3x5</t>
  </si>
  <si>
    <t>RCT</t>
  </si>
  <si>
    <t>BOMBA MULTI GAME</t>
  </si>
  <si>
    <t>BMG</t>
  </si>
  <si>
    <t>MULTI PLUS BONUS</t>
  </si>
  <si>
    <t>MPB</t>
  </si>
  <si>
    <t>SB</t>
  </si>
  <si>
    <t>DOBLE GRATIS</t>
  </si>
  <si>
    <t>DMG</t>
  </si>
  <si>
    <t>PLUS 3</t>
  </si>
  <si>
    <t>P3</t>
  </si>
  <si>
    <t>LIGHT &amp; WONDER</t>
  </si>
  <si>
    <t>DOBLE MANIA</t>
  </si>
  <si>
    <t>DM</t>
  </si>
  <si>
    <t>PLUS 3 BONUS</t>
  </si>
  <si>
    <t>P3B</t>
  </si>
  <si>
    <t>ENERGY KING 3x4</t>
  </si>
  <si>
    <t>SCORPIO GAMING INTERNATIONAL</t>
  </si>
  <si>
    <t>SGINT</t>
  </si>
  <si>
    <t>FUSION LINK</t>
  </si>
  <si>
    <t>FLINK</t>
  </si>
  <si>
    <t>PLUS 3 MULTI</t>
  </si>
  <si>
    <t>P3M</t>
  </si>
  <si>
    <t>SEGA SAMMY CREATION</t>
  </si>
  <si>
    <t>SAMMY</t>
  </si>
  <si>
    <t>IMPERIUM</t>
  </si>
  <si>
    <t>RACINGO</t>
  </si>
  <si>
    <t>RACNG</t>
  </si>
  <si>
    <t>SHOWBALL RODILLOS</t>
  </si>
  <si>
    <t>SHOWRO</t>
  </si>
  <si>
    <t>IMPERIUM GRATIS</t>
  </si>
  <si>
    <t>IMG</t>
  </si>
  <si>
    <t>ROCK STAR</t>
  </si>
  <si>
    <t>RKS</t>
  </si>
  <si>
    <t>SLEIC RODILLOS</t>
  </si>
  <si>
    <t>SLERO</t>
  </si>
  <si>
    <t>JOKER MEX</t>
  </si>
  <si>
    <t>JKM</t>
  </si>
  <si>
    <t>RUBINGO</t>
  </si>
  <si>
    <t>RBGO</t>
  </si>
  <si>
    <t>SPIELO</t>
  </si>
  <si>
    <t>SPLO</t>
  </si>
  <si>
    <t>JOKER WIN</t>
  </si>
  <si>
    <t>JKW</t>
  </si>
  <si>
    <t>SANDS OF FORTUNE</t>
  </si>
  <si>
    <t>SOFE</t>
  </si>
  <si>
    <t xml:space="preserve">TOTAL ENERGY KING
</t>
  </si>
  <si>
    <t>TECNOVISION</t>
  </si>
  <si>
    <t>TCNO</t>
  </si>
  <si>
    <t>L´AMOR</t>
  </si>
  <si>
    <t>L´A</t>
  </si>
  <si>
    <t>THE KING</t>
  </si>
  <si>
    <t>KNG</t>
  </si>
  <si>
    <t>VEGAVISION</t>
  </si>
  <si>
    <t>VEGA</t>
  </si>
  <si>
    <t>LA VIDENTE</t>
  </si>
  <si>
    <t>LAV</t>
  </si>
  <si>
    <t>TREASURE BINGO</t>
  </si>
  <si>
    <t>TRB</t>
  </si>
  <si>
    <t>VGT</t>
  </si>
  <si>
    <t>LAST MANIA</t>
  </si>
  <si>
    <t>LM</t>
  </si>
  <si>
    <t>UNDERWATER RICHES</t>
  </si>
  <si>
    <t>UNDW</t>
  </si>
  <si>
    <t>ENERGY KING 3x5</t>
  </si>
  <si>
    <t>WINPOT / DREIDEL SL</t>
  </si>
  <si>
    <t>LONDON PLAY</t>
  </si>
  <si>
    <t>LONP</t>
  </si>
  <si>
    <t>VIVA MEXICO</t>
  </si>
  <si>
    <t>VM</t>
  </si>
  <si>
    <t>WIN SYSTEM</t>
  </si>
  <si>
    <t>MEPHISTOFELES</t>
  </si>
  <si>
    <t>MEPH</t>
  </si>
  <si>
    <t>VOLCANO</t>
  </si>
  <si>
    <t>VOLC</t>
  </si>
  <si>
    <t>OTROS SLOTS</t>
  </si>
  <si>
    <t>OTROS SL</t>
  </si>
  <si>
    <t>MEXICAN GAME</t>
  </si>
  <si>
    <t>MEXG</t>
  </si>
  <si>
    <t>TOTAL FBM</t>
  </si>
  <si>
    <t>MILLION +</t>
  </si>
  <si>
    <t>ML</t>
  </si>
  <si>
    <t>TOTAL ENERGY KING 3x5</t>
  </si>
  <si>
    <t>MULTI CHOICE</t>
  </si>
  <si>
    <t>MULTICH</t>
  </si>
  <si>
    <t>MULTI CLASSIC</t>
  </si>
  <si>
    <t>MCLS</t>
  </si>
  <si>
    <t>30 FUNNY CARS</t>
  </si>
  <si>
    <t>30FCRS</t>
  </si>
  <si>
    <t>PRIMA</t>
  </si>
  <si>
    <t>PRI</t>
  </si>
  <si>
    <t>ATLANTIS BINGO</t>
  </si>
  <si>
    <t>AB</t>
  </si>
  <si>
    <t>TOTAL NO FUMAR</t>
  </si>
  <si>
    <t>QUEEN ROULETTE</t>
  </si>
  <si>
    <t>QR</t>
  </si>
  <si>
    <t>BEACH FIESTA BINGO</t>
  </si>
  <si>
    <t>BCHF</t>
  </si>
  <si>
    <t>TNT</t>
  </si>
  <si>
    <t>BINGO BANG THEORY</t>
  </si>
  <si>
    <t>BBT</t>
  </si>
  <si>
    <t>TOP MANIA</t>
  </si>
  <si>
    <t>TOM</t>
  </si>
  <si>
    <t>BING BUZO</t>
  </si>
  <si>
    <t>BBUZO</t>
  </si>
  <si>
    <t>TOT IMPERIUM</t>
  </si>
  <si>
    <t>TOTI</t>
  </si>
  <si>
    <t>BINGO DE LOS CIELOS</t>
  </si>
  <si>
    <t>BCIELOS</t>
  </si>
  <si>
    <t>TABLA DE SIGNS BINGO</t>
  </si>
  <si>
    <t>XII CAESARES</t>
  </si>
  <si>
    <t>XII</t>
  </si>
  <si>
    <t>BINGO SAURUS</t>
  </si>
  <si>
    <t>BS</t>
  </si>
  <si>
    <t>TRIPLE X BOOM</t>
  </si>
  <si>
    <t>XXX B</t>
  </si>
  <si>
    <t>BINVADERS</t>
  </si>
  <si>
    <t>BINV</t>
  </si>
  <si>
    <t>TOTAL METRONIA</t>
  </si>
  <si>
    <t>COPA CABANA</t>
  </si>
  <si>
    <t>COPC</t>
  </si>
  <si>
    <t>TOTAL SIGNS SALA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</si>
  <si>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</si>
  <si>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</si>
  <si>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</si>
  <si>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</si>
  <si>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</si>
  <si>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</si>
  <si>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</si>
  <si>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CRAZY CACTUS BINGO</t>
  </si>
  <si>
    <t>CCB</t>
  </si>
  <si>
    <t>EL PESERO</t>
  </si>
  <si>
    <t>PESE</t>
  </si>
  <si>
    <t>FRAMELESS</t>
  </si>
  <si>
    <t>DYNAMITE BINGO</t>
  </si>
  <si>
    <t>DYB</t>
  </si>
  <si>
    <t>FUNNY CARS</t>
  </si>
  <si>
    <t>FCRS</t>
  </si>
  <si>
    <t>DRAGON WIN 1 CARA</t>
  </si>
  <si>
    <t>SIGN DW-1</t>
  </si>
  <si>
    <t>TOTAL JESTRONIC</t>
  </si>
  <si>
    <t>FUNNY CARS CLASSIC</t>
  </si>
  <si>
    <t>FCRC</t>
  </si>
  <si>
    <t>ENERGY KING 1 CARA</t>
  </si>
  <si>
    <t>SIGN EK-1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</si>
  <si>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</si>
  <si>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</si>
  <si>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</si>
  <si>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</si>
  <si>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</si>
  <si>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</si>
  <si>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</si>
  <si>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</si>
  <si>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R.FRANCO</t>
  </si>
  <si>
    <t>IMPERIAL BINGO</t>
  </si>
  <si>
    <t>IMB</t>
  </si>
  <si>
    <t>ENERGY KING 2 CARAS</t>
  </si>
  <si>
    <t>SIGN EK-2</t>
  </si>
  <si>
    <t xml:space="preserve"> BINGO CARAMEL</t>
  </si>
  <si>
    <t>BC</t>
  </si>
  <si>
    <t>IMPERIAL PALACE</t>
  </si>
  <si>
    <t>IMP</t>
  </si>
  <si>
    <t>ENERGY LINK 2 CARAS</t>
  </si>
  <si>
    <t>SIGN EL-2</t>
  </si>
  <si>
    <t>10 VECES BINGO</t>
  </si>
  <si>
    <t>10VB</t>
  </si>
  <si>
    <t>JOCKEY MANIA</t>
  </si>
  <si>
    <t>JOKCM</t>
  </si>
  <si>
    <t>5 DIAMANTES</t>
  </si>
  <si>
    <t>5D</t>
  </si>
  <si>
    <t>LA MINA DE LA SUERTE 20</t>
  </si>
  <si>
    <t>MS20</t>
  </si>
  <si>
    <t>BINGO LINK</t>
  </si>
  <si>
    <t>BON VOYAGE</t>
  </si>
  <si>
    <t>BV</t>
  </si>
  <si>
    <t>MAGIC 60</t>
  </si>
  <si>
    <t>MGC60</t>
  </si>
  <si>
    <t>SIGN BLDW-1</t>
  </si>
  <si>
    <t>CONECTA BINGO</t>
  </si>
  <si>
    <t>CB</t>
  </si>
  <si>
    <t>MULTI DRAGON</t>
  </si>
  <si>
    <t>MDRA</t>
  </si>
  <si>
    <t>SIGN BLEK-1</t>
  </si>
  <si>
    <t>CONFIDENTIAL</t>
  </si>
  <si>
    <t>CF</t>
  </si>
  <si>
    <t>MULTI JUEGO</t>
  </si>
  <si>
    <t>MULTJ</t>
  </si>
  <si>
    <t>SIGN BLEL-1</t>
  </si>
  <si>
    <t>RICH BINGO</t>
  </si>
  <si>
    <t>RCHB</t>
  </si>
  <si>
    <t>ORIGINAL BINGO</t>
  </si>
  <si>
    <t>OBGO</t>
  </si>
  <si>
    <t>SHOW TIME 1 CARA</t>
  </si>
  <si>
    <t>SIGN BLSWT-1</t>
  </si>
  <si>
    <t>TOTAL R.FRANCO</t>
  </si>
  <si>
    <t>ORIGINAL BINGO JAZZ</t>
  </si>
  <si>
    <t>OBGOJAZZ</t>
  </si>
  <si>
    <t>SIGN BLDW-2</t>
  </si>
  <si>
    <t>PLUS MANIA</t>
  </si>
  <si>
    <t>PMANIA</t>
  </si>
  <si>
    <t>ENERGY KING / ENERGY LINK 2 CARAS</t>
  </si>
  <si>
    <t>MAGIC CHINA</t>
  </si>
  <si>
    <t>MCHINA</t>
  </si>
  <si>
    <t>SIGN BLEK-2</t>
  </si>
  <si>
    <t>RA MANIA</t>
  </si>
  <si>
    <t>SIGN BLEL-2</t>
  </si>
  <si>
    <t>CANDY PRIZE</t>
  </si>
  <si>
    <t>CNYPRZ</t>
  </si>
  <si>
    <t>SAFARI RACE</t>
  </si>
  <si>
    <t>SR</t>
  </si>
  <si>
    <t>SHOW TIME 2 CARAS</t>
  </si>
  <si>
    <t>SIGN BLSWT-2</t>
  </si>
  <si>
    <t>DREIDEL</t>
  </si>
  <si>
    <t>SATURN 8</t>
  </si>
  <si>
    <t>S8</t>
  </si>
  <si>
    <t>DRAGON WIN / LINK ME 2 CARAS</t>
  </si>
  <si>
    <t>SIGN BLDW/LM-2</t>
  </si>
  <si>
    <t>FIRE AND ICE</t>
  </si>
  <si>
    <t>FANDI</t>
  </si>
  <si>
    <t>SPIN GOAL</t>
  </si>
  <si>
    <t>SPGOAL</t>
  </si>
  <si>
    <t>DRAGON WIN/ ENERGY KING 2 CARAS</t>
  </si>
  <si>
    <t>SIGN BLDW/EK-2</t>
  </si>
  <si>
    <t>FIRE LINK</t>
  </si>
  <si>
    <t>FRELK</t>
  </si>
  <si>
    <t>STORM LINK</t>
  </si>
  <si>
    <t>STRLINK</t>
  </si>
  <si>
    <t>DRAGON WIN/ ENERGY LINK 2 CARAS</t>
  </si>
  <si>
    <t>SIGN BLDW/EL-2</t>
  </si>
  <si>
    <t>FREDDY WHEEL BINGO</t>
  </si>
  <si>
    <t>FREDWBINGO</t>
  </si>
  <si>
    <t>SWEET BINGO</t>
  </si>
  <si>
    <t>SWEETB</t>
  </si>
  <si>
    <t>DRAGON WIN / SHOW TIME FASE 5  2 CARAS</t>
  </si>
  <si>
    <t>SIGN BLDW/STF5-2</t>
  </si>
  <si>
    <t>JA PON PON</t>
  </si>
  <si>
    <t>JPON</t>
  </si>
  <si>
    <t>SWITCH LINK</t>
  </si>
  <si>
    <t>STLINK</t>
  </si>
  <si>
    <t>LUCKY DRAGON</t>
  </si>
  <si>
    <t>LKYDRGN</t>
  </si>
  <si>
    <t>TIME 4 BONUS</t>
  </si>
  <si>
    <t>T4B</t>
  </si>
  <si>
    <t>BLAZING PEARLS</t>
  </si>
  <si>
    <t>LUCKY WIZARD</t>
  </si>
  <si>
    <t>LKYWRD</t>
  </si>
  <si>
    <t>WONDER BINGO</t>
  </si>
  <si>
    <t>WBING</t>
  </si>
  <si>
    <t>SIGN BPDW-1</t>
  </si>
  <si>
    <t>MARDI JAZZ</t>
  </si>
  <si>
    <t>MARDIJ</t>
  </si>
  <si>
    <t>YETI (ICE CREAM)</t>
  </si>
  <si>
    <t>YETI</t>
  </si>
  <si>
    <t>SIGN BPEK-1</t>
  </si>
  <si>
    <t>SEA FORTUNES</t>
  </si>
  <si>
    <t>SEAFORT</t>
  </si>
  <si>
    <t>TOTAL SLEIC</t>
  </si>
  <si>
    <t>SIGN BPEL-1</t>
  </si>
  <si>
    <t>THE 7 KINGDOMS</t>
  </si>
  <si>
    <t>7KDOMS</t>
  </si>
  <si>
    <t>SIGN BPDW-2</t>
  </si>
  <si>
    <t>TINO</t>
  </si>
  <si>
    <t>SIGN BPEK-2</t>
  </si>
  <si>
    <t>TINO 60s</t>
  </si>
  <si>
    <t>TINO60s</t>
  </si>
  <si>
    <t xml:space="preserve">PACHINKO </t>
  </si>
  <si>
    <t>PKI</t>
  </si>
  <si>
    <t>SIGN BPEL-2</t>
  </si>
  <si>
    <t>TINO CHINA</t>
  </si>
  <si>
    <t>PACHINKO II</t>
  </si>
  <si>
    <t>PKII</t>
  </si>
  <si>
    <t>WEST WEST BINGO</t>
  </si>
  <si>
    <t>WWBINGO</t>
  </si>
  <si>
    <t>TOTAL PACHINKO</t>
  </si>
  <si>
    <t>ZITRO</t>
  </si>
  <si>
    <t>WINNING RAINBOWS</t>
  </si>
  <si>
    <t>WRBWS</t>
  </si>
  <si>
    <t>SIGN ZITRODW-1</t>
  </si>
  <si>
    <t>TOTAL WINPOT</t>
  </si>
  <si>
    <t>SIGN ZITRODW-2</t>
  </si>
  <si>
    <t>BINGO BINGO</t>
  </si>
  <si>
    <t>BINB</t>
  </si>
  <si>
    <t>BINGO DE LA PASION</t>
  </si>
  <si>
    <t>BPS</t>
  </si>
  <si>
    <t>ONIX</t>
  </si>
  <si>
    <t>JUKEBOX BINGO</t>
  </si>
  <si>
    <t>JBB</t>
  </si>
  <si>
    <t>SIGN ONIXDW-1</t>
  </si>
  <si>
    <t>SALSA BINGO</t>
  </si>
  <si>
    <t>SBO</t>
  </si>
  <si>
    <t>SIGN ONIXDW-2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</si>
  <si>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</si>
  <si>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</si>
  <si>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</si>
  <si>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</si>
  <si>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</si>
  <si>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</si>
  <si>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</si>
  <si>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</si>
  <si>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</si>
  <si>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PARK BINGO</t>
  </si>
  <si>
    <t>PKB</t>
  </si>
  <si>
    <t>BLUEBERI</t>
  </si>
  <si>
    <t>STEEL BINGO</t>
  </si>
  <si>
    <t>STLB</t>
  </si>
  <si>
    <t>TOTAL BLUBERI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</si>
  <si>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</si>
  <si>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</si>
  <si>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</si>
  <si>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</si>
  <si>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</si>
  <si>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</si>
  <si>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</si>
  <si>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</si>
  <si>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TOTAL LATINA WORLD GAMING</t>
  </si>
  <si>
    <t>VIVA</t>
  </si>
  <si>
    <t>TOTAL INTERVISION</t>
  </si>
  <si>
    <t>JALAPEÑO</t>
  </si>
  <si>
    <t>JPÑO</t>
  </si>
  <si>
    <t>BINGO BRAVO</t>
  </si>
  <si>
    <t>BBRAVO</t>
  </si>
  <si>
    <t>AEROBINGO</t>
  </si>
  <si>
    <t>AEROB</t>
  </si>
  <si>
    <t>PIRATES</t>
  </si>
  <si>
    <t>PIR</t>
  </si>
  <si>
    <t>TOTAL JCB GAMING</t>
  </si>
  <si>
    <t>LUCHA LIBRE</t>
  </si>
  <si>
    <t>LLIBRE</t>
  </si>
  <si>
    <t>SONORA DESERT</t>
  </si>
  <si>
    <t>SDESERT</t>
  </si>
  <si>
    <t>TESORO DEL ARTICO</t>
  </si>
  <si>
    <t>TARTICO</t>
  </si>
  <si>
    <t>MAXCOTA</t>
  </si>
  <si>
    <t>MXTA</t>
  </si>
  <si>
    <t>TROPICANA</t>
  </si>
  <si>
    <t>TROPIC</t>
  </si>
  <si>
    <t>MONSTER</t>
  </si>
  <si>
    <t>MNST</t>
  </si>
  <si>
    <t>POKER REVOLUTION</t>
  </si>
  <si>
    <t>PKREV</t>
  </si>
  <si>
    <t>ROYAL BINGO</t>
  </si>
  <si>
    <t>RYBG</t>
  </si>
  <si>
    <t>BLACK JACK</t>
  </si>
  <si>
    <t>BJ</t>
  </si>
  <si>
    <t>TROPI CALIENTE</t>
  </si>
  <si>
    <t>TRPC</t>
  </si>
  <si>
    <t>KENO</t>
  </si>
  <si>
    <t>KNO</t>
  </si>
  <si>
    <t>TOTAL AMBRA GAMING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</si>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</sst>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.00_);[Red]\(&quot;$&quot;#,##0.00\)"/>
    <numFmt numFmtId="171" formatCode="_-* #,##0\ _€_-;\-* #,##0\ _€_-;_-* &quot;-&quot;\ _€_-;_-@_-"/>
    <numFmt numFmtId="172" formatCode="h:mm;@"/>
    <numFmt numFmtId="173" formatCode="_(* #,##0_);_(* \(#,##0\);_(* &quot;-&quot;_);_(@_)"/>
    <numFmt numFmtId="174" formatCode="0000000"/>
  </numFmts>
  <fonts count="15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222222"/>
      <name val="Arial"/>
      <family val="2"/>
    </font>
    <font>
      <b/>
      <sz val="14"/>
      <color rgb="FF000000"/>
      <name val="Arial"/>
      <family val="2"/>
    </font>
    <font>
      <b/>
      <sz val="14"/>
      <color rgb="FF9E0400"/>
      <name val="Arial"/>
      <family val="2"/>
    </font>
    <font>
      <b/>
      <sz val="14"/>
      <color rgb="FF333F4F"/>
      <name val="Arial"/>
      <family val="2"/>
    </font>
    <font>
      <b/>
      <sz val="14"/>
      <color rgb="FF0070C0"/>
      <name val="Arial"/>
      <family val="2"/>
    </font>
    <font>
      <b/>
      <sz val="14"/>
      <color rgb="FF92D050"/>
      <name val="Arial"/>
      <family val="2"/>
    </font>
    <font>
      <b/>
      <sz val="14"/>
      <color theme="3" tint="-0.499984740745262"/>
      <name val="Arial"/>
      <family val="2"/>
    </font>
    <font>
      <b/>
      <sz val="14"/>
      <color rgb="FFFFC000"/>
      <name val="Arial"/>
      <family val="2"/>
    </font>
    <font>
      <b/>
      <sz val="14"/>
      <color rgb="FF222B35"/>
      <name val="Arial"/>
      <family val="2"/>
    </font>
    <font>
      <b/>
      <sz val="14"/>
      <color rgb="FFFF0000"/>
      <name val="Arial"/>
      <family val="2"/>
    </font>
    <font>
      <b/>
      <sz val="14"/>
      <color rgb="FF806000"/>
      <name val="Arial"/>
      <family val="2"/>
    </font>
    <font>
      <b/>
      <sz val="14"/>
      <color theme="5"/>
      <name val="Arial"/>
      <family val="2"/>
    </font>
    <font>
      <b/>
      <sz val="14"/>
      <color rgb="FFFFFF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4"/>
      <color rgb="FFC00000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3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8"/>
      <color theme="0"/>
      <name val="Calibri"/>
      <family val="2"/>
    </font>
    <font>
      <b/>
      <sz val="12"/>
      <color rgb="FFDDDDDD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494429"/>
      <name val="Calibri"/>
      <family val="2"/>
    </font>
    <font>
      <b/>
      <sz val="12"/>
      <color indexed="9"/>
      <name val="Arial"/>
      <family val="2"/>
    </font>
    <font>
      <b/>
      <sz val="14"/>
      <color rgb="FF568FD4"/>
      <name val="Calibri"/>
      <family val="2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</font>
    <font>
      <b/>
      <sz val="10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12"/>
      <color indexed="62"/>
      <name val="Arial"/>
      <family val="2"/>
    </font>
    <font>
      <b/>
      <sz val="10"/>
      <color rgb="FFFF0000"/>
      <name val="Calibri"/>
      <family val="2"/>
    </font>
    <font>
      <b/>
      <sz val="14"/>
      <color rgb="FFFFFFFF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4"/>
      <color indexed="8"/>
      <name val="Calibri"/>
      <family val="2"/>
    </font>
    <font>
      <b/>
      <sz val="12"/>
      <color theme="2" tint="-0.74999237037263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0"/>
      <color rgb="FF568FD4"/>
      <name val="Calibri"/>
      <family val="2"/>
    </font>
    <font>
      <b/>
      <sz val="12"/>
      <color theme="0"/>
      <name val="Arial"/>
      <family val="2"/>
    </font>
    <font>
      <sz val="10"/>
      <name val="Calibri"/>
      <family val="2"/>
    </font>
    <font>
      <b/>
      <sz val="14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0"/>
      <name val="Calibri"/>
      <family val="2"/>
    </font>
    <font>
      <b/>
      <sz val="16"/>
      <color rgb="FF000000"/>
      <name val="Arial"/>
      <family val="2"/>
    </font>
    <font>
      <b/>
      <sz val="16"/>
      <color indexed="1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8"/>
      <color theme="0"/>
      <name val="Calibri"/>
      <family val="2"/>
      <scheme val="minor"/>
    </font>
    <font>
      <b/>
      <sz val="16"/>
      <name val="Arial"/>
      <family val="2"/>
    </font>
    <font>
      <b/>
      <sz val="16"/>
      <name val="Calibri"/>
      <family val="2"/>
      <scheme val="minor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name val="Arial"/>
      <family val="2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12"/>
      <color rgb="FFFFFF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1"/>
      <name val="Arial"/>
      <family val="2"/>
    </font>
    <font>
      <b/>
      <sz val="12"/>
      <color theme="7" tint="-0.499984740745262"/>
      <name val="Arial"/>
      <family val="2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7030A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2"/>
      <color rgb="FF990000"/>
      <name val="Calibri"/>
      <family val="2"/>
      <scheme val="minor"/>
    </font>
    <font>
      <sz val="14"/>
      <name val="Arial"/>
      <family val="2"/>
    </font>
    <font>
      <b/>
      <sz val="12"/>
      <color theme="6" tint="-0.249977111117893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theme="8" tint="0.79998168889431442"/>
      <name val="Arial"/>
      <family val="2"/>
    </font>
    <font>
      <b/>
      <sz val="12"/>
      <color rgb="FFFFC000"/>
      <name val="Arial"/>
      <family val="2"/>
    </font>
    <font>
      <b/>
      <sz val="12"/>
      <color rgb="FFC00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2"/>
      <color rgb="FF00B0F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29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F3F"/>
        <bgColor indexed="64"/>
      </patternFill>
    </fill>
    <fill>
      <patternFill patternType="solid">
        <fgColor rgb="FFFF600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B57298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BC0B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A86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D66F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A8A5A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patternFill patternType="solid">
        <fgColor rgb="FF333F4F"/>
        <bgColor indexed="64"/>
      </patternFill>
    </fill>
    <fill>
      <patternFill patternType="solid">
        <fgColor rgb="FF73EFEF"/>
        <bgColor indexed="64"/>
      </patternFill>
    </fill>
    <fill>
      <patternFill patternType="solid">
        <fgColor rgb="FFDA3F3D"/>
        <bgColor indexed="64"/>
      </patternFill>
    </fill>
    <fill>
      <patternFill patternType="solid">
        <fgColor rgb="FFC4984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Up">
        <fgColor rgb="FFE6B8B7"/>
        <bgColor theme="5" tint="0.39997558519241921"/>
      </patternFill>
    </fill>
    <fill>
      <patternFill patternType="solid">
        <fgColor theme="9" tint="-0.249977111117893"/>
        <bgColor indexed="64"/>
      </patternFill>
    </fill>
    <fill>
      <patternFill patternType="lightTrellis">
        <fgColor theme="9"/>
        <bgColor theme="9" tint="-0.499984740745262"/>
      </patternFill>
    </fill>
    <fill>
      <patternFill patternType="gray0625">
        <fgColor auto="1"/>
        <bgColor rgb="FFFF0000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patternFill patternType="lightDown">
        <fgColor theme="9"/>
        <bgColor theme="9" tint="0.39991454817346722"/>
      </patternFill>
    </fill>
    <fill>
      <patternFill patternType="lightTrellis">
        <fgColor theme="4" tint="-0.24994659260841701"/>
        <bgColor rgb="FFFFFF00"/>
      </patternFill>
    </fill>
    <fill>
      <patternFill patternType="gray0625">
        <fgColor theme="0"/>
        <bgColor rgb="FFC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E901C8"/>
        <bgColor indexed="64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rgb="FF9BBB59"/>
        <bgColor rgb="FF9BBB59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DE9D9"/>
        <bgColor rgb="FFFDE9D9"/>
      </patternFill>
    </fill>
    <fill>
      <patternFill patternType="solid">
        <fgColor rgb="FF5181BD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BC0D9"/>
        <bgColor rgb="FFCBC0D9"/>
      </patternFill>
    </fill>
    <fill>
      <patternFill patternType="solid">
        <fgColor rgb="FFFFFF00"/>
        <bgColor rgb="FFFFCC00"/>
      </patternFill>
    </fill>
    <fill>
      <patternFill patternType="solid">
        <fgColor rgb="FF953734"/>
        <bgColor rgb="FF95373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rgb="FF00B050"/>
      </patternFill>
    </fill>
    <fill>
      <patternFill patternType="solid">
        <fgColor theme="4" tint="0.39997558519241921"/>
        <bgColor indexed="31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B9CCE4"/>
        <bgColor rgb="FFB9CCE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642523"/>
        <bgColor rgb="FF64252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rgb="FF0066CC"/>
      </patternFill>
    </fill>
    <fill>
      <patternFill patternType="lightTrellis">
        <fgColor rgb="FFFF0000"/>
        <bgColor rgb="FFC0504D"/>
      </patternFill>
    </fill>
    <fill>
      <patternFill patternType="darkGrid">
        <fgColor rgb="FFFF0000"/>
        <bgColor rgb="FFFFC000"/>
      </patternFill>
    </fill>
    <fill>
      <patternFill patternType="solid">
        <fgColor rgb="FF0070C0"/>
        <bgColor rgb="FF0066CC"/>
      </patternFill>
    </fill>
    <fill>
      <patternFill patternType="solid">
        <fgColor theme="6" tint="-0.249977111117893"/>
        <bgColor rgb="FF642523"/>
      </patternFill>
    </fill>
    <fill>
      <patternFill patternType="solid">
        <fgColor rgb="FFC9077A"/>
        <bgColor indexed="3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7030A0"/>
        <bgColor rgb="FF800080"/>
      </patternFill>
    </fill>
    <fill>
      <patternFill patternType="lightHorizontal"/>
    </fill>
    <fill>
      <gradientFill>
        <stop position="0">
          <color rgb="FF66CCFF"/>
        </stop>
        <stop position="0.5">
          <color theme="8" tint="-0.49803155613879818"/>
        </stop>
        <stop position="1">
          <color rgb="FF66CCFF"/>
        </stop>
      </gradientFill>
    </fill>
    <fill>
      <patternFill patternType="solid">
        <fgColor rgb="FFFFFF00"/>
        <bgColor rgb="FFFFFFFF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theme="7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FF0000"/>
        <bgColor rgb="FFFFCC00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92D050"/>
        <bgColor rgb="FFFFCC00"/>
      </patternFill>
    </fill>
    <fill>
      <patternFill patternType="solid">
        <fgColor rgb="FF99CCFF"/>
        <bgColor rgb="FFCCCCFF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C00000"/>
        <bgColor rgb="FF0066CC"/>
      </patternFill>
    </fill>
    <fill>
      <patternFill patternType="solid">
        <fgColor theme="3" tint="0.39997558519241921"/>
        <bgColor rgb="FF0066CC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theme="4" tint="-0.499984740745262"/>
        <bgColor rgb="FF003366"/>
      </pattern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rgb="FFABE2A8"/>
        <bgColor indexed="64"/>
      </pattern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3" tint="0.59999389629810485"/>
        <bgColor rgb="FF0066CC"/>
      </pattern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patternFill patternType="solid">
        <fgColor theme="3" tint="0.39997558519241921"/>
        <bgColor indexed="64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solid">
        <fgColor theme="9" tint="-0.249977111117893"/>
        <bgColor rgb="FF0066CC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patternFill patternType="solid">
        <fgColor theme="4" tint="0.59999389629810485"/>
        <bgColor indexed="64"/>
      </pattern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4" tint="0.39997558519241921"/>
        <bgColor rgb="FF0066CC"/>
      </pattern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patternFill patternType="solid">
        <fgColor theme="9" tint="0.79998168889431442"/>
        <bgColor rgb="FF0066CC"/>
      </pattern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4" tint="0.39997558519241921"/>
        <bgColor auto="1"/>
      </patternFill>
    </fill>
    <fill>
      <patternFill patternType="solid">
        <fgColor theme="7"/>
        <bgColor rgb="FF0066CC"/>
      </patternFill>
    </fill>
    <fill>
      <patternFill patternType="solid">
        <fgColor theme="7" tint="-0.499984740745262"/>
        <bgColor rgb="FF993300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patternFill patternType="solid">
        <fgColor theme="9" tint="0.59999389629810485"/>
        <bgColor rgb="FF008080"/>
      </pattern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rgb="FF9900CC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0" tint="-0.249977111117893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8" tint="-0.249977111117893"/>
        <bgColor rgb="FF0000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auto="1"/>
      </diagonal>
    </border>
    <border>
      <left/>
      <right style="hair">
        <color indexed="64"/>
      </right>
      <top/>
      <bottom/>
      <diagonal/>
    </border>
    <border diagonalUp="1"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auto="1"/>
      </diagonal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Dashed">
        <color auto="1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 style="thin">
        <color rgb="FF000000"/>
      </bottom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256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0" applyNumberFormat="0" applyBorder="0" applyAlignment="0" applyProtection="0"/>
    <xf numFmtId="0" fontId="14" fillId="21" borderId="6" applyNumberFormat="0" applyAlignment="0" applyProtection="0"/>
    <xf numFmtId="0" fontId="15" fillId="22" borderId="7" applyNumberFormat="0" applyAlignment="0" applyProtection="0"/>
    <xf numFmtId="0" fontId="16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8" fillId="29" borderId="6" applyNumberFormat="0" applyAlignment="0" applyProtection="0"/>
    <xf numFmtId="0" fontId="5" fillId="0" borderId="0">
      <alignment vertical="top"/>
    </xf>
    <xf numFmtId="0" fontId="1" fillId="0" borderId="0"/>
    <xf numFmtId="0" fontId="7" fillId="3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20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1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" fillId="0" borderId="0"/>
    <xf numFmtId="0" fontId="22" fillId="0" borderId="0"/>
    <xf numFmtId="0" fontId="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11" fillId="0" borderId="0"/>
    <xf numFmtId="0" fontId="9" fillId="0" borderId="0">
      <alignment vertical="center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1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3" fillId="0" borderId="0" applyNumberFormat="0" applyBorder="0" applyProtection="0"/>
    <xf numFmtId="0" fontId="2" fillId="0" borderId="0">
      <alignment vertical="top"/>
    </xf>
    <xf numFmtId="0" fontId="2" fillId="0" borderId="0">
      <protection locked="0"/>
    </xf>
    <xf numFmtId="0" fontId="2" fillId="0" borderId="0"/>
    <xf numFmtId="0" fontId="2" fillId="0" borderId="0"/>
    <xf numFmtId="0" fontId="11" fillId="0" borderId="0"/>
    <xf numFmtId="0" fontId="23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1" fillId="0" borderId="0"/>
    <xf numFmtId="0" fontId="2" fillId="0" borderId="0">
      <alignment vertical="top"/>
    </xf>
    <xf numFmtId="0" fontId="5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5" fillId="0" borderId="0"/>
    <xf numFmtId="0" fontId="2" fillId="0" borderId="0">
      <alignment vertical="top"/>
    </xf>
    <xf numFmtId="0" fontId="10" fillId="0" borderId="0"/>
    <xf numFmtId="0" fontId="1" fillId="0" borderId="0"/>
    <xf numFmtId="0" fontId="11" fillId="0" borderId="0"/>
    <xf numFmtId="0" fontId="11" fillId="0" borderId="0"/>
    <xf numFmtId="0" fontId="2" fillId="0" borderId="0">
      <alignment vertical="top"/>
    </xf>
    <xf numFmtId="0" fontId="1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1" fillId="33" borderId="9" applyNumberFormat="0" applyFont="0" applyAlignment="0" applyProtection="0"/>
    <xf numFmtId="0" fontId="1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3" fillId="0" borderId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1" applyNumberFormat="0" applyFill="0" applyAlignment="0" applyProtection="0"/>
    <xf numFmtId="0" fontId="29" fillId="0" borderId="12" applyNumberFormat="0" applyFill="0" applyAlignment="0" applyProtection="0"/>
    <xf numFmtId="0" fontId="17" fillId="0" borderId="13" applyNumberFormat="0" applyFill="0" applyAlignment="0" applyProtection="0"/>
    <xf numFmtId="0" fontId="30" fillId="0" borderId="14" applyNumberFormat="0" applyFill="0" applyAlignment="0" applyProtection="0"/>
    <xf numFmtId="0" fontId="2" fillId="0" borderId="0">
      <protection locked="0"/>
    </xf>
    <xf numFmtId="0" fontId="23" fillId="0" borderId="0">
      <protection locked="0"/>
    </xf>
    <xf numFmtId="0" fontId="22" fillId="0" borderId="0"/>
    <xf numFmtId="0" fontId="22" fillId="0" borderId="0">
      <protection locked="0"/>
    </xf>
    <xf numFmtId="0" fontId="22" fillId="0" borderId="0">
      <protection locked="0"/>
    </xf>
    <xf numFmtId="0" fontId="10" fillId="0" borderId="0">
      <alignment vertical="top"/>
    </xf>
  </cellStyleXfs>
  <cellXfs count="1187">
    <xf numFmtId="0" fontId="0" fillId="0" borderId="0" xfId="0"/>
    <xf numFmtId="0" fontId="0" fillId="0" borderId="0" xfId="0" applyAlignment="1">
      <alignment horizontal="center"/>
    </xf>
    <xf numFmtId="0" fontId="34" fillId="38" borderId="1" xfId="0" applyFont="1" applyFill="1" applyBorder="1" applyAlignment="1">
      <alignment horizontal="center" vertical="center"/>
    </xf>
    <xf numFmtId="0" fontId="36" fillId="39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center" vertical="center"/>
    </xf>
    <xf numFmtId="0" fontId="34" fillId="45" borderId="1" xfId="0" applyFont="1" applyFill="1" applyBorder="1" applyAlignment="1">
      <alignment horizontal="center" vertical="center"/>
    </xf>
    <xf numFmtId="0" fontId="34" fillId="48" borderId="1" xfId="0" applyFont="1" applyFill="1" applyBorder="1" applyAlignment="1">
      <alignment horizontal="center" vertical="center"/>
    </xf>
    <xf numFmtId="0" fontId="37" fillId="49" borderId="1" xfId="0" applyFont="1" applyFill="1" applyBorder="1" applyAlignment="1">
      <alignment horizontal="center" vertical="center"/>
    </xf>
    <xf numFmtId="0" fontId="43" fillId="65" borderId="1" xfId="0" applyFont="1" applyFill="1" applyBorder="1" applyAlignment="1">
      <alignment horizontal="center" vertical="center"/>
    </xf>
    <xf numFmtId="0" fontId="44" fillId="66" borderId="1" xfId="150" applyFont="1" applyFill="1" applyBorder="1" applyAlignment="1">
      <alignment horizontal="center" vertical="center" shrinkToFit="1"/>
    </xf>
    <xf numFmtId="0" fontId="34" fillId="67" borderId="1" xfId="0" applyFont="1" applyFill="1" applyBorder="1" applyAlignment="1">
      <alignment horizontal="center" vertical="center"/>
    </xf>
    <xf numFmtId="0" fontId="35" fillId="68" borderId="1" xfId="0" applyFont="1" applyFill="1" applyBorder="1" applyAlignment="1">
      <alignment horizontal="center" vertical="center"/>
    </xf>
    <xf numFmtId="0" fontId="34" fillId="69" borderId="1" xfId="0" applyFont="1" applyFill="1" applyBorder="1" applyAlignment="1">
      <alignment horizontal="center" vertical="center"/>
    </xf>
    <xf numFmtId="0" fontId="46" fillId="73" borderId="15" xfId="138" applyFont="1" applyFill="1" applyBorder="1" applyAlignment="1">
      <alignment horizontal="center" vertical="center" shrinkToFit="1"/>
    </xf>
    <xf numFmtId="0" fontId="46" fillId="74" borderId="1" xfId="138" applyFont="1" applyFill="1" applyBorder="1" applyAlignment="1">
      <alignment horizontal="center" vertical="center" shrinkToFit="1"/>
    </xf>
    <xf numFmtId="0" fontId="42" fillId="55" borderId="16" xfId="150" applyFont="1" applyFill="1" applyBorder="1" applyAlignment="1">
      <alignment horizontal="center" vertical="center" shrinkToFit="1"/>
    </xf>
    <xf numFmtId="0" fontId="47" fillId="75" borderId="16" xfId="150" applyFont="1" applyFill="1" applyBorder="1" applyAlignment="1">
      <alignment horizontal="center" vertical="center" shrinkToFit="1"/>
    </xf>
    <xf numFmtId="0" fontId="41" fillId="76" borderId="17" xfId="138" applyFont="1" applyFill="1" applyBorder="1" applyAlignment="1">
      <alignment horizontal="center" vertical="center" shrinkToFit="1"/>
    </xf>
    <xf numFmtId="0" fontId="48" fillId="77" borderId="17" xfId="150" applyFont="1" applyFill="1" applyBorder="1" applyAlignment="1">
      <alignment horizontal="center" vertical="center" shrinkToFit="1"/>
    </xf>
    <xf numFmtId="0" fontId="49" fillId="78" borderId="1" xfId="150" applyFont="1" applyFill="1" applyBorder="1" applyAlignment="1">
      <alignment horizontal="center" vertical="center" shrinkToFit="1"/>
    </xf>
    <xf numFmtId="0" fontId="47" fillId="79" borderId="15" xfId="138" applyFont="1" applyFill="1" applyBorder="1" applyAlignment="1">
      <alignment horizontal="center" vertical="center" shrinkToFit="1"/>
    </xf>
    <xf numFmtId="0" fontId="46" fillId="80" borderId="1" xfId="138" applyFont="1" applyFill="1" applyBorder="1" applyAlignment="1">
      <alignment horizontal="center" vertical="center" shrinkToFit="1"/>
    </xf>
    <xf numFmtId="0" fontId="50" fillId="81" borderId="16" xfId="150" applyFont="1" applyFill="1" applyBorder="1" applyAlignment="1">
      <alignment horizontal="center" vertical="center" shrinkToFit="1"/>
    </xf>
    <xf numFmtId="0" fontId="47" fillId="66" borderId="16" xfId="150" applyFont="1" applyFill="1" applyBorder="1" applyAlignment="1">
      <alignment horizontal="center" vertical="center" shrinkToFit="1"/>
    </xf>
    <xf numFmtId="0" fontId="41" fillId="82" borderId="17" xfId="138" applyFont="1" applyFill="1" applyBorder="1" applyAlignment="1">
      <alignment horizontal="center" vertical="center" shrinkToFit="1"/>
    </xf>
    <xf numFmtId="0" fontId="48" fillId="83" borderId="17" xfId="150" applyFont="1" applyFill="1" applyBorder="1" applyAlignment="1">
      <alignment horizontal="center" vertical="center" shrinkToFit="1"/>
    </xf>
    <xf numFmtId="0" fontId="49" fillId="84" borderId="1" xfId="150" applyFont="1" applyFill="1" applyBorder="1" applyAlignment="1">
      <alignment horizontal="center" vertical="center" shrinkToFit="1"/>
    </xf>
    <xf numFmtId="0" fontId="49" fillId="91" borderId="1" xfId="150" applyFont="1" applyFill="1" applyBorder="1" applyAlignment="1">
      <alignment horizontal="center" vertical="center" shrinkToFit="1"/>
    </xf>
    <xf numFmtId="0" fontId="30" fillId="0" borderId="0" xfId="0" applyFont="1" applyAlignment="1">
      <alignment horizontal="center"/>
    </xf>
    <xf numFmtId="0" fontId="22" fillId="0" borderId="27" xfId="0" applyFont="1" applyBorder="1"/>
    <xf numFmtId="0" fontId="22" fillId="0" borderId="28" xfId="0" applyFont="1" applyBorder="1"/>
    <xf numFmtId="0" fontId="22" fillId="0" borderId="29" xfId="0" applyFont="1" applyBorder="1"/>
    <xf numFmtId="0" fontId="22" fillId="0" borderId="0" xfId="0" applyFont="1"/>
    <xf numFmtId="0" fontId="55" fillId="93" borderId="0" xfId="118" applyFont="1" applyFill="1" applyAlignment="1">
      <alignment horizontal="center" vertical="center"/>
    </xf>
    <xf numFmtId="0" fontId="56" fillId="94" borderId="1" xfId="131" applyFont="1" applyFill="1" applyBorder="1" applyAlignment="1">
      <alignment horizontal="center"/>
    </xf>
    <xf numFmtId="0" fontId="58" fillId="95" borderId="19" xfId="0" applyFont="1" applyFill="1" applyBorder="1" applyAlignment="1">
      <alignment horizontal="center"/>
    </xf>
    <xf numFmtId="0" fontId="59" fillId="96" borderId="1" xfId="0" applyFont="1" applyFill="1" applyBorder="1" applyAlignment="1">
      <alignment horizontal="center"/>
    </xf>
    <xf numFmtId="0" fontId="61" fillId="98" borderId="19" xfId="0" applyFont="1" applyFill="1" applyBorder="1" applyAlignment="1">
      <alignment horizontal="center"/>
    </xf>
    <xf numFmtId="0" fontId="62" fillId="99" borderId="1" xfId="138" applyFont="1" applyFill="1" applyBorder="1" applyAlignment="1">
      <alignment horizontal="center" vertical="center" shrinkToFit="1"/>
    </xf>
    <xf numFmtId="0" fontId="22" fillId="0" borderId="34" xfId="0" applyFont="1" applyBorder="1"/>
    <xf numFmtId="0" fontId="22" fillId="0" borderId="35" xfId="0" applyFont="1" applyBorder="1"/>
    <xf numFmtId="0" fontId="22" fillId="0" borderId="36" xfId="0" applyFont="1" applyBorder="1"/>
    <xf numFmtId="0" fontId="63" fillId="0" borderId="0" xfId="0" applyFont="1" applyAlignment="1">
      <alignment horizontal="center" vertical="center"/>
    </xf>
    <xf numFmtId="0" fontId="64" fillId="100" borderId="0" xfId="0" applyFont="1" applyFill="1" applyAlignment="1">
      <alignment horizontal="center"/>
    </xf>
    <xf numFmtId="0" fontId="66" fillId="0" borderId="0" xfId="0" applyFont="1" applyAlignment="1">
      <alignment horizontal="center" vertical="center"/>
    </xf>
    <xf numFmtId="0" fontId="54" fillId="0" borderId="0" xfId="0" applyFont="1"/>
    <xf numFmtId="0" fontId="66" fillId="0" borderId="0" xfId="0" applyFont="1" applyAlignment="1">
      <alignment horizontal="center" vertical="top"/>
    </xf>
    <xf numFmtId="0" fontId="54" fillId="0" borderId="0" xfId="0" applyFont="1" applyAlignment="1">
      <alignment horizontal="center" vertical="center"/>
    </xf>
    <xf numFmtId="0" fontId="9" fillId="101" borderId="0" xfId="0" applyFont="1" applyFill="1"/>
    <xf numFmtId="0" fontId="69" fillId="8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59" fillId="102" borderId="1" xfId="131" applyFont="1" applyFill="1" applyBorder="1" applyAlignment="1">
      <alignment horizontal="center"/>
    </xf>
    <xf numFmtId="0" fontId="22" fillId="103" borderId="0" xfId="0" applyFont="1" applyFill="1"/>
    <xf numFmtId="0" fontId="32" fillId="35" borderId="0" xfId="0" applyFont="1" applyFill="1" applyAlignment="1">
      <alignment horizontal="center" vertical="center"/>
    </xf>
    <xf numFmtId="0" fontId="70" fillId="87" borderId="0" xfId="0" applyFont="1" applyFill="1" applyAlignment="1">
      <alignment horizontal="center" vertical="center"/>
    </xf>
    <xf numFmtId="0" fontId="66" fillId="0" borderId="0" xfId="0" applyFont="1" applyAlignment="1">
      <alignment horizontal="right" vertical="center"/>
    </xf>
    <xf numFmtId="0" fontId="72" fillId="103" borderId="0" xfId="0" applyFont="1" applyFill="1" applyAlignment="1">
      <alignment horizontal="center" vertical="center"/>
    </xf>
    <xf numFmtId="0" fontId="66" fillId="0" borderId="0" xfId="0" applyFont="1" applyAlignment="1">
      <alignment horizontal="left" vertical="center"/>
    </xf>
    <xf numFmtId="170" fontId="73" fillId="101" borderId="0" xfId="0" applyNumberFormat="1" applyFont="1" applyFill="1" applyAlignment="1">
      <alignment horizontal="center" vertical="center"/>
    </xf>
    <xf numFmtId="0" fontId="74" fillId="104" borderId="1" xfId="138" applyFont="1" applyFill="1" applyBorder="1" applyAlignment="1">
      <alignment horizontal="center" vertical="center" shrinkToFit="1"/>
    </xf>
    <xf numFmtId="0" fontId="75" fillId="34" borderId="1" xfId="0" applyFont="1" applyFill="1" applyBorder="1" applyAlignment="1">
      <alignment horizontal="center" vertical="center"/>
    </xf>
    <xf numFmtId="0" fontId="67" fillId="101" borderId="47" xfId="131" applyFont="1" applyFill="1" applyBorder="1"/>
    <xf numFmtId="0" fontId="64" fillId="105" borderId="19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0" fillId="106" borderId="0" xfId="0" applyFill="1"/>
    <xf numFmtId="0" fontId="70" fillId="107" borderId="0" xfId="0" applyFont="1" applyFill="1" applyAlignment="1">
      <alignment horizontal="center" vertical="center"/>
    </xf>
    <xf numFmtId="0" fontId="76" fillId="108" borderId="0" xfId="0" applyFont="1" applyFill="1" applyAlignment="1">
      <alignment horizontal="center"/>
    </xf>
    <xf numFmtId="0" fontId="77" fillId="92" borderId="1" xfId="131" applyFont="1" applyFill="1" applyBorder="1" applyAlignment="1">
      <alignment horizontal="center"/>
    </xf>
    <xf numFmtId="0" fontId="74" fillId="109" borderId="1" xfId="138" applyFont="1" applyFill="1" applyBorder="1" applyAlignment="1">
      <alignment horizontal="center" vertical="center" shrinkToFit="1"/>
    </xf>
    <xf numFmtId="0" fontId="59" fillId="61" borderId="1" xfId="131" applyFont="1" applyFill="1" applyBorder="1" applyAlignment="1">
      <alignment horizontal="center"/>
    </xf>
    <xf numFmtId="0" fontId="65" fillId="35" borderId="0" xfId="0" applyFont="1" applyFill="1" applyAlignment="1">
      <alignment vertical="center"/>
    </xf>
    <xf numFmtId="0" fontId="0" fillId="101" borderId="0" xfId="0" applyFill="1"/>
    <xf numFmtId="0" fontId="22" fillId="35" borderId="0" xfId="0" applyFont="1" applyFill="1"/>
    <xf numFmtId="0" fontId="65" fillId="88" borderId="0" xfId="0" applyFont="1" applyFill="1" applyAlignment="1">
      <alignment vertical="center"/>
    </xf>
    <xf numFmtId="0" fontId="9" fillId="35" borderId="0" xfId="0" applyFont="1" applyFill="1"/>
    <xf numFmtId="0" fontId="0" fillId="35" borderId="0" xfId="0" applyFill="1"/>
    <xf numFmtId="0" fontId="0" fillId="0" borderId="36" xfId="0" applyBorder="1"/>
    <xf numFmtId="0" fontId="22" fillId="0" borderId="49" xfId="0" applyFont="1" applyBorder="1"/>
    <xf numFmtId="0" fontId="22" fillId="0" borderId="47" xfId="0" applyFont="1" applyBorder="1"/>
    <xf numFmtId="0" fontId="0" fillId="0" borderId="50" xfId="0" applyBorder="1"/>
    <xf numFmtId="0" fontId="72" fillId="110" borderId="0" xfId="0" applyFont="1" applyFill="1" applyAlignment="1">
      <alignment horizontal="center" vertical="center"/>
    </xf>
    <xf numFmtId="0" fontId="33" fillId="111" borderId="0" xfId="0" applyFont="1" applyFill="1"/>
    <xf numFmtId="0" fontId="22" fillId="110" borderId="0" xfId="0" applyFont="1" applyFill="1"/>
    <xf numFmtId="0" fontId="67" fillId="112" borderId="2" xfId="131" applyFont="1" applyFill="1" applyBorder="1" applyAlignment="1">
      <alignment horizontal="center"/>
    </xf>
    <xf numFmtId="0" fontId="32" fillId="101" borderId="0" xfId="0" applyFont="1" applyFill="1"/>
    <xf numFmtId="0" fontId="78" fillId="0" borderId="0" xfId="0" applyFont="1" applyAlignment="1">
      <alignment horizontal="center" vertical="center"/>
    </xf>
    <xf numFmtId="0" fontId="79" fillId="113" borderId="1" xfId="138" applyFont="1" applyFill="1" applyBorder="1" applyAlignment="1">
      <alignment horizontal="center" vertical="center" shrinkToFit="1"/>
    </xf>
    <xf numFmtId="0" fontId="78" fillId="111" borderId="0" xfId="0" applyFont="1" applyFill="1" applyAlignment="1">
      <alignment horizontal="center" vertical="center"/>
    </xf>
    <xf numFmtId="0" fontId="80" fillId="114" borderId="1" xfId="0" applyFont="1" applyFill="1" applyBorder="1" applyAlignment="1">
      <alignment horizontal="center"/>
    </xf>
    <xf numFmtId="0" fontId="81" fillId="115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15" fillId="116" borderId="0" xfId="0" applyFont="1" applyFill="1" applyAlignment="1">
      <alignment horizontal="center"/>
    </xf>
    <xf numFmtId="0" fontId="0" fillId="116" borderId="0" xfId="0" applyFill="1"/>
    <xf numFmtId="0" fontId="83" fillId="117" borderId="1" xfId="138" applyFont="1" applyFill="1" applyBorder="1" applyAlignment="1">
      <alignment horizontal="center" vertical="center" shrinkToFit="1"/>
    </xf>
    <xf numFmtId="0" fontId="61" fillId="101" borderId="0" xfId="0" applyFont="1" applyFill="1" applyAlignment="1">
      <alignment horizontal="center"/>
    </xf>
    <xf numFmtId="0" fontId="34" fillId="118" borderId="1" xfId="150" applyFont="1" applyFill="1" applyBorder="1" applyAlignment="1">
      <alignment horizontal="center" vertical="center" shrinkToFit="1"/>
    </xf>
    <xf numFmtId="0" fontId="48" fillId="119" borderId="51" xfId="150" applyFont="1" applyFill="1" applyBorder="1" applyAlignment="1">
      <alignment horizontal="center" vertical="center" shrinkToFit="1"/>
    </xf>
    <xf numFmtId="0" fontId="73" fillId="35" borderId="0" xfId="0" applyFont="1" applyFill="1" applyAlignment="1">
      <alignment horizontal="center" vertical="center"/>
    </xf>
    <xf numFmtId="0" fontId="60" fillId="35" borderId="0" xfId="0" applyFont="1" applyFill="1"/>
    <xf numFmtId="0" fontId="80" fillId="50" borderId="52" xfId="131" applyFont="1" applyFill="1" applyBorder="1" applyAlignment="1">
      <alignment horizontal="center"/>
    </xf>
    <xf numFmtId="0" fontId="73" fillId="101" borderId="0" xfId="0" applyFont="1" applyFill="1" applyAlignment="1">
      <alignment vertical="center" textRotation="90"/>
    </xf>
    <xf numFmtId="0" fontId="83" fillId="120" borderId="1" xfId="138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/>
    </xf>
    <xf numFmtId="0" fontId="73" fillId="101" borderId="0" xfId="0" applyFont="1" applyFill="1" applyAlignment="1">
      <alignment horizontal="center" vertical="center" textRotation="90"/>
    </xf>
    <xf numFmtId="0" fontId="84" fillId="0" borderId="0" xfId="0" applyFont="1"/>
    <xf numFmtId="0" fontId="85" fillId="88" borderId="0" xfId="0" applyFont="1" applyFill="1" applyAlignment="1">
      <alignment horizontal="center" vertical="center"/>
    </xf>
    <xf numFmtId="0" fontId="86" fillId="35" borderId="0" xfId="0" applyFont="1" applyFill="1" applyAlignment="1">
      <alignment horizontal="center" vertical="center"/>
    </xf>
    <xf numFmtId="0" fontId="81" fillId="121" borderId="0" xfId="0" applyFont="1" applyFill="1" applyAlignment="1">
      <alignment horizontal="center" vertical="center"/>
    </xf>
    <xf numFmtId="0" fontId="76" fillId="122" borderId="0" xfId="0" applyFont="1" applyFill="1" applyAlignment="1">
      <alignment horizontal="center"/>
    </xf>
    <xf numFmtId="0" fontId="77" fillId="63" borderId="1" xfId="131" applyFont="1" applyFill="1" applyBorder="1" applyAlignment="1">
      <alignment horizontal="center"/>
    </xf>
    <xf numFmtId="0" fontId="87" fillId="123" borderId="0" xfId="135" applyFont="1" applyFill="1" applyAlignment="1">
      <alignment horizontal="center" vertical="center"/>
    </xf>
    <xf numFmtId="0" fontId="0" fillId="0" borderId="37" xfId="0" applyBorder="1"/>
    <xf numFmtId="0" fontId="48" fillId="123" borderId="0" xfId="135" applyFont="1" applyFill="1" applyAlignment="1">
      <alignment horizontal="center" vertical="center"/>
    </xf>
    <xf numFmtId="0" fontId="46" fillId="73" borderId="1" xfId="138" applyFont="1" applyFill="1" applyBorder="1" applyAlignment="1">
      <alignment horizontal="center" vertical="center" shrinkToFit="1"/>
    </xf>
    <xf numFmtId="0" fontId="74" fillId="124" borderId="1" xfId="138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76" fillId="0" borderId="0" xfId="0" applyFont="1" applyAlignment="1">
      <alignment horizontal="center"/>
    </xf>
    <xf numFmtId="0" fontId="8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32" fillId="101" borderId="0" xfId="0" applyFont="1" applyFill="1" applyAlignment="1">
      <alignment horizontal="center" vertical="center"/>
    </xf>
    <xf numFmtId="0" fontId="51" fillId="106" borderId="0" xfId="0" applyFont="1" applyFill="1" applyAlignment="1">
      <alignment horizontal="center"/>
    </xf>
    <xf numFmtId="0" fontId="32" fillId="106" borderId="0" xfId="0" applyFont="1" applyFill="1" applyAlignment="1">
      <alignment horizontal="center" vertical="center"/>
    </xf>
    <xf numFmtId="0" fontId="48" fillId="83" borderId="1" xfId="150" applyFont="1" applyFill="1" applyBorder="1" applyAlignment="1">
      <alignment horizontal="center" vertical="center" shrinkToFit="1"/>
    </xf>
    <xf numFmtId="0" fontId="48" fillId="119" borderId="1" xfId="150" applyFont="1" applyFill="1" applyBorder="1" applyAlignment="1">
      <alignment horizontal="center" vertical="center" shrinkToFit="1"/>
    </xf>
    <xf numFmtId="0" fontId="79" fillId="92" borderId="1" xfId="138" applyFont="1" applyFill="1" applyBorder="1" applyAlignment="1">
      <alignment horizontal="center" vertical="center" shrinkToFit="1"/>
    </xf>
    <xf numFmtId="0" fontId="22" fillId="0" borderId="55" xfId="0" applyFont="1" applyBorder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0" fontId="51" fillId="106" borderId="0" xfId="0" applyFont="1" applyFill="1" applyAlignment="1">
      <alignment horizontal="center" vertical="center"/>
    </xf>
    <xf numFmtId="0" fontId="51" fillId="106" borderId="38" xfId="0" applyFont="1" applyFill="1" applyBorder="1" applyAlignment="1">
      <alignment horizontal="center" vertical="center"/>
    </xf>
    <xf numFmtId="0" fontId="58" fillId="0" borderId="0" xfId="0" applyFont="1" applyAlignment="1">
      <alignment horizontal="left" vertical="center"/>
    </xf>
    <xf numFmtId="0" fontId="55" fillId="125" borderId="0" xfId="118" applyFont="1" applyFill="1" applyAlignment="1">
      <alignment horizontal="center" vertical="center"/>
    </xf>
    <xf numFmtId="0" fontId="0" fillId="116" borderId="47" xfId="0" applyFill="1" applyBorder="1"/>
    <xf numFmtId="0" fontId="61" fillId="98" borderId="18" xfId="0" applyFont="1" applyFill="1" applyBorder="1" applyAlignment="1">
      <alignment horizontal="center"/>
    </xf>
    <xf numFmtId="0" fontId="83" fillId="126" borderId="1" xfId="138" applyFont="1" applyFill="1" applyBorder="1" applyAlignment="1">
      <alignment horizontal="center" vertical="center" shrinkToFit="1"/>
    </xf>
    <xf numFmtId="0" fontId="59" fillId="96" borderId="51" xfId="0" applyFont="1" applyFill="1" applyBorder="1" applyAlignment="1">
      <alignment horizontal="center"/>
    </xf>
    <xf numFmtId="0" fontId="0" fillId="0" borderId="62" xfId="0" applyBorder="1"/>
    <xf numFmtId="0" fontId="48" fillId="119" borderId="27" xfId="150" applyFont="1" applyFill="1" applyBorder="1" applyAlignment="1">
      <alignment horizontal="center" vertical="center" shrinkToFit="1"/>
    </xf>
    <xf numFmtId="0" fontId="61" fillId="98" borderId="63" xfId="0" applyFont="1" applyFill="1" applyBorder="1" applyAlignment="1">
      <alignment horizontal="center"/>
    </xf>
    <xf numFmtId="0" fontId="83" fillId="124" borderId="1" xfId="138" applyFont="1" applyFill="1" applyBorder="1" applyAlignment="1">
      <alignment horizontal="center" vertical="center" shrinkToFit="1"/>
    </xf>
    <xf numFmtId="0" fontId="0" fillId="0" borderId="64" xfId="0" applyBorder="1"/>
    <xf numFmtId="0" fontId="0" fillId="0" borderId="24" xfId="0" applyBorder="1"/>
    <xf numFmtId="0" fontId="0" fillId="0" borderId="65" xfId="0" applyBorder="1"/>
    <xf numFmtId="0" fontId="22" fillId="0" borderId="24" xfId="0" applyFont="1" applyBorder="1"/>
    <xf numFmtId="0" fontId="0" fillId="0" borderId="38" xfId="0" applyBorder="1"/>
    <xf numFmtId="0" fontId="0" fillId="0" borderId="0" xfId="0" applyAlignment="1">
      <alignment horizontal="left"/>
    </xf>
    <xf numFmtId="0" fontId="0" fillId="127" borderId="37" xfId="0" applyFill="1" applyBorder="1"/>
    <xf numFmtId="0" fontId="0" fillId="127" borderId="0" xfId="0" applyFill="1"/>
    <xf numFmtId="0" fontId="59" fillId="102" borderId="51" xfId="131" applyFont="1" applyFill="1" applyBorder="1" applyAlignment="1">
      <alignment horizontal="center"/>
    </xf>
    <xf numFmtId="0" fontId="32" fillId="106" borderId="0" xfId="0" applyFont="1" applyFill="1" applyAlignment="1">
      <alignment horizontal="center"/>
    </xf>
    <xf numFmtId="0" fontId="32" fillId="35" borderId="0" xfId="0" applyFont="1" applyFill="1" applyAlignment="1">
      <alignment vertical="center"/>
    </xf>
    <xf numFmtId="0" fontId="30" fillId="0" borderId="0" xfId="0" applyFont="1" applyAlignment="1">
      <alignment horizontal="center" vertical="center"/>
    </xf>
    <xf numFmtId="0" fontId="34" fillId="128" borderId="1" xfId="138" applyFont="1" applyFill="1" applyBorder="1" applyAlignment="1">
      <alignment horizontal="center" vertical="center" shrinkToFit="1"/>
    </xf>
    <xf numFmtId="0" fontId="31" fillId="106" borderId="0" xfId="0" applyFont="1" applyFill="1" applyAlignment="1">
      <alignment horizontal="center"/>
    </xf>
    <xf numFmtId="0" fontId="43" fillId="65" borderId="51" xfId="0" applyFont="1" applyFill="1" applyBorder="1" applyAlignment="1">
      <alignment horizontal="center" vertical="center"/>
    </xf>
    <xf numFmtId="0" fontId="34" fillId="46" borderId="44" xfId="0" applyFont="1" applyFill="1" applyBorder="1" applyAlignment="1">
      <alignment horizontal="center" vertical="center"/>
    </xf>
    <xf numFmtId="0" fontId="51" fillId="106" borderId="0" xfId="0" applyFont="1" applyFill="1" applyAlignment="1">
      <alignment horizontal="left" vertical="center"/>
    </xf>
    <xf numFmtId="0" fontId="34" fillId="36" borderId="51" xfId="0" applyFont="1" applyFill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51" fillId="0" borderId="67" xfId="0" applyFont="1" applyBorder="1" applyAlignment="1">
      <alignment horizontal="center" vertical="center"/>
    </xf>
    <xf numFmtId="0" fontId="22" fillId="0" borderId="0" xfId="120" applyFont="1" applyAlignment="1" applyProtection="1">
      <alignment vertical="center"/>
    </xf>
    <xf numFmtId="0" fontId="30" fillId="106" borderId="0" xfId="0" applyFont="1" applyFill="1" applyAlignment="1">
      <alignment horizontal="center"/>
    </xf>
    <xf numFmtId="0" fontId="92" fillId="50" borderId="0" xfId="0" applyFont="1" applyFill="1" applyAlignment="1">
      <alignment horizontal="center" vertical="center"/>
    </xf>
    <xf numFmtId="0" fontId="34" fillId="67" borderId="0" xfId="0" applyFont="1" applyFill="1" applyAlignment="1">
      <alignment horizontal="center" vertical="center"/>
    </xf>
    <xf numFmtId="0" fontId="93" fillId="130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67" fillId="112" borderId="68" xfId="131" applyFont="1" applyFill="1" applyBorder="1" applyAlignment="1">
      <alignment horizontal="center"/>
    </xf>
    <xf numFmtId="0" fontId="94" fillId="131" borderId="0" xfId="118" applyFont="1" applyFill="1" applyAlignment="1">
      <alignment horizontal="center" vertical="center"/>
    </xf>
    <xf numFmtId="0" fontId="56" fillId="94" borderId="51" xfId="131" applyFont="1" applyFill="1" applyBorder="1" applyAlignment="1">
      <alignment horizontal="center"/>
    </xf>
    <xf numFmtId="0" fontId="59" fillId="61" borderId="51" xfId="131" applyFont="1" applyFill="1" applyBorder="1" applyAlignment="1">
      <alignment horizontal="center"/>
    </xf>
    <xf numFmtId="0" fontId="22" fillId="0" borderId="37" xfId="0" applyFont="1" applyBorder="1"/>
    <xf numFmtId="0" fontId="0" fillId="0" borderId="44" xfId="0" applyBorder="1"/>
    <xf numFmtId="0" fontId="22" fillId="0" borderId="70" xfId="0" applyFont="1" applyBorder="1"/>
    <xf numFmtId="0" fontId="22" fillId="0" borderId="71" xfId="0" applyFont="1" applyBorder="1"/>
    <xf numFmtId="0" fontId="33" fillId="0" borderId="0" xfId="0" applyFont="1"/>
    <xf numFmtId="0" fontId="99" fillId="0" borderId="0" xfId="0" applyFont="1" applyAlignment="1">
      <alignment horizontal="center" vertical="center"/>
    </xf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4" fillId="0" borderId="0" xfId="0" applyFont="1" applyAlignment="1">
      <alignment horizontal="left" vertical="top" wrapText="1"/>
    </xf>
    <xf numFmtId="0" fontId="105" fillId="101" borderId="0" xfId="138" applyFont="1" applyFill="1" applyAlignment="1">
      <alignment horizontal="center" vertical="center" shrinkToFit="1"/>
    </xf>
    <xf numFmtId="14" fontId="103" fillId="0" borderId="1" xfId="0" applyNumberFormat="1" applyFont="1" applyBorder="1" applyAlignment="1" applyProtection="1">
      <alignment horizontal="center" vertical="center" wrapText="1"/>
      <protection locked="0"/>
    </xf>
    <xf numFmtId="14" fontId="98" fillId="61" borderId="1" xfId="0" applyNumberFormat="1" applyFont="1" applyFill="1" applyBorder="1" applyAlignment="1" applyProtection="1">
      <alignment horizontal="center" vertical="center" wrapText="1"/>
      <protection locked="0"/>
    </xf>
    <xf numFmtId="0" fontId="98" fillId="61" borderId="1" xfId="0" applyFont="1" applyFill="1" applyBorder="1" applyAlignment="1" applyProtection="1">
      <alignment horizontal="center" vertical="center" wrapText="1"/>
      <protection locked="0"/>
    </xf>
    <xf numFmtId="171" fontId="103" fillId="0" borderId="1" xfId="0" applyNumberFormat="1" applyFont="1" applyBorder="1" applyAlignment="1">
      <alignment horizontal="center" vertical="center" wrapText="1"/>
    </xf>
    <xf numFmtId="0" fontId="49" fillId="101" borderId="0" xfId="138" applyFont="1" applyFill="1" applyAlignment="1">
      <alignment vertical="center" shrinkToFit="1"/>
    </xf>
    <xf numFmtId="171" fontId="108" fillId="101" borderId="72" xfId="138" applyNumberFormat="1" applyFont="1" applyFill="1" applyBorder="1" applyAlignment="1">
      <alignment horizontal="center" vertical="center" shrinkToFit="1"/>
    </xf>
    <xf numFmtId="0" fontId="30" fillId="135" borderId="1" xfId="0" applyFont="1" applyFill="1" applyBorder="1" applyAlignment="1" applyProtection="1">
      <alignment horizontal="center" vertical="center" wrapText="1"/>
      <protection locked="0"/>
    </xf>
    <xf numFmtId="167" fontId="30" fillId="135" borderId="1" xfId="43" applyFont="1" applyFill="1" applyBorder="1" applyAlignment="1">
      <alignment horizontal="right" vertical="center"/>
    </xf>
    <xf numFmtId="0" fontId="109" fillId="101" borderId="0" xfId="138" applyFont="1" applyFill="1" applyAlignment="1">
      <alignment vertical="center" shrinkToFit="1"/>
    </xf>
    <xf numFmtId="0" fontId="110" fillId="101" borderId="0" xfId="138" applyFont="1" applyFill="1" applyAlignment="1">
      <alignment horizontal="center" vertical="center" shrinkToFit="1"/>
    </xf>
    <xf numFmtId="0" fontId="30" fillId="123" borderId="1" xfId="0" applyFont="1" applyFill="1" applyBorder="1" applyAlignment="1" applyProtection="1">
      <alignment horizontal="center" vertical="center" wrapText="1"/>
      <protection locked="0"/>
    </xf>
    <xf numFmtId="167" fontId="30" fillId="123" borderId="51" xfId="43" applyFont="1" applyFill="1" applyBorder="1" applyAlignment="1">
      <alignment horizontal="right" vertical="center"/>
    </xf>
    <xf numFmtId="167" fontId="30" fillId="123" borderId="1" xfId="43" applyFont="1" applyFill="1" applyBorder="1" applyAlignment="1">
      <alignment horizontal="right" vertical="center"/>
    </xf>
    <xf numFmtId="0" fontId="111" fillId="0" borderId="0" xfId="150" applyFont="1" applyAlignment="1">
      <alignment vertical="center" shrinkToFit="1"/>
    </xf>
    <xf numFmtId="0" fontId="30" fillId="136" borderId="15" xfId="0" applyFont="1" applyFill="1" applyBorder="1" applyAlignment="1" applyProtection="1">
      <alignment horizontal="center" vertical="center" wrapText="1"/>
      <protection locked="0"/>
    </xf>
    <xf numFmtId="172" fontId="30" fillId="136" borderId="1" xfId="203" applyNumberFormat="1" applyFont="1" applyFill="1" applyBorder="1" applyAlignment="1" applyProtection="1">
      <alignment horizontal="right" vertical="center" wrapText="1"/>
      <protection locked="0"/>
    </xf>
    <xf numFmtId="0" fontId="79" fillId="101" borderId="0" xfId="138" applyFont="1" applyFill="1" applyAlignment="1">
      <alignment vertical="center" shrinkToFit="1"/>
    </xf>
    <xf numFmtId="171" fontId="112" fillId="97" borderId="53" xfId="150" applyNumberFormat="1" applyFont="1" applyFill="1" applyBorder="1" applyAlignment="1">
      <alignment horizontal="center" vertical="center" shrinkToFit="1"/>
    </xf>
    <xf numFmtId="0" fontId="30" fillId="137" borderId="1" xfId="0" applyFont="1" applyFill="1" applyBorder="1" applyAlignment="1" applyProtection="1">
      <alignment horizontal="center" vertical="center" wrapText="1"/>
      <protection locked="0"/>
    </xf>
    <xf numFmtId="10" fontId="30" fillId="137" borderId="2" xfId="203" applyNumberFormat="1" applyFont="1" applyFill="1" applyBorder="1" applyAlignment="1">
      <alignment horizontal="right" vertical="center"/>
    </xf>
    <xf numFmtId="10" fontId="30" fillId="137" borderId="1" xfId="203" applyNumberFormat="1" applyFont="1" applyFill="1" applyBorder="1" applyAlignment="1">
      <alignment horizontal="right" vertical="center"/>
    </xf>
    <xf numFmtId="171" fontId="112" fillId="60" borderId="3" xfId="150" applyNumberFormat="1" applyFont="1" applyFill="1" applyBorder="1" applyAlignment="1">
      <alignment horizontal="center" vertical="center" shrinkToFit="1"/>
    </xf>
    <xf numFmtId="0" fontId="30" fillId="138" borderId="1" xfId="0" applyFont="1" applyFill="1" applyBorder="1" applyAlignment="1" applyProtection="1">
      <alignment horizontal="center" vertical="center" wrapText="1"/>
      <protection locked="0"/>
    </xf>
    <xf numFmtId="1" fontId="30" fillId="138" borderId="2" xfId="203" applyNumberFormat="1" applyFont="1" applyFill="1" applyBorder="1" applyAlignment="1">
      <alignment horizontal="right" vertical="center"/>
    </xf>
    <xf numFmtId="1" fontId="30" fillId="138" borderId="1" xfId="203" applyNumberFormat="1" applyFont="1" applyFill="1" applyBorder="1" applyAlignment="1">
      <alignment horizontal="right" vertical="center"/>
    </xf>
    <xf numFmtId="171" fontId="109" fillId="139" borderId="3" xfId="138" applyNumberFormat="1" applyFont="1" applyFill="1" applyBorder="1" applyAlignment="1">
      <alignment horizontal="center" vertical="center"/>
    </xf>
    <xf numFmtId="0" fontId="30" fillId="59" borderId="1" xfId="0" applyFont="1" applyFill="1" applyBorder="1" applyAlignment="1" applyProtection="1">
      <alignment horizontal="center" vertical="center" wrapText="1"/>
      <protection locked="0"/>
    </xf>
    <xf numFmtId="1" fontId="30" fillId="59" borderId="2" xfId="203" applyNumberFormat="1" applyFont="1" applyFill="1" applyBorder="1" applyAlignment="1">
      <alignment horizontal="right" vertical="center"/>
    </xf>
    <xf numFmtId="1" fontId="30" fillId="59" borderId="1" xfId="203" applyNumberFormat="1" applyFont="1" applyFill="1" applyBorder="1" applyAlignment="1">
      <alignment horizontal="right" vertical="center"/>
    </xf>
    <xf numFmtId="0" fontId="114" fillId="0" borderId="0" xfId="255" applyFont="1" applyAlignment="1"/>
    <xf numFmtId="0" fontId="115" fillId="0" borderId="0" xfId="0" applyFont="1" applyAlignment="1">
      <alignment horizontal="center" wrapText="1" shrinkToFit="1"/>
    </xf>
    <xf numFmtId="0" fontId="0" fillId="0" borderId="78" xfId="0" applyBorder="1"/>
    <xf numFmtId="0" fontId="0" fillId="0" borderId="79" xfId="0" applyBorder="1"/>
    <xf numFmtId="0" fontId="0" fillId="0" borderId="80" xfId="0" applyBorder="1"/>
    <xf numFmtId="0" fontId="117" fillId="0" borderId="0" xfId="0" applyFont="1"/>
    <xf numFmtId="0" fontId="79" fillId="0" borderId="1" xfId="138" applyFont="1" applyBorder="1" applyAlignment="1">
      <alignment horizontal="center" vertical="center" shrinkToFit="1"/>
    </xf>
    <xf numFmtId="0" fontId="117" fillId="0" borderId="52" xfId="0" applyFont="1" applyBorder="1"/>
    <xf numFmtId="0" fontId="0" fillId="0" borderId="85" xfId="0" applyBorder="1"/>
    <xf numFmtId="0" fontId="118" fillId="0" borderId="0" xfId="0" applyFont="1"/>
    <xf numFmtId="0" fontId="31" fillId="0" borderId="0" xfId="0" applyFont="1" applyAlignment="1">
      <alignment horizontal="center" vertical="center"/>
    </xf>
    <xf numFmtId="0" fontId="113" fillId="0" borderId="53" xfId="0" applyFont="1" applyBorder="1"/>
    <xf numFmtId="0" fontId="113" fillId="0" borderId="65" xfId="0" applyFont="1" applyBorder="1"/>
    <xf numFmtId="0" fontId="79" fillId="141" borderId="1" xfId="138" applyFont="1" applyFill="1" applyBorder="1" applyAlignment="1">
      <alignment horizontal="center" vertical="center" shrinkToFit="1"/>
    </xf>
    <xf numFmtId="171" fontId="119" fillId="0" borderId="1" xfId="138" applyNumberFormat="1" applyFont="1" applyBorder="1" applyAlignment="1">
      <alignment horizontal="center" vertical="center" shrinkToFit="1"/>
    </xf>
    <xf numFmtId="0" fontId="117" fillId="142" borderId="0" xfId="0" applyFont="1" applyFill="1"/>
    <xf numFmtId="0" fontId="109" fillId="0" borderId="17" xfId="138" applyFont="1" applyBorder="1" applyAlignment="1">
      <alignment horizontal="left" vertical="center" shrinkToFit="1"/>
    </xf>
    <xf numFmtId="0" fontId="109" fillId="0" borderId="83" xfId="138" applyFont="1" applyBorder="1" applyAlignment="1">
      <alignment horizontal="left" vertical="center" shrinkToFit="1"/>
    </xf>
    <xf numFmtId="0" fontId="83" fillId="143" borderId="1" xfId="138" applyFont="1" applyFill="1" applyBorder="1" applyAlignment="1">
      <alignment horizontal="center" vertical="center" shrinkToFit="1"/>
    </xf>
    <xf numFmtId="0" fontId="117" fillId="100" borderId="28" xfId="0" applyFont="1" applyFill="1" applyBorder="1" applyAlignment="1">
      <alignment wrapText="1"/>
    </xf>
    <xf numFmtId="0" fontId="120" fillId="0" borderId="0" xfId="0" applyFont="1" applyAlignment="1">
      <alignment wrapText="1" shrinkToFit="1"/>
    </xf>
    <xf numFmtId="0" fontId="12" fillId="0" borderId="0" xfId="0" applyFont="1"/>
    <xf numFmtId="0" fontId="83" fillId="144" borderId="1" xfId="138" applyFont="1" applyFill="1" applyBorder="1" applyAlignment="1">
      <alignment horizontal="center" vertical="center" shrinkToFit="1"/>
    </xf>
    <xf numFmtId="0" fontId="117" fillId="100" borderId="0" xfId="0" applyFont="1" applyFill="1" applyAlignment="1">
      <alignment wrapText="1"/>
    </xf>
    <xf numFmtId="0" fontId="87" fillId="0" borderId="0" xfId="0" applyFont="1" applyAlignment="1">
      <alignment horizontal="center" wrapText="1" shrinkToFit="1"/>
    </xf>
    <xf numFmtId="15" fontId="48" fillId="0" borderId="0" xfId="0" applyNumberFormat="1" applyFont="1" applyAlignment="1">
      <alignment shrinkToFit="1"/>
    </xf>
    <xf numFmtId="0" fontId="75" fillId="0" borderId="1" xfId="126" applyFont="1" applyBorder="1" applyAlignment="1">
      <alignment shrinkToFit="1"/>
    </xf>
    <xf numFmtId="0" fontId="80" fillId="63" borderId="52" xfId="131" applyFont="1" applyFill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9" fontId="0" fillId="0" borderId="1" xfId="200" applyFont="1" applyFill="1" applyBorder="1" applyAlignment="1">
      <alignment horizontal="center"/>
    </xf>
    <xf numFmtId="0" fontId="121" fillId="145" borderId="1" xfId="138" applyFont="1" applyFill="1" applyBorder="1" applyAlignment="1">
      <alignment horizontal="center" vertical="center" shrinkToFit="1"/>
    </xf>
    <xf numFmtId="0" fontId="83" fillId="89" borderId="1" xfId="138" applyFont="1" applyFill="1" applyBorder="1" applyAlignment="1">
      <alignment horizontal="center" vertical="center" shrinkToFit="1"/>
    </xf>
    <xf numFmtId="0" fontId="12" fillId="101" borderId="0" xfId="0" applyFont="1" applyFill="1"/>
    <xf numFmtId="0" fontId="88" fillId="101" borderId="0" xfId="0" applyFont="1" applyFill="1" applyAlignment="1">
      <alignment horizontal="center"/>
    </xf>
    <xf numFmtId="171" fontId="112" fillId="101" borderId="0" xfId="0" applyNumberFormat="1" applyFont="1" applyFill="1" applyAlignment="1">
      <alignment horizontal="center"/>
    </xf>
    <xf numFmtId="0" fontId="33" fillId="101" borderId="0" xfId="0" applyFont="1" applyFill="1"/>
    <xf numFmtId="0" fontId="59" fillId="146" borderId="0" xfId="0" applyFont="1" applyFill="1" applyAlignment="1">
      <alignment horizontal="center" vertical="center"/>
    </xf>
    <xf numFmtId="0" fontId="90" fillId="147" borderId="1" xfId="138" applyFont="1" applyFill="1" applyBorder="1" applyAlignment="1">
      <alignment horizontal="center" vertical="center" shrinkToFit="1"/>
    </xf>
    <xf numFmtId="0" fontId="83" fillId="148" borderId="1" xfId="138" applyFont="1" applyFill="1" applyBorder="1" applyAlignment="1">
      <alignment horizontal="center" vertical="center" shrinkToFit="1"/>
    </xf>
    <xf numFmtId="0" fontId="48" fillId="0" borderId="0" xfId="0" applyFont="1" applyAlignment="1">
      <alignment wrapText="1" shrinkToFit="1"/>
    </xf>
    <xf numFmtId="2" fontId="49" fillId="0" borderId="0" xfId="56" applyNumberFormat="1" applyFont="1" applyFill="1" applyBorder="1" applyAlignment="1" applyProtection="1">
      <alignment shrinkToFit="1"/>
    </xf>
    <xf numFmtId="0" fontId="3" fillId="0" borderId="1" xfId="150" applyFont="1" applyBorder="1" applyAlignment="1">
      <alignment horizontal="center" vertical="center"/>
    </xf>
    <xf numFmtId="0" fontId="3" fillId="0" borderId="52" xfId="150" applyFont="1" applyBorder="1" applyAlignment="1">
      <alignment horizontal="center" vertical="center"/>
    </xf>
    <xf numFmtId="0" fontId="122" fillId="101" borderId="52" xfId="131" applyFont="1" applyFill="1" applyBorder="1" applyAlignment="1">
      <alignment horizontal="center"/>
    </xf>
    <xf numFmtId="0" fontId="74" fillId="147" borderId="1" xfId="138" applyFont="1" applyFill="1" applyBorder="1" applyAlignment="1">
      <alignment horizontal="center" vertical="center" shrinkToFit="1"/>
    </xf>
    <xf numFmtId="0" fontId="48" fillId="0" borderId="0" xfId="0" applyFont="1" applyAlignment="1">
      <alignment shrinkToFit="1"/>
    </xf>
    <xf numFmtId="0" fontId="3" fillId="0" borderId="15" xfId="138" applyFont="1" applyBorder="1" applyAlignment="1">
      <alignment horizontal="center" vertical="center" shrinkToFit="1"/>
    </xf>
    <xf numFmtId="0" fontId="109" fillId="0" borderId="88" xfId="138" applyFont="1" applyBorder="1" applyAlignment="1">
      <alignment horizontal="center" vertical="center" shrinkToFit="1"/>
    </xf>
    <xf numFmtId="0" fontId="35" fillId="35" borderId="5" xfId="0" applyFont="1" applyFill="1" applyBorder="1" applyAlignment="1">
      <alignment horizontal="center" vertical="center"/>
    </xf>
    <xf numFmtId="173" fontId="3" fillId="139" borderId="0" xfId="138" applyNumberFormat="1" applyFont="1" applyFill="1" applyAlignment="1">
      <alignment horizontal="center" vertical="center"/>
    </xf>
    <xf numFmtId="173" fontId="3" fillId="97" borderId="0" xfId="150" applyNumberFormat="1" applyFont="1" applyFill="1" applyAlignment="1">
      <alignment horizontal="center" vertical="center" shrinkToFit="1"/>
    </xf>
    <xf numFmtId="171" fontId="3" fillId="60" borderId="0" xfId="150" applyNumberFormat="1" applyFont="1" applyFill="1" applyAlignment="1">
      <alignment horizontal="center" vertical="center" shrinkToFit="1"/>
    </xf>
    <xf numFmtId="171" fontId="123" fillId="149" borderId="0" xfId="138" applyNumberFormat="1" applyFont="1" applyFill="1" applyAlignment="1">
      <alignment horizontal="center" vertical="center"/>
    </xf>
    <xf numFmtId="0" fontId="75" fillId="72" borderId="52" xfId="131" applyFont="1" applyFill="1" applyBorder="1" applyAlignment="1">
      <alignment horizontal="center"/>
    </xf>
    <xf numFmtId="0" fontId="74" fillId="54" borderId="1" xfId="138" applyFont="1" applyFill="1" applyBorder="1" applyAlignment="1">
      <alignment horizontal="center" vertical="center" shrinkToFit="1"/>
    </xf>
    <xf numFmtId="0" fontId="83" fillId="150" borderId="1" xfId="138" applyFont="1" applyFill="1" applyBorder="1" applyAlignment="1">
      <alignment horizontal="center" vertical="center" shrinkToFit="1"/>
    </xf>
    <xf numFmtId="0" fontId="35" fillId="37" borderId="45" xfId="0" applyFont="1" applyFill="1" applyBorder="1" applyAlignment="1">
      <alignment horizontal="center" vertical="center"/>
    </xf>
    <xf numFmtId="0" fontId="80" fillId="86" borderId="52" xfId="131" applyFont="1" applyFill="1" applyBorder="1" applyAlignment="1">
      <alignment horizontal="center"/>
    </xf>
    <xf numFmtId="0" fontId="124" fillId="151" borderId="1" xfId="138" applyFont="1" applyFill="1" applyBorder="1" applyAlignment="1">
      <alignment horizontal="center" vertical="center" shrinkToFit="1"/>
    </xf>
    <xf numFmtId="0" fontId="83" fillId="152" borderId="1" xfId="138" applyFont="1" applyFill="1" applyBorder="1" applyAlignment="1">
      <alignment horizontal="center" vertical="center" shrinkToFit="1"/>
    </xf>
    <xf numFmtId="0" fontId="43" fillId="65" borderId="44" xfId="0" applyFont="1" applyFill="1" applyBorder="1" applyAlignment="1">
      <alignment horizontal="center" vertical="center"/>
    </xf>
    <xf numFmtId="0" fontId="59" fillId="133" borderId="52" xfId="131" applyFont="1" applyFill="1" applyBorder="1" applyAlignment="1">
      <alignment horizontal="center"/>
    </xf>
    <xf numFmtId="0" fontId="124" fillId="153" borderId="1" xfId="138" applyFont="1" applyFill="1" applyBorder="1" applyAlignment="1">
      <alignment horizontal="center" vertical="center" shrinkToFit="1"/>
    </xf>
    <xf numFmtId="0" fontId="83" fillId="154" borderId="1" xfId="138" applyFont="1" applyFill="1" applyBorder="1" applyAlignment="1">
      <alignment horizontal="center" vertical="center" shrinkToFit="1"/>
    </xf>
    <xf numFmtId="3" fontId="48" fillId="0" borderId="0" xfId="0" applyNumberFormat="1" applyFont="1" applyAlignment="1">
      <alignment shrinkToFit="1"/>
    </xf>
    <xf numFmtId="0" fontId="43" fillId="50" borderId="44" xfId="0" applyFont="1" applyFill="1" applyBorder="1" applyAlignment="1">
      <alignment horizontal="center" vertical="center"/>
    </xf>
    <xf numFmtId="0" fontId="80" fillId="44" borderId="52" xfId="131" applyFont="1" applyFill="1" applyBorder="1" applyAlignment="1">
      <alignment horizontal="center"/>
    </xf>
    <xf numFmtId="0" fontId="83" fillId="155" borderId="1" xfId="138" applyFont="1" applyFill="1" applyBorder="1" applyAlignment="1">
      <alignment horizontal="center" vertical="center" shrinkToFit="1"/>
    </xf>
    <xf numFmtId="0" fontId="35" fillId="63" borderId="45" xfId="0" applyFont="1" applyFill="1" applyBorder="1" applyAlignment="1">
      <alignment horizontal="center" vertical="center"/>
    </xf>
    <xf numFmtId="0" fontId="125" fillId="156" borderId="1" xfId="138" applyFont="1" applyFill="1" applyBorder="1" applyAlignment="1">
      <alignment horizontal="center" vertical="center" shrinkToFit="1"/>
    </xf>
    <xf numFmtId="0" fontId="59" fillId="133" borderId="1" xfId="0" applyFont="1" applyFill="1" applyBorder="1" applyAlignment="1">
      <alignment horizontal="center" vertical="center"/>
    </xf>
    <xf numFmtId="0" fontId="34" fillId="71" borderId="0" xfId="0" applyFont="1" applyFill="1" applyAlignment="1">
      <alignment horizontal="center" vertical="center"/>
    </xf>
    <xf numFmtId="0" fontId="121" fillId="157" borderId="1" xfId="138" applyFont="1" applyFill="1" applyBorder="1" applyAlignment="1">
      <alignment horizontal="center" vertical="center" shrinkToFit="1"/>
    </xf>
    <xf numFmtId="0" fontId="59" fillId="158" borderId="1" xfId="0" applyFont="1" applyFill="1" applyBorder="1" applyAlignment="1">
      <alignment horizontal="center" vertical="center"/>
    </xf>
    <xf numFmtId="0" fontId="35" fillId="62" borderId="22" xfId="0" applyFont="1" applyFill="1" applyBorder="1" applyAlignment="1">
      <alignment horizontal="center" vertical="center"/>
    </xf>
    <xf numFmtId="0" fontId="80" fillId="159" borderId="52" xfId="131" applyFont="1" applyFill="1" applyBorder="1" applyAlignment="1">
      <alignment horizontal="center"/>
    </xf>
    <xf numFmtId="0" fontId="59" fillId="72" borderId="1" xfId="0" applyFont="1" applyFill="1" applyBorder="1" applyAlignment="1">
      <alignment horizontal="center" vertical="center"/>
    </xf>
    <xf numFmtId="0" fontId="67" fillId="160" borderId="1" xfId="0" applyFont="1" applyFill="1" applyBorder="1" applyAlignment="1">
      <alignment horizontal="center" vertical="center"/>
    </xf>
    <xf numFmtId="0" fontId="80" fillId="55" borderId="52" xfId="131" applyFont="1" applyFill="1" applyBorder="1" applyAlignment="1">
      <alignment horizontal="center"/>
    </xf>
    <xf numFmtId="0" fontId="75" fillId="116" borderId="1" xfId="0" applyFont="1" applyFill="1" applyBorder="1" applyAlignment="1">
      <alignment horizontal="center" vertical="center"/>
    </xf>
    <xf numFmtId="0" fontId="35" fillId="51" borderId="89" xfId="0" applyFont="1" applyFill="1" applyBorder="1" applyAlignment="1">
      <alignment horizontal="center" vertical="center"/>
    </xf>
    <xf numFmtId="0" fontId="75" fillId="0" borderId="1" xfId="138" applyFont="1" applyBorder="1" applyAlignment="1">
      <alignment vertical="center" shrinkToFit="1"/>
    </xf>
    <xf numFmtId="0" fontId="74" fillId="161" borderId="52" xfId="138" applyFont="1" applyFill="1" applyBorder="1" applyAlignment="1">
      <alignment horizontal="center" vertical="center" shrinkToFit="1"/>
    </xf>
    <xf numFmtId="0" fontId="127" fillId="162" borderId="1" xfId="138" applyFont="1" applyFill="1" applyBorder="1" applyAlignment="1">
      <alignment horizontal="center" vertical="center" shrinkToFit="1"/>
    </xf>
    <xf numFmtId="0" fontId="74" fillId="0" borderId="1" xfId="138" applyFont="1" applyBorder="1" applyAlignment="1">
      <alignment horizontal="center" vertical="center" shrinkToFit="1"/>
    </xf>
    <xf numFmtId="0" fontId="35" fillId="47" borderId="70" xfId="0" applyFont="1" applyFill="1" applyBorder="1" applyAlignment="1">
      <alignment horizontal="center" vertical="center"/>
    </xf>
    <xf numFmtId="0" fontId="80" fillId="44" borderId="1" xfId="131" applyFont="1" applyFill="1" applyBorder="1" applyAlignment="1">
      <alignment horizontal="center"/>
    </xf>
    <xf numFmtId="0" fontId="83" fillId="163" borderId="1" xfId="138" applyFont="1" applyFill="1" applyBorder="1" applyAlignment="1">
      <alignment horizontal="center" vertical="center" shrinkToFit="1"/>
    </xf>
    <xf numFmtId="0" fontId="74" fillId="164" borderId="1" xfId="138" applyFont="1" applyFill="1" applyBorder="1" applyAlignment="1">
      <alignment horizontal="center" vertical="center" shrinkToFit="1"/>
    </xf>
    <xf numFmtId="0" fontId="74" fillId="165" borderId="52" xfId="138" applyFont="1" applyFill="1" applyBorder="1" applyAlignment="1">
      <alignment horizontal="center" vertical="center" shrinkToFit="1"/>
    </xf>
    <xf numFmtId="0" fontId="121" fillId="166" borderId="1" xfId="138" applyFont="1" applyFill="1" applyBorder="1" applyAlignment="1">
      <alignment horizontal="center" vertical="center" shrinkToFit="1"/>
    </xf>
    <xf numFmtId="0" fontId="80" fillId="135" borderId="1" xfId="0" applyFont="1" applyFill="1" applyBorder="1" applyAlignment="1">
      <alignment horizontal="center" vertical="center"/>
    </xf>
    <xf numFmtId="0" fontId="40" fillId="52" borderId="45" xfId="0" applyFont="1" applyFill="1" applyBorder="1" applyAlignment="1">
      <alignment horizontal="center" vertical="center"/>
    </xf>
    <xf numFmtId="0" fontId="74" fillId="167" borderId="52" xfId="138" applyFont="1" applyFill="1" applyBorder="1" applyAlignment="1">
      <alignment horizontal="center" vertical="center" shrinkToFit="1"/>
    </xf>
    <xf numFmtId="0" fontId="83" fillId="168" borderId="1" xfId="138" applyFont="1" applyFill="1" applyBorder="1" applyAlignment="1">
      <alignment horizontal="center" vertical="center" shrinkToFit="1"/>
    </xf>
    <xf numFmtId="0" fontId="83" fillId="169" borderId="1" xfId="138" applyFont="1" applyFill="1" applyBorder="1" applyAlignment="1">
      <alignment horizontal="center" vertical="center" shrinkToFit="1"/>
    </xf>
    <xf numFmtId="0" fontId="35" fillId="62" borderId="45" xfId="0" applyFont="1" applyFill="1" applyBorder="1" applyAlignment="1">
      <alignment horizontal="center" vertical="center"/>
    </xf>
    <xf numFmtId="0" fontId="128" fillId="44" borderId="1" xfId="131" applyFont="1" applyFill="1" applyBorder="1" applyAlignment="1">
      <alignment horizontal="center"/>
    </xf>
    <xf numFmtId="0" fontId="119" fillId="142" borderId="0" xfId="0" applyFont="1" applyFill="1" applyAlignment="1">
      <alignment horizontal="center" vertical="center"/>
    </xf>
    <xf numFmtId="0" fontId="38" fillId="43" borderId="44" xfId="0" applyFont="1" applyFill="1" applyBorder="1" applyAlignment="1">
      <alignment horizontal="center" vertical="center"/>
    </xf>
    <xf numFmtId="0" fontId="75" fillId="0" borderId="1" xfId="138" applyFont="1" applyBorder="1" applyAlignment="1">
      <alignment shrinkToFit="1"/>
    </xf>
    <xf numFmtId="0" fontId="129" fillId="52" borderId="1" xfId="0" applyFont="1" applyFill="1" applyBorder="1" applyAlignment="1">
      <alignment horizontal="center"/>
    </xf>
    <xf numFmtId="0" fontId="74" fillId="170" borderId="1" xfId="138" applyFont="1" applyFill="1" applyBorder="1" applyAlignment="1">
      <alignment horizontal="center" vertical="center" shrinkToFit="1"/>
    </xf>
    <xf numFmtId="0" fontId="74" fillId="171" borderId="1" xfId="138" applyFont="1" applyFill="1" applyBorder="1" applyAlignment="1">
      <alignment horizontal="center" vertical="center" shrinkToFit="1"/>
    </xf>
    <xf numFmtId="0" fontId="41" fillId="58" borderId="15" xfId="138" applyFont="1" applyFill="1" applyBorder="1" applyAlignment="1">
      <alignment horizontal="center" vertical="center" shrinkToFit="1"/>
    </xf>
    <xf numFmtId="0" fontId="83" fillId="172" borderId="52" xfId="138" applyFont="1" applyFill="1" applyBorder="1" applyAlignment="1">
      <alignment horizontal="center" vertical="center" shrinkToFit="1"/>
    </xf>
    <xf numFmtId="0" fontId="79" fillId="173" borderId="1" xfId="138" applyFont="1" applyFill="1" applyBorder="1" applyAlignment="1">
      <alignment horizontal="center" vertical="center" shrinkToFit="1"/>
    </xf>
    <xf numFmtId="0" fontId="59" fillId="140" borderId="1" xfId="0" applyFont="1" applyFill="1" applyBorder="1" applyAlignment="1">
      <alignment horizontal="center" vertical="center"/>
    </xf>
    <xf numFmtId="0" fontId="34" fillId="55" borderId="44" xfId="0" applyFont="1" applyFill="1" applyBorder="1" applyAlignment="1">
      <alignment horizontal="center" vertical="center"/>
    </xf>
    <xf numFmtId="0" fontId="79" fillId="174" borderId="52" xfId="138" applyFont="1" applyFill="1" applyBorder="1" applyAlignment="1">
      <alignment horizontal="center" vertical="center" shrinkToFit="1"/>
    </xf>
    <xf numFmtId="0" fontId="74" fillId="175" borderId="1" xfId="138" applyFont="1" applyFill="1" applyBorder="1" applyAlignment="1">
      <alignment horizontal="center" vertical="center" shrinkToFit="1"/>
    </xf>
    <xf numFmtId="0" fontId="59" fillId="151" borderId="1" xfId="0" applyFont="1" applyFill="1" applyBorder="1" applyAlignment="1">
      <alignment horizontal="center" vertical="center"/>
    </xf>
    <xf numFmtId="0" fontId="35" fillId="57" borderId="44" xfId="0" applyFont="1" applyFill="1" applyBorder="1" applyAlignment="1">
      <alignment horizontal="center" vertical="center"/>
    </xf>
    <xf numFmtId="0" fontId="83" fillId="176" borderId="52" xfId="138" applyFont="1" applyFill="1" applyBorder="1" applyAlignment="1">
      <alignment horizontal="center" vertical="center" shrinkToFit="1"/>
    </xf>
    <xf numFmtId="0" fontId="130" fillId="124" borderId="1" xfId="138" applyFont="1" applyFill="1" applyBorder="1" applyAlignment="1">
      <alignment horizontal="center" vertical="center" shrinkToFit="1"/>
    </xf>
    <xf numFmtId="0" fontId="34" fillId="36" borderId="44" xfId="0" applyFont="1" applyFill="1" applyBorder="1" applyAlignment="1">
      <alignment horizontal="center" vertical="center"/>
    </xf>
    <xf numFmtId="0" fontId="83" fillId="177" borderId="52" xfId="138" applyFont="1" applyFill="1" applyBorder="1" applyAlignment="1">
      <alignment horizontal="center" vertical="center" shrinkToFit="1"/>
    </xf>
    <xf numFmtId="0" fontId="35" fillId="40" borderId="44" xfId="0" applyFont="1" applyFill="1" applyBorder="1" applyAlignment="1">
      <alignment horizontal="center" vertical="center"/>
    </xf>
    <xf numFmtId="0" fontId="80" fillId="112" borderId="1" xfId="0" applyFont="1" applyFill="1" applyBorder="1" applyAlignment="1">
      <alignment horizontal="center"/>
    </xf>
    <xf numFmtId="0" fontId="80" fillId="44" borderId="1" xfId="0" applyFont="1" applyFill="1" applyBorder="1" applyAlignment="1">
      <alignment horizontal="center" vertical="center"/>
    </xf>
    <xf numFmtId="0" fontId="44" fillId="72" borderId="44" xfId="0" applyFont="1" applyFill="1" applyBorder="1" applyAlignment="1">
      <alignment horizontal="center" vertical="center"/>
    </xf>
    <xf numFmtId="0" fontId="75" fillId="114" borderId="1" xfId="0" applyFont="1" applyFill="1" applyBorder="1" applyAlignment="1">
      <alignment horizontal="center" vertical="center"/>
    </xf>
    <xf numFmtId="0" fontId="131" fillId="178" borderId="1" xfId="0" applyFont="1" applyFill="1" applyBorder="1" applyAlignment="1">
      <alignment horizontal="center" vertical="center"/>
    </xf>
    <xf numFmtId="0" fontId="38" fillId="64" borderId="44" xfId="0" applyFont="1" applyFill="1" applyBorder="1" applyAlignment="1">
      <alignment horizontal="center" vertical="center"/>
    </xf>
    <xf numFmtId="0" fontId="131" fillId="179" borderId="1" xfId="0" applyFont="1" applyFill="1" applyBorder="1" applyAlignment="1">
      <alignment horizontal="center" vertical="center"/>
    </xf>
    <xf numFmtId="0" fontId="117" fillId="0" borderId="85" xfId="0" applyFont="1" applyBorder="1"/>
    <xf numFmtId="0" fontId="35" fillId="59" borderId="44" xfId="0" applyFont="1" applyFill="1" applyBorder="1" applyAlignment="1">
      <alignment horizontal="center" vertical="center"/>
    </xf>
    <xf numFmtId="0" fontId="75" fillId="0" borderId="15" xfId="126" applyFont="1" applyBorder="1" applyAlignment="1">
      <alignment horizontal="left" shrinkToFit="1"/>
    </xf>
    <xf numFmtId="0" fontId="83" fillId="180" borderId="1" xfId="138" applyFont="1" applyFill="1" applyBorder="1" applyAlignment="1">
      <alignment horizontal="center" vertical="center" shrinkToFit="1"/>
    </xf>
    <xf numFmtId="0" fontId="34" fillId="181" borderId="84" xfId="138" applyFont="1" applyFill="1" applyBorder="1" applyAlignment="1">
      <alignment vertical="center" shrinkToFit="1"/>
    </xf>
    <xf numFmtId="171" fontId="3" fillId="139" borderId="0" xfId="138" applyNumberFormat="1" applyFont="1" applyFill="1" applyAlignment="1">
      <alignment horizontal="center" vertical="center"/>
    </xf>
    <xf numFmtId="171" fontId="3" fillId="97" borderId="0" xfId="150" applyNumberFormat="1" applyFont="1" applyFill="1" applyAlignment="1">
      <alignment horizontal="center" vertical="center" shrinkToFit="1"/>
    </xf>
    <xf numFmtId="0" fontId="34" fillId="181" borderId="90" xfId="138" applyFont="1" applyFill="1" applyBorder="1" applyAlignment="1">
      <alignment vertical="center" shrinkToFit="1"/>
    </xf>
    <xf numFmtId="0" fontId="79" fillId="59" borderId="1" xfId="138" applyFont="1" applyFill="1" applyBorder="1" applyAlignment="1">
      <alignment horizontal="center" vertical="center" shrinkToFit="1"/>
    </xf>
    <xf numFmtId="0" fontId="124" fillId="183" borderId="1" xfId="138" applyFont="1" applyFill="1" applyBorder="1" applyAlignment="1">
      <alignment horizontal="center" vertical="center" shrinkToFit="1"/>
    </xf>
    <xf numFmtId="0" fontId="132" fillId="184" borderId="1" xfId="0" applyFont="1" applyFill="1" applyBorder="1" applyAlignment="1">
      <alignment horizontal="center" vertical="center"/>
    </xf>
    <xf numFmtId="0" fontId="11" fillId="0" borderId="0" xfId="0" applyFont="1"/>
    <xf numFmtId="0" fontId="93" fillId="158" borderId="1" xfId="0" applyFont="1" applyFill="1" applyBorder="1" applyAlignment="1">
      <alignment horizontal="center"/>
    </xf>
    <xf numFmtId="0" fontId="124" fillId="185" borderId="1" xfId="138" applyFont="1" applyFill="1" applyBorder="1" applyAlignment="1">
      <alignment horizontal="center" vertical="center" shrinkToFit="1"/>
    </xf>
    <xf numFmtId="0" fontId="80" fillId="186" borderId="1" xfId="0" applyFont="1" applyFill="1" applyBorder="1" applyAlignment="1">
      <alignment horizontal="center" vertical="center"/>
    </xf>
    <xf numFmtId="0" fontId="3" fillId="0" borderId="49" xfId="138" applyFont="1" applyBorder="1" applyAlignment="1">
      <alignment horizontal="center" vertical="center" shrinkToFit="1"/>
    </xf>
    <xf numFmtId="0" fontId="109" fillId="0" borderId="91" xfId="138" applyFont="1" applyBorder="1" applyAlignment="1">
      <alignment horizontal="center" vertical="center" shrinkToFit="1"/>
    </xf>
    <xf numFmtId="0" fontId="36" fillId="39" borderId="0" xfId="0" applyFont="1" applyFill="1" applyAlignment="1">
      <alignment horizontal="center" vertical="center"/>
    </xf>
    <xf numFmtId="0" fontId="80" fillId="158" borderId="1" xfId="0" applyFont="1" applyFill="1" applyBorder="1" applyAlignment="1">
      <alignment horizontal="center"/>
    </xf>
    <xf numFmtId="0" fontId="90" fillId="124" borderId="1" xfId="138" applyFont="1" applyFill="1" applyBorder="1" applyAlignment="1">
      <alignment horizontal="center" vertical="center" shrinkToFit="1"/>
    </xf>
    <xf numFmtId="0" fontId="109" fillId="0" borderId="82" xfId="138" applyFont="1" applyBorder="1" applyAlignment="1">
      <alignment horizontal="center" vertical="center" shrinkToFit="1"/>
    </xf>
    <xf numFmtId="0" fontId="34" fillId="42" borderId="44" xfId="0" applyFont="1" applyFill="1" applyBorder="1" applyAlignment="1">
      <alignment horizontal="center" vertical="center"/>
    </xf>
    <xf numFmtId="0" fontId="74" fillId="187" borderId="1" xfId="138" applyFont="1" applyFill="1" applyBorder="1" applyAlignment="1">
      <alignment horizontal="center" vertical="center" shrinkToFit="1"/>
    </xf>
    <xf numFmtId="0" fontId="52" fillId="90" borderId="92" xfId="0" applyFont="1" applyFill="1" applyBorder="1" applyAlignment="1">
      <alignment horizontal="center" vertical="center"/>
    </xf>
    <xf numFmtId="0" fontId="80" fillId="106" borderId="1" xfId="0" applyFont="1" applyFill="1" applyBorder="1" applyAlignment="1">
      <alignment horizontal="center"/>
    </xf>
    <xf numFmtId="0" fontId="90" fillId="134" borderId="1" xfId="138" applyFont="1" applyFill="1" applyBorder="1" applyAlignment="1">
      <alignment horizontal="center" vertical="center" shrinkToFit="1"/>
    </xf>
    <xf numFmtId="0" fontId="83" fillId="188" borderId="1" xfId="138" applyFont="1" applyFill="1" applyBorder="1" applyAlignment="1">
      <alignment horizontal="center" vertical="center" shrinkToFit="1"/>
    </xf>
    <xf numFmtId="0" fontId="49" fillId="52" borderId="93" xfId="0" applyFont="1" applyFill="1" applyBorder="1" applyAlignment="1">
      <alignment horizontal="center" vertical="center"/>
    </xf>
    <xf numFmtId="0" fontId="79" fillId="132" borderId="1" xfId="138" applyFont="1" applyFill="1" applyBorder="1" applyAlignment="1">
      <alignment horizontal="center" vertical="center" shrinkToFit="1"/>
    </xf>
    <xf numFmtId="0" fontId="74" fillId="189" borderId="1" xfId="138" applyFont="1" applyFill="1" applyBorder="1" applyAlignment="1">
      <alignment horizontal="center" vertical="center" shrinkToFit="1"/>
    </xf>
    <xf numFmtId="0" fontId="45" fillId="63" borderId="5" xfId="0" applyFont="1" applyFill="1" applyBorder="1" applyAlignment="1">
      <alignment horizontal="center" vertical="center"/>
    </xf>
    <xf numFmtId="0" fontId="125" fillId="190" borderId="1" xfId="138" applyFont="1" applyFill="1" applyBorder="1" applyAlignment="1">
      <alignment horizontal="center" vertical="center" shrinkToFit="1"/>
    </xf>
    <xf numFmtId="0" fontId="83" fillId="191" borderId="1" xfId="138" applyFont="1" applyFill="1" applyBorder="1" applyAlignment="1">
      <alignment horizontal="center" vertical="center" shrinkToFit="1"/>
    </xf>
    <xf numFmtId="0" fontId="117" fillId="100" borderId="35" xfId="0" applyFont="1" applyFill="1" applyBorder="1" applyAlignment="1">
      <alignment wrapText="1"/>
    </xf>
    <xf numFmtId="0" fontId="34" fillId="48" borderId="70" xfId="0" applyFont="1" applyFill="1" applyBorder="1" applyAlignment="1">
      <alignment horizontal="center" vertical="center"/>
    </xf>
    <xf numFmtId="0" fontId="121" fillId="192" borderId="1" xfId="138" applyFont="1" applyFill="1" applyBorder="1" applyAlignment="1">
      <alignment horizontal="center" vertical="center" shrinkToFit="1"/>
    </xf>
    <xf numFmtId="0" fontId="74" fillId="193" borderId="1" xfId="138" applyFont="1" applyFill="1" applyBorder="1" applyAlignment="1">
      <alignment horizontal="center" vertical="center" shrinkToFit="1"/>
    </xf>
    <xf numFmtId="0" fontId="35" fillId="68" borderId="31" xfId="0" applyFont="1" applyFill="1" applyBorder="1" applyAlignment="1">
      <alignment horizontal="center" vertical="center"/>
    </xf>
    <xf numFmtId="0" fontId="83" fillId="194" borderId="1" xfId="138" applyFont="1" applyFill="1" applyBorder="1" applyAlignment="1">
      <alignment horizontal="center" vertical="center" shrinkToFit="1"/>
    </xf>
    <xf numFmtId="0" fontId="75" fillId="63" borderId="1" xfId="0" applyFont="1" applyFill="1" applyBorder="1" applyAlignment="1">
      <alignment horizontal="center" vertical="center"/>
    </xf>
    <xf numFmtId="0" fontId="34" fillId="70" borderId="94" xfId="0" applyFont="1" applyFill="1" applyBorder="1" applyAlignment="1">
      <alignment horizontal="center" vertical="center"/>
    </xf>
    <xf numFmtId="0" fontId="34" fillId="70" borderId="45" xfId="0" applyFont="1" applyFill="1" applyBorder="1" applyAlignment="1">
      <alignment horizontal="center" vertical="center"/>
    </xf>
    <xf numFmtId="0" fontId="75" fillId="195" borderId="1" xfId="0" applyFont="1" applyFill="1" applyBorder="1" applyAlignment="1">
      <alignment horizontal="center"/>
    </xf>
    <xf numFmtId="0" fontId="83" fillId="196" borderId="1" xfId="138" applyFont="1" applyFill="1" applyBorder="1" applyAlignment="1">
      <alignment horizontal="center" vertical="center" shrinkToFit="1"/>
    </xf>
    <xf numFmtId="0" fontId="34" fillId="34" borderId="95" xfId="0" applyFont="1" applyFill="1" applyBorder="1" applyAlignment="1">
      <alignment horizontal="center" vertical="center"/>
    </xf>
    <xf numFmtId="0" fontId="3" fillId="139" borderId="0" xfId="138" applyFont="1" applyFill="1" applyAlignment="1">
      <alignment horizontal="center" vertical="center"/>
    </xf>
    <xf numFmtId="0" fontId="3" fillId="97" borderId="0" xfId="150" applyFont="1" applyFill="1" applyAlignment="1">
      <alignment horizontal="center" vertical="center" shrinkToFit="1"/>
    </xf>
    <xf numFmtId="0" fontId="83" fillId="197" borderId="1" xfId="138" applyFont="1" applyFill="1" applyBorder="1" applyAlignment="1">
      <alignment horizontal="center" vertical="center" shrinkToFit="1"/>
    </xf>
    <xf numFmtId="0" fontId="34" fillId="41" borderId="93" xfId="0" applyFont="1" applyFill="1" applyBorder="1" applyAlignment="1">
      <alignment horizontal="center" vertical="center"/>
    </xf>
    <xf numFmtId="0" fontId="34" fillId="41" borderId="44" xfId="0" applyFont="1" applyFill="1" applyBorder="1" applyAlignment="1">
      <alignment horizontal="center" vertical="center"/>
    </xf>
    <xf numFmtId="0" fontId="83" fillId="60" borderId="1" xfId="138" applyFont="1" applyFill="1" applyBorder="1" applyAlignment="1">
      <alignment horizontal="center" vertical="center" shrinkToFit="1"/>
    </xf>
    <xf numFmtId="0" fontId="90" fillId="35" borderId="1" xfId="0" applyFont="1" applyFill="1" applyBorder="1" applyAlignment="1">
      <alignment horizontal="center" vertical="center"/>
    </xf>
    <xf numFmtId="0" fontId="83" fillId="198" borderId="1" xfId="138" applyFont="1" applyFill="1" applyBorder="1" applyAlignment="1">
      <alignment horizontal="center" vertical="center" shrinkToFit="1"/>
    </xf>
    <xf numFmtId="0" fontId="39" fillId="35" borderId="70" xfId="0" applyFont="1" applyFill="1" applyBorder="1" applyAlignment="1">
      <alignment horizontal="center" vertical="center"/>
    </xf>
    <xf numFmtId="0" fontId="67" fillId="106" borderId="1" xfId="0" applyFont="1" applyFill="1" applyBorder="1" applyAlignment="1">
      <alignment horizontal="center"/>
    </xf>
    <xf numFmtId="0" fontId="15" fillId="114" borderId="1" xfId="0" applyFont="1" applyFill="1" applyBorder="1" applyAlignment="1">
      <alignment horizontal="center" vertical="center"/>
    </xf>
    <xf numFmtId="0" fontId="117" fillId="100" borderId="47" xfId="0" applyFont="1" applyFill="1" applyBorder="1" applyAlignment="1">
      <alignment wrapText="1"/>
    </xf>
    <xf numFmtId="0" fontId="34" fillId="52" borderId="44" xfId="0" applyFont="1" applyFill="1" applyBorder="1" applyAlignment="1">
      <alignment horizontal="center" vertical="center"/>
    </xf>
    <xf numFmtId="0" fontId="83" fillId="199" borderId="1" xfId="138" applyFont="1" applyFill="1" applyBorder="1" applyAlignment="1">
      <alignment horizontal="center" vertical="center" shrinkToFit="1"/>
    </xf>
    <xf numFmtId="0" fontId="80" fillId="0" borderId="1" xfId="0" applyFont="1" applyBorder="1"/>
    <xf numFmtId="171" fontId="80" fillId="0" borderId="1" xfId="0" applyNumberFormat="1" applyFont="1" applyBorder="1" applyAlignment="1">
      <alignment horizontal="center" vertical="center"/>
    </xf>
    <xf numFmtId="0" fontId="42" fillId="61" borderId="44" xfId="0" applyFont="1" applyFill="1" applyBorder="1" applyAlignment="1">
      <alignment horizontal="center" vertical="center"/>
    </xf>
    <xf numFmtId="0" fontId="74" fillId="161" borderId="1" xfId="138" applyFont="1" applyFill="1" applyBorder="1" applyAlignment="1">
      <alignment horizontal="center" vertical="center" shrinkToFit="1"/>
    </xf>
    <xf numFmtId="0" fontId="83" fillId="200" borderId="1" xfId="0" applyFont="1" applyFill="1" applyBorder="1" applyAlignment="1">
      <alignment horizontal="center" vertical="center"/>
    </xf>
    <xf numFmtId="0" fontId="34" fillId="34" borderId="44" xfId="0" applyFont="1" applyFill="1" applyBorder="1" applyAlignment="1">
      <alignment horizontal="center" vertical="center"/>
    </xf>
    <xf numFmtId="0" fontId="134" fillId="134" borderId="1" xfId="131" applyFont="1" applyFill="1" applyBorder="1" applyAlignment="1">
      <alignment horizontal="center"/>
    </xf>
    <xf numFmtId="0" fontId="34" fillId="54" borderId="44" xfId="0" applyFont="1" applyFill="1" applyBorder="1" applyAlignment="1">
      <alignment horizontal="center" vertical="center"/>
    </xf>
    <xf numFmtId="0" fontId="75" fillId="0" borderId="1" xfId="126" applyFont="1" applyBorder="1" applyAlignment="1" applyProtection="1">
      <alignment shrinkToFit="1"/>
      <protection locked="0"/>
    </xf>
    <xf numFmtId="0" fontId="83" fillId="201" borderId="1" xfId="0" applyFont="1" applyFill="1" applyBorder="1" applyAlignment="1">
      <alignment horizontal="center" vertical="center"/>
    </xf>
    <xf numFmtId="0" fontId="74" fillId="44" borderId="1" xfId="0" applyFont="1" applyFill="1" applyBorder="1" applyAlignment="1">
      <alignment horizontal="center" vertical="center"/>
    </xf>
    <xf numFmtId="0" fontId="117" fillId="86" borderId="0" xfId="0" applyFont="1" applyFill="1"/>
    <xf numFmtId="0" fontId="34" fillId="44" borderId="44" xfId="0" applyFont="1" applyFill="1" applyBorder="1" applyAlignment="1">
      <alignment horizontal="center" vertical="center"/>
    </xf>
    <xf numFmtId="0" fontId="74" fillId="71" borderId="1" xfId="0" applyFont="1" applyFill="1" applyBorder="1" applyAlignment="1">
      <alignment horizontal="center" vertical="center" wrapText="1"/>
    </xf>
    <xf numFmtId="0" fontId="3" fillId="0" borderId="82" xfId="138" applyFont="1" applyBorder="1" applyAlignment="1">
      <alignment horizontal="center" vertical="center" shrinkToFit="1"/>
    </xf>
    <xf numFmtId="0" fontId="34" fillId="61" borderId="0" xfId="0" applyFont="1" applyFill="1" applyAlignment="1">
      <alignment horizontal="center" vertical="center"/>
    </xf>
    <xf numFmtId="0" fontId="3" fillId="0" borderId="0" xfId="138" applyFont="1" applyAlignment="1">
      <alignment horizontal="center" vertical="center" shrinkToFit="1"/>
    </xf>
    <xf numFmtId="0" fontId="109" fillId="0" borderId="0" xfId="138" applyFont="1" applyAlignment="1">
      <alignment horizontal="center" vertical="center" shrinkToFit="1"/>
    </xf>
    <xf numFmtId="0" fontId="67" fillId="35" borderId="52" xfId="0" applyFont="1" applyFill="1" applyBorder="1" applyAlignment="1">
      <alignment horizontal="center"/>
    </xf>
    <xf numFmtId="0" fontId="83" fillId="202" borderId="1" xfId="138" applyFont="1" applyFill="1" applyBorder="1" applyAlignment="1">
      <alignment horizontal="center" vertical="center" shrinkToFit="1"/>
    </xf>
    <xf numFmtId="0" fontId="34" fillId="181" borderId="52" xfId="138" applyFont="1" applyFill="1" applyBorder="1" applyAlignment="1">
      <alignment vertical="center" shrinkToFit="1"/>
    </xf>
    <xf numFmtId="0" fontId="34" fillId="181" borderId="100" xfId="138" applyFont="1" applyFill="1" applyBorder="1" applyAlignment="1">
      <alignment vertical="center" shrinkToFit="1"/>
    </xf>
    <xf numFmtId="0" fontId="93" fillId="203" borderId="1" xfId="0" applyFont="1" applyFill="1" applyBorder="1" applyAlignment="1">
      <alignment horizontal="center"/>
    </xf>
    <xf numFmtId="0" fontId="127" fillId="204" borderId="1" xfId="0" applyFont="1" applyFill="1" applyBorder="1" applyAlignment="1">
      <alignment horizontal="center" vertical="center"/>
    </xf>
    <xf numFmtId="0" fontId="80" fillId="206" borderId="1" xfId="0" applyFont="1" applyFill="1" applyBorder="1" applyAlignment="1">
      <alignment horizontal="center"/>
    </xf>
    <xf numFmtId="0" fontId="136" fillId="207" borderId="1" xfId="138" applyFont="1" applyFill="1" applyBorder="1" applyAlignment="1">
      <alignment horizontal="center" vertical="center" shrinkToFit="1"/>
    </xf>
    <xf numFmtId="0" fontId="79" fillId="174" borderId="1" xfId="138" applyFont="1" applyFill="1" applyBorder="1" applyAlignment="1">
      <alignment horizontal="center" vertical="center" shrinkToFit="1"/>
    </xf>
    <xf numFmtId="0" fontId="83" fillId="208" borderId="1" xfId="138" applyFont="1" applyFill="1" applyBorder="1" applyAlignment="1">
      <alignment horizontal="center" vertical="center" shrinkToFit="1"/>
    </xf>
    <xf numFmtId="0" fontId="80" fillId="35" borderId="1" xfId="0" applyFont="1" applyFill="1" applyBorder="1" applyAlignment="1">
      <alignment horizontal="center"/>
    </xf>
    <xf numFmtId="0" fontId="83" fillId="209" borderId="1" xfId="138" applyFont="1" applyFill="1" applyBorder="1" applyAlignment="1">
      <alignment horizontal="center" vertical="center" shrinkToFit="1"/>
    </xf>
    <xf numFmtId="0" fontId="117" fillId="86" borderId="0" xfId="0" applyFont="1" applyFill="1" applyAlignment="1">
      <alignment wrapText="1"/>
    </xf>
    <xf numFmtId="0" fontId="59" fillId="44" borderId="1" xfId="0" applyFont="1" applyFill="1" applyBorder="1" applyAlignment="1">
      <alignment horizontal="center"/>
    </xf>
    <xf numFmtId="0" fontId="74" fillId="210" borderId="1" xfId="138" applyFont="1" applyFill="1" applyBorder="1" applyAlignment="1">
      <alignment horizontal="center" vertical="center" shrinkToFit="1"/>
    </xf>
    <xf numFmtId="0" fontId="137" fillId="211" borderId="1" xfId="0" applyFont="1" applyFill="1" applyBorder="1" applyAlignment="1">
      <alignment horizontal="center" vertical="center"/>
    </xf>
    <xf numFmtId="0" fontId="79" fillId="205" borderId="1" xfId="138" applyFont="1" applyFill="1" applyBorder="1" applyAlignment="1">
      <alignment horizontal="center" vertical="center" shrinkToFit="1"/>
    </xf>
    <xf numFmtId="0" fontId="34" fillId="56" borderId="44" xfId="0" applyFont="1" applyFill="1" applyBorder="1" applyAlignment="1">
      <alignment horizontal="center" vertical="center"/>
    </xf>
    <xf numFmtId="0" fontId="90" fillId="102" borderId="1" xfId="138" applyFont="1" applyFill="1" applyBorder="1" applyAlignment="1">
      <alignment horizontal="center" vertical="center" shrinkToFit="1"/>
    </xf>
    <xf numFmtId="0" fontId="59" fillId="96" borderId="1" xfId="0" applyFont="1" applyFill="1" applyBorder="1" applyAlignment="1">
      <alignment horizontal="center" vertical="center"/>
    </xf>
    <xf numFmtId="0" fontId="83" fillId="52" borderId="1" xfId="0" applyFont="1" applyFill="1" applyBorder="1" applyAlignment="1">
      <alignment horizontal="center" vertical="center"/>
    </xf>
    <xf numFmtId="0" fontId="39" fillId="63" borderId="0" xfId="0" applyFont="1" applyFill="1" applyAlignment="1">
      <alignment horizontal="center" vertical="center"/>
    </xf>
    <xf numFmtId="0" fontId="138" fillId="102" borderId="1" xfId="138" applyFont="1" applyFill="1" applyBorder="1" applyAlignment="1">
      <alignment horizontal="center" vertical="center" shrinkToFit="1"/>
    </xf>
    <xf numFmtId="0" fontId="83" fillId="212" borderId="1" xfId="138" applyFont="1" applyFill="1" applyBorder="1" applyAlignment="1">
      <alignment horizontal="center" vertical="center" shrinkToFit="1"/>
    </xf>
    <xf numFmtId="0" fontId="0" fillId="142" borderId="35" xfId="0" applyFill="1" applyBorder="1" applyAlignment="1">
      <alignment wrapText="1"/>
    </xf>
    <xf numFmtId="0" fontId="139" fillId="52" borderId="1" xfId="138" applyFont="1" applyFill="1" applyBorder="1" applyAlignment="1">
      <alignment horizontal="center" vertical="center" shrinkToFit="1"/>
    </xf>
    <xf numFmtId="0" fontId="83" fillId="213" borderId="1" xfId="138" applyFont="1" applyFill="1" applyBorder="1" applyAlignment="1">
      <alignment horizontal="center" vertical="center" shrinkToFit="1"/>
    </xf>
    <xf numFmtId="0" fontId="34" fillId="38" borderId="44" xfId="0" applyFont="1" applyFill="1" applyBorder="1" applyAlignment="1">
      <alignment horizontal="center" vertical="center"/>
    </xf>
    <xf numFmtId="0" fontId="74" fillId="214" borderId="1" xfId="138" applyFont="1" applyFill="1" applyBorder="1" applyAlignment="1">
      <alignment horizontal="center" vertical="center" shrinkToFit="1"/>
    </xf>
    <xf numFmtId="0" fontId="34" fillId="53" borderId="45" xfId="0" applyFont="1" applyFill="1" applyBorder="1" applyAlignment="1">
      <alignment horizontal="center" vertical="center"/>
    </xf>
    <xf numFmtId="0" fontId="74" fillId="215" borderId="1" xfId="138" applyFont="1" applyFill="1" applyBorder="1" applyAlignment="1" applyProtection="1">
      <alignment horizontal="center" vertical="center" shrinkToFit="1"/>
      <protection locked="0"/>
    </xf>
    <xf numFmtId="0" fontId="79" fillId="90" borderId="1" xfId="138" applyFont="1" applyFill="1" applyBorder="1" applyAlignment="1">
      <alignment horizontal="center" vertical="center" shrinkToFit="1"/>
    </xf>
    <xf numFmtId="0" fontId="79" fillId="216" borderId="1" xfId="0" applyFont="1" applyFill="1" applyBorder="1" applyAlignment="1">
      <alignment horizontal="center" vertical="center"/>
    </xf>
    <xf numFmtId="0" fontId="52" fillId="63" borderId="0" xfId="0" applyFont="1" applyFill="1" applyAlignment="1">
      <alignment horizontal="center" vertical="center"/>
    </xf>
    <xf numFmtId="0" fontId="74" fillId="217" borderId="1" xfId="138" applyFont="1" applyFill="1" applyBorder="1" applyAlignment="1">
      <alignment horizontal="center" vertical="center" shrinkToFit="1"/>
    </xf>
    <xf numFmtId="0" fontId="80" fillId="133" borderId="1" xfId="0" applyFont="1" applyFill="1" applyBorder="1" applyAlignment="1">
      <alignment horizontal="center"/>
    </xf>
    <xf numFmtId="0" fontId="79" fillId="218" borderId="1" xfId="138" applyFont="1" applyFill="1" applyBorder="1" applyAlignment="1">
      <alignment horizontal="center" vertical="center" shrinkToFit="1"/>
    </xf>
    <xf numFmtId="0" fontId="74" fillId="42" borderId="1" xfId="0" applyFont="1" applyFill="1" applyBorder="1" applyAlignment="1">
      <alignment horizontal="center" vertical="center" wrapText="1"/>
    </xf>
    <xf numFmtId="0" fontId="34" fillId="69" borderId="0" xfId="0" applyFont="1" applyFill="1" applyAlignment="1">
      <alignment horizontal="center" vertical="center"/>
    </xf>
    <xf numFmtId="0" fontId="79" fillId="219" borderId="1" xfId="138" applyFont="1" applyFill="1" applyBorder="1" applyAlignment="1">
      <alignment horizontal="center" vertical="center" shrinkToFit="1"/>
    </xf>
    <xf numFmtId="0" fontId="121" fillId="220" borderId="1" xfId="0" applyFont="1" applyFill="1" applyBorder="1" applyAlignment="1">
      <alignment horizontal="center" vertical="center"/>
    </xf>
    <xf numFmtId="0" fontId="37" fillId="49" borderId="0" xfId="0" applyFont="1" applyFill="1" applyAlignment="1">
      <alignment horizontal="center" vertical="center"/>
    </xf>
    <xf numFmtId="0" fontId="121" fillId="50" borderId="1" xfId="138" applyFont="1" applyFill="1" applyBorder="1" applyAlignment="1">
      <alignment horizontal="center" vertical="center" shrinkToFit="1"/>
    </xf>
    <xf numFmtId="0" fontId="74" fillId="34" borderId="1" xfId="0" applyFont="1" applyFill="1" applyBorder="1" applyAlignment="1">
      <alignment horizontal="center" vertical="center"/>
    </xf>
    <xf numFmtId="0" fontId="90" fillId="55" borderId="1" xfId="138" applyFont="1" applyFill="1" applyBorder="1" applyAlignment="1" applyProtection="1">
      <alignment horizontal="center" vertical="center" shrinkToFit="1"/>
      <protection locked="0"/>
    </xf>
    <xf numFmtId="0" fontId="140" fillId="221" borderId="1" xfId="138" applyFont="1" applyFill="1" applyBorder="1" applyAlignment="1">
      <alignment horizontal="center" vertical="center" shrinkToFit="1"/>
    </xf>
    <xf numFmtId="0" fontId="34" fillId="69" borderId="45" xfId="0" applyFont="1" applyFill="1" applyBorder="1" applyAlignment="1">
      <alignment horizontal="center" vertical="center"/>
    </xf>
    <xf numFmtId="0" fontId="74" fillId="221" borderId="1" xfId="138" applyFont="1" applyFill="1" applyBorder="1" applyAlignment="1">
      <alignment horizontal="center" vertical="center" shrinkToFit="1"/>
    </xf>
    <xf numFmtId="0" fontId="74" fillId="54" borderId="1" xfId="0" applyFont="1" applyFill="1" applyBorder="1" applyAlignment="1">
      <alignment horizontal="center" vertical="center"/>
    </xf>
    <xf numFmtId="0" fontId="74" fillId="222" borderId="1" xfId="138" applyFont="1" applyFill="1" applyBorder="1" applyAlignment="1">
      <alignment horizontal="center" vertical="center" shrinkToFit="1"/>
    </xf>
    <xf numFmtId="0" fontId="127" fillId="223" borderId="1" xfId="0" applyFont="1" applyFill="1" applyBorder="1" applyAlignment="1">
      <alignment horizontal="center" vertical="center"/>
    </xf>
    <xf numFmtId="0" fontId="34" fillId="69" borderId="22" xfId="0" applyFont="1" applyFill="1" applyBorder="1" applyAlignment="1">
      <alignment horizontal="center" vertical="center"/>
    </xf>
    <xf numFmtId="0" fontId="80" fillId="42" borderId="1" xfId="0" applyFont="1" applyFill="1" applyBorder="1" applyAlignment="1">
      <alignment horizontal="center"/>
    </xf>
    <xf numFmtId="0" fontId="34" fillId="45" borderId="0" xfId="0" applyFont="1" applyFill="1" applyAlignment="1">
      <alignment horizontal="center" vertical="center"/>
    </xf>
    <xf numFmtId="0" fontId="80" fillId="52" borderId="1" xfId="0" applyFont="1" applyFill="1" applyBorder="1" applyAlignment="1">
      <alignment horizontal="center"/>
    </xf>
    <xf numFmtId="0" fontId="125" fillId="224" borderId="1" xfId="138" applyFont="1" applyFill="1" applyBorder="1" applyAlignment="1">
      <alignment horizontal="center" vertical="center" shrinkToFit="1"/>
    </xf>
    <xf numFmtId="0" fontId="74" fillId="225" borderId="1" xfId="0" applyFont="1" applyFill="1" applyBorder="1" applyAlignment="1">
      <alignment horizontal="center" vertical="center" wrapText="1"/>
    </xf>
    <xf numFmtId="0" fontId="37" fillId="38" borderId="0" xfId="0" applyFont="1" applyFill="1" applyAlignment="1">
      <alignment horizontal="center" vertical="center"/>
    </xf>
    <xf numFmtId="0" fontId="67" fillId="112" borderId="1" xfId="131" applyFont="1" applyFill="1" applyBorder="1" applyAlignment="1">
      <alignment horizontal="center"/>
    </xf>
    <xf numFmtId="0" fontId="121" fillId="226" borderId="1" xfId="138" applyFont="1" applyFill="1" applyBorder="1" applyAlignment="1">
      <alignment horizontal="center" vertical="center" shrinkToFit="1"/>
    </xf>
    <xf numFmtId="0" fontId="34" fillId="50" borderId="0" xfId="0" applyFont="1" applyFill="1" applyAlignment="1">
      <alignment horizontal="center" vertical="center"/>
    </xf>
    <xf numFmtId="0" fontId="80" fillId="55" borderId="1" xfId="0" applyFont="1" applyFill="1" applyBorder="1" applyAlignment="1">
      <alignment horizontal="center"/>
    </xf>
    <xf numFmtId="0" fontId="42" fillId="60" borderId="44" xfId="0" applyFont="1" applyFill="1" applyBorder="1" applyAlignment="1">
      <alignment horizontal="center" vertical="center"/>
    </xf>
    <xf numFmtId="0" fontId="80" fillId="194" borderId="1" xfId="0" applyFont="1" applyFill="1" applyBorder="1" applyAlignment="1">
      <alignment horizontal="center"/>
    </xf>
    <xf numFmtId="0" fontId="141" fillId="227" borderId="1" xfId="138" applyFont="1" applyFill="1" applyBorder="1" applyAlignment="1">
      <alignment horizontal="center" vertical="center" shrinkToFit="1"/>
    </xf>
    <xf numFmtId="0" fontId="48" fillId="0" borderId="0" xfId="138" applyFont="1" applyAlignment="1">
      <alignment horizontal="center" vertical="center" shrinkToFit="1"/>
    </xf>
    <xf numFmtId="0" fontId="34" fillId="181" borderId="0" xfId="138" applyFont="1" applyFill="1" applyAlignment="1">
      <alignment vertical="center" shrinkToFit="1"/>
    </xf>
    <xf numFmtId="171" fontId="0" fillId="0" borderId="0" xfId="0" applyNumberFormat="1"/>
    <xf numFmtId="0" fontId="83" fillId="142" borderId="1" xfId="0" applyFont="1" applyFill="1" applyBorder="1" applyAlignment="1">
      <alignment horizontal="center" vertical="center"/>
    </xf>
    <xf numFmtId="0" fontId="79" fillId="0" borderId="48" xfId="138" applyFont="1" applyBorder="1" applyAlignment="1">
      <alignment vertical="center" shrinkToFit="1"/>
    </xf>
    <xf numFmtId="0" fontId="2" fillId="0" borderId="52" xfId="150" applyBorder="1" applyAlignment="1">
      <alignment horizontal="center" vertical="center"/>
    </xf>
    <xf numFmtId="0" fontId="2" fillId="0" borderId="1" xfId="150" applyBorder="1" applyAlignment="1">
      <alignment horizontal="center" vertical="center"/>
    </xf>
    <xf numFmtId="0" fontId="74" fillId="228" borderId="1" xfId="138" applyFont="1" applyFill="1" applyBorder="1" applyAlignment="1">
      <alignment horizontal="center" vertical="center" shrinkToFit="1"/>
    </xf>
    <xf numFmtId="0" fontId="121" fillId="124" borderId="1" xfId="138" applyFont="1" applyFill="1" applyBorder="1" applyAlignment="1">
      <alignment horizontal="center" vertical="center" shrinkToFit="1"/>
    </xf>
    <xf numFmtId="0" fontId="74" fillId="229" borderId="1" xfId="138" applyFont="1" applyFill="1" applyBorder="1" applyAlignment="1">
      <alignment horizontal="center" vertical="center" shrinkToFit="1"/>
    </xf>
    <xf numFmtId="0" fontId="142" fillId="230" borderId="1" xfId="138" applyFont="1" applyFill="1" applyBorder="1" applyAlignment="1">
      <alignment horizontal="center" vertical="center" shrinkToFit="1"/>
    </xf>
    <xf numFmtId="0" fontId="143" fillId="231" borderId="1" xfId="0" applyFont="1" applyFill="1" applyBorder="1" applyAlignment="1">
      <alignment horizontal="center" vertical="center"/>
    </xf>
    <xf numFmtId="0" fontId="142" fillId="230" borderId="51" xfId="138" applyFont="1" applyFill="1" applyBorder="1" applyAlignment="1">
      <alignment horizontal="center" vertical="center" shrinkToFit="1"/>
    </xf>
    <xf numFmtId="0" fontId="74" fillId="134" borderId="1" xfId="0" applyFont="1" applyFill="1" applyBorder="1" applyAlignment="1">
      <alignment horizontal="center" vertical="center"/>
    </xf>
    <xf numFmtId="0" fontId="83" fillId="232" borderId="1" xfId="138" applyFont="1" applyFill="1" applyBorder="1" applyAlignment="1">
      <alignment horizontal="center" vertical="center" shrinkToFit="1"/>
    </xf>
    <xf numFmtId="0" fontId="80" fillId="0" borderId="51" xfId="0" applyFont="1" applyBorder="1"/>
    <xf numFmtId="0" fontId="113" fillId="63" borderId="105" xfId="0" applyFont="1" applyFill="1" applyBorder="1" applyAlignment="1">
      <alignment horizontal="center"/>
    </xf>
    <xf numFmtId="171" fontId="3" fillId="233" borderId="0" xfId="150" applyNumberFormat="1" applyFont="1" applyFill="1" applyAlignment="1">
      <alignment horizontal="center" vertical="center" shrinkToFit="1"/>
    </xf>
    <xf numFmtId="171" fontId="0" fillId="86" borderId="0" xfId="0" applyNumberFormat="1" applyFill="1"/>
    <xf numFmtId="0" fontId="3" fillId="60" borderId="0" xfId="150" applyFont="1" applyFill="1" applyAlignment="1">
      <alignment horizontal="center" vertical="center" shrinkToFit="1"/>
    </xf>
    <xf numFmtId="0" fontId="80" fillId="54" borderId="1" xfId="0" applyFont="1" applyFill="1" applyBorder="1" applyAlignment="1">
      <alignment horizontal="center"/>
    </xf>
    <xf numFmtId="0" fontId="0" fillId="0" borderId="106" xfId="0" applyBorder="1"/>
    <xf numFmtId="0" fontId="0" fillId="0" borderId="21" xfId="0" applyBorder="1"/>
    <xf numFmtId="0" fontId="80" fillId="234" borderId="1" xfId="131" applyFont="1" applyFill="1" applyBorder="1" applyAlignment="1">
      <alignment horizontal="center"/>
    </xf>
    <xf numFmtId="0" fontId="117" fillId="0" borderId="1" xfId="0" applyFont="1" applyBorder="1"/>
    <xf numFmtId="0" fontId="144" fillId="235" borderId="1" xfId="0" applyFont="1" applyFill="1" applyBorder="1" applyAlignment="1">
      <alignment horizontal="center" vertical="center" wrapText="1"/>
    </xf>
    <xf numFmtId="0" fontId="117" fillId="50" borderId="0" xfId="0" applyFont="1" applyFill="1" applyAlignment="1">
      <alignment wrapText="1"/>
    </xf>
    <xf numFmtId="0" fontId="80" fillId="236" borderId="1" xfId="0" applyFont="1" applyFill="1" applyBorder="1" applyAlignment="1">
      <alignment horizontal="center"/>
    </xf>
    <xf numFmtId="0" fontId="74" fillId="124" borderId="1" xfId="0" applyFont="1" applyFill="1" applyBorder="1" applyAlignment="1">
      <alignment horizontal="center" vertical="center" wrapText="1"/>
    </xf>
    <xf numFmtId="0" fontId="74" fillId="237" borderId="1" xfId="138" applyFont="1" applyFill="1" applyBorder="1" applyAlignment="1">
      <alignment horizontal="center" vertical="center" shrinkToFit="1"/>
    </xf>
    <xf numFmtId="0" fontId="74" fillId="63" borderId="1" xfId="0" applyFont="1" applyFill="1" applyBorder="1" applyAlignment="1">
      <alignment horizontal="center" vertical="center" wrapText="1"/>
    </xf>
    <xf numFmtId="0" fontId="83" fillId="238" borderId="1" xfId="138" applyFont="1" applyFill="1" applyBorder="1" applyAlignment="1">
      <alignment horizontal="center" vertical="center" shrinkToFit="1"/>
    </xf>
    <xf numFmtId="0" fontId="145" fillId="239" borderId="1" xfId="0" applyFont="1" applyFill="1" applyBorder="1" applyAlignment="1">
      <alignment horizontal="center" vertical="center" wrapText="1"/>
    </xf>
    <xf numFmtId="0" fontId="80" fillId="240" borderId="1" xfId="0" applyFont="1" applyFill="1" applyBorder="1" applyAlignment="1">
      <alignment horizontal="center"/>
    </xf>
    <xf numFmtId="0" fontId="79" fillId="241" borderId="1" xfId="0" applyFont="1" applyFill="1" applyBorder="1" applyAlignment="1">
      <alignment horizontal="center" vertical="center" wrapText="1"/>
    </xf>
    <xf numFmtId="0" fontId="74" fillId="96" borderId="1" xfId="0" applyFont="1" applyFill="1" applyBorder="1" applyAlignment="1">
      <alignment horizontal="center" vertical="center"/>
    </xf>
    <xf numFmtId="0" fontId="80" fillId="225" borderId="1" xfId="0" applyFont="1" applyFill="1" applyBorder="1" applyAlignment="1">
      <alignment horizontal="center"/>
    </xf>
    <xf numFmtId="0" fontId="133" fillId="0" borderId="0" xfId="138" applyFont="1" applyAlignment="1">
      <alignment shrinkToFit="1"/>
    </xf>
    <xf numFmtId="0" fontId="74" fillId="150" borderId="1" xfId="138" applyFont="1" applyFill="1" applyBorder="1" applyAlignment="1">
      <alignment horizontal="center" vertical="center" shrinkToFit="1"/>
    </xf>
    <xf numFmtId="0" fontId="109" fillId="0" borderId="0" xfId="138" applyFont="1" applyAlignment="1">
      <alignment vertical="center" shrinkToFit="1"/>
    </xf>
    <xf numFmtId="0" fontId="80" fillId="135" borderId="1" xfId="0" applyFont="1" applyFill="1" applyBorder="1" applyAlignment="1">
      <alignment horizontal="center"/>
    </xf>
    <xf numFmtId="0" fontId="83" fillId="242" borderId="1" xfId="138" applyFont="1" applyFill="1" applyBorder="1" applyAlignment="1">
      <alignment horizontal="center" vertical="center" shrinkToFit="1"/>
    </xf>
    <xf numFmtId="0" fontId="83" fillId="165" borderId="1" xfId="138" applyFont="1" applyFill="1" applyBorder="1" applyAlignment="1">
      <alignment horizontal="center" vertical="center" shrinkToFit="1"/>
    </xf>
    <xf numFmtId="0" fontId="74" fillId="50" borderId="51" xfId="0" applyFont="1" applyFill="1" applyBorder="1" applyAlignment="1">
      <alignment horizontal="center" vertical="center"/>
    </xf>
    <xf numFmtId="10" fontId="109" fillId="0" borderId="0" xfId="126" applyNumberFormat="1" applyFont="1" applyAlignment="1">
      <alignment vertical="center" shrinkToFit="1"/>
    </xf>
    <xf numFmtId="0" fontId="146" fillId="243" borderId="1" xfId="0" applyFont="1" applyFill="1" applyBorder="1" applyAlignment="1">
      <alignment horizontal="center" vertical="center" wrapText="1"/>
    </xf>
    <xf numFmtId="0" fontId="90" fillId="244" borderId="1" xfId="138" applyFont="1" applyFill="1" applyBorder="1" applyAlignment="1">
      <alignment horizontal="center" vertical="center" shrinkToFit="1"/>
    </xf>
    <xf numFmtId="0" fontId="147" fillId="245" borderId="1" xfId="0" applyFont="1" applyFill="1" applyBorder="1" applyAlignment="1">
      <alignment horizontal="center" vertical="center"/>
    </xf>
    <xf numFmtId="0" fontId="90" fillId="246" borderId="2" xfId="0" applyFont="1" applyFill="1" applyBorder="1" applyAlignment="1">
      <alignment horizontal="center" vertical="center"/>
    </xf>
    <xf numFmtId="0" fontId="74" fillId="180" borderId="2" xfId="138" applyFont="1" applyFill="1" applyBorder="1" applyAlignment="1">
      <alignment horizontal="center" vertical="center" shrinkToFit="1"/>
    </xf>
    <xf numFmtId="0" fontId="83" fillId="247" borderId="1" xfId="138" applyFont="1" applyFill="1" applyBorder="1" applyAlignment="1">
      <alignment horizontal="center" vertical="center" shrinkToFit="1"/>
    </xf>
    <xf numFmtId="0" fontId="83" fillId="248" borderId="1" xfId="138" applyFont="1" applyFill="1" applyBorder="1" applyAlignment="1">
      <alignment horizontal="center" vertical="center" shrinkToFit="1"/>
    </xf>
    <xf numFmtId="0" fontId="79" fillId="137" borderId="1" xfId="138" applyFont="1" applyFill="1" applyBorder="1" applyAlignment="1">
      <alignment horizontal="center" vertical="center" shrinkToFit="1"/>
    </xf>
    <xf numFmtId="0" fontId="83" fillId="249" borderId="1" xfId="138" applyFont="1" applyFill="1" applyBorder="1" applyAlignment="1">
      <alignment horizontal="center" vertical="center" shrinkToFit="1"/>
    </xf>
    <xf numFmtId="0" fontId="90" fillId="106" borderId="1" xfId="0" applyFont="1" applyFill="1" applyBorder="1" applyAlignment="1">
      <alignment horizontal="center" vertical="center" wrapText="1"/>
    </xf>
    <xf numFmtId="0" fontId="90" fillId="250" borderId="1" xfId="0" applyFont="1" applyFill="1" applyBorder="1" applyAlignment="1">
      <alignment horizontal="center" vertical="center"/>
    </xf>
    <xf numFmtId="0" fontId="80" fillId="134" borderId="1" xfId="0" applyFont="1" applyFill="1" applyBorder="1" applyAlignment="1">
      <alignment horizontal="center"/>
    </xf>
    <xf numFmtId="0" fontId="90" fillId="50" borderId="1" xfId="0" applyFont="1" applyFill="1" applyBorder="1" applyAlignment="1">
      <alignment horizontal="center" vertical="center" wrapText="1"/>
    </xf>
    <xf numFmtId="0" fontId="148" fillId="251" borderId="1" xfId="0" applyFont="1" applyFill="1" applyBorder="1" applyAlignment="1">
      <alignment horizontal="center" vertical="center" wrapText="1"/>
    </xf>
    <xf numFmtId="0" fontId="83" fillId="76" borderId="1" xfId="0" applyFont="1" applyFill="1" applyBorder="1" applyAlignment="1">
      <alignment horizontal="center" vertical="center" wrapText="1"/>
    </xf>
    <xf numFmtId="0" fontId="117" fillId="113" borderId="0" xfId="0" applyFont="1" applyFill="1"/>
    <xf numFmtId="0" fontId="149" fillId="35" borderId="1" xfId="0" applyFont="1" applyFill="1" applyBorder="1" applyAlignment="1">
      <alignment horizontal="center" vertical="center" wrapText="1"/>
    </xf>
    <xf numFmtId="171" fontId="109" fillId="139" borderId="0" xfId="138" applyNumberFormat="1" applyFont="1" applyFill="1" applyAlignment="1">
      <alignment horizontal="center" vertical="center"/>
    </xf>
    <xf numFmtId="0" fontId="74" fillId="55" borderId="1" xfId="0" applyFont="1" applyFill="1" applyBorder="1" applyAlignment="1">
      <alignment horizontal="center" vertical="center" wrapText="1"/>
    </xf>
    <xf numFmtId="0" fontId="83" fillId="55" borderId="1" xfId="0" applyFont="1" applyFill="1" applyBorder="1" applyAlignment="1">
      <alignment horizontal="center" vertical="center"/>
    </xf>
    <xf numFmtId="0" fontId="48" fillId="0" borderId="0" xfId="138" applyFont="1" applyAlignment="1">
      <alignment horizontal="center" shrinkToFit="1"/>
    </xf>
    <xf numFmtId="0" fontId="83" fillId="61" borderId="1" xfId="0" applyFont="1" applyFill="1" applyBorder="1" applyAlignment="1">
      <alignment horizontal="center" vertical="center"/>
    </xf>
    <xf numFmtId="0" fontId="74" fillId="252" borderId="1" xfId="138" applyFont="1" applyFill="1" applyBorder="1" applyAlignment="1">
      <alignment horizontal="center" vertical="center" shrinkToFit="1"/>
    </xf>
    <xf numFmtId="0" fontId="74" fillId="253" borderId="1" xfId="0" applyFont="1" applyFill="1" applyBorder="1" applyAlignment="1">
      <alignment horizontal="center" vertical="center"/>
    </xf>
    <xf numFmtId="0" fontId="121" fillId="50" borderId="1" xfId="0" applyFont="1" applyFill="1" applyBorder="1" applyAlignment="1">
      <alignment horizontal="center" vertical="center"/>
    </xf>
    <xf numFmtId="0" fontId="83" fillId="96" borderId="1" xfId="0" applyFont="1" applyFill="1" applyBorder="1" applyAlignment="1">
      <alignment horizontal="center" vertical="center"/>
    </xf>
    <xf numFmtId="0" fontId="74" fillId="76" borderId="1" xfId="0" applyFont="1" applyFill="1" applyBorder="1" applyAlignment="1">
      <alignment horizontal="center" vertical="center"/>
    </xf>
    <xf numFmtId="0" fontId="121" fillId="254" borderId="1" xfId="0" applyFont="1" applyFill="1" applyBorder="1" applyAlignment="1">
      <alignment horizontal="center" vertical="center"/>
    </xf>
    <xf numFmtId="0" fontId="83" fillId="255" borderId="1" xfId="0" applyFont="1" applyFill="1" applyBorder="1" applyAlignment="1">
      <alignment horizontal="center" vertical="center"/>
    </xf>
    <xf numFmtId="171" fontId="150" fillId="0" borderId="3" xfId="0" applyNumberFormat="1" applyFont="1" applyBorder="1" applyAlignment="1">
      <alignment horizontal="center" vertical="center"/>
    </xf>
    <xf numFmtId="0" fontId="117" fillId="0" borderId="108" xfId="0" applyFont="1" applyBorder="1"/>
    <xf numFmtId="0" fontId="74" fillId="114" borderId="1" xfId="0" applyFont="1" applyFill="1" applyBorder="1" applyAlignment="1">
      <alignment horizontal="center" vertical="center"/>
    </xf>
    <xf numFmtId="0" fontId="151" fillId="113" borderId="0" xfId="0" applyFont="1" applyFill="1"/>
    <xf numFmtId="0" fontId="121" fillId="256" borderId="1" xfId="0" applyFont="1" applyFill="1" applyBorder="1" applyAlignment="1">
      <alignment horizontal="center" vertical="center"/>
    </xf>
    <xf numFmtId="0" fontId="88" fillId="0" borderId="64" xfId="0" applyFont="1" applyBorder="1" applyAlignment="1" applyProtection="1">
      <alignment horizontal="center"/>
      <protection locked="0"/>
    </xf>
    <xf numFmtId="0" fontId="88" fillId="0" borderId="24" xfId="0" applyFont="1" applyBorder="1" applyAlignment="1" applyProtection="1">
      <alignment horizontal="center"/>
      <protection locked="0"/>
    </xf>
    <xf numFmtId="0" fontId="88" fillId="0" borderId="0" xfId="0" applyFont="1" applyAlignment="1" applyProtection="1">
      <alignment horizontal="center"/>
      <protection locked="0"/>
    </xf>
    <xf numFmtId="0" fontId="83" fillId="143" borderId="111" xfId="138" applyFont="1" applyFill="1" applyBorder="1" applyAlignment="1">
      <alignment horizontal="center" vertical="center" shrinkToFit="1"/>
    </xf>
    <xf numFmtId="0" fontId="117" fillId="61" borderId="0" xfId="0" applyFont="1" applyFill="1"/>
    <xf numFmtId="0" fontId="152" fillId="257" borderId="1" xfId="0" applyFont="1" applyFill="1" applyBorder="1" applyAlignment="1">
      <alignment horizontal="center" vertical="center"/>
    </xf>
    <xf numFmtId="0" fontId="74" fillId="35" borderId="17" xfId="138" applyFont="1" applyFill="1" applyBorder="1" applyAlignment="1">
      <alignment horizontal="center" vertical="center" shrinkToFit="1"/>
    </xf>
    <xf numFmtId="0" fontId="147" fillId="258" borderId="1" xfId="0" applyFont="1" applyFill="1" applyBorder="1" applyAlignment="1">
      <alignment horizontal="center" vertical="center" wrapText="1"/>
    </xf>
    <xf numFmtId="0" fontId="74" fillId="240" borderId="1" xfId="0" applyFont="1" applyFill="1" applyBorder="1" applyAlignment="1">
      <alignment horizontal="center" vertical="center"/>
    </xf>
    <xf numFmtId="0" fontId="117" fillId="44" borderId="28" xfId="0" applyFont="1" applyFill="1" applyBorder="1" applyAlignment="1">
      <alignment horizontal="center" wrapText="1"/>
    </xf>
    <xf numFmtId="0" fontId="74" fillId="259" borderId="1" xfId="138" applyFont="1" applyFill="1" applyBorder="1" applyAlignment="1">
      <alignment horizontal="center" vertical="center" shrinkToFit="1"/>
    </xf>
    <xf numFmtId="0" fontId="48" fillId="0" borderId="85" xfId="138" applyFont="1" applyBorder="1" applyAlignment="1">
      <alignment horizontal="center" shrinkToFit="1"/>
    </xf>
    <xf numFmtId="0" fontId="117" fillId="44" borderId="0" xfId="0" applyFont="1" applyFill="1" applyAlignment="1">
      <alignment horizontal="center" wrapText="1"/>
    </xf>
    <xf numFmtId="0" fontId="121" fillId="260" borderId="1" xfId="138" applyFont="1" applyFill="1" applyBorder="1" applyAlignment="1">
      <alignment horizontal="center" vertical="center" shrinkToFit="1"/>
    </xf>
    <xf numFmtId="171" fontId="52" fillId="182" borderId="1" xfId="141" applyNumberFormat="1" applyFont="1" applyFill="1" applyBorder="1" applyAlignment="1">
      <alignment vertical="center" shrinkToFit="1"/>
    </xf>
    <xf numFmtId="0" fontId="74" fillId="136" borderId="17" xfId="0" applyFont="1" applyFill="1" applyBorder="1" applyAlignment="1">
      <alignment horizontal="center" vertical="center"/>
    </xf>
    <xf numFmtId="0" fontId="74" fillId="222" borderId="1" xfId="0" applyFont="1" applyFill="1" applyBorder="1" applyAlignment="1">
      <alignment horizontal="center" vertical="center"/>
    </xf>
    <xf numFmtId="0" fontId="74" fillId="164" borderId="17" xfId="138" applyFont="1" applyFill="1" applyBorder="1" applyAlignment="1">
      <alignment horizontal="center" vertical="center" shrinkToFit="1"/>
    </xf>
    <xf numFmtId="0" fontId="127" fillId="261" borderId="1" xfId="0" applyFont="1" applyFill="1" applyBorder="1" applyAlignment="1">
      <alignment horizontal="center" vertical="center"/>
    </xf>
    <xf numFmtId="0" fontId="74" fillId="187" borderId="16" xfId="138" applyFont="1" applyFill="1" applyBorder="1" applyAlignment="1">
      <alignment horizontal="center" vertical="center" shrinkToFit="1"/>
    </xf>
    <xf numFmtId="0" fontId="74" fillId="262" borderId="1" xfId="0" applyFont="1" applyFill="1" applyBorder="1" applyAlignment="1">
      <alignment horizontal="center" vertical="center" wrapText="1"/>
    </xf>
    <xf numFmtId="0" fontId="74" fillId="50" borderId="1" xfId="0" applyFont="1" applyFill="1" applyBorder="1" applyAlignment="1">
      <alignment horizontal="center" vertical="center"/>
    </xf>
    <xf numFmtId="0" fontId="83" fillId="263" borderId="1" xfId="0" applyFont="1" applyFill="1" applyBorder="1" applyAlignment="1">
      <alignment horizontal="center" vertical="center" wrapText="1"/>
    </xf>
    <xf numFmtId="0" fontId="154" fillId="0" borderId="0" xfId="138" applyFont="1" applyAlignment="1">
      <alignment horizontal="center" vertical="center" shrinkToFit="1"/>
    </xf>
    <xf numFmtId="0" fontId="83" fillId="264" borderId="1" xfId="0" applyFont="1" applyFill="1" applyBorder="1" applyAlignment="1">
      <alignment horizontal="center" vertical="center" wrapText="1"/>
    </xf>
    <xf numFmtId="0" fontId="0" fillId="0" borderId="108" xfId="0" applyBorder="1"/>
    <xf numFmtId="0" fontId="83" fillId="265" borderId="1" xfId="0" applyFont="1" applyFill="1" applyBorder="1" applyAlignment="1">
      <alignment horizontal="center" vertical="center" wrapText="1"/>
    </xf>
    <xf numFmtId="0" fontId="117" fillId="0" borderId="36" xfId="0" applyFont="1" applyBorder="1"/>
    <xf numFmtId="0" fontId="143" fillId="266" borderId="1" xfId="0" applyFont="1" applyFill="1" applyBorder="1" applyAlignment="1">
      <alignment horizontal="center" vertical="center" wrapText="1"/>
    </xf>
    <xf numFmtId="0" fontId="135" fillId="0" borderId="0" xfId="138" applyFont="1" applyAlignment="1">
      <alignment horizontal="center" vertical="center" shrinkToFit="1"/>
    </xf>
    <xf numFmtId="0" fontId="155" fillId="267" borderId="111" xfId="138" applyFont="1" applyFill="1" applyBorder="1" applyAlignment="1">
      <alignment horizontal="center" vertical="center" shrinkToFit="1"/>
    </xf>
    <xf numFmtId="0" fontId="117" fillId="54" borderId="28" xfId="0" applyFont="1" applyFill="1" applyBorder="1" applyAlignment="1">
      <alignment horizontal="center" wrapText="1"/>
    </xf>
    <xf numFmtId="0" fontId="117" fillId="54" borderId="0" xfId="0" applyFont="1" applyFill="1" applyAlignment="1">
      <alignment horizontal="center" wrapText="1"/>
    </xf>
    <xf numFmtId="0" fontId="140" fillId="54" borderId="1" xfId="0" applyFont="1" applyFill="1" applyBorder="1" applyAlignment="1">
      <alignment horizontal="center" vertical="center"/>
    </xf>
    <xf numFmtId="0" fontId="83" fillId="54" borderId="1" xfId="0" applyFont="1" applyFill="1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79" fillId="35" borderId="1" xfId="0" applyFont="1" applyFill="1" applyBorder="1" applyAlignment="1">
      <alignment horizontal="center" vertical="center"/>
    </xf>
    <xf numFmtId="0" fontId="83" fillId="50" borderId="1" xfId="0" applyFont="1" applyFill="1" applyBorder="1" applyAlignment="1">
      <alignment horizontal="center" vertical="center"/>
    </xf>
    <xf numFmtId="0" fontId="144" fillId="268" borderId="1" xfId="0" applyFont="1" applyFill="1" applyBorder="1" applyAlignment="1">
      <alignment horizontal="center" vertical="center"/>
    </xf>
    <xf numFmtId="0" fontId="74" fillId="269" borderId="111" xfId="138" applyFont="1" applyFill="1" applyBorder="1" applyAlignment="1">
      <alignment horizontal="center" vertical="center" shrinkToFit="1"/>
    </xf>
    <xf numFmtId="0" fontId="117" fillId="55" borderId="0" xfId="0" applyFont="1" applyFill="1"/>
    <xf numFmtId="0" fontId="74" fillId="270" borderId="17" xfId="138" applyFont="1" applyFill="1" applyBorder="1" applyAlignment="1">
      <alignment horizontal="center" vertical="center" shrinkToFit="1"/>
    </xf>
    <xf numFmtId="0" fontId="74" fillId="35" borderId="111" xfId="0" applyFont="1" applyFill="1" applyBorder="1" applyAlignment="1">
      <alignment horizontal="center" vertical="center"/>
    </xf>
    <xf numFmtId="0" fontId="0" fillId="93" borderId="0" xfId="0" applyFill="1"/>
    <xf numFmtId="0" fontId="83" fillId="234" borderId="17" xfId="0" applyFont="1" applyFill="1" applyBorder="1" applyAlignment="1">
      <alignment horizontal="center" vertical="center"/>
    </xf>
    <xf numFmtId="0" fontId="0" fillId="56" borderId="1" xfId="0" applyFill="1" applyBorder="1"/>
    <xf numFmtId="0" fontId="74" fillId="271" borderId="1" xfId="0" applyFont="1" applyFill="1" applyBorder="1" applyAlignment="1">
      <alignment horizontal="center" vertical="center"/>
    </xf>
    <xf numFmtId="0" fontId="83" fillId="194" borderId="1" xfId="0" applyFont="1" applyFill="1" applyBorder="1" applyAlignment="1">
      <alignment horizontal="center" vertical="center"/>
    </xf>
    <xf numFmtId="0" fontId="74" fillId="272" borderId="1" xfId="138" applyFont="1" applyFill="1" applyBorder="1" applyAlignment="1">
      <alignment horizontal="center" vertical="center" shrinkToFit="1"/>
    </xf>
    <xf numFmtId="0" fontId="74" fillId="269" borderId="1" xfId="138" applyFont="1" applyFill="1" applyBorder="1" applyAlignment="1">
      <alignment horizontal="center" vertical="center" shrinkToFit="1"/>
    </xf>
    <xf numFmtId="0" fontId="74" fillId="273" borderId="111" xfId="138" applyFont="1" applyFill="1" applyBorder="1" applyAlignment="1">
      <alignment horizontal="center" vertical="center" shrinkToFit="1"/>
    </xf>
    <xf numFmtId="0" fontId="117" fillId="234" borderId="28" xfId="0" applyFont="1" applyFill="1" applyBorder="1" applyAlignment="1">
      <alignment horizontal="center" wrapText="1"/>
    </xf>
    <xf numFmtId="0" fontId="74" fillId="274" borderId="17" xfId="138" applyFont="1" applyFill="1" applyBorder="1" applyAlignment="1">
      <alignment horizontal="center" vertical="center" shrinkToFit="1"/>
    </xf>
    <xf numFmtId="0" fontId="117" fillId="234" borderId="0" xfId="0" applyFont="1" applyFill="1" applyAlignment="1">
      <alignment horizontal="center" wrapText="1"/>
    </xf>
    <xf numFmtId="0" fontId="74" fillId="237" borderId="17" xfId="138" applyFont="1" applyFill="1" applyBorder="1" applyAlignment="1">
      <alignment horizontal="center" vertical="center" shrinkToFit="1"/>
    </xf>
    <xf numFmtId="0" fontId="74" fillId="161" borderId="111" xfId="138" applyFont="1" applyFill="1" applyBorder="1" applyAlignment="1">
      <alignment horizontal="center" vertical="center" shrinkToFit="1"/>
    </xf>
    <xf numFmtId="0" fontId="74" fillId="275" borderId="17" xfId="138" applyFont="1" applyFill="1" applyBorder="1" applyAlignment="1">
      <alignment horizontal="center" vertical="center" shrinkToFit="1"/>
    </xf>
    <xf numFmtId="0" fontId="74" fillId="276" borderId="16" xfId="138" applyFont="1" applyFill="1" applyBorder="1" applyAlignment="1">
      <alignment horizontal="center" vertical="center" shrinkToFit="1"/>
    </xf>
    <xf numFmtId="0" fontId="74" fillId="165" borderId="111" xfId="138" applyFont="1" applyFill="1" applyBorder="1" applyAlignment="1">
      <alignment horizontal="center" vertical="center" shrinkToFit="1"/>
    </xf>
    <xf numFmtId="0" fontId="74" fillId="165" borderId="35" xfId="138" applyFont="1" applyFill="1" applyBorder="1" applyAlignment="1">
      <alignment horizontal="center" vertical="center" shrinkToFit="1"/>
    </xf>
    <xf numFmtId="0" fontId="90" fillId="136" borderId="1" xfId="138" applyFont="1" applyFill="1" applyBorder="1" applyAlignment="1">
      <alignment horizontal="center" vertical="center" shrinkToFit="1"/>
    </xf>
    <xf numFmtId="0" fontId="117" fillId="35" borderId="0" xfId="0" applyFont="1" applyFill="1"/>
    <xf numFmtId="0" fontId="83" fillId="277" borderId="118" xfId="138" applyFont="1" applyFill="1" applyBorder="1" applyAlignment="1">
      <alignment horizontal="center" vertical="center" shrinkToFit="1"/>
    </xf>
    <xf numFmtId="0" fontId="83" fillId="278" borderId="111" xfId="138" applyFont="1" applyFill="1" applyBorder="1" applyAlignment="1">
      <alignment horizontal="center" vertical="center" shrinkToFit="1"/>
    </xf>
    <xf numFmtId="0" fontId="0" fillId="92" borderId="0" xfId="0" applyFill="1"/>
    <xf numFmtId="0" fontId="74" fillId="0" borderId="1" xfId="0" applyFont="1" applyBorder="1"/>
    <xf numFmtId="0" fontId="117" fillId="136" borderId="0" xfId="0" applyFont="1" applyFill="1"/>
    <xf numFmtId="0" fontId="74" fillId="279" borderId="111" xfId="138" applyFont="1" applyFill="1" applyBorder="1" applyAlignment="1">
      <alignment horizontal="center" vertical="center" shrinkToFit="1"/>
    </xf>
    <xf numFmtId="0" fontId="83" fillId="176" borderId="111" xfId="138" applyFont="1" applyFill="1" applyBorder="1" applyAlignment="1">
      <alignment horizontal="center" vertical="center" shrinkToFit="1"/>
    </xf>
    <xf numFmtId="0" fontId="0" fillId="136" borderId="0" xfId="0" applyFill="1"/>
    <xf numFmtId="0" fontId="74" fillId="280" borderId="111" xfId="138" applyFont="1" applyFill="1" applyBorder="1" applyAlignment="1">
      <alignment horizontal="center" vertical="center" shrinkToFit="1"/>
    </xf>
    <xf numFmtId="0" fontId="74" fillId="281" borderId="111" xfId="138" applyFont="1" applyFill="1" applyBorder="1" applyAlignment="1">
      <alignment horizontal="center" vertical="center" shrinkToFit="1"/>
    </xf>
    <xf numFmtId="0" fontId="74" fillId="282" borderId="111" xfId="138" applyFont="1" applyFill="1" applyBorder="1" applyAlignment="1">
      <alignment horizontal="center" vertical="center" shrinkToFit="1"/>
    </xf>
    <xf numFmtId="0" fontId="74" fillId="283" borderId="111" xfId="138" applyFont="1" applyFill="1" applyBorder="1" applyAlignment="1">
      <alignment horizontal="center" vertical="center" shrinkToFit="1"/>
    </xf>
    <xf numFmtId="0" fontId="156" fillId="284" borderId="1" xfId="138" applyFont="1" applyFill="1" applyBorder="1" applyAlignment="1">
      <alignment horizontal="center" vertical="center" shrinkToFit="1"/>
    </xf>
    <xf numFmtId="0" fontId="0" fillId="146" borderId="0" xfId="0" applyFill="1"/>
    <xf numFmtId="0" fontId="74" fillId="285" borderId="111" xfId="138" applyFont="1" applyFill="1" applyBorder="1" applyAlignment="1">
      <alignment horizontal="center" vertical="center" shrinkToFit="1"/>
    </xf>
    <xf numFmtId="0" fontId="157" fillId="286" borderId="1" xfId="138" applyFont="1" applyFill="1" applyBorder="1" applyAlignment="1">
      <alignment horizontal="center" vertical="center" shrinkToFit="1"/>
    </xf>
    <xf numFmtId="0" fontId="74" fillId="287" borderId="111" xfId="138" applyFont="1" applyFill="1" applyBorder="1" applyAlignment="1">
      <alignment horizontal="center" vertical="center" shrinkToFit="1"/>
    </xf>
    <xf numFmtId="0" fontId="83" fillId="288" borderId="1" xfId="138" applyFont="1" applyFill="1" applyBorder="1" applyAlignment="1">
      <alignment horizontal="center" vertical="center" shrinkToFit="1"/>
    </xf>
    <xf numFmtId="0" fontId="74" fillId="289" borderId="111" xfId="138" applyFont="1" applyFill="1" applyBorder="1" applyAlignment="1">
      <alignment horizontal="center" vertical="center" shrinkToFit="1"/>
    </xf>
    <xf numFmtId="0" fontId="158" fillId="290" borderId="1" xfId="138" applyFont="1" applyFill="1" applyBorder="1" applyAlignment="1">
      <alignment horizontal="center" vertical="center" shrinkToFit="1"/>
    </xf>
    <xf numFmtId="0" fontId="74" fillId="291" borderId="111" xfId="138" applyFont="1" applyFill="1" applyBorder="1" applyAlignment="1">
      <alignment horizontal="center" vertical="center" shrinkToFit="1"/>
    </xf>
    <xf numFmtId="0" fontId="80" fillId="0" borderId="2" xfId="0" applyFont="1" applyBorder="1"/>
    <xf numFmtId="0" fontId="90" fillId="35" borderId="1" xfId="138" applyFont="1" applyFill="1" applyBorder="1" applyAlignment="1">
      <alignment horizontal="center" vertical="center" shrinkToFit="1"/>
    </xf>
    <xf numFmtId="0" fontId="83" fillId="0" borderId="118" xfId="138" applyFont="1" applyBorder="1" applyAlignment="1">
      <alignment horizontal="center" vertical="center" shrinkToFit="1"/>
    </xf>
    <xf numFmtId="0" fontId="74" fillId="0" borderId="108" xfId="138" applyFont="1" applyBorder="1" applyAlignment="1">
      <alignment horizontal="center" vertical="center" shrinkToFit="1"/>
    </xf>
    <xf numFmtId="0" fontId="74" fillId="0" borderId="0" xfId="138" applyFont="1" applyAlignment="1">
      <alignment horizontal="center" vertical="center" shrinkToFit="1"/>
    </xf>
    <xf numFmtId="0" fontId="80" fillId="0" borderId="0" xfId="0" applyFont="1"/>
    <xf numFmtId="171" fontId="80" fillId="0" borderId="0" xfId="0" applyNumberFormat="1" applyFont="1" applyAlignment="1">
      <alignment horizontal="center" vertical="center"/>
    </xf>
    <xf numFmtId="0" fontId="0" fillId="0" borderId="120" xfId="0" applyBorder="1"/>
    <xf numFmtId="0" fontId="0" fillId="0" borderId="121" xfId="0" applyBorder="1"/>
    <xf numFmtId="0" fontId="12" fillId="0" borderId="122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33" fillId="0" borderId="0" xfId="138" applyFont="1" applyAlignment="1">
      <alignment horizontal="center" shrinkToFit="1"/>
    </xf>
    <xf numFmtId="10" fontId="109" fillId="0" borderId="0" xfId="126" applyNumberFormat="1" applyFont="1" applyAlignment="1">
      <alignment horizontal="center" vertical="center" shrinkToFit="1"/>
    </xf>
    <xf numFmtId="0" fontId="12" fillId="63" borderId="0" xfId="0" applyFont="1" applyFill="1" applyAlignment="1">
      <alignment horizontal="center" vertical="center"/>
    </xf>
    <xf numFmtId="0" fontId="80" fillId="0" borderId="1" xfId="0" applyFont="1" applyBorder="1" applyAlignment="1">
      <alignment horizontal="center"/>
    </xf>
    <xf numFmtId="0" fontId="73" fillId="0" borderId="0" xfId="0" applyFont="1" applyAlignment="1">
      <alignment horizontal="center" vertical="center"/>
    </xf>
    <xf numFmtId="0" fontId="60" fillId="0" borderId="0" xfId="0" applyFont="1"/>
    <xf numFmtId="0" fontId="55" fillId="0" borderId="0" xfId="118" applyFont="1" applyAlignment="1">
      <alignment horizontal="center" vertical="center"/>
    </xf>
    <xf numFmtId="0" fontId="56" fillId="0" borderId="1" xfId="131" applyFont="1" applyBorder="1" applyAlignment="1">
      <alignment horizontal="center"/>
    </xf>
    <xf numFmtId="0" fontId="64" fillId="0" borderId="0" xfId="0" applyFont="1" applyAlignment="1">
      <alignment horizontal="center"/>
    </xf>
    <xf numFmtId="0" fontId="83" fillId="0" borderId="1" xfId="138" applyFont="1" applyBorder="1" applyAlignment="1">
      <alignment horizontal="center" vertical="center" shrinkToFit="1"/>
    </xf>
    <xf numFmtId="0" fontId="80" fillId="0" borderId="52" xfId="131" applyFont="1" applyBorder="1" applyAlignment="1">
      <alignment horizontal="center"/>
    </xf>
    <xf numFmtId="0" fontId="59" fillId="0" borderId="1" xfId="131" applyFont="1" applyBorder="1" applyAlignment="1">
      <alignment horizontal="center"/>
    </xf>
    <xf numFmtId="0" fontId="61" fillId="0" borderId="19" xfId="0" applyFont="1" applyBorder="1" applyAlignment="1">
      <alignment horizontal="center"/>
    </xf>
    <xf numFmtId="0" fontId="61" fillId="0" borderId="18" xfId="0" applyFont="1" applyBorder="1" applyAlignment="1">
      <alignment horizontal="center"/>
    </xf>
    <xf numFmtId="0" fontId="61" fillId="0" borderId="63" xfId="0" applyFont="1" applyBorder="1" applyAlignment="1">
      <alignment horizontal="center"/>
    </xf>
    <xf numFmtId="0" fontId="59" fillId="0" borderId="51" xfId="131" applyFont="1" applyBorder="1" applyAlignment="1">
      <alignment horizontal="center"/>
    </xf>
    <xf numFmtId="0" fontId="67" fillId="0" borderId="68" xfId="131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0" fontId="69" fillId="0" borderId="0" xfId="0" applyFont="1" applyAlignment="1">
      <alignment horizontal="center" vertical="center"/>
    </xf>
    <xf numFmtId="0" fontId="48" fillId="0" borderId="0" xfId="135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94" fillId="0" borderId="0" xfId="118" applyFont="1" applyAlignment="1">
      <alignment horizontal="center" vertical="center"/>
    </xf>
    <xf numFmtId="0" fontId="56" fillId="0" borderId="51" xfId="131" applyFont="1" applyBorder="1" applyAlignment="1">
      <alignment horizontal="center"/>
    </xf>
    <xf numFmtId="0" fontId="77" fillId="0" borderId="1" xfId="131" applyFont="1" applyBorder="1" applyAlignment="1">
      <alignment horizontal="center"/>
    </xf>
    <xf numFmtId="0" fontId="61" fillId="0" borderId="0" xfId="0" applyFont="1" applyAlignment="1">
      <alignment horizontal="center"/>
    </xf>
    <xf numFmtId="0" fontId="67" fillId="0" borderId="2" xfId="131" applyFont="1" applyBorder="1" applyAlignment="1">
      <alignment horizontal="center"/>
    </xf>
    <xf numFmtId="0" fontId="62" fillId="0" borderId="1" xfId="138" applyFont="1" applyBorder="1" applyAlignment="1">
      <alignment horizontal="center" vertical="center" shrinkToFit="1"/>
    </xf>
    <xf numFmtId="0" fontId="75" fillId="0" borderId="1" xfId="0" applyFont="1" applyBorder="1" applyAlignment="1">
      <alignment horizontal="center" vertical="center"/>
    </xf>
    <xf numFmtId="0" fontId="93" fillId="0" borderId="1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/>
    </xf>
    <xf numFmtId="0" fontId="65" fillId="0" borderId="0" xfId="0" applyFont="1" applyAlignment="1">
      <alignment vertical="center"/>
    </xf>
    <xf numFmtId="0" fontId="9" fillId="0" borderId="0" xfId="0" applyFont="1"/>
    <xf numFmtId="0" fontId="73" fillId="0" borderId="0" xfId="0" applyFont="1" applyAlignment="1">
      <alignment vertical="center" textRotation="90"/>
    </xf>
    <xf numFmtId="0" fontId="73" fillId="0" borderId="0" xfId="0" applyFont="1" applyAlignment="1">
      <alignment horizontal="center" vertical="center" textRotation="90"/>
    </xf>
    <xf numFmtId="0" fontId="59" fillId="0" borderId="51" xfId="0" applyFont="1" applyBorder="1" applyAlignment="1">
      <alignment horizontal="center"/>
    </xf>
    <xf numFmtId="170" fontId="73" fillId="0" borderId="0" xfId="0" applyNumberFormat="1" applyFont="1" applyAlignment="1">
      <alignment horizontal="center" vertical="center"/>
    </xf>
    <xf numFmtId="0" fontId="67" fillId="0" borderId="47" xfId="131" applyFont="1" applyBorder="1"/>
    <xf numFmtId="0" fontId="64" fillId="0" borderId="19" xfId="0" applyFont="1" applyBorder="1" applyAlignment="1">
      <alignment horizont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0" borderId="0" xfId="135" applyFont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69" fillId="0" borderId="28" xfId="0" applyFont="1" applyBorder="1" applyAlignment="1">
      <alignment horizontal="center" vertical="center"/>
    </xf>
    <xf numFmtId="0" fontId="53" fillId="92" borderId="4" xfId="0" applyFont="1" applyFill="1" applyBorder="1" applyAlignment="1">
      <alignment horizontal="center" vertical="center"/>
    </xf>
    <xf numFmtId="0" fontId="53" fillId="92" borderId="22" xfId="0" applyFont="1" applyFill="1" applyBorder="1" applyAlignment="1">
      <alignment horizontal="center" vertical="center"/>
    </xf>
    <xf numFmtId="0" fontId="53" fillId="92" borderId="5" xfId="0" applyFont="1" applyFill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4" fillId="0" borderId="24" xfId="0" applyFont="1" applyBorder="1" applyAlignment="1">
      <alignment horizontal="center" vertical="center"/>
    </xf>
    <xf numFmtId="0" fontId="54" fillId="0" borderId="25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57" fillId="0" borderId="30" xfId="0" applyFont="1" applyBorder="1" applyAlignment="1">
      <alignment horizontal="center" vertical="center"/>
    </xf>
    <xf numFmtId="0" fontId="57" fillId="0" borderId="31" xfId="0" applyFont="1" applyBorder="1" applyAlignment="1">
      <alignment horizontal="center" vertical="center"/>
    </xf>
    <xf numFmtId="0" fontId="57" fillId="0" borderId="32" xfId="0" applyFont="1" applyBorder="1" applyAlignment="1">
      <alignment horizontal="center" vertical="center"/>
    </xf>
    <xf numFmtId="0" fontId="57" fillId="0" borderId="3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0" borderId="38" xfId="0" applyFont="1" applyBorder="1" applyAlignment="1">
      <alignment horizontal="center" vertical="center"/>
    </xf>
    <xf numFmtId="0" fontId="57" fillId="0" borderId="43" xfId="0" applyFont="1" applyBorder="1" applyAlignment="1">
      <alignment horizontal="center" vertical="center"/>
    </xf>
    <xf numFmtId="0" fontId="57" fillId="0" borderId="44" xfId="0" applyFont="1" applyBorder="1" applyAlignment="1">
      <alignment horizontal="center" vertical="center"/>
    </xf>
    <xf numFmtId="0" fontId="57" fillId="0" borderId="45" xfId="0" applyFont="1" applyBorder="1" applyAlignment="1">
      <alignment horizontal="center" vertical="center"/>
    </xf>
    <xf numFmtId="0" fontId="25" fillId="97" borderId="33" xfId="0" applyFont="1" applyFill="1" applyBorder="1" applyAlignment="1">
      <alignment horizontal="center"/>
    </xf>
    <xf numFmtId="0" fontId="25" fillId="97" borderId="31" xfId="0" applyFont="1" applyFill="1" applyBorder="1" applyAlignment="1">
      <alignment horizontal="center"/>
    </xf>
    <xf numFmtId="0" fontId="60" fillId="97" borderId="31" xfId="0" applyFont="1" applyFill="1" applyBorder="1" applyAlignment="1">
      <alignment horizontal="center"/>
    </xf>
    <xf numFmtId="0" fontId="65" fillId="0" borderId="39" xfId="0" applyFont="1" applyBorder="1" applyAlignment="1">
      <alignment horizontal="center"/>
    </xf>
    <xf numFmtId="0" fontId="65" fillId="0" borderId="40" xfId="0" applyFont="1" applyBorder="1" applyAlignment="1">
      <alignment horizontal="center"/>
    </xf>
    <xf numFmtId="0" fontId="25" fillId="0" borderId="28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 textRotation="255"/>
    </xf>
    <xf numFmtId="0" fontId="9" fillId="0" borderId="42" xfId="0" applyFont="1" applyBorder="1"/>
    <xf numFmtId="0" fontId="9" fillId="0" borderId="35" xfId="0" applyFont="1" applyBorder="1"/>
    <xf numFmtId="0" fontId="9" fillId="0" borderId="46" xfId="0" applyFont="1" applyBorder="1"/>
    <xf numFmtId="0" fontId="9" fillId="0" borderId="48" xfId="0" applyFont="1" applyBorder="1"/>
    <xf numFmtId="0" fontId="9" fillId="0" borderId="20" xfId="0" applyFont="1" applyBorder="1"/>
    <xf numFmtId="0" fontId="67" fillId="0" borderId="0" xfId="0" applyFont="1" applyAlignment="1">
      <alignment horizontal="center" vertical="center"/>
    </xf>
    <xf numFmtId="0" fontId="68" fillId="0" borderId="0" xfId="138" applyFont="1" applyAlignment="1">
      <alignment horizontal="center" vertical="center" shrinkToFit="1"/>
    </xf>
    <xf numFmtId="0" fontId="60" fillId="0" borderId="47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54" fillId="0" borderId="0" xfId="0" applyFont="1" applyAlignment="1">
      <alignment horizontal="center"/>
    </xf>
    <xf numFmtId="0" fontId="0" fillId="0" borderId="0" xfId="0" applyAlignment="1">
      <alignment vertical="center"/>
    </xf>
    <xf numFmtId="0" fontId="71" fillId="35" borderId="0" xfId="0" applyFont="1" applyFill="1" applyAlignment="1">
      <alignment horizontal="center"/>
    </xf>
    <xf numFmtId="0" fontId="67" fillId="0" borderId="21" xfId="0" applyFont="1" applyBorder="1" applyAlignment="1">
      <alignment horizontal="center" vertical="center"/>
    </xf>
    <xf numFmtId="0" fontId="54" fillId="0" borderId="39" xfId="0" applyFont="1" applyBorder="1" applyAlignment="1">
      <alignment horizontal="center" vertical="center" wrapText="1"/>
    </xf>
    <xf numFmtId="0" fontId="9" fillId="0" borderId="55" xfId="0" applyFont="1" applyBorder="1"/>
    <xf numFmtId="0" fontId="9" fillId="0" borderId="60" xfId="0" applyFont="1" applyBorder="1"/>
    <xf numFmtId="0" fontId="54" fillId="0" borderId="40" xfId="0" applyFont="1" applyBorder="1" applyAlignment="1">
      <alignment horizontal="center" vertical="center"/>
    </xf>
    <xf numFmtId="0" fontId="9" fillId="0" borderId="40" xfId="0" applyFont="1" applyBorder="1"/>
    <xf numFmtId="0" fontId="9" fillId="0" borderId="21" xfId="0" applyFont="1" applyBorder="1"/>
    <xf numFmtId="0" fontId="60" fillId="0" borderId="28" xfId="0" applyFont="1" applyBorder="1" applyAlignment="1">
      <alignment horizontal="center" vertical="center"/>
    </xf>
    <xf numFmtId="0" fontId="88" fillId="0" borderId="57" xfId="0" applyFont="1" applyBorder="1" applyAlignment="1">
      <alignment horizontal="center" vertical="center"/>
    </xf>
    <xf numFmtId="0" fontId="88" fillId="0" borderId="59" xfId="0" applyFont="1" applyBorder="1" applyAlignment="1">
      <alignment horizontal="center" vertical="center"/>
    </xf>
    <xf numFmtId="0" fontId="90" fillId="0" borderId="47" xfId="138" applyFont="1" applyBorder="1" applyAlignment="1">
      <alignment horizontal="center" vertical="center" shrinkToFit="1"/>
    </xf>
    <xf numFmtId="0" fontId="65" fillId="0" borderId="47" xfId="0" applyFont="1" applyBorder="1" applyAlignment="1">
      <alignment horizontal="center" vertical="center"/>
    </xf>
    <xf numFmtId="0" fontId="73" fillId="35" borderId="53" xfId="0" applyFont="1" applyFill="1" applyBorder="1" applyAlignment="1">
      <alignment horizontal="center" vertical="center" textRotation="90"/>
    </xf>
    <xf numFmtId="0" fontId="73" fillId="35" borderId="54" xfId="0" applyFont="1" applyFill="1" applyBorder="1" applyAlignment="1">
      <alignment horizontal="center" vertical="center" textRotation="90"/>
    </xf>
    <xf numFmtId="0" fontId="73" fillId="35" borderId="56" xfId="0" applyFont="1" applyFill="1" applyBorder="1" applyAlignment="1">
      <alignment horizontal="center" vertical="center" textRotation="90"/>
    </xf>
    <xf numFmtId="0" fontId="32" fillId="35" borderId="0" xfId="0" applyFont="1" applyFill="1" applyAlignment="1">
      <alignment horizontal="center"/>
    </xf>
    <xf numFmtId="0" fontId="32" fillId="35" borderId="58" xfId="0" applyFont="1" applyFill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84" fillId="0" borderId="0" xfId="0" applyFont="1"/>
    <xf numFmtId="0" fontId="73" fillId="0" borderId="0" xfId="0" applyFont="1" applyAlignment="1">
      <alignment horizontal="center" vertical="center"/>
    </xf>
    <xf numFmtId="0" fontId="60" fillId="0" borderId="61" xfId="0" applyFont="1" applyBorder="1" applyAlignment="1">
      <alignment horizontal="center"/>
    </xf>
    <xf numFmtId="0" fontId="60" fillId="0" borderId="47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7" fillId="0" borderId="28" xfId="131" applyFont="1" applyBorder="1" applyAlignment="1">
      <alignment horizontal="center"/>
    </xf>
    <xf numFmtId="0" fontId="86" fillId="35" borderId="0" xfId="0" applyFont="1" applyFill="1" applyAlignment="1">
      <alignment horizontal="center" vertical="center"/>
    </xf>
    <xf numFmtId="0" fontId="30" fillId="0" borderId="66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73" fillId="35" borderId="0" xfId="0" applyFont="1" applyFill="1" applyAlignment="1">
      <alignment horizontal="center" vertical="center"/>
    </xf>
    <xf numFmtId="0" fontId="67" fillId="0" borderId="0" xfId="131" applyFont="1" applyAlignment="1">
      <alignment horizontal="center"/>
    </xf>
    <xf numFmtId="0" fontId="91" fillId="0" borderId="0" xfId="0" applyFont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35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5" fillId="35" borderId="39" xfId="0" applyFont="1" applyFill="1" applyBorder="1" applyAlignment="1">
      <alignment horizontal="center"/>
    </xf>
    <xf numFmtId="0" fontId="65" fillId="35" borderId="40" xfId="0" applyFont="1" applyFill="1" applyBorder="1" applyAlignment="1">
      <alignment horizontal="center"/>
    </xf>
    <xf numFmtId="0" fontId="25" fillId="35" borderId="28" xfId="0" applyFont="1" applyFill="1" applyBorder="1" applyAlignment="1">
      <alignment horizontal="center" vertical="center"/>
    </xf>
    <xf numFmtId="0" fontId="67" fillId="35" borderId="0" xfId="0" applyFont="1" applyFill="1" applyAlignment="1">
      <alignment horizontal="center" vertical="center"/>
    </xf>
    <xf numFmtId="0" fontId="68" fillId="35" borderId="0" xfId="138" applyFont="1" applyFill="1" applyAlignment="1">
      <alignment horizontal="center" vertical="center" shrinkToFit="1"/>
    </xf>
    <xf numFmtId="0" fontId="60" fillId="35" borderId="28" xfId="0" applyFont="1" applyFill="1" applyBorder="1" applyAlignment="1">
      <alignment horizontal="center" vertical="center"/>
    </xf>
    <xf numFmtId="0" fontId="60" fillId="35" borderId="47" xfId="0" applyFont="1" applyFill="1" applyBorder="1" applyAlignment="1">
      <alignment horizontal="center" vertical="center"/>
    </xf>
    <xf numFmtId="0" fontId="69" fillId="88" borderId="0" xfId="0" applyFont="1" applyFill="1" applyAlignment="1">
      <alignment horizontal="center" vertical="center"/>
    </xf>
    <xf numFmtId="0" fontId="25" fillId="35" borderId="28" xfId="0" applyFont="1" applyFill="1" applyBorder="1" applyAlignment="1">
      <alignment horizontal="center"/>
    </xf>
    <xf numFmtId="0" fontId="69" fillId="88" borderId="28" xfId="0" applyFont="1" applyFill="1" applyBorder="1" applyAlignment="1">
      <alignment horizontal="center" vertical="center"/>
    </xf>
    <xf numFmtId="0" fontId="25" fillId="35" borderId="47" xfId="0" applyFont="1" applyFill="1" applyBorder="1" applyAlignment="1">
      <alignment horizontal="center" vertical="center"/>
    </xf>
    <xf numFmtId="0" fontId="90" fillId="35" borderId="47" xfId="138" applyFont="1" applyFill="1" applyBorder="1" applyAlignment="1">
      <alignment horizontal="center" vertical="center" shrinkToFit="1"/>
    </xf>
    <xf numFmtId="0" fontId="65" fillId="35" borderId="47" xfId="0" applyFont="1" applyFill="1" applyBorder="1" applyAlignment="1">
      <alignment horizontal="center" vertical="center"/>
    </xf>
    <xf numFmtId="0" fontId="60" fillId="35" borderId="61" xfId="0" applyFont="1" applyFill="1" applyBorder="1" applyAlignment="1">
      <alignment horizontal="center"/>
    </xf>
    <xf numFmtId="0" fontId="60" fillId="35" borderId="47" xfId="0" applyFont="1" applyFill="1" applyBorder="1" applyAlignment="1">
      <alignment horizontal="center"/>
    </xf>
    <xf numFmtId="0" fontId="67" fillId="35" borderId="28" xfId="131" applyFont="1" applyFill="1" applyBorder="1" applyAlignment="1">
      <alignment horizontal="center"/>
    </xf>
    <xf numFmtId="0" fontId="67" fillId="35" borderId="0" xfId="131" applyFont="1" applyFill="1" applyAlignment="1">
      <alignment horizontal="center"/>
    </xf>
    <xf numFmtId="0" fontId="91" fillId="88" borderId="0" xfId="0" applyFont="1" applyFill="1" applyAlignment="1">
      <alignment horizontal="center" vertical="center"/>
    </xf>
    <xf numFmtId="0" fontId="32" fillId="129" borderId="28" xfId="0" applyFont="1" applyFill="1" applyBorder="1" applyAlignment="1">
      <alignment horizontal="center" vertical="center"/>
    </xf>
    <xf numFmtId="0" fontId="65" fillId="35" borderId="0" xfId="0" applyFont="1" applyFill="1" applyAlignment="1">
      <alignment horizontal="center"/>
    </xf>
    <xf numFmtId="0" fontId="65" fillId="35" borderId="35" xfId="0" applyFont="1" applyFill="1" applyBorder="1" applyAlignment="1">
      <alignment horizontal="center" vertical="center"/>
    </xf>
    <xf numFmtId="0" fontId="65" fillId="35" borderId="0" xfId="0" applyFont="1" applyFill="1" applyAlignment="1">
      <alignment horizontal="center" vertical="center"/>
    </xf>
    <xf numFmtId="14" fontId="103" fillId="0" borderId="1" xfId="0" applyNumberFormat="1" applyFont="1" applyBorder="1" applyAlignment="1">
      <alignment horizontal="center" wrapText="1"/>
    </xf>
    <xf numFmtId="0" fontId="103" fillId="0" borderId="1" xfId="0" applyFont="1" applyBorder="1" applyAlignment="1" applyProtection="1">
      <alignment horizontal="center" wrapText="1"/>
      <protection locked="0"/>
    </xf>
    <xf numFmtId="0" fontId="95" fillId="132" borderId="4" xfId="255" applyFont="1" applyFill="1" applyBorder="1" applyAlignment="1">
      <alignment horizontal="center" vertical="top" shrinkToFit="1"/>
    </xf>
    <xf numFmtId="0" fontId="96" fillId="132" borderId="22" xfId="255" applyFont="1" applyFill="1" applyBorder="1" applyAlignment="1">
      <alignment horizontal="center" vertical="top" shrinkToFit="1"/>
    </xf>
    <xf numFmtId="0" fontId="96" fillId="132" borderId="5" xfId="255" applyFont="1" applyFill="1" applyBorder="1" applyAlignment="1">
      <alignment horizontal="center" vertical="top" shrinkToFit="1"/>
    </xf>
    <xf numFmtId="171" fontId="97" fillId="132" borderId="4" xfId="255" applyNumberFormat="1" applyFont="1" applyFill="1" applyBorder="1" applyAlignment="1">
      <alignment horizontal="center" vertical="center" shrinkToFit="1"/>
    </xf>
    <xf numFmtId="171" fontId="97" fillId="132" borderId="22" xfId="255" applyNumberFormat="1" applyFont="1" applyFill="1" applyBorder="1" applyAlignment="1">
      <alignment horizontal="center" vertical="center" shrinkToFit="1"/>
    </xf>
    <xf numFmtId="171" fontId="97" fillId="132" borderId="5" xfId="255" applyNumberFormat="1" applyFont="1" applyFill="1" applyBorder="1" applyAlignment="1">
      <alignment horizontal="center" vertical="center" shrinkToFit="1"/>
    </xf>
    <xf numFmtId="0" fontId="98" fillId="133" borderId="1" xfId="0" applyFont="1" applyFill="1" applyBorder="1" applyAlignment="1">
      <alignment horizontal="center" vertical="center" wrapText="1"/>
    </xf>
    <xf numFmtId="0" fontId="103" fillId="134" borderId="1" xfId="0" applyFont="1" applyFill="1" applyBorder="1" applyAlignment="1">
      <alignment horizontal="center" wrapText="1"/>
    </xf>
    <xf numFmtId="0" fontId="104" fillId="0" borderId="35" xfId="0" applyFont="1" applyBorder="1" applyAlignment="1">
      <alignment horizontal="center"/>
    </xf>
    <xf numFmtId="0" fontId="104" fillId="0" borderId="36" xfId="0" applyFont="1" applyBorder="1" applyAlignment="1">
      <alignment horizontal="center"/>
    </xf>
    <xf numFmtId="0" fontId="107" fillId="101" borderId="4" xfId="138" applyFont="1" applyFill="1" applyBorder="1" applyAlignment="1">
      <alignment horizontal="center" vertical="center" shrinkToFit="1"/>
    </xf>
    <xf numFmtId="0" fontId="107" fillId="101" borderId="22" xfId="138" applyFont="1" applyFill="1" applyBorder="1" applyAlignment="1">
      <alignment horizontal="center" vertical="center" shrinkToFit="1"/>
    </xf>
    <xf numFmtId="0" fontId="88" fillId="0" borderId="73" xfId="0" applyFont="1" applyBorder="1" applyAlignment="1">
      <alignment horizontal="center" vertical="center"/>
    </xf>
    <xf numFmtId="0" fontId="88" fillId="0" borderId="74" xfId="0" applyFont="1" applyBorder="1" applyAlignment="1">
      <alignment horizontal="center" vertical="center"/>
    </xf>
    <xf numFmtId="0" fontId="88" fillId="0" borderId="75" xfId="0" applyFont="1" applyBorder="1" applyAlignment="1">
      <alignment horizontal="center" vertical="center"/>
    </xf>
    <xf numFmtId="0" fontId="105" fillId="102" borderId="4" xfId="138" applyFont="1" applyFill="1" applyBorder="1" applyAlignment="1">
      <alignment horizontal="center" vertical="center" shrinkToFit="1"/>
    </xf>
    <xf numFmtId="0" fontId="105" fillId="102" borderId="22" xfId="138" applyFont="1" applyFill="1" applyBorder="1" applyAlignment="1">
      <alignment horizontal="center" vertical="center" shrinkToFit="1"/>
    </xf>
    <xf numFmtId="0" fontId="105" fillId="102" borderId="5" xfId="138" applyFont="1" applyFill="1" applyBorder="1" applyAlignment="1">
      <alignment horizontal="center" vertical="center" shrinkToFit="1"/>
    </xf>
    <xf numFmtId="171" fontId="106" fillId="102" borderId="4" xfId="138" applyNumberFormat="1" applyFont="1" applyFill="1" applyBorder="1" applyAlignment="1">
      <alignment horizontal="center" vertical="center" shrinkToFit="1"/>
    </xf>
    <xf numFmtId="171" fontId="106" fillId="102" borderId="22" xfId="138" applyNumberFormat="1" applyFont="1" applyFill="1" applyBorder="1" applyAlignment="1">
      <alignment horizontal="center" vertical="center" shrinkToFit="1"/>
    </xf>
    <xf numFmtId="171" fontId="106" fillId="102" borderId="5" xfId="138" applyNumberFormat="1" applyFont="1" applyFill="1" applyBorder="1" applyAlignment="1">
      <alignment horizontal="center" vertical="center" shrinkToFit="1"/>
    </xf>
    <xf numFmtId="14" fontId="103" fillId="0" borderId="1" xfId="0" applyNumberFormat="1" applyFont="1" applyBorder="1" applyAlignment="1" applyProtection="1">
      <alignment horizontal="center" wrapText="1"/>
      <protection locked="0"/>
    </xf>
    <xf numFmtId="0" fontId="53" fillId="35" borderId="37" xfId="0" applyFont="1" applyFill="1" applyBorder="1" applyAlignment="1">
      <alignment horizontal="center"/>
    </xf>
    <xf numFmtId="0" fontId="53" fillId="35" borderId="0" xfId="0" applyFont="1" applyFill="1" applyAlignment="1">
      <alignment horizontal="center"/>
    </xf>
    <xf numFmtId="0" fontId="113" fillId="0" borderId="64" xfId="0" applyFont="1" applyBorder="1" applyAlignment="1">
      <alignment horizontal="center"/>
    </xf>
    <xf numFmtId="0" fontId="113" fillId="0" borderId="24" xfId="0" applyFont="1" applyBorder="1" applyAlignment="1">
      <alignment horizontal="center"/>
    </xf>
    <xf numFmtId="0" fontId="113" fillId="0" borderId="22" xfId="0" applyFont="1" applyBorder="1" applyAlignment="1">
      <alignment horizontal="center"/>
    </xf>
    <xf numFmtId="171" fontId="88" fillId="0" borderId="76" xfId="0" applyNumberFormat="1" applyFont="1" applyBorder="1" applyAlignment="1">
      <alignment horizontal="center"/>
    </xf>
    <xf numFmtId="171" fontId="88" fillId="0" borderId="77" xfId="0" applyNumberFormat="1" applyFont="1" applyBorder="1" applyAlignment="1">
      <alignment horizontal="center"/>
    </xf>
    <xf numFmtId="0" fontId="116" fillId="85" borderId="64" xfId="0" applyFont="1" applyFill="1" applyBorder="1" applyAlignment="1">
      <alignment horizontal="center" vertical="center"/>
    </xf>
    <xf numFmtId="0" fontId="116" fillId="85" borderId="24" xfId="0" applyFont="1" applyFill="1" applyBorder="1" applyAlignment="1">
      <alignment horizontal="center" vertical="center"/>
    </xf>
    <xf numFmtId="0" fontId="116" fillId="85" borderId="65" xfId="0" applyFont="1" applyFill="1" applyBorder="1" applyAlignment="1">
      <alignment horizontal="center" vertical="center"/>
    </xf>
    <xf numFmtId="0" fontId="116" fillId="85" borderId="43" xfId="0" applyFont="1" applyFill="1" applyBorder="1" applyAlignment="1">
      <alignment horizontal="center" vertical="center"/>
    </xf>
    <xf numFmtId="0" fontId="116" fillId="85" borderId="44" xfId="0" applyFont="1" applyFill="1" applyBorder="1" applyAlignment="1">
      <alignment horizontal="center" vertical="center"/>
    </xf>
    <xf numFmtId="0" fontId="116" fillId="85" borderId="45" xfId="0" applyFont="1" applyFill="1" applyBorder="1" applyAlignment="1">
      <alignment horizontal="center" vertical="center"/>
    </xf>
    <xf numFmtId="0" fontId="79" fillId="0" borderId="81" xfId="138" applyFont="1" applyBorder="1" applyAlignment="1">
      <alignment horizontal="center" vertical="center" shrinkToFit="1"/>
    </xf>
    <xf numFmtId="0" fontId="79" fillId="0" borderId="82" xfId="138" applyFont="1" applyBorder="1" applyAlignment="1">
      <alignment horizontal="center" vertical="center" shrinkToFit="1"/>
    </xf>
    <xf numFmtId="0" fontId="79" fillId="0" borderId="52" xfId="138" applyFont="1" applyBorder="1" applyAlignment="1">
      <alignment horizontal="center" vertical="center" shrinkToFit="1"/>
    </xf>
    <xf numFmtId="0" fontId="79" fillId="0" borderId="17" xfId="138" applyFont="1" applyBorder="1" applyAlignment="1">
      <alignment horizontal="center" vertical="center" shrinkToFit="1"/>
    </xf>
    <xf numFmtId="0" fontId="79" fillId="0" borderId="83" xfId="138" applyFont="1" applyBorder="1" applyAlignment="1">
      <alignment horizontal="center" vertical="center" shrinkToFit="1"/>
    </xf>
    <xf numFmtId="0" fontId="79" fillId="0" borderId="84" xfId="138" applyFont="1" applyBorder="1" applyAlignment="1">
      <alignment horizontal="center" vertical="center" shrinkToFit="1"/>
    </xf>
    <xf numFmtId="0" fontId="113" fillId="0" borderId="5" xfId="0" applyFont="1" applyBorder="1" applyAlignment="1">
      <alignment horizontal="center"/>
    </xf>
    <xf numFmtId="171" fontId="112" fillId="140" borderId="64" xfId="0" applyNumberFormat="1" applyFont="1" applyFill="1" applyBorder="1" applyAlignment="1">
      <alignment horizontal="center"/>
    </xf>
    <xf numFmtId="171" fontId="112" fillId="140" borderId="65" xfId="0" applyNumberFormat="1" applyFont="1" applyFill="1" applyBorder="1" applyAlignment="1">
      <alignment horizontal="center"/>
    </xf>
    <xf numFmtId="0" fontId="113" fillId="0" borderId="65" xfId="0" applyFont="1" applyBorder="1" applyAlignment="1">
      <alignment horizontal="center"/>
    </xf>
    <xf numFmtId="0" fontId="113" fillId="0" borderId="86" xfId="0" applyFont="1" applyBorder="1" applyAlignment="1">
      <alignment horizontal="center"/>
    </xf>
    <xf numFmtId="0" fontId="113" fillId="0" borderId="87" xfId="0" applyFont="1" applyBorder="1" applyAlignment="1">
      <alignment horizontal="center"/>
    </xf>
    <xf numFmtId="0" fontId="119" fillId="0" borderId="81" xfId="138" applyFont="1" applyBorder="1" applyAlignment="1">
      <alignment horizontal="left" vertical="center" shrinkToFit="1"/>
    </xf>
    <xf numFmtId="0" fontId="119" fillId="0" borderId="82" xfId="138" applyFont="1" applyBorder="1" applyAlignment="1">
      <alignment horizontal="left" vertical="center" shrinkToFit="1"/>
    </xf>
    <xf numFmtId="0" fontId="109" fillId="0" borderId="17" xfId="138" applyFont="1" applyBorder="1" applyAlignment="1">
      <alignment horizontal="left" vertical="center" shrinkToFit="1"/>
    </xf>
    <xf numFmtId="0" fontId="109" fillId="0" borderId="83" xfId="138" applyFont="1" applyBorder="1" applyAlignment="1">
      <alignment horizontal="left" vertical="center" shrinkToFit="1"/>
    </xf>
    <xf numFmtId="0" fontId="79" fillId="34" borderId="35" xfId="138" applyFont="1" applyFill="1" applyBorder="1" applyAlignment="1">
      <alignment horizontal="center" vertical="center" shrinkToFit="1"/>
    </xf>
    <xf numFmtId="0" fontId="79" fillId="34" borderId="0" xfId="138" applyFont="1" applyFill="1" applyAlignment="1">
      <alignment horizontal="center" vertical="center" shrinkToFit="1"/>
    </xf>
    <xf numFmtId="0" fontId="79" fillId="34" borderId="36" xfId="138" applyFont="1" applyFill="1" applyBorder="1" applyAlignment="1">
      <alignment horizontal="center" vertical="center" shrinkToFit="1"/>
    </xf>
    <xf numFmtId="0" fontId="88" fillId="0" borderId="4" xfId="0" applyFont="1" applyBorder="1" applyAlignment="1">
      <alignment horizontal="center"/>
    </xf>
    <xf numFmtId="0" fontId="88" fillId="0" borderId="22" xfId="0" applyFont="1" applyBorder="1" applyAlignment="1">
      <alignment horizontal="center"/>
    </xf>
    <xf numFmtId="0" fontId="88" fillId="0" borderId="5" xfId="0" applyFont="1" applyBorder="1" applyAlignment="1">
      <alignment horizontal="center"/>
    </xf>
    <xf numFmtId="171" fontId="112" fillId="102" borderId="4" xfId="0" applyNumberFormat="1" applyFont="1" applyFill="1" applyBorder="1" applyAlignment="1">
      <alignment horizontal="center"/>
    </xf>
    <xf numFmtId="171" fontId="112" fillId="102" borderId="5" xfId="0" applyNumberFormat="1" applyFont="1" applyFill="1" applyBorder="1" applyAlignment="1">
      <alignment horizontal="center"/>
    </xf>
    <xf numFmtId="0" fontId="83" fillId="102" borderId="15" xfId="138" applyFont="1" applyFill="1" applyBorder="1" applyAlignment="1">
      <alignment horizontal="center" vertical="center" shrinkToFit="1"/>
    </xf>
    <xf numFmtId="0" fontId="83" fillId="102" borderId="82" xfId="138" applyFont="1" applyFill="1" applyBorder="1" applyAlignment="1">
      <alignment horizontal="center" vertical="center" shrinkToFit="1"/>
    </xf>
    <xf numFmtId="0" fontId="109" fillId="0" borderId="15" xfId="150" applyFont="1" applyBorder="1" applyAlignment="1">
      <alignment horizontal="left" vertical="center" shrinkToFit="1"/>
    </xf>
    <xf numFmtId="0" fontId="109" fillId="0" borderId="82" xfId="150" applyFont="1" applyBorder="1" applyAlignment="1">
      <alignment horizontal="left" vertical="center" shrinkToFit="1"/>
    </xf>
    <xf numFmtId="0" fontId="109" fillId="0" borderId="52" xfId="150" applyFont="1" applyBorder="1" applyAlignment="1">
      <alignment horizontal="left" vertical="center" shrinkToFit="1"/>
    </xf>
    <xf numFmtId="171" fontId="48" fillId="0" borderId="15" xfId="138" applyNumberFormat="1" applyFont="1" applyBorder="1" applyAlignment="1">
      <alignment horizontal="center" vertical="center" shrinkToFit="1"/>
    </xf>
    <xf numFmtId="171" fontId="48" fillId="0" borderId="82" xfId="138" applyNumberFormat="1" applyFont="1" applyBorder="1" applyAlignment="1">
      <alignment horizontal="center" vertical="center" shrinkToFit="1"/>
    </xf>
    <xf numFmtId="171" fontId="48" fillId="0" borderId="52" xfId="138" applyNumberFormat="1" applyFont="1" applyBorder="1" applyAlignment="1">
      <alignment horizontal="center" vertical="center" shrinkToFit="1"/>
    </xf>
    <xf numFmtId="171" fontId="48" fillId="0" borderId="1" xfId="138" applyNumberFormat="1" applyFont="1" applyBorder="1" applyAlignment="1">
      <alignment horizontal="center" vertical="center" shrinkToFit="1"/>
    </xf>
    <xf numFmtId="0" fontId="48" fillId="0" borderId="16" xfId="138" applyFont="1" applyBorder="1" applyAlignment="1">
      <alignment horizontal="center" vertical="center" shrinkToFit="1"/>
    </xf>
    <xf numFmtId="0" fontId="48" fillId="0" borderId="40" xfId="138" applyFont="1" applyBorder="1" applyAlignment="1">
      <alignment horizontal="center" vertical="center" shrinkToFit="1"/>
    </xf>
    <xf numFmtId="171" fontId="52" fillId="182" borderId="51" xfId="138" applyNumberFormat="1" applyFont="1" applyFill="1" applyBorder="1" applyAlignment="1">
      <alignment horizontal="center" vertical="center" shrinkToFit="1"/>
    </xf>
    <xf numFmtId="0" fontId="48" fillId="0" borderId="17" xfId="138" applyFont="1" applyBorder="1" applyAlignment="1">
      <alignment horizontal="center" vertical="center" shrinkToFit="1"/>
    </xf>
    <xf numFmtId="0" fontId="48" fillId="0" borderId="83" xfId="138" applyFont="1" applyBorder="1" applyAlignment="1">
      <alignment horizontal="center" vertical="center" shrinkToFit="1"/>
    </xf>
    <xf numFmtId="171" fontId="52" fillId="182" borderId="1" xfId="138" applyNumberFormat="1" applyFont="1" applyFill="1" applyBorder="1" applyAlignment="1">
      <alignment horizontal="center" vertical="center" shrinkToFit="1"/>
    </xf>
    <xf numFmtId="0" fontId="109" fillId="101" borderId="15" xfId="150" applyFont="1" applyFill="1" applyBorder="1" applyAlignment="1">
      <alignment horizontal="left" vertical="center" shrinkToFit="1"/>
    </xf>
    <xf numFmtId="0" fontId="109" fillId="101" borderId="82" xfId="150" applyFont="1" applyFill="1" applyBorder="1" applyAlignment="1">
      <alignment horizontal="left" vertical="center" shrinkToFit="1"/>
    </xf>
    <xf numFmtId="0" fontId="109" fillId="101" borderId="52" xfId="150" applyFont="1" applyFill="1" applyBorder="1" applyAlignment="1">
      <alignment horizontal="left" vertical="center" shrinkToFit="1"/>
    </xf>
    <xf numFmtId="0" fontId="133" fillId="55" borderId="15" xfId="138" applyFont="1" applyFill="1" applyBorder="1" applyAlignment="1">
      <alignment horizontal="center" vertical="center" shrinkToFit="1"/>
    </xf>
    <xf numFmtId="0" fontId="133" fillId="55" borderId="82" xfId="138" applyFont="1" applyFill="1" applyBorder="1" applyAlignment="1">
      <alignment horizontal="center" vertical="center" shrinkToFit="1"/>
    </xf>
    <xf numFmtId="0" fontId="133" fillId="55" borderId="52" xfId="138" applyFont="1" applyFill="1" applyBorder="1" applyAlignment="1">
      <alignment horizontal="center" vertical="center" shrinkToFit="1"/>
    </xf>
    <xf numFmtId="0" fontId="109" fillId="101" borderId="49" xfId="150" applyFont="1" applyFill="1" applyBorder="1" applyAlignment="1">
      <alignment horizontal="left" vertical="center" shrinkToFit="1"/>
    </xf>
    <xf numFmtId="0" fontId="109" fillId="101" borderId="47" xfId="150" applyFont="1" applyFill="1" applyBorder="1" applyAlignment="1">
      <alignment horizontal="left" vertical="center" shrinkToFit="1"/>
    </xf>
    <xf numFmtId="0" fontId="109" fillId="101" borderId="50" xfId="150" applyFont="1" applyFill="1" applyBorder="1" applyAlignment="1">
      <alignment horizontal="left" vertical="center" shrinkToFit="1"/>
    </xf>
    <xf numFmtId="171" fontId="48" fillId="0" borderId="49" xfId="138" applyNumberFormat="1" applyFont="1" applyBorder="1" applyAlignment="1">
      <alignment horizontal="center" vertical="center" shrinkToFit="1"/>
    </xf>
    <xf numFmtId="171" fontId="48" fillId="0" borderId="47" xfId="138" applyNumberFormat="1" applyFont="1" applyBorder="1" applyAlignment="1">
      <alignment horizontal="center" vertical="center" shrinkToFit="1"/>
    </xf>
    <xf numFmtId="171" fontId="48" fillId="0" borderId="50" xfId="138" applyNumberFormat="1" applyFont="1" applyBorder="1" applyAlignment="1">
      <alignment horizontal="center" vertical="center" shrinkToFit="1"/>
    </xf>
    <xf numFmtId="0" fontId="109" fillId="0" borderId="96" xfId="138" applyFont="1" applyBorder="1" applyAlignment="1">
      <alignment horizontal="left" vertical="center" shrinkToFit="1"/>
    </xf>
    <xf numFmtId="0" fontId="109" fillId="0" borderId="97" xfId="138" applyFont="1" applyBorder="1" applyAlignment="1">
      <alignment horizontal="left" vertical="center" shrinkToFit="1"/>
    </xf>
    <xf numFmtId="0" fontId="109" fillId="0" borderId="90" xfId="138" applyFont="1" applyBorder="1" applyAlignment="1">
      <alignment horizontal="left" vertical="center" shrinkToFit="1"/>
    </xf>
    <xf numFmtId="0" fontId="80" fillId="0" borderId="15" xfId="0" applyFont="1" applyBorder="1" applyAlignment="1">
      <alignment horizontal="center"/>
    </xf>
    <xf numFmtId="0" fontId="80" fillId="0" borderId="82" xfId="0" applyFont="1" applyBorder="1" applyAlignment="1">
      <alignment horizontal="center"/>
    </xf>
    <xf numFmtId="0" fontId="80" fillId="0" borderId="52" xfId="0" applyFont="1" applyBorder="1" applyAlignment="1">
      <alignment horizontal="center"/>
    </xf>
    <xf numFmtId="0" fontId="119" fillId="0" borderId="98" xfId="138" applyFont="1" applyBorder="1" applyAlignment="1">
      <alignment horizontal="left" vertical="center" shrinkToFit="1"/>
    </xf>
    <xf numFmtId="0" fontId="119" fillId="0" borderId="97" xfId="138" applyFont="1" applyBorder="1" applyAlignment="1">
      <alignment horizontal="left" vertical="center" shrinkToFit="1"/>
    </xf>
    <xf numFmtId="0" fontId="119" fillId="0" borderId="17" xfId="0" applyFont="1" applyBorder="1" applyAlignment="1">
      <alignment horizontal="left" wrapText="1"/>
    </xf>
    <xf numFmtId="0" fontId="119" fillId="0" borderId="83" xfId="0" applyFont="1" applyBorder="1" applyAlignment="1">
      <alignment horizontal="left" wrapText="1"/>
    </xf>
    <xf numFmtId="0" fontId="48" fillId="0" borderId="99" xfId="138" applyFont="1" applyBorder="1" applyAlignment="1">
      <alignment horizontal="center" vertical="center" shrinkToFit="1"/>
    </xf>
    <xf numFmtId="0" fontId="48" fillId="0" borderId="82" xfId="138" applyFont="1" applyBorder="1" applyAlignment="1">
      <alignment horizontal="center" vertical="center" shrinkToFit="1"/>
    </xf>
    <xf numFmtId="171" fontId="135" fillId="182" borderId="1" xfId="138" applyNumberFormat="1" applyFont="1" applyFill="1" applyBorder="1" applyAlignment="1">
      <alignment horizontal="center" vertical="center" shrinkToFit="1"/>
    </xf>
    <xf numFmtId="0" fontId="133" fillId="205" borderId="15" xfId="138" applyFont="1" applyFill="1" applyBorder="1" applyAlignment="1">
      <alignment horizontal="center" vertical="center" shrinkToFit="1"/>
    </xf>
    <xf numFmtId="0" fontId="133" fillId="205" borderId="82" xfId="138" applyFont="1" applyFill="1" applyBorder="1" applyAlignment="1">
      <alignment horizontal="center" vertical="center" shrinkToFit="1"/>
    </xf>
    <xf numFmtId="0" fontId="133" fillId="205" borderId="52" xfId="138" applyFont="1" applyFill="1" applyBorder="1" applyAlignment="1">
      <alignment horizontal="center" vertical="center" shrinkToFit="1"/>
    </xf>
    <xf numFmtId="0" fontId="133" fillId="132" borderId="15" xfId="138" applyFont="1" applyFill="1" applyBorder="1" applyAlignment="1">
      <alignment horizontal="center" vertical="center" shrinkToFit="1"/>
    </xf>
    <xf numFmtId="0" fontId="133" fillId="132" borderId="82" xfId="138" applyFont="1" applyFill="1" applyBorder="1" applyAlignment="1">
      <alignment horizontal="center" vertical="center" shrinkToFit="1"/>
    </xf>
    <xf numFmtId="0" fontId="133" fillId="132" borderId="52" xfId="138" applyFont="1" applyFill="1" applyBorder="1" applyAlignment="1">
      <alignment horizontal="center" vertical="center" shrinkToFit="1"/>
    </xf>
    <xf numFmtId="171" fontId="48" fillId="0" borderId="101" xfId="138" applyNumberFormat="1" applyFont="1" applyBorder="1" applyAlignment="1">
      <alignment horizontal="center" vertical="center" shrinkToFit="1"/>
    </xf>
    <xf numFmtId="171" fontId="48" fillId="0" borderId="102" xfId="138" applyNumberFormat="1" applyFont="1" applyBorder="1" applyAlignment="1">
      <alignment horizontal="center" vertical="center" shrinkToFit="1"/>
    </xf>
    <xf numFmtId="171" fontId="48" fillId="0" borderId="103" xfId="138" applyNumberFormat="1" applyFont="1" applyBorder="1" applyAlignment="1">
      <alignment horizontal="center" vertical="center" shrinkToFit="1"/>
    </xf>
    <xf numFmtId="0" fontId="119" fillId="0" borderId="52" xfId="138" applyFont="1" applyBorder="1" applyAlignment="1">
      <alignment horizontal="left" vertical="center" shrinkToFit="1"/>
    </xf>
    <xf numFmtId="0" fontId="79" fillId="63" borderId="104" xfId="138" applyFont="1" applyFill="1" applyBorder="1" applyAlignment="1">
      <alignment horizontal="center" vertical="center" shrinkToFit="1"/>
    </xf>
    <xf numFmtId="0" fontId="79" fillId="63" borderId="97" xfId="138" applyFont="1" applyFill="1" applyBorder="1" applyAlignment="1">
      <alignment horizontal="center" vertical="center" shrinkToFit="1"/>
    </xf>
    <xf numFmtId="0" fontId="79" fillId="63" borderId="90" xfId="138" applyFont="1" applyFill="1" applyBorder="1" applyAlignment="1">
      <alignment horizontal="center" vertical="center" shrinkToFit="1"/>
    </xf>
    <xf numFmtId="0" fontId="109" fillId="0" borderId="15" xfId="138" applyFont="1" applyBorder="1" applyAlignment="1">
      <alignment horizontal="left" vertical="center" shrinkToFit="1"/>
    </xf>
    <xf numFmtId="0" fontId="109" fillId="0" borderId="52" xfId="138" applyFont="1" applyBorder="1" applyAlignment="1">
      <alignment horizontal="left" vertical="center" shrinkToFit="1"/>
    </xf>
    <xf numFmtId="0" fontId="80" fillId="0" borderId="81" xfId="0" applyFont="1" applyBorder="1" applyAlignment="1">
      <alignment horizontal="center"/>
    </xf>
    <xf numFmtId="0" fontId="117" fillId="0" borderId="81" xfId="0" applyFont="1" applyBorder="1" applyAlignment="1">
      <alignment horizontal="center"/>
    </xf>
    <xf numFmtId="0" fontId="117" fillId="0" borderId="82" xfId="0" applyFont="1" applyBorder="1" applyAlignment="1">
      <alignment horizontal="center"/>
    </xf>
    <xf numFmtId="0" fontId="79" fillId="133" borderId="104" xfId="138" applyFont="1" applyFill="1" applyBorder="1" applyAlignment="1">
      <alignment horizontal="center" vertical="center" shrinkToFit="1"/>
    </xf>
    <xf numFmtId="0" fontId="79" fillId="133" borderId="97" xfId="138" applyFont="1" applyFill="1" applyBorder="1" applyAlignment="1">
      <alignment horizontal="center" vertical="center" shrinkToFit="1"/>
    </xf>
    <xf numFmtId="0" fontId="79" fillId="133" borderId="90" xfId="138" applyFont="1" applyFill="1" applyBorder="1" applyAlignment="1">
      <alignment horizontal="center" vertical="center" shrinkToFit="1"/>
    </xf>
    <xf numFmtId="0" fontId="48" fillId="0" borderId="1" xfId="138" applyFont="1" applyBorder="1" applyAlignment="1">
      <alignment horizontal="center" vertical="center" shrinkToFit="1"/>
    </xf>
    <xf numFmtId="171" fontId="49" fillId="102" borderId="51" xfId="138" applyNumberFormat="1" applyFont="1" applyFill="1" applyBorder="1" applyAlignment="1">
      <alignment horizontal="center" vertical="center" shrinkToFit="1"/>
    </xf>
    <xf numFmtId="0" fontId="79" fillId="0" borderId="107" xfId="138" applyFont="1" applyBorder="1" applyAlignment="1">
      <alignment horizontal="center" vertical="center" shrinkToFit="1"/>
    </xf>
    <xf numFmtId="0" fontId="79" fillId="134" borderId="104" xfId="138" applyFont="1" applyFill="1" applyBorder="1" applyAlignment="1">
      <alignment horizontal="center" vertical="center" shrinkToFit="1"/>
    </xf>
    <xf numFmtId="0" fontId="79" fillId="134" borderId="97" xfId="138" applyFont="1" applyFill="1" applyBorder="1" applyAlignment="1">
      <alignment horizontal="center" vertical="center" shrinkToFit="1"/>
    </xf>
    <xf numFmtId="0" fontId="79" fillId="134" borderId="90" xfId="138" applyFont="1" applyFill="1" applyBorder="1" applyAlignment="1">
      <alignment horizontal="center" vertical="center" shrinkToFit="1"/>
    </xf>
    <xf numFmtId="0" fontId="79" fillId="76" borderId="104" xfId="138" applyFont="1" applyFill="1" applyBorder="1" applyAlignment="1">
      <alignment horizontal="center" vertical="center" shrinkToFit="1"/>
    </xf>
    <xf numFmtId="0" fontId="79" fillId="76" borderId="97" xfId="138" applyFont="1" applyFill="1" applyBorder="1" applyAlignment="1">
      <alignment horizontal="center" vertical="center" shrinkToFit="1"/>
    </xf>
    <xf numFmtId="0" fontId="79" fillId="76" borderId="90" xfId="138" applyFont="1" applyFill="1" applyBorder="1" applyAlignment="1">
      <alignment horizontal="center" vertical="center" shrinkToFit="1"/>
    </xf>
    <xf numFmtId="0" fontId="48" fillId="0" borderId="1" xfId="138" applyFont="1" applyBorder="1" applyAlignment="1">
      <alignment horizontal="center" vertical="center" wrapText="1" shrinkToFit="1"/>
    </xf>
    <xf numFmtId="171" fontId="49" fillId="102" borderId="1" xfId="138" applyNumberFormat="1" applyFont="1" applyFill="1" applyBorder="1" applyAlignment="1">
      <alignment horizontal="center" vertical="center" shrinkToFit="1"/>
    </xf>
    <xf numFmtId="0" fontId="53" fillId="35" borderId="0" xfId="0" applyFont="1" applyFill="1" applyAlignment="1" applyProtection="1">
      <alignment horizontal="center" vertical="center"/>
      <protection locked="0"/>
    </xf>
    <xf numFmtId="0" fontId="74" fillId="0" borderId="81" xfId="138" applyFont="1" applyBorder="1" applyAlignment="1">
      <alignment horizontal="center" vertical="center" shrinkToFit="1"/>
    </xf>
    <xf numFmtId="0" fontId="74" fillId="0" borderId="82" xfId="138" applyFont="1" applyBorder="1" applyAlignment="1">
      <alignment horizontal="center" vertical="center" shrinkToFit="1"/>
    </xf>
    <xf numFmtId="0" fontId="74" fillId="0" borderId="52" xfId="138" applyFont="1" applyBorder="1" applyAlignment="1">
      <alignment horizontal="center" vertical="center" shrinkToFit="1"/>
    </xf>
    <xf numFmtId="0" fontId="73" fillId="135" borderId="4" xfId="0" applyFont="1" applyFill="1" applyBorder="1" applyAlignment="1">
      <alignment horizontal="center" vertical="center"/>
    </xf>
    <xf numFmtId="0" fontId="73" fillId="135" borderId="22" xfId="0" applyFont="1" applyFill="1" applyBorder="1" applyAlignment="1">
      <alignment horizontal="center" vertical="center"/>
    </xf>
    <xf numFmtId="0" fontId="73" fillId="135" borderId="5" xfId="0" applyFont="1" applyFill="1" applyBorder="1" applyAlignment="1">
      <alignment horizontal="center" vertical="center"/>
    </xf>
    <xf numFmtId="0" fontId="88" fillId="0" borderId="4" xfId="0" applyFont="1" applyBorder="1" applyAlignment="1" applyProtection="1">
      <alignment horizontal="center"/>
      <protection locked="0"/>
    </xf>
    <xf numFmtId="0" fontId="88" fillId="0" borderId="22" xfId="0" applyFont="1" applyBorder="1" applyAlignment="1" applyProtection="1">
      <alignment horizontal="center"/>
      <protection locked="0"/>
    </xf>
    <xf numFmtId="0" fontId="88" fillId="0" borderId="5" xfId="0" applyFont="1" applyBorder="1" applyAlignment="1" applyProtection="1">
      <alignment horizontal="center"/>
      <protection locked="0"/>
    </xf>
    <xf numFmtId="173" fontId="112" fillId="102" borderId="4" xfId="0" applyNumberFormat="1" applyFont="1" applyFill="1" applyBorder="1" applyAlignment="1">
      <alignment horizontal="center" vertical="center"/>
    </xf>
    <xf numFmtId="173" fontId="112" fillId="102" borderId="5" xfId="0" applyNumberFormat="1" applyFont="1" applyFill="1" applyBorder="1" applyAlignment="1">
      <alignment horizontal="center" vertical="center"/>
    </xf>
    <xf numFmtId="0" fontId="79" fillId="0" borderId="109" xfId="138" applyFont="1" applyBorder="1" applyAlignment="1">
      <alignment horizontal="center" vertical="center" shrinkToFit="1"/>
    </xf>
    <xf numFmtId="0" fontId="153" fillId="0" borderId="2" xfId="150" applyFont="1" applyBorder="1" applyAlignment="1">
      <alignment horizontal="left" vertical="center" shrinkToFit="1"/>
    </xf>
    <xf numFmtId="0" fontId="119" fillId="0" borderId="110" xfId="138" applyFont="1" applyBorder="1" applyAlignment="1">
      <alignment horizontal="left" vertical="center" shrinkToFit="1"/>
    </xf>
    <xf numFmtId="0" fontId="119" fillId="0" borderId="17" xfId="0" applyFont="1" applyBorder="1" applyAlignment="1">
      <alignment horizontal="left" vertical="center" wrapText="1"/>
    </xf>
    <xf numFmtId="0" fontId="119" fillId="0" borderId="83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center" vertical="center" wrapText="1" shrinkToFit="1"/>
    </xf>
    <xf numFmtId="0" fontId="48" fillId="0" borderId="22" xfId="0" applyFont="1" applyBorder="1" applyAlignment="1">
      <alignment horizontal="center" vertical="center" wrapText="1" shrinkToFit="1"/>
    </xf>
    <xf numFmtId="0" fontId="48" fillId="0" borderId="5" xfId="0" applyFont="1" applyBorder="1" applyAlignment="1">
      <alignment horizontal="center" vertical="center" wrapText="1" shrinkToFit="1"/>
    </xf>
    <xf numFmtId="171" fontId="48" fillId="0" borderId="0" xfId="138" applyNumberFormat="1" applyFont="1" applyAlignment="1">
      <alignment horizontal="center" vertical="center" shrinkToFit="1"/>
    </xf>
    <xf numFmtId="0" fontId="153" fillId="0" borderId="1" xfId="150" applyFont="1" applyBorder="1" applyAlignment="1">
      <alignment horizontal="left" vertical="center" shrinkToFit="1"/>
    </xf>
    <xf numFmtId="0" fontId="79" fillId="0" borderId="112" xfId="138" applyFont="1" applyBorder="1" applyAlignment="1">
      <alignment horizontal="center" vertical="center" shrinkToFit="1"/>
    </xf>
    <xf numFmtId="0" fontId="79" fillId="0" borderId="40" xfId="138" applyFont="1" applyBorder="1" applyAlignment="1">
      <alignment horizontal="center" vertical="center" shrinkToFit="1"/>
    </xf>
    <xf numFmtId="0" fontId="79" fillId="0" borderId="27" xfId="0" applyFont="1" applyBorder="1" applyAlignment="1">
      <alignment horizontal="left" vertical="center" wrapText="1" shrinkToFit="1"/>
    </xf>
    <xf numFmtId="0" fontId="79" fillId="0" borderId="28" xfId="0" applyFont="1" applyBorder="1" applyAlignment="1">
      <alignment horizontal="left" vertical="center" wrapText="1" shrinkToFit="1"/>
    </xf>
    <xf numFmtId="171" fontId="52" fillId="182" borderId="15" xfId="141" applyNumberFormat="1" applyFont="1" applyFill="1" applyBorder="1" applyAlignment="1">
      <alignment horizontal="center" vertical="center" shrinkToFit="1"/>
    </xf>
    <xf numFmtId="171" fontId="52" fillId="182" borderId="82" xfId="141" applyNumberFormat="1" applyFont="1" applyFill="1" applyBorder="1" applyAlignment="1">
      <alignment horizontal="center" vertical="center" shrinkToFit="1"/>
    </xf>
    <xf numFmtId="171" fontId="52" fillId="182" borderId="52" xfId="141" applyNumberFormat="1" applyFont="1" applyFill="1" applyBorder="1" applyAlignment="1">
      <alignment horizontal="center" vertical="center" shrinkToFit="1"/>
    </xf>
    <xf numFmtId="0" fontId="119" fillId="0" borderId="88" xfId="138" applyFont="1" applyBorder="1" applyAlignment="1">
      <alignment horizontal="left" vertical="center" shrinkToFit="1"/>
    </xf>
    <xf numFmtId="0" fontId="119" fillId="0" borderId="107" xfId="138" applyFont="1" applyBorder="1" applyAlignment="1">
      <alignment horizontal="left" vertical="center" shrinkToFit="1"/>
    </xf>
    <xf numFmtId="0" fontId="119" fillId="0" borderId="83" xfId="138" applyFont="1" applyBorder="1" applyAlignment="1">
      <alignment horizontal="left" vertical="center" shrinkToFit="1"/>
    </xf>
    <xf numFmtId="0" fontId="119" fillId="0" borderId="113" xfId="138" applyFont="1" applyBorder="1" applyAlignment="1">
      <alignment horizontal="left" vertical="center" shrinkToFit="1"/>
    </xf>
    <xf numFmtId="0" fontId="79" fillId="0" borderId="51" xfId="0" applyFont="1" applyBorder="1" applyAlignment="1">
      <alignment horizontal="left" vertical="center" wrapText="1" shrinkToFit="1"/>
    </xf>
    <xf numFmtId="0" fontId="74" fillId="0" borderId="15" xfId="0" applyFont="1" applyBorder="1" applyAlignment="1">
      <alignment horizontal="center" wrapText="1"/>
    </xf>
    <xf numFmtId="0" fontId="74" fillId="0" borderId="82" xfId="0" applyFont="1" applyBorder="1" applyAlignment="1">
      <alignment horizontal="center" wrapText="1"/>
    </xf>
    <xf numFmtId="0" fontId="74" fillId="0" borderId="52" xfId="0" applyFont="1" applyBorder="1" applyAlignment="1">
      <alignment horizontal="center" wrapText="1"/>
    </xf>
    <xf numFmtId="0" fontId="153" fillId="0" borderId="51" xfId="150" applyFont="1" applyBorder="1" applyAlignment="1">
      <alignment horizontal="left" vertical="center" shrinkToFit="1"/>
    </xf>
    <xf numFmtId="0" fontId="119" fillId="0" borderId="15" xfId="0" applyFont="1" applyBorder="1" applyAlignment="1">
      <alignment horizontal="left" wrapText="1"/>
    </xf>
    <xf numFmtId="0" fontId="119" fillId="0" borderId="82" xfId="0" applyFont="1" applyBorder="1" applyAlignment="1">
      <alignment horizontal="left" wrapText="1"/>
    </xf>
    <xf numFmtId="0" fontId="119" fillId="0" borderId="88" xfId="0" applyFont="1" applyBorder="1" applyAlignment="1">
      <alignment horizontal="left" wrapText="1"/>
    </xf>
    <xf numFmtId="0" fontId="109" fillId="0" borderId="110" xfId="138" applyFont="1" applyBorder="1" applyAlignment="1">
      <alignment horizontal="left" vertical="center" shrinkToFit="1"/>
    </xf>
    <xf numFmtId="0" fontId="48" fillId="0" borderId="4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vertical="center" shrinkToFit="1"/>
    </xf>
    <xf numFmtId="0" fontId="48" fillId="0" borderId="5" xfId="0" applyFont="1" applyBorder="1" applyAlignment="1">
      <alignment horizontal="center" vertical="center" shrinkToFit="1"/>
    </xf>
    <xf numFmtId="0" fontId="79" fillId="0" borderId="4" xfId="0" applyFont="1" applyBorder="1" applyAlignment="1">
      <alignment horizontal="left" vertical="center" wrapText="1" shrinkToFit="1"/>
    </xf>
    <xf numFmtId="0" fontId="79" fillId="0" borderId="22" xfId="0" applyFont="1" applyBorder="1" applyAlignment="1">
      <alignment horizontal="left" vertical="center" wrapText="1" shrinkToFit="1"/>
    </xf>
    <xf numFmtId="0" fontId="79" fillId="0" borderId="114" xfId="0" applyFont="1" applyBorder="1" applyAlignment="1">
      <alignment horizontal="left" vertical="center" wrapText="1" shrinkToFit="1"/>
    </xf>
    <xf numFmtId="0" fontId="79" fillId="0" borderId="115" xfId="0" applyFont="1" applyBorder="1" applyAlignment="1">
      <alignment horizontal="left" vertical="center" wrapText="1" shrinkToFit="1"/>
    </xf>
    <xf numFmtId="0" fontId="79" fillId="0" borderId="116" xfId="0" applyFont="1" applyBorder="1" applyAlignment="1">
      <alignment horizontal="left" vertical="center" wrapText="1" shrinkToFit="1"/>
    </xf>
    <xf numFmtId="0" fontId="109" fillId="0" borderId="113" xfId="138" applyFont="1" applyBorder="1" applyAlignment="1">
      <alignment horizontal="left" vertical="center" shrinkToFit="1"/>
    </xf>
    <xf numFmtId="0" fontId="109" fillId="0" borderId="117" xfId="138" applyFont="1" applyBorder="1" applyAlignment="1">
      <alignment horizontal="left" vertical="center" shrinkToFit="1"/>
    </xf>
    <xf numFmtId="0" fontId="109" fillId="0" borderId="1" xfId="138" applyFont="1" applyBorder="1" applyAlignment="1">
      <alignment horizontal="left" vertical="center" shrinkToFit="1"/>
    </xf>
    <xf numFmtId="0" fontId="79" fillId="0" borderId="16" xfId="138" applyFont="1" applyBorder="1" applyAlignment="1">
      <alignment horizontal="center" vertical="center" shrinkToFit="1"/>
    </xf>
    <xf numFmtId="0" fontId="48" fillId="0" borderId="0" xfId="138" applyFont="1" applyAlignment="1">
      <alignment horizontal="center" shrinkToFit="1"/>
    </xf>
    <xf numFmtId="0" fontId="133" fillId="0" borderId="0" xfId="138" applyFont="1" applyAlignment="1">
      <alignment horizontal="center" shrinkToFit="1"/>
    </xf>
    <xf numFmtId="0" fontId="79" fillId="0" borderId="111" xfId="138" applyFont="1" applyBorder="1" applyAlignment="1">
      <alignment horizontal="center" vertical="center" shrinkToFit="1"/>
    </xf>
    <xf numFmtId="0" fontId="79" fillId="0" borderId="21" xfId="138" applyFont="1" applyBorder="1" applyAlignment="1">
      <alignment horizontal="center" vertical="center" shrinkToFit="1"/>
    </xf>
    <xf numFmtId="0" fontId="79" fillId="0" borderId="119" xfId="138" applyFont="1" applyBorder="1" applyAlignment="1">
      <alignment horizontal="center" vertical="center" shrinkToFit="1"/>
    </xf>
    <xf numFmtId="0" fontId="79" fillId="0" borderId="0" xfId="126" applyFont="1" applyAlignment="1">
      <alignment horizontal="center" shrinkToFit="1"/>
    </xf>
    <xf numFmtId="0" fontId="109" fillId="0" borderId="0" xfId="126" applyFont="1" applyAlignment="1">
      <alignment horizontal="center" vertical="center" shrinkToFit="1"/>
    </xf>
    <xf numFmtId="174" fontId="53" fillId="92" borderId="4" xfId="0" applyNumberFormat="1" applyFont="1" applyFill="1" applyBorder="1" applyAlignment="1">
      <alignment horizontal="center" vertical="center"/>
    </xf>
    <xf numFmtId="174" fontId="53" fillId="92" borderId="22" xfId="0" applyNumberFormat="1" applyFont="1" applyFill="1" applyBorder="1" applyAlignment="1">
      <alignment horizontal="center" vertical="center"/>
    </xf>
    <xf numFmtId="174" fontId="53" fillId="92" borderId="5" xfId="0" applyNumberFormat="1" applyFont="1" applyFill="1" applyBorder="1" applyAlignment="1">
      <alignment horizontal="center" vertical="center"/>
    </xf>
    <xf numFmtId="174" fontId="0" fillId="0" borderId="0" xfId="0" applyNumberFormat="1"/>
    <xf numFmtId="174" fontId="54" fillId="0" borderId="23" xfId="0" applyNumberFormat="1" applyFont="1" applyBorder="1" applyAlignment="1">
      <alignment horizontal="center" vertical="center"/>
    </xf>
    <xf numFmtId="174" fontId="54" fillId="0" borderId="24" xfId="0" applyNumberFormat="1" applyFont="1" applyBorder="1" applyAlignment="1">
      <alignment horizontal="center" vertical="center"/>
    </xf>
    <xf numFmtId="174" fontId="54" fillId="0" borderId="25" xfId="0" applyNumberFormat="1" applyFont="1" applyBorder="1" applyAlignment="1">
      <alignment horizontal="center" vertical="center"/>
    </xf>
    <xf numFmtId="174" fontId="54" fillId="0" borderId="26" xfId="0" applyNumberFormat="1" applyFont="1" applyBorder="1" applyAlignment="1">
      <alignment horizontal="center" vertical="center"/>
    </xf>
    <xf numFmtId="174" fontId="22" fillId="0" borderId="27" xfId="0" applyNumberFormat="1" applyFont="1" applyBorder="1"/>
    <xf numFmtId="174" fontId="22" fillId="0" borderId="28" xfId="0" applyNumberFormat="1" applyFont="1" applyBorder="1"/>
    <xf numFmtId="174" fontId="22" fillId="0" borderId="29" xfId="0" applyNumberFormat="1" applyFont="1" applyBorder="1"/>
    <xf numFmtId="174" fontId="22" fillId="0" borderId="0" xfId="0" applyNumberFormat="1" applyFont="1"/>
    <xf numFmtId="174" fontId="55" fillId="0" borderId="0" xfId="118" applyNumberFormat="1" applyFont="1" applyAlignment="1">
      <alignment horizontal="center" vertical="center"/>
    </xf>
    <xf numFmtId="174" fontId="56" fillId="0" borderId="1" xfId="131" applyNumberFormat="1" applyFont="1" applyBorder="1" applyAlignment="1">
      <alignment horizontal="center"/>
    </xf>
    <xf numFmtId="174" fontId="57" fillId="0" borderId="30" xfId="0" applyNumberFormat="1" applyFont="1" applyBorder="1" applyAlignment="1">
      <alignment horizontal="center" vertical="center"/>
    </xf>
    <xf numFmtId="174" fontId="57" fillId="0" borderId="31" xfId="0" applyNumberFormat="1" applyFont="1" applyBorder="1" applyAlignment="1">
      <alignment horizontal="center" vertical="center"/>
    </xf>
    <xf numFmtId="174" fontId="57" fillId="0" borderId="32" xfId="0" applyNumberFormat="1" applyFont="1" applyBorder="1" applyAlignment="1">
      <alignment horizontal="center" vertical="center"/>
    </xf>
    <xf numFmtId="174" fontId="58" fillId="0" borderId="19" xfId="0" applyNumberFormat="1" applyFont="1" applyBorder="1" applyAlignment="1">
      <alignment horizontal="center"/>
    </xf>
    <xf numFmtId="174" fontId="59" fillId="0" borderId="1" xfId="0" applyNumberFormat="1" applyFont="1" applyBorder="1" applyAlignment="1">
      <alignment horizontal="center"/>
    </xf>
    <xf numFmtId="174" fontId="25" fillId="97" borderId="33" xfId="0" applyNumberFormat="1" applyFont="1" applyFill="1" applyBorder="1" applyAlignment="1">
      <alignment horizontal="center"/>
    </xf>
    <xf numFmtId="174" fontId="25" fillId="97" borderId="31" xfId="0" applyNumberFormat="1" applyFont="1" applyFill="1" applyBorder="1" applyAlignment="1">
      <alignment horizontal="center"/>
    </xf>
    <xf numFmtId="174" fontId="60" fillId="97" borderId="31" xfId="0" applyNumberFormat="1" applyFont="1" applyFill="1" applyBorder="1" applyAlignment="1">
      <alignment horizontal="center"/>
    </xf>
    <xf numFmtId="174" fontId="61" fillId="0" borderId="19" xfId="0" applyNumberFormat="1" applyFont="1" applyBorder="1" applyAlignment="1">
      <alignment horizontal="center"/>
    </xf>
    <xf numFmtId="174" fontId="62" fillId="0" borderId="1" xfId="138" applyNumberFormat="1" applyFont="1" applyBorder="1" applyAlignment="1">
      <alignment horizontal="center" vertical="center" shrinkToFit="1"/>
    </xf>
    <xf numFmtId="174" fontId="22" fillId="0" borderId="34" xfId="0" applyNumberFormat="1" applyFont="1" applyBorder="1"/>
    <xf numFmtId="174" fontId="22" fillId="0" borderId="35" xfId="0" applyNumberFormat="1" applyFont="1" applyBorder="1"/>
    <xf numFmtId="174" fontId="22" fillId="0" borderId="36" xfId="0" applyNumberFormat="1" applyFont="1" applyBorder="1"/>
    <xf numFmtId="174" fontId="63" fillId="0" borderId="0" xfId="0" applyNumberFormat="1" applyFont="1" applyAlignment="1">
      <alignment horizontal="center" vertical="center"/>
    </xf>
    <xf numFmtId="174" fontId="64" fillId="0" borderId="0" xfId="0" applyNumberFormat="1" applyFont="1" applyAlignment="1">
      <alignment horizontal="center"/>
    </xf>
    <xf numFmtId="174" fontId="57" fillId="0" borderId="37" xfId="0" applyNumberFormat="1" applyFont="1" applyBorder="1" applyAlignment="1">
      <alignment horizontal="center" vertical="center"/>
    </xf>
    <xf numFmtId="174" fontId="57" fillId="0" borderId="0" xfId="0" applyNumberFormat="1" applyFont="1" applyAlignment="1">
      <alignment horizontal="center" vertical="center"/>
    </xf>
    <xf numFmtId="174" fontId="57" fillId="0" borderId="38" xfId="0" applyNumberFormat="1" applyFont="1" applyBorder="1" applyAlignment="1">
      <alignment horizontal="center" vertical="center"/>
    </xf>
    <xf numFmtId="174" fontId="65" fillId="0" borderId="39" xfId="0" applyNumberFormat="1" applyFont="1" applyBorder="1" applyAlignment="1">
      <alignment horizontal="center"/>
    </xf>
    <xf numFmtId="174" fontId="65" fillId="0" borderId="40" xfId="0" applyNumberFormat="1" applyFont="1" applyBorder="1" applyAlignment="1">
      <alignment horizontal="center"/>
    </xf>
    <xf numFmtId="174" fontId="25" fillId="0" borderId="28" xfId="0" applyNumberFormat="1" applyFont="1" applyBorder="1" applyAlignment="1">
      <alignment horizontal="center" vertical="center"/>
    </xf>
    <xf numFmtId="174" fontId="66" fillId="0" borderId="41" xfId="0" applyNumberFormat="1" applyFont="1" applyBorder="1" applyAlignment="1">
      <alignment horizontal="center" vertical="center" textRotation="255"/>
    </xf>
    <xf numFmtId="174" fontId="9" fillId="0" borderId="42" xfId="0" applyNumberFormat="1" applyFont="1" applyBorder="1"/>
    <xf numFmtId="174" fontId="66" fillId="0" borderId="0" xfId="0" applyNumberFormat="1" applyFont="1" applyAlignment="1">
      <alignment horizontal="center" vertical="center"/>
    </xf>
    <xf numFmtId="174" fontId="54" fillId="0" borderId="0" xfId="0" applyNumberFormat="1" applyFont="1"/>
    <xf numFmtId="174" fontId="57" fillId="0" borderId="43" xfId="0" applyNumberFormat="1" applyFont="1" applyBorder="1" applyAlignment="1">
      <alignment horizontal="center" vertical="center"/>
    </xf>
    <xf numFmtId="174" fontId="57" fillId="0" borderId="44" xfId="0" applyNumberFormat="1" applyFont="1" applyBorder="1" applyAlignment="1">
      <alignment horizontal="center" vertical="center"/>
    </xf>
    <xf numFmtId="174" fontId="57" fillId="0" borderId="45" xfId="0" applyNumberFormat="1" applyFont="1" applyBorder="1" applyAlignment="1">
      <alignment horizontal="center" vertical="center"/>
    </xf>
    <xf numFmtId="174" fontId="66" fillId="0" borderId="0" xfId="0" applyNumberFormat="1" applyFont="1" applyAlignment="1">
      <alignment horizontal="center" vertical="top"/>
    </xf>
    <xf numFmtId="174" fontId="54" fillId="0" borderId="0" xfId="0" applyNumberFormat="1" applyFont="1" applyAlignment="1">
      <alignment horizontal="center" vertical="center"/>
    </xf>
    <xf numFmtId="174" fontId="9" fillId="0" borderId="35" xfId="0" applyNumberFormat="1" applyFont="1" applyBorder="1"/>
    <xf numFmtId="174" fontId="9" fillId="0" borderId="46" xfId="0" applyNumberFormat="1" applyFont="1" applyBorder="1"/>
    <xf numFmtId="174" fontId="67" fillId="0" borderId="0" xfId="0" applyNumberFormat="1" applyFont="1" applyAlignment="1">
      <alignment horizontal="center" vertical="center"/>
    </xf>
    <xf numFmtId="174" fontId="68" fillId="0" borderId="0" xfId="138" applyNumberFormat="1" applyFont="1" applyAlignment="1">
      <alignment horizontal="center" vertical="center" shrinkToFit="1"/>
    </xf>
    <xf numFmtId="174" fontId="9" fillId="101" borderId="0" xfId="0" applyNumberFormat="1" applyFont="1" applyFill="1"/>
    <xf numFmtId="174" fontId="9" fillId="0" borderId="0" xfId="0" applyNumberFormat="1" applyFont="1"/>
    <xf numFmtId="174" fontId="60" fillId="0" borderId="47" xfId="0" applyNumberFormat="1" applyFont="1" applyBorder="1" applyAlignment="1">
      <alignment horizontal="center" vertical="center"/>
    </xf>
    <xf numFmtId="174" fontId="69" fillId="0" borderId="0" xfId="0" applyNumberFormat="1" applyFont="1" applyAlignment="1">
      <alignment horizontal="center" vertical="center"/>
    </xf>
    <xf numFmtId="174" fontId="54" fillId="0" borderId="0" xfId="0" applyNumberFormat="1" applyFont="1" applyAlignment="1">
      <alignment horizontal="center"/>
    </xf>
    <xf numFmtId="174" fontId="0" fillId="0" borderId="0" xfId="0" applyNumberFormat="1" applyAlignment="1">
      <alignment vertical="center"/>
    </xf>
    <xf numFmtId="174" fontId="59" fillId="0" borderId="1" xfId="131" applyNumberFormat="1" applyFont="1" applyBorder="1" applyAlignment="1">
      <alignment horizontal="center"/>
    </xf>
    <xf numFmtId="174" fontId="32" fillId="0" borderId="0" xfId="0" applyNumberFormat="1" applyFont="1" applyAlignment="1">
      <alignment horizontal="center" vertical="center"/>
    </xf>
    <xf numFmtId="174" fontId="70" fillId="0" borderId="0" xfId="0" applyNumberFormat="1" applyFont="1" applyAlignment="1">
      <alignment horizontal="center" vertical="center"/>
    </xf>
    <xf numFmtId="174" fontId="71" fillId="35" borderId="0" xfId="0" applyNumberFormat="1" applyFont="1" applyFill="1" applyAlignment="1">
      <alignment horizontal="center"/>
    </xf>
    <xf numFmtId="174" fontId="66" fillId="0" borderId="0" xfId="0" applyNumberFormat="1" applyFont="1" applyAlignment="1">
      <alignment horizontal="right" vertical="center"/>
    </xf>
    <xf numFmtId="174" fontId="72" fillId="0" borderId="0" xfId="0" applyNumberFormat="1" applyFont="1" applyAlignment="1">
      <alignment horizontal="center" vertical="center"/>
    </xf>
    <xf numFmtId="174" fontId="66" fillId="0" borderId="0" xfId="0" applyNumberFormat="1" applyFont="1" applyAlignment="1">
      <alignment horizontal="left" vertical="center"/>
    </xf>
    <xf numFmtId="174" fontId="73" fillId="0" borderId="0" xfId="0" applyNumberFormat="1" applyFont="1" applyAlignment="1">
      <alignment horizontal="center" vertical="center"/>
    </xf>
    <xf numFmtId="174" fontId="74" fillId="0" borderId="1" xfId="138" applyNumberFormat="1" applyFont="1" applyBorder="1" applyAlignment="1">
      <alignment horizontal="center" vertical="center" shrinkToFit="1"/>
    </xf>
    <xf numFmtId="174" fontId="75" fillId="0" borderId="1" xfId="0" applyNumberFormat="1" applyFont="1" applyBorder="1" applyAlignment="1">
      <alignment horizontal="center" vertical="center"/>
    </xf>
    <xf numFmtId="174" fontId="67" fillId="0" borderId="47" xfId="131" applyNumberFormat="1" applyFont="1" applyBorder="1"/>
    <xf numFmtId="174" fontId="64" fillId="0" borderId="19" xfId="0" applyNumberFormat="1" applyFont="1" applyBorder="1" applyAlignment="1">
      <alignment horizontal="center"/>
    </xf>
    <xf numFmtId="174" fontId="0" fillId="106" borderId="0" xfId="0" applyNumberFormat="1" applyFill="1"/>
    <xf numFmtId="174" fontId="76" fillId="108" borderId="0" xfId="0" applyNumberFormat="1" applyFont="1" applyFill="1" applyAlignment="1">
      <alignment horizontal="center"/>
    </xf>
    <xf numFmtId="174" fontId="77" fillId="0" borderId="1" xfId="131" applyNumberFormat="1" applyFont="1" applyBorder="1" applyAlignment="1">
      <alignment horizontal="center"/>
    </xf>
    <xf numFmtId="174" fontId="34" fillId="67" borderId="1" xfId="0" applyNumberFormat="1" applyFont="1" applyFill="1" applyBorder="1" applyAlignment="1">
      <alignment horizontal="center" vertical="center"/>
    </xf>
    <xf numFmtId="174" fontId="65" fillId="0" borderId="0" xfId="0" applyNumberFormat="1" applyFont="1" applyAlignment="1">
      <alignment vertical="center"/>
    </xf>
    <xf numFmtId="174" fontId="9" fillId="0" borderId="48" xfId="0" applyNumberFormat="1" applyFont="1" applyBorder="1"/>
    <xf numFmtId="174" fontId="9" fillId="0" borderId="20" xfId="0" applyNumberFormat="1" applyFont="1" applyBorder="1"/>
    <xf numFmtId="174" fontId="0" fillId="101" borderId="0" xfId="0" applyNumberFormat="1" applyFill="1"/>
    <xf numFmtId="174" fontId="0" fillId="0" borderId="36" xfId="0" applyNumberFormat="1" applyBorder="1"/>
    <xf numFmtId="174" fontId="25" fillId="0" borderId="28" xfId="0" applyNumberFormat="1" applyFont="1" applyBorder="1" applyAlignment="1">
      <alignment horizontal="center"/>
    </xf>
    <xf numFmtId="174" fontId="69" fillId="0" borderId="0" xfId="0" applyNumberFormat="1" applyFont="1" applyAlignment="1">
      <alignment horizontal="center" vertical="center"/>
    </xf>
    <xf numFmtId="174" fontId="69" fillId="0" borderId="28" xfId="0" applyNumberFormat="1" applyFont="1" applyBorder="1" applyAlignment="1">
      <alignment horizontal="center" vertical="center"/>
    </xf>
    <xf numFmtId="174" fontId="22" fillId="0" borderId="49" xfId="0" applyNumberFormat="1" applyFont="1" applyBorder="1"/>
    <xf numFmtId="174" fontId="22" fillId="0" borderId="47" xfId="0" applyNumberFormat="1" applyFont="1" applyBorder="1"/>
    <xf numFmtId="174" fontId="0" fillId="0" borderId="50" xfId="0" applyNumberFormat="1" applyBorder="1"/>
    <xf numFmtId="174" fontId="33" fillId="0" borderId="0" xfId="0" applyNumberFormat="1" applyFont="1"/>
    <xf numFmtId="174" fontId="67" fillId="0" borderId="2" xfId="131" applyNumberFormat="1" applyFont="1" applyBorder="1" applyAlignment="1">
      <alignment horizontal="center"/>
    </xf>
    <xf numFmtId="174" fontId="32" fillId="101" borderId="0" xfId="0" applyNumberFormat="1" applyFont="1" applyFill="1"/>
    <xf numFmtId="174" fontId="78" fillId="0" borderId="0" xfId="0" applyNumberFormat="1" applyFont="1" applyAlignment="1">
      <alignment horizontal="center" vertical="center"/>
    </xf>
    <xf numFmtId="174" fontId="79" fillId="0" borderId="1" xfId="138" applyNumberFormat="1" applyFont="1" applyBorder="1" applyAlignment="1">
      <alignment horizontal="center" vertical="center" shrinkToFit="1"/>
    </xf>
    <xf numFmtId="174" fontId="73" fillId="101" borderId="0" xfId="0" applyNumberFormat="1" applyFont="1" applyFill="1" applyAlignment="1">
      <alignment horizontal="center" vertical="center"/>
    </xf>
    <xf numFmtId="174" fontId="80" fillId="0" borderId="1" xfId="0" applyNumberFormat="1" applyFont="1" applyBorder="1" applyAlignment="1">
      <alignment horizontal="center"/>
    </xf>
    <xf numFmtId="174" fontId="81" fillId="0" borderId="0" xfId="0" applyNumberFormat="1" applyFont="1" applyAlignment="1">
      <alignment horizontal="center" vertical="center"/>
    </xf>
    <xf numFmtId="174" fontId="82" fillId="0" borderId="0" xfId="0" applyNumberFormat="1" applyFont="1" applyAlignment="1">
      <alignment horizontal="center" vertical="center"/>
    </xf>
    <xf numFmtId="174" fontId="15" fillId="116" borderId="0" xfId="0" applyNumberFormat="1" applyFont="1" applyFill="1" applyAlignment="1">
      <alignment horizontal="center"/>
    </xf>
    <xf numFmtId="174" fontId="0" fillId="116" borderId="0" xfId="0" applyNumberFormat="1" applyFill="1"/>
    <xf numFmtId="174" fontId="32" fillId="35" borderId="0" xfId="0" applyNumberFormat="1" applyFont="1" applyFill="1" applyAlignment="1">
      <alignment horizontal="center" vertical="center"/>
    </xf>
    <xf numFmtId="174" fontId="83" fillId="0" borderId="1" xfId="138" applyNumberFormat="1" applyFont="1" applyBorder="1" applyAlignment="1">
      <alignment horizontal="center" vertical="center" shrinkToFit="1"/>
    </xf>
    <xf numFmtId="174" fontId="61" fillId="0" borderId="0" xfId="0" applyNumberFormat="1" applyFont="1" applyAlignment="1">
      <alignment horizontal="center"/>
    </xf>
    <xf numFmtId="174" fontId="60" fillId="0" borderId="0" xfId="0" applyNumberFormat="1" applyFont="1"/>
    <xf numFmtId="174" fontId="65" fillId="0" borderId="47" xfId="0" applyNumberFormat="1" applyFont="1" applyBorder="1" applyAlignment="1">
      <alignment horizontal="center" vertical="center"/>
    </xf>
    <xf numFmtId="174" fontId="80" fillId="0" borderId="52" xfId="131" applyNumberFormat="1" applyFont="1" applyBorder="1" applyAlignment="1">
      <alignment horizontal="center"/>
    </xf>
    <xf numFmtId="174" fontId="73" fillId="35" borderId="53" xfId="0" applyNumberFormat="1" applyFont="1" applyFill="1" applyBorder="1" applyAlignment="1">
      <alignment horizontal="center" vertical="center" textRotation="90"/>
    </xf>
    <xf numFmtId="174" fontId="73" fillId="0" borderId="0" xfId="0" applyNumberFormat="1" applyFont="1" applyAlignment="1">
      <alignment vertical="center" textRotation="90"/>
    </xf>
    <xf numFmtId="174" fontId="73" fillId="35" borderId="54" xfId="0" applyNumberFormat="1" applyFont="1" applyFill="1" applyBorder="1" applyAlignment="1">
      <alignment horizontal="center" vertical="center" textRotation="90"/>
    </xf>
    <xf numFmtId="174" fontId="51" fillId="0" borderId="0" xfId="0" applyNumberFormat="1" applyFont="1" applyAlignment="1">
      <alignment horizontal="left" vertical="center"/>
    </xf>
    <xf numFmtId="174" fontId="73" fillId="0" borderId="0" xfId="0" applyNumberFormat="1" applyFont="1" applyAlignment="1">
      <alignment horizontal="center" vertical="center" textRotation="90"/>
    </xf>
    <xf numFmtId="174" fontId="84" fillId="0" borderId="0" xfId="0" applyNumberFormat="1" applyFont="1"/>
    <xf numFmtId="174" fontId="85" fillId="0" borderId="0" xfId="0" applyNumberFormat="1" applyFont="1" applyAlignment="1">
      <alignment horizontal="center" vertical="center"/>
    </xf>
    <xf numFmtId="174" fontId="86" fillId="0" borderId="0" xfId="0" applyNumberFormat="1" applyFont="1" applyAlignment="1">
      <alignment horizontal="center" vertical="center"/>
    </xf>
    <xf numFmtId="174" fontId="76" fillId="122" borderId="0" xfId="0" applyNumberFormat="1" applyFont="1" applyFill="1" applyAlignment="1">
      <alignment horizontal="center"/>
    </xf>
    <xf numFmtId="174" fontId="67" fillId="0" borderId="21" xfId="0" applyNumberFormat="1" applyFont="1" applyBorder="1" applyAlignment="1">
      <alignment horizontal="center" vertical="center"/>
    </xf>
    <xf numFmtId="174" fontId="87" fillId="0" borderId="0" xfId="135" applyNumberFormat="1" applyFont="1" applyAlignment="1">
      <alignment horizontal="center" vertical="center"/>
    </xf>
    <xf numFmtId="174" fontId="0" fillId="0" borderId="37" xfId="0" applyNumberFormat="1" applyBorder="1"/>
    <xf numFmtId="174" fontId="54" fillId="0" borderId="39" xfId="0" applyNumberFormat="1" applyFont="1" applyBorder="1" applyAlignment="1">
      <alignment horizontal="center" vertical="center" wrapText="1"/>
    </xf>
    <xf numFmtId="174" fontId="54" fillId="0" borderId="40" xfId="0" applyNumberFormat="1" applyFont="1" applyBorder="1" applyAlignment="1">
      <alignment horizontal="center" vertical="center"/>
    </xf>
    <xf numFmtId="174" fontId="9" fillId="0" borderId="40" xfId="0" applyNumberFormat="1" applyFont="1" applyBorder="1"/>
    <xf numFmtId="174" fontId="48" fillId="0" borderId="0" xfId="135" applyNumberFormat="1" applyFont="1" applyAlignment="1">
      <alignment horizontal="center" vertical="center"/>
    </xf>
    <xf numFmtId="174" fontId="9" fillId="0" borderId="55" xfId="0" applyNumberFormat="1" applyFont="1" applyBorder="1"/>
    <xf numFmtId="174" fontId="73" fillId="35" borderId="56" xfId="0" applyNumberFormat="1" applyFont="1" applyFill="1" applyBorder="1" applyAlignment="1">
      <alignment horizontal="center" vertical="center" textRotation="90"/>
    </xf>
    <xf numFmtId="174" fontId="60" fillId="0" borderId="28" xfId="0" applyNumberFormat="1" applyFont="1" applyBorder="1" applyAlignment="1">
      <alignment horizontal="center" vertical="center"/>
    </xf>
    <xf numFmtId="174" fontId="76" fillId="0" borderId="0" xfId="0" applyNumberFormat="1" applyFont="1" applyAlignment="1">
      <alignment horizontal="center"/>
    </xf>
    <xf numFmtId="174" fontId="88" fillId="0" borderId="57" xfId="0" applyNumberFormat="1" applyFont="1" applyBorder="1" applyAlignment="1">
      <alignment horizontal="center" vertical="center"/>
    </xf>
    <xf numFmtId="174" fontId="32" fillId="35" borderId="0" xfId="0" applyNumberFormat="1" applyFont="1" applyFill="1" applyAlignment="1">
      <alignment horizontal="center"/>
    </xf>
    <xf numFmtId="174" fontId="32" fillId="35" borderId="58" xfId="0" applyNumberFormat="1" applyFont="1" applyFill="1" applyBorder="1" applyAlignment="1">
      <alignment horizontal="center"/>
    </xf>
    <xf numFmtId="174" fontId="88" fillId="0" borderId="59" xfId="0" applyNumberFormat="1" applyFont="1" applyBorder="1" applyAlignment="1">
      <alignment horizontal="center" vertical="center"/>
    </xf>
    <xf numFmtId="174" fontId="89" fillId="0" borderId="0" xfId="0" applyNumberFormat="1" applyFont="1" applyAlignment="1">
      <alignment horizontal="center" vertical="center"/>
    </xf>
    <xf numFmtId="174" fontId="9" fillId="0" borderId="21" xfId="0" applyNumberFormat="1" applyFont="1" applyBorder="1"/>
    <xf numFmtId="174" fontId="32" fillId="101" borderId="0" xfId="0" applyNumberFormat="1" applyFont="1" applyFill="1" applyAlignment="1">
      <alignment horizontal="center" vertical="center"/>
    </xf>
    <xf numFmtId="174" fontId="51" fillId="106" borderId="0" xfId="0" applyNumberFormat="1" applyFont="1" applyFill="1" applyAlignment="1">
      <alignment horizontal="center"/>
    </xf>
    <xf numFmtId="174" fontId="32" fillId="106" borderId="0" xfId="0" applyNumberFormat="1" applyFont="1" applyFill="1" applyAlignment="1">
      <alignment horizontal="center" vertical="center"/>
    </xf>
    <xf numFmtId="174" fontId="25" fillId="0" borderId="47" xfId="0" applyNumberFormat="1" applyFont="1" applyBorder="1" applyAlignment="1">
      <alignment horizontal="center" vertical="center"/>
    </xf>
    <xf numFmtId="174" fontId="90" fillId="0" borderId="47" xfId="138" applyNumberFormat="1" applyFont="1" applyBorder="1" applyAlignment="1">
      <alignment horizontal="center" vertical="center" shrinkToFit="1"/>
    </xf>
    <xf numFmtId="174" fontId="9" fillId="0" borderId="60" xfId="0" applyNumberFormat="1" applyFont="1" applyBorder="1"/>
    <xf numFmtId="174" fontId="22" fillId="0" borderId="55" xfId="0" applyNumberFormat="1" applyFont="1" applyBorder="1"/>
    <xf numFmtId="174" fontId="84" fillId="0" borderId="0" xfId="0" applyNumberFormat="1" applyFont="1"/>
    <xf numFmtId="174" fontId="73" fillId="0" borderId="0" xfId="0" applyNumberFormat="1" applyFont="1" applyAlignment="1">
      <alignment horizontal="center" vertical="center"/>
    </xf>
    <xf numFmtId="174" fontId="22" fillId="0" borderId="0" xfId="0" applyNumberFormat="1" applyFont="1" applyAlignment="1">
      <alignment horizontal="right"/>
    </xf>
    <xf numFmtId="174" fontId="22" fillId="0" borderId="0" xfId="0" applyNumberFormat="1" applyFont="1" applyAlignment="1">
      <alignment horizontal="left"/>
    </xf>
    <xf numFmtId="174" fontId="51" fillId="106" borderId="0" xfId="0" applyNumberFormat="1" applyFont="1" applyFill="1" applyAlignment="1">
      <alignment horizontal="center" vertical="center"/>
    </xf>
    <xf numFmtId="174" fontId="51" fillId="106" borderId="38" xfId="0" applyNumberFormat="1" applyFont="1" applyFill="1" applyBorder="1" applyAlignment="1">
      <alignment horizontal="center" vertical="center"/>
    </xf>
    <xf numFmtId="174" fontId="58" fillId="0" borderId="0" xfId="0" applyNumberFormat="1" applyFont="1" applyAlignment="1">
      <alignment horizontal="left" vertical="center"/>
    </xf>
    <xf numFmtId="174" fontId="60" fillId="0" borderId="61" xfId="0" applyNumberFormat="1" applyFont="1" applyBorder="1" applyAlignment="1">
      <alignment horizontal="center"/>
    </xf>
    <xf numFmtId="174" fontId="60" fillId="0" borderId="47" xfId="0" applyNumberFormat="1" applyFont="1" applyBorder="1" applyAlignment="1">
      <alignment horizontal="center"/>
    </xf>
    <xf numFmtId="174" fontId="0" fillId="116" borderId="47" xfId="0" applyNumberFormat="1" applyFill="1" applyBorder="1"/>
    <xf numFmtId="174" fontId="61" fillId="0" borderId="18" xfId="0" applyNumberFormat="1" applyFont="1" applyBorder="1" applyAlignment="1">
      <alignment horizontal="center"/>
    </xf>
    <xf numFmtId="174" fontId="59" fillId="0" borderId="51" xfId="0" applyNumberFormat="1" applyFont="1" applyBorder="1" applyAlignment="1">
      <alignment horizontal="center"/>
    </xf>
    <xf numFmtId="174" fontId="0" fillId="0" borderId="62" xfId="0" applyNumberFormat="1" applyBorder="1"/>
    <xf numFmtId="174" fontId="64" fillId="100" borderId="0" xfId="0" applyNumberFormat="1" applyFont="1" applyFill="1" applyAlignment="1">
      <alignment horizontal="center"/>
    </xf>
    <xf numFmtId="174" fontId="61" fillId="0" borderId="63" xfId="0" applyNumberFormat="1" applyFont="1" applyBorder="1" applyAlignment="1">
      <alignment horizontal="center"/>
    </xf>
    <xf numFmtId="174" fontId="0" fillId="0" borderId="64" xfId="0" applyNumberFormat="1" applyBorder="1"/>
    <xf numFmtId="174" fontId="0" fillId="0" borderId="24" xfId="0" applyNumberFormat="1" applyBorder="1"/>
    <xf numFmtId="174" fontId="0" fillId="0" borderId="65" xfId="0" applyNumberFormat="1" applyBorder="1"/>
    <xf numFmtId="174" fontId="0" fillId="0" borderId="0" xfId="0" applyNumberFormat="1" applyAlignment="1">
      <alignment horizontal="center" vertical="center"/>
    </xf>
    <xf numFmtId="174" fontId="0" fillId="0" borderId="36" xfId="0" applyNumberFormat="1" applyBorder="1" applyAlignment="1">
      <alignment horizontal="center" vertical="center"/>
    </xf>
    <xf numFmtId="174" fontId="22" fillId="0" borderId="24" xfId="0" applyNumberFormat="1" applyFont="1" applyBorder="1"/>
    <xf numFmtId="174" fontId="67" fillId="0" borderId="28" xfId="131" applyNumberFormat="1" applyFont="1" applyBorder="1" applyAlignment="1">
      <alignment horizontal="center"/>
    </xf>
    <xf numFmtId="174" fontId="0" fillId="0" borderId="38" xfId="0" applyNumberFormat="1" applyBorder="1"/>
    <xf numFmtId="174" fontId="48" fillId="123" borderId="0" xfId="135" applyNumberFormat="1" applyFont="1" applyFill="1" applyAlignment="1">
      <alignment horizontal="center" vertical="center"/>
    </xf>
    <xf numFmtId="174" fontId="0" fillId="0" borderId="0" xfId="0" applyNumberFormat="1" applyAlignment="1">
      <alignment vertical="center"/>
    </xf>
    <xf numFmtId="174" fontId="0" fillId="0" borderId="0" xfId="0" applyNumberFormat="1" applyAlignment="1">
      <alignment horizontal="left"/>
    </xf>
    <xf numFmtId="174" fontId="86" fillId="35" borderId="0" xfId="0" applyNumberFormat="1" applyFont="1" applyFill="1" applyAlignment="1">
      <alignment horizontal="center" vertical="center"/>
    </xf>
    <xf numFmtId="174" fontId="0" fillId="127" borderId="37" xfId="0" applyNumberFormat="1" applyFill="1" applyBorder="1"/>
    <xf numFmtId="174" fontId="0" fillId="127" borderId="0" xfId="0" applyNumberFormat="1" applyFill="1"/>
    <xf numFmtId="174" fontId="59" fillId="0" borderId="51" xfId="131" applyNumberFormat="1" applyFont="1" applyBorder="1" applyAlignment="1">
      <alignment horizontal="center"/>
    </xf>
    <xf numFmtId="174" fontId="32" fillId="106" borderId="0" xfId="0" applyNumberFormat="1" applyFont="1" applyFill="1" applyAlignment="1">
      <alignment horizontal="center"/>
    </xf>
    <xf numFmtId="174" fontId="32" fillId="35" borderId="0" xfId="0" applyNumberFormat="1" applyFont="1" applyFill="1" applyAlignment="1">
      <alignment vertical="center"/>
    </xf>
    <xf numFmtId="174" fontId="30" fillId="0" borderId="0" xfId="0" applyNumberFormat="1" applyFont="1" applyAlignment="1">
      <alignment horizontal="center" vertical="center"/>
    </xf>
    <xf numFmtId="174" fontId="73" fillId="35" borderId="0" xfId="0" applyNumberFormat="1" applyFont="1" applyFill="1" applyAlignment="1">
      <alignment horizontal="center" vertical="center"/>
    </xf>
    <xf numFmtId="174" fontId="31" fillId="106" borderId="0" xfId="0" applyNumberFormat="1" applyFont="1" applyFill="1" applyAlignment="1">
      <alignment horizontal="center"/>
    </xf>
    <xf numFmtId="174" fontId="51" fillId="106" borderId="0" xfId="0" applyNumberFormat="1" applyFont="1" applyFill="1" applyAlignment="1">
      <alignment horizontal="left" vertical="center"/>
    </xf>
    <xf numFmtId="174" fontId="30" fillId="0" borderId="66" xfId="0" applyNumberFormat="1" applyFont="1" applyBorder="1" applyAlignment="1">
      <alignment horizontal="center" vertical="center" wrapText="1"/>
    </xf>
    <xf numFmtId="174" fontId="30" fillId="0" borderId="28" xfId="0" applyNumberFormat="1" applyFont="1" applyBorder="1" applyAlignment="1">
      <alignment horizontal="center" vertical="center" wrapText="1"/>
    </xf>
    <xf numFmtId="174" fontId="30" fillId="0" borderId="29" xfId="0" applyNumberFormat="1" applyFont="1" applyBorder="1" applyAlignment="1">
      <alignment horizontal="center" vertical="center" wrapText="1"/>
    </xf>
    <xf numFmtId="174" fontId="73" fillId="35" borderId="0" xfId="0" applyNumberFormat="1" applyFont="1" applyFill="1" applyAlignment="1">
      <alignment horizontal="center" vertical="center"/>
    </xf>
    <xf numFmtId="174" fontId="30" fillId="0" borderId="37" xfId="0" applyNumberFormat="1" applyFont="1" applyBorder="1" applyAlignment="1">
      <alignment horizontal="center" vertical="center" wrapText="1"/>
    </xf>
    <xf numFmtId="174" fontId="30" fillId="0" borderId="0" xfId="0" applyNumberFormat="1" applyFont="1" applyAlignment="1">
      <alignment horizontal="center" vertical="center" wrapText="1"/>
    </xf>
    <xf numFmtId="174" fontId="30" fillId="0" borderId="36" xfId="0" applyNumberFormat="1" applyFont="1" applyBorder="1" applyAlignment="1">
      <alignment horizontal="center" vertical="center" wrapText="1"/>
    </xf>
    <xf numFmtId="174" fontId="91" fillId="0" borderId="0" xfId="0" applyNumberFormat="1" applyFont="1" applyAlignment="1">
      <alignment vertical="center"/>
    </xf>
    <xf numFmtId="174" fontId="67" fillId="0" borderId="0" xfId="131" applyNumberFormat="1" applyFont="1" applyAlignment="1">
      <alignment horizontal="center"/>
    </xf>
    <xf numFmtId="174" fontId="51" fillId="0" borderId="67" xfId="0" applyNumberFormat="1" applyFont="1" applyBorder="1" applyAlignment="1">
      <alignment horizontal="center" vertical="center"/>
    </xf>
    <xf numFmtId="174" fontId="22" fillId="0" borderId="0" xfId="120" applyNumberFormat="1" applyFont="1" applyAlignment="1" applyProtection="1">
      <alignment vertical="center"/>
    </xf>
    <xf numFmtId="174" fontId="30" fillId="106" borderId="0" xfId="0" applyNumberFormat="1" applyFont="1" applyFill="1" applyAlignment="1">
      <alignment horizontal="center"/>
    </xf>
    <xf numFmtId="174" fontId="91" fillId="0" borderId="0" xfId="0" applyNumberFormat="1" applyFont="1" applyAlignment="1">
      <alignment horizontal="center" vertical="center"/>
    </xf>
    <xf numFmtId="174" fontId="92" fillId="0" borderId="0" xfId="0" applyNumberFormat="1" applyFont="1" applyAlignment="1">
      <alignment horizontal="center" vertical="center"/>
    </xf>
    <xf numFmtId="174" fontId="32" fillId="0" borderId="28" xfId="0" applyNumberFormat="1" applyFont="1" applyBorder="1" applyAlignment="1">
      <alignment horizontal="center" vertical="center"/>
    </xf>
    <xf numFmtId="174" fontId="93" fillId="0" borderId="1" xfId="0" applyNumberFormat="1" applyFont="1" applyBorder="1" applyAlignment="1">
      <alignment horizontal="center" vertical="center"/>
    </xf>
    <xf numFmtId="174" fontId="22" fillId="0" borderId="0" xfId="0" applyNumberFormat="1" applyFont="1" applyAlignment="1">
      <alignment vertical="center"/>
    </xf>
    <xf numFmtId="174" fontId="65" fillId="0" borderId="0" xfId="0" applyNumberFormat="1" applyFont="1" applyAlignment="1">
      <alignment horizontal="center"/>
    </xf>
    <xf numFmtId="174" fontId="0" fillId="0" borderId="0" xfId="0" applyNumberFormat="1" applyAlignment="1">
      <alignment horizontal="center"/>
    </xf>
    <xf numFmtId="174" fontId="65" fillId="0" borderId="35" xfId="0" applyNumberFormat="1" applyFont="1" applyBorder="1" applyAlignment="1">
      <alignment horizontal="center" vertical="center"/>
    </xf>
    <xf numFmtId="174" fontId="65" fillId="0" borderId="0" xfId="0" applyNumberFormat="1" applyFont="1" applyAlignment="1">
      <alignment horizontal="center" vertical="center"/>
    </xf>
    <xf numFmtId="174" fontId="30" fillId="0" borderId="43" xfId="0" applyNumberFormat="1" applyFont="1" applyBorder="1" applyAlignment="1">
      <alignment horizontal="center" vertical="center" wrapText="1"/>
    </xf>
    <xf numFmtId="174" fontId="30" fillId="0" borderId="44" xfId="0" applyNumberFormat="1" applyFont="1" applyBorder="1" applyAlignment="1">
      <alignment horizontal="center" vertical="center" wrapText="1"/>
    </xf>
    <xf numFmtId="174" fontId="67" fillId="0" borderId="68" xfId="131" applyNumberFormat="1" applyFont="1" applyBorder="1" applyAlignment="1">
      <alignment horizontal="center"/>
    </xf>
    <xf numFmtId="174" fontId="94" fillId="0" borderId="0" xfId="118" applyNumberFormat="1" applyFont="1" applyAlignment="1">
      <alignment horizontal="center" vertical="center"/>
    </xf>
    <xf numFmtId="174" fontId="56" fillId="0" borderId="51" xfId="131" applyNumberFormat="1" applyFont="1" applyBorder="1" applyAlignment="1">
      <alignment horizontal="center"/>
    </xf>
    <xf numFmtId="174" fontId="22" fillId="0" borderId="37" xfId="0" applyNumberFormat="1" applyFont="1" applyBorder="1"/>
    <xf numFmtId="174" fontId="0" fillId="0" borderId="44" xfId="0" applyNumberFormat="1" applyBorder="1" applyAlignment="1">
      <alignment horizontal="center" vertical="center"/>
    </xf>
    <xf numFmtId="174" fontId="0" fillId="0" borderId="69" xfId="0" applyNumberFormat="1" applyBorder="1" applyAlignment="1">
      <alignment horizontal="center" vertical="center"/>
    </xf>
    <xf numFmtId="174" fontId="0" fillId="0" borderId="44" xfId="0" applyNumberFormat="1" applyBorder="1"/>
    <xf numFmtId="174" fontId="22" fillId="0" borderId="70" xfId="0" applyNumberFormat="1" applyFont="1" applyBorder="1"/>
    <xf numFmtId="174" fontId="22" fillId="0" borderId="71" xfId="0" applyNumberFormat="1" applyFont="1" applyBorder="1"/>
  </cellXfs>
  <cellStyles count="25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46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Hipervínculo 3 2" xfId="36" xr:uid="{00000000-0005-0000-0000-000023000000}"/>
    <cellStyle name="Incorrecto" xfId="37" builtinId="27" customBuiltin="1"/>
    <cellStyle name="Millares 2" xfId="38" xr:uid="{00000000-0005-0000-0000-000025000000}"/>
    <cellStyle name="Millares 2 2" xfId="39" xr:uid="{00000000-0005-0000-0000-000026000000}"/>
    <cellStyle name="Millares 2 2 2" xfId="40" xr:uid="{00000000-0005-0000-0000-000027000000}"/>
    <cellStyle name="Millares 3" xfId="41" xr:uid="{00000000-0005-0000-0000-000028000000}"/>
    <cellStyle name="Millares 3 2" xfId="42" xr:uid="{00000000-0005-0000-0000-000029000000}"/>
    <cellStyle name="Millares 3 2 2" xfId="43" xr:uid="{00000000-0005-0000-0000-00002A000000}"/>
    <cellStyle name="Millares 3 3" xfId="44" xr:uid="{00000000-0005-0000-0000-00002B000000}"/>
    <cellStyle name="Millares 3 3 2" xfId="45" xr:uid="{00000000-0005-0000-0000-00002C000000}"/>
    <cellStyle name="Millares 3 4" xfId="46" xr:uid="{00000000-0005-0000-0000-00002D000000}"/>
    <cellStyle name="Millares 3 5" xfId="47" xr:uid="{00000000-0005-0000-0000-00002E000000}"/>
    <cellStyle name="Millares 4" xfId="48" xr:uid="{00000000-0005-0000-0000-00002F000000}"/>
    <cellStyle name="Millares 4 2" xfId="49" xr:uid="{00000000-0005-0000-0000-000030000000}"/>
    <cellStyle name="Millares 4 2 2" xfId="50" xr:uid="{00000000-0005-0000-0000-000031000000}"/>
    <cellStyle name="Millares 4 3" xfId="51" xr:uid="{00000000-0005-0000-0000-000032000000}"/>
    <cellStyle name="Millares 4 3 2" xfId="52" xr:uid="{00000000-0005-0000-0000-000033000000}"/>
    <cellStyle name="Millares 4 4" xfId="53" xr:uid="{00000000-0005-0000-0000-000034000000}"/>
    <cellStyle name="Millares 5" xfId="54" xr:uid="{00000000-0005-0000-0000-000035000000}"/>
    <cellStyle name="Millares 5 2" xfId="55" xr:uid="{00000000-0005-0000-0000-000036000000}"/>
    <cellStyle name="Millares 5 2 2" xfId="56" xr:uid="{00000000-0005-0000-0000-000037000000}"/>
    <cellStyle name="Millares 5 2 2 2" xfId="57" xr:uid="{00000000-0005-0000-0000-000038000000}"/>
    <cellStyle name="Millares 5 2 2 2 2" xfId="58" xr:uid="{00000000-0005-0000-0000-000039000000}"/>
    <cellStyle name="Millares 5 2 2 2 2 2" xfId="59" xr:uid="{00000000-0005-0000-0000-00003A000000}"/>
    <cellStyle name="Millares 5 2 2 2 2 3" xfId="60" xr:uid="{00000000-0005-0000-0000-00003B000000}"/>
    <cellStyle name="Millares 5 2 2 2 2 4" xfId="61" xr:uid="{00000000-0005-0000-0000-00003C000000}"/>
    <cellStyle name="Millares 5 2 2 2 3" xfId="62" xr:uid="{00000000-0005-0000-0000-00003D000000}"/>
    <cellStyle name="Millares 5 2 2 2 4" xfId="63" xr:uid="{00000000-0005-0000-0000-00003E000000}"/>
    <cellStyle name="Millares 5 2 2 3" xfId="64" xr:uid="{00000000-0005-0000-0000-00003F000000}"/>
    <cellStyle name="Millares 5 2 2 3 2" xfId="65" xr:uid="{00000000-0005-0000-0000-000040000000}"/>
    <cellStyle name="Millares 5 2 2 3 2 2" xfId="66" xr:uid="{00000000-0005-0000-0000-000041000000}"/>
    <cellStyle name="Millares 5 2 2 3 2 3" xfId="67" xr:uid="{00000000-0005-0000-0000-000042000000}"/>
    <cellStyle name="Millares 5 2 2 3 2 4" xfId="68" xr:uid="{00000000-0005-0000-0000-000043000000}"/>
    <cellStyle name="Millares 5 2 2 3 3" xfId="69" xr:uid="{00000000-0005-0000-0000-000044000000}"/>
    <cellStyle name="Millares 5 2 2 3 4" xfId="70" xr:uid="{00000000-0005-0000-0000-000045000000}"/>
    <cellStyle name="Millares 5 2 2 4" xfId="71" xr:uid="{00000000-0005-0000-0000-000046000000}"/>
    <cellStyle name="Millares 5 2 2 4 2" xfId="72" xr:uid="{00000000-0005-0000-0000-000047000000}"/>
    <cellStyle name="Millares 5 2 2 4 3" xfId="73" xr:uid="{00000000-0005-0000-0000-000048000000}"/>
    <cellStyle name="Millares 5 2 2 4 4" xfId="74" xr:uid="{00000000-0005-0000-0000-000049000000}"/>
    <cellStyle name="Millares 5 2 2 5" xfId="75" xr:uid="{00000000-0005-0000-0000-00004A000000}"/>
    <cellStyle name="Millares 5 2 2 6" xfId="76" xr:uid="{00000000-0005-0000-0000-00004B000000}"/>
    <cellStyle name="Millares 5 2 3" xfId="77" xr:uid="{00000000-0005-0000-0000-00004C000000}"/>
    <cellStyle name="Millares 5 3" xfId="78" xr:uid="{00000000-0005-0000-0000-00004D000000}"/>
    <cellStyle name="Millares 5 4" xfId="79" xr:uid="{00000000-0005-0000-0000-00004E000000}"/>
    <cellStyle name="Millares 6" xfId="80" xr:uid="{00000000-0005-0000-0000-00004F000000}"/>
    <cellStyle name="Millares 6 2" xfId="81" xr:uid="{00000000-0005-0000-0000-000050000000}"/>
    <cellStyle name="Moneda 2" xfId="82" xr:uid="{00000000-0005-0000-0000-000051000000}"/>
    <cellStyle name="Moneda 2 2" xfId="83" xr:uid="{00000000-0005-0000-0000-000052000000}"/>
    <cellStyle name="Moneda 2 2 2" xfId="84" xr:uid="{00000000-0005-0000-0000-000053000000}"/>
    <cellStyle name="Moneda 2 2 2 2" xfId="85" xr:uid="{00000000-0005-0000-0000-000054000000}"/>
    <cellStyle name="Moneda 2 2 2 3" xfId="86" xr:uid="{00000000-0005-0000-0000-000055000000}"/>
    <cellStyle name="Moneda 2 2 2 4" xfId="87" xr:uid="{00000000-0005-0000-0000-000056000000}"/>
    <cellStyle name="Moneda 2 2 3" xfId="88" xr:uid="{00000000-0005-0000-0000-000057000000}"/>
    <cellStyle name="Moneda 2 2 4" xfId="89" xr:uid="{00000000-0005-0000-0000-000058000000}"/>
    <cellStyle name="Moneda 2 3" xfId="90" xr:uid="{00000000-0005-0000-0000-000059000000}"/>
    <cellStyle name="Moneda 2 4" xfId="91" xr:uid="{00000000-0005-0000-0000-00005A000000}"/>
    <cellStyle name="Moneda 2 4 2" xfId="92" xr:uid="{00000000-0005-0000-0000-00005B000000}"/>
    <cellStyle name="Moneda 2 4 3" xfId="93" xr:uid="{00000000-0005-0000-0000-00005C000000}"/>
    <cellStyle name="Moneda 2 4 4" xfId="94" xr:uid="{00000000-0005-0000-0000-00005D000000}"/>
    <cellStyle name="Moneda 2 5" xfId="95" xr:uid="{00000000-0005-0000-0000-00005E000000}"/>
    <cellStyle name="Moneda 2 6" xfId="96" xr:uid="{00000000-0005-0000-0000-00005F000000}"/>
    <cellStyle name="Moneda 3" xfId="97" xr:uid="{00000000-0005-0000-0000-000060000000}"/>
    <cellStyle name="Moneda 3 2" xfId="98" xr:uid="{00000000-0005-0000-0000-000061000000}"/>
    <cellStyle name="Moneda 3 3" xfId="99" xr:uid="{00000000-0005-0000-0000-000062000000}"/>
    <cellStyle name="Moneda 3 4" xfId="100" xr:uid="{00000000-0005-0000-0000-000063000000}"/>
    <cellStyle name="Moneda 4" xfId="101" xr:uid="{00000000-0005-0000-0000-000064000000}"/>
    <cellStyle name="Moneda 4 3" xfId="102" xr:uid="{00000000-0005-0000-0000-000065000000}"/>
    <cellStyle name="Neutral" xfId="103" builtinId="28" customBuiltin="1"/>
    <cellStyle name="Normal" xfId="0" builtinId="0"/>
    <cellStyle name="Normal 10" xfId="104" xr:uid="{00000000-0005-0000-0000-000068000000}"/>
    <cellStyle name="Normal 11" xfId="105" xr:uid="{00000000-0005-0000-0000-000069000000}"/>
    <cellStyle name="Normal 11 2" xfId="106" xr:uid="{00000000-0005-0000-0000-00006A000000}"/>
    <cellStyle name="Normal 12" xfId="107" xr:uid="{00000000-0005-0000-0000-00006B000000}"/>
    <cellStyle name="Normal 12 2" xfId="108" xr:uid="{00000000-0005-0000-0000-00006C000000}"/>
    <cellStyle name="Normal 12 3" xfId="253" xr:uid="{95816D70-2842-43B4-B9DB-FC5FF5965AB7}"/>
    <cellStyle name="Normal 124" xfId="109" xr:uid="{00000000-0005-0000-0000-00006D000000}"/>
    <cellStyle name="Normal 125" xfId="110" xr:uid="{00000000-0005-0000-0000-00006E000000}"/>
    <cellStyle name="Normal 13" xfId="111" xr:uid="{00000000-0005-0000-0000-00006F000000}"/>
    <cellStyle name="Normal 14" xfId="112" xr:uid="{00000000-0005-0000-0000-000070000000}"/>
    <cellStyle name="Normal 14 2" xfId="113" xr:uid="{00000000-0005-0000-0000-000071000000}"/>
    <cellStyle name="Normal 15" xfId="114" xr:uid="{00000000-0005-0000-0000-000072000000}"/>
    <cellStyle name="Normal 16" xfId="115" xr:uid="{00000000-0005-0000-0000-000073000000}"/>
    <cellStyle name="Normal 17" xfId="116" xr:uid="{00000000-0005-0000-0000-000074000000}"/>
    <cellStyle name="Normal 18" xfId="254" xr:uid="{7C93B56D-B866-43C7-8230-8E30AE920784}"/>
    <cellStyle name="Normal 19" xfId="117" xr:uid="{00000000-0005-0000-0000-000075000000}"/>
    <cellStyle name="Normal 2" xfId="118" xr:uid="{00000000-0005-0000-0000-000076000000}"/>
    <cellStyle name="Normal 2 10 2" xfId="119" xr:uid="{00000000-0005-0000-0000-000077000000}"/>
    <cellStyle name="Normal 2 10 2 2" xfId="120" xr:uid="{00000000-0005-0000-0000-000078000000}"/>
    <cellStyle name="Normal 2 10 2 2 2 2" xfId="250" xr:uid="{113A7456-B4B6-452A-A9BA-406F937DE4C5}"/>
    <cellStyle name="Normal 2 100" xfId="121" xr:uid="{00000000-0005-0000-0000-000079000000}"/>
    <cellStyle name="Normal 2 100 2" xfId="122" xr:uid="{00000000-0005-0000-0000-00007A000000}"/>
    <cellStyle name="Normal 2 2" xfId="123" xr:uid="{00000000-0005-0000-0000-00007B000000}"/>
    <cellStyle name="Normal 2 2 10" xfId="124" xr:uid="{00000000-0005-0000-0000-00007C000000}"/>
    <cellStyle name="Normal 2 2 10 2" xfId="125" xr:uid="{00000000-0005-0000-0000-00007D000000}"/>
    <cellStyle name="Normal 2 2 2" xfId="126" xr:uid="{00000000-0005-0000-0000-00007E000000}"/>
    <cellStyle name="Normal 2 2 2 2" xfId="127" xr:uid="{00000000-0005-0000-0000-00007F000000}"/>
    <cellStyle name="Normal 2 2 2 3" xfId="128" xr:uid="{00000000-0005-0000-0000-000080000000}"/>
    <cellStyle name="Normal 2 2 2 4" xfId="129" xr:uid="{00000000-0005-0000-0000-000081000000}"/>
    <cellStyle name="Normal 2 2 3" xfId="130" xr:uid="{00000000-0005-0000-0000-000082000000}"/>
    <cellStyle name="Normal 2 2 4" xfId="131" xr:uid="{00000000-0005-0000-0000-000083000000}"/>
    <cellStyle name="Normal 2 2 4 2" xfId="132" xr:uid="{00000000-0005-0000-0000-000084000000}"/>
    <cellStyle name="Normal 2 2 4 2 2" xfId="133" xr:uid="{00000000-0005-0000-0000-000085000000}"/>
    <cellStyle name="Normal 2 2 4 2 2 3" xfId="134" xr:uid="{00000000-0005-0000-0000-000086000000}"/>
    <cellStyle name="Normal 2 2 4 3" xfId="135" xr:uid="{00000000-0005-0000-0000-000087000000}"/>
    <cellStyle name="Normal 2 2 4 4" xfId="136" xr:uid="{00000000-0005-0000-0000-000088000000}"/>
    <cellStyle name="Normal 2 2 5" xfId="137" xr:uid="{00000000-0005-0000-0000-000089000000}"/>
    <cellStyle name="Normal 2 3" xfId="138" xr:uid="{00000000-0005-0000-0000-00008A000000}"/>
    <cellStyle name="Normal 2 3 2" xfId="139" xr:uid="{00000000-0005-0000-0000-00008B000000}"/>
    <cellStyle name="Normal 2 3 2 2" xfId="140" xr:uid="{00000000-0005-0000-0000-00008C000000}"/>
    <cellStyle name="Normal 2 3 2 2 2 2" xfId="141" xr:uid="{00000000-0005-0000-0000-00008D000000}"/>
    <cellStyle name="Normal 2 3 2 3" xfId="142" xr:uid="{00000000-0005-0000-0000-00008E000000}"/>
    <cellStyle name="Normal 2 3 3" xfId="143" xr:uid="{00000000-0005-0000-0000-00008F000000}"/>
    <cellStyle name="Normal 2 3 3 2 3 2" xfId="144" xr:uid="{00000000-0005-0000-0000-000090000000}"/>
    <cellStyle name="Normal 2 3 4" xfId="145" xr:uid="{00000000-0005-0000-0000-000091000000}"/>
    <cellStyle name="Normal 2 3 5" xfId="146" xr:uid="{00000000-0005-0000-0000-000092000000}"/>
    <cellStyle name="Normal 2 3 6" xfId="147" xr:uid="{00000000-0005-0000-0000-000093000000}"/>
    <cellStyle name="Normal 2 4" xfId="148" xr:uid="{00000000-0005-0000-0000-000094000000}"/>
    <cellStyle name="Normal 2 4 2 2" xfId="252" xr:uid="{594CB944-8E4E-4CC6-A00C-BD0D4257416F}"/>
    <cellStyle name="Normal 2 5" xfId="149" xr:uid="{00000000-0005-0000-0000-000095000000}"/>
    <cellStyle name="Normal 2 5 2" xfId="251" xr:uid="{8A249940-410A-43E9-9813-8B0FCC691F35}"/>
    <cellStyle name="Normal 2 6" xfId="150" xr:uid="{00000000-0005-0000-0000-000096000000}"/>
    <cellStyle name="Normal 2 6 10" xfId="151" xr:uid="{00000000-0005-0000-0000-000097000000}"/>
    <cellStyle name="Normal 2 6 10 2" xfId="152" xr:uid="{00000000-0005-0000-0000-000098000000}"/>
    <cellStyle name="Normal 2 6 2" xfId="153" xr:uid="{00000000-0005-0000-0000-000099000000}"/>
    <cellStyle name="Normal 2 7" xfId="154" xr:uid="{00000000-0005-0000-0000-00009A000000}"/>
    <cellStyle name="Normal 2 9" xfId="155" xr:uid="{00000000-0005-0000-0000-00009B000000}"/>
    <cellStyle name="Normal 2_2010 Enero METEPEC(1)" xfId="156" xr:uid="{00000000-0005-0000-0000-00009C000000}"/>
    <cellStyle name="Normal 21" xfId="157" xr:uid="{00000000-0005-0000-0000-00009D000000}"/>
    <cellStyle name="Normal 22" xfId="158" xr:uid="{00000000-0005-0000-0000-00009E000000}"/>
    <cellStyle name="Normal 23" xfId="159" xr:uid="{00000000-0005-0000-0000-00009F000000}"/>
    <cellStyle name="Normal 3" xfId="160" xr:uid="{00000000-0005-0000-0000-0000A0000000}"/>
    <cellStyle name="Normal 3 2" xfId="161" xr:uid="{00000000-0005-0000-0000-0000A1000000}"/>
    <cellStyle name="Normal 3 2 2" xfId="162" xr:uid="{00000000-0005-0000-0000-0000A2000000}"/>
    <cellStyle name="Normal 3 3" xfId="163" xr:uid="{00000000-0005-0000-0000-0000A3000000}"/>
    <cellStyle name="Normal 3 4" xfId="164" xr:uid="{00000000-0005-0000-0000-0000A4000000}"/>
    <cellStyle name="Normal 3 4 2 4" xfId="165" xr:uid="{00000000-0005-0000-0000-0000A5000000}"/>
    <cellStyle name="Normal 3 5" xfId="166" xr:uid="{00000000-0005-0000-0000-0000A6000000}"/>
    <cellStyle name="Normal 3 5 2" xfId="167" xr:uid="{00000000-0005-0000-0000-0000A7000000}"/>
    <cellStyle name="Normal 3 6" xfId="168" xr:uid="{00000000-0005-0000-0000-0000A8000000}"/>
    <cellStyle name="Normal 3 7" xfId="169" xr:uid="{00000000-0005-0000-0000-0000A9000000}"/>
    <cellStyle name="Normal 3_2010-09-30-PUEBLA(1)" xfId="170" xr:uid="{00000000-0005-0000-0000-0000AA000000}"/>
    <cellStyle name="Normal 4" xfId="171" xr:uid="{00000000-0005-0000-0000-0000AB000000}"/>
    <cellStyle name="Normal 4 2" xfId="172" xr:uid="{00000000-0005-0000-0000-0000AC000000}"/>
    <cellStyle name="Normal 4 3" xfId="173" xr:uid="{00000000-0005-0000-0000-0000AD000000}"/>
    <cellStyle name="Normal 4 4" xfId="174" xr:uid="{00000000-0005-0000-0000-0000AE000000}"/>
    <cellStyle name="Normal 5" xfId="175" xr:uid="{00000000-0005-0000-0000-0000AF000000}"/>
    <cellStyle name="Normal 5 2" xfId="176" xr:uid="{00000000-0005-0000-0000-0000B0000000}"/>
    <cellStyle name="Normal 5 2 2" xfId="177" xr:uid="{00000000-0005-0000-0000-0000B1000000}"/>
    <cellStyle name="Normal 5 2 2 3" xfId="178" xr:uid="{00000000-0005-0000-0000-0000B2000000}"/>
    <cellStyle name="Normal 5 3" xfId="179" xr:uid="{00000000-0005-0000-0000-0000B3000000}"/>
    <cellStyle name="Normal 5 3 2" xfId="180" xr:uid="{00000000-0005-0000-0000-0000B4000000}"/>
    <cellStyle name="Normal 5 4" xfId="181" xr:uid="{00000000-0005-0000-0000-0000B5000000}"/>
    <cellStyle name="Normal 5 5" xfId="182" xr:uid="{00000000-0005-0000-0000-0000B6000000}"/>
    <cellStyle name="Normal 5_CAMBIO DE MIX CAPRI SATELITE CON PWB y FISH 2-11-11(1)" xfId="183" xr:uid="{00000000-0005-0000-0000-0000B7000000}"/>
    <cellStyle name="Normal 6" xfId="184" xr:uid="{00000000-0005-0000-0000-0000B8000000}"/>
    <cellStyle name="Normal 6 2" xfId="185" xr:uid="{00000000-0005-0000-0000-0000B9000000}"/>
    <cellStyle name="Normal 6 3" xfId="186" xr:uid="{00000000-0005-0000-0000-0000BA000000}"/>
    <cellStyle name="Normal 7" xfId="187" xr:uid="{00000000-0005-0000-0000-0000BB000000}"/>
    <cellStyle name="Normal 8" xfId="188" xr:uid="{00000000-0005-0000-0000-0000BC000000}"/>
    <cellStyle name="Normal 8 2" xfId="189" xr:uid="{00000000-0005-0000-0000-0000BD000000}"/>
    <cellStyle name="Normal 8_PROPUESTA MIX PALACE CANCUN 5-03-12-P(1)" xfId="190" xr:uid="{00000000-0005-0000-0000-0000BE000000}"/>
    <cellStyle name="Normal 9" xfId="191" xr:uid="{00000000-0005-0000-0000-0000BF000000}"/>
    <cellStyle name="Normal 9 2 2" xfId="192" xr:uid="{00000000-0005-0000-0000-0000C0000000}"/>
    <cellStyle name="Normal_Hoja1" xfId="255" xr:uid="{9EA9BBF7-046F-4BD4-9A0E-2506FDB542AB}"/>
    <cellStyle name="Notas 2" xfId="193" xr:uid="{00000000-0005-0000-0000-0000C1000000}"/>
    <cellStyle name="Notas 2 2" xfId="194" xr:uid="{00000000-0005-0000-0000-0000C2000000}"/>
    <cellStyle name="Notas 2 2 2" xfId="195" xr:uid="{00000000-0005-0000-0000-0000C3000000}"/>
    <cellStyle name="Notas 2 2 3" xfId="196" xr:uid="{00000000-0005-0000-0000-0000C4000000}"/>
    <cellStyle name="Notas 2 2 4" xfId="197" xr:uid="{00000000-0005-0000-0000-0000C5000000}"/>
    <cellStyle name="Notas 2 3" xfId="198" xr:uid="{00000000-0005-0000-0000-0000C6000000}"/>
    <cellStyle name="Notas 2 4" xfId="199" xr:uid="{00000000-0005-0000-0000-0000C7000000}"/>
    <cellStyle name="Porcentaje 2" xfId="200" xr:uid="{00000000-0005-0000-0000-0000C8000000}"/>
    <cellStyle name="Porcentaje 2 2" xfId="201" xr:uid="{00000000-0005-0000-0000-0000C9000000}"/>
    <cellStyle name="Porcentaje 2 2 2" xfId="202" xr:uid="{00000000-0005-0000-0000-0000CA000000}"/>
    <cellStyle name="Porcentaje 2 2 2 2" xfId="203" xr:uid="{00000000-0005-0000-0000-0000CB000000}"/>
    <cellStyle name="Porcentaje 2 2 2 3" xfId="204" xr:uid="{00000000-0005-0000-0000-0000CC000000}"/>
    <cellStyle name="Porcentaje 2 2 2 4" xfId="205" xr:uid="{00000000-0005-0000-0000-0000CD000000}"/>
    <cellStyle name="Porcentaje 2 2 2 4 2" xfId="206" xr:uid="{00000000-0005-0000-0000-0000CE000000}"/>
    <cellStyle name="Porcentaje 2 2 3" xfId="207" xr:uid="{00000000-0005-0000-0000-0000CF000000}"/>
    <cellStyle name="Porcentaje 2 2 4" xfId="208" xr:uid="{00000000-0005-0000-0000-0000D0000000}"/>
    <cellStyle name="Porcentaje 2 3" xfId="209" xr:uid="{00000000-0005-0000-0000-0000D1000000}"/>
    <cellStyle name="Porcentaje 2 4" xfId="210" xr:uid="{00000000-0005-0000-0000-0000D2000000}"/>
    <cellStyle name="Porcentaje 2 4 2" xfId="211" xr:uid="{00000000-0005-0000-0000-0000D3000000}"/>
    <cellStyle name="Porcentaje 2 4 2 2" xfId="212" xr:uid="{00000000-0005-0000-0000-0000D4000000}"/>
    <cellStyle name="Porcentaje 2 4 2 3" xfId="213" xr:uid="{00000000-0005-0000-0000-0000D5000000}"/>
    <cellStyle name="Porcentaje 2 4 2 4" xfId="214" xr:uid="{00000000-0005-0000-0000-0000D6000000}"/>
    <cellStyle name="Porcentaje 2 4 3" xfId="215" xr:uid="{00000000-0005-0000-0000-0000D7000000}"/>
    <cellStyle name="Porcentaje 2 4 4" xfId="216" xr:uid="{00000000-0005-0000-0000-0000D8000000}"/>
    <cellStyle name="Porcentaje 2 5" xfId="217" xr:uid="{00000000-0005-0000-0000-0000D9000000}"/>
    <cellStyle name="Porcentaje 2 5 2" xfId="218" xr:uid="{00000000-0005-0000-0000-0000DA000000}"/>
    <cellStyle name="Porcentaje 2 5 3" xfId="219" xr:uid="{00000000-0005-0000-0000-0000DB000000}"/>
    <cellStyle name="Porcentaje 2 5 4" xfId="220" xr:uid="{00000000-0005-0000-0000-0000DC000000}"/>
    <cellStyle name="Porcentaje 2 6" xfId="221" xr:uid="{00000000-0005-0000-0000-0000DD000000}"/>
    <cellStyle name="Porcentaje 3" xfId="222" xr:uid="{00000000-0005-0000-0000-0000DE000000}"/>
    <cellStyle name="Porcentaje 3 2" xfId="223" xr:uid="{00000000-0005-0000-0000-0000DF000000}"/>
    <cellStyle name="Porcentaje 4" xfId="224" xr:uid="{00000000-0005-0000-0000-0000E0000000}"/>
    <cellStyle name="Porcentaje 4 2" xfId="225" xr:uid="{00000000-0005-0000-0000-0000E1000000}"/>
    <cellStyle name="Porcentaje 4 2 2" xfId="226" xr:uid="{00000000-0005-0000-0000-0000E2000000}"/>
    <cellStyle name="Porcentaje 4 2 2 2" xfId="227" xr:uid="{00000000-0005-0000-0000-0000E3000000}"/>
    <cellStyle name="Porcentaje 4 2 2 3" xfId="228" xr:uid="{00000000-0005-0000-0000-0000E4000000}"/>
    <cellStyle name="Porcentaje 4 2 2 4" xfId="229" xr:uid="{00000000-0005-0000-0000-0000E5000000}"/>
    <cellStyle name="Porcentaje 4 2 3" xfId="230" xr:uid="{00000000-0005-0000-0000-0000E6000000}"/>
    <cellStyle name="Porcentaje 4 2 4" xfId="231" xr:uid="{00000000-0005-0000-0000-0000E7000000}"/>
    <cellStyle name="Porcentaje 4 2 5" xfId="232" xr:uid="{00000000-0005-0000-0000-0000E8000000}"/>
    <cellStyle name="Porcentaje 4 3" xfId="233" xr:uid="{00000000-0005-0000-0000-0000E9000000}"/>
    <cellStyle name="Porcentaje 4 4" xfId="234" xr:uid="{00000000-0005-0000-0000-0000EA000000}"/>
    <cellStyle name="Porcentaje 4 5" xfId="235" xr:uid="{00000000-0005-0000-0000-0000EB000000}"/>
    <cellStyle name="Porcentaje 4 6" xfId="236" xr:uid="{00000000-0005-0000-0000-0000EC000000}"/>
    <cellStyle name="Porcentaje 4 7" xfId="237" xr:uid="{00000000-0005-0000-0000-0000ED000000}"/>
    <cellStyle name="Porcentual 2" xfId="238" xr:uid="{00000000-0005-0000-0000-0000EE000000}"/>
    <cellStyle name="Salida" xfId="239" builtinId="21" customBuiltin="1"/>
    <cellStyle name="Style 1 10" xfId="240" xr:uid="{00000000-0005-0000-0000-0000F0000000}"/>
    <cellStyle name="Style 1 12" xfId="241" xr:uid="{00000000-0005-0000-0000-0000F1000000}"/>
    <cellStyle name="TableStyleLight1" xfId="242" xr:uid="{00000000-0005-0000-0000-0000F2000000}"/>
    <cellStyle name="Texto de advertencia" xfId="243" builtinId="11" customBuiltin="1"/>
    <cellStyle name="Texto explicativo" xfId="244" builtinId="53" customBuiltin="1"/>
    <cellStyle name="Título" xfId="245" builtinId="15" customBuiltin="1"/>
    <cellStyle name="Título 2" xfId="247" builtinId="17" customBuiltin="1"/>
    <cellStyle name="Título 3" xfId="248" builtinId="18" customBuiltin="1"/>
    <cellStyle name="Total" xfId="249" builtinId="25" customBuiltin="1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640610</xdr:colOff>
      <xdr:row>26</xdr:row>
      <xdr:rowOff>241006</xdr:rowOff>
    </xdr:from>
    <xdr:to>
      <xdr:col>21</xdr:col>
      <xdr:colOff>457200</xdr:colOff>
      <xdr:row>30</xdr:row>
      <xdr:rowOff>114300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E8164E24-859D-431A-8002-06773632F6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22929110" y="6879931"/>
          <a:ext cx="931015" cy="8734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59</xdr:col>
      <xdr:colOff>702407</xdr:colOff>
      <xdr:row>7</xdr:row>
      <xdr:rowOff>1109</xdr:rowOff>
    </xdr:from>
    <xdr:to>
      <xdr:col>60</xdr:col>
      <xdr:colOff>381001</xdr:colOff>
      <xdr:row>10</xdr:row>
      <xdr:rowOff>152401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DA190F71-813D-44D8-A7A2-B60279101B5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453482" y="1820384"/>
          <a:ext cx="793019" cy="89424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C49CC33-0E13-46BB-B0AA-640C2733B80D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18</xdr:col>
      <xdr:colOff>111541</xdr:colOff>
      <xdr:row>23</xdr:row>
      <xdr:rowOff>148992</xdr:rowOff>
    </xdr:from>
    <xdr:to>
      <xdr:col>24</xdr:col>
      <xdr:colOff>395144</xdr:colOff>
      <xdr:row>27</xdr:row>
      <xdr:rowOff>60192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1C128218-B959-41DC-AF31-396FA4AE611D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0171191" y="5978292"/>
          <a:ext cx="6970153" cy="997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3DF2DDC-5D35-45B3-AEB4-683BFEF504F5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640610</xdr:colOff>
      <xdr:row>26</xdr:row>
      <xdr:rowOff>241006</xdr:rowOff>
    </xdr:from>
    <xdr:to>
      <xdr:col>21</xdr:col>
      <xdr:colOff>457200</xdr:colOff>
      <xdr:row>30</xdr:row>
      <xdr:rowOff>114300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BE943C36-ECCF-428D-ACBA-D76019FBDF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22929110" y="6879931"/>
          <a:ext cx="931015" cy="8734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59</xdr:col>
      <xdr:colOff>702407</xdr:colOff>
      <xdr:row>7</xdr:row>
      <xdr:rowOff>1109</xdr:rowOff>
    </xdr:from>
    <xdr:to>
      <xdr:col>60</xdr:col>
      <xdr:colOff>381001</xdr:colOff>
      <xdr:row>10</xdr:row>
      <xdr:rowOff>152401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EB842F77-7B49-4E3C-86E6-D7CF3D20119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453482" y="1820384"/>
          <a:ext cx="793019" cy="89424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82B706E6-93A2-4AE1-B685-0764976C5B13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18</xdr:col>
      <xdr:colOff>111541</xdr:colOff>
      <xdr:row>23</xdr:row>
      <xdr:rowOff>148992</xdr:rowOff>
    </xdr:from>
    <xdr:to>
      <xdr:col>24</xdr:col>
      <xdr:colOff>395144</xdr:colOff>
      <xdr:row>27</xdr:row>
      <xdr:rowOff>60192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960C747E-2683-4765-A525-CC1791E2338D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0171191" y="5978292"/>
          <a:ext cx="6970153" cy="997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61026413-A047-43BC-AC4F-895C0B5B2F0A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640610</xdr:colOff>
      <xdr:row>26</xdr:row>
      <xdr:rowOff>241006</xdr:rowOff>
    </xdr:from>
    <xdr:to>
      <xdr:col>21</xdr:col>
      <xdr:colOff>457200</xdr:colOff>
      <xdr:row>30</xdr:row>
      <xdr:rowOff>114300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9FF923CF-799E-4363-8A1B-99D2E513D0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22929110" y="6879931"/>
          <a:ext cx="931015" cy="8734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59</xdr:col>
      <xdr:colOff>702407</xdr:colOff>
      <xdr:row>7</xdr:row>
      <xdr:rowOff>1109</xdr:rowOff>
    </xdr:from>
    <xdr:to>
      <xdr:col>60</xdr:col>
      <xdr:colOff>381001</xdr:colOff>
      <xdr:row>10</xdr:row>
      <xdr:rowOff>152401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7BB00AC7-E24D-4B65-95E0-F817804CE63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453482" y="1820384"/>
          <a:ext cx="793019" cy="89424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36A570F6-6E34-44F8-8CA0-D283CB5B344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18</xdr:col>
      <xdr:colOff>111541</xdr:colOff>
      <xdr:row>23</xdr:row>
      <xdr:rowOff>148992</xdr:rowOff>
    </xdr:from>
    <xdr:to>
      <xdr:col>24</xdr:col>
      <xdr:colOff>395144</xdr:colOff>
      <xdr:row>27</xdr:row>
      <xdr:rowOff>60192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8373914B-C1C1-49AB-8A13-EC45F9E45A0C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0171191" y="5978292"/>
          <a:ext cx="6970153" cy="997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52A4D9CB-F8B8-496B-B405-933ED2A8283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640610</xdr:colOff>
      <xdr:row>26</xdr:row>
      <xdr:rowOff>241006</xdr:rowOff>
    </xdr:from>
    <xdr:to>
      <xdr:col>21</xdr:col>
      <xdr:colOff>457200</xdr:colOff>
      <xdr:row>30</xdr:row>
      <xdr:rowOff>114300</xdr:rowOff>
    </xdr:to>
    <xdr:pic>
      <xdr:nvPicPr>
        <xdr:cNvPr id="2" name="image13.png" descr=" ">
          <a:extLst>
            <a:ext uri="{FF2B5EF4-FFF2-40B4-BE49-F238E27FC236}">
              <a16:creationId xmlns:a16="http://schemas.microsoft.com/office/drawing/2014/main" id="{3541F620-D7BF-4F70-B439-FC4DD0D859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 flipH="1">
          <a:off x="22929110" y="6879931"/>
          <a:ext cx="931015" cy="87341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59</xdr:col>
      <xdr:colOff>702407</xdr:colOff>
      <xdr:row>7</xdr:row>
      <xdr:rowOff>1109</xdr:rowOff>
    </xdr:from>
    <xdr:to>
      <xdr:col>60</xdr:col>
      <xdr:colOff>381001</xdr:colOff>
      <xdr:row>10</xdr:row>
      <xdr:rowOff>152401</xdr:rowOff>
    </xdr:to>
    <xdr:pic>
      <xdr:nvPicPr>
        <xdr:cNvPr id="3" name="image16.png" descr=" ">
          <a:extLst>
            <a:ext uri="{FF2B5EF4-FFF2-40B4-BE49-F238E27FC236}">
              <a16:creationId xmlns:a16="http://schemas.microsoft.com/office/drawing/2014/main" id="{96FFDF11-CBB9-4B1E-B186-244EB1985D8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6453482" y="1820384"/>
          <a:ext cx="793019" cy="894242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619F1CE-DE67-43E0-B0AA-ADC2A11EF28F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  <xdr:twoCellAnchor>
    <xdr:from>
      <xdr:col>18</xdr:col>
      <xdr:colOff>111541</xdr:colOff>
      <xdr:row>23</xdr:row>
      <xdr:rowOff>148992</xdr:rowOff>
    </xdr:from>
    <xdr:to>
      <xdr:col>24</xdr:col>
      <xdr:colOff>395144</xdr:colOff>
      <xdr:row>27</xdr:row>
      <xdr:rowOff>60192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871EC4C2-ACE1-4849-9D67-0AC03A169B4B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0171191" y="5978292"/>
          <a:ext cx="6970153" cy="99705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FUMAR</a:t>
          </a:r>
        </a:p>
      </xdr:txBody>
    </xdr:sp>
    <xdr:clientData/>
  </xdr:twoCellAnchor>
  <xdr:twoCellAnchor>
    <xdr:from>
      <xdr:col>57</xdr:col>
      <xdr:colOff>736099</xdr:colOff>
      <xdr:row>2</xdr:row>
      <xdr:rowOff>245693</xdr:rowOff>
    </xdr:from>
    <xdr:to>
      <xdr:col>62</xdr:col>
      <xdr:colOff>453767</xdr:colOff>
      <xdr:row>6</xdr:row>
      <xdr:rowOff>80409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8C9A1675-A322-4AE1-9C99-A3737885B588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64258324" y="988643"/>
          <a:ext cx="5289793" cy="720541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 FUMAR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CB83"/>
  <sheetViews>
    <sheetView tabSelected="1" zoomScale="60" zoomScaleNormal="60" workbookViewId="0">
      <selection sqref="A1:XFD1048576"/>
    </sheetView>
  </sheetViews>
  <sheetFormatPr baseColWidth="10" defaultColWidth="16.7109375" defaultRowHeight="15" x14ac:dyDescent="0.25"/>
  <cols>
    <col min="1" max="16384" width="16.7109375" style="991"/>
  </cols>
  <sheetData>
    <row r="1" spans="1:79" ht="47.25" thickBot="1" x14ac:dyDescent="0.3">
      <c r="A1" s="988" t="s">
        <v>150</v>
      </c>
      <c r="B1" s="989"/>
      <c r="C1" s="989"/>
      <c r="D1" s="989"/>
      <c r="E1" s="989"/>
      <c r="F1" s="989"/>
      <c r="G1" s="989"/>
      <c r="H1" s="989"/>
      <c r="I1" s="989"/>
      <c r="J1" s="989"/>
      <c r="K1" s="989"/>
      <c r="L1" s="989"/>
      <c r="M1" s="989"/>
      <c r="N1" s="989"/>
      <c r="O1" s="989"/>
      <c r="P1" s="989"/>
      <c r="Q1" s="989"/>
      <c r="R1" s="989"/>
      <c r="S1" s="989"/>
      <c r="T1" s="989"/>
      <c r="U1" s="989"/>
      <c r="V1" s="989"/>
      <c r="W1" s="989"/>
      <c r="X1" s="989"/>
      <c r="Y1" s="989"/>
      <c r="Z1" s="989"/>
      <c r="AA1" s="989"/>
      <c r="AB1" s="989"/>
      <c r="AC1" s="989"/>
      <c r="AD1" s="989"/>
      <c r="AE1" s="989"/>
      <c r="AF1" s="989"/>
      <c r="AG1" s="989"/>
      <c r="AH1" s="989"/>
      <c r="AI1" s="989"/>
      <c r="AJ1" s="989"/>
      <c r="AK1" s="989"/>
      <c r="AL1" s="989"/>
      <c r="AM1" s="989"/>
      <c r="AN1" s="989"/>
      <c r="AO1" s="989"/>
      <c r="AP1" s="989"/>
      <c r="AQ1" s="989"/>
      <c r="AR1" s="989"/>
      <c r="AS1" s="989"/>
      <c r="AT1" s="989"/>
      <c r="AU1" s="989"/>
      <c r="AV1" s="989"/>
      <c r="AW1" s="989"/>
      <c r="AX1" s="989"/>
      <c r="AY1" s="989"/>
      <c r="AZ1" s="989"/>
      <c r="BA1" s="989"/>
      <c r="BB1" s="989"/>
      <c r="BC1" s="989"/>
      <c r="BD1" s="989"/>
      <c r="BE1" s="989"/>
      <c r="BF1" s="989"/>
      <c r="BG1" s="989"/>
      <c r="BH1" s="989"/>
      <c r="BI1" s="989"/>
      <c r="BJ1" s="989"/>
      <c r="BK1" s="989"/>
      <c r="BL1" s="989"/>
      <c r="BM1" s="989"/>
      <c r="BN1" s="989"/>
      <c r="BO1" s="989"/>
      <c r="BP1" s="989"/>
      <c r="BQ1" s="989"/>
      <c r="BR1" s="989"/>
      <c r="BS1" s="989"/>
      <c r="BT1" s="989"/>
      <c r="BU1" s="989"/>
      <c r="BV1" s="989"/>
      <c r="BW1" s="989"/>
      <c r="BX1" s="989"/>
      <c r="BY1" s="989"/>
      <c r="BZ1" s="989"/>
      <c r="CA1" s="990"/>
    </row>
    <row r="2" spans="1:79" ht="15.75" thickBot="1" x14ac:dyDescent="0.3">
      <c r="A2" s="992" t="s">
        <v>151</v>
      </c>
      <c r="B2" s="993"/>
      <c r="C2" s="993"/>
      <c r="D2" s="993"/>
      <c r="E2" s="993"/>
      <c r="F2" s="993"/>
      <c r="G2" s="993"/>
      <c r="H2" s="993"/>
      <c r="I2" s="993"/>
      <c r="J2" s="994"/>
      <c r="K2" s="994"/>
      <c r="L2" s="994"/>
      <c r="M2" s="994"/>
      <c r="N2" s="994"/>
      <c r="O2" s="994"/>
      <c r="P2" s="994"/>
      <c r="Q2" s="994"/>
      <c r="R2" s="994"/>
      <c r="S2" s="994"/>
      <c r="T2" s="994"/>
      <c r="U2" s="994"/>
      <c r="V2" s="994"/>
      <c r="W2" s="994"/>
      <c r="X2" s="994"/>
      <c r="Y2" s="994"/>
      <c r="Z2" s="994"/>
      <c r="AA2" s="994"/>
      <c r="AB2" s="994"/>
      <c r="AC2" s="994"/>
      <c r="AD2" s="994"/>
      <c r="AE2" s="994"/>
      <c r="AF2" s="994"/>
      <c r="AG2" s="994"/>
      <c r="AH2" s="994"/>
      <c r="AI2" s="994"/>
      <c r="AJ2" s="994"/>
      <c r="AK2" s="994"/>
      <c r="AL2" s="994"/>
      <c r="AM2" s="994"/>
      <c r="AN2" s="994"/>
      <c r="AO2" s="994"/>
      <c r="AP2" s="994"/>
      <c r="AQ2" s="994"/>
      <c r="AR2" s="994"/>
      <c r="AS2" s="994"/>
      <c r="AT2" s="994"/>
      <c r="AU2" s="994"/>
      <c r="AV2" s="994"/>
      <c r="AW2" s="994"/>
      <c r="AX2" s="994"/>
      <c r="AY2" s="994"/>
      <c r="AZ2" s="994"/>
      <c r="BA2" s="994"/>
      <c r="BB2" s="994"/>
      <c r="BC2" s="994"/>
      <c r="BD2" s="994"/>
      <c r="BE2" s="994"/>
      <c r="BF2" s="994"/>
      <c r="BG2" s="994"/>
      <c r="BH2" s="994"/>
      <c r="BI2" s="994"/>
      <c r="BJ2" s="994"/>
      <c r="BK2" s="994"/>
      <c r="BL2" s="994"/>
      <c r="BM2" s="994"/>
      <c r="BN2" s="994"/>
      <c r="BO2" s="994"/>
      <c r="BP2" s="994"/>
      <c r="BQ2" s="994"/>
      <c r="BR2" s="994"/>
      <c r="BS2" s="994"/>
      <c r="BT2" s="994"/>
      <c r="BU2" s="994"/>
      <c r="BV2" s="994"/>
      <c r="BW2" s="994"/>
      <c r="BX2" s="994"/>
      <c r="BY2" s="994"/>
      <c r="BZ2" s="994"/>
      <c r="CA2" s="995"/>
    </row>
    <row r="3" spans="1:79" ht="23.25" x14ac:dyDescent="0.25">
      <c r="A3" s="996"/>
      <c r="B3" s="997"/>
      <c r="C3" s="997"/>
      <c r="D3" s="997"/>
      <c r="E3" s="997"/>
      <c r="F3" s="997"/>
      <c r="G3" s="997"/>
      <c r="H3" s="997"/>
      <c r="I3" s="998"/>
      <c r="J3" s="999"/>
      <c r="K3" s="1000"/>
      <c r="L3" s="1001"/>
      <c r="M3" s="1000"/>
      <c r="N3" s="1001"/>
      <c r="O3" s="1000"/>
      <c r="P3" s="1001"/>
      <c r="Q3" s="1000"/>
      <c r="R3" s="999"/>
      <c r="S3" s="999"/>
      <c r="T3" s="999"/>
      <c r="U3" s="999"/>
      <c r="V3" s="1002" t="s">
        <v>153</v>
      </c>
      <c r="W3" s="1003"/>
      <c r="X3" s="1003"/>
      <c r="Y3" s="1003"/>
      <c r="Z3" s="1003"/>
      <c r="AA3" s="1003"/>
      <c r="AB3" s="1003"/>
      <c r="AC3" s="1003"/>
      <c r="AD3" s="1003"/>
      <c r="AE3" s="1003"/>
      <c r="AF3" s="1003"/>
      <c r="AG3" s="1004"/>
      <c r="AH3" s="999"/>
      <c r="AI3" s="999"/>
      <c r="AJ3" s="999"/>
      <c r="AO3" s="1005"/>
      <c r="AP3" s="1005"/>
      <c r="AQ3" s="1005"/>
      <c r="AR3" s="1005"/>
      <c r="AV3" s="1006"/>
      <c r="AW3" s="1006"/>
      <c r="AX3" s="1006"/>
      <c r="AY3" s="1006"/>
      <c r="BA3" s="1007" t="s">
        <v>156</v>
      </c>
      <c r="BB3" s="1008"/>
      <c r="BE3" s="1006"/>
      <c r="BF3" s="1006"/>
      <c r="BJ3" s="1009" t="s">
        <v>157</v>
      </c>
      <c r="BK3" s="1009"/>
      <c r="BL3" s="1010"/>
      <c r="BM3" s="1010"/>
      <c r="BN3" s="1011"/>
      <c r="BO3" s="1011"/>
      <c r="BP3" s="1011"/>
      <c r="BQ3" s="1011"/>
      <c r="BR3" s="1000"/>
      <c r="BS3" s="1001"/>
      <c r="BT3" s="1000"/>
      <c r="BU3" s="1001"/>
      <c r="BV3" s="1000"/>
      <c r="BW3" s="1001"/>
      <c r="BX3" s="1000"/>
      <c r="BY3" s="999"/>
      <c r="BZ3" s="999"/>
      <c r="CA3" s="1012"/>
    </row>
    <row r="4" spans="1:79" ht="18.75" x14ac:dyDescent="0.25">
      <c r="A4" s="1013"/>
      <c r="B4" s="999"/>
      <c r="C4" s="999"/>
      <c r="D4" s="999"/>
      <c r="E4" s="999"/>
      <c r="F4" s="999"/>
      <c r="G4" s="999"/>
      <c r="H4" s="999"/>
      <c r="I4" s="1014"/>
      <c r="J4" s="999"/>
      <c r="K4" s="1015"/>
      <c r="L4" s="1016"/>
      <c r="M4" s="1016"/>
      <c r="N4" s="1016"/>
      <c r="O4" s="1016"/>
      <c r="P4" s="1016"/>
      <c r="Q4" s="999"/>
      <c r="R4" s="999"/>
      <c r="S4" s="999"/>
      <c r="T4" s="999"/>
      <c r="U4" s="999"/>
      <c r="V4" s="1017"/>
      <c r="W4" s="1018"/>
      <c r="X4" s="1018"/>
      <c r="Y4" s="1018"/>
      <c r="Z4" s="1018"/>
      <c r="AA4" s="1018"/>
      <c r="AB4" s="1018"/>
      <c r="AC4" s="1018"/>
      <c r="AD4" s="1018"/>
      <c r="AE4" s="1018"/>
      <c r="AF4" s="1018"/>
      <c r="AG4" s="1019"/>
      <c r="AH4" s="999"/>
      <c r="AI4" s="999"/>
      <c r="AJ4" s="999"/>
      <c r="AK4" s="999"/>
      <c r="AL4" s="999"/>
      <c r="AM4" s="999"/>
      <c r="AN4" s="1012"/>
      <c r="AO4" s="1020"/>
      <c r="AP4" s="1021"/>
      <c r="AQ4" s="1021"/>
      <c r="AR4" s="1021"/>
      <c r="AS4" s="999"/>
      <c r="AT4" s="999"/>
      <c r="AV4" s="999"/>
      <c r="AW4" s="999"/>
      <c r="BI4" s="999"/>
      <c r="BJ4" s="999"/>
      <c r="BN4" s="1022"/>
      <c r="BO4" s="1022"/>
      <c r="BP4" s="1022"/>
      <c r="BQ4" s="1022"/>
      <c r="BR4" s="1015"/>
      <c r="BS4" s="1016"/>
      <c r="BT4" s="999"/>
      <c r="BU4" s="1016"/>
      <c r="BV4" s="999"/>
      <c r="BW4" s="1016"/>
      <c r="BX4" s="999"/>
      <c r="BY4" s="999"/>
      <c r="BZ4" s="999"/>
      <c r="CA4" s="1012"/>
    </row>
    <row r="5" spans="1:79" ht="15.75" thickBot="1" x14ac:dyDescent="0.3">
      <c r="A5" s="1023" t="s">
        <v>164</v>
      </c>
      <c r="B5" s="1024"/>
      <c r="C5" s="999"/>
      <c r="D5" s="999"/>
      <c r="E5" s="999"/>
      <c r="F5" s="999"/>
      <c r="G5" s="999"/>
      <c r="H5" s="999"/>
      <c r="I5" s="1014"/>
      <c r="J5" s="999"/>
      <c r="K5" s="999"/>
      <c r="L5" s="1025"/>
      <c r="N5" s="1025"/>
      <c r="P5" s="1025"/>
      <c r="Q5" s="1026"/>
      <c r="R5" s="999"/>
      <c r="U5" s="999"/>
      <c r="V5" s="1027"/>
      <c r="W5" s="1028"/>
      <c r="X5" s="1028"/>
      <c r="Y5" s="1028"/>
      <c r="Z5" s="1028"/>
      <c r="AA5" s="1028"/>
      <c r="AB5" s="1028"/>
      <c r="AC5" s="1028"/>
      <c r="AD5" s="1028"/>
      <c r="AE5" s="1028"/>
      <c r="AF5" s="1028"/>
      <c r="AG5" s="1029"/>
      <c r="AH5" s="999"/>
      <c r="AM5" s="999"/>
      <c r="AN5" s="1012"/>
      <c r="AO5" s="999"/>
      <c r="AP5" s="999"/>
      <c r="AQ5" s="999"/>
      <c r="AR5" s="999"/>
      <c r="AS5" s="999"/>
      <c r="AT5" s="999"/>
      <c r="AU5" s="999"/>
      <c r="AV5" s="999"/>
      <c r="AW5" s="999"/>
      <c r="AX5" s="999"/>
      <c r="BE5" s="1030"/>
      <c r="BF5" s="1030"/>
      <c r="BJ5" s="999"/>
      <c r="BO5" s="1031"/>
      <c r="BP5" s="1031"/>
      <c r="BQ5" s="1031"/>
      <c r="BR5" s="999"/>
      <c r="BS5" s="1025"/>
      <c r="BU5" s="1025"/>
      <c r="BW5" s="1025"/>
      <c r="BX5" s="1026"/>
      <c r="CA5" s="1012"/>
    </row>
    <row r="6" spans="1:79" ht="15.75" x14ac:dyDescent="0.25">
      <c r="A6" s="1032"/>
      <c r="B6" s="1033"/>
      <c r="C6" s="999"/>
      <c r="D6" s="999"/>
      <c r="E6" s="999"/>
      <c r="F6" s="999"/>
      <c r="G6" s="999"/>
      <c r="H6" s="999"/>
      <c r="I6" s="1014"/>
      <c r="J6" s="999"/>
      <c r="K6" s="999"/>
      <c r="L6" s="1034"/>
      <c r="M6" s="1034"/>
      <c r="N6" s="1034"/>
      <c r="O6" s="1034"/>
      <c r="P6" s="1034"/>
      <c r="Q6" s="999"/>
      <c r="R6" s="999"/>
      <c r="S6" s="999"/>
      <c r="T6" s="999"/>
      <c r="W6" s="999"/>
      <c r="X6" s="999"/>
      <c r="AA6" s="999"/>
      <c r="AB6" s="999"/>
      <c r="AC6" s="999"/>
      <c r="AD6" s="999"/>
      <c r="AG6" s="999"/>
      <c r="AH6" s="999"/>
      <c r="AI6" s="999"/>
      <c r="AJ6" s="1035"/>
      <c r="AK6" s="1035"/>
      <c r="AL6" s="999"/>
      <c r="AM6" s="999"/>
      <c r="AN6" s="1012"/>
      <c r="AO6" s="999"/>
      <c r="AP6" s="999"/>
      <c r="AQ6" s="999"/>
      <c r="AR6" s="999"/>
      <c r="AS6" s="999"/>
      <c r="AT6" s="999"/>
      <c r="AU6" s="999"/>
      <c r="AV6" s="999"/>
      <c r="AW6" s="999"/>
      <c r="AX6" s="999"/>
      <c r="AY6" s="999"/>
      <c r="AZ6" s="999"/>
      <c r="BJ6" s="999"/>
      <c r="BK6" s="999"/>
      <c r="BN6" s="1036"/>
      <c r="BO6" s="1036"/>
      <c r="BP6" s="1036"/>
      <c r="BQ6" s="1036"/>
      <c r="BR6" s="1037"/>
      <c r="BS6" s="1034"/>
      <c r="BT6" s="1034"/>
      <c r="BU6" s="1034"/>
      <c r="BV6" s="1034"/>
      <c r="BW6" s="1034"/>
      <c r="CA6" s="1012"/>
    </row>
    <row r="7" spans="1:79" x14ac:dyDescent="0.25">
      <c r="A7" s="1032"/>
      <c r="B7" s="1033"/>
      <c r="C7" s="999"/>
      <c r="D7" s="999"/>
      <c r="E7" s="999"/>
      <c r="F7" s="999"/>
      <c r="G7" s="999"/>
      <c r="H7" s="999"/>
      <c r="I7" s="1014"/>
      <c r="J7" s="999"/>
      <c r="K7" s="999"/>
      <c r="L7" s="999"/>
      <c r="P7" s="999"/>
      <c r="Q7" s="999"/>
      <c r="R7" s="999"/>
      <c r="S7" s="999"/>
      <c r="T7" s="1025"/>
      <c r="W7" s="999"/>
      <c r="X7" s="999"/>
      <c r="AA7" s="999"/>
      <c r="AB7" s="999"/>
      <c r="AC7" s="999"/>
      <c r="AD7" s="999"/>
      <c r="AG7" s="999"/>
      <c r="AH7" s="999"/>
      <c r="AI7" s="999"/>
      <c r="AJ7" s="1035"/>
      <c r="AK7" s="1035"/>
      <c r="AL7" s="999"/>
      <c r="AM7" s="999"/>
      <c r="AN7" s="1012"/>
      <c r="AO7" s="999"/>
      <c r="AP7" s="1038"/>
      <c r="AQ7" s="1038"/>
      <c r="AR7" s="1038"/>
      <c r="AS7" s="999"/>
      <c r="AT7" s="1026"/>
      <c r="AU7" s="999"/>
      <c r="AV7" s="999"/>
      <c r="AW7" s="999"/>
      <c r="AX7" s="999"/>
      <c r="AZ7" s="1039"/>
      <c r="BA7" s="1039"/>
      <c r="BF7" s="999"/>
      <c r="BG7" s="999"/>
      <c r="BH7" s="999"/>
      <c r="BR7" s="999"/>
      <c r="CA7" s="1012"/>
    </row>
    <row r="8" spans="1:79" ht="21" x14ac:dyDescent="0.35">
      <c r="A8" s="1032"/>
      <c r="B8" s="1033"/>
      <c r="C8" s="999"/>
      <c r="D8" s="999"/>
      <c r="E8" s="1040" t="s">
        <v>170</v>
      </c>
      <c r="F8" s="1041"/>
      <c r="G8" s="1041"/>
      <c r="H8" s="999"/>
      <c r="I8" s="1014"/>
      <c r="J8" s="999"/>
      <c r="K8" s="999"/>
      <c r="L8" s="999"/>
      <c r="M8" s="999"/>
      <c r="N8" s="999"/>
      <c r="P8" s="999"/>
      <c r="Q8" s="999"/>
      <c r="R8" s="999"/>
      <c r="S8" s="999"/>
      <c r="T8" s="1025"/>
      <c r="W8" s="999"/>
      <c r="X8" s="999"/>
      <c r="AA8" s="999"/>
      <c r="AB8" s="999"/>
      <c r="AC8" s="999"/>
      <c r="AD8" s="999"/>
      <c r="AE8" s="999"/>
      <c r="AF8" s="999"/>
      <c r="AG8" s="999"/>
      <c r="AH8" s="999"/>
      <c r="AI8" s="999"/>
      <c r="AJ8" s="1035"/>
      <c r="AK8" s="1035"/>
      <c r="AL8" s="999"/>
      <c r="AM8" s="999"/>
      <c r="AN8" s="1012"/>
      <c r="AO8" s="999"/>
      <c r="AP8" s="1042"/>
      <c r="AQ8" s="1042"/>
      <c r="AR8" s="1042"/>
      <c r="AS8" s="999"/>
      <c r="AT8" s="1015"/>
      <c r="AU8" s="999"/>
      <c r="AV8" s="999"/>
      <c r="AW8" s="1043"/>
      <c r="AX8" s="999"/>
      <c r="AY8" s="1015"/>
      <c r="AZ8" s="1044"/>
      <c r="BA8" s="1044"/>
      <c r="BB8" s="999"/>
      <c r="BN8" s="999"/>
      <c r="BO8" s="999"/>
      <c r="BP8" s="1005"/>
      <c r="BQ8" s="1005"/>
      <c r="BS8" s="999"/>
      <c r="BT8" s="999"/>
      <c r="BW8" s="1045"/>
      <c r="BX8" s="1045"/>
      <c r="BY8" s="1045"/>
      <c r="CA8" s="1012"/>
    </row>
    <row r="9" spans="1:79" ht="18.75" x14ac:dyDescent="0.25">
      <c r="A9" s="1032"/>
      <c r="B9" s="1033"/>
      <c r="C9" s="999"/>
      <c r="D9" s="999"/>
      <c r="E9" s="1041"/>
      <c r="F9" s="1041"/>
      <c r="G9" s="1041"/>
      <c r="H9" s="999"/>
      <c r="I9" s="1014"/>
      <c r="J9" s="999"/>
      <c r="K9" s="999"/>
      <c r="L9" s="999"/>
      <c r="M9" s="999"/>
      <c r="N9" s="999"/>
      <c r="P9" s="999"/>
      <c r="Q9" s="999"/>
      <c r="R9" s="999"/>
      <c r="S9" s="999"/>
      <c r="T9" s="999"/>
      <c r="W9" s="999"/>
      <c r="X9" s="999"/>
      <c r="AA9" s="999"/>
      <c r="AB9" s="999"/>
      <c r="AC9" s="999"/>
      <c r="AD9" s="999"/>
      <c r="AE9" s="999"/>
      <c r="AF9" s="999"/>
      <c r="AG9" s="999"/>
      <c r="AH9" s="999"/>
      <c r="AI9" s="999"/>
      <c r="AJ9" s="999"/>
      <c r="AK9" s="999"/>
      <c r="AL9" s="999"/>
      <c r="AM9" s="999"/>
      <c r="AN9" s="1012"/>
      <c r="AP9" s="1042"/>
      <c r="AQ9" s="1042"/>
      <c r="AR9" s="1042"/>
      <c r="AS9" s="1046"/>
      <c r="AT9" s="1047"/>
      <c r="AU9" s="1001"/>
      <c r="AV9" s="1001"/>
      <c r="AW9" s="1047"/>
      <c r="AX9" s="1025"/>
      <c r="AY9" s="1044"/>
      <c r="AZ9" s="1001"/>
      <c r="BA9" s="1001"/>
      <c r="BB9" s="1044"/>
      <c r="BC9" s="1048"/>
      <c r="BE9" s="1049"/>
      <c r="BF9" s="1050"/>
      <c r="BG9" s="1051"/>
      <c r="BH9" s="999"/>
      <c r="BJ9" s="1052"/>
      <c r="BK9" s="1053"/>
      <c r="BL9" s="1053"/>
      <c r="BN9" s="999"/>
      <c r="BO9" s="999"/>
      <c r="BP9" s="1005"/>
      <c r="BQ9" s="1005"/>
      <c r="BT9" s="999"/>
      <c r="BU9" s="999"/>
      <c r="BV9" s="1043"/>
      <c r="BW9" s="1054"/>
      <c r="BX9" s="1054"/>
      <c r="BY9" s="1054"/>
      <c r="CA9" s="1012"/>
    </row>
    <row r="10" spans="1:79" ht="18.75" x14ac:dyDescent="0.3">
      <c r="A10" s="1032"/>
      <c r="B10" s="1033"/>
      <c r="C10" s="999"/>
      <c r="D10" s="999"/>
      <c r="E10" s="999"/>
      <c r="F10" s="999"/>
      <c r="G10" s="999"/>
      <c r="H10" s="999"/>
      <c r="I10" s="1014"/>
      <c r="J10" s="999"/>
      <c r="K10" s="999"/>
      <c r="L10" s="999"/>
      <c r="M10" s="999"/>
      <c r="N10" s="999"/>
      <c r="P10" s="999"/>
      <c r="Q10" s="999"/>
      <c r="R10" s="999"/>
      <c r="S10" s="999"/>
      <c r="T10" s="999"/>
      <c r="U10" s="999"/>
      <c r="V10" s="999"/>
      <c r="W10" s="999"/>
      <c r="X10" s="999"/>
      <c r="AB10" s="999"/>
      <c r="AC10" s="999"/>
      <c r="AD10" s="999"/>
      <c r="AE10" s="999"/>
      <c r="AF10" s="999"/>
      <c r="AG10" s="999"/>
      <c r="AH10" s="999"/>
      <c r="AN10" s="1012"/>
      <c r="AS10" s="1046"/>
      <c r="AT10" s="1047"/>
      <c r="AU10" s="1001"/>
      <c r="AV10" s="1001"/>
      <c r="AW10" s="1047"/>
      <c r="AX10" s="1025"/>
      <c r="AY10" s="1044"/>
      <c r="AZ10" s="1001"/>
      <c r="BA10" s="1001"/>
      <c r="BB10" s="1044"/>
      <c r="BC10" s="1048"/>
      <c r="BE10" s="999"/>
      <c r="BF10" s="1050"/>
      <c r="BG10" s="1051"/>
      <c r="BK10" s="1053"/>
      <c r="BL10" s="1053"/>
      <c r="BN10" s="999"/>
      <c r="BO10" s="999"/>
      <c r="BP10" s="1005"/>
      <c r="BQ10" s="1005"/>
      <c r="BU10" s="999"/>
      <c r="BV10" s="1054"/>
      <c r="BW10" s="1055"/>
      <c r="BX10" s="1055"/>
      <c r="BY10" s="1055"/>
      <c r="BZ10" s="1054"/>
      <c r="CA10" s="1012"/>
    </row>
    <row r="11" spans="1:79" ht="18.75" x14ac:dyDescent="0.3">
      <c r="A11" s="1032"/>
      <c r="B11" s="1033"/>
      <c r="C11" s="999"/>
      <c r="D11" s="999"/>
      <c r="E11" s="999"/>
      <c r="F11" s="999"/>
      <c r="G11" s="999"/>
      <c r="H11" s="999"/>
      <c r="I11" s="1014"/>
      <c r="J11" s="999"/>
      <c r="K11" s="999"/>
      <c r="L11" s="999"/>
      <c r="M11" s="999"/>
      <c r="N11" s="999"/>
      <c r="P11" s="999"/>
      <c r="Q11" s="999"/>
      <c r="R11" s="999"/>
      <c r="S11" s="999"/>
      <c r="V11" s="999"/>
      <c r="W11" s="999"/>
      <c r="Y11" s="1056"/>
      <c r="Z11" s="1056"/>
      <c r="AB11" s="999"/>
      <c r="AC11" s="999"/>
      <c r="AD11" s="999"/>
      <c r="AG11" s="999"/>
      <c r="AM11" s="1048"/>
      <c r="AN11" s="1012"/>
      <c r="AS11" s="1046"/>
      <c r="AT11" s="1047"/>
      <c r="AU11" s="1001"/>
      <c r="AV11" s="1001"/>
      <c r="AW11" s="1047"/>
      <c r="AX11" s="1025"/>
      <c r="AY11" s="1044"/>
      <c r="AZ11" s="1001"/>
      <c r="BA11" s="1001"/>
      <c r="BB11" s="1044"/>
      <c r="BC11" s="1048"/>
      <c r="BE11" s="999"/>
      <c r="BF11" s="1050"/>
      <c r="BG11" s="1050"/>
      <c r="BK11" s="1053"/>
      <c r="BL11" s="1053"/>
      <c r="BN11" s="999"/>
      <c r="BO11" s="999"/>
      <c r="BP11" s="1005"/>
      <c r="BQ11" s="1005"/>
      <c r="BT11" s="999"/>
      <c r="BU11" s="999"/>
      <c r="BV11" s="1055"/>
      <c r="BW11" s="1057">
        <v>3322484</v>
      </c>
      <c r="BX11" s="1057">
        <v>3322483</v>
      </c>
      <c r="BY11" s="1057">
        <v>3322482</v>
      </c>
      <c r="BZ11" s="1055"/>
      <c r="CA11" s="1012"/>
    </row>
    <row r="12" spans="1:79" ht="18.75" x14ac:dyDescent="0.3">
      <c r="A12" s="1032"/>
      <c r="B12" s="1033"/>
      <c r="C12" s="999"/>
      <c r="D12" s="999"/>
      <c r="E12" s="999"/>
      <c r="F12" s="999"/>
      <c r="G12" s="999"/>
      <c r="H12" s="999"/>
      <c r="I12" s="1014"/>
      <c r="J12" s="999"/>
      <c r="K12" s="999"/>
      <c r="L12" s="999"/>
      <c r="P12" s="999"/>
      <c r="Q12" s="999"/>
      <c r="R12" s="1042"/>
      <c r="S12" s="1042"/>
      <c r="U12" s="999"/>
      <c r="V12" s="999"/>
      <c r="W12" s="999"/>
      <c r="Y12" s="1056"/>
      <c r="Z12" s="1056"/>
      <c r="AB12" s="999"/>
      <c r="AC12" s="999"/>
      <c r="AD12" s="999"/>
      <c r="AE12" s="1042"/>
      <c r="AF12" s="1042"/>
      <c r="AG12" s="999"/>
      <c r="AJ12" s="1042"/>
      <c r="AK12" s="1042"/>
      <c r="AM12" s="1048"/>
      <c r="AN12" s="1012"/>
      <c r="AU12" s="999"/>
      <c r="AV12" s="999"/>
      <c r="AZ12" s="1044"/>
      <c r="BA12" s="1044"/>
      <c r="BE12" s="999"/>
      <c r="BN12" s="999"/>
      <c r="BP12" s="1058"/>
      <c r="BQ12" s="1058"/>
      <c r="BT12" s="999"/>
      <c r="BU12" s="999"/>
      <c r="BV12" s="1055"/>
      <c r="BW12" s="1057">
        <v>3322477</v>
      </c>
      <c r="BX12" s="1057">
        <v>3322478</v>
      </c>
      <c r="BY12" s="1057">
        <v>3322481</v>
      </c>
      <c r="BZ12" s="1055"/>
      <c r="CA12" s="1012"/>
    </row>
    <row r="13" spans="1:79" ht="18.75" x14ac:dyDescent="0.3">
      <c r="A13" s="1059"/>
      <c r="B13" s="1060"/>
      <c r="C13" s="999"/>
      <c r="D13" s="999"/>
      <c r="E13" s="999"/>
      <c r="F13" s="999"/>
      <c r="G13" s="999"/>
      <c r="H13" s="999"/>
      <c r="I13" s="1014"/>
      <c r="J13" s="999"/>
      <c r="K13" s="999"/>
      <c r="L13" s="999"/>
      <c r="P13" s="999"/>
      <c r="Q13" s="999"/>
      <c r="R13" s="1042"/>
      <c r="S13" s="1042"/>
      <c r="U13" s="1061"/>
      <c r="V13" s="999"/>
      <c r="W13" s="999"/>
      <c r="Y13" s="1056"/>
      <c r="Z13" s="1056"/>
      <c r="AB13" s="999"/>
      <c r="AC13" s="999"/>
      <c r="AD13" s="999"/>
      <c r="AE13" s="1042"/>
      <c r="AF13" s="1042"/>
      <c r="AG13" s="999"/>
      <c r="AJ13" s="1042"/>
      <c r="AK13" s="1042"/>
      <c r="AN13" s="1012"/>
      <c r="AS13" s="1025"/>
      <c r="AT13" s="999"/>
      <c r="AU13" s="1058"/>
      <c r="AV13" s="1037"/>
      <c r="BE13" s="999"/>
      <c r="BN13" s="999"/>
      <c r="BO13" s="999"/>
      <c r="BT13" s="999"/>
      <c r="BU13" s="999"/>
      <c r="BV13" s="1054"/>
      <c r="BW13" s="1055"/>
      <c r="BX13" s="1055"/>
      <c r="BY13" s="1055"/>
      <c r="BZ13" s="1054"/>
      <c r="CA13" s="1012"/>
    </row>
    <row r="14" spans="1:79" ht="15.75" x14ac:dyDescent="0.25">
      <c r="A14" s="1013"/>
      <c r="B14" s="999"/>
      <c r="C14" s="999"/>
      <c r="D14" s="999"/>
      <c r="E14" s="999"/>
      <c r="F14" s="999"/>
      <c r="G14" s="999"/>
      <c r="H14" s="999"/>
      <c r="I14" s="1062"/>
      <c r="K14" s="999"/>
      <c r="L14" s="999"/>
      <c r="P14" s="999"/>
      <c r="Q14" s="999"/>
      <c r="R14" s="1042"/>
      <c r="S14" s="1042"/>
      <c r="U14" s="999"/>
      <c r="V14" s="999"/>
      <c r="W14" s="999"/>
      <c r="Y14" s="1063"/>
      <c r="Z14" s="1063"/>
      <c r="AB14" s="999"/>
      <c r="AC14" s="999"/>
      <c r="AD14" s="999"/>
      <c r="AE14" s="999"/>
      <c r="AF14" s="999"/>
      <c r="AG14" s="999"/>
      <c r="AJ14" s="999"/>
      <c r="AK14" s="999"/>
      <c r="AN14" s="1012"/>
      <c r="AS14" s="999"/>
      <c r="AT14" s="999"/>
      <c r="AU14" s="999"/>
      <c r="AV14" s="999"/>
      <c r="BF14" s="1064"/>
      <c r="BG14" s="1064"/>
      <c r="BK14" s="1065"/>
      <c r="BL14" s="1065"/>
      <c r="BN14" s="999"/>
      <c r="BO14" s="999"/>
      <c r="BT14" s="999"/>
      <c r="BU14" s="999"/>
      <c r="BW14" s="1054"/>
      <c r="BX14" s="1054"/>
      <c r="BY14" s="1054"/>
      <c r="CA14" s="1012"/>
    </row>
    <row r="15" spans="1:79" ht="18.75" x14ac:dyDescent="0.25">
      <c r="A15" s="1066"/>
      <c r="B15" s="1067"/>
      <c r="C15" s="1067"/>
      <c r="D15" s="1067"/>
      <c r="E15" s="1067"/>
      <c r="F15" s="1067"/>
      <c r="G15" s="1067"/>
      <c r="H15" s="1067"/>
      <c r="I15" s="1068"/>
      <c r="K15" s="999"/>
      <c r="L15" s="999"/>
      <c r="P15" s="999"/>
      <c r="Q15" s="999"/>
      <c r="U15" s="999"/>
      <c r="V15" s="999"/>
      <c r="W15" s="999"/>
      <c r="AB15" s="999"/>
      <c r="AC15" s="999"/>
      <c r="AD15" s="999"/>
      <c r="AG15" s="999"/>
      <c r="AH15" s="999"/>
      <c r="AI15" s="999"/>
      <c r="AJ15" s="999"/>
      <c r="AK15" s="999"/>
      <c r="AM15" s="999"/>
      <c r="AN15" s="1012"/>
      <c r="AR15" s="1047"/>
      <c r="AS15" s="999"/>
      <c r="AT15" s="999"/>
      <c r="AY15" s="1015"/>
      <c r="AZ15" s="999"/>
      <c r="BA15" s="999"/>
      <c r="BB15" s="1043"/>
      <c r="BF15" s="1069"/>
      <c r="BG15" s="1069"/>
      <c r="BH15" s="1043"/>
      <c r="BK15" s="999"/>
      <c r="BL15" s="999"/>
      <c r="BN15" s="999"/>
      <c r="BO15" s="999"/>
      <c r="BP15" s="1070"/>
      <c r="BQ15" s="1070"/>
      <c r="BT15" s="999"/>
      <c r="BU15" s="999"/>
      <c r="BV15" s="1071"/>
      <c r="BW15" s="1071"/>
      <c r="BX15" s="1071"/>
      <c r="BY15" s="1071"/>
      <c r="BZ15" s="999"/>
      <c r="CA15" s="1012"/>
    </row>
    <row r="16" spans="1:79" ht="18.75" x14ac:dyDescent="0.25">
      <c r="A16" s="1072"/>
      <c r="B16" s="999"/>
      <c r="C16" s="999"/>
      <c r="D16" s="999"/>
      <c r="E16" s="999"/>
      <c r="F16" s="999"/>
      <c r="G16" s="999"/>
      <c r="K16" s="999"/>
      <c r="L16" s="999"/>
      <c r="M16" s="999"/>
      <c r="N16" s="999"/>
      <c r="P16" s="999"/>
      <c r="Q16" s="999"/>
      <c r="U16" s="999"/>
      <c r="V16" s="999"/>
      <c r="W16" s="999"/>
      <c r="X16" s="999"/>
      <c r="Y16" s="1039"/>
      <c r="Z16" s="1039"/>
      <c r="AA16" s="999"/>
      <c r="AB16" s="999"/>
      <c r="AC16" s="999"/>
      <c r="AD16" s="999"/>
      <c r="AG16" s="999"/>
      <c r="AH16" s="999"/>
      <c r="AI16" s="999"/>
      <c r="AM16" s="999"/>
      <c r="AN16" s="1012"/>
      <c r="AR16" s="1001"/>
      <c r="AS16" s="999"/>
      <c r="AT16" s="999"/>
      <c r="AU16" s="1073"/>
      <c r="AV16" s="1073"/>
      <c r="AY16" s="1047"/>
      <c r="AZ16" s="1001"/>
      <c r="BA16" s="1001"/>
      <c r="BB16" s="1047"/>
      <c r="BC16" s="1074"/>
      <c r="BE16" s="1072"/>
      <c r="BF16" s="1001"/>
      <c r="BG16" s="1001"/>
      <c r="BH16" s="1072"/>
      <c r="BJ16" s="1047"/>
      <c r="BK16" s="1001"/>
      <c r="BL16" s="1001"/>
      <c r="BM16" s="1047"/>
      <c r="BN16" s="999"/>
      <c r="BO16" s="999"/>
      <c r="BP16" s="1070"/>
      <c r="BQ16" s="1070"/>
      <c r="BT16" s="999"/>
      <c r="BV16" s="1043"/>
      <c r="BW16" s="1054"/>
      <c r="BX16" s="1054"/>
      <c r="BY16" s="1054"/>
      <c r="BZ16" s="999"/>
      <c r="CA16" s="1012"/>
    </row>
    <row r="17" spans="1:80" ht="21" x14ac:dyDescent="0.25">
      <c r="A17" s="1075"/>
      <c r="B17" s="1072"/>
      <c r="C17" s="1072"/>
      <c r="D17" s="999"/>
      <c r="E17" s="999"/>
      <c r="F17" s="999"/>
      <c r="G17" s="999"/>
      <c r="K17" s="999"/>
      <c r="L17" s="999"/>
      <c r="M17" s="999"/>
      <c r="N17" s="999"/>
      <c r="O17" s="999"/>
      <c r="P17" s="999"/>
      <c r="Q17" s="999"/>
      <c r="R17" s="999"/>
      <c r="S17" s="999"/>
      <c r="U17" s="999"/>
      <c r="V17" s="999"/>
      <c r="W17" s="999"/>
      <c r="X17" s="999"/>
      <c r="Y17" s="1076"/>
      <c r="Z17" s="1076"/>
      <c r="AA17" s="999"/>
      <c r="AB17" s="999"/>
      <c r="AC17" s="999"/>
      <c r="AD17" s="999"/>
      <c r="AG17" s="999"/>
      <c r="AH17" s="999"/>
      <c r="AI17" s="1077"/>
      <c r="AJ17" s="1039"/>
      <c r="AK17" s="1039"/>
      <c r="AL17" s="1046"/>
      <c r="AM17" s="999"/>
      <c r="AN17" s="1012"/>
      <c r="AR17" s="1001"/>
      <c r="AS17" s="999"/>
      <c r="AT17" s="999"/>
      <c r="AU17" s="1073"/>
      <c r="AV17" s="1073"/>
      <c r="AY17" s="1047"/>
      <c r="AZ17" s="1001"/>
      <c r="BA17" s="1001"/>
      <c r="BB17" s="1047"/>
      <c r="BC17" s="1074"/>
      <c r="BE17" s="1072"/>
      <c r="BF17" s="1001"/>
      <c r="BG17" s="1001"/>
      <c r="BH17" s="1072"/>
      <c r="BJ17" s="1047"/>
      <c r="BK17" s="1001"/>
      <c r="BL17" s="1001"/>
      <c r="BM17" s="1047"/>
      <c r="BN17" s="999"/>
      <c r="BO17" s="999"/>
      <c r="BP17" s="1070"/>
      <c r="BQ17" s="1070"/>
      <c r="BT17" s="999"/>
      <c r="BV17" s="1054"/>
      <c r="BW17" s="1078"/>
      <c r="BX17" s="1078"/>
      <c r="BY17" s="1079"/>
      <c r="BZ17" s="1080"/>
      <c r="CA17" s="1012"/>
    </row>
    <row r="18" spans="1:80" ht="21" x14ac:dyDescent="0.25">
      <c r="A18" s="1075"/>
      <c r="B18" s="999"/>
      <c r="C18" s="999"/>
      <c r="D18" s="999"/>
      <c r="E18" s="999"/>
      <c r="F18" s="999"/>
      <c r="G18" s="999"/>
      <c r="K18" s="999"/>
      <c r="L18" s="999"/>
      <c r="O18" s="999"/>
      <c r="P18" s="1025"/>
      <c r="Q18" s="1025"/>
      <c r="R18" s="1081"/>
      <c r="S18" s="1081"/>
      <c r="U18" s="999"/>
      <c r="V18" s="999"/>
      <c r="W18" s="1046"/>
      <c r="X18" s="1076"/>
      <c r="Y18" s="1001"/>
      <c r="Z18" s="1001"/>
      <c r="AA18" s="1076"/>
      <c r="AB18" s="1048"/>
      <c r="AC18" s="999"/>
      <c r="AD18" s="999"/>
      <c r="AE18" s="1082"/>
      <c r="AF18" s="1082"/>
      <c r="AG18" s="999"/>
      <c r="AH18" s="999"/>
      <c r="AI18" s="1015"/>
      <c r="AJ18" s="1047"/>
      <c r="AK18" s="1047"/>
      <c r="AM18" s="999"/>
      <c r="AN18" s="1012"/>
      <c r="AO18" s="999"/>
      <c r="AP18" s="999"/>
      <c r="AR18" s="1047"/>
      <c r="AS18" s="999"/>
      <c r="AT18" s="999"/>
      <c r="AU18" s="1073"/>
      <c r="AV18" s="1073"/>
      <c r="AY18" s="1047"/>
      <c r="AZ18" s="1001"/>
      <c r="BA18" s="1001"/>
      <c r="BB18" s="1047"/>
      <c r="BC18" s="1074"/>
      <c r="BE18" s="1072"/>
      <c r="BF18" s="1001"/>
      <c r="BG18" s="1001"/>
      <c r="BH18" s="1072"/>
      <c r="BJ18" s="1047"/>
      <c r="BK18" s="1001"/>
      <c r="BL18" s="1001"/>
      <c r="BM18" s="1047"/>
      <c r="BN18" s="999"/>
      <c r="BP18" s="1058"/>
      <c r="BQ18" s="1058"/>
      <c r="BS18" s="999"/>
      <c r="BT18" s="999"/>
      <c r="BV18" s="1079"/>
      <c r="BW18" s="1057">
        <v>3514808</v>
      </c>
      <c r="BX18" s="1057">
        <v>3514804</v>
      </c>
      <c r="BY18" s="1057">
        <v>3516472</v>
      </c>
      <c r="BZ18" s="1079"/>
      <c r="CA18" s="1012"/>
    </row>
    <row r="19" spans="1:80" ht="21.75" thickBot="1" x14ac:dyDescent="0.3">
      <c r="A19" s="1075"/>
      <c r="B19" s="1049"/>
      <c r="C19" s="1049"/>
      <c r="D19" s="1083"/>
      <c r="E19" s="999"/>
      <c r="F19" s="999"/>
      <c r="G19" s="999"/>
      <c r="I19" s="1084"/>
      <c r="J19" s="1084"/>
      <c r="R19" s="1081"/>
      <c r="S19" s="1081"/>
      <c r="U19" s="999"/>
      <c r="V19" s="999"/>
      <c r="W19" s="1046"/>
      <c r="X19" s="1076"/>
      <c r="Y19" s="1001"/>
      <c r="Z19" s="1001"/>
      <c r="AA19" s="1076"/>
      <c r="AB19" s="1048"/>
      <c r="AC19" s="999"/>
      <c r="AD19" s="999"/>
      <c r="AE19" s="1070"/>
      <c r="AF19" s="1070"/>
      <c r="AG19" s="999"/>
      <c r="AH19" s="1046"/>
      <c r="AI19" s="1047"/>
      <c r="AJ19" s="1001"/>
      <c r="AK19" s="1001"/>
      <c r="AL19" s="1047"/>
      <c r="AM19" s="1048"/>
      <c r="AN19" s="1012"/>
      <c r="AO19" s="999"/>
      <c r="AP19" s="999"/>
      <c r="AQ19" s="999"/>
      <c r="AR19" s="999"/>
      <c r="AS19" s="999"/>
      <c r="AT19" s="999"/>
      <c r="AU19" s="999"/>
      <c r="AV19" s="999"/>
      <c r="AY19" s="999"/>
      <c r="AZ19" s="999"/>
      <c r="BA19" s="999"/>
      <c r="BB19" s="999"/>
      <c r="BC19" s="1074"/>
      <c r="BF19" s="1069"/>
      <c r="BG19" s="1069"/>
      <c r="BK19" s="999"/>
      <c r="BL19" s="999"/>
      <c r="BN19" s="999"/>
      <c r="BO19" s="999"/>
      <c r="BS19" s="999"/>
      <c r="BT19" s="999"/>
      <c r="BV19" s="1079"/>
      <c r="BW19" s="1057">
        <v>3514792</v>
      </c>
      <c r="BX19" s="1057">
        <v>3516506</v>
      </c>
      <c r="BY19" s="1057">
        <v>3514798</v>
      </c>
      <c r="BZ19" s="1079"/>
      <c r="CA19" s="1012"/>
    </row>
    <row r="20" spans="1:80" ht="21" x14ac:dyDescent="0.25">
      <c r="A20" s="1072"/>
      <c r="B20" s="1072"/>
      <c r="C20" s="999"/>
      <c r="D20" s="1072"/>
      <c r="E20" s="999"/>
      <c r="F20" s="999"/>
      <c r="G20" s="999"/>
      <c r="I20" s="1085"/>
      <c r="J20" s="1085"/>
      <c r="R20" s="1081"/>
      <c r="S20" s="1081"/>
      <c r="U20" s="999"/>
      <c r="V20" s="999"/>
      <c r="W20" s="1046"/>
      <c r="X20" s="1076"/>
      <c r="Y20" s="1001"/>
      <c r="Z20" s="1001"/>
      <c r="AA20" s="1076"/>
      <c r="AB20" s="1048"/>
      <c r="AC20" s="999"/>
      <c r="AD20" s="999"/>
      <c r="AE20" s="1070"/>
      <c r="AF20" s="1070"/>
      <c r="AG20" s="999"/>
      <c r="AH20" s="1046"/>
      <c r="AI20" s="1047"/>
      <c r="AJ20" s="1001"/>
      <c r="AK20" s="1001"/>
      <c r="AL20" s="1047"/>
      <c r="AM20" s="1048"/>
      <c r="AN20" s="1086" t="s">
        <v>202</v>
      </c>
      <c r="AO20" s="999"/>
      <c r="AQ20" s="1087"/>
      <c r="AT20" s="999"/>
      <c r="AU20" s="999"/>
      <c r="AV20" s="999"/>
      <c r="AW20" s="999"/>
      <c r="BC20" s="999"/>
      <c r="BT20" s="999"/>
      <c r="BV20" s="1054"/>
      <c r="BW20" s="1078"/>
      <c r="BX20" s="1079"/>
      <c r="BY20" s="1078"/>
      <c r="BZ20" s="1054"/>
      <c r="CA20" s="1012"/>
    </row>
    <row r="21" spans="1:80" ht="21" x14ac:dyDescent="0.25">
      <c r="B21" s="1072"/>
      <c r="C21" s="999"/>
      <c r="D21" s="1072"/>
      <c r="E21" s="999"/>
      <c r="F21" s="999"/>
      <c r="G21" s="999"/>
      <c r="I21" s="999"/>
      <c r="J21" s="999"/>
      <c r="L21" s="999"/>
      <c r="M21" s="1081"/>
      <c r="N21" s="1081"/>
      <c r="O21" s="999"/>
      <c r="P21" s="1025"/>
      <c r="Q21" s="1025"/>
      <c r="R21" s="1081"/>
      <c r="S21" s="1081"/>
      <c r="W21" s="1046"/>
      <c r="X21" s="1076"/>
      <c r="Y21" s="1001"/>
      <c r="Z21" s="1001"/>
      <c r="AA21" s="1076"/>
      <c r="AB21" s="1048"/>
      <c r="AC21" s="999"/>
      <c r="AD21" s="999"/>
      <c r="AE21" s="1070"/>
      <c r="AF21" s="1070"/>
      <c r="AG21" s="999"/>
      <c r="AH21" s="999"/>
      <c r="AI21" s="999"/>
      <c r="AJ21" s="1047"/>
      <c r="AK21" s="1047"/>
      <c r="AL21" s="999"/>
      <c r="AM21" s="1048"/>
      <c r="AN21" s="1088"/>
      <c r="AO21" s="999"/>
      <c r="AQ21" s="1087"/>
      <c r="AT21" s="999"/>
      <c r="AU21" s="999"/>
      <c r="AV21" s="999"/>
      <c r="AX21" s="999"/>
      <c r="AY21" s="999"/>
      <c r="AZ21" s="999"/>
      <c r="BA21" s="999"/>
      <c r="BB21" s="999"/>
      <c r="BC21" s="999"/>
      <c r="BI21" s="1089"/>
      <c r="BO21" s="999"/>
      <c r="BP21" s="1039"/>
      <c r="BQ21" s="1039"/>
      <c r="BR21" s="999"/>
      <c r="BS21" s="999"/>
      <c r="BV21" s="999"/>
      <c r="BW21" s="1054"/>
      <c r="BX21" s="1054"/>
      <c r="BY21" s="1054"/>
      <c r="BZ21" s="999"/>
      <c r="CA21" s="1012"/>
    </row>
    <row r="22" spans="1:80" ht="21" x14ac:dyDescent="0.3">
      <c r="A22" s="1072"/>
      <c r="B22" s="1075"/>
      <c r="C22" s="1072"/>
      <c r="D22" s="1075"/>
      <c r="E22" s="1072"/>
      <c r="F22" s="999"/>
      <c r="G22" s="999"/>
      <c r="I22" s="1085"/>
      <c r="J22" s="1085"/>
      <c r="L22" s="999"/>
      <c r="M22" s="1081"/>
      <c r="N22" s="1081"/>
      <c r="P22" s="999"/>
      <c r="W22" s="999"/>
      <c r="X22" s="999"/>
      <c r="Y22" s="1076"/>
      <c r="Z22" s="1076"/>
      <c r="AB22" s="999"/>
      <c r="AC22" s="999"/>
      <c r="AD22" s="999"/>
      <c r="AE22" s="999"/>
      <c r="AF22" s="999"/>
      <c r="AG22" s="999"/>
      <c r="AH22" s="999"/>
      <c r="AI22" s="999"/>
      <c r="AJ22" s="999"/>
      <c r="AK22" s="999"/>
      <c r="AL22" s="999"/>
      <c r="AM22" s="999"/>
      <c r="AN22" s="1088"/>
      <c r="AO22" s="999"/>
      <c r="AQ22" s="1090"/>
      <c r="AT22" s="999"/>
      <c r="AU22" s="999"/>
      <c r="AV22" s="999"/>
      <c r="AX22" s="999"/>
      <c r="AY22" s="1031"/>
      <c r="AZ22" s="1064"/>
      <c r="BA22" s="1091"/>
      <c r="BB22" s="999"/>
      <c r="BC22" s="999"/>
      <c r="BF22" s="1064"/>
      <c r="BG22" s="1092"/>
      <c r="BK22" s="1093"/>
      <c r="BL22" s="1093"/>
      <c r="BO22" s="1015"/>
      <c r="BP22" s="1076"/>
      <c r="BQ22" s="1076"/>
      <c r="BR22" s="1043"/>
      <c r="BS22" s="999"/>
      <c r="BV22" s="1043"/>
      <c r="BW22" s="1094"/>
      <c r="BX22" s="1094"/>
      <c r="BY22" s="1094"/>
      <c r="BZ22" s="1080"/>
      <c r="CA22" s="1012"/>
    </row>
    <row r="23" spans="1:80" ht="21" x14ac:dyDescent="0.3">
      <c r="A23" s="1095"/>
      <c r="B23" s="1095"/>
      <c r="C23" s="1095"/>
      <c r="D23" s="1095"/>
      <c r="E23" s="1095"/>
      <c r="F23" s="999"/>
      <c r="G23" s="999"/>
      <c r="H23" s="999"/>
      <c r="I23" s="999"/>
      <c r="J23" s="999"/>
      <c r="M23" s="1081"/>
      <c r="N23" s="1081"/>
      <c r="P23" s="999"/>
      <c r="V23" s="999"/>
      <c r="W23" s="999"/>
      <c r="X23" s="999"/>
      <c r="Y23" s="999"/>
      <c r="Z23" s="999"/>
      <c r="AA23" s="999"/>
      <c r="AB23" s="999"/>
      <c r="AC23" s="999"/>
      <c r="AD23" s="999"/>
      <c r="AG23" s="999"/>
      <c r="AM23" s="999"/>
      <c r="AN23" s="1088"/>
      <c r="AO23" s="999"/>
      <c r="AR23" s="1056"/>
      <c r="AT23" s="999"/>
      <c r="AU23" s="1056"/>
      <c r="AV23" s="1056"/>
      <c r="AX23" s="999"/>
      <c r="AY23" s="1015"/>
      <c r="AZ23" s="1047"/>
      <c r="BA23" s="1047"/>
      <c r="BB23" s="1043"/>
      <c r="BC23" s="999"/>
      <c r="BE23" s="1015"/>
      <c r="BF23" s="1096"/>
      <c r="BG23" s="1096"/>
      <c r="BH23" s="1043"/>
      <c r="BK23" s="1070"/>
      <c r="BL23" s="1070"/>
      <c r="BN23" s="1046"/>
      <c r="BO23" s="1076"/>
      <c r="BP23" s="1001"/>
      <c r="BQ23" s="1001"/>
      <c r="BR23" s="1076"/>
      <c r="BS23" s="1048"/>
      <c r="BU23" s="1043"/>
      <c r="BV23" s="1094"/>
      <c r="BW23" s="1079"/>
      <c r="BX23" s="1079"/>
      <c r="BY23" s="1079"/>
      <c r="BZ23" s="1094"/>
      <c r="CA23" s="999"/>
      <c r="CB23" s="1097"/>
    </row>
    <row r="24" spans="1:80" ht="21" x14ac:dyDescent="0.3">
      <c r="A24" s="1098" t="s">
        <v>213</v>
      </c>
      <c r="B24" s="1024"/>
      <c r="C24" s="1099" t="s">
        <v>214</v>
      </c>
      <c r="D24" s="1100"/>
      <c r="E24" s="1024"/>
      <c r="F24" s="999"/>
      <c r="G24" s="999"/>
      <c r="H24" s="999"/>
      <c r="I24" s="1085"/>
      <c r="J24" s="1085"/>
      <c r="V24" s="999"/>
      <c r="AE24" s="1011"/>
      <c r="AF24" s="1011"/>
      <c r="AI24" s="999"/>
      <c r="AJ24" s="999"/>
      <c r="AK24" s="999"/>
      <c r="AL24" s="999"/>
      <c r="AM24" s="999"/>
      <c r="AN24" s="1088"/>
      <c r="AO24" s="999"/>
      <c r="AR24" s="1056"/>
      <c r="AT24" s="999"/>
      <c r="AU24" s="1056"/>
      <c r="AV24" s="1056"/>
      <c r="AX24" s="1046"/>
      <c r="AY24" s="1047"/>
      <c r="AZ24" s="1001"/>
      <c r="BA24" s="1001"/>
      <c r="BB24" s="1047"/>
      <c r="BC24" s="1048"/>
      <c r="BD24" s="1046"/>
      <c r="BE24" s="1101"/>
      <c r="BF24" s="1001"/>
      <c r="BG24" s="1001"/>
      <c r="BH24" s="1101"/>
      <c r="BI24" s="1048"/>
      <c r="BK24" s="1070"/>
      <c r="BL24" s="1070"/>
      <c r="BN24" s="1046"/>
      <c r="BO24" s="1076"/>
      <c r="BP24" s="1001"/>
      <c r="BQ24" s="1001"/>
      <c r="BR24" s="1076"/>
      <c r="BS24" s="1048"/>
      <c r="BU24" s="1094"/>
      <c r="BV24" s="1079"/>
      <c r="BW24" s="1057">
        <v>3322490</v>
      </c>
      <c r="BX24" s="1057">
        <v>3322489</v>
      </c>
      <c r="BY24" s="1057">
        <v>3322500</v>
      </c>
      <c r="BZ24" s="1079"/>
      <c r="CA24" s="999"/>
      <c r="CB24" s="1097"/>
    </row>
    <row r="25" spans="1:80" ht="21" x14ac:dyDescent="0.3">
      <c r="A25" s="1102"/>
      <c r="B25" s="1033"/>
      <c r="C25" s="1041"/>
      <c r="D25" s="1041"/>
      <c r="E25" s="1033"/>
      <c r="F25" s="999"/>
      <c r="G25" s="999"/>
      <c r="H25" s="999"/>
      <c r="I25" s="999"/>
      <c r="J25" s="999"/>
      <c r="K25" s="999"/>
      <c r="M25" s="1042"/>
      <c r="N25" s="1042"/>
      <c r="O25" s="999"/>
      <c r="P25" s="999"/>
      <c r="Q25" s="999"/>
      <c r="R25" s="1050"/>
      <c r="S25" s="1050"/>
      <c r="T25" s="999"/>
      <c r="U25" s="999"/>
      <c r="V25" s="1025"/>
      <c r="Y25" s="1006"/>
      <c r="Z25" s="1006"/>
      <c r="AC25" s="999"/>
      <c r="AD25" s="999"/>
      <c r="AE25" s="1011"/>
      <c r="AF25" s="1011"/>
      <c r="AG25" s="999"/>
      <c r="AH25" s="999"/>
      <c r="AI25" s="999"/>
      <c r="AJ25" s="999"/>
      <c r="AK25" s="999"/>
      <c r="AL25" s="999"/>
      <c r="AM25" s="999"/>
      <c r="AN25" s="1088"/>
      <c r="AO25" s="999"/>
      <c r="AT25" s="999"/>
      <c r="AU25" s="1056"/>
      <c r="AV25" s="1056"/>
      <c r="AX25" s="1046"/>
      <c r="AY25" s="1047"/>
      <c r="AZ25" s="1001"/>
      <c r="BA25" s="1001"/>
      <c r="BB25" s="1047"/>
      <c r="BC25" s="1048"/>
      <c r="BD25" s="1046"/>
      <c r="BE25" s="1101"/>
      <c r="BF25" s="1001"/>
      <c r="BG25" s="1001"/>
      <c r="BH25" s="1101"/>
      <c r="BI25" s="1048"/>
      <c r="BK25" s="1070"/>
      <c r="BL25" s="1070"/>
      <c r="BN25" s="1046"/>
      <c r="BO25" s="1076"/>
      <c r="BP25" s="1001"/>
      <c r="BQ25" s="1001"/>
      <c r="BR25" s="1076"/>
      <c r="BS25" s="1048"/>
      <c r="BU25" s="1094"/>
      <c r="BV25" s="1079"/>
      <c r="BW25" s="1057">
        <v>3322496</v>
      </c>
      <c r="BX25" s="1057">
        <v>3322497</v>
      </c>
      <c r="BY25" s="1057">
        <v>3322498</v>
      </c>
      <c r="BZ25" s="1079"/>
      <c r="CA25" s="999"/>
      <c r="CB25" s="1097"/>
    </row>
    <row r="26" spans="1:80" ht="21.75" thickBot="1" x14ac:dyDescent="0.35">
      <c r="A26" s="1102"/>
      <c r="B26" s="1033"/>
      <c r="C26" s="1041"/>
      <c r="D26" s="1041"/>
      <c r="E26" s="1033"/>
      <c r="F26" s="999"/>
      <c r="G26" s="999"/>
      <c r="H26" s="999"/>
      <c r="I26" s="999"/>
      <c r="J26" s="999"/>
      <c r="K26" s="999"/>
      <c r="L26" s="999"/>
      <c r="M26" s="1042"/>
      <c r="N26" s="1042"/>
      <c r="R26" s="1050"/>
      <c r="S26" s="1050"/>
      <c r="Y26" s="1006"/>
      <c r="Z26" s="1006"/>
      <c r="AC26" s="999"/>
      <c r="AD26" s="999"/>
      <c r="AE26" s="1011"/>
      <c r="AF26" s="1011"/>
      <c r="AG26" s="999"/>
      <c r="AH26" s="999"/>
      <c r="AI26" s="999"/>
      <c r="AN26" s="1103"/>
      <c r="AO26" s="999"/>
      <c r="AQ26" s="1087"/>
      <c r="AT26" s="999"/>
      <c r="AU26" s="1056"/>
      <c r="AV26" s="1056"/>
      <c r="AX26" s="1046"/>
      <c r="AY26" s="1047"/>
      <c r="AZ26" s="1001"/>
      <c r="BA26" s="1001"/>
      <c r="BB26" s="1047"/>
      <c r="BC26" s="1048"/>
      <c r="BD26" s="1046"/>
      <c r="BE26" s="1101"/>
      <c r="BF26" s="1001"/>
      <c r="BG26" s="1001"/>
      <c r="BH26" s="1101"/>
      <c r="BI26" s="1048"/>
      <c r="BN26" s="1046"/>
      <c r="BO26" s="1076"/>
      <c r="BP26" s="1001"/>
      <c r="BQ26" s="1001"/>
      <c r="BR26" s="1076"/>
      <c r="BS26" s="1048"/>
      <c r="BU26" s="999"/>
      <c r="BV26" s="1094"/>
      <c r="BW26" s="1079"/>
      <c r="BX26" s="1079"/>
      <c r="BY26" s="1079"/>
      <c r="BZ26" s="1094"/>
      <c r="CA26" s="999"/>
      <c r="CB26" s="1097"/>
    </row>
    <row r="27" spans="1:80" ht="21.75" thickBot="1" x14ac:dyDescent="0.35">
      <c r="A27" s="1102"/>
      <c r="B27" s="1033"/>
      <c r="C27" s="1041"/>
      <c r="D27" s="1041"/>
      <c r="E27" s="1033"/>
      <c r="F27" s="999"/>
      <c r="G27" s="1047"/>
      <c r="H27" s="999"/>
      <c r="I27" s="999"/>
      <c r="J27" s="999"/>
      <c r="K27" s="999"/>
      <c r="L27" s="999"/>
      <c r="M27" s="1042"/>
      <c r="N27" s="1042"/>
      <c r="R27" s="1050"/>
      <c r="S27" s="1050"/>
      <c r="Y27" s="1006"/>
      <c r="Z27" s="1006"/>
      <c r="AC27" s="999"/>
      <c r="AD27" s="999"/>
      <c r="AE27" s="1104"/>
      <c r="AF27" s="1104"/>
      <c r="AG27" s="999"/>
      <c r="AH27" s="999"/>
      <c r="AI27" s="999"/>
      <c r="AN27" s="1012"/>
      <c r="AO27" s="999"/>
      <c r="AT27" s="999"/>
      <c r="AX27" s="1046"/>
      <c r="AY27" s="1047"/>
      <c r="AZ27" s="1001"/>
      <c r="BA27" s="1001"/>
      <c r="BB27" s="1047"/>
      <c r="BC27" s="1048"/>
      <c r="BD27" s="1046"/>
      <c r="BE27" s="1101"/>
      <c r="BF27" s="1001"/>
      <c r="BG27" s="1001"/>
      <c r="BH27" s="1101"/>
      <c r="BI27" s="1048"/>
      <c r="BO27" s="1105"/>
      <c r="BP27" s="1076"/>
      <c r="BQ27" s="1076"/>
      <c r="BR27" s="1105"/>
      <c r="BS27" s="999"/>
      <c r="BV27" s="999"/>
      <c r="BW27" s="1094"/>
      <c r="BX27" s="1094"/>
      <c r="BY27" s="1094"/>
      <c r="BZ27" s="999"/>
      <c r="CA27" s="1012"/>
    </row>
    <row r="28" spans="1:80" ht="19.5" thickBot="1" x14ac:dyDescent="0.3">
      <c r="A28" s="1102"/>
      <c r="B28" s="1033"/>
      <c r="C28" s="1041"/>
      <c r="D28" s="1041"/>
      <c r="E28" s="1033"/>
      <c r="F28" s="999"/>
      <c r="G28" s="1046"/>
      <c r="H28" s="999"/>
      <c r="I28" s="999"/>
      <c r="J28" s="999"/>
      <c r="K28" s="999"/>
      <c r="L28" s="999"/>
      <c r="M28" s="999"/>
      <c r="N28" s="999"/>
      <c r="O28" s="999"/>
      <c r="P28" s="999"/>
      <c r="U28" s="999"/>
      <c r="AC28" s="999"/>
      <c r="AD28" s="999"/>
      <c r="AE28" s="999"/>
      <c r="AF28" s="999"/>
      <c r="AG28" s="999"/>
      <c r="AH28" s="999"/>
      <c r="AN28" s="1012"/>
      <c r="AO28" s="999"/>
      <c r="AT28" s="999"/>
      <c r="AW28" s="999"/>
      <c r="AX28" s="999"/>
      <c r="AY28" s="999"/>
      <c r="AZ28" s="1047"/>
      <c r="BA28" s="1047"/>
      <c r="BB28" s="999"/>
      <c r="BC28" s="999"/>
      <c r="BF28" s="1096"/>
      <c r="BG28" s="1096"/>
      <c r="BJ28" s="1106"/>
      <c r="BK28" s="1106"/>
      <c r="BW28" s="1107"/>
      <c r="BX28" s="1107"/>
      <c r="BY28" s="1108"/>
      <c r="CA28" s="1012"/>
    </row>
    <row r="29" spans="1:80" ht="15.75" thickBot="1" x14ac:dyDescent="0.3">
      <c r="A29" s="1102"/>
      <c r="B29" s="1033"/>
      <c r="C29" s="1041"/>
      <c r="D29" s="1041"/>
      <c r="E29" s="1033"/>
      <c r="F29" s="999"/>
      <c r="G29" s="1046"/>
      <c r="H29" s="999"/>
      <c r="I29" s="999"/>
      <c r="J29" s="999"/>
      <c r="K29" s="999"/>
      <c r="L29" s="999"/>
      <c r="M29" s="1106"/>
      <c r="N29" s="1106"/>
      <c r="O29" s="999"/>
      <c r="P29" s="999"/>
      <c r="Q29" s="999"/>
      <c r="T29" s="999"/>
      <c r="U29" s="999"/>
      <c r="AC29" s="999"/>
      <c r="AD29" s="999"/>
      <c r="AE29" s="999"/>
      <c r="AF29" s="999"/>
      <c r="AG29" s="999"/>
      <c r="AH29" s="999"/>
      <c r="AN29" s="1012"/>
      <c r="AO29" s="999"/>
      <c r="AT29" s="999"/>
      <c r="AW29" s="999"/>
      <c r="AX29" s="999"/>
      <c r="BC29" s="999"/>
      <c r="BJ29" s="1109"/>
      <c r="BK29" s="1109"/>
      <c r="BL29" s="999"/>
      <c r="BM29" s="999"/>
      <c r="BN29" s="999"/>
      <c r="BO29" s="999"/>
      <c r="BP29" s="999"/>
      <c r="BQ29" s="999"/>
      <c r="BR29" s="999"/>
      <c r="BS29" s="999"/>
      <c r="CA29" s="1012"/>
    </row>
    <row r="30" spans="1:80" ht="21.75" thickBot="1" x14ac:dyDescent="0.3">
      <c r="A30" s="1102"/>
      <c r="B30" s="1033"/>
      <c r="C30" s="1041"/>
      <c r="D30" s="1041"/>
      <c r="E30" s="1033"/>
      <c r="F30" s="999"/>
      <c r="G30" s="999"/>
      <c r="H30" s="999"/>
      <c r="K30" s="999"/>
      <c r="L30" s="999"/>
      <c r="M30" s="1109"/>
      <c r="N30" s="1109"/>
      <c r="O30" s="999"/>
      <c r="P30" s="999"/>
      <c r="Q30" s="1015"/>
      <c r="T30" s="1110"/>
      <c r="U30" s="999"/>
      <c r="AC30" s="999"/>
      <c r="AD30" s="999"/>
      <c r="AE30" s="999"/>
      <c r="AF30" s="999"/>
      <c r="AG30" s="999"/>
      <c r="AH30" s="999"/>
      <c r="AN30" s="1012"/>
      <c r="AO30" s="999"/>
      <c r="AT30" s="999"/>
      <c r="AW30" s="999"/>
      <c r="BI30" s="999"/>
      <c r="BJ30" s="999"/>
      <c r="BK30" s="999"/>
      <c r="BL30" s="999"/>
      <c r="BM30" s="999"/>
      <c r="BN30" s="999"/>
      <c r="BO30" s="999"/>
      <c r="BP30" s="999"/>
      <c r="BQ30" s="999"/>
      <c r="BS30" s="999"/>
      <c r="BZ30" s="999"/>
      <c r="CA30" s="1012"/>
    </row>
    <row r="31" spans="1:80" ht="18.75" x14ac:dyDescent="0.25">
      <c r="A31" s="1102"/>
      <c r="B31" s="1033"/>
      <c r="C31" s="1111"/>
      <c r="D31" s="1111"/>
      <c r="E31" s="1060"/>
      <c r="F31" s="999"/>
      <c r="G31" s="999"/>
      <c r="H31" s="999"/>
      <c r="K31" s="999"/>
      <c r="M31" s="999"/>
      <c r="N31" s="999"/>
      <c r="O31" s="999"/>
      <c r="P31" s="999"/>
      <c r="Q31" s="1044"/>
      <c r="T31" s="1044"/>
      <c r="U31" s="999"/>
      <c r="AC31" s="999"/>
      <c r="AG31" s="999"/>
      <c r="AH31" s="999"/>
      <c r="AN31" s="1012"/>
      <c r="AO31" s="999"/>
      <c r="AT31" s="999"/>
      <c r="AW31" s="999"/>
      <c r="BI31" s="999"/>
      <c r="BL31" s="999"/>
      <c r="BM31" s="999"/>
      <c r="BN31" s="999"/>
      <c r="BS31" s="999"/>
      <c r="BV31" s="1112"/>
      <c r="BW31" s="1113"/>
      <c r="BX31" s="1113"/>
      <c r="BY31" s="1113"/>
      <c r="BZ31" s="1080"/>
      <c r="CA31" s="1012"/>
    </row>
    <row r="32" spans="1:80" ht="21" x14ac:dyDescent="0.25">
      <c r="A32" s="1102"/>
      <c r="B32" s="1033"/>
      <c r="C32" s="999"/>
      <c r="D32" s="999"/>
      <c r="E32" s="999"/>
      <c r="F32" s="999"/>
      <c r="G32" s="999"/>
      <c r="H32" s="999"/>
      <c r="K32" s="999"/>
      <c r="L32" s="999"/>
      <c r="O32" s="999"/>
      <c r="P32" s="999"/>
      <c r="Q32" s="1044"/>
      <c r="R32" s="1044"/>
      <c r="S32" s="1044"/>
      <c r="T32" s="999"/>
      <c r="U32" s="999"/>
      <c r="AC32" s="999"/>
      <c r="AG32" s="999"/>
      <c r="AH32" s="999"/>
      <c r="AN32" s="1012"/>
      <c r="AO32" s="999"/>
      <c r="AT32" s="999"/>
      <c r="AU32" s="999"/>
      <c r="AV32" s="999"/>
      <c r="AW32" s="1025"/>
      <c r="AZ32" s="1047"/>
      <c r="BA32" s="1047"/>
      <c r="BE32" s="1076"/>
      <c r="BF32" s="1076"/>
      <c r="BI32" s="1043"/>
      <c r="BJ32" s="1054"/>
      <c r="BK32" s="1054"/>
      <c r="BM32" s="999"/>
      <c r="BO32" s="1043"/>
      <c r="BP32" s="1054"/>
      <c r="BQ32" s="1054"/>
      <c r="BV32" s="1114"/>
      <c r="BW32" s="1079"/>
      <c r="BX32" s="1079"/>
      <c r="BY32" s="1079"/>
      <c r="BZ32" s="1054"/>
      <c r="CA32" s="1012"/>
    </row>
    <row r="33" spans="1:80" ht="21" x14ac:dyDescent="0.3">
      <c r="A33" s="1102"/>
      <c r="B33" s="1033"/>
      <c r="C33" s="999"/>
      <c r="D33" s="999"/>
      <c r="E33" s="999"/>
      <c r="F33" s="999"/>
      <c r="G33" s="999"/>
      <c r="H33" s="999"/>
      <c r="K33" s="999"/>
      <c r="Q33" s="1044"/>
      <c r="R33" s="1115"/>
      <c r="S33" s="1115"/>
      <c r="AN33" s="1012"/>
      <c r="AO33" s="1006"/>
      <c r="AP33" s="1006"/>
      <c r="AQ33" s="1006"/>
      <c r="AR33" s="1006"/>
      <c r="AS33" s="1046"/>
      <c r="AT33" s="1047"/>
      <c r="AU33" s="1001"/>
      <c r="AV33" s="1001"/>
      <c r="AW33" s="1047"/>
      <c r="AX33" s="1025"/>
      <c r="AY33" s="1047"/>
      <c r="AZ33" s="1001"/>
      <c r="BA33" s="1001"/>
      <c r="BB33" s="1047"/>
      <c r="BC33" s="1025"/>
      <c r="BD33" s="1076"/>
      <c r="BE33" s="1001"/>
      <c r="BF33" s="1001"/>
      <c r="BG33" s="1076"/>
      <c r="BI33" s="1114"/>
      <c r="BJ33" s="1055"/>
      <c r="BK33" s="1055"/>
      <c r="BL33" s="1054"/>
      <c r="BM33" s="999"/>
      <c r="BO33" s="1114"/>
      <c r="BP33" s="1079"/>
      <c r="BQ33" s="1079"/>
      <c r="BR33" s="1054"/>
      <c r="BV33" s="1079"/>
      <c r="BW33" s="1057">
        <v>3515292</v>
      </c>
      <c r="BX33" s="1057">
        <v>3515288</v>
      </c>
      <c r="BY33" s="1057">
        <v>3515163</v>
      </c>
      <c r="BZ33" s="1079"/>
      <c r="CA33" s="1012"/>
    </row>
    <row r="34" spans="1:80" ht="21" x14ac:dyDescent="0.3">
      <c r="A34" s="1102"/>
      <c r="B34" s="1033"/>
      <c r="C34" s="999"/>
      <c r="D34" s="999"/>
      <c r="E34" s="999"/>
      <c r="F34" s="999"/>
      <c r="G34" s="999"/>
      <c r="H34" s="999"/>
      <c r="K34" s="999"/>
      <c r="Q34" s="1044"/>
      <c r="R34" s="1006"/>
      <c r="S34" s="1006"/>
      <c r="Y34" s="1042"/>
      <c r="Z34" s="1042"/>
      <c r="AE34" s="1116"/>
      <c r="AF34" s="1116"/>
      <c r="AN34" s="1012"/>
      <c r="AO34" s="1006"/>
      <c r="AP34" s="1006"/>
      <c r="AQ34" s="1006"/>
      <c r="AR34" s="1006"/>
      <c r="AS34" s="1046"/>
      <c r="AT34" s="1047"/>
      <c r="AU34" s="1001"/>
      <c r="AV34" s="1001"/>
      <c r="AW34" s="1047"/>
      <c r="AX34" s="1025"/>
      <c r="AY34" s="1047"/>
      <c r="AZ34" s="1001"/>
      <c r="BA34" s="1001"/>
      <c r="BB34" s="1047"/>
      <c r="BC34" s="1025"/>
      <c r="BD34" s="1076"/>
      <c r="BE34" s="1001"/>
      <c r="BF34" s="1001"/>
      <c r="BG34" s="1076"/>
      <c r="BI34" s="1055"/>
      <c r="BJ34" s="1057">
        <v>3322492</v>
      </c>
      <c r="BK34" s="1057">
        <v>3322486</v>
      </c>
      <c r="BL34" s="1055"/>
      <c r="BM34" s="999"/>
      <c r="BN34" s="1054"/>
      <c r="BO34" s="1079"/>
      <c r="BP34" s="1057">
        <v>3514819</v>
      </c>
      <c r="BQ34" s="1057">
        <v>3514812</v>
      </c>
      <c r="BR34" s="1079"/>
      <c r="BS34" s="1054"/>
      <c r="BV34" s="1079"/>
      <c r="BW34" s="1057">
        <v>3514820</v>
      </c>
      <c r="BX34" s="1057">
        <v>3514957</v>
      </c>
      <c r="BY34" s="1057">
        <v>3515035</v>
      </c>
      <c r="BZ34" s="1079"/>
      <c r="CA34" s="1012"/>
    </row>
    <row r="35" spans="1:80" ht="21" x14ac:dyDescent="0.3">
      <c r="A35" s="1117"/>
      <c r="B35" s="1060"/>
      <c r="C35" s="999"/>
      <c r="D35" s="999"/>
      <c r="E35" s="999"/>
      <c r="F35" s="999"/>
      <c r="G35" s="999"/>
      <c r="H35" s="999"/>
      <c r="I35" s="1073"/>
      <c r="J35" s="1073"/>
      <c r="K35" s="999"/>
      <c r="M35" s="1042"/>
      <c r="N35" s="1042"/>
      <c r="R35" s="1006"/>
      <c r="S35" s="1006"/>
      <c r="Y35" s="1042"/>
      <c r="Z35" s="1042"/>
      <c r="AE35" s="1085"/>
      <c r="AF35" s="1085"/>
      <c r="AN35" s="1012"/>
      <c r="AO35" s="999"/>
      <c r="AP35" s="999"/>
      <c r="AQ35" s="999"/>
      <c r="AR35" s="999"/>
      <c r="AS35" s="999"/>
      <c r="AT35" s="1025"/>
      <c r="AU35" s="999"/>
      <c r="AV35" s="999"/>
      <c r="AW35" s="1025"/>
      <c r="AZ35" s="1047"/>
      <c r="BA35" s="1047"/>
      <c r="BE35" s="1076"/>
      <c r="BF35" s="1076"/>
      <c r="BI35" s="1055"/>
      <c r="BJ35" s="1057">
        <v>3322495</v>
      </c>
      <c r="BK35" s="1057">
        <v>3322485</v>
      </c>
      <c r="BL35" s="1055"/>
      <c r="BM35" s="999"/>
      <c r="BN35" s="1054"/>
      <c r="BO35" s="1079"/>
      <c r="BP35" s="1057">
        <v>3515100</v>
      </c>
      <c r="BQ35" s="1057">
        <v>3514811</v>
      </c>
      <c r="BR35" s="1079"/>
      <c r="BS35" s="1054"/>
      <c r="BT35" s="999"/>
      <c r="BU35" s="999"/>
      <c r="BV35" s="1054"/>
      <c r="BW35" s="1079"/>
      <c r="BX35" s="1079"/>
      <c r="BY35" s="1079"/>
      <c r="BZ35" s="1054"/>
      <c r="CA35" s="1012"/>
    </row>
    <row r="36" spans="1:80" ht="18.75" x14ac:dyDescent="0.3">
      <c r="A36" s="1118"/>
      <c r="B36" s="999"/>
      <c r="C36" s="999"/>
      <c r="D36" s="999"/>
      <c r="E36" s="999"/>
      <c r="F36" s="999"/>
      <c r="G36" s="999"/>
      <c r="H36" s="999"/>
      <c r="I36" s="1073"/>
      <c r="J36" s="1073"/>
      <c r="K36" s="999"/>
      <c r="M36" s="1042"/>
      <c r="N36" s="1042"/>
      <c r="R36" s="1006"/>
      <c r="S36" s="1006"/>
      <c r="Y36" s="1042"/>
      <c r="Z36" s="1042"/>
      <c r="AE36" s="1085"/>
      <c r="AF36" s="1085"/>
      <c r="AN36" s="1012"/>
      <c r="AO36" s="999"/>
      <c r="AP36" s="999"/>
      <c r="AQ36" s="999"/>
      <c r="AR36" s="999"/>
      <c r="AS36" s="999"/>
      <c r="AT36" s="1039"/>
      <c r="AU36" s="1119"/>
      <c r="AV36" s="1119"/>
      <c r="AW36" s="1119"/>
      <c r="AY36" s="1039"/>
      <c r="AZ36" s="1119"/>
      <c r="BA36" s="1119"/>
      <c r="BB36" s="1119"/>
      <c r="BD36" s="1039"/>
      <c r="BE36" s="1039"/>
      <c r="BF36" s="1039"/>
      <c r="BG36" s="1039"/>
      <c r="BI36" s="1054"/>
      <c r="BJ36" s="1055"/>
      <c r="BK36" s="1055"/>
      <c r="BL36" s="1054"/>
      <c r="BM36" s="999"/>
      <c r="BN36" s="999"/>
      <c r="BO36" s="1054"/>
      <c r="BP36" s="1079"/>
      <c r="BQ36" s="1079"/>
      <c r="BR36" s="1054"/>
      <c r="BS36" s="999"/>
      <c r="BT36" s="999"/>
      <c r="BU36" s="999"/>
      <c r="BW36" s="1113"/>
      <c r="BX36" s="1113"/>
      <c r="BY36" s="1113"/>
      <c r="CA36" s="1012"/>
    </row>
    <row r="37" spans="1:80" ht="15.75" x14ac:dyDescent="0.25">
      <c r="A37" s="1118"/>
      <c r="B37" s="999"/>
      <c r="C37" s="999"/>
      <c r="D37" s="999"/>
      <c r="E37" s="999"/>
      <c r="F37" s="999"/>
      <c r="G37" s="999"/>
      <c r="H37" s="999"/>
      <c r="I37" s="1073"/>
      <c r="J37" s="1073"/>
      <c r="K37" s="999"/>
      <c r="AN37" s="1012"/>
      <c r="AO37" s="999"/>
      <c r="AP37" s="999"/>
      <c r="AQ37" s="999"/>
      <c r="AR37" s="999"/>
      <c r="AS37" s="999"/>
      <c r="AT37" s="999"/>
      <c r="AU37" s="999"/>
      <c r="AV37" s="999"/>
      <c r="AW37" s="999"/>
      <c r="AX37" s="999"/>
      <c r="AY37" s="999"/>
      <c r="AZ37" s="999"/>
      <c r="BA37" s="999"/>
      <c r="BB37" s="999"/>
      <c r="BC37" s="999"/>
      <c r="BD37" s="999"/>
      <c r="BE37" s="999"/>
      <c r="BF37" s="999"/>
      <c r="BG37" s="999"/>
      <c r="BH37" s="999"/>
      <c r="BI37" s="999"/>
      <c r="BJ37" s="1054"/>
      <c r="BK37" s="1054"/>
      <c r="BL37" s="999"/>
      <c r="BM37" s="999"/>
      <c r="BN37" s="999"/>
      <c r="BO37" s="999"/>
      <c r="BP37" s="1054"/>
      <c r="BQ37" s="1054"/>
      <c r="BR37" s="999"/>
      <c r="BS37" s="999"/>
      <c r="BT37" s="999"/>
      <c r="BU37" s="999"/>
      <c r="BV37" s="999"/>
      <c r="BW37" s="999"/>
      <c r="BX37" s="999"/>
      <c r="BY37" s="999"/>
      <c r="BZ37" s="999"/>
      <c r="CA37" s="1012"/>
    </row>
    <row r="38" spans="1:80" x14ac:dyDescent="0.25">
      <c r="A38" s="1118"/>
      <c r="B38" s="999"/>
      <c r="C38" s="999"/>
      <c r="D38" s="999"/>
      <c r="E38" s="999"/>
      <c r="F38" s="999"/>
      <c r="G38" s="999"/>
      <c r="H38" s="999"/>
      <c r="K38" s="999"/>
      <c r="AN38" s="1012"/>
      <c r="AO38" s="999"/>
      <c r="AP38" s="999"/>
      <c r="AQ38" s="999"/>
      <c r="AR38" s="999"/>
      <c r="AS38" s="999"/>
      <c r="AT38" s="999"/>
      <c r="AU38" s="999"/>
      <c r="AV38" s="999"/>
      <c r="AW38" s="999"/>
      <c r="AX38" s="999"/>
      <c r="AY38" s="999"/>
      <c r="AZ38" s="999"/>
      <c r="BA38" s="999"/>
      <c r="BB38" s="999"/>
      <c r="BC38" s="999"/>
      <c r="BD38" s="999"/>
      <c r="BE38" s="999"/>
      <c r="BF38" s="999"/>
      <c r="BG38" s="999"/>
      <c r="BH38" s="999"/>
      <c r="BI38" s="999"/>
      <c r="BJ38" s="999"/>
      <c r="BK38" s="999"/>
      <c r="BL38" s="999"/>
      <c r="BM38" s="999"/>
      <c r="BN38" s="999"/>
      <c r="BO38" s="999"/>
      <c r="BP38" s="999"/>
      <c r="BQ38" s="999"/>
      <c r="BR38" s="999"/>
      <c r="BS38" s="999"/>
      <c r="BT38" s="999"/>
      <c r="BU38" s="999"/>
      <c r="BV38" s="999"/>
      <c r="BW38" s="999"/>
      <c r="BX38" s="999"/>
      <c r="BY38" s="999"/>
      <c r="BZ38" s="999"/>
      <c r="CA38" s="1012"/>
    </row>
    <row r="39" spans="1:80" ht="18.75" x14ac:dyDescent="0.25">
      <c r="A39" s="1118"/>
      <c r="B39" s="999"/>
      <c r="C39" s="999"/>
      <c r="D39" s="999"/>
      <c r="E39" s="999"/>
      <c r="F39" s="999"/>
      <c r="G39" s="999"/>
      <c r="H39" s="999"/>
      <c r="K39" s="999"/>
      <c r="M39" s="1120"/>
      <c r="N39" s="1120"/>
      <c r="Q39" s="999"/>
      <c r="R39" s="1064"/>
      <c r="S39" s="1091"/>
      <c r="U39" s="1121"/>
      <c r="W39" s="999"/>
      <c r="X39" s="999"/>
      <c r="Y39" s="1064"/>
      <c r="Z39" s="1064"/>
      <c r="AA39" s="999"/>
      <c r="AB39" s="999"/>
      <c r="AN39" s="1012"/>
      <c r="AO39" s="999"/>
      <c r="AP39" s="999"/>
      <c r="AQ39" s="999"/>
      <c r="AR39" s="999"/>
      <c r="AS39" s="999"/>
      <c r="AT39" s="999"/>
      <c r="AX39" s="1034"/>
      <c r="AY39" s="1034"/>
      <c r="AZ39" s="1034"/>
      <c r="BA39" s="1034"/>
      <c r="BB39" s="1034"/>
      <c r="BC39" s="999"/>
      <c r="BD39" s="999"/>
      <c r="BE39" s="1034"/>
      <c r="BF39" s="1034"/>
      <c r="BG39" s="1034"/>
      <c r="BH39" s="1034"/>
      <c r="BI39" s="1034"/>
      <c r="BJ39" s="999"/>
      <c r="BK39" s="999"/>
      <c r="BL39" s="999"/>
      <c r="BM39" s="999"/>
      <c r="BN39" s="999"/>
      <c r="BO39" s="999"/>
      <c r="BP39" s="999"/>
      <c r="BQ39" s="999"/>
      <c r="BR39" s="999"/>
      <c r="BS39" s="999"/>
      <c r="BT39" s="999"/>
      <c r="BU39" s="999"/>
      <c r="BV39" s="999"/>
      <c r="BW39" s="999"/>
      <c r="BX39" s="999"/>
      <c r="BY39" s="999"/>
      <c r="BZ39" s="999"/>
      <c r="CA39" s="1012"/>
    </row>
    <row r="40" spans="1:80" ht="21" x14ac:dyDescent="0.25">
      <c r="A40" s="1118"/>
      <c r="H40" s="999"/>
      <c r="K40" s="999"/>
      <c r="M40" s="1047"/>
      <c r="N40" s="1047"/>
      <c r="O40" s="1015"/>
      <c r="P40" s="999"/>
      <c r="Q40" s="1015"/>
      <c r="R40" s="1101"/>
      <c r="S40" s="1101"/>
      <c r="T40" s="1043"/>
      <c r="U40" s="1122"/>
      <c r="W40" s="999"/>
      <c r="X40" s="1015"/>
      <c r="Y40" s="1076"/>
      <c r="Z40" s="1076"/>
      <c r="AA40" s="1043"/>
      <c r="AB40" s="999"/>
      <c r="AN40" s="1012"/>
      <c r="AO40" s="999"/>
      <c r="AP40" s="999"/>
      <c r="AQ40" s="999"/>
      <c r="AR40" s="999"/>
      <c r="AS40" s="999"/>
      <c r="AU40" s="999"/>
      <c r="AX40" s="1025"/>
      <c r="AZ40" s="1025"/>
      <c r="BB40" s="1025"/>
      <c r="BD40" s="999"/>
      <c r="BE40" s="999"/>
      <c r="BF40" s="999"/>
      <c r="BG40" s="999"/>
      <c r="BH40" s="999"/>
      <c r="BI40" s="999"/>
      <c r="BN40" s="999"/>
      <c r="BP40" s="999"/>
      <c r="BQ40" s="999"/>
      <c r="BR40" s="999"/>
      <c r="BS40" s="999"/>
      <c r="BT40" s="999"/>
      <c r="BU40" s="999"/>
      <c r="BV40" s="999"/>
      <c r="BW40" s="1112"/>
      <c r="BX40" s="1123"/>
      <c r="BY40" s="1123"/>
      <c r="BZ40" s="1123"/>
      <c r="CA40" s="1124"/>
    </row>
    <row r="41" spans="1:80" ht="23.25" x14ac:dyDescent="0.25">
      <c r="A41" s="1118"/>
      <c r="E41" s="999"/>
      <c r="F41" s="999"/>
      <c r="G41" s="999"/>
      <c r="H41" s="999"/>
      <c r="I41" s="1010"/>
      <c r="J41" s="1010"/>
      <c r="K41" s="999"/>
      <c r="L41" s="1047"/>
      <c r="M41" s="1001"/>
      <c r="N41" s="1001"/>
      <c r="O41" s="1047"/>
      <c r="P41" s="1046"/>
      <c r="Q41" s="1101"/>
      <c r="R41" s="1001"/>
      <c r="S41" s="1001"/>
      <c r="T41" s="1101"/>
      <c r="U41" s="1125"/>
      <c r="W41" s="1046"/>
      <c r="X41" s="1076"/>
      <c r="Y41" s="1001"/>
      <c r="Z41" s="1001"/>
      <c r="AA41" s="1076"/>
      <c r="AB41" s="1048"/>
      <c r="AE41" s="1070"/>
      <c r="AF41" s="1070"/>
      <c r="AN41" s="1012"/>
      <c r="AO41" s="1126"/>
      <c r="AP41" s="1127"/>
      <c r="AQ41" s="1127"/>
      <c r="AR41" s="1127"/>
      <c r="AS41" s="1127"/>
      <c r="AT41" s="1127"/>
      <c r="AU41" s="999"/>
      <c r="AV41" s="999"/>
      <c r="AW41" s="999"/>
      <c r="AX41" s="1016"/>
      <c r="AZ41" s="1016"/>
      <c r="BB41" s="1016"/>
      <c r="BC41" s="999"/>
      <c r="BD41" s="1000"/>
      <c r="BF41" s="1000"/>
      <c r="BH41" s="1000"/>
      <c r="BJ41" s="1000"/>
      <c r="BM41" s="1084"/>
      <c r="BN41" s="1084"/>
      <c r="BO41" s="1084"/>
      <c r="BP41" s="1084"/>
      <c r="BW41" s="1054"/>
      <c r="BX41" s="1079"/>
      <c r="BY41" s="1079"/>
      <c r="BZ41" s="1079"/>
      <c r="CA41" s="1128"/>
      <c r="CB41" s="1097"/>
    </row>
    <row r="42" spans="1:80" ht="24" thickBot="1" x14ac:dyDescent="0.3">
      <c r="A42" s="1118"/>
      <c r="I42" s="1129"/>
      <c r="J42" s="1129"/>
      <c r="L42" s="1047"/>
      <c r="M42" s="1001"/>
      <c r="N42" s="1001"/>
      <c r="O42" s="1047"/>
      <c r="P42" s="1046"/>
      <c r="Q42" s="1101"/>
      <c r="R42" s="1001"/>
      <c r="S42" s="1001"/>
      <c r="T42" s="1101"/>
      <c r="U42" s="1125"/>
      <c r="W42" s="1046"/>
      <c r="X42" s="1076"/>
      <c r="Y42" s="1001"/>
      <c r="Z42" s="1001"/>
      <c r="AA42" s="1076"/>
      <c r="AB42" s="1048"/>
      <c r="AE42" s="1070"/>
      <c r="AF42" s="1070"/>
      <c r="AK42" s="1081"/>
      <c r="AL42" s="1051"/>
      <c r="AN42" s="1012"/>
      <c r="AO42" s="1006"/>
      <c r="AP42" s="1006"/>
      <c r="AQ42" s="1006"/>
      <c r="AR42" s="1130"/>
      <c r="AS42" s="1130"/>
      <c r="AT42" s="1130"/>
      <c r="AU42" s="1131"/>
      <c r="AV42" s="1131"/>
      <c r="AW42" s="1016"/>
      <c r="AX42" s="1001"/>
      <c r="AY42" s="1016"/>
      <c r="AZ42" s="1001"/>
      <c r="BA42" s="1016"/>
      <c r="BB42" s="1001"/>
      <c r="BC42" s="1132"/>
      <c r="BD42" s="1001"/>
      <c r="BE42" s="1000"/>
      <c r="BF42" s="1001"/>
      <c r="BG42" s="1000"/>
      <c r="BH42" s="1001"/>
      <c r="BI42" s="1000"/>
      <c r="BJ42" s="1001"/>
      <c r="BK42" s="1000"/>
      <c r="BM42" s="1085"/>
      <c r="BN42" s="1085"/>
      <c r="BO42" s="1085"/>
      <c r="BP42" s="1085"/>
      <c r="BW42" s="1079"/>
      <c r="BX42" s="1057">
        <v>3516468</v>
      </c>
      <c r="BY42" s="1057">
        <v>3516466</v>
      </c>
      <c r="BZ42" s="1057">
        <v>3516457</v>
      </c>
      <c r="CA42" s="1057">
        <v>3516441</v>
      </c>
      <c r="CB42" s="1097"/>
    </row>
    <row r="43" spans="1:80" ht="21" x14ac:dyDescent="0.25">
      <c r="A43" s="1118"/>
      <c r="E43" s="999"/>
      <c r="F43" s="999"/>
      <c r="G43" s="999"/>
      <c r="I43" s="1133"/>
      <c r="J43" s="1133"/>
      <c r="L43" s="1047"/>
      <c r="M43" s="1001"/>
      <c r="N43" s="1001"/>
      <c r="O43" s="1047"/>
      <c r="P43" s="1046"/>
      <c r="Q43" s="1101"/>
      <c r="R43" s="1001"/>
      <c r="S43" s="1001"/>
      <c r="T43" s="1101"/>
      <c r="U43" s="1125"/>
      <c r="W43" s="1046"/>
      <c r="X43" s="1076"/>
      <c r="Y43" s="1001"/>
      <c r="Z43" s="1001"/>
      <c r="AA43" s="1076"/>
      <c r="AB43" s="1048"/>
      <c r="AE43" s="1070"/>
      <c r="AF43" s="1070"/>
      <c r="AK43" s="1081"/>
      <c r="AL43" s="1081"/>
      <c r="AN43" s="999"/>
      <c r="AR43" s="1134"/>
      <c r="AS43" s="1135"/>
      <c r="AT43" s="1136"/>
      <c r="AU43" s="1137"/>
      <c r="AV43" s="1137"/>
      <c r="AW43" s="1138"/>
      <c r="BB43" s="1135"/>
      <c r="BC43" s="1135"/>
      <c r="BD43" s="1139"/>
      <c r="BE43" s="1139"/>
      <c r="BF43" s="1139"/>
      <c r="BG43" s="1139"/>
      <c r="BH43" s="1139"/>
      <c r="BI43" s="1139"/>
      <c r="BJ43" s="1139"/>
      <c r="BK43" s="1139"/>
      <c r="BL43" s="1139"/>
      <c r="BM43" s="1139"/>
      <c r="BN43" s="1139"/>
      <c r="BO43" s="1139"/>
      <c r="BP43" s="1139"/>
      <c r="BQ43" s="1139"/>
      <c r="BR43" s="1139"/>
      <c r="BS43" s="1139"/>
      <c r="BT43" s="1139"/>
      <c r="BU43" s="1139"/>
      <c r="BV43" s="1139"/>
      <c r="BW43" s="1139"/>
      <c r="BX43" s="1139"/>
      <c r="BY43" s="1139"/>
      <c r="BZ43" s="1139"/>
      <c r="CA43" s="1139"/>
      <c r="CB43" s="1097"/>
    </row>
    <row r="44" spans="1:80" ht="21" x14ac:dyDescent="0.25">
      <c r="A44" s="1118"/>
      <c r="M44" s="1047"/>
      <c r="N44" s="1047"/>
      <c r="O44" s="1043"/>
      <c r="R44" s="1101"/>
      <c r="S44" s="1101"/>
      <c r="W44" s="1121"/>
      <c r="X44" s="999"/>
      <c r="Y44" s="1076"/>
      <c r="Z44" s="1076"/>
      <c r="AB44" s="999"/>
      <c r="AE44" s="1140"/>
      <c r="AF44" s="1140"/>
      <c r="AN44" s="999"/>
      <c r="AR44" s="1097"/>
      <c r="AT44" s="1141"/>
      <c r="AU44" s="1137"/>
      <c r="AV44" s="1137"/>
      <c r="AW44" s="1138"/>
      <c r="BD44" s="999"/>
      <c r="BE44" s="999"/>
      <c r="BF44" s="999"/>
      <c r="BG44" s="999"/>
      <c r="BH44" s="999"/>
      <c r="BI44" s="999"/>
      <c r="BJ44" s="999"/>
      <c r="BK44" s="999"/>
      <c r="BL44" s="999"/>
      <c r="BM44" s="999"/>
      <c r="BN44" s="999"/>
      <c r="BO44" s="999"/>
      <c r="BP44" s="999"/>
      <c r="BQ44" s="999"/>
      <c r="BR44" s="999"/>
      <c r="BS44" s="999"/>
      <c r="BT44" s="999"/>
      <c r="BU44" s="999"/>
      <c r="BV44" s="999"/>
      <c r="BW44" s="999"/>
      <c r="BX44" s="999"/>
      <c r="BY44" s="999"/>
      <c r="BZ44" s="999"/>
      <c r="CA44" s="1012"/>
      <c r="CB44" s="1097"/>
    </row>
    <row r="45" spans="1:80" x14ac:dyDescent="0.25">
      <c r="A45" s="1118"/>
      <c r="C45" s="999"/>
      <c r="D45" s="999"/>
      <c r="E45" s="999"/>
      <c r="F45" s="999"/>
      <c r="G45" s="999"/>
      <c r="H45" s="999"/>
      <c r="AN45" s="999"/>
      <c r="AR45" s="1097"/>
      <c r="AT45" s="1141"/>
      <c r="AU45" s="1137"/>
      <c r="AV45" s="1137"/>
      <c r="AW45" s="1138"/>
      <c r="BD45" s="999"/>
      <c r="BE45" s="999"/>
      <c r="BF45" s="999"/>
      <c r="BG45" s="999"/>
      <c r="BH45" s="999"/>
      <c r="BI45" s="999"/>
      <c r="BJ45" s="999"/>
      <c r="BK45" s="999"/>
      <c r="BL45" s="999"/>
      <c r="BM45" s="999"/>
      <c r="BN45" s="999"/>
      <c r="BO45" s="999"/>
      <c r="BP45" s="999"/>
      <c r="BQ45" s="999"/>
      <c r="BR45" s="999"/>
      <c r="BS45" s="999"/>
      <c r="BT45" s="999"/>
      <c r="BU45" s="999"/>
      <c r="BV45" s="999"/>
      <c r="BW45" s="999"/>
      <c r="BX45" s="999"/>
      <c r="BY45" s="999"/>
      <c r="BZ45" s="999"/>
      <c r="CA45" s="1012"/>
      <c r="CB45" s="1097"/>
    </row>
    <row r="46" spans="1:80" ht="19.5" thickBot="1" x14ac:dyDescent="0.3">
      <c r="A46" s="1118"/>
      <c r="H46" s="999"/>
      <c r="K46" s="999"/>
      <c r="L46" s="999"/>
      <c r="M46" s="1142"/>
      <c r="N46" s="1142"/>
      <c r="O46" s="1143"/>
      <c r="P46" s="1144"/>
      <c r="Q46" s="999"/>
      <c r="R46" s="1044"/>
      <c r="S46" s="1044"/>
      <c r="U46" s="999"/>
      <c r="AN46" s="999"/>
      <c r="AR46" s="1097"/>
      <c r="AT46" s="1141"/>
      <c r="AU46" s="1137"/>
      <c r="AV46" s="1137"/>
      <c r="AW46" s="1138"/>
      <c r="BC46" s="999"/>
      <c r="BD46" s="999"/>
      <c r="BE46" s="999"/>
      <c r="BF46" s="999"/>
      <c r="BG46" s="999"/>
      <c r="BH46" s="999"/>
      <c r="BI46" s="999"/>
      <c r="BJ46" s="999"/>
      <c r="BK46" s="999"/>
      <c r="BL46" s="999"/>
      <c r="BM46" s="999"/>
      <c r="BN46" s="999"/>
      <c r="BO46" s="999"/>
      <c r="BP46" s="999"/>
      <c r="BQ46" s="999"/>
      <c r="BR46" s="999"/>
      <c r="BS46" s="999"/>
      <c r="BW46" s="999"/>
      <c r="BX46" s="999"/>
      <c r="BY46" s="999"/>
      <c r="BZ46" s="999"/>
      <c r="CA46" s="1012"/>
      <c r="CB46" s="1097"/>
    </row>
    <row r="47" spans="1:80" x14ac:dyDescent="0.25">
      <c r="A47" s="1118"/>
      <c r="B47" s="999"/>
      <c r="C47" s="999"/>
      <c r="D47" s="999"/>
      <c r="E47" s="999"/>
      <c r="F47" s="999"/>
      <c r="G47" s="999"/>
      <c r="M47" s="1106"/>
      <c r="N47" s="1106"/>
      <c r="R47" s="1145"/>
      <c r="S47" s="1145"/>
      <c r="AN47" s="999"/>
      <c r="AR47" s="1097"/>
      <c r="AT47" s="1141"/>
      <c r="AU47" s="1137"/>
      <c r="AV47" s="1137"/>
      <c r="AW47" s="1138"/>
      <c r="BC47" s="999"/>
      <c r="BH47" s="999"/>
      <c r="BJ47" s="999"/>
      <c r="BK47" s="999"/>
      <c r="BL47" s="999"/>
      <c r="BM47" s="999"/>
      <c r="BN47" s="999"/>
      <c r="BO47" s="999"/>
      <c r="BP47" s="999"/>
      <c r="BQ47" s="999"/>
      <c r="BR47" s="999"/>
      <c r="BS47" s="999"/>
      <c r="BT47" s="999"/>
      <c r="BW47" s="999"/>
      <c r="BX47" s="999"/>
      <c r="BY47" s="999"/>
      <c r="BZ47" s="999"/>
      <c r="CA47" s="1012"/>
      <c r="CB47" s="1097"/>
    </row>
    <row r="48" spans="1:80" ht="16.5" thickBot="1" x14ac:dyDescent="0.3">
      <c r="A48" s="1118"/>
      <c r="B48" s="999"/>
      <c r="C48" s="999"/>
      <c r="D48" s="999"/>
      <c r="E48" s="999"/>
      <c r="F48" s="999"/>
      <c r="M48" s="1109"/>
      <c r="N48" s="1109"/>
      <c r="Q48" s="1112"/>
      <c r="R48" s="1123"/>
      <c r="S48" s="1123"/>
      <c r="Y48" s="1145"/>
      <c r="Z48" s="1145"/>
      <c r="AK48" s="1050"/>
      <c r="AL48" s="1050"/>
      <c r="AR48" s="1097"/>
      <c r="AT48" s="1141"/>
      <c r="AU48" s="1137"/>
      <c r="AV48" s="1137"/>
      <c r="AW48" s="1138"/>
      <c r="BH48" s="999"/>
      <c r="BJ48" s="999"/>
      <c r="BK48" s="999"/>
      <c r="BL48" s="999"/>
      <c r="BM48" s="999"/>
      <c r="BN48" s="999"/>
      <c r="BO48" s="999"/>
      <c r="BP48" s="999"/>
      <c r="BQ48" s="999"/>
      <c r="BR48" s="999"/>
      <c r="BS48" s="999"/>
      <c r="BT48" s="999"/>
      <c r="BW48" s="999"/>
      <c r="BX48" s="999"/>
      <c r="BY48" s="999"/>
      <c r="BZ48" s="999"/>
      <c r="CA48" s="1012"/>
    </row>
    <row r="49" spans="1:79" ht="18.75" x14ac:dyDescent="0.3">
      <c r="A49" s="1118"/>
      <c r="B49" s="999"/>
      <c r="C49" s="999"/>
      <c r="D49" s="999"/>
      <c r="E49" s="999"/>
      <c r="F49" s="999"/>
      <c r="M49" s="999"/>
      <c r="N49" s="999"/>
      <c r="O49" s="999"/>
      <c r="Q49" s="1114"/>
      <c r="R49" s="1055"/>
      <c r="S49" s="1055"/>
      <c r="T49" s="1054"/>
      <c r="X49" s="1112"/>
      <c r="Y49" s="1123"/>
      <c r="Z49" s="1123"/>
      <c r="AK49" s="1050"/>
      <c r="AL49" s="1050"/>
      <c r="AR49" s="1097"/>
      <c r="AT49" s="1141"/>
      <c r="AU49" s="1137"/>
      <c r="AV49" s="1137"/>
      <c r="AW49" s="1138"/>
      <c r="BH49" s="999"/>
      <c r="BJ49" s="999"/>
      <c r="BK49" s="999"/>
      <c r="BL49" s="999"/>
      <c r="BM49" s="999"/>
      <c r="BN49" s="999"/>
      <c r="BO49" s="999"/>
      <c r="BP49" s="999"/>
      <c r="BQ49" s="999"/>
      <c r="BR49" s="999"/>
      <c r="BS49" s="999"/>
      <c r="BT49" s="999"/>
      <c r="BW49" s="999"/>
      <c r="BX49" s="999"/>
      <c r="BY49" s="999"/>
      <c r="BZ49" s="999"/>
      <c r="CA49" s="1012"/>
    </row>
    <row r="50" spans="1:79" ht="18.75" x14ac:dyDescent="0.3">
      <c r="A50" s="1146"/>
      <c r="B50" s="1147"/>
      <c r="C50" s="1147"/>
      <c r="D50" s="1147"/>
      <c r="E50" s="1147"/>
      <c r="F50" s="999"/>
      <c r="I50" s="1148"/>
      <c r="J50" s="1148"/>
      <c r="L50" s="1112"/>
      <c r="M50" s="1149"/>
      <c r="N50" s="1149"/>
      <c r="O50" s="1150"/>
      <c r="Q50" s="1055"/>
      <c r="R50" s="1057">
        <v>3322501</v>
      </c>
      <c r="S50" s="1057">
        <v>3322476</v>
      </c>
      <c r="T50" s="1055"/>
      <c r="X50" s="1114"/>
      <c r="Y50" s="1079"/>
      <c r="Z50" s="1079"/>
      <c r="AA50" s="1054"/>
      <c r="AD50" s="1151"/>
      <c r="AE50" s="1152"/>
      <c r="AF50" s="1152"/>
      <c r="AR50" s="1097"/>
      <c r="AT50" s="1141"/>
      <c r="AU50" s="1137"/>
      <c r="AV50" s="1137"/>
      <c r="AW50" s="1138"/>
      <c r="BH50" s="999"/>
      <c r="BJ50" s="999"/>
      <c r="BK50" s="999"/>
      <c r="BL50" s="999"/>
      <c r="BM50" s="999"/>
      <c r="BN50" s="999"/>
      <c r="BO50" s="999"/>
      <c r="BP50" s="999"/>
      <c r="BQ50" s="999"/>
      <c r="BR50" s="999"/>
      <c r="BS50" s="999"/>
      <c r="BT50" s="999"/>
      <c r="BW50" s="999"/>
      <c r="BX50" s="999"/>
      <c r="BY50" s="999"/>
      <c r="BZ50" s="999"/>
      <c r="CA50" s="1012"/>
    </row>
    <row r="51" spans="1:79" ht="18.75" x14ac:dyDescent="0.3">
      <c r="A51" s="1146"/>
      <c r="B51" s="1147"/>
      <c r="C51" s="1147"/>
      <c r="D51" s="1147"/>
      <c r="E51" s="1147"/>
      <c r="F51" s="999"/>
      <c r="I51" s="1148"/>
      <c r="J51" s="1148"/>
      <c r="L51" s="1149"/>
      <c r="M51" s="1078"/>
      <c r="N51" s="1078"/>
      <c r="O51" s="1054"/>
      <c r="Q51" s="1055"/>
      <c r="R51" s="1057">
        <v>3322502</v>
      </c>
      <c r="S51" s="1057">
        <v>3322474</v>
      </c>
      <c r="T51" s="1055"/>
      <c r="W51" s="1123"/>
      <c r="X51" s="1079"/>
      <c r="Y51" s="1057">
        <v>3510171</v>
      </c>
      <c r="Z51" s="1057">
        <v>3513518</v>
      </c>
      <c r="AA51" s="1079"/>
      <c r="AB51" s="1123"/>
      <c r="AD51" s="1112"/>
      <c r="AE51" s="1153"/>
      <c r="AF51" s="1153"/>
      <c r="AR51" s="1097"/>
      <c r="AT51" s="1141"/>
      <c r="AU51" s="1137"/>
      <c r="AV51" s="1137"/>
      <c r="AW51" s="1138"/>
      <c r="BH51" s="999"/>
      <c r="BJ51" s="999"/>
      <c r="BK51" s="999"/>
      <c r="BL51" s="999"/>
      <c r="BM51" s="999"/>
      <c r="BN51" s="999"/>
      <c r="BO51" s="999"/>
      <c r="BP51" s="999"/>
      <c r="BQ51" s="999"/>
      <c r="BR51" s="999"/>
      <c r="BS51" s="999"/>
      <c r="BT51" s="999"/>
      <c r="BW51" s="999"/>
      <c r="BX51" s="999"/>
      <c r="BY51" s="999"/>
      <c r="BZ51" s="999"/>
      <c r="CA51" s="1012"/>
    </row>
    <row r="52" spans="1:79" ht="18.75" x14ac:dyDescent="0.3">
      <c r="A52" s="1146"/>
      <c r="B52" s="1147"/>
      <c r="C52" s="1147"/>
      <c r="D52" s="1147"/>
      <c r="E52" s="1147"/>
      <c r="F52" s="999"/>
      <c r="I52" s="1148"/>
      <c r="J52" s="1148"/>
      <c r="K52" s="1149"/>
      <c r="L52" s="1079"/>
      <c r="M52" s="1057">
        <v>3516484</v>
      </c>
      <c r="N52" s="1057">
        <v>3513205</v>
      </c>
      <c r="O52" s="1078"/>
      <c r="P52" s="1154"/>
      <c r="Q52" s="1055"/>
      <c r="R52" s="1057">
        <v>3322504</v>
      </c>
      <c r="S52" s="1057">
        <v>3322469</v>
      </c>
      <c r="T52" s="1055"/>
      <c r="W52" s="1123"/>
      <c r="X52" s="1079"/>
      <c r="Y52" s="1057">
        <v>3516478</v>
      </c>
      <c r="Z52" s="1057">
        <v>3513435</v>
      </c>
      <c r="AA52" s="1079"/>
      <c r="AB52" s="1123"/>
      <c r="AD52" s="1114"/>
      <c r="AE52" s="1078"/>
      <c r="AF52" s="1078"/>
      <c r="AG52" s="1054"/>
      <c r="AR52" s="1097"/>
      <c r="AT52" s="1141"/>
      <c r="AU52" s="1137"/>
      <c r="AV52" s="1137"/>
      <c r="AW52" s="1138"/>
      <c r="BH52" s="999"/>
      <c r="BJ52" s="999"/>
      <c r="BK52" s="999"/>
      <c r="BL52" s="999"/>
      <c r="BM52" s="999"/>
      <c r="BN52" s="999"/>
      <c r="BO52" s="999"/>
      <c r="BP52" s="999"/>
      <c r="BQ52" s="999"/>
      <c r="BR52" s="999"/>
      <c r="BS52" s="999"/>
      <c r="BT52" s="999"/>
      <c r="BW52" s="999"/>
      <c r="BX52" s="999"/>
      <c r="BY52" s="999"/>
      <c r="BZ52" s="999"/>
      <c r="CA52" s="1012"/>
    </row>
    <row r="53" spans="1:79" ht="18.75" x14ac:dyDescent="0.3">
      <c r="A53" s="1155" t="s">
        <v>239</v>
      </c>
      <c r="B53" s="1156"/>
      <c r="C53" s="1156"/>
      <c r="D53" s="1156"/>
      <c r="E53" s="1157"/>
      <c r="F53" s="999"/>
      <c r="I53" s="1148"/>
      <c r="J53" s="1148"/>
      <c r="K53" s="1149"/>
      <c r="L53" s="1078"/>
      <c r="M53" s="1057">
        <v>3506594</v>
      </c>
      <c r="N53" s="1057">
        <v>3506574</v>
      </c>
      <c r="O53" s="1078"/>
      <c r="P53" s="1154"/>
      <c r="Q53" s="1055"/>
      <c r="R53" s="1057">
        <v>3322507</v>
      </c>
      <c r="S53" s="1057">
        <v>3322467</v>
      </c>
      <c r="T53" s="1055"/>
      <c r="V53" s="999"/>
      <c r="W53" s="1123"/>
      <c r="X53" s="1079"/>
      <c r="Y53" s="1057">
        <v>3513343</v>
      </c>
      <c r="Z53" s="1057">
        <v>3513381</v>
      </c>
      <c r="AA53" s="1079"/>
      <c r="AB53" s="1123"/>
      <c r="AD53" s="1078"/>
      <c r="AE53" s="1057">
        <v>3506626</v>
      </c>
      <c r="AF53" s="1057">
        <v>3510954</v>
      </c>
      <c r="AG53" s="1078"/>
      <c r="AJ53" s="1151"/>
      <c r="AK53" s="1158"/>
      <c r="AL53" s="1158"/>
      <c r="AR53" s="1097"/>
      <c r="AT53" s="1141"/>
      <c r="AU53" s="1137"/>
      <c r="AV53" s="1137"/>
      <c r="AW53" s="1138"/>
      <c r="BJ53" s="999"/>
      <c r="BK53" s="999"/>
      <c r="BL53" s="999"/>
      <c r="BM53" s="999"/>
      <c r="BN53" s="999"/>
      <c r="BO53" s="999"/>
      <c r="BP53" s="999"/>
      <c r="BQ53" s="999"/>
      <c r="BR53" s="999"/>
      <c r="BS53" s="999"/>
      <c r="BT53" s="999"/>
      <c r="BW53" s="999"/>
      <c r="BX53" s="999"/>
      <c r="BY53" s="999"/>
      <c r="BZ53" s="999"/>
      <c r="CA53" s="1012"/>
    </row>
    <row r="54" spans="1:79" ht="18.75" x14ac:dyDescent="0.3">
      <c r="A54" s="1159"/>
      <c r="B54" s="1160"/>
      <c r="C54" s="1160"/>
      <c r="D54" s="1160"/>
      <c r="E54" s="1161"/>
      <c r="F54" s="1162"/>
      <c r="I54" s="1163"/>
      <c r="J54" s="1163"/>
      <c r="L54" s="1054"/>
      <c r="M54" s="1078"/>
      <c r="N54" s="1078"/>
      <c r="O54" s="1054"/>
      <c r="P54" s="1164"/>
      <c r="Q54" s="1054"/>
      <c r="R54" s="1055"/>
      <c r="S54" s="1055"/>
      <c r="T54" s="1054"/>
      <c r="V54" s="1025"/>
      <c r="W54" s="1123"/>
      <c r="X54" s="1079"/>
      <c r="Y54" s="1057">
        <v>3506424</v>
      </c>
      <c r="Z54" s="1057">
        <v>3514512</v>
      </c>
      <c r="AA54" s="1079"/>
      <c r="AB54" s="1123"/>
      <c r="AD54" s="1078"/>
      <c r="AE54" s="1057">
        <v>3514516</v>
      </c>
      <c r="AF54" s="1057">
        <v>3506028</v>
      </c>
      <c r="AG54" s="1078"/>
      <c r="AJ54" s="1112"/>
      <c r="AK54" s="1153"/>
      <c r="AL54" s="1153"/>
      <c r="AR54" s="1097"/>
      <c r="AT54" s="1141"/>
      <c r="AU54" s="1137"/>
      <c r="AV54" s="1137"/>
      <c r="AW54" s="1138"/>
      <c r="BC54" s="1165"/>
      <c r="BH54" s="999"/>
      <c r="BI54" s="999"/>
      <c r="BJ54" s="999"/>
      <c r="BK54" s="999"/>
      <c r="BL54" s="999"/>
      <c r="BM54" s="999"/>
      <c r="BN54" s="999"/>
      <c r="BO54" s="999"/>
      <c r="BP54" s="999"/>
      <c r="BQ54" s="999"/>
      <c r="BR54" s="999"/>
      <c r="BS54" s="999"/>
      <c r="BT54" s="999"/>
      <c r="BU54" s="999"/>
      <c r="BV54" s="999"/>
      <c r="BW54" s="999"/>
      <c r="BX54" s="999"/>
      <c r="BY54" s="999"/>
      <c r="BZ54" s="999"/>
      <c r="CA54" s="1012"/>
    </row>
    <row r="55" spans="1:79" ht="15.75" x14ac:dyDescent="0.25">
      <c r="A55" s="1159"/>
      <c r="B55" s="1160"/>
      <c r="C55" s="1160"/>
      <c r="D55" s="1160"/>
      <c r="E55" s="1161"/>
      <c r="F55" s="1162"/>
      <c r="M55" s="1149"/>
      <c r="N55" s="1149"/>
      <c r="R55" s="1054"/>
      <c r="S55" s="1054"/>
      <c r="V55" s="1025"/>
      <c r="X55" s="1054"/>
      <c r="Y55" s="1079"/>
      <c r="Z55" s="1079"/>
      <c r="AA55" s="1054"/>
      <c r="AD55" s="1054"/>
      <c r="AE55" s="1078"/>
      <c r="AF55" s="1078"/>
      <c r="AG55" s="1054"/>
      <c r="AJ55" s="1114"/>
      <c r="AK55" s="1078"/>
      <c r="AL55" s="1078"/>
      <c r="AM55" s="1054"/>
      <c r="AR55" s="1097"/>
      <c r="AT55" s="1141"/>
      <c r="AU55" s="1137"/>
      <c r="AV55" s="1137"/>
      <c r="AW55" s="1138"/>
      <c r="BC55" s="1165"/>
      <c r="BH55" s="999"/>
      <c r="BI55" s="999"/>
      <c r="BJ55" s="999"/>
      <c r="BK55" s="999"/>
      <c r="BL55" s="999"/>
      <c r="BM55" s="999"/>
      <c r="BN55" s="999"/>
      <c r="BO55" s="999"/>
      <c r="BP55" s="999"/>
      <c r="BQ55" s="999"/>
      <c r="BR55" s="999"/>
      <c r="BS55" s="999"/>
      <c r="BT55" s="999"/>
      <c r="BU55" s="999"/>
      <c r="BV55" s="999"/>
      <c r="BW55" s="999"/>
      <c r="BX55" s="999"/>
      <c r="BY55" s="999"/>
      <c r="BZ55" s="999"/>
      <c r="CA55" s="1012"/>
    </row>
    <row r="56" spans="1:79" ht="18" x14ac:dyDescent="0.25">
      <c r="A56" s="1159"/>
      <c r="B56" s="1160"/>
      <c r="C56" s="1160"/>
      <c r="D56" s="1160"/>
      <c r="E56" s="1161"/>
      <c r="F56" s="1162"/>
      <c r="Y56" s="1054"/>
      <c r="Z56" s="1054"/>
      <c r="AE56" s="1166"/>
      <c r="AF56" s="1166"/>
      <c r="AJ56" s="1078"/>
      <c r="AK56" s="1057">
        <v>3514068</v>
      </c>
      <c r="AL56" s="1057">
        <v>3514021</v>
      </c>
      <c r="AM56" s="1078"/>
      <c r="AR56" s="1097"/>
      <c r="AT56" s="1141"/>
      <c r="AU56" s="1137"/>
      <c r="AV56" s="1137"/>
      <c r="AW56" s="1138"/>
      <c r="BC56" s="999"/>
      <c r="BH56" s="999"/>
      <c r="BI56" s="999"/>
      <c r="BJ56" s="999"/>
      <c r="BK56" s="999"/>
      <c r="BL56" s="999"/>
      <c r="BM56" s="999"/>
      <c r="BN56" s="999"/>
      <c r="BO56" s="999"/>
      <c r="BP56" s="999"/>
      <c r="BQ56" s="999"/>
      <c r="BR56" s="999"/>
      <c r="BS56" s="999"/>
      <c r="BT56" s="999"/>
      <c r="BU56" s="999"/>
      <c r="BV56" s="999"/>
      <c r="BW56" s="999"/>
      <c r="BX56" s="999"/>
      <c r="BY56" s="999"/>
      <c r="BZ56" s="999"/>
      <c r="CA56" s="1012"/>
    </row>
    <row r="57" spans="1:79" ht="18" x14ac:dyDescent="0.25">
      <c r="A57" s="1159"/>
      <c r="B57" s="1160"/>
      <c r="C57" s="1160"/>
      <c r="D57" s="1160"/>
      <c r="E57" s="1161"/>
      <c r="F57" s="1162"/>
      <c r="V57" s="1025"/>
      <c r="W57" s="999"/>
      <c r="X57" s="999"/>
      <c r="AA57" s="999"/>
      <c r="AJ57" s="1078"/>
      <c r="AK57" s="1057">
        <v>3509900</v>
      </c>
      <c r="AL57" s="1057">
        <v>3513879</v>
      </c>
      <c r="AM57" s="1078"/>
      <c r="AR57" s="1097"/>
      <c r="AT57" s="1141"/>
      <c r="AU57" s="1137"/>
      <c r="AV57" s="1137"/>
      <c r="AW57" s="1138"/>
      <c r="BC57" s="999"/>
      <c r="BH57" s="999"/>
      <c r="BI57" s="999"/>
      <c r="BJ57" s="999"/>
      <c r="BK57" s="999"/>
      <c r="BL57" s="999"/>
      <c r="BM57" s="999"/>
      <c r="BN57" s="999"/>
      <c r="BO57" s="999"/>
      <c r="BP57" s="999"/>
      <c r="BQ57" s="999"/>
      <c r="BR57" s="999"/>
      <c r="BS57" s="999"/>
      <c r="BT57" s="999"/>
      <c r="BU57" s="999"/>
      <c r="BV57" s="999"/>
      <c r="BW57" s="999"/>
      <c r="BX57" s="999"/>
      <c r="BY57" s="999"/>
      <c r="BZ57" s="999"/>
      <c r="CA57" s="1012"/>
    </row>
    <row r="58" spans="1:79" ht="15.75" x14ac:dyDescent="0.25">
      <c r="A58" s="1159"/>
      <c r="B58" s="1160"/>
      <c r="C58" s="1160"/>
      <c r="D58" s="1160"/>
      <c r="E58" s="1161"/>
      <c r="F58" s="1148"/>
      <c r="I58" s="1075"/>
      <c r="J58" s="1075"/>
      <c r="L58" s="1167"/>
      <c r="M58" s="1167"/>
      <c r="N58" s="1167"/>
      <c r="O58" s="1167"/>
      <c r="P58" s="1031"/>
      <c r="Q58" s="1167"/>
      <c r="R58" s="1167"/>
      <c r="S58" s="1167"/>
      <c r="T58" s="1167"/>
      <c r="U58" s="999"/>
      <c r="V58" s="999"/>
      <c r="W58" s="999"/>
      <c r="X58" s="999"/>
      <c r="Y58" s="999"/>
      <c r="Z58" s="999"/>
      <c r="AA58" s="999"/>
      <c r="AJ58" s="1054"/>
      <c r="AK58" s="1078"/>
      <c r="AL58" s="1078"/>
      <c r="AM58" s="1054"/>
      <c r="AR58" s="1097"/>
      <c r="AT58" s="1141"/>
      <c r="AU58" s="1137"/>
      <c r="AV58" s="1137"/>
      <c r="AW58" s="1138"/>
      <c r="BD58" s="999"/>
      <c r="BE58" s="999"/>
      <c r="BF58" s="999"/>
      <c r="BG58" s="999"/>
      <c r="BH58" s="999"/>
      <c r="BI58" s="999"/>
      <c r="BJ58" s="999"/>
      <c r="BK58" s="999"/>
      <c r="BL58" s="999"/>
      <c r="BM58" s="999"/>
      <c r="BN58" s="999"/>
      <c r="BO58" s="999"/>
      <c r="BP58" s="999"/>
      <c r="BQ58" s="999"/>
      <c r="BR58" s="999"/>
      <c r="BS58" s="999"/>
      <c r="BT58" s="999"/>
      <c r="BU58" s="999"/>
      <c r="BV58" s="999"/>
      <c r="BW58" s="999"/>
      <c r="BX58" s="999"/>
      <c r="BY58" s="999"/>
      <c r="BZ58" s="999"/>
      <c r="CA58" s="1012"/>
    </row>
    <row r="59" spans="1:79" ht="21" x14ac:dyDescent="0.25">
      <c r="A59" s="1159"/>
      <c r="B59" s="1160"/>
      <c r="C59" s="1160"/>
      <c r="D59" s="1160"/>
      <c r="E59" s="1161"/>
      <c r="F59" s="1148"/>
      <c r="I59" s="1075"/>
      <c r="J59" s="1075"/>
      <c r="M59" s="1076"/>
      <c r="N59" s="1072"/>
      <c r="R59" s="1168"/>
      <c r="S59" s="1168"/>
      <c r="U59" s="999"/>
      <c r="V59" s="999"/>
      <c r="X59" s="1112"/>
      <c r="Y59" s="1149"/>
      <c r="Z59" s="1149"/>
      <c r="AA59" s="1150"/>
      <c r="AK59" s="1166"/>
      <c r="AL59" s="1166"/>
      <c r="AR59" s="1097"/>
      <c r="AT59" s="1141"/>
      <c r="AU59" s="1137"/>
      <c r="AV59" s="1137"/>
      <c r="AW59" s="1138"/>
      <c r="BD59" s="999"/>
      <c r="BE59" s="999"/>
      <c r="BF59" s="999"/>
      <c r="BG59" s="999"/>
      <c r="BH59" s="999"/>
      <c r="BI59" s="999"/>
      <c r="BJ59" s="999"/>
      <c r="BK59" s="999"/>
      <c r="BL59" s="999"/>
      <c r="BM59" s="999"/>
      <c r="BN59" s="999"/>
      <c r="BO59" s="999"/>
      <c r="BP59" s="999"/>
      <c r="BQ59" s="999"/>
      <c r="BR59" s="999"/>
      <c r="BS59" s="999"/>
      <c r="BT59" s="999"/>
      <c r="BU59" s="999"/>
      <c r="BV59" s="999"/>
      <c r="BW59" s="999"/>
      <c r="BX59" s="999"/>
      <c r="BY59" s="999"/>
      <c r="BZ59" s="999"/>
      <c r="CA59" s="1012"/>
    </row>
    <row r="60" spans="1:79" ht="21" x14ac:dyDescent="0.25">
      <c r="A60" s="1159"/>
      <c r="B60" s="1160"/>
      <c r="C60" s="1160"/>
      <c r="D60" s="1160"/>
      <c r="E60" s="1161"/>
      <c r="F60" s="1148"/>
      <c r="I60" s="1075"/>
      <c r="J60" s="1075"/>
      <c r="L60" s="1076"/>
      <c r="M60" s="1001"/>
      <c r="N60" s="1001"/>
      <c r="O60" s="1072"/>
      <c r="P60" s="1046"/>
      <c r="Q60" s="1168"/>
      <c r="R60" s="1001"/>
      <c r="S60" s="1001"/>
      <c r="T60" s="1168"/>
      <c r="U60" s="1048"/>
      <c r="V60" s="999"/>
      <c r="X60" s="1149"/>
      <c r="Y60" s="1078"/>
      <c r="Z60" s="1078"/>
      <c r="AA60" s="1054"/>
      <c r="AR60" s="1097"/>
      <c r="AT60" s="1141"/>
      <c r="AU60" s="1137"/>
      <c r="AV60" s="1137"/>
      <c r="AW60" s="1138"/>
      <c r="BD60" s="999"/>
      <c r="BE60" s="999"/>
      <c r="BF60" s="999"/>
      <c r="BG60" s="999"/>
      <c r="BH60" s="999"/>
      <c r="BI60" s="999"/>
      <c r="BJ60" s="999"/>
      <c r="BK60" s="999"/>
      <c r="BL60" s="999"/>
      <c r="BM60" s="999"/>
      <c r="BN60" s="999"/>
      <c r="BO60" s="999"/>
      <c r="BP60" s="999"/>
      <c r="BQ60" s="999"/>
      <c r="BR60" s="999"/>
      <c r="BS60" s="999"/>
      <c r="BT60" s="999"/>
      <c r="BU60" s="999"/>
      <c r="BV60" s="999"/>
      <c r="BW60" s="999"/>
      <c r="BX60" s="999"/>
      <c r="BY60" s="999"/>
      <c r="BZ60" s="999"/>
      <c r="CA60" s="1012"/>
    </row>
    <row r="61" spans="1:79" ht="21" x14ac:dyDescent="0.25">
      <c r="A61" s="1159"/>
      <c r="B61" s="1160"/>
      <c r="C61" s="1160"/>
      <c r="D61" s="1160"/>
      <c r="E61" s="1161"/>
      <c r="F61" s="1148"/>
      <c r="I61" s="1169"/>
      <c r="J61" s="1169"/>
      <c r="L61" s="1076"/>
      <c r="M61" s="1001"/>
      <c r="N61" s="1001"/>
      <c r="O61" s="1072"/>
      <c r="P61" s="1046"/>
      <c r="Q61" s="1168"/>
      <c r="R61" s="1001"/>
      <c r="S61" s="1001"/>
      <c r="T61" s="1168"/>
      <c r="U61" s="1048"/>
      <c r="V61" s="999"/>
      <c r="W61" s="1149"/>
      <c r="X61" s="1078"/>
      <c r="Y61" s="1057">
        <v>3503807</v>
      </c>
      <c r="Z61" s="1057">
        <v>3514167</v>
      </c>
      <c r="AA61" s="1078"/>
      <c r="AB61" s="1154"/>
      <c r="AE61" s="1170"/>
      <c r="AF61" s="1170"/>
      <c r="AR61" s="1097"/>
      <c r="AT61" s="1141"/>
      <c r="AU61" s="1137"/>
      <c r="AV61" s="1137"/>
      <c r="AW61" s="1138"/>
      <c r="BD61" s="999"/>
      <c r="BE61" s="999"/>
      <c r="BF61" s="999"/>
      <c r="BG61" s="999"/>
      <c r="BH61" s="999"/>
      <c r="BI61" s="999"/>
      <c r="BJ61" s="999"/>
      <c r="BK61" s="999"/>
      <c r="BL61" s="999"/>
      <c r="BM61" s="999"/>
      <c r="BN61" s="999"/>
      <c r="BO61" s="999"/>
      <c r="BP61" s="999"/>
      <c r="BQ61" s="999"/>
      <c r="BR61" s="999"/>
      <c r="BS61" s="999"/>
      <c r="BT61" s="999"/>
      <c r="BU61" s="999"/>
      <c r="BV61" s="999"/>
      <c r="BW61" s="999"/>
      <c r="BX61" s="999"/>
      <c r="BY61" s="999"/>
      <c r="BZ61" s="999"/>
      <c r="CA61" s="1012"/>
    </row>
    <row r="62" spans="1:79" ht="21" x14ac:dyDescent="0.25">
      <c r="A62" s="1159"/>
      <c r="B62" s="1160"/>
      <c r="C62" s="1160"/>
      <c r="D62" s="1160"/>
      <c r="E62" s="1161"/>
      <c r="F62" s="1162"/>
      <c r="L62" s="1076"/>
      <c r="M62" s="1001"/>
      <c r="N62" s="1001"/>
      <c r="O62" s="1072"/>
      <c r="P62" s="1046"/>
      <c r="Q62" s="1168"/>
      <c r="R62" s="1001"/>
      <c r="S62" s="1001"/>
      <c r="T62" s="1168"/>
      <c r="U62" s="1048"/>
      <c r="V62" s="999"/>
      <c r="W62" s="1149"/>
      <c r="X62" s="1078"/>
      <c r="Y62" s="1057">
        <v>3513548</v>
      </c>
      <c r="Z62" s="1057">
        <v>3514514</v>
      </c>
      <c r="AA62" s="1078"/>
      <c r="AB62" s="1154"/>
      <c r="AE62" s="1170"/>
      <c r="AF62" s="1170"/>
      <c r="AK62" s="1170"/>
      <c r="AL62" s="1170"/>
      <c r="AR62" s="1097"/>
      <c r="AT62" s="1141"/>
      <c r="AU62" s="1137"/>
      <c r="AV62" s="1137"/>
      <c r="AW62" s="1138"/>
      <c r="BD62" s="999"/>
      <c r="BE62" s="999"/>
      <c r="BF62" s="999"/>
      <c r="BG62" s="999"/>
      <c r="BH62" s="999"/>
      <c r="BI62" s="999"/>
      <c r="BJ62" s="999"/>
      <c r="BK62" s="999"/>
      <c r="BL62" s="999"/>
      <c r="BM62" s="999"/>
      <c r="BN62" s="999"/>
      <c r="BO62" s="999"/>
      <c r="BP62" s="999"/>
      <c r="BQ62" s="999"/>
      <c r="BR62" s="999"/>
      <c r="BS62" s="999"/>
      <c r="BT62" s="999"/>
      <c r="BU62" s="999"/>
      <c r="BV62" s="999"/>
      <c r="BW62" s="999"/>
      <c r="BX62" s="999"/>
      <c r="BY62" s="999"/>
      <c r="BZ62" s="999"/>
      <c r="CA62" s="1012"/>
    </row>
    <row r="63" spans="1:79" ht="21" x14ac:dyDescent="0.25">
      <c r="A63" s="1159"/>
      <c r="B63" s="1160"/>
      <c r="C63" s="1160"/>
      <c r="D63" s="1160"/>
      <c r="E63" s="1161"/>
      <c r="F63" s="1162"/>
      <c r="M63" s="1076"/>
      <c r="N63" s="1072"/>
      <c r="P63" s="1121"/>
      <c r="R63" s="1168"/>
      <c r="S63" s="1168"/>
      <c r="U63" s="999"/>
      <c r="V63" s="999"/>
      <c r="X63" s="1078"/>
      <c r="Y63" s="1057">
        <v>3514158</v>
      </c>
      <c r="Z63" s="1057">
        <v>3514513</v>
      </c>
      <c r="AA63" s="1078"/>
      <c r="AB63" s="999"/>
      <c r="AC63" s="999"/>
      <c r="AE63" s="1170"/>
      <c r="AF63" s="1170"/>
      <c r="AK63" s="1170"/>
      <c r="AL63" s="1170"/>
      <c r="AR63" s="1097"/>
      <c r="AT63" s="1141"/>
      <c r="AU63" s="1137"/>
      <c r="AV63" s="1137"/>
      <c r="AW63" s="1138"/>
      <c r="BD63" s="999"/>
      <c r="BE63" s="999"/>
      <c r="BF63" s="999"/>
      <c r="BG63" s="999"/>
      <c r="BH63" s="999"/>
      <c r="BI63" s="999"/>
      <c r="BJ63" s="999"/>
      <c r="BK63" s="999"/>
      <c r="BL63" s="999"/>
      <c r="BM63" s="999"/>
      <c r="BN63" s="999"/>
      <c r="BO63" s="999"/>
      <c r="BP63" s="999"/>
      <c r="BQ63" s="999"/>
      <c r="BR63" s="999"/>
      <c r="BS63" s="999"/>
      <c r="BT63" s="999"/>
      <c r="BU63" s="999"/>
      <c r="BV63" s="999"/>
      <c r="BW63" s="999"/>
      <c r="BX63" s="999"/>
      <c r="BY63" s="999"/>
      <c r="BZ63" s="999"/>
      <c r="CA63" s="1012"/>
    </row>
    <row r="64" spans="1:79" ht="15.75" x14ac:dyDescent="0.25">
      <c r="A64" s="1159"/>
      <c r="B64" s="1160"/>
      <c r="C64" s="1160"/>
      <c r="D64" s="1160"/>
      <c r="E64" s="1161"/>
      <c r="F64" s="1162"/>
      <c r="G64" s="1171"/>
      <c r="P64" s="999"/>
      <c r="Q64" s="999"/>
      <c r="U64" s="999"/>
      <c r="V64" s="999"/>
      <c r="X64" s="1149"/>
      <c r="Y64" s="1078"/>
      <c r="Z64" s="1078"/>
      <c r="AA64" s="1149"/>
      <c r="AC64" s="999"/>
      <c r="AI64" s="999"/>
      <c r="AR64" s="1097"/>
      <c r="AT64" s="1141"/>
      <c r="AU64" s="1137"/>
      <c r="AV64" s="1137"/>
      <c r="AW64" s="1138"/>
      <c r="BD64" s="999"/>
      <c r="BE64" s="999"/>
      <c r="BF64" s="999"/>
      <c r="BG64" s="999"/>
      <c r="BH64" s="999"/>
      <c r="BI64" s="999"/>
      <c r="BJ64" s="999"/>
      <c r="BK64" s="999"/>
      <c r="BL64" s="999"/>
      <c r="BM64" s="999"/>
      <c r="BN64" s="999"/>
      <c r="BO64" s="999"/>
      <c r="BP64" s="999"/>
      <c r="BQ64" s="999"/>
      <c r="BR64" s="999"/>
      <c r="BS64" s="999"/>
      <c r="BT64" s="999"/>
      <c r="BU64" s="999"/>
      <c r="BV64" s="999"/>
      <c r="BW64" s="999"/>
      <c r="BX64" s="999"/>
      <c r="BY64" s="999"/>
      <c r="BZ64" s="999"/>
      <c r="CA64" s="1012"/>
    </row>
    <row r="65" spans="1:79" ht="15.75" x14ac:dyDescent="0.25">
      <c r="A65" s="1159"/>
      <c r="B65" s="1160"/>
      <c r="C65" s="1160"/>
      <c r="D65" s="1160"/>
      <c r="E65" s="1161"/>
      <c r="F65" s="1162"/>
      <c r="G65" s="1171"/>
      <c r="H65" s="1171"/>
      <c r="I65" s="1171"/>
      <c r="J65" s="1171"/>
      <c r="K65" s="1171"/>
      <c r="M65" s="999"/>
      <c r="N65" s="999"/>
      <c r="P65" s="999"/>
      <c r="Q65" s="999"/>
      <c r="U65" s="999"/>
      <c r="V65" s="999"/>
      <c r="W65" s="999"/>
      <c r="X65" s="999"/>
      <c r="Y65" s="1149"/>
      <c r="Z65" s="1149"/>
      <c r="AA65" s="999"/>
      <c r="AB65" s="999"/>
      <c r="AC65" s="999"/>
      <c r="AD65" s="999"/>
      <c r="AH65" s="999"/>
      <c r="AI65" s="999"/>
      <c r="AR65" s="1097"/>
      <c r="AT65" s="1141"/>
      <c r="AU65" s="1137"/>
      <c r="AV65" s="1137"/>
      <c r="AW65" s="1138"/>
      <c r="BD65" s="999"/>
      <c r="BE65" s="999"/>
      <c r="BF65" s="999"/>
      <c r="BG65" s="999"/>
      <c r="BH65" s="999"/>
      <c r="BI65" s="999"/>
      <c r="BJ65" s="999"/>
      <c r="BK65" s="999"/>
      <c r="BL65" s="999"/>
      <c r="BM65" s="999"/>
      <c r="BN65" s="999"/>
      <c r="BO65" s="999"/>
      <c r="BP65" s="999"/>
      <c r="BQ65" s="999"/>
      <c r="BR65" s="999"/>
      <c r="BS65" s="999"/>
      <c r="BT65" s="999"/>
      <c r="BU65" s="999"/>
      <c r="BV65" s="999"/>
      <c r="BW65" s="999"/>
      <c r="BX65" s="999"/>
      <c r="BY65" s="999"/>
      <c r="BZ65" s="999"/>
      <c r="CA65" s="1012"/>
    </row>
    <row r="66" spans="1:79" ht="15.75" x14ac:dyDescent="0.25">
      <c r="A66" s="1159"/>
      <c r="B66" s="1160"/>
      <c r="C66" s="1160"/>
      <c r="D66" s="1160"/>
      <c r="E66" s="1161"/>
      <c r="F66" s="1162"/>
      <c r="G66" s="999"/>
      <c r="H66" s="999"/>
      <c r="I66" s="999"/>
      <c r="J66" s="999"/>
      <c r="K66" s="999"/>
      <c r="L66" s="999"/>
      <c r="R66" s="999"/>
      <c r="S66" s="999"/>
      <c r="T66" s="999"/>
      <c r="U66" s="999"/>
      <c r="V66" s="999"/>
      <c r="W66" s="999"/>
      <c r="X66" s="999"/>
      <c r="Y66" s="999"/>
      <c r="Z66" s="999"/>
      <c r="AA66" s="999"/>
      <c r="AB66" s="999"/>
      <c r="AC66" s="999"/>
      <c r="AD66" s="999"/>
      <c r="AH66" s="999"/>
      <c r="AI66" s="999"/>
      <c r="AJ66" s="999"/>
      <c r="AK66" s="999"/>
      <c r="AR66" s="1097"/>
      <c r="AT66" s="1141"/>
      <c r="AU66" s="1137"/>
      <c r="AV66" s="1137"/>
      <c r="AW66" s="1138"/>
      <c r="BD66" s="999"/>
      <c r="BE66" s="999"/>
      <c r="BF66" s="999"/>
      <c r="BG66" s="999"/>
      <c r="BH66" s="999"/>
      <c r="BI66" s="999"/>
      <c r="BJ66" s="999"/>
      <c r="BK66" s="999"/>
      <c r="BL66" s="999"/>
      <c r="BM66" s="999"/>
      <c r="BN66" s="999"/>
      <c r="BO66" s="999"/>
      <c r="BP66" s="999"/>
      <c r="BQ66" s="999"/>
      <c r="BR66" s="999"/>
      <c r="BS66" s="999"/>
      <c r="BT66" s="999"/>
      <c r="BU66" s="999"/>
      <c r="BV66" s="999"/>
      <c r="BW66" s="999"/>
      <c r="BX66" s="999"/>
      <c r="BY66" s="999"/>
      <c r="BZ66" s="999"/>
      <c r="CA66" s="1012"/>
    </row>
    <row r="67" spans="1:79" ht="15.75" x14ac:dyDescent="0.25">
      <c r="A67" s="1159"/>
      <c r="B67" s="1160"/>
      <c r="C67" s="1160"/>
      <c r="D67" s="1160"/>
      <c r="E67" s="1161"/>
      <c r="F67" s="1162"/>
      <c r="J67" s="999"/>
      <c r="L67" s="999"/>
      <c r="M67" s="1172"/>
      <c r="N67" s="1172"/>
      <c r="O67" s="1172"/>
      <c r="P67" s="1172"/>
      <c r="Q67" s="1172"/>
      <c r="R67" s="999"/>
      <c r="S67" s="999"/>
      <c r="T67" s="999"/>
      <c r="U67" s="999"/>
      <c r="V67" s="999"/>
      <c r="W67" s="999"/>
      <c r="X67" s="999"/>
      <c r="Y67" s="999"/>
      <c r="Z67" s="999"/>
      <c r="AA67" s="999"/>
      <c r="AB67" s="999"/>
      <c r="AC67" s="999"/>
      <c r="AD67" s="999"/>
      <c r="AE67" s="999"/>
      <c r="AF67" s="999"/>
      <c r="AG67" s="999"/>
      <c r="AH67" s="999"/>
      <c r="AI67" s="999"/>
      <c r="AJ67" s="999"/>
      <c r="AK67" s="999"/>
      <c r="AL67" s="999"/>
      <c r="AM67" s="999"/>
      <c r="AN67" s="999"/>
      <c r="AR67" s="1097"/>
      <c r="AT67" s="1141"/>
      <c r="AU67" s="1137"/>
      <c r="AV67" s="1137"/>
      <c r="AW67" s="1138"/>
      <c r="BD67" s="999"/>
      <c r="BE67" s="999"/>
      <c r="BF67" s="999"/>
      <c r="BG67" s="999"/>
      <c r="BH67" s="999"/>
      <c r="BI67" s="999"/>
      <c r="BJ67" s="999"/>
      <c r="BK67" s="999"/>
      <c r="BL67" s="999"/>
      <c r="BM67" s="999"/>
      <c r="BN67" s="999"/>
      <c r="BO67" s="999"/>
      <c r="BP67" s="999"/>
      <c r="BQ67" s="999"/>
      <c r="BR67" s="999"/>
      <c r="BS67" s="999"/>
      <c r="BT67" s="999"/>
      <c r="BU67" s="999"/>
      <c r="BV67" s="999"/>
      <c r="BW67" s="999"/>
      <c r="BX67" s="999"/>
      <c r="BY67" s="999"/>
      <c r="BZ67" s="999"/>
      <c r="CA67" s="1012"/>
    </row>
    <row r="68" spans="1:79" x14ac:dyDescent="0.25">
      <c r="A68" s="1159"/>
      <c r="B68" s="1160"/>
      <c r="C68" s="1160"/>
      <c r="D68" s="1160"/>
      <c r="E68" s="1161"/>
      <c r="F68" s="999"/>
      <c r="J68" s="1173"/>
      <c r="M68" s="1025"/>
      <c r="N68" s="1025"/>
      <c r="O68" s="1025"/>
      <c r="P68" s="1025"/>
      <c r="Q68" s="999"/>
      <c r="R68" s="999"/>
      <c r="S68" s="999"/>
      <c r="T68" s="999"/>
      <c r="U68" s="999"/>
      <c r="V68" s="999"/>
      <c r="W68" s="999"/>
      <c r="X68" s="999"/>
      <c r="Y68" s="999"/>
      <c r="Z68" s="999"/>
      <c r="AA68" s="999"/>
      <c r="AB68" s="999"/>
      <c r="AC68" s="999"/>
      <c r="AD68" s="999"/>
      <c r="AE68" s="999"/>
      <c r="AF68" s="999"/>
      <c r="AG68" s="999"/>
      <c r="AH68" s="999"/>
      <c r="AI68" s="999"/>
      <c r="AJ68" s="999"/>
      <c r="AK68" s="999"/>
      <c r="AL68" s="999"/>
      <c r="AM68" s="999"/>
      <c r="AN68" s="999"/>
      <c r="AR68" s="1097"/>
      <c r="AT68" s="1141"/>
      <c r="AU68" s="1137"/>
      <c r="AV68" s="1137"/>
      <c r="AW68" s="1138"/>
      <c r="BD68" s="999"/>
      <c r="BE68" s="999"/>
      <c r="BF68" s="999"/>
      <c r="BG68" s="999"/>
      <c r="BH68" s="999"/>
      <c r="BI68" s="999"/>
      <c r="BJ68" s="999"/>
      <c r="BK68" s="999"/>
      <c r="BL68" s="999"/>
      <c r="BM68" s="999"/>
      <c r="BN68" s="999"/>
      <c r="BO68" s="999"/>
      <c r="BP68" s="999"/>
      <c r="BQ68" s="999"/>
      <c r="BR68" s="999"/>
      <c r="BS68" s="999"/>
      <c r="BT68" s="999"/>
      <c r="BU68" s="999"/>
      <c r="BV68" s="999"/>
      <c r="BW68" s="999"/>
      <c r="BX68" s="999"/>
      <c r="BY68" s="999"/>
      <c r="BZ68" s="999"/>
      <c r="CA68" s="1012"/>
    </row>
    <row r="69" spans="1:79" ht="23.25" x14ac:dyDescent="0.25">
      <c r="A69" s="1159"/>
      <c r="B69" s="1160"/>
      <c r="C69" s="1160"/>
      <c r="D69" s="1160"/>
      <c r="E69" s="1161"/>
      <c r="F69" s="1174"/>
      <c r="G69" s="1175"/>
      <c r="H69" s="1175"/>
      <c r="I69" s="1175"/>
      <c r="J69" s="1175"/>
      <c r="K69" s="1175"/>
      <c r="L69" s="1015"/>
      <c r="M69" s="1016"/>
      <c r="N69" s="1016"/>
      <c r="O69" s="1016"/>
      <c r="P69" s="1016"/>
      <c r="Q69" s="1016"/>
      <c r="R69" s="999"/>
      <c r="S69" s="999"/>
      <c r="T69" s="999"/>
      <c r="U69" s="999"/>
      <c r="V69" s="999"/>
      <c r="W69" s="999"/>
      <c r="X69" s="999"/>
      <c r="Y69" s="999"/>
      <c r="Z69" s="999"/>
      <c r="AA69" s="999"/>
      <c r="AB69" s="999"/>
      <c r="AC69" s="999"/>
      <c r="AD69" s="999"/>
      <c r="AE69" s="999"/>
      <c r="AF69" s="999"/>
      <c r="AG69" s="1000"/>
      <c r="AH69" s="1000"/>
      <c r="AI69" s="1000"/>
      <c r="AJ69" s="1000"/>
      <c r="AK69" s="999"/>
      <c r="AL69" s="999"/>
      <c r="AM69" s="999"/>
      <c r="AN69" s="999"/>
      <c r="AR69" s="1097"/>
      <c r="AT69" s="1141"/>
      <c r="AU69" s="1137"/>
      <c r="AV69" s="1137"/>
      <c r="AW69" s="1138"/>
      <c r="BD69" s="999"/>
      <c r="BE69" s="999"/>
      <c r="BF69" s="999"/>
      <c r="BG69" s="999"/>
      <c r="BH69" s="999"/>
      <c r="BI69" s="999"/>
      <c r="BJ69" s="999"/>
      <c r="BK69" s="999"/>
      <c r="BL69" s="999"/>
      <c r="BM69" s="999"/>
      <c r="BN69" s="999"/>
      <c r="BO69" s="999"/>
      <c r="BP69" s="999"/>
      <c r="BQ69" s="999"/>
      <c r="BR69" s="999"/>
      <c r="BS69" s="999"/>
      <c r="BT69" s="999"/>
      <c r="BU69" s="999"/>
      <c r="BV69" s="999"/>
      <c r="BW69" s="999"/>
      <c r="BX69" s="999"/>
      <c r="BY69" s="999"/>
      <c r="BZ69" s="999"/>
      <c r="CA69" s="1012"/>
    </row>
    <row r="70" spans="1:79" ht="24" thickBot="1" x14ac:dyDescent="0.3">
      <c r="A70" s="1176"/>
      <c r="B70" s="1177"/>
      <c r="C70" s="1177"/>
      <c r="D70" s="1177"/>
      <c r="E70" s="1161"/>
      <c r="F70" s="1178"/>
      <c r="G70" s="1178"/>
      <c r="H70" s="1178"/>
      <c r="I70" s="1178"/>
      <c r="J70" s="1178"/>
      <c r="K70" s="1178"/>
      <c r="L70" s="1179"/>
      <c r="M70" s="1180"/>
      <c r="N70" s="1180"/>
      <c r="O70" s="1180"/>
      <c r="P70" s="1180"/>
      <c r="Q70" s="1180"/>
      <c r="R70" s="1016"/>
      <c r="S70" s="1148"/>
      <c r="T70" s="1148"/>
      <c r="U70" s="1148"/>
      <c r="V70" s="1148"/>
      <c r="W70" s="1013"/>
      <c r="X70" s="999"/>
      <c r="Y70" s="999"/>
      <c r="Z70" s="999"/>
      <c r="AA70" s="999"/>
      <c r="AB70" s="999"/>
      <c r="AC70" s="999"/>
      <c r="AD70" s="999"/>
      <c r="AE70" s="999"/>
      <c r="AF70" s="1000"/>
      <c r="AG70" s="1180"/>
      <c r="AH70" s="1180"/>
      <c r="AI70" s="1180"/>
      <c r="AJ70" s="1180"/>
      <c r="AK70" s="1000"/>
      <c r="AL70" s="999"/>
      <c r="AM70" s="999"/>
      <c r="AN70" s="999"/>
      <c r="AO70" s="999"/>
      <c r="AP70" s="999"/>
      <c r="AQ70" s="999"/>
      <c r="AR70" s="1181"/>
      <c r="AS70" s="999"/>
      <c r="AT70" s="1141"/>
      <c r="AU70" s="1137"/>
      <c r="AV70" s="1182"/>
      <c r="AW70" s="1183"/>
      <c r="AX70" s="1184"/>
      <c r="AY70" s="1184"/>
      <c r="AZ70" s="1184"/>
      <c r="BA70" s="1184"/>
      <c r="BB70" s="1184"/>
      <c r="BC70" s="1184"/>
      <c r="BD70" s="1185"/>
      <c r="BE70" s="1185"/>
      <c r="BF70" s="1185"/>
      <c r="BG70" s="1185"/>
      <c r="BH70" s="1185"/>
      <c r="BI70" s="1185"/>
      <c r="BJ70" s="1185"/>
      <c r="BK70" s="1185"/>
      <c r="BL70" s="1185"/>
      <c r="BM70" s="1185"/>
      <c r="BN70" s="1185"/>
      <c r="BO70" s="1185"/>
      <c r="BP70" s="1185"/>
      <c r="BQ70" s="1185"/>
      <c r="BR70" s="1185"/>
      <c r="BS70" s="1185"/>
      <c r="BT70" s="1185"/>
      <c r="BU70" s="1185"/>
      <c r="BV70" s="1185"/>
      <c r="BW70" s="1185"/>
      <c r="BX70" s="1185"/>
      <c r="BY70" s="1185"/>
      <c r="BZ70" s="1185"/>
      <c r="CA70" s="1186"/>
    </row>
    <row r="71" spans="1:79" x14ac:dyDescent="0.25">
      <c r="E71" s="1135"/>
      <c r="F71" s="1135"/>
      <c r="G71" s="1135"/>
      <c r="H71" s="1135"/>
      <c r="I71" s="1135"/>
      <c r="J71" s="1135"/>
      <c r="K71" s="1135"/>
      <c r="L71" s="1135"/>
      <c r="M71" s="1135"/>
      <c r="N71" s="1135"/>
      <c r="O71" s="1135"/>
      <c r="P71" s="1135"/>
      <c r="Q71" s="1135"/>
      <c r="R71" s="1135"/>
      <c r="S71" s="1135"/>
      <c r="T71" s="1135"/>
      <c r="U71" s="1135"/>
      <c r="V71" s="1135"/>
      <c r="W71" s="1135"/>
      <c r="X71" s="1135"/>
      <c r="Y71" s="1135"/>
      <c r="Z71" s="1135"/>
      <c r="AA71" s="1135"/>
      <c r="AB71" s="1135"/>
      <c r="AC71" s="1135"/>
      <c r="AD71" s="1135"/>
      <c r="AE71" s="1135"/>
      <c r="AF71" s="1135"/>
      <c r="AG71" s="1135"/>
      <c r="AH71" s="1135"/>
      <c r="AI71" s="1135"/>
      <c r="AJ71" s="1135"/>
      <c r="AK71" s="1135"/>
      <c r="AL71" s="1135"/>
      <c r="AM71" s="1135"/>
      <c r="AN71" s="1135"/>
      <c r="AO71" s="1135"/>
      <c r="AP71" s="1135"/>
      <c r="AQ71" s="1135"/>
      <c r="AR71" s="1135"/>
      <c r="AS71" s="1135"/>
      <c r="AT71" s="1135"/>
      <c r="AU71" s="1135"/>
    </row>
    <row r="74" spans="1:79" x14ac:dyDescent="0.25">
      <c r="M74" s="1069"/>
    </row>
    <row r="75" spans="1:79" x14ac:dyDescent="0.25">
      <c r="M75" s="1069"/>
    </row>
    <row r="76" spans="1:79" x14ac:dyDescent="0.25">
      <c r="M76" s="1069"/>
    </row>
    <row r="81" spans="13:13" x14ac:dyDescent="0.25">
      <c r="M81" s="1069"/>
    </row>
    <row r="82" spans="13:13" x14ac:dyDescent="0.25">
      <c r="M82" s="1069"/>
    </row>
    <row r="83" spans="13:13" x14ac:dyDescent="0.25">
      <c r="M83" s="1069"/>
    </row>
  </sheetData>
  <mergeCells count="56">
    <mergeCell ref="A53:E70"/>
    <mergeCell ref="AK53:AL53"/>
    <mergeCell ref="I54:J54"/>
    <mergeCell ref="L58:O58"/>
    <mergeCell ref="Q58:T58"/>
    <mergeCell ref="I61:J61"/>
    <mergeCell ref="M67:O67"/>
    <mergeCell ref="P67:Q67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R33:S33"/>
    <mergeCell ref="AT36:AW36"/>
    <mergeCell ref="AY36:BB36"/>
    <mergeCell ref="BD36:BG36"/>
    <mergeCell ref="M39:N39"/>
    <mergeCell ref="AX39:BB39"/>
    <mergeCell ref="BE39:BI39"/>
    <mergeCell ref="BW8:BY8"/>
    <mergeCell ref="BP21:BQ21"/>
    <mergeCell ref="A23:E23"/>
    <mergeCell ref="A24:B35"/>
    <mergeCell ref="C24:E31"/>
    <mergeCell ref="AE27:AF27"/>
    <mergeCell ref="BJ28:BJ29"/>
    <mergeCell ref="AE34:AF34"/>
    <mergeCell ref="Y16:Z16"/>
    <mergeCell ref="AJ17:AK17"/>
    <mergeCell ref="I19:J19"/>
    <mergeCell ref="AN20:AN26"/>
    <mergeCell ref="BK28:BK29"/>
    <mergeCell ref="BW28:BY28"/>
    <mergeCell ref="M29:M30"/>
    <mergeCell ref="N29:N30"/>
    <mergeCell ref="Y14:Z14"/>
    <mergeCell ref="BK14:BL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BS6:BW6"/>
    <mergeCell ref="AP7:AR7"/>
    <mergeCell ref="AZ7:BA7"/>
    <mergeCell ref="E8:G9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CB468"/>
  <sheetViews>
    <sheetView topLeftCell="J25" zoomScale="55" zoomScaleNormal="55" workbookViewId="0">
      <selection activeCell="U62" sqref="U62"/>
    </sheetView>
  </sheetViews>
  <sheetFormatPr baseColWidth="10" defaultColWidth="16.7109375" defaultRowHeight="15" x14ac:dyDescent="0.25"/>
  <sheetData>
    <row r="1" spans="1:79" ht="47.25" thickBot="1" x14ac:dyDescent="0.3">
      <c r="A1" s="694" t="s">
        <v>150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695"/>
      <c r="AU1" s="695"/>
      <c r="AV1" s="695"/>
      <c r="AW1" s="695"/>
      <c r="AX1" s="695"/>
      <c r="AY1" s="695"/>
      <c r="AZ1" s="695"/>
      <c r="BA1" s="695"/>
      <c r="BB1" s="695"/>
      <c r="BC1" s="695"/>
      <c r="BD1" s="695"/>
      <c r="BE1" s="695"/>
      <c r="BF1" s="695"/>
      <c r="BG1" s="695"/>
      <c r="BH1" s="695"/>
      <c r="BI1" s="695"/>
      <c r="BJ1" s="695"/>
      <c r="BK1" s="695"/>
      <c r="BL1" s="695"/>
      <c r="BM1" s="695"/>
      <c r="BN1" s="695"/>
      <c r="BO1" s="695"/>
      <c r="BP1" s="695"/>
      <c r="BQ1" s="695"/>
      <c r="BR1" s="695"/>
      <c r="BS1" s="695"/>
      <c r="BT1" s="695"/>
      <c r="BU1" s="695"/>
      <c r="BV1" s="695"/>
      <c r="BW1" s="695"/>
      <c r="BX1" s="695"/>
      <c r="BY1" s="695"/>
      <c r="BZ1" s="695"/>
      <c r="CA1" s="696"/>
    </row>
    <row r="2" spans="1:79" ht="15.75" thickBot="1" x14ac:dyDescent="0.3">
      <c r="A2" s="697" t="s">
        <v>151</v>
      </c>
      <c r="B2" s="698"/>
      <c r="C2" s="698"/>
      <c r="D2" s="698"/>
      <c r="E2" s="698"/>
      <c r="F2" s="698"/>
      <c r="G2" s="698"/>
      <c r="H2" s="698"/>
      <c r="I2" s="698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699"/>
      <c r="AK2" s="699"/>
      <c r="AL2" s="699"/>
      <c r="AM2" s="699"/>
      <c r="AN2" s="699"/>
      <c r="AO2" s="699"/>
      <c r="AP2" s="699"/>
      <c r="AQ2" s="699"/>
      <c r="AR2" s="699"/>
      <c r="AS2" s="699"/>
      <c r="AT2" s="699"/>
      <c r="AU2" s="699"/>
      <c r="AV2" s="699"/>
      <c r="AW2" s="699"/>
      <c r="AX2" s="699"/>
      <c r="AY2" s="699"/>
      <c r="AZ2" s="699"/>
      <c r="BA2" s="699"/>
      <c r="BB2" s="699"/>
      <c r="BC2" s="699"/>
      <c r="BD2" s="699"/>
      <c r="BE2" s="699"/>
      <c r="BF2" s="699"/>
      <c r="BG2" s="699"/>
      <c r="BH2" s="699"/>
      <c r="BI2" s="699"/>
      <c r="BJ2" s="699"/>
      <c r="BK2" s="699"/>
      <c r="BL2" s="699"/>
      <c r="BM2" s="699"/>
      <c r="BN2" s="699"/>
      <c r="BO2" s="699"/>
      <c r="BP2" s="699"/>
      <c r="BQ2" s="699"/>
      <c r="BR2" s="699"/>
      <c r="BS2" s="699"/>
      <c r="BT2" s="699"/>
      <c r="BU2" s="699"/>
      <c r="BV2" s="699"/>
      <c r="BW2" s="699"/>
      <c r="BX2" s="699"/>
      <c r="BY2" s="699"/>
      <c r="BZ2" s="699"/>
      <c r="CA2" s="700"/>
    </row>
    <row r="3" spans="1:79" ht="15" customHeight="1" x14ac:dyDescent="0.25">
      <c r="A3" s="29"/>
      <c r="B3" s="30"/>
      <c r="C3" s="30"/>
      <c r="D3" s="30"/>
      <c r="E3" s="30"/>
      <c r="F3" s="30"/>
      <c r="G3" s="30"/>
      <c r="H3" s="30"/>
      <c r="I3" s="31"/>
      <c r="J3" s="32"/>
      <c r="K3" s="33"/>
      <c r="L3" s="34" t="s">
        <v>152</v>
      </c>
      <c r="M3" s="33"/>
      <c r="N3" s="34" t="s">
        <v>152</v>
      </c>
      <c r="O3" s="33"/>
      <c r="P3" s="34" t="s">
        <v>152</v>
      </c>
      <c r="Q3" s="33"/>
      <c r="R3" s="32"/>
      <c r="S3" s="32"/>
      <c r="T3" s="32"/>
      <c r="U3" s="32"/>
      <c r="V3" s="701" t="s">
        <v>153</v>
      </c>
      <c r="W3" s="702"/>
      <c r="X3" s="702"/>
      <c r="Y3" s="702"/>
      <c r="Z3" s="702"/>
      <c r="AA3" s="702"/>
      <c r="AB3" s="702"/>
      <c r="AC3" s="702"/>
      <c r="AD3" s="702"/>
      <c r="AE3" s="702"/>
      <c r="AF3" s="702"/>
      <c r="AG3" s="703"/>
      <c r="AH3" s="32"/>
      <c r="AI3" s="32"/>
      <c r="AJ3" s="32"/>
      <c r="AO3" s="35" t="s">
        <v>154</v>
      </c>
      <c r="AP3" s="35" t="s">
        <v>154</v>
      </c>
      <c r="AQ3" s="35" t="s">
        <v>154</v>
      </c>
      <c r="AR3" s="35" t="s">
        <v>154</v>
      </c>
      <c r="AV3" s="36" t="s">
        <v>155</v>
      </c>
      <c r="AW3" s="36" t="s">
        <v>155</v>
      </c>
      <c r="AX3" s="36" t="s">
        <v>155</v>
      </c>
      <c r="AY3" s="36" t="s">
        <v>155</v>
      </c>
      <c r="BA3" s="710" t="s">
        <v>156</v>
      </c>
      <c r="BB3" s="711"/>
      <c r="BE3" s="36" t="s">
        <v>155</v>
      </c>
      <c r="BF3" s="36" t="s">
        <v>155</v>
      </c>
      <c r="BJ3" s="712" t="s">
        <v>157</v>
      </c>
      <c r="BK3" s="712"/>
      <c r="BL3" s="37" t="s">
        <v>158</v>
      </c>
      <c r="BM3" s="37" t="s">
        <v>158</v>
      </c>
      <c r="BN3" s="38" t="s">
        <v>159</v>
      </c>
      <c r="BO3" s="38" t="s">
        <v>159</v>
      </c>
      <c r="BP3" s="38" t="s">
        <v>159</v>
      </c>
      <c r="BQ3" s="38" t="s">
        <v>159</v>
      </c>
      <c r="BR3" s="33"/>
      <c r="BS3" s="34" t="s">
        <v>152</v>
      </c>
      <c r="BT3" s="33"/>
      <c r="BU3" s="34" t="s">
        <v>152</v>
      </c>
      <c r="BV3" s="33"/>
      <c r="BW3" s="34" t="s">
        <v>152</v>
      </c>
      <c r="BX3" s="33"/>
      <c r="BY3" s="32"/>
      <c r="BZ3" s="32"/>
      <c r="CA3" s="39"/>
    </row>
    <row r="4" spans="1:79" ht="18.75" x14ac:dyDescent="0.25">
      <c r="A4" s="40"/>
      <c r="B4" s="32"/>
      <c r="C4" s="32"/>
      <c r="D4" s="32"/>
      <c r="E4" s="32"/>
      <c r="F4" s="32"/>
      <c r="G4" s="32"/>
      <c r="H4" s="32"/>
      <c r="I4" s="41"/>
      <c r="J4" s="32"/>
      <c r="K4" s="42" t="s">
        <v>160</v>
      </c>
      <c r="L4" s="43" t="s">
        <v>161</v>
      </c>
      <c r="M4" s="43"/>
      <c r="N4" s="43" t="s">
        <v>161</v>
      </c>
      <c r="O4" s="43"/>
      <c r="P4" s="43" t="s">
        <v>161</v>
      </c>
      <c r="Q4" s="32"/>
      <c r="R4" s="32"/>
      <c r="S4" s="32"/>
      <c r="T4" s="32"/>
      <c r="U4" s="32"/>
      <c r="V4" s="704"/>
      <c r="W4" s="705"/>
      <c r="X4" s="705"/>
      <c r="Y4" s="705"/>
      <c r="Z4" s="705"/>
      <c r="AA4" s="705"/>
      <c r="AB4" s="705"/>
      <c r="AC4" s="705"/>
      <c r="AD4" s="705"/>
      <c r="AE4" s="705"/>
      <c r="AF4" s="705"/>
      <c r="AG4" s="706"/>
      <c r="AH4" s="32"/>
      <c r="AI4" s="32"/>
      <c r="AJ4" s="32"/>
      <c r="AK4" s="32"/>
      <c r="AL4" s="32"/>
      <c r="AM4" s="32"/>
      <c r="AN4" s="39"/>
      <c r="AO4" s="772" t="s">
        <v>162</v>
      </c>
      <c r="AP4" s="773"/>
      <c r="AQ4" s="773"/>
      <c r="AR4" s="773"/>
      <c r="AS4" s="32"/>
      <c r="AT4" s="32"/>
      <c r="AV4" s="32"/>
      <c r="AW4" s="32"/>
      <c r="BI4" s="32"/>
      <c r="BJ4" s="32"/>
      <c r="BN4" s="774" t="s">
        <v>163</v>
      </c>
      <c r="BO4" s="774"/>
      <c r="BP4" s="774"/>
      <c r="BQ4" s="774"/>
      <c r="BR4" s="42" t="s">
        <v>160</v>
      </c>
      <c r="BS4" s="43" t="s">
        <v>161</v>
      </c>
      <c r="BT4" s="32"/>
      <c r="BU4" s="43" t="s">
        <v>161</v>
      </c>
      <c r="BV4" s="32"/>
      <c r="BW4" s="43" t="s">
        <v>161</v>
      </c>
      <c r="BX4" s="32"/>
      <c r="BY4" s="32"/>
      <c r="BZ4" s="32"/>
      <c r="CA4" s="39"/>
    </row>
    <row r="5" spans="1:79" ht="15.75" thickBot="1" x14ac:dyDescent="0.3">
      <c r="A5" s="716" t="s">
        <v>164</v>
      </c>
      <c r="B5" s="717"/>
      <c r="C5" s="32"/>
      <c r="D5" s="32"/>
      <c r="E5" s="32"/>
      <c r="F5" s="32"/>
      <c r="G5" s="32"/>
      <c r="H5" s="32"/>
      <c r="I5" s="41"/>
      <c r="J5" s="32"/>
      <c r="K5" s="32"/>
      <c r="L5" s="44">
        <v>1</v>
      </c>
      <c r="N5" s="44">
        <v>2</v>
      </c>
      <c r="P5" s="44">
        <v>3</v>
      </c>
      <c r="Q5" s="45"/>
      <c r="R5" s="32"/>
      <c r="U5" s="32"/>
      <c r="V5" s="707"/>
      <c r="W5" s="708"/>
      <c r="X5" s="708"/>
      <c r="Y5" s="708"/>
      <c r="Z5" s="708"/>
      <c r="AA5" s="708"/>
      <c r="AB5" s="708"/>
      <c r="AC5" s="708"/>
      <c r="AD5" s="708"/>
      <c r="AE5" s="708"/>
      <c r="AF5" s="708"/>
      <c r="AG5" s="709"/>
      <c r="AH5" s="32"/>
      <c r="AM5" s="32"/>
      <c r="AN5" s="39"/>
      <c r="AO5" s="32"/>
      <c r="AP5" s="32"/>
      <c r="AQ5" s="32"/>
      <c r="AR5" s="32"/>
      <c r="AS5" s="32"/>
      <c r="AT5" s="32"/>
      <c r="AU5" s="32"/>
      <c r="AV5" s="32"/>
      <c r="AW5" s="32"/>
      <c r="AX5" s="32"/>
      <c r="BE5" s="46"/>
      <c r="BF5" s="46"/>
      <c r="BJ5" s="32"/>
      <c r="BO5" s="47"/>
      <c r="BP5" s="47"/>
      <c r="BQ5" s="47"/>
      <c r="BR5" s="32"/>
      <c r="BS5" s="44">
        <v>1</v>
      </c>
      <c r="BU5" s="44">
        <v>2</v>
      </c>
      <c r="BW5" s="44">
        <v>3</v>
      </c>
      <c r="BX5" s="45"/>
      <c r="CA5" s="39"/>
    </row>
    <row r="6" spans="1:79" ht="15.75" x14ac:dyDescent="0.25">
      <c r="A6" s="718"/>
      <c r="B6" s="719"/>
      <c r="C6" s="32"/>
      <c r="D6" s="32"/>
      <c r="E6" s="32"/>
      <c r="F6" s="32"/>
      <c r="G6" s="32"/>
      <c r="H6" s="32"/>
      <c r="I6" s="41"/>
      <c r="J6" s="32"/>
      <c r="K6" s="32"/>
      <c r="L6" s="775" t="s">
        <v>165</v>
      </c>
      <c r="M6" s="775"/>
      <c r="N6" s="775"/>
      <c r="O6" s="775"/>
      <c r="P6" s="775"/>
      <c r="Q6" s="32"/>
      <c r="R6" s="32"/>
      <c r="S6" s="32"/>
      <c r="T6" s="32"/>
      <c r="W6" s="32"/>
      <c r="X6" s="32"/>
      <c r="AA6" s="32"/>
      <c r="AB6" s="32"/>
      <c r="AC6" s="32"/>
      <c r="AD6" s="32"/>
      <c r="AG6" s="32"/>
      <c r="AH6" s="32"/>
      <c r="AI6" s="32"/>
      <c r="AJ6" s="776" t="s">
        <v>166</v>
      </c>
      <c r="AK6" s="776"/>
      <c r="AL6" s="32"/>
      <c r="AM6" s="32"/>
      <c r="AN6" s="39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J6" s="32"/>
      <c r="BK6" s="32"/>
      <c r="BN6" s="48"/>
      <c r="BO6" s="48"/>
      <c r="BP6" s="48"/>
      <c r="BQ6" s="48"/>
      <c r="BR6" s="48"/>
      <c r="BS6" s="775" t="s">
        <v>165</v>
      </c>
      <c r="BT6" s="775"/>
      <c r="BU6" s="775"/>
      <c r="BV6" s="775"/>
      <c r="BW6" s="775"/>
      <c r="CA6" s="39"/>
    </row>
    <row r="7" spans="1:79" x14ac:dyDescent="0.25">
      <c r="A7" s="718"/>
      <c r="B7" s="719"/>
      <c r="C7" s="32"/>
      <c r="D7" s="32"/>
      <c r="E7" s="32"/>
      <c r="F7" s="32"/>
      <c r="G7" s="32"/>
      <c r="H7" s="32"/>
      <c r="I7" s="41"/>
      <c r="J7" s="32"/>
      <c r="K7" s="32"/>
      <c r="L7" s="32"/>
      <c r="P7" s="32"/>
      <c r="Q7" s="32"/>
      <c r="R7" s="32"/>
      <c r="S7" s="32"/>
      <c r="T7" s="44"/>
      <c r="W7" s="32"/>
      <c r="X7" s="32"/>
      <c r="AA7" s="32"/>
      <c r="AB7" s="32"/>
      <c r="AC7" s="32"/>
      <c r="AD7" s="32"/>
      <c r="AG7" s="32"/>
      <c r="AH7" s="32"/>
      <c r="AI7" s="32"/>
      <c r="AJ7" s="776"/>
      <c r="AK7" s="776"/>
      <c r="AL7" s="32"/>
      <c r="AM7" s="32"/>
      <c r="AN7" s="39"/>
      <c r="AO7" s="32"/>
      <c r="AP7" s="778" t="s">
        <v>167</v>
      </c>
      <c r="AQ7" s="778"/>
      <c r="AR7" s="778"/>
      <c r="AS7" s="32"/>
      <c r="AT7" s="45" t="s">
        <v>168</v>
      </c>
      <c r="AU7" s="32"/>
      <c r="AV7" s="32"/>
      <c r="AW7" s="32"/>
      <c r="AX7" s="32"/>
      <c r="AZ7" s="779" t="s">
        <v>169</v>
      </c>
      <c r="BA7" s="779"/>
      <c r="BF7" s="32"/>
      <c r="BG7" s="32"/>
      <c r="BH7" s="32"/>
      <c r="BR7" s="32"/>
      <c r="CA7" s="39"/>
    </row>
    <row r="8" spans="1:79" ht="21" x14ac:dyDescent="0.35">
      <c r="A8" s="718"/>
      <c r="B8" s="719"/>
      <c r="C8" s="32"/>
      <c r="D8" s="32"/>
      <c r="E8" s="726" t="s">
        <v>170</v>
      </c>
      <c r="F8" s="727"/>
      <c r="G8" s="727"/>
      <c r="H8" s="32"/>
      <c r="I8" s="41"/>
      <c r="J8" s="32"/>
      <c r="K8" s="32"/>
      <c r="L8" s="32"/>
      <c r="M8" s="32"/>
      <c r="N8" s="32"/>
      <c r="P8" s="32"/>
      <c r="Q8" s="32"/>
      <c r="R8" s="32"/>
      <c r="S8" s="32"/>
      <c r="T8" s="44"/>
      <c r="W8" s="32"/>
      <c r="X8" s="32"/>
      <c r="AA8" s="32"/>
      <c r="AB8" s="32"/>
      <c r="AC8" s="32"/>
      <c r="AD8" s="32"/>
      <c r="AE8" s="32"/>
      <c r="AF8" s="32"/>
      <c r="AG8" s="32"/>
      <c r="AH8" s="32"/>
      <c r="AI8" s="32"/>
      <c r="AJ8" s="776"/>
      <c r="AK8" s="776"/>
      <c r="AL8" s="32"/>
      <c r="AM8" s="32"/>
      <c r="AN8" s="39"/>
      <c r="AO8" s="32"/>
      <c r="AP8" s="51" t="s">
        <v>171</v>
      </c>
      <c r="AQ8" s="51" t="s">
        <v>171</v>
      </c>
      <c r="AR8" s="51" t="s">
        <v>171</v>
      </c>
      <c r="AS8" s="32"/>
      <c r="AT8" s="42" t="s">
        <v>172</v>
      </c>
      <c r="AU8" s="52"/>
      <c r="AV8" s="52"/>
      <c r="AW8" s="53" t="s">
        <v>173</v>
      </c>
      <c r="AX8" s="32"/>
      <c r="AY8" s="42" t="s">
        <v>174</v>
      </c>
      <c r="AZ8" s="54"/>
      <c r="BA8" s="54"/>
      <c r="BB8" s="32"/>
      <c r="BN8" s="32"/>
      <c r="BO8" s="32"/>
      <c r="BP8" s="35" t="s">
        <v>154</v>
      </c>
      <c r="BQ8" s="35" t="s">
        <v>154</v>
      </c>
      <c r="BS8" s="32"/>
      <c r="BT8" s="32"/>
      <c r="BW8" s="728" t="s">
        <v>175</v>
      </c>
      <c r="BX8" s="728"/>
      <c r="BY8" s="728"/>
      <c r="CA8" s="39"/>
    </row>
    <row r="9" spans="1:79" ht="18.75" x14ac:dyDescent="0.25">
      <c r="A9" s="718"/>
      <c r="B9" s="719"/>
      <c r="C9" s="32"/>
      <c r="D9" s="32"/>
      <c r="E9" s="727"/>
      <c r="F9" s="727"/>
      <c r="G9" s="727"/>
      <c r="H9" s="32"/>
      <c r="I9" s="41"/>
      <c r="J9" s="32"/>
      <c r="K9" s="32"/>
      <c r="L9" s="32"/>
      <c r="M9" s="32"/>
      <c r="N9" s="32"/>
      <c r="P9" s="32"/>
      <c r="Q9" s="32"/>
      <c r="R9" s="32"/>
      <c r="S9" s="32"/>
      <c r="T9" s="32"/>
      <c r="W9" s="32"/>
      <c r="X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9"/>
      <c r="AP9" s="51" t="s">
        <v>171</v>
      </c>
      <c r="AQ9" s="51" t="s">
        <v>171</v>
      </c>
      <c r="AR9" s="51" t="s">
        <v>171</v>
      </c>
      <c r="AS9" s="55">
        <v>1</v>
      </c>
      <c r="AT9" s="56" t="s">
        <v>161</v>
      </c>
      <c r="AU9" s="34" t="s">
        <v>152</v>
      </c>
      <c r="AV9" s="34" t="s">
        <v>152</v>
      </c>
      <c r="AW9" s="56" t="s">
        <v>161</v>
      </c>
      <c r="AX9" s="44" t="s">
        <v>176</v>
      </c>
      <c r="AY9" s="54" t="s">
        <v>161</v>
      </c>
      <c r="AZ9" s="34" t="s">
        <v>152</v>
      </c>
      <c r="BA9" s="34" t="s">
        <v>152</v>
      </c>
      <c r="BB9" s="54" t="s">
        <v>161</v>
      </c>
      <c r="BC9" s="57">
        <v>6</v>
      </c>
      <c r="BE9" s="58"/>
      <c r="BF9" s="59" t="s">
        <v>177</v>
      </c>
      <c r="BG9" s="60" t="s">
        <v>178</v>
      </c>
      <c r="BH9" s="32"/>
      <c r="BJ9" s="61"/>
      <c r="BK9" s="62" t="s">
        <v>179</v>
      </c>
      <c r="BL9" s="62" t="s">
        <v>179</v>
      </c>
      <c r="BN9" s="32"/>
      <c r="BO9" s="32"/>
      <c r="BP9" s="35" t="s">
        <v>154</v>
      </c>
      <c r="BQ9" s="35" t="s">
        <v>154</v>
      </c>
      <c r="BT9" s="32"/>
      <c r="BU9" s="32"/>
      <c r="BV9" s="63" t="s">
        <v>172</v>
      </c>
      <c r="BW9" s="64"/>
      <c r="BX9" s="64"/>
      <c r="BY9" s="64"/>
      <c r="CA9" s="39"/>
    </row>
    <row r="10" spans="1:79" ht="18.75" x14ac:dyDescent="0.3">
      <c r="A10" s="718"/>
      <c r="B10" s="719"/>
      <c r="C10" s="32"/>
      <c r="D10" s="32"/>
      <c r="E10" s="32"/>
      <c r="F10" s="32"/>
      <c r="G10" s="32"/>
      <c r="H10" s="32"/>
      <c r="I10" s="41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V10" s="32"/>
      <c r="W10" s="32"/>
      <c r="X10" s="32"/>
      <c r="AB10" s="32"/>
      <c r="AC10" s="32"/>
      <c r="AD10" s="32"/>
      <c r="AE10" s="32"/>
      <c r="AF10" s="32"/>
      <c r="AG10" s="32"/>
      <c r="AH10" s="32"/>
      <c r="AN10" s="39"/>
      <c r="AS10" s="55">
        <v>2</v>
      </c>
      <c r="AT10" s="56" t="s">
        <v>161</v>
      </c>
      <c r="AU10" s="34" t="s">
        <v>152</v>
      </c>
      <c r="AV10" s="34" t="s">
        <v>152</v>
      </c>
      <c r="AW10" s="56" t="s">
        <v>161</v>
      </c>
      <c r="AX10" s="44" t="s">
        <v>180</v>
      </c>
      <c r="AY10" s="54" t="s">
        <v>161</v>
      </c>
      <c r="AZ10" s="34" t="s">
        <v>152</v>
      </c>
      <c r="BA10" s="34" t="s">
        <v>152</v>
      </c>
      <c r="BB10" s="65" t="s">
        <v>161</v>
      </c>
      <c r="BC10" s="57">
        <v>5</v>
      </c>
      <c r="BE10" s="32"/>
      <c r="BF10" s="59" t="s">
        <v>177</v>
      </c>
      <c r="BG10" s="60" t="s">
        <v>178</v>
      </c>
      <c r="BK10" s="62" t="s">
        <v>179</v>
      </c>
      <c r="BL10" s="62" t="s">
        <v>179</v>
      </c>
      <c r="BN10" s="32"/>
      <c r="BO10" s="32"/>
      <c r="BP10" s="35" t="s">
        <v>154</v>
      </c>
      <c r="BQ10" s="35" t="s">
        <v>154</v>
      </c>
      <c r="BU10" s="32"/>
      <c r="BV10" s="64"/>
      <c r="BW10" s="66" t="s">
        <v>181</v>
      </c>
      <c r="BX10" s="66" t="s">
        <v>181</v>
      </c>
      <c r="BY10" s="66" t="s">
        <v>181</v>
      </c>
      <c r="BZ10" s="64"/>
      <c r="CA10" s="39"/>
    </row>
    <row r="11" spans="1:79" ht="18.75" x14ac:dyDescent="0.3">
      <c r="A11" s="718"/>
      <c r="B11" s="719"/>
      <c r="C11" s="32"/>
      <c r="D11" s="32"/>
      <c r="E11" s="32"/>
      <c r="F11" s="32"/>
      <c r="G11" s="32"/>
      <c r="H11" s="32"/>
      <c r="I11" s="41"/>
      <c r="J11" s="32"/>
      <c r="K11" s="32"/>
      <c r="L11" s="32"/>
      <c r="M11" s="32"/>
      <c r="N11" s="32"/>
      <c r="P11" s="32"/>
      <c r="Q11" s="32"/>
      <c r="R11" s="32"/>
      <c r="S11" s="32"/>
      <c r="V11" s="32"/>
      <c r="W11" s="32"/>
      <c r="Y11" s="67" t="s">
        <v>158</v>
      </c>
      <c r="Z11" s="67" t="s">
        <v>158</v>
      </c>
      <c r="AB11" s="32"/>
      <c r="AC11" s="32"/>
      <c r="AD11" s="32"/>
      <c r="AG11" s="32"/>
      <c r="AM11" s="57"/>
      <c r="AN11" s="39"/>
      <c r="AS11" s="55">
        <v>3</v>
      </c>
      <c r="AT11" s="56" t="s">
        <v>161</v>
      </c>
      <c r="AU11" s="34" t="s">
        <v>152</v>
      </c>
      <c r="AV11" s="34" t="s">
        <v>152</v>
      </c>
      <c r="AW11" s="56" t="s">
        <v>161</v>
      </c>
      <c r="AX11" s="44" t="s">
        <v>182</v>
      </c>
      <c r="AY11" s="65" t="s">
        <v>161</v>
      </c>
      <c r="AZ11" s="34" t="s">
        <v>152</v>
      </c>
      <c r="BA11" s="34" t="s">
        <v>152</v>
      </c>
      <c r="BB11" s="65" t="s">
        <v>161</v>
      </c>
      <c r="BC11" s="57">
        <v>4</v>
      </c>
      <c r="BE11" s="32"/>
      <c r="BF11" s="59" t="s">
        <v>177</v>
      </c>
      <c r="BG11" s="68" t="s">
        <v>183</v>
      </c>
      <c r="BK11" s="62" t="s">
        <v>179</v>
      </c>
      <c r="BL11" s="62" t="s">
        <v>179</v>
      </c>
      <c r="BN11" s="32"/>
      <c r="BO11" s="32"/>
      <c r="BP11" s="35" t="s">
        <v>154</v>
      </c>
      <c r="BQ11" s="35" t="s">
        <v>154</v>
      </c>
      <c r="BT11" s="32"/>
      <c r="BU11" s="32"/>
      <c r="BV11" s="66"/>
      <c r="BW11" s="7" t="s">
        <v>110</v>
      </c>
      <c r="BX11" s="12" t="s">
        <v>114</v>
      </c>
      <c r="BY11" s="12" t="s">
        <v>114</v>
      </c>
      <c r="BZ11" s="66"/>
      <c r="CA11" s="39"/>
    </row>
    <row r="12" spans="1:79" ht="18.75" x14ac:dyDescent="0.3">
      <c r="A12" s="718"/>
      <c r="B12" s="719"/>
      <c r="C12" s="32"/>
      <c r="D12" s="32"/>
      <c r="E12" s="32"/>
      <c r="F12" s="32"/>
      <c r="G12" s="32"/>
      <c r="H12" s="32"/>
      <c r="I12" s="41"/>
      <c r="J12" s="32"/>
      <c r="K12" s="32"/>
      <c r="L12" s="32"/>
      <c r="P12" s="32"/>
      <c r="Q12" s="32"/>
      <c r="R12" s="51" t="s">
        <v>171</v>
      </c>
      <c r="S12" s="51" t="s">
        <v>171</v>
      </c>
      <c r="U12" s="32"/>
      <c r="V12" s="32"/>
      <c r="W12" s="32"/>
      <c r="Y12" s="67" t="s">
        <v>158</v>
      </c>
      <c r="Z12" s="67" t="s">
        <v>158</v>
      </c>
      <c r="AB12" s="32"/>
      <c r="AC12" s="32"/>
      <c r="AD12" s="32"/>
      <c r="AE12" s="69" t="s">
        <v>179</v>
      </c>
      <c r="AF12" s="69" t="s">
        <v>179</v>
      </c>
      <c r="AG12" s="32"/>
      <c r="AJ12" s="69" t="s">
        <v>179</v>
      </c>
      <c r="AK12" s="69" t="s">
        <v>179</v>
      </c>
      <c r="AM12" s="57"/>
      <c r="AN12" s="39"/>
      <c r="AU12" s="52"/>
      <c r="AV12" s="52"/>
      <c r="AZ12" s="65"/>
      <c r="BA12" s="65"/>
      <c r="BE12" s="32"/>
      <c r="BN12" s="32"/>
      <c r="BP12" s="70" t="s">
        <v>184</v>
      </c>
      <c r="BQ12" s="70"/>
      <c r="BT12" s="32"/>
      <c r="BU12" s="32"/>
      <c r="BV12" s="66"/>
      <c r="BW12" s="11" t="s">
        <v>118</v>
      </c>
      <c r="BX12" s="11" t="s">
        <v>118</v>
      </c>
      <c r="BY12" s="12" t="s">
        <v>114</v>
      </c>
      <c r="BZ12" s="66"/>
      <c r="CA12" s="39"/>
    </row>
    <row r="13" spans="1:79" ht="18.75" x14ac:dyDescent="0.3">
      <c r="A13" s="720"/>
      <c r="B13" s="721"/>
      <c r="C13" s="32"/>
      <c r="D13" s="32"/>
      <c r="E13" s="32"/>
      <c r="F13" s="32"/>
      <c r="G13" s="32"/>
      <c r="H13" s="32"/>
      <c r="I13" s="41"/>
      <c r="J13" s="32"/>
      <c r="K13" s="32"/>
      <c r="L13" s="32"/>
      <c r="P13" s="32"/>
      <c r="Q13" s="32"/>
      <c r="R13" s="51" t="s">
        <v>171</v>
      </c>
      <c r="S13" s="51" t="s">
        <v>171</v>
      </c>
      <c r="U13" s="71"/>
      <c r="V13" s="32"/>
      <c r="W13" s="32"/>
      <c r="Y13" s="67" t="s">
        <v>158</v>
      </c>
      <c r="Z13" s="67" t="s">
        <v>158</v>
      </c>
      <c r="AB13" s="32"/>
      <c r="AC13" s="32"/>
      <c r="AD13" s="32"/>
      <c r="AE13" s="69" t="s">
        <v>179</v>
      </c>
      <c r="AF13" s="69" t="s">
        <v>179</v>
      </c>
      <c r="AG13" s="32"/>
      <c r="AJ13" s="69" t="s">
        <v>179</v>
      </c>
      <c r="AK13" s="69" t="s">
        <v>179</v>
      </c>
      <c r="AN13" s="39"/>
      <c r="AS13" s="44"/>
      <c r="AT13" s="72"/>
      <c r="AU13" s="73" t="s">
        <v>185</v>
      </c>
      <c r="AV13" s="74"/>
      <c r="AW13" s="75"/>
      <c r="BE13" s="32"/>
      <c r="BN13" s="32"/>
      <c r="BO13" s="32"/>
      <c r="BT13" s="32"/>
      <c r="BU13" s="32"/>
      <c r="BV13" s="64"/>
      <c r="BW13" s="66" t="s">
        <v>181</v>
      </c>
      <c r="BX13" s="66" t="s">
        <v>181</v>
      </c>
      <c r="BY13" s="66" t="s">
        <v>181</v>
      </c>
      <c r="BZ13" s="64"/>
      <c r="CA13" s="39"/>
    </row>
    <row r="14" spans="1:79" ht="15.75" x14ac:dyDescent="0.25">
      <c r="A14" s="40"/>
      <c r="B14" s="32"/>
      <c r="C14" s="32"/>
      <c r="D14" s="32"/>
      <c r="E14" s="32"/>
      <c r="F14" s="32"/>
      <c r="G14" s="32"/>
      <c r="H14" s="32"/>
      <c r="I14" s="76"/>
      <c r="K14" s="32"/>
      <c r="L14" s="32"/>
      <c r="P14" s="32"/>
      <c r="Q14" s="32"/>
      <c r="R14" s="51" t="s">
        <v>171</v>
      </c>
      <c r="S14" s="51" t="s">
        <v>171</v>
      </c>
      <c r="U14" s="32"/>
      <c r="V14" s="32"/>
      <c r="W14" s="32"/>
      <c r="Y14" s="780"/>
      <c r="Z14" s="780"/>
      <c r="AB14" s="32"/>
      <c r="AC14" s="32"/>
      <c r="AD14" s="32"/>
      <c r="AE14" s="32"/>
      <c r="AF14" s="32"/>
      <c r="AG14" s="32"/>
      <c r="AJ14" s="32"/>
      <c r="AK14" s="32"/>
      <c r="AN14" s="39"/>
      <c r="AS14" s="32"/>
      <c r="AT14" s="32"/>
      <c r="AU14" s="32"/>
      <c r="AV14" s="32"/>
      <c r="BF14" s="49" t="s">
        <v>186</v>
      </c>
      <c r="BG14" s="49"/>
      <c r="BK14" s="781" t="s">
        <v>185</v>
      </c>
      <c r="BL14" s="781"/>
      <c r="BN14" s="32"/>
      <c r="BO14" s="32"/>
      <c r="BT14" s="32"/>
      <c r="BU14" s="32"/>
      <c r="BW14" s="64"/>
      <c r="BX14" s="64"/>
      <c r="BY14" s="64"/>
      <c r="CA14" s="39"/>
    </row>
    <row r="15" spans="1:79" ht="18.75" x14ac:dyDescent="0.25">
      <c r="A15" s="77"/>
      <c r="B15" s="78"/>
      <c r="C15" s="78"/>
      <c r="D15" s="78"/>
      <c r="E15" s="78"/>
      <c r="F15" s="78"/>
      <c r="G15" s="78"/>
      <c r="H15" s="78"/>
      <c r="I15" s="79"/>
      <c r="K15" s="32"/>
      <c r="L15" s="32"/>
      <c r="P15" s="32"/>
      <c r="Q15" s="32"/>
      <c r="U15" s="32"/>
      <c r="V15" s="32"/>
      <c r="W15" s="32"/>
      <c r="AB15" s="32"/>
      <c r="AC15" s="32"/>
      <c r="AD15" s="32"/>
      <c r="AG15" s="32"/>
      <c r="AH15" s="32"/>
      <c r="AI15" s="32"/>
      <c r="AJ15" s="32"/>
      <c r="AK15" s="32"/>
      <c r="AM15" s="32"/>
      <c r="AN15" s="39"/>
      <c r="AR15" s="80" t="s">
        <v>161</v>
      </c>
      <c r="AS15" s="32"/>
      <c r="AT15" s="32"/>
      <c r="AY15" s="42" t="s">
        <v>187</v>
      </c>
      <c r="AZ15" s="52"/>
      <c r="BA15" s="52"/>
      <c r="BB15" s="53" t="s">
        <v>188</v>
      </c>
      <c r="BF15" s="81"/>
      <c r="BG15" s="81"/>
      <c r="BH15" s="53" t="s">
        <v>189</v>
      </c>
      <c r="BK15" s="82"/>
      <c r="BL15" s="82"/>
      <c r="BN15" s="32"/>
      <c r="BO15" s="32"/>
      <c r="BP15" s="83" t="s">
        <v>190</v>
      </c>
      <c r="BQ15" s="83" t="s">
        <v>190</v>
      </c>
      <c r="BT15" s="32"/>
      <c r="BU15" s="32"/>
      <c r="BV15" s="84"/>
      <c r="BW15" s="84"/>
      <c r="BX15" s="84"/>
      <c r="BY15" s="84"/>
      <c r="BZ15" s="32"/>
      <c r="CA15" s="39"/>
    </row>
    <row r="16" spans="1:79" ht="18.75" x14ac:dyDescent="0.25">
      <c r="A16" s="85"/>
      <c r="B16" s="32"/>
      <c r="C16" s="32"/>
      <c r="D16" s="32"/>
      <c r="E16" s="32"/>
      <c r="F16" s="32"/>
      <c r="G16" s="32"/>
      <c r="K16" s="32"/>
      <c r="L16" s="32"/>
      <c r="M16" s="32"/>
      <c r="N16" s="32"/>
      <c r="P16" s="32"/>
      <c r="Q16" s="32"/>
      <c r="U16" s="32"/>
      <c r="V16" s="32"/>
      <c r="W16" s="32"/>
      <c r="X16" s="32"/>
      <c r="Y16" s="779" t="s">
        <v>165</v>
      </c>
      <c r="Z16" s="779"/>
      <c r="AA16" s="32"/>
      <c r="AB16" s="32"/>
      <c r="AC16" s="32"/>
      <c r="AD16" s="32"/>
      <c r="AG16" s="32"/>
      <c r="AH16" s="32"/>
      <c r="AI16" s="32"/>
      <c r="AM16" s="32"/>
      <c r="AN16" s="39"/>
      <c r="AR16" s="34" t="s">
        <v>152</v>
      </c>
      <c r="AS16" s="32"/>
      <c r="AT16" s="32"/>
      <c r="AU16" s="86" t="s">
        <v>191</v>
      </c>
      <c r="AV16" s="86" t="s">
        <v>191</v>
      </c>
      <c r="AY16" s="56" t="s">
        <v>161</v>
      </c>
      <c r="AZ16" s="34" t="s">
        <v>152</v>
      </c>
      <c r="BA16" s="34" t="s">
        <v>152</v>
      </c>
      <c r="BB16" s="56" t="s">
        <v>161</v>
      </c>
      <c r="BC16" s="58"/>
      <c r="BE16" s="87" t="s">
        <v>192</v>
      </c>
      <c r="BF16" s="34" t="s">
        <v>152</v>
      </c>
      <c r="BG16" s="34" t="s">
        <v>152</v>
      </c>
      <c r="BH16" s="87" t="s">
        <v>192</v>
      </c>
      <c r="BJ16" s="80" t="s">
        <v>161</v>
      </c>
      <c r="BK16" s="34" t="s">
        <v>152</v>
      </c>
      <c r="BL16" s="34" t="s">
        <v>152</v>
      </c>
      <c r="BM16" s="80" t="s">
        <v>161</v>
      </c>
      <c r="BN16" s="32"/>
      <c r="BO16" s="32"/>
      <c r="BP16" s="83" t="s">
        <v>190</v>
      </c>
      <c r="BQ16" s="83" t="s">
        <v>190</v>
      </c>
      <c r="BT16" s="32"/>
      <c r="BV16" s="63" t="s">
        <v>193</v>
      </c>
      <c r="BW16" s="64"/>
      <c r="BX16" s="64"/>
      <c r="BY16" s="64"/>
      <c r="BZ16" s="32"/>
      <c r="CA16" s="39"/>
    </row>
    <row r="17" spans="1:80" ht="21" x14ac:dyDescent="0.25">
      <c r="A17" s="88" t="s">
        <v>154</v>
      </c>
      <c r="B17" s="85"/>
      <c r="C17" s="85"/>
      <c r="D17" s="32"/>
      <c r="E17" s="32"/>
      <c r="F17" s="32"/>
      <c r="G17" s="32"/>
      <c r="K17" s="32"/>
      <c r="L17" s="32"/>
      <c r="M17" s="32"/>
      <c r="N17" s="32"/>
      <c r="O17" s="32"/>
      <c r="P17" s="32"/>
      <c r="Q17" s="32"/>
      <c r="R17" s="32"/>
      <c r="S17" s="32"/>
      <c r="U17" s="32"/>
      <c r="V17" s="32"/>
      <c r="W17" s="32"/>
      <c r="X17" s="32"/>
      <c r="Y17" s="89"/>
      <c r="Z17" s="89"/>
      <c r="AA17" s="32"/>
      <c r="AB17" s="32"/>
      <c r="AC17" s="32"/>
      <c r="AD17" s="32"/>
      <c r="AG17" s="32"/>
      <c r="AH17" s="32"/>
      <c r="AI17" s="90"/>
      <c r="AJ17" s="779" t="s">
        <v>194</v>
      </c>
      <c r="AK17" s="779"/>
      <c r="AL17" s="55"/>
      <c r="AM17" s="32"/>
      <c r="AN17" s="39"/>
      <c r="AR17" s="34" t="s">
        <v>152</v>
      </c>
      <c r="AS17" s="32"/>
      <c r="AT17" s="32"/>
      <c r="AU17" s="86" t="s">
        <v>191</v>
      </c>
      <c r="AV17" s="86" t="s">
        <v>191</v>
      </c>
      <c r="AY17" s="56" t="s">
        <v>161</v>
      </c>
      <c r="AZ17" s="34" t="s">
        <v>152</v>
      </c>
      <c r="BA17" s="34" t="s">
        <v>152</v>
      </c>
      <c r="BB17" s="56" t="s">
        <v>161</v>
      </c>
      <c r="BC17" s="58"/>
      <c r="BE17" s="87" t="s">
        <v>192</v>
      </c>
      <c r="BF17" s="34" t="s">
        <v>152</v>
      </c>
      <c r="BG17" s="34" t="s">
        <v>152</v>
      </c>
      <c r="BH17" s="87" t="s">
        <v>192</v>
      </c>
      <c r="BJ17" s="80" t="s">
        <v>161</v>
      </c>
      <c r="BK17" s="34" t="s">
        <v>152</v>
      </c>
      <c r="BL17" s="34" t="s">
        <v>152</v>
      </c>
      <c r="BM17" s="80" t="s">
        <v>161</v>
      </c>
      <c r="BN17" s="32"/>
      <c r="BO17" s="32"/>
      <c r="BP17" s="83" t="s">
        <v>190</v>
      </c>
      <c r="BQ17" s="83" t="s">
        <v>190</v>
      </c>
      <c r="BT17" s="32"/>
      <c r="BV17" s="64"/>
      <c r="BW17" s="91" t="s">
        <v>181</v>
      </c>
      <c r="BX17" s="91" t="s">
        <v>181</v>
      </c>
      <c r="BY17" s="92"/>
      <c r="BZ17" s="53" t="s">
        <v>195</v>
      </c>
      <c r="CA17" s="39"/>
    </row>
    <row r="18" spans="1:80" ht="21" x14ac:dyDescent="0.25">
      <c r="A18" s="88" t="s">
        <v>154</v>
      </c>
      <c r="B18" s="32"/>
      <c r="C18" s="32"/>
      <c r="D18" s="32"/>
      <c r="E18" s="32"/>
      <c r="F18" s="32"/>
      <c r="G18" s="32"/>
      <c r="K18" s="32"/>
      <c r="L18" s="32"/>
      <c r="O18" s="32"/>
      <c r="P18" s="44"/>
      <c r="Q18" s="44"/>
      <c r="R18" s="93" t="s">
        <v>196</v>
      </c>
      <c r="S18" s="93" t="s">
        <v>196</v>
      </c>
      <c r="U18" s="32"/>
      <c r="V18" s="32"/>
      <c r="W18" s="55">
        <v>1</v>
      </c>
      <c r="X18" s="89" t="s">
        <v>192</v>
      </c>
      <c r="Y18" s="34" t="s">
        <v>152</v>
      </c>
      <c r="Z18" s="34" t="s">
        <v>152</v>
      </c>
      <c r="AA18" s="89" t="s">
        <v>192</v>
      </c>
      <c r="AB18" s="57">
        <v>8</v>
      </c>
      <c r="AC18" s="32"/>
      <c r="AD18" s="32"/>
      <c r="AE18" s="94"/>
      <c r="AF18" s="94"/>
      <c r="AG18" s="32"/>
      <c r="AH18" s="32"/>
      <c r="AI18" s="42" t="s">
        <v>197</v>
      </c>
      <c r="AJ18" s="56"/>
      <c r="AK18" s="56"/>
      <c r="AM18" s="32"/>
      <c r="AN18" s="39"/>
      <c r="AO18" s="32"/>
      <c r="AP18" s="32"/>
      <c r="AR18" s="80" t="s">
        <v>161</v>
      </c>
      <c r="AS18" s="32"/>
      <c r="AT18" s="32"/>
      <c r="AU18" s="86" t="s">
        <v>191</v>
      </c>
      <c r="AV18" s="86" t="s">
        <v>191</v>
      </c>
      <c r="AY18" s="56" t="s">
        <v>161</v>
      </c>
      <c r="AZ18" s="34" t="s">
        <v>152</v>
      </c>
      <c r="BA18" s="34" t="s">
        <v>152</v>
      </c>
      <c r="BB18" s="56" t="s">
        <v>161</v>
      </c>
      <c r="BC18" s="58"/>
      <c r="BE18" s="87" t="s">
        <v>192</v>
      </c>
      <c r="BF18" s="34" t="s">
        <v>152</v>
      </c>
      <c r="BG18" s="34" t="s">
        <v>152</v>
      </c>
      <c r="BH18" s="87" t="s">
        <v>192</v>
      </c>
      <c r="BJ18" s="80" t="s">
        <v>161</v>
      </c>
      <c r="BK18" s="34" t="s">
        <v>152</v>
      </c>
      <c r="BL18" s="34" t="s">
        <v>152</v>
      </c>
      <c r="BM18" s="80" t="s">
        <v>161</v>
      </c>
      <c r="BN18" s="32"/>
      <c r="BP18" s="70" t="s">
        <v>198</v>
      </c>
      <c r="BQ18" s="70"/>
      <c r="BS18" s="32"/>
      <c r="BT18" s="32"/>
      <c r="BV18" s="92"/>
      <c r="BW18" s="95" t="s">
        <v>4</v>
      </c>
      <c r="BX18" s="3" t="s">
        <v>6</v>
      </c>
      <c r="BY18" s="96" t="s">
        <v>28</v>
      </c>
      <c r="BZ18" s="92"/>
      <c r="CA18" s="39"/>
    </row>
    <row r="19" spans="1:80" ht="21.75" thickBot="1" x14ac:dyDescent="0.3">
      <c r="A19" s="88" t="s">
        <v>154</v>
      </c>
      <c r="B19" s="97"/>
      <c r="C19" s="97" t="s">
        <v>199</v>
      </c>
      <c r="D19" s="98"/>
      <c r="E19" s="32"/>
      <c r="F19" s="32"/>
      <c r="G19" s="32"/>
      <c r="I19" s="784" t="s">
        <v>200</v>
      </c>
      <c r="J19" s="784"/>
      <c r="R19" s="93" t="s">
        <v>196</v>
      </c>
      <c r="S19" s="93" t="s">
        <v>196</v>
      </c>
      <c r="U19" s="32"/>
      <c r="V19" s="32"/>
      <c r="W19" s="55">
        <v>2</v>
      </c>
      <c r="X19" s="89" t="s">
        <v>192</v>
      </c>
      <c r="Y19" s="34" t="s">
        <v>152</v>
      </c>
      <c r="Z19" s="34" t="s">
        <v>152</v>
      </c>
      <c r="AA19" s="89" t="s">
        <v>192</v>
      </c>
      <c r="AB19" s="57">
        <v>7</v>
      </c>
      <c r="AC19" s="32"/>
      <c r="AD19" s="32"/>
      <c r="AE19" s="83" t="s">
        <v>190</v>
      </c>
      <c r="AF19" s="83" t="s">
        <v>190</v>
      </c>
      <c r="AG19" s="32"/>
      <c r="AH19" s="55">
        <v>1</v>
      </c>
      <c r="AI19" s="56" t="s">
        <v>161</v>
      </c>
      <c r="AJ19" s="34" t="s">
        <v>152</v>
      </c>
      <c r="AK19" s="34" t="s">
        <v>152</v>
      </c>
      <c r="AL19" s="56" t="s">
        <v>161</v>
      </c>
      <c r="AM19" s="57">
        <v>8</v>
      </c>
      <c r="AN19" s="39"/>
      <c r="AO19" s="32"/>
      <c r="AP19" s="32"/>
      <c r="AQ19" s="32"/>
      <c r="AR19" s="32"/>
      <c r="AS19" s="32"/>
      <c r="AT19" s="32"/>
      <c r="AU19" s="32"/>
      <c r="AV19" s="32"/>
      <c r="AY19" s="32"/>
      <c r="AZ19" s="52"/>
      <c r="BA19" s="52"/>
      <c r="BB19" s="32"/>
      <c r="BC19" s="58"/>
      <c r="BF19" s="81"/>
      <c r="BG19" s="81"/>
      <c r="BK19" s="82"/>
      <c r="BL19" s="82"/>
      <c r="BN19" s="32"/>
      <c r="BO19" s="32"/>
      <c r="BS19" s="32"/>
      <c r="BT19" s="32"/>
      <c r="BV19" s="92"/>
      <c r="BW19" s="95" t="s">
        <v>4</v>
      </c>
      <c r="BX19" s="96" t="s">
        <v>28</v>
      </c>
      <c r="BY19" s="10" t="s">
        <v>73</v>
      </c>
      <c r="BZ19" s="92"/>
      <c r="CA19" s="39"/>
    </row>
    <row r="20" spans="1:80" ht="21" x14ac:dyDescent="0.25">
      <c r="A20" s="85"/>
      <c r="B20" s="85"/>
      <c r="C20" s="32"/>
      <c r="D20" s="85"/>
      <c r="E20" s="32"/>
      <c r="F20" s="32"/>
      <c r="G20" s="32"/>
      <c r="I20" s="99" t="s">
        <v>201</v>
      </c>
      <c r="J20" s="99" t="s">
        <v>201</v>
      </c>
      <c r="R20" s="93" t="s">
        <v>196</v>
      </c>
      <c r="S20" s="93" t="s">
        <v>196</v>
      </c>
      <c r="U20" s="32"/>
      <c r="V20" s="32"/>
      <c r="W20" s="55">
        <v>3</v>
      </c>
      <c r="X20" s="89" t="s">
        <v>192</v>
      </c>
      <c r="Y20" s="34" t="s">
        <v>152</v>
      </c>
      <c r="Z20" s="34" t="s">
        <v>152</v>
      </c>
      <c r="AA20" s="89" t="s">
        <v>192</v>
      </c>
      <c r="AB20" s="57">
        <v>6</v>
      </c>
      <c r="AC20" s="32"/>
      <c r="AD20" s="32"/>
      <c r="AE20" s="83" t="s">
        <v>190</v>
      </c>
      <c r="AF20" s="83" t="s">
        <v>190</v>
      </c>
      <c r="AG20" s="32"/>
      <c r="AH20" s="55">
        <v>2</v>
      </c>
      <c r="AI20" s="56" t="s">
        <v>161</v>
      </c>
      <c r="AJ20" s="34" t="s">
        <v>152</v>
      </c>
      <c r="AK20" s="34" t="s">
        <v>152</v>
      </c>
      <c r="AL20" s="56" t="s">
        <v>161</v>
      </c>
      <c r="AM20" s="57">
        <v>7</v>
      </c>
      <c r="AN20" s="741" t="s">
        <v>202</v>
      </c>
      <c r="AO20" s="32"/>
      <c r="AQ20" s="100"/>
      <c r="AT20" s="32"/>
      <c r="AU20" s="32"/>
      <c r="AV20" s="32"/>
      <c r="AW20" s="32"/>
      <c r="BC20" s="32"/>
      <c r="BT20" s="32"/>
      <c r="BV20" s="64"/>
      <c r="BW20" s="91" t="s">
        <v>181</v>
      </c>
      <c r="BX20" s="92"/>
      <c r="BY20" s="91" t="s">
        <v>181</v>
      </c>
      <c r="BZ20" s="64"/>
      <c r="CA20" s="39"/>
    </row>
    <row r="21" spans="1:80" ht="21" x14ac:dyDescent="0.25">
      <c r="B21" s="85"/>
      <c r="C21" s="32"/>
      <c r="D21" s="85"/>
      <c r="E21" s="32"/>
      <c r="F21" s="32"/>
      <c r="G21" s="32"/>
      <c r="I21" s="32"/>
      <c r="J21" s="32"/>
      <c r="L21" s="32"/>
      <c r="M21" s="101" t="s">
        <v>203</v>
      </c>
      <c r="N21" s="101" t="s">
        <v>203</v>
      </c>
      <c r="O21" s="32"/>
      <c r="P21" s="44"/>
      <c r="Q21" s="44"/>
      <c r="R21" s="93" t="s">
        <v>196</v>
      </c>
      <c r="S21" s="93" t="s">
        <v>196</v>
      </c>
      <c r="W21" s="55">
        <v>4</v>
      </c>
      <c r="X21" s="89" t="s">
        <v>192</v>
      </c>
      <c r="Y21" s="34" t="s">
        <v>152</v>
      </c>
      <c r="Z21" s="34" t="s">
        <v>152</v>
      </c>
      <c r="AA21" s="89" t="s">
        <v>192</v>
      </c>
      <c r="AB21" s="57">
        <v>5</v>
      </c>
      <c r="AC21" s="32"/>
      <c r="AD21" s="32"/>
      <c r="AE21" s="83" t="s">
        <v>190</v>
      </c>
      <c r="AF21" s="83" t="s">
        <v>190</v>
      </c>
      <c r="AG21" s="32"/>
      <c r="AH21" s="32"/>
      <c r="AI21" s="32"/>
      <c r="AJ21" s="56"/>
      <c r="AK21" s="56"/>
      <c r="AL21" s="32"/>
      <c r="AM21" s="57"/>
      <c r="AN21" s="742"/>
      <c r="AO21" s="32"/>
      <c r="AQ21" s="100"/>
      <c r="AT21" s="32"/>
      <c r="AU21" s="32"/>
      <c r="AV21" s="32"/>
      <c r="AX21" s="32"/>
      <c r="AY21" s="32"/>
      <c r="AZ21" s="32"/>
      <c r="BA21" s="32"/>
      <c r="BB21" s="32"/>
      <c r="BC21" s="32"/>
      <c r="BI21" s="102"/>
      <c r="BO21" s="32"/>
      <c r="BP21" s="779" t="s">
        <v>165</v>
      </c>
      <c r="BQ21" s="779"/>
      <c r="BR21" s="32"/>
      <c r="BS21" s="32"/>
      <c r="BV21" s="32"/>
      <c r="BW21" s="64"/>
      <c r="BX21" s="64"/>
      <c r="BY21" s="64"/>
      <c r="BZ21" s="32"/>
      <c r="CA21" s="39"/>
    </row>
    <row r="22" spans="1:80" ht="21" x14ac:dyDescent="0.3">
      <c r="A22" s="85"/>
      <c r="B22" s="88" t="s">
        <v>154</v>
      </c>
      <c r="C22" s="85"/>
      <c r="D22" s="88" t="s">
        <v>154</v>
      </c>
      <c r="E22" s="85"/>
      <c r="F22" s="32"/>
      <c r="G22" s="32"/>
      <c r="I22" s="99" t="s">
        <v>201</v>
      </c>
      <c r="J22" s="99" t="s">
        <v>201</v>
      </c>
      <c r="L22" s="32"/>
      <c r="M22" s="101" t="s">
        <v>203</v>
      </c>
      <c r="N22" s="101" t="s">
        <v>203</v>
      </c>
      <c r="P22" s="32"/>
      <c r="W22" s="32"/>
      <c r="X22" s="32"/>
      <c r="Y22" s="89"/>
      <c r="Z22" s="89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742"/>
      <c r="AO22" s="32"/>
      <c r="AQ22" s="103"/>
      <c r="AT22" s="32"/>
      <c r="AU22" s="32"/>
      <c r="AV22" s="32"/>
      <c r="AX22" s="32"/>
      <c r="AY22" s="47" t="s">
        <v>204</v>
      </c>
      <c r="AZ22" s="49" t="s">
        <v>185</v>
      </c>
      <c r="BA22" s="104"/>
      <c r="BB22" s="32"/>
      <c r="BC22" s="32"/>
      <c r="BF22" s="49" t="s">
        <v>169</v>
      </c>
      <c r="BG22" s="105"/>
      <c r="BK22" s="106" t="s">
        <v>205</v>
      </c>
      <c r="BL22" s="106"/>
      <c r="BO22" s="42" t="s">
        <v>206</v>
      </c>
      <c r="BP22" s="107"/>
      <c r="BQ22" s="107"/>
      <c r="BR22" s="53" t="s">
        <v>207</v>
      </c>
      <c r="BS22" s="32"/>
      <c r="BV22" s="63" t="s">
        <v>174</v>
      </c>
      <c r="BW22" s="108"/>
      <c r="BX22" s="108"/>
      <c r="BY22" s="108"/>
      <c r="BZ22" s="53" t="s">
        <v>208</v>
      </c>
      <c r="CA22" s="39"/>
    </row>
    <row r="23" spans="1:80" ht="21" x14ac:dyDescent="0.3">
      <c r="A23" s="729"/>
      <c r="B23" s="729"/>
      <c r="C23" s="729"/>
      <c r="D23" s="729"/>
      <c r="E23" s="729"/>
      <c r="F23" s="32"/>
      <c r="G23" s="32"/>
      <c r="H23" s="32"/>
      <c r="I23" s="32"/>
      <c r="J23" s="32"/>
      <c r="M23" s="101" t="s">
        <v>203</v>
      </c>
      <c r="N23" s="101" t="s">
        <v>203</v>
      </c>
      <c r="P23" s="32"/>
      <c r="V23" s="32"/>
      <c r="W23" s="32"/>
      <c r="X23" s="32"/>
      <c r="Y23" s="32"/>
      <c r="Z23" s="32"/>
      <c r="AA23" s="32"/>
      <c r="AB23" s="32"/>
      <c r="AC23" s="32"/>
      <c r="AD23" s="32"/>
      <c r="AG23" s="32"/>
      <c r="AM23" s="32"/>
      <c r="AN23" s="742"/>
      <c r="AO23" s="32"/>
      <c r="AR23" s="109" t="s">
        <v>209</v>
      </c>
      <c r="AT23" s="32"/>
      <c r="AU23" s="109" t="s">
        <v>209</v>
      </c>
      <c r="AV23" s="109" t="s">
        <v>209</v>
      </c>
      <c r="AX23" s="32"/>
      <c r="AY23" s="42" t="s">
        <v>210</v>
      </c>
      <c r="AZ23" s="56"/>
      <c r="BA23" s="56"/>
      <c r="BB23" s="53" t="s">
        <v>211</v>
      </c>
      <c r="BC23" s="32"/>
      <c r="BE23" s="42" t="s">
        <v>193</v>
      </c>
      <c r="BF23" s="110"/>
      <c r="BG23" s="110"/>
      <c r="BH23" s="53" t="s">
        <v>212</v>
      </c>
      <c r="BK23" s="83" t="s">
        <v>190</v>
      </c>
      <c r="BL23" s="83" t="s">
        <v>190</v>
      </c>
      <c r="BN23" s="55">
        <v>1</v>
      </c>
      <c r="BO23" s="107" t="s">
        <v>192</v>
      </c>
      <c r="BP23" s="34" t="s">
        <v>152</v>
      </c>
      <c r="BQ23" s="34" t="s">
        <v>152</v>
      </c>
      <c r="BR23" s="107" t="s">
        <v>192</v>
      </c>
      <c r="BS23" s="57">
        <v>8</v>
      </c>
      <c r="BU23" s="63"/>
      <c r="BV23" s="108"/>
      <c r="BW23" s="92"/>
      <c r="BX23" s="92"/>
      <c r="BY23" s="92"/>
      <c r="BZ23" s="108"/>
      <c r="CA23" s="32"/>
      <c r="CB23" s="111"/>
    </row>
    <row r="24" spans="1:80" ht="21" x14ac:dyDescent="0.3">
      <c r="A24" s="730" t="s">
        <v>213</v>
      </c>
      <c r="B24" s="717"/>
      <c r="C24" s="733" t="s">
        <v>214</v>
      </c>
      <c r="D24" s="734"/>
      <c r="E24" s="717"/>
      <c r="F24" s="32"/>
      <c r="G24" s="32"/>
      <c r="H24" s="32"/>
      <c r="I24" s="99" t="s">
        <v>201</v>
      </c>
      <c r="J24" s="99" t="s">
        <v>201</v>
      </c>
      <c r="V24" s="32"/>
      <c r="AE24" s="38" t="s">
        <v>159</v>
      </c>
      <c r="AF24" s="38" t="s">
        <v>159</v>
      </c>
      <c r="AI24" s="32"/>
      <c r="AJ24" s="32"/>
      <c r="AK24" s="32"/>
      <c r="AL24" s="32"/>
      <c r="AM24" s="32"/>
      <c r="AN24" s="742"/>
      <c r="AO24" s="32"/>
      <c r="AR24" s="109" t="s">
        <v>209</v>
      </c>
      <c r="AT24" s="32"/>
      <c r="AU24" s="109" t="s">
        <v>209</v>
      </c>
      <c r="AV24" s="109" t="s">
        <v>209</v>
      </c>
      <c r="AX24" s="55">
        <v>1</v>
      </c>
      <c r="AY24" s="56" t="s">
        <v>161</v>
      </c>
      <c r="AZ24" s="34" t="s">
        <v>152</v>
      </c>
      <c r="BA24" s="34" t="s">
        <v>152</v>
      </c>
      <c r="BB24" s="56" t="s">
        <v>161</v>
      </c>
      <c r="BC24" s="57">
        <v>8</v>
      </c>
      <c r="BD24" s="55">
        <v>1</v>
      </c>
      <c r="BE24" s="112" t="s">
        <v>161</v>
      </c>
      <c r="BF24" s="34" t="s">
        <v>152</v>
      </c>
      <c r="BG24" s="34" t="s">
        <v>152</v>
      </c>
      <c r="BH24" s="112" t="s">
        <v>161</v>
      </c>
      <c r="BI24" s="57">
        <v>8</v>
      </c>
      <c r="BK24" s="83" t="s">
        <v>190</v>
      </c>
      <c r="BL24" s="83" t="s">
        <v>190</v>
      </c>
      <c r="BN24" s="55">
        <v>2</v>
      </c>
      <c r="BO24" s="107" t="s">
        <v>192</v>
      </c>
      <c r="BP24" s="34" t="s">
        <v>152</v>
      </c>
      <c r="BQ24" s="34" t="s">
        <v>152</v>
      </c>
      <c r="BR24" s="107" t="s">
        <v>192</v>
      </c>
      <c r="BS24" s="57">
        <v>7</v>
      </c>
      <c r="BU24" s="108"/>
      <c r="BV24" s="92"/>
      <c r="BW24" s="113" t="s">
        <v>58</v>
      </c>
      <c r="BX24" s="13" t="s">
        <v>58</v>
      </c>
      <c r="BY24" s="13" t="s">
        <v>58</v>
      </c>
      <c r="BZ24" s="92"/>
      <c r="CA24" s="32"/>
      <c r="CB24" s="111"/>
    </row>
    <row r="25" spans="1:80" ht="21" x14ac:dyDescent="0.3">
      <c r="A25" s="731"/>
      <c r="B25" s="719"/>
      <c r="C25" s="727"/>
      <c r="D25" s="727"/>
      <c r="E25" s="719"/>
      <c r="F25" s="32"/>
      <c r="G25" s="32"/>
      <c r="H25" s="32"/>
      <c r="I25" s="32"/>
      <c r="J25" s="32"/>
      <c r="K25" s="32"/>
      <c r="M25" s="69" t="s">
        <v>179</v>
      </c>
      <c r="N25" s="69" t="s">
        <v>179</v>
      </c>
      <c r="O25" s="32"/>
      <c r="P25" s="32"/>
      <c r="Q25" s="32"/>
      <c r="R25" s="114" t="s">
        <v>215</v>
      </c>
      <c r="S25" s="68" t="s">
        <v>183</v>
      </c>
      <c r="T25" s="32"/>
      <c r="U25" s="32"/>
      <c r="V25" s="44"/>
      <c r="Y25" s="36" t="s">
        <v>155</v>
      </c>
      <c r="Z25" s="36" t="s">
        <v>155</v>
      </c>
      <c r="AC25" s="32"/>
      <c r="AD25" s="32"/>
      <c r="AE25" s="38" t="s">
        <v>159</v>
      </c>
      <c r="AF25" s="38" t="s">
        <v>159</v>
      </c>
      <c r="AG25" s="32"/>
      <c r="AH25" s="32"/>
      <c r="AI25" s="32"/>
      <c r="AJ25" s="32"/>
      <c r="AK25" s="32"/>
      <c r="AL25" s="32"/>
      <c r="AM25" s="32"/>
      <c r="AN25" s="742"/>
      <c r="AO25" s="32"/>
      <c r="AT25" s="32"/>
      <c r="AU25" s="109" t="s">
        <v>209</v>
      </c>
      <c r="AV25" s="109" t="s">
        <v>209</v>
      </c>
      <c r="AX25" s="55">
        <v>2</v>
      </c>
      <c r="AY25" s="56" t="s">
        <v>161</v>
      </c>
      <c r="AZ25" s="34" t="s">
        <v>152</v>
      </c>
      <c r="BA25" s="34" t="s">
        <v>152</v>
      </c>
      <c r="BB25" s="56" t="s">
        <v>161</v>
      </c>
      <c r="BC25" s="57">
        <v>7</v>
      </c>
      <c r="BD25" s="55">
        <v>2</v>
      </c>
      <c r="BE25" s="112" t="s">
        <v>161</v>
      </c>
      <c r="BF25" s="34" t="s">
        <v>152</v>
      </c>
      <c r="BG25" s="34" t="s">
        <v>152</v>
      </c>
      <c r="BH25" s="112" t="s">
        <v>161</v>
      </c>
      <c r="BI25" s="57">
        <v>7</v>
      </c>
      <c r="BK25" s="83" t="s">
        <v>190</v>
      </c>
      <c r="BL25" s="83" t="s">
        <v>190</v>
      </c>
      <c r="BN25" s="55">
        <v>3</v>
      </c>
      <c r="BO25" s="107" t="s">
        <v>192</v>
      </c>
      <c r="BP25" s="34" t="s">
        <v>152</v>
      </c>
      <c r="BQ25" s="34" t="s">
        <v>152</v>
      </c>
      <c r="BR25" s="107" t="s">
        <v>192</v>
      </c>
      <c r="BS25" s="57">
        <v>6</v>
      </c>
      <c r="BU25" s="108"/>
      <c r="BV25" s="92"/>
      <c r="BW25" s="14" t="s">
        <v>57</v>
      </c>
      <c r="BX25" s="14" t="s">
        <v>57</v>
      </c>
      <c r="BY25" s="14" t="s">
        <v>57</v>
      </c>
      <c r="BZ25" s="92"/>
      <c r="CA25" s="32"/>
      <c r="CB25" s="111"/>
    </row>
    <row r="26" spans="1:80" ht="21.75" thickBot="1" x14ac:dyDescent="0.35">
      <c r="A26" s="731"/>
      <c r="B26" s="719"/>
      <c r="C26" s="727"/>
      <c r="D26" s="727"/>
      <c r="E26" s="719"/>
      <c r="F26" s="32"/>
      <c r="G26" s="32"/>
      <c r="H26" s="32"/>
      <c r="I26" s="32"/>
      <c r="J26" s="32"/>
      <c r="K26" s="32"/>
      <c r="L26" s="32"/>
      <c r="M26" s="69" t="s">
        <v>179</v>
      </c>
      <c r="N26" s="69" t="s">
        <v>179</v>
      </c>
      <c r="R26" s="114" t="s">
        <v>215</v>
      </c>
      <c r="S26" s="59" t="s">
        <v>177</v>
      </c>
      <c r="Y26" s="36" t="s">
        <v>155</v>
      </c>
      <c r="Z26" s="36" t="s">
        <v>155</v>
      </c>
      <c r="AC26" s="32"/>
      <c r="AD26" s="32"/>
      <c r="AE26" s="38" t="s">
        <v>159</v>
      </c>
      <c r="AF26" s="38" t="s">
        <v>159</v>
      </c>
      <c r="AG26" s="32"/>
      <c r="AH26" s="32"/>
      <c r="AI26" s="32"/>
      <c r="AN26" s="743"/>
      <c r="AO26" s="32"/>
      <c r="AQ26" s="100"/>
      <c r="AT26" s="32"/>
      <c r="AU26" s="109" t="s">
        <v>209</v>
      </c>
      <c r="AV26" s="109" t="s">
        <v>209</v>
      </c>
      <c r="AX26" s="55">
        <v>3</v>
      </c>
      <c r="AY26" s="56" t="s">
        <v>161</v>
      </c>
      <c r="AZ26" s="34" t="s">
        <v>152</v>
      </c>
      <c r="BA26" s="34" t="s">
        <v>152</v>
      </c>
      <c r="BB26" s="56" t="s">
        <v>161</v>
      </c>
      <c r="BC26" s="57">
        <v>6</v>
      </c>
      <c r="BD26" s="55">
        <v>3</v>
      </c>
      <c r="BE26" s="112" t="s">
        <v>161</v>
      </c>
      <c r="BF26" s="34" t="s">
        <v>152</v>
      </c>
      <c r="BG26" s="34" t="s">
        <v>152</v>
      </c>
      <c r="BH26" s="112" t="s">
        <v>161</v>
      </c>
      <c r="BI26" s="57">
        <v>6</v>
      </c>
      <c r="BN26" s="55">
        <v>4</v>
      </c>
      <c r="BO26" s="107" t="s">
        <v>192</v>
      </c>
      <c r="BP26" s="34" t="s">
        <v>152</v>
      </c>
      <c r="BQ26" s="34" t="s">
        <v>152</v>
      </c>
      <c r="BR26" s="107" t="s">
        <v>192</v>
      </c>
      <c r="BS26" s="57">
        <v>5</v>
      </c>
      <c r="BU26" s="32"/>
      <c r="BV26" s="108"/>
      <c r="BW26" s="92"/>
      <c r="BX26" s="92"/>
      <c r="BY26" s="92"/>
      <c r="BZ26" s="108"/>
      <c r="CA26" s="32"/>
      <c r="CB26" s="111"/>
    </row>
    <row r="27" spans="1:80" ht="21.75" thickBot="1" x14ac:dyDescent="0.35">
      <c r="A27" s="731"/>
      <c r="B27" s="719"/>
      <c r="C27" s="727"/>
      <c r="D27" s="727"/>
      <c r="E27" s="719"/>
      <c r="F27" s="32"/>
      <c r="G27" s="115"/>
      <c r="H27" s="32"/>
      <c r="I27" s="32"/>
      <c r="J27" s="32"/>
      <c r="K27" s="32"/>
      <c r="L27" s="32"/>
      <c r="M27" s="69" t="s">
        <v>179</v>
      </c>
      <c r="N27" s="69" t="s">
        <v>179</v>
      </c>
      <c r="R27" s="68" t="s">
        <v>183</v>
      </c>
      <c r="S27" s="59" t="s">
        <v>177</v>
      </c>
      <c r="Y27" s="36" t="s">
        <v>155</v>
      </c>
      <c r="Z27" s="36" t="s">
        <v>155</v>
      </c>
      <c r="AC27" s="32"/>
      <c r="AD27" s="32"/>
      <c r="AE27" s="777" t="s">
        <v>216</v>
      </c>
      <c r="AF27" s="777"/>
      <c r="AG27" s="32"/>
      <c r="AH27" s="32"/>
      <c r="AI27" s="32"/>
      <c r="AN27" s="39"/>
      <c r="AO27" s="32"/>
      <c r="AT27" s="32"/>
      <c r="AX27" s="55">
        <v>4</v>
      </c>
      <c r="AY27" s="56" t="s">
        <v>161</v>
      </c>
      <c r="AZ27" s="34" t="s">
        <v>152</v>
      </c>
      <c r="BA27" s="34" t="s">
        <v>152</v>
      </c>
      <c r="BB27" s="56" t="s">
        <v>161</v>
      </c>
      <c r="BC27" s="57">
        <v>5</v>
      </c>
      <c r="BD27" s="55">
        <v>4</v>
      </c>
      <c r="BE27" s="112" t="s">
        <v>161</v>
      </c>
      <c r="BF27" s="34" t="s">
        <v>152</v>
      </c>
      <c r="BG27" s="34" t="s">
        <v>152</v>
      </c>
      <c r="BH27" s="112" t="s">
        <v>161</v>
      </c>
      <c r="BI27" s="57">
        <v>5</v>
      </c>
      <c r="BO27" s="116"/>
      <c r="BP27" s="107"/>
      <c r="BQ27" s="107"/>
      <c r="BR27" s="116"/>
      <c r="BS27" s="32"/>
      <c r="BV27" s="32"/>
      <c r="BW27" s="108"/>
      <c r="BX27" s="108"/>
      <c r="BY27" s="108"/>
      <c r="BZ27" s="32"/>
      <c r="CA27" s="39"/>
    </row>
    <row r="28" spans="1:80" ht="19.5" thickBot="1" x14ac:dyDescent="0.3">
      <c r="A28" s="731"/>
      <c r="B28" s="719"/>
      <c r="C28" s="727"/>
      <c r="D28" s="727"/>
      <c r="E28" s="719"/>
      <c r="F28" s="32"/>
      <c r="G28" s="55"/>
      <c r="H28" s="32"/>
      <c r="I28" s="32"/>
      <c r="J28" s="32"/>
      <c r="K28" s="32"/>
      <c r="L28" s="32"/>
      <c r="M28" s="32"/>
      <c r="N28" s="32"/>
      <c r="O28" s="32"/>
      <c r="P28" s="32"/>
      <c r="U28" s="32"/>
      <c r="AC28" s="32"/>
      <c r="AD28" s="32"/>
      <c r="AE28" s="32"/>
      <c r="AF28" s="32"/>
      <c r="AG28" s="32"/>
      <c r="AH28" s="32"/>
      <c r="AN28" s="39"/>
      <c r="AO28" s="32"/>
      <c r="AT28" s="32"/>
      <c r="AW28" s="32"/>
      <c r="AX28" s="32"/>
      <c r="AY28" s="32"/>
      <c r="AZ28" s="56"/>
      <c r="BA28" s="56"/>
      <c r="BB28" s="32"/>
      <c r="BC28" s="32"/>
      <c r="BF28" s="110"/>
      <c r="BG28" s="110"/>
      <c r="BJ28" s="737"/>
      <c r="BK28" s="737"/>
      <c r="BW28" s="744" t="s">
        <v>217</v>
      </c>
      <c r="BX28" s="744"/>
      <c r="BY28" s="745"/>
      <c r="CA28" s="39"/>
    </row>
    <row r="29" spans="1:80" ht="15.75" thickBot="1" x14ac:dyDescent="0.3">
      <c r="A29" s="731"/>
      <c r="B29" s="719"/>
      <c r="C29" s="727"/>
      <c r="D29" s="727"/>
      <c r="E29" s="719"/>
      <c r="F29" s="32"/>
      <c r="G29" s="55"/>
      <c r="H29" s="32"/>
      <c r="I29" s="32"/>
      <c r="J29" s="32"/>
      <c r="K29" s="32"/>
      <c r="L29" s="32"/>
      <c r="M29" s="737"/>
      <c r="N29" s="737"/>
      <c r="O29" s="32"/>
      <c r="P29" s="32"/>
      <c r="Q29" s="32"/>
      <c r="T29" s="32"/>
      <c r="U29" s="32"/>
      <c r="AC29" s="32"/>
      <c r="AD29" s="32"/>
      <c r="AE29" s="32"/>
      <c r="AF29" s="32"/>
      <c r="AG29" s="32"/>
      <c r="AH29" s="32"/>
      <c r="AN29" s="39"/>
      <c r="AO29" s="32"/>
      <c r="AT29" s="32"/>
      <c r="AW29" s="32"/>
      <c r="AX29" s="32"/>
      <c r="BC29" s="32"/>
      <c r="BJ29" s="738"/>
      <c r="BK29" s="738"/>
      <c r="BL29" s="32"/>
      <c r="BM29" s="32"/>
      <c r="BN29" s="32"/>
      <c r="BO29" s="32"/>
      <c r="BP29" s="32"/>
      <c r="BQ29" s="32"/>
      <c r="BR29" s="32"/>
      <c r="BS29" s="32"/>
      <c r="CA29" s="39"/>
    </row>
    <row r="30" spans="1:80" ht="21.75" thickBot="1" x14ac:dyDescent="0.3">
      <c r="A30" s="731"/>
      <c r="B30" s="719"/>
      <c r="C30" s="727"/>
      <c r="D30" s="727"/>
      <c r="E30" s="719"/>
      <c r="F30" s="32"/>
      <c r="G30" s="32"/>
      <c r="H30" s="32"/>
      <c r="K30" s="32"/>
      <c r="L30" s="32"/>
      <c r="M30" s="738"/>
      <c r="N30" s="738"/>
      <c r="O30" s="32"/>
      <c r="P30" s="32"/>
      <c r="Q30" s="42"/>
      <c r="T30" s="117"/>
      <c r="U30" s="32"/>
      <c r="AC30" s="32"/>
      <c r="AD30" s="32"/>
      <c r="AE30" s="32"/>
      <c r="AF30" s="32"/>
      <c r="AG30" s="32"/>
      <c r="AH30" s="32"/>
      <c r="AN30" s="39"/>
      <c r="AO30" s="32"/>
      <c r="AT30" s="32"/>
      <c r="AW30" s="32"/>
      <c r="BI30" s="32"/>
      <c r="BJ30" s="32"/>
      <c r="BK30" s="32"/>
      <c r="BL30" s="32"/>
      <c r="BM30" s="32"/>
      <c r="BN30" s="32"/>
      <c r="BO30" s="32"/>
      <c r="BP30" s="32"/>
      <c r="BQ30" s="32"/>
      <c r="BS30" s="32"/>
      <c r="BZ30" s="32"/>
      <c r="CA30" s="39"/>
    </row>
    <row r="31" spans="1:80" ht="18.75" x14ac:dyDescent="0.25">
      <c r="A31" s="731"/>
      <c r="B31" s="719"/>
      <c r="C31" s="735"/>
      <c r="D31" s="735"/>
      <c r="E31" s="721"/>
      <c r="F31" s="32"/>
      <c r="G31" s="32"/>
      <c r="H31" s="32"/>
      <c r="K31" s="32"/>
      <c r="M31" s="32"/>
      <c r="N31" s="32"/>
      <c r="O31" s="32"/>
      <c r="P31" s="32"/>
      <c r="Q31" s="118"/>
      <c r="T31" s="118"/>
      <c r="U31" s="32"/>
      <c r="AC31" s="32"/>
      <c r="AG31" s="32"/>
      <c r="AH31" s="32"/>
      <c r="AN31" s="39"/>
      <c r="AO31" s="32"/>
      <c r="AT31" s="32"/>
      <c r="AW31" s="32"/>
      <c r="BI31" s="32"/>
      <c r="BL31" s="32"/>
      <c r="BM31" s="32"/>
      <c r="BN31" s="32"/>
      <c r="BS31" s="32"/>
      <c r="BV31" s="119" t="s">
        <v>218</v>
      </c>
      <c r="BW31" s="120">
        <v>7</v>
      </c>
      <c r="BX31" s="120">
        <v>6</v>
      </c>
      <c r="BY31" s="120">
        <v>5</v>
      </c>
      <c r="BZ31" s="53" t="s">
        <v>208</v>
      </c>
      <c r="CA31" s="39"/>
    </row>
    <row r="32" spans="1:80" ht="21" x14ac:dyDescent="0.25">
      <c r="A32" s="731"/>
      <c r="B32" s="719"/>
      <c r="C32" s="32"/>
      <c r="D32" s="32"/>
      <c r="E32" s="32"/>
      <c r="F32" s="32"/>
      <c r="G32" s="32"/>
      <c r="H32" s="32"/>
      <c r="K32" s="32"/>
      <c r="L32" s="32"/>
      <c r="O32" s="32"/>
      <c r="P32" s="32"/>
      <c r="Q32" s="118"/>
      <c r="R32" s="118"/>
      <c r="S32" s="118"/>
      <c r="T32" s="32"/>
      <c r="U32" s="32"/>
      <c r="AC32" s="32"/>
      <c r="AG32" s="32"/>
      <c r="AH32" s="32"/>
      <c r="AN32" s="39"/>
      <c r="AO32" s="32"/>
      <c r="AT32" s="32"/>
      <c r="AU32" s="52"/>
      <c r="AV32" s="52"/>
      <c r="AW32" s="44"/>
      <c r="AZ32" s="80"/>
      <c r="BA32" s="80"/>
      <c r="BE32" s="89"/>
      <c r="BF32" s="89"/>
      <c r="BI32" s="63" t="s">
        <v>219</v>
      </c>
      <c r="BJ32" s="64"/>
      <c r="BK32" s="64"/>
      <c r="BM32" s="32"/>
      <c r="BO32" s="63" t="s">
        <v>187</v>
      </c>
      <c r="BP32" s="64"/>
      <c r="BQ32" s="64"/>
      <c r="BV32" s="121"/>
      <c r="BW32" s="92"/>
      <c r="BX32" s="92"/>
      <c r="BY32" s="92"/>
      <c r="BZ32" s="64"/>
      <c r="CA32" s="39"/>
    </row>
    <row r="33" spans="1:80" ht="21" x14ac:dyDescent="0.3">
      <c r="A33" s="731"/>
      <c r="B33" s="719"/>
      <c r="C33" s="32"/>
      <c r="D33" s="32"/>
      <c r="E33" s="32"/>
      <c r="F33" s="32"/>
      <c r="G33" s="32"/>
      <c r="H33" s="32"/>
      <c r="K33" s="32"/>
      <c r="Q33" s="118"/>
      <c r="R33" s="782" t="s">
        <v>220</v>
      </c>
      <c r="S33" s="782"/>
      <c r="AN33" s="39"/>
      <c r="AO33" s="36" t="s">
        <v>155</v>
      </c>
      <c r="AP33" s="36" t="s">
        <v>155</v>
      </c>
      <c r="AQ33" s="36" t="s">
        <v>155</v>
      </c>
      <c r="AR33" s="36" t="s">
        <v>155</v>
      </c>
      <c r="AS33" s="55">
        <v>1</v>
      </c>
      <c r="AT33" s="56" t="s">
        <v>161</v>
      </c>
      <c r="AU33" s="34" t="s">
        <v>152</v>
      </c>
      <c r="AV33" s="34" t="s">
        <v>152</v>
      </c>
      <c r="AW33" s="56" t="s">
        <v>161</v>
      </c>
      <c r="AX33" s="44" t="s">
        <v>221</v>
      </c>
      <c r="AY33" s="80" t="s">
        <v>161</v>
      </c>
      <c r="AZ33" s="34" t="s">
        <v>152</v>
      </c>
      <c r="BA33" s="34" t="s">
        <v>152</v>
      </c>
      <c r="BB33" s="80" t="s">
        <v>161</v>
      </c>
      <c r="BC33" s="44" t="s">
        <v>221</v>
      </c>
      <c r="BD33" s="89" t="s">
        <v>192</v>
      </c>
      <c r="BE33" s="34" t="s">
        <v>152</v>
      </c>
      <c r="BF33" s="34" t="s">
        <v>152</v>
      </c>
      <c r="BG33" s="89" t="s">
        <v>192</v>
      </c>
      <c r="BI33" s="121"/>
      <c r="BJ33" s="66"/>
      <c r="BK33" s="66"/>
      <c r="BL33" s="64"/>
      <c r="BM33" s="32"/>
      <c r="BO33" s="121"/>
      <c r="BP33" s="92"/>
      <c r="BQ33" s="92"/>
      <c r="BR33" s="64"/>
      <c r="BV33" s="92"/>
      <c r="BW33" s="8" t="s">
        <v>76</v>
      </c>
      <c r="BX33" s="8" t="s">
        <v>76</v>
      </c>
      <c r="BY33" s="8" t="s">
        <v>76</v>
      </c>
      <c r="BZ33" s="92"/>
      <c r="CA33" s="39"/>
    </row>
    <row r="34" spans="1:80" ht="21" x14ac:dyDescent="0.3">
      <c r="A34" s="731"/>
      <c r="B34" s="719"/>
      <c r="C34" s="32"/>
      <c r="D34" s="32"/>
      <c r="E34" s="32"/>
      <c r="F34" s="32"/>
      <c r="G34" s="32"/>
      <c r="H34" s="32"/>
      <c r="K34" s="32"/>
      <c r="Q34" s="118"/>
      <c r="R34" s="36" t="s">
        <v>155</v>
      </c>
      <c r="S34" s="36" t="s">
        <v>155</v>
      </c>
      <c r="Y34" s="69" t="s">
        <v>179</v>
      </c>
      <c r="Z34" s="69" t="s">
        <v>179</v>
      </c>
      <c r="AE34" s="783" t="s">
        <v>222</v>
      </c>
      <c r="AF34" s="783"/>
      <c r="AN34" s="39"/>
      <c r="AO34" s="36" t="s">
        <v>155</v>
      </c>
      <c r="AP34" s="36" t="s">
        <v>155</v>
      </c>
      <c r="AQ34" s="36" t="s">
        <v>155</v>
      </c>
      <c r="AR34" s="36" t="s">
        <v>155</v>
      </c>
      <c r="AS34" s="55">
        <v>2</v>
      </c>
      <c r="AT34" s="56" t="s">
        <v>161</v>
      </c>
      <c r="AU34" s="34" t="s">
        <v>152</v>
      </c>
      <c r="AV34" s="34" t="s">
        <v>152</v>
      </c>
      <c r="AW34" s="56" t="s">
        <v>161</v>
      </c>
      <c r="AX34" s="44" t="s">
        <v>223</v>
      </c>
      <c r="AY34" s="80" t="s">
        <v>161</v>
      </c>
      <c r="AZ34" s="34" t="s">
        <v>152</v>
      </c>
      <c r="BA34" s="34" t="s">
        <v>152</v>
      </c>
      <c r="BB34" s="80" t="s">
        <v>161</v>
      </c>
      <c r="BC34" s="44" t="s">
        <v>223</v>
      </c>
      <c r="BD34" s="89" t="s">
        <v>192</v>
      </c>
      <c r="BE34" s="34" t="s">
        <v>152</v>
      </c>
      <c r="BF34" s="34" t="s">
        <v>152</v>
      </c>
      <c r="BG34" s="89" t="s">
        <v>192</v>
      </c>
      <c r="BI34" s="66" t="s">
        <v>181</v>
      </c>
      <c r="BJ34" s="3" t="s">
        <v>6</v>
      </c>
      <c r="BK34" s="27" t="s">
        <v>131</v>
      </c>
      <c r="BL34" s="66" t="s">
        <v>181</v>
      </c>
      <c r="BM34" s="32"/>
      <c r="BN34" s="64"/>
      <c r="BO34" s="92"/>
      <c r="BP34" s="122" t="s">
        <v>11</v>
      </c>
      <c r="BQ34" s="10" t="s">
        <v>9</v>
      </c>
      <c r="BR34" s="92"/>
      <c r="BS34" s="64"/>
      <c r="BV34" s="92"/>
      <c r="BW34" s="122" t="s">
        <v>11</v>
      </c>
      <c r="BX34" s="123" t="s">
        <v>28</v>
      </c>
      <c r="BY34" s="123" t="s">
        <v>28</v>
      </c>
      <c r="BZ34" s="92"/>
      <c r="CA34" s="39"/>
    </row>
    <row r="35" spans="1:80" ht="21" x14ac:dyDescent="0.3">
      <c r="A35" s="732"/>
      <c r="B35" s="721"/>
      <c r="C35" s="32"/>
      <c r="D35" s="32"/>
      <c r="E35" s="32"/>
      <c r="F35" s="32"/>
      <c r="G35" s="32"/>
      <c r="H35" s="32"/>
      <c r="I35" s="124" t="s">
        <v>166</v>
      </c>
      <c r="J35" s="124" t="s">
        <v>166</v>
      </c>
      <c r="K35" s="32"/>
      <c r="M35" s="69" t="s">
        <v>179</v>
      </c>
      <c r="N35" s="69" t="s">
        <v>179</v>
      </c>
      <c r="R35" s="36" t="s">
        <v>155</v>
      </c>
      <c r="S35" s="36" t="s">
        <v>155</v>
      </c>
      <c r="Y35" s="69" t="s">
        <v>179</v>
      </c>
      <c r="Z35" s="69" t="s">
        <v>179</v>
      </c>
      <c r="AE35" s="99" t="s">
        <v>201</v>
      </c>
      <c r="AF35" s="99" t="s">
        <v>201</v>
      </c>
      <c r="AN35" s="39"/>
      <c r="AO35" s="32"/>
      <c r="AP35" s="32"/>
      <c r="AQ35" s="32"/>
      <c r="AR35" s="32"/>
      <c r="AS35" s="32"/>
      <c r="AT35" s="44"/>
      <c r="AU35" s="52"/>
      <c r="AV35" s="52"/>
      <c r="AW35" s="44"/>
      <c r="AZ35" s="80"/>
      <c r="BA35" s="80"/>
      <c r="BE35" s="89"/>
      <c r="BF35" s="89"/>
      <c r="BI35" s="66" t="s">
        <v>181</v>
      </c>
      <c r="BJ35" s="27" t="s">
        <v>131</v>
      </c>
      <c r="BK35" s="27" t="s">
        <v>131</v>
      </c>
      <c r="BL35" s="66" t="s">
        <v>181</v>
      </c>
      <c r="BM35" s="32"/>
      <c r="BN35" s="64"/>
      <c r="BO35" s="92"/>
      <c r="BP35" s="8" t="s">
        <v>76</v>
      </c>
      <c r="BQ35" s="10" t="s">
        <v>9</v>
      </c>
      <c r="BR35" s="92"/>
      <c r="BS35" s="64"/>
      <c r="BT35" s="32"/>
      <c r="BU35" s="32"/>
      <c r="BV35" s="64"/>
      <c r="BW35" s="92"/>
      <c r="BX35" s="92"/>
      <c r="BY35" s="92"/>
      <c r="BZ35" s="64"/>
      <c r="CA35" s="39"/>
    </row>
    <row r="36" spans="1:80" ht="18.75" x14ac:dyDescent="0.3">
      <c r="A36" s="125"/>
      <c r="B36" s="32"/>
      <c r="C36" s="32"/>
      <c r="D36" s="32"/>
      <c r="E36" s="32"/>
      <c r="F36" s="32"/>
      <c r="G36" s="32"/>
      <c r="H36" s="32"/>
      <c r="I36" s="124" t="s">
        <v>166</v>
      </c>
      <c r="J36" s="124" t="s">
        <v>166</v>
      </c>
      <c r="K36" s="32"/>
      <c r="M36" s="69" t="s">
        <v>179</v>
      </c>
      <c r="N36" s="69" t="s">
        <v>179</v>
      </c>
      <c r="R36" s="36" t="s">
        <v>155</v>
      </c>
      <c r="S36" s="36" t="s">
        <v>155</v>
      </c>
      <c r="Y36" s="69" t="s">
        <v>179</v>
      </c>
      <c r="Z36" s="69" t="s">
        <v>179</v>
      </c>
      <c r="AE36" s="99" t="s">
        <v>201</v>
      </c>
      <c r="AF36" s="99" t="s">
        <v>201</v>
      </c>
      <c r="AN36" s="39"/>
      <c r="AO36" s="32"/>
      <c r="AP36" s="32"/>
      <c r="AQ36" s="32"/>
      <c r="AR36" s="32"/>
      <c r="AS36" s="32"/>
      <c r="AT36" s="779" t="s">
        <v>194</v>
      </c>
      <c r="AU36" s="747"/>
      <c r="AV36" s="747"/>
      <c r="AW36" s="747"/>
      <c r="AY36" s="779" t="s">
        <v>194</v>
      </c>
      <c r="AZ36" s="747"/>
      <c r="BA36" s="747"/>
      <c r="BB36" s="747"/>
      <c r="BD36" s="779" t="s">
        <v>165</v>
      </c>
      <c r="BE36" s="779"/>
      <c r="BF36" s="779"/>
      <c r="BG36" s="779"/>
      <c r="BI36" s="64"/>
      <c r="BJ36" s="66"/>
      <c r="BK36" s="66"/>
      <c r="BL36" s="64"/>
      <c r="BM36" s="32"/>
      <c r="BN36" s="32"/>
      <c r="BO36" s="64"/>
      <c r="BP36" s="92"/>
      <c r="BQ36" s="92"/>
      <c r="BR36" s="64"/>
      <c r="BS36" s="32"/>
      <c r="BT36" s="32"/>
      <c r="BU36" s="32"/>
      <c r="BW36" s="120">
        <v>2</v>
      </c>
      <c r="BX36" s="120">
        <v>3</v>
      </c>
      <c r="BY36" s="120">
        <v>4</v>
      </c>
      <c r="CA36" s="39"/>
    </row>
    <row r="37" spans="1:80" ht="15.75" x14ac:dyDescent="0.25">
      <c r="A37" s="125"/>
      <c r="B37" s="32"/>
      <c r="C37" s="32"/>
      <c r="D37" s="32"/>
      <c r="E37" s="32"/>
      <c r="F37" s="32"/>
      <c r="G37" s="32"/>
      <c r="H37" s="32"/>
      <c r="I37" s="124" t="s">
        <v>166</v>
      </c>
      <c r="J37" s="124" t="s">
        <v>166</v>
      </c>
      <c r="K37" s="32"/>
      <c r="AN37" s="39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64"/>
      <c r="BK37" s="64"/>
      <c r="BL37" s="32"/>
      <c r="BM37" s="32"/>
      <c r="BN37" s="32"/>
      <c r="BO37" s="32"/>
      <c r="BP37" s="64"/>
      <c r="BQ37" s="64"/>
      <c r="BR37" s="32"/>
      <c r="BS37" s="32"/>
      <c r="BT37" s="32"/>
      <c r="BU37" s="32"/>
      <c r="BV37" s="32"/>
      <c r="BW37" s="32"/>
      <c r="BX37" s="32"/>
      <c r="BY37" s="32"/>
      <c r="BZ37" s="32"/>
      <c r="CA37" s="39"/>
    </row>
    <row r="38" spans="1:80" x14ac:dyDescent="0.25">
      <c r="A38" s="125"/>
      <c r="B38" s="32"/>
      <c r="C38" s="32"/>
      <c r="D38" s="32"/>
      <c r="E38" s="32"/>
      <c r="F38" s="32"/>
      <c r="G38" s="32"/>
      <c r="H38" s="32"/>
      <c r="K38" s="32"/>
      <c r="AN38" s="39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9"/>
    </row>
    <row r="39" spans="1:80" ht="18.75" x14ac:dyDescent="0.25">
      <c r="A39" s="125"/>
      <c r="B39" s="32"/>
      <c r="C39" s="32"/>
      <c r="D39" s="32"/>
      <c r="E39" s="32"/>
      <c r="F39" s="32"/>
      <c r="G39" s="32"/>
      <c r="H39" s="32"/>
      <c r="K39" s="32"/>
      <c r="M39" s="765" t="s">
        <v>224</v>
      </c>
      <c r="N39" s="765"/>
      <c r="Q39" s="32"/>
      <c r="R39" s="49" t="s">
        <v>194</v>
      </c>
      <c r="S39" s="104"/>
      <c r="U39" s="126"/>
      <c r="W39" s="32"/>
      <c r="X39" s="32"/>
      <c r="Y39" s="49" t="s">
        <v>165</v>
      </c>
      <c r="Z39" s="49"/>
      <c r="AA39" s="32"/>
      <c r="AB39" s="32"/>
      <c r="AN39" s="39"/>
      <c r="AO39" s="32"/>
      <c r="AP39" s="32"/>
      <c r="AQ39" s="32"/>
      <c r="AR39" s="32"/>
      <c r="AS39" s="32"/>
      <c r="AT39" s="32"/>
      <c r="AX39" s="775" t="s">
        <v>165</v>
      </c>
      <c r="AY39" s="775"/>
      <c r="AZ39" s="775"/>
      <c r="BA39" s="775"/>
      <c r="BB39" s="775"/>
      <c r="BC39" s="32"/>
      <c r="BD39" s="32"/>
      <c r="BE39" s="775" t="s">
        <v>165</v>
      </c>
      <c r="BF39" s="775"/>
      <c r="BG39" s="775"/>
      <c r="BH39" s="775"/>
      <c r="BI39" s="775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9"/>
    </row>
    <row r="40" spans="1:80" ht="21" x14ac:dyDescent="0.25">
      <c r="A40" s="125"/>
      <c r="H40" s="32"/>
      <c r="K40" s="32"/>
      <c r="M40" s="56"/>
      <c r="N40" s="56"/>
      <c r="O40" s="42" t="s">
        <v>225</v>
      </c>
      <c r="P40" s="32"/>
      <c r="Q40" s="42" t="s">
        <v>226</v>
      </c>
      <c r="R40" s="112"/>
      <c r="S40" s="112"/>
      <c r="T40" s="53"/>
      <c r="U40" s="127"/>
      <c r="W40" s="32"/>
      <c r="X40" s="42" t="s">
        <v>227</v>
      </c>
      <c r="Y40" s="107"/>
      <c r="Z40" s="107"/>
      <c r="AA40" s="53" t="s">
        <v>207</v>
      </c>
      <c r="AB40" s="32"/>
      <c r="AN40" s="39"/>
      <c r="AO40" s="32"/>
      <c r="AP40" s="32"/>
      <c r="AQ40" s="32"/>
      <c r="AR40" s="32"/>
      <c r="AS40" s="32"/>
      <c r="AU40" s="32"/>
      <c r="AX40" s="44">
        <v>3</v>
      </c>
      <c r="AZ40" s="44">
        <v>2</v>
      </c>
      <c r="BB40" s="44">
        <v>1</v>
      </c>
      <c r="BD40" s="32"/>
      <c r="BE40" s="32"/>
      <c r="BF40" s="32"/>
      <c r="BG40" s="32"/>
      <c r="BH40" s="32"/>
      <c r="BI40" s="32"/>
      <c r="BN40" s="32"/>
      <c r="BP40" s="32"/>
      <c r="BQ40" s="32"/>
      <c r="BR40" s="32"/>
      <c r="BS40" s="32"/>
      <c r="BT40" s="32"/>
      <c r="BU40" s="32"/>
      <c r="BV40" s="32"/>
      <c r="BW40" s="119" t="s">
        <v>206</v>
      </c>
      <c r="BX40" s="128">
        <v>4</v>
      </c>
      <c r="BY40" s="128">
        <v>3</v>
      </c>
      <c r="BZ40" s="128">
        <v>2</v>
      </c>
      <c r="CA40" s="129">
        <v>1</v>
      </c>
    </row>
    <row r="41" spans="1:80" ht="23.25" x14ac:dyDescent="0.25">
      <c r="A41" s="125"/>
      <c r="E41" s="32"/>
      <c r="F41" s="32"/>
      <c r="G41" s="32"/>
      <c r="H41" s="32"/>
      <c r="I41" s="37" t="s">
        <v>158</v>
      </c>
      <c r="J41" s="37" t="s">
        <v>158</v>
      </c>
      <c r="K41" s="32"/>
      <c r="L41" s="56" t="s">
        <v>161</v>
      </c>
      <c r="M41" s="34" t="s">
        <v>152</v>
      </c>
      <c r="N41" s="34" t="s">
        <v>152</v>
      </c>
      <c r="O41" s="56" t="s">
        <v>161</v>
      </c>
      <c r="P41" s="55">
        <v>1</v>
      </c>
      <c r="Q41" s="112" t="s">
        <v>161</v>
      </c>
      <c r="R41" s="34" t="s">
        <v>152</v>
      </c>
      <c r="S41" s="34" t="s">
        <v>152</v>
      </c>
      <c r="T41" s="112" t="s">
        <v>161</v>
      </c>
      <c r="U41" s="130">
        <v>6</v>
      </c>
      <c r="W41" s="55">
        <v>1</v>
      </c>
      <c r="X41" s="107" t="s">
        <v>192</v>
      </c>
      <c r="Y41" s="34" t="s">
        <v>152</v>
      </c>
      <c r="Z41" s="34" t="s">
        <v>152</v>
      </c>
      <c r="AA41" s="107" t="s">
        <v>192</v>
      </c>
      <c r="AB41" s="57">
        <v>6</v>
      </c>
      <c r="AE41" s="83" t="s">
        <v>190</v>
      </c>
      <c r="AF41" s="83" t="s">
        <v>190</v>
      </c>
      <c r="AN41" s="39"/>
      <c r="AO41" s="785" t="s">
        <v>220</v>
      </c>
      <c r="AP41" s="786"/>
      <c r="AQ41" s="786"/>
      <c r="AR41" s="786"/>
      <c r="AS41" s="786"/>
      <c r="AT41" s="786"/>
      <c r="AU41" s="32"/>
      <c r="AV41" s="32"/>
      <c r="AW41" s="32"/>
      <c r="AX41" s="43" t="s">
        <v>161</v>
      </c>
      <c r="AZ41" s="43" t="s">
        <v>161</v>
      </c>
      <c r="BB41" s="43" t="s">
        <v>161</v>
      </c>
      <c r="BC41" s="32"/>
      <c r="BD41" s="131" t="s">
        <v>161</v>
      </c>
      <c r="BF41" s="131" t="s">
        <v>161</v>
      </c>
      <c r="BH41" s="131" t="s">
        <v>161</v>
      </c>
      <c r="BJ41" s="131" t="s">
        <v>161</v>
      </c>
      <c r="BM41" s="784" t="s">
        <v>200</v>
      </c>
      <c r="BN41" s="784"/>
      <c r="BO41" s="784"/>
      <c r="BP41" s="784"/>
      <c r="BW41" s="64"/>
      <c r="BX41" s="92"/>
      <c r="BY41" s="92"/>
      <c r="BZ41" s="92"/>
      <c r="CA41" s="132"/>
      <c r="CB41" s="111"/>
    </row>
    <row r="42" spans="1:80" ht="24" thickBot="1" x14ac:dyDescent="0.3">
      <c r="A42" s="125"/>
      <c r="I42" s="133" t="s">
        <v>158</v>
      </c>
      <c r="J42" s="133" t="s">
        <v>158</v>
      </c>
      <c r="L42" s="56" t="s">
        <v>161</v>
      </c>
      <c r="M42" s="34" t="s">
        <v>152</v>
      </c>
      <c r="N42" s="34" t="s">
        <v>152</v>
      </c>
      <c r="O42" s="56" t="s">
        <v>161</v>
      </c>
      <c r="P42" s="55">
        <v>2</v>
      </c>
      <c r="Q42" s="112" t="s">
        <v>161</v>
      </c>
      <c r="R42" s="34" t="s">
        <v>152</v>
      </c>
      <c r="S42" s="34" t="s">
        <v>152</v>
      </c>
      <c r="T42" s="112" t="s">
        <v>161</v>
      </c>
      <c r="U42" s="130">
        <v>5</v>
      </c>
      <c r="W42" s="55">
        <v>2</v>
      </c>
      <c r="X42" s="107" t="s">
        <v>192</v>
      </c>
      <c r="Y42" s="34" t="s">
        <v>152</v>
      </c>
      <c r="Z42" s="34" t="s">
        <v>152</v>
      </c>
      <c r="AA42" s="107" t="s">
        <v>192</v>
      </c>
      <c r="AB42" s="57">
        <v>5</v>
      </c>
      <c r="AE42" s="83" t="s">
        <v>190</v>
      </c>
      <c r="AF42" s="83" t="s">
        <v>190</v>
      </c>
      <c r="AK42" s="134" t="s">
        <v>228</v>
      </c>
      <c r="AL42" s="60" t="s">
        <v>178</v>
      </c>
      <c r="AN42" s="39"/>
      <c r="AO42" s="36" t="s">
        <v>155</v>
      </c>
      <c r="AP42" s="36" t="s">
        <v>155</v>
      </c>
      <c r="AQ42" s="36" t="s">
        <v>155</v>
      </c>
      <c r="AR42" s="135" t="s">
        <v>155</v>
      </c>
      <c r="AS42" s="135" t="s">
        <v>155</v>
      </c>
      <c r="AT42" s="135" t="s">
        <v>155</v>
      </c>
      <c r="AU42" s="136"/>
      <c r="AV42" s="136"/>
      <c r="AW42" s="43"/>
      <c r="AX42" s="34" t="s">
        <v>152</v>
      </c>
      <c r="AY42" s="43"/>
      <c r="AZ42" s="34" t="s">
        <v>152</v>
      </c>
      <c r="BA42" s="43"/>
      <c r="BB42" s="34" t="s">
        <v>152</v>
      </c>
      <c r="BC42" s="43"/>
      <c r="BD42" s="34" t="s">
        <v>152</v>
      </c>
      <c r="BE42" s="131"/>
      <c r="BF42" s="34" t="s">
        <v>152</v>
      </c>
      <c r="BG42" s="131"/>
      <c r="BH42" s="34" t="s">
        <v>152</v>
      </c>
      <c r="BI42" s="131"/>
      <c r="BJ42" s="34" t="s">
        <v>152</v>
      </c>
      <c r="BK42" s="131"/>
      <c r="BM42" s="99" t="s">
        <v>201</v>
      </c>
      <c r="BN42" s="99" t="s">
        <v>201</v>
      </c>
      <c r="BO42" s="99" t="s">
        <v>201</v>
      </c>
      <c r="BP42" s="99" t="s">
        <v>201</v>
      </c>
      <c r="BW42" s="92"/>
      <c r="BX42" s="96" t="s">
        <v>28</v>
      </c>
      <c r="BY42" s="96" t="s">
        <v>28</v>
      </c>
      <c r="BZ42" s="96" t="s">
        <v>28</v>
      </c>
      <c r="CA42" s="137" t="s">
        <v>28</v>
      </c>
      <c r="CB42" s="111"/>
    </row>
    <row r="43" spans="1:80" ht="21" x14ac:dyDescent="0.25">
      <c r="A43" s="125"/>
      <c r="E43" s="32"/>
      <c r="F43" s="32"/>
      <c r="G43" s="32"/>
      <c r="I43" s="138" t="s">
        <v>158</v>
      </c>
      <c r="J43" s="138" t="s">
        <v>158</v>
      </c>
      <c r="L43" s="56" t="s">
        <v>161</v>
      </c>
      <c r="M43" s="34" t="s">
        <v>152</v>
      </c>
      <c r="N43" s="34" t="s">
        <v>152</v>
      </c>
      <c r="O43" s="56" t="s">
        <v>161</v>
      </c>
      <c r="P43" s="55">
        <v>3</v>
      </c>
      <c r="Q43" s="112" t="s">
        <v>161</v>
      </c>
      <c r="R43" s="34" t="s">
        <v>152</v>
      </c>
      <c r="S43" s="34" t="s">
        <v>152</v>
      </c>
      <c r="T43" s="112" t="s">
        <v>161</v>
      </c>
      <c r="U43" s="130">
        <v>4</v>
      </c>
      <c r="W43" s="55">
        <v>3</v>
      </c>
      <c r="X43" s="107" t="s">
        <v>192</v>
      </c>
      <c r="Y43" s="34" t="s">
        <v>152</v>
      </c>
      <c r="Z43" s="34" t="s">
        <v>152</v>
      </c>
      <c r="AA43" s="107" t="s">
        <v>192</v>
      </c>
      <c r="AB43" s="57">
        <v>4</v>
      </c>
      <c r="AE43" s="83" t="s">
        <v>190</v>
      </c>
      <c r="AF43" s="83" t="s">
        <v>190</v>
      </c>
      <c r="AK43" s="139" t="s">
        <v>229</v>
      </c>
      <c r="AL43" s="139" t="s">
        <v>229</v>
      </c>
      <c r="AN43" s="32"/>
      <c r="AR43" s="140"/>
      <c r="AS43" s="141"/>
      <c r="AT43" s="142"/>
      <c r="AU43" s="751"/>
      <c r="AV43" s="751"/>
      <c r="AW43" s="752"/>
      <c r="BB43" s="141"/>
      <c r="BC43" s="141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11"/>
    </row>
    <row r="44" spans="1:80" ht="21" x14ac:dyDescent="0.25">
      <c r="A44" s="125"/>
      <c r="M44" s="56"/>
      <c r="N44" s="56"/>
      <c r="O44" s="53" t="s">
        <v>230</v>
      </c>
      <c r="R44" s="112"/>
      <c r="S44" s="112"/>
      <c r="W44" s="126"/>
      <c r="X44" s="32"/>
      <c r="Y44" s="107"/>
      <c r="Z44" s="107"/>
      <c r="AB44" s="32"/>
      <c r="AE44" s="787" t="s">
        <v>231</v>
      </c>
      <c r="AF44" s="787"/>
      <c r="AN44" s="32"/>
      <c r="AR44" s="111"/>
      <c r="AT44" s="144"/>
      <c r="AU44" s="751"/>
      <c r="AV44" s="751"/>
      <c r="AW44" s="75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9"/>
      <c r="CB44" s="111"/>
    </row>
    <row r="45" spans="1:80" x14ac:dyDescent="0.25">
      <c r="A45" s="125"/>
      <c r="C45" s="32"/>
      <c r="D45" s="32"/>
      <c r="E45" s="32"/>
      <c r="F45" s="32"/>
      <c r="G45" s="32"/>
      <c r="H45" s="32"/>
      <c r="AN45" s="32"/>
      <c r="AR45" s="111"/>
      <c r="AT45" s="144"/>
      <c r="AU45" s="751"/>
      <c r="AV45" s="751"/>
      <c r="AW45" s="75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9"/>
      <c r="CB45" s="111"/>
    </row>
    <row r="46" spans="1:80" ht="19.5" thickBot="1" x14ac:dyDescent="0.3">
      <c r="A46" s="125"/>
      <c r="H46" s="32"/>
      <c r="K46" s="32"/>
      <c r="L46" s="32"/>
      <c r="M46" s="112"/>
      <c r="N46" s="112"/>
      <c r="O46" s="50"/>
      <c r="P46" s="145"/>
      <c r="Q46" s="32"/>
      <c r="R46" s="118"/>
      <c r="S46" s="118"/>
      <c r="U46" s="32"/>
      <c r="AN46" s="32"/>
      <c r="AR46" s="111"/>
      <c r="AT46" s="144"/>
      <c r="AU46" s="751"/>
      <c r="AV46" s="751"/>
      <c r="AW46" s="75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W46" s="32"/>
      <c r="BX46" s="32"/>
      <c r="BY46" s="32"/>
      <c r="BZ46" s="32"/>
      <c r="CA46" s="39"/>
      <c r="CB46" s="111"/>
    </row>
    <row r="47" spans="1:80" x14ac:dyDescent="0.25">
      <c r="A47" s="125"/>
      <c r="B47" s="32"/>
      <c r="C47" s="32"/>
      <c r="D47" s="32"/>
      <c r="E47" s="32"/>
      <c r="F47" s="32"/>
      <c r="G47" s="32"/>
      <c r="M47" s="737"/>
      <c r="N47" s="737"/>
      <c r="R47" s="756" t="s">
        <v>232</v>
      </c>
      <c r="S47" s="756"/>
      <c r="AN47" s="32"/>
      <c r="AR47" s="111"/>
      <c r="AT47" s="144"/>
      <c r="AU47" s="751"/>
      <c r="AV47" s="751"/>
      <c r="AW47" s="752"/>
      <c r="BC47" s="32"/>
      <c r="BH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W47" s="32"/>
      <c r="BX47" s="32"/>
      <c r="BY47" s="32"/>
      <c r="BZ47" s="32"/>
      <c r="CA47" s="39"/>
      <c r="CB47" s="111"/>
    </row>
    <row r="48" spans="1:80" ht="16.5" thickBot="1" x14ac:dyDescent="0.3">
      <c r="A48" s="125"/>
      <c r="B48" s="32"/>
      <c r="C48" s="32"/>
      <c r="D48" s="32"/>
      <c r="E48" s="32"/>
      <c r="F48" s="32"/>
      <c r="M48" s="738"/>
      <c r="N48" s="738"/>
      <c r="Q48" s="119" t="s">
        <v>210</v>
      </c>
      <c r="R48" s="128"/>
      <c r="S48" s="128"/>
      <c r="Y48" s="756" t="s">
        <v>232</v>
      </c>
      <c r="Z48" s="756"/>
      <c r="AK48" s="68" t="s">
        <v>183</v>
      </c>
      <c r="AL48" s="68" t="s">
        <v>183</v>
      </c>
      <c r="AR48" s="111"/>
      <c r="AT48" s="144"/>
      <c r="AU48" s="751"/>
      <c r="AV48" s="751"/>
      <c r="AW48" s="752"/>
      <c r="BH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W48" s="32"/>
      <c r="BX48" s="32"/>
      <c r="BY48" s="32"/>
      <c r="BZ48" s="32"/>
      <c r="CA48" s="39"/>
    </row>
    <row r="49" spans="1:79" ht="18.75" x14ac:dyDescent="0.3">
      <c r="A49" s="125"/>
      <c r="B49" s="32"/>
      <c r="C49" s="32"/>
      <c r="D49" s="32"/>
      <c r="E49" s="32"/>
      <c r="F49" s="32"/>
      <c r="M49" s="32"/>
      <c r="N49" s="32"/>
      <c r="O49" s="32"/>
      <c r="Q49" s="121"/>
      <c r="R49" s="66"/>
      <c r="S49" s="66"/>
      <c r="T49" s="64"/>
      <c r="X49" s="119" t="s">
        <v>233</v>
      </c>
      <c r="Y49" s="128"/>
      <c r="Z49" s="128"/>
      <c r="AK49" s="68" t="s">
        <v>183</v>
      </c>
      <c r="AL49" s="68" t="s">
        <v>183</v>
      </c>
      <c r="AR49" s="111"/>
      <c r="AT49" s="144"/>
      <c r="AU49" s="751"/>
      <c r="AV49" s="751"/>
      <c r="AW49" s="752"/>
      <c r="BH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W49" s="32"/>
      <c r="BX49" s="32"/>
      <c r="BY49" s="32"/>
      <c r="BZ49" s="32"/>
      <c r="CA49" s="39"/>
    </row>
    <row r="50" spans="1:79" ht="18.75" x14ac:dyDescent="0.3">
      <c r="A50" s="146"/>
      <c r="B50" s="147"/>
      <c r="C50" s="147"/>
      <c r="D50" s="147"/>
      <c r="E50" s="147"/>
      <c r="F50" s="32"/>
      <c r="I50" s="148" t="s">
        <v>171</v>
      </c>
      <c r="J50" s="148" t="s">
        <v>171</v>
      </c>
      <c r="L50" s="119" t="s">
        <v>234</v>
      </c>
      <c r="M50" s="149"/>
      <c r="N50" s="149"/>
      <c r="O50" s="150" t="s">
        <v>235</v>
      </c>
      <c r="Q50" s="66"/>
      <c r="R50" s="7" t="s">
        <v>110</v>
      </c>
      <c r="S50" s="11" t="s">
        <v>118</v>
      </c>
      <c r="T50" s="66"/>
      <c r="X50" s="121"/>
      <c r="Y50" s="92"/>
      <c r="Z50" s="92"/>
      <c r="AA50" s="64"/>
      <c r="AD50" s="151" t="s">
        <v>236</v>
      </c>
      <c r="AE50" s="97" t="s">
        <v>237</v>
      </c>
      <c r="AF50" s="97"/>
      <c r="AR50" s="111"/>
      <c r="AT50" s="144"/>
      <c r="AU50" s="751"/>
      <c r="AV50" s="751"/>
      <c r="AW50" s="752"/>
      <c r="BH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W50" s="32"/>
      <c r="BX50" s="32"/>
      <c r="BY50" s="32"/>
      <c r="BZ50" s="32"/>
      <c r="CA50" s="39"/>
    </row>
    <row r="51" spans="1:79" ht="18.75" x14ac:dyDescent="0.3">
      <c r="A51" s="146"/>
      <c r="B51" s="147"/>
      <c r="C51" s="147"/>
      <c r="D51" s="147"/>
      <c r="E51" s="147"/>
      <c r="F51" s="32"/>
      <c r="I51" s="148" t="s">
        <v>171</v>
      </c>
      <c r="J51" s="148" t="s">
        <v>171</v>
      </c>
      <c r="L51" s="149"/>
      <c r="M51" s="91"/>
      <c r="N51" s="91"/>
      <c r="O51" s="64"/>
      <c r="Q51" s="66"/>
      <c r="R51" s="7" t="s">
        <v>110</v>
      </c>
      <c r="S51" s="12" t="s">
        <v>114</v>
      </c>
      <c r="T51" s="66"/>
      <c r="W51" s="128">
        <v>1</v>
      </c>
      <c r="X51" s="92"/>
      <c r="Y51" s="3" t="s">
        <v>6</v>
      </c>
      <c r="Z51" s="152" t="s">
        <v>50</v>
      </c>
      <c r="AA51" s="92"/>
      <c r="AB51" s="128">
        <v>5</v>
      </c>
      <c r="AD51" s="119" t="s">
        <v>238</v>
      </c>
      <c r="AE51" s="153">
        <v>4</v>
      </c>
      <c r="AF51" s="153">
        <v>3</v>
      </c>
      <c r="AR51" s="111"/>
      <c r="AT51" s="144"/>
      <c r="AU51" s="751"/>
      <c r="AV51" s="751"/>
      <c r="AW51" s="752"/>
      <c r="BH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W51" s="32"/>
      <c r="BX51" s="32"/>
      <c r="BY51" s="32"/>
      <c r="BZ51" s="32"/>
      <c r="CA51" s="39"/>
    </row>
    <row r="52" spans="1:79" ht="19.5" thickBot="1" x14ac:dyDescent="0.35">
      <c r="A52" s="146"/>
      <c r="B52" s="147"/>
      <c r="C52" s="147"/>
      <c r="D52" s="147"/>
      <c r="E52" s="147"/>
      <c r="F52" s="32"/>
      <c r="I52" s="148" t="s">
        <v>171</v>
      </c>
      <c r="J52" s="148" t="s">
        <v>171</v>
      </c>
      <c r="K52" s="149"/>
      <c r="L52" s="92"/>
      <c r="M52" s="154" t="s">
        <v>76</v>
      </c>
      <c r="N52" s="155" t="s">
        <v>0</v>
      </c>
      <c r="O52" s="91" t="s">
        <v>181</v>
      </c>
      <c r="P52" s="156">
        <v>6</v>
      </c>
      <c r="Q52" s="66"/>
      <c r="R52" s="12" t="s">
        <v>114</v>
      </c>
      <c r="S52" s="12" t="s">
        <v>114</v>
      </c>
      <c r="T52" s="66"/>
      <c r="W52" s="128">
        <v>2</v>
      </c>
      <c r="X52" s="92"/>
      <c r="Y52" s="157" t="s">
        <v>39</v>
      </c>
      <c r="Z52" s="10" t="s">
        <v>9</v>
      </c>
      <c r="AA52" s="92"/>
      <c r="AB52" s="128">
        <v>6</v>
      </c>
      <c r="AD52" s="121"/>
      <c r="AE52" s="91"/>
      <c r="AF52" s="91"/>
      <c r="AG52" s="64"/>
      <c r="AR52" s="111"/>
      <c r="AT52" s="144"/>
      <c r="AU52" s="751"/>
      <c r="AV52" s="751"/>
      <c r="AW52" s="752"/>
      <c r="BH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W52" s="32"/>
      <c r="BX52" s="32"/>
      <c r="BY52" s="32"/>
      <c r="BZ52" s="32"/>
      <c r="CA52" s="39"/>
    </row>
    <row r="53" spans="1:79" ht="19.5" thickBot="1" x14ac:dyDescent="0.35">
      <c r="A53" s="757" t="s">
        <v>239</v>
      </c>
      <c r="B53" s="758"/>
      <c r="C53" s="758"/>
      <c r="D53" s="758"/>
      <c r="E53" s="759"/>
      <c r="F53" s="32"/>
      <c r="I53" s="148" t="s">
        <v>171</v>
      </c>
      <c r="J53" s="148" t="s">
        <v>171</v>
      </c>
      <c r="K53" s="149"/>
      <c r="L53" s="91" t="s">
        <v>181</v>
      </c>
      <c r="M53" s="2" t="s">
        <v>51</v>
      </c>
      <c r="N53" s="155" t="s">
        <v>0</v>
      </c>
      <c r="O53" s="91" t="s">
        <v>181</v>
      </c>
      <c r="P53" s="156">
        <v>3</v>
      </c>
      <c r="Q53" s="66"/>
      <c r="R53" s="12" t="s">
        <v>114</v>
      </c>
      <c r="S53" s="11" t="s">
        <v>118</v>
      </c>
      <c r="T53" s="66"/>
      <c r="V53" s="32"/>
      <c r="W53" s="128">
        <v>3</v>
      </c>
      <c r="X53" s="92"/>
      <c r="Y53" s="6" t="s">
        <v>27</v>
      </c>
      <c r="Z53" s="10" t="s">
        <v>9</v>
      </c>
      <c r="AA53" s="92"/>
      <c r="AB53" s="128">
        <v>7</v>
      </c>
      <c r="AD53" s="91"/>
      <c r="AE53" s="8" t="s">
        <v>76</v>
      </c>
      <c r="AF53" s="8" t="s">
        <v>76</v>
      </c>
      <c r="AG53" s="91"/>
      <c r="AJ53" s="151" t="s">
        <v>236</v>
      </c>
      <c r="AK53" s="765" t="s">
        <v>237</v>
      </c>
      <c r="AL53" s="765"/>
      <c r="AR53" s="111"/>
      <c r="AT53" s="144"/>
      <c r="AU53" s="751"/>
      <c r="AV53" s="751"/>
      <c r="AW53" s="75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W53" s="32"/>
      <c r="BX53" s="32"/>
      <c r="BY53" s="32"/>
      <c r="BZ53" s="32"/>
      <c r="CA53" s="39"/>
    </row>
    <row r="54" spans="1:79" ht="18.75" x14ac:dyDescent="0.3">
      <c r="A54" s="760"/>
      <c r="B54" s="761"/>
      <c r="C54" s="761"/>
      <c r="D54" s="761"/>
      <c r="E54" s="762"/>
      <c r="F54" s="158"/>
      <c r="I54" s="788" t="s">
        <v>240</v>
      </c>
      <c r="J54" s="788"/>
      <c r="L54" s="64"/>
      <c r="M54" s="91"/>
      <c r="N54" s="91"/>
      <c r="O54" s="64"/>
      <c r="P54" s="159"/>
      <c r="Q54" s="64"/>
      <c r="R54" s="66"/>
      <c r="S54" s="66"/>
      <c r="T54" s="64"/>
      <c r="V54" s="44"/>
      <c r="W54" s="128">
        <v>4</v>
      </c>
      <c r="X54" s="92"/>
      <c r="Y54" s="6" t="s">
        <v>27</v>
      </c>
      <c r="Z54" s="10" t="s">
        <v>9</v>
      </c>
      <c r="AA54" s="92"/>
      <c r="AB54" s="128">
        <v>8</v>
      </c>
      <c r="AD54" s="91"/>
      <c r="AE54" s="8" t="s">
        <v>76</v>
      </c>
      <c r="AF54" s="8" t="s">
        <v>76</v>
      </c>
      <c r="AG54" s="91"/>
      <c r="AJ54" s="119" t="s">
        <v>160</v>
      </c>
      <c r="AK54" s="153">
        <v>4</v>
      </c>
      <c r="AL54" s="153">
        <v>3</v>
      </c>
      <c r="AR54" s="111"/>
      <c r="AT54" s="144"/>
      <c r="AU54" s="751"/>
      <c r="AV54" s="751"/>
      <c r="AW54" s="752"/>
      <c r="BC54" s="160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9"/>
    </row>
    <row r="55" spans="1:79" ht="15.75" x14ac:dyDescent="0.25">
      <c r="A55" s="760"/>
      <c r="B55" s="761"/>
      <c r="C55" s="761"/>
      <c r="D55" s="761"/>
      <c r="E55" s="762"/>
      <c r="F55" s="158"/>
      <c r="M55" s="149"/>
      <c r="N55" s="149"/>
      <c r="R55" s="64"/>
      <c r="S55" s="64"/>
      <c r="V55" s="44"/>
      <c r="X55" s="64"/>
      <c r="Y55" s="92"/>
      <c r="Z55" s="92"/>
      <c r="AA55" s="64"/>
      <c r="AD55" s="64"/>
      <c r="AE55" s="91"/>
      <c r="AF55" s="91"/>
      <c r="AG55" s="64"/>
      <c r="AJ55" s="121"/>
      <c r="AK55" s="91"/>
      <c r="AL55" s="91"/>
      <c r="AM55" s="64"/>
      <c r="AR55" s="111"/>
      <c r="AT55" s="144"/>
      <c r="AU55" s="751"/>
      <c r="AV55" s="751"/>
      <c r="AW55" s="752"/>
      <c r="BC55" s="160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9"/>
    </row>
    <row r="56" spans="1:79" ht="18" x14ac:dyDescent="0.25">
      <c r="A56" s="760"/>
      <c r="B56" s="761"/>
      <c r="C56" s="761"/>
      <c r="D56" s="761"/>
      <c r="E56" s="762"/>
      <c r="F56" s="158"/>
      <c r="Y56" s="64"/>
      <c r="Z56" s="64"/>
      <c r="AE56" s="161">
        <v>1</v>
      </c>
      <c r="AF56" s="161">
        <v>2</v>
      </c>
      <c r="AJ56" s="91" t="s">
        <v>241</v>
      </c>
      <c r="AK56" s="123" t="s">
        <v>28</v>
      </c>
      <c r="AL56" s="152" t="s">
        <v>50</v>
      </c>
      <c r="AM56" s="91" t="s">
        <v>241</v>
      </c>
      <c r="AR56" s="111"/>
      <c r="AT56" s="144"/>
      <c r="AU56" s="751"/>
      <c r="AV56" s="751"/>
      <c r="AW56" s="752"/>
      <c r="BC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9"/>
    </row>
    <row r="57" spans="1:79" ht="18" x14ac:dyDescent="0.25">
      <c r="A57" s="760"/>
      <c r="B57" s="761"/>
      <c r="C57" s="761"/>
      <c r="D57" s="761"/>
      <c r="E57" s="762"/>
      <c r="F57" s="158"/>
      <c r="V57" s="44"/>
      <c r="W57" s="32"/>
      <c r="X57" s="32"/>
      <c r="AA57" s="32"/>
      <c r="AJ57" s="91" t="s">
        <v>241</v>
      </c>
      <c r="AK57" s="10" t="s">
        <v>9</v>
      </c>
      <c r="AL57" s="152" t="s">
        <v>50</v>
      </c>
      <c r="AM57" s="91" t="s">
        <v>241</v>
      </c>
      <c r="AR57" s="111"/>
      <c r="AT57" s="144"/>
      <c r="AU57" s="751"/>
      <c r="AV57" s="751"/>
      <c r="AW57" s="752"/>
      <c r="BC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9"/>
    </row>
    <row r="58" spans="1:79" ht="15.75" x14ac:dyDescent="0.25">
      <c r="A58" s="760"/>
      <c r="B58" s="761"/>
      <c r="C58" s="761"/>
      <c r="D58" s="761"/>
      <c r="E58" s="762"/>
      <c r="F58" s="148" t="s">
        <v>171</v>
      </c>
      <c r="I58" s="88" t="s">
        <v>154</v>
      </c>
      <c r="J58" s="88" t="s">
        <v>154</v>
      </c>
      <c r="L58" s="789" t="s">
        <v>242</v>
      </c>
      <c r="M58" s="789"/>
      <c r="N58" s="789"/>
      <c r="O58" s="789"/>
      <c r="P58" s="47" t="s">
        <v>243</v>
      </c>
      <c r="Q58" s="789" t="s">
        <v>242</v>
      </c>
      <c r="R58" s="789"/>
      <c r="S58" s="789"/>
      <c r="T58" s="789"/>
      <c r="U58" s="32"/>
      <c r="V58" s="32"/>
      <c r="W58" s="32"/>
      <c r="X58" s="32"/>
      <c r="Y58" s="32"/>
      <c r="Z58" s="32"/>
      <c r="AA58" s="32"/>
      <c r="AJ58" s="64"/>
      <c r="AK58" s="91"/>
      <c r="AL58" s="91"/>
      <c r="AM58" s="64"/>
      <c r="AR58" s="111"/>
      <c r="AT58" s="144"/>
      <c r="AU58" s="751"/>
      <c r="AV58" s="751"/>
      <c r="AW58" s="75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9"/>
    </row>
    <row r="59" spans="1:79" ht="21" x14ac:dyDescent="0.25">
      <c r="A59" s="760"/>
      <c r="B59" s="761"/>
      <c r="C59" s="761"/>
      <c r="D59" s="761"/>
      <c r="E59" s="762"/>
      <c r="F59" s="148" t="s">
        <v>171</v>
      </c>
      <c r="I59" s="88" t="s">
        <v>154</v>
      </c>
      <c r="J59" s="88" t="s">
        <v>154</v>
      </c>
      <c r="M59" s="107"/>
      <c r="N59" s="87"/>
      <c r="Q59" t="s">
        <v>244</v>
      </c>
      <c r="R59" s="162"/>
      <c r="S59" s="162"/>
      <c r="U59" s="32"/>
      <c r="V59" s="32"/>
      <c r="X59" s="119" t="s">
        <v>197</v>
      </c>
      <c r="Y59" s="149"/>
      <c r="Z59" s="149"/>
      <c r="AA59" s="150" t="s">
        <v>235</v>
      </c>
      <c r="AK59" s="161">
        <v>1</v>
      </c>
      <c r="AL59" s="161">
        <v>2</v>
      </c>
      <c r="AR59" s="111"/>
      <c r="AT59" s="144"/>
      <c r="AU59" s="751"/>
      <c r="AV59" s="751"/>
      <c r="AW59" s="75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9"/>
    </row>
    <row r="60" spans="1:79" ht="21" x14ac:dyDescent="0.25">
      <c r="A60" s="760"/>
      <c r="B60" s="761"/>
      <c r="C60" s="761"/>
      <c r="D60" s="761"/>
      <c r="E60" s="762"/>
      <c r="F60" s="148" t="s">
        <v>171</v>
      </c>
      <c r="I60" s="88" t="s">
        <v>154</v>
      </c>
      <c r="J60" s="88" t="s">
        <v>154</v>
      </c>
      <c r="L60" s="107" t="s">
        <v>192</v>
      </c>
      <c r="M60" s="34" t="s">
        <v>152</v>
      </c>
      <c r="N60" s="34" t="s">
        <v>152</v>
      </c>
      <c r="O60" s="87" t="s">
        <v>192</v>
      </c>
      <c r="P60" s="55">
        <v>1</v>
      </c>
      <c r="Q60" s="162" t="s">
        <v>192</v>
      </c>
      <c r="R60" s="34" t="s">
        <v>152</v>
      </c>
      <c r="S60" s="34" t="s">
        <v>152</v>
      </c>
      <c r="T60" s="162" t="s">
        <v>192</v>
      </c>
      <c r="U60" s="57">
        <v>6</v>
      </c>
      <c r="V60" s="32"/>
      <c r="X60" s="149"/>
      <c r="Y60" s="91"/>
      <c r="Z60" s="91"/>
      <c r="AA60" s="64"/>
      <c r="AR60" s="111"/>
      <c r="AT60" s="144"/>
      <c r="AU60" s="751"/>
      <c r="AV60" s="751"/>
      <c r="AW60" s="75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9"/>
    </row>
    <row r="61" spans="1:79" ht="21" x14ac:dyDescent="0.25">
      <c r="A61" s="760"/>
      <c r="B61" s="761"/>
      <c r="C61" s="761"/>
      <c r="D61" s="761"/>
      <c r="E61" s="762"/>
      <c r="F61" s="148" t="s">
        <v>171</v>
      </c>
      <c r="I61" s="790" t="s">
        <v>184</v>
      </c>
      <c r="J61" s="790"/>
      <c r="L61" s="107" t="s">
        <v>192</v>
      </c>
      <c r="M61" s="34" t="s">
        <v>152</v>
      </c>
      <c r="N61" s="34" t="s">
        <v>152</v>
      </c>
      <c r="O61" s="87" t="s">
        <v>192</v>
      </c>
      <c r="P61" s="55">
        <v>2</v>
      </c>
      <c r="Q61" s="162" t="s">
        <v>192</v>
      </c>
      <c r="R61" s="34" t="s">
        <v>152</v>
      </c>
      <c r="S61" s="34" t="s">
        <v>152</v>
      </c>
      <c r="T61" s="162" t="s">
        <v>192</v>
      </c>
      <c r="U61" s="57">
        <v>5</v>
      </c>
      <c r="V61" s="32"/>
      <c r="W61" s="149"/>
      <c r="X61" s="91" t="s">
        <v>245</v>
      </c>
      <c r="Y61" s="163" t="s">
        <v>73</v>
      </c>
      <c r="Z61" s="163" t="s">
        <v>73</v>
      </c>
      <c r="AA61" s="91" t="s">
        <v>245</v>
      </c>
      <c r="AB61" s="156">
        <v>6</v>
      </c>
      <c r="AE61" s="164" t="s">
        <v>246</v>
      </c>
      <c r="AF61" s="164" t="s">
        <v>246</v>
      </c>
      <c r="AR61" s="111"/>
      <c r="AT61" s="144"/>
      <c r="AU61" s="751"/>
      <c r="AV61" s="751"/>
      <c r="AW61" s="75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9"/>
    </row>
    <row r="62" spans="1:79" ht="21" x14ac:dyDescent="0.25">
      <c r="A62" s="760"/>
      <c r="B62" s="761"/>
      <c r="C62" s="761"/>
      <c r="D62" s="761"/>
      <c r="E62" s="762"/>
      <c r="F62" s="158"/>
      <c r="L62" s="107" t="s">
        <v>192</v>
      </c>
      <c r="M62" s="34" t="s">
        <v>152</v>
      </c>
      <c r="N62" s="34" t="s">
        <v>152</v>
      </c>
      <c r="O62" s="87" t="s">
        <v>192</v>
      </c>
      <c r="P62" s="55">
        <v>3</v>
      </c>
      <c r="Q62" s="162" t="s">
        <v>192</v>
      </c>
      <c r="R62" s="34" t="s">
        <v>152</v>
      </c>
      <c r="S62" s="34" t="s">
        <v>152</v>
      </c>
      <c r="T62" s="162" t="s">
        <v>192</v>
      </c>
      <c r="U62" s="57">
        <v>4</v>
      </c>
      <c r="V62" s="32"/>
      <c r="W62" s="149"/>
      <c r="X62" s="91" t="s">
        <v>245</v>
      </c>
      <c r="Y62" s="5" t="s">
        <v>2</v>
      </c>
      <c r="Z62" s="95" t="s">
        <v>4</v>
      </c>
      <c r="AA62" s="91" t="s">
        <v>245</v>
      </c>
      <c r="AB62" s="156">
        <v>3</v>
      </c>
      <c r="AE62" s="164" t="s">
        <v>246</v>
      </c>
      <c r="AF62" s="164" t="s">
        <v>246</v>
      </c>
      <c r="AK62" s="164" t="s">
        <v>246</v>
      </c>
      <c r="AL62" s="164" t="s">
        <v>246</v>
      </c>
      <c r="AR62" s="111"/>
      <c r="AT62" s="144"/>
      <c r="AU62" s="751"/>
      <c r="AV62" s="751"/>
      <c r="AW62" s="75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9"/>
    </row>
    <row r="63" spans="1:79" ht="21" x14ac:dyDescent="0.25">
      <c r="A63" s="760"/>
      <c r="B63" s="761"/>
      <c r="C63" s="761"/>
      <c r="D63" s="761"/>
      <c r="E63" s="762"/>
      <c r="F63" s="158"/>
      <c r="M63" s="107"/>
      <c r="N63" s="87"/>
      <c r="P63" s="126"/>
      <c r="R63" s="162"/>
      <c r="S63" s="162"/>
      <c r="U63" s="32"/>
      <c r="V63" s="32"/>
      <c r="X63" s="91" t="s">
        <v>245</v>
      </c>
      <c r="Y63" s="2" t="s">
        <v>51</v>
      </c>
      <c r="Z63" s="95" t="s">
        <v>4</v>
      </c>
      <c r="AA63" s="91" t="s">
        <v>245</v>
      </c>
      <c r="AB63" s="32"/>
      <c r="AC63" s="32"/>
      <c r="AE63" s="164" t="s">
        <v>246</v>
      </c>
      <c r="AF63" s="164" t="s">
        <v>246</v>
      </c>
      <c r="AK63" s="164" t="s">
        <v>246</v>
      </c>
      <c r="AL63" s="164" t="s">
        <v>246</v>
      </c>
      <c r="AR63" s="111"/>
      <c r="AT63" s="144"/>
      <c r="AU63" s="751"/>
      <c r="AV63" s="751"/>
      <c r="AW63" s="75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9"/>
    </row>
    <row r="64" spans="1:79" ht="15.75" x14ac:dyDescent="0.25">
      <c r="A64" s="760"/>
      <c r="B64" s="761"/>
      <c r="C64" s="761"/>
      <c r="D64" s="761"/>
      <c r="E64" s="762"/>
      <c r="F64" s="158"/>
      <c r="G64" s="165"/>
      <c r="P64" s="32"/>
      <c r="Q64" s="32"/>
      <c r="U64" s="32"/>
      <c r="V64" s="32"/>
      <c r="X64" s="149"/>
      <c r="Y64" s="91"/>
      <c r="Z64" s="91"/>
      <c r="AA64" s="149"/>
      <c r="AC64" s="32"/>
      <c r="AI64" s="32"/>
      <c r="AR64" s="111"/>
      <c r="AT64" s="144"/>
      <c r="AU64" s="751"/>
      <c r="AV64" s="751"/>
      <c r="AW64" s="75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9"/>
    </row>
    <row r="65" spans="1:79" ht="15.75" x14ac:dyDescent="0.25">
      <c r="A65" s="760"/>
      <c r="B65" s="761"/>
      <c r="C65" s="761"/>
      <c r="D65" s="761"/>
      <c r="E65" s="762"/>
      <c r="F65" s="158"/>
      <c r="G65" s="165"/>
      <c r="H65" s="165"/>
      <c r="I65" s="165"/>
      <c r="J65" s="165"/>
      <c r="K65" s="165"/>
      <c r="M65" s="32"/>
      <c r="N65" s="32"/>
      <c r="P65" s="32"/>
      <c r="Q65" s="32"/>
      <c r="U65" s="32"/>
      <c r="V65" s="32"/>
      <c r="W65" s="32"/>
      <c r="X65" s="32"/>
      <c r="Y65" s="149"/>
      <c r="Z65" s="149"/>
      <c r="AA65" s="32"/>
      <c r="AB65" s="32"/>
      <c r="AC65" s="32"/>
      <c r="AD65" s="32"/>
      <c r="AH65" s="32"/>
      <c r="AI65" s="32"/>
      <c r="AR65" s="111"/>
      <c r="AT65" s="144"/>
      <c r="AU65" s="751"/>
      <c r="AV65" s="751"/>
      <c r="AW65" s="75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9"/>
    </row>
    <row r="66" spans="1:79" ht="15.75" x14ac:dyDescent="0.25">
      <c r="A66" s="760"/>
      <c r="B66" s="761"/>
      <c r="C66" s="761"/>
      <c r="D66" s="761"/>
      <c r="E66" s="762"/>
      <c r="F66" s="158"/>
      <c r="G66" s="32"/>
      <c r="H66" s="32"/>
      <c r="I66" s="32"/>
      <c r="J66" s="32"/>
      <c r="K66" s="32"/>
      <c r="L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H66" s="32"/>
      <c r="AI66" s="32"/>
      <c r="AJ66" s="32"/>
      <c r="AK66" s="32"/>
      <c r="AR66" s="111"/>
      <c r="AT66" s="144"/>
      <c r="AU66" s="751"/>
      <c r="AV66" s="751"/>
      <c r="AW66" s="75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9"/>
    </row>
    <row r="67" spans="1:79" ht="15.75" x14ac:dyDescent="0.25">
      <c r="A67" s="760"/>
      <c r="B67" s="761"/>
      <c r="C67" s="761"/>
      <c r="D67" s="761"/>
      <c r="E67" s="762"/>
      <c r="F67" s="158"/>
      <c r="J67" s="32"/>
      <c r="L67" s="32"/>
      <c r="M67" s="791" t="s">
        <v>247</v>
      </c>
      <c r="N67" s="791"/>
      <c r="O67" s="791"/>
      <c r="P67" s="791" t="s">
        <v>248</v>
      </c>
      <c r="Q67" s="791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R67" s="111"/>
      <c r="AT67" s="144"/>
      <c r="AU67" s="751"/>
      <c r="AV67" s="751"/>
      <c r="AW67" s="75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9"/>
    </row>
    <row r="68" spans="1:79" x14ac:dyDescent="0.25">
      <c r="A68" s="760"/>
      <c r="B68" s="761"/>
      <c r="C68" s="761"/>
      <c r="D68" s="761"/>
      <c r="E68" s="762"/>
      <c r="F68" s="32"/>
      <c r="J68" s="1"/>
      <c r="M68" s="44">
        <v>4</v>
      </c>
      <c r="N68" s="44">
        <v>3</v>
      </c>
      <c r="O68" s="44">
        <v>2</v>
      </c>
      <c r="P68" s="44">
        <v>1</v>
      </c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R68" s="111"/>
      <c r="AT68" s="144"/>
      <c r="AU68" s="751"/>
      <c r="AV68" s="751"/>
      <c r="AW68" s="75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9"/>
    </row>
    <row r="69" spans="1:79" ht="23.25" x14ac:dyDescent="0.25">
      <c r="A69" s="760"/>
      <c r="B69" s="761"/>
      <c r="C69" s="761"/>
      <c r="D69" s="761"/>
      <c r="E69" s="762"/>
      <c r="F69" s="792" t="s">
        <v>198</v>
      </c>
      <c r="G69" s="793"/>
      <c r="H69" s="793"/>
      <c r="I69" s="793"/>
      <c r="J69" s="793"/>
      <c r="K69" s="793"/>
      <c r="L69" s="42" t="s">
        <v>249</v>
      </c>
      <c r="M69" s="43" t="s">
        <v>161</v>
      </c>
      <c r="N69" s="43" t="s">
        <v>161</v>
      </c>
      <c r="O69" s="43" t="s">
        <v>161</v>
      </c>
      <c r="P69" s="43" t="s">
        <v>161</v>
      </c>
      <c r="Q69" s="43" t="s">
        <v>161</v>
      </c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131" t="s">
        <v>161</v>
      </c>
      <c r="AH69" s="131" t="s">
        <v>161</v>
      </c>
      <c r="AI69" s="131" t="s">
        <v>161</v>
      </c>
      <c r="AJ69" s="131" t="s">
        <v>161</v>
      </c>
      <c r="AK69" s="32"/>
      <c r="AL69" s="32"/>
      <c r="AM69" s="32"/>
      <c r="AN69" s="32"/>
      <c r="AR69" s="111"/>
      <c r="AT69" s="144"/>
      <c r="AU69" s="751"/>
      <c r="AV69" s="751"/>
      <c r="AW69" s="75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9"/>
    </row>
    <row r="70" spans="1:79" ht="24" thickBot="1" x14ac:dyDescent="0.3">
      <c r="A70" s="763"/>
      <c r="B70" s="764"/>
      <c r="C70" s="764"/>
      <c r="D70" s="764"/>
      <c r="E70" s="762"/>
      <c r="F70" s="166" t="s">
        <v>190</v>
      </c>
      <c r="G70" s="166" t="s">
        <v>190</v>
      </c>
      <c r="H70" s="166" t="s">
        <v>190</v>
      </c>
      <c r="I70" s="166" t="s">
        <v>190</v>
      </c>
      <c r="J70" s="166" t="s">
        <v>190</v>
      </c>
      <c r="K70" s="166" t="s">
        <v>190</v>
      </c>
      <c r="L70" s="167"/>
      <c r="M70" s="168" t="s">
        <v>152</v>
      </c>
      <c r="N70" s="168" t="s">
        <v>152</v>
      </c>
      <c r="O70" s="168" t="s">
        <v>152</v>
      </c>
      <c r="P70" s="168" t="s">
        <v>152</v>
      </c>
      <c r="Q70" s="168" t="s">
        <v>152</v>
      </c>
      <c r="R70" s="43"/>
      <c r="S70" s="169" t="s">
        <v>179</v>
      </c>
      <c r="T70" s="169" t="s">
        <v>179</v>
      </c>
      <c r="U70" s="169" t="s">
        <v>179</v>
      </c>
      <c r="V70" s="169" t="s">
        <v>179</v>
      </c>
      <c r="W70" s="40"/>
      <c r="X70" s="32"/>
      <c r="Y70" s="32"/>
      <c r="Z70" s="32"/>
      <c r="AA70" s="32"/>
      <c r="AB70" s="32"/>
      <c r="AC70" s="32"/>
      <c r="AD70" s="32"/>
      <c r="AE70" s="32"/>
      <c r="AF70" s="131"/>
      <c r="AG70" s="168" t="s">
        <v>152</v>
      </c>
      <c r="AH70" s="168" t="s">
        <v>152</v>
      </c>
      <c r="AI70" s="168" t="s">
        <v>152</v>
      </c>
      <c r="AJ70" s="168" t="s">
        <v>152</v>
      </c>
      <c r="AK70" s="131"/>
      <c r="AL70" s="32"/>
      <c r="AM70" s="32"/>
      <c r="AN70" s="32"/>
      <c r="AO70" s="32"/>
      <c r="AP70" s="32"/>
      <c r="AQ70" s="32"/>
      <c r="AR70" s="170"/>
      <c r="AS70" s="32"/>
      <c r="AT70" s="144"/>
      <c r="AU70" s="751"/>
      <c r="AV70" s="753"/>
      <c r="AW70" s="754"/>
      <c r="AX70" s="171"/>
      <c r="AY70" s="171"/>
      <c r="AZ70" s="171"/>
      <c r="BA70" s="171"/>
      <c r="BB70" s="171"/>
      <c r="BC70" s="171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3"/>
    </row>
    <row r="71" spans="1:79" x14ac:dyDescent="0.25"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</row>
    <row r="74" spans="1:79" x14ac:dyDescent="0.25">
      <c r="M74" s="174"/>
    </row>
    <row r="75" spans="1:79" x14ac:dyDescent="0.25">
      <c r="M75" s="174"/>
    </row>
    <row r="76" spans="1:79" x14ac:dyDescent="0.25">
      <c r="M76" s="174"/>
    </row>
    <row r="81" spans="1:37" x14ac:dyDescent="0.25">
      <c r="M81" s="174"/>
    </row>
    <row r="82" spans="1:37" x14ac:dyDescent="0.25">
      <c r="M82" s="174"/>
    </row>
    <row r="83" spans="1:37" ht="15.75" thickBot="1" x14ac:dyDescent="0.3">
      <c r="M83" s="174"/>
    </row>
    <row r="84" spans="1:37" ht="29.25" thickBot="1" x14ac:dyDescent="0.3">
      <c r="A84" s="796" t="s">
        <v>250</v>
      </c>
      <c r="B84" s="797"/>
      <c r="C84" s="797"/>
      <c r="D84" s="797"/>
      <c r="E84" s="797"/>
      <c r="F84" s="797"/>
      <c r="G84" s="797"/>
      <c r="H84" s="797"/>
      <c r="I84" s="798"/>
      <c r="J84" s="799">
        <f>IFERROR(SUM(AE101:AE217)+G86,"")</f>
        <v>450</v>
      </c>
      <c r="K84" s="800"/>
      <c r="L84" s="800"/>
      <c r="M84" s="801"/>
      <c r="Q84" s="802" t="s">
        <v>251</v>
      </c>
      <c r="R84" s="802"/>
      <c r="S84" s="802"/>
      <c r="T84" s="802"/>
      <c r="W84" s="802" t="s">
        <v>252</v>
      </c>
      <c r="X84" s="802"/>
      <c r="Y84" s="802"/>
      <c r="Z84" s="802"/>
      <c r="AB84" s="175"/>
      <c r="AC84" s="175"/>
      <c r="AD84" s="175"/>
      <c r="AE84" s="175"/>
      <c r="AF84" s="175"/>
      <c r="AG84" s="175"/>
      <c r="AH84" s="175"/>
      <c r="AI84" s="175"/>
      <c r="AJ84" s="175"/>
      <c r="AK84" s="175"/>
    </row>
    <row r="85" spans="1:37" ht="24" thickBot="1" x14ac:dyDescent="0.35">
      <c r="A85" s="176" t="s">
        <v>253</v>
      </c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8"/>
      <c r="Q85" s="803" t="s">
        <v>254</v>
      </c>
      <c r="R85" s="803"/>
      <c r="S85" s="803" t="s">
        <v>255</v>
      </c>
      <c r="T85" s="803"/>
      <c r="W85" s="803" t="s">
        <v>254</v>
      </c>
      <c r="X85" s="803"/>
      <c r="Y85" s="803" t="s">
        <v>255</v>
      </c>
      <c r="Z85" s="803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</row>
    <row r="86" spans="1:37" ht="24" thickBot="1" x14ac:dyDescent="0.35">
      <c r="A86" s="811" t="s">
        <v>256</v>
      </c>
      <c r="B86" s="812"/>
      <c r="C86" s="812"/>
      <c r="D86" s="812"/>
      <c r="E86" s="812"/>
      <c r="F86" s="813"/>
      <c r="G86" s="814">
        <f>I101+V101</f>
        <v>70</v>
      </c>
      <c r="H86" s="815"/>
      <c r="I86" s="816"/>
      <c r="Q86" s="817"/>
      <c r="R86" s="817"/>
      <c r="S86" s="795"/>
      <c r="T86" s="795"/>
      <c r="W86" s="794">
        <v>45239</v>
      </c>
      <c r="X86" s="794"/>
      <c r="Y86" s="795" t="s">
        <v>257</v>
      </c>
      <c r="Z86" s="795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</row>
    <row r="87" spans="1:37" ht="24" thickBot="1" x14ac:dyDescent="0.4">
      <c r="A87" s="180"/>
      <c r="B87" s="180"/>
      <c r="C87" s="180"/>
      <c r="D87" s="180"/>
      <c r="E87" s="180"/>
      <c r="F87" s="180"/>
      <c r="G87" s="180"/>
      <c r="H87" s="180"/>
      <c r="I87" s="180"/>
      <c r="Q87" s="181"/>
      <c r="R87" s="182" t="s">
        <v>258</v>
      </c>
      <c r="S87" s="183" t="s">
        <v>259</v>
      </c>
      <c r="T87" s="183" t="s">
        <v>260</v>
      </c>
      <c r="U87" s="804" t="s">
        <v>261</v>
      </c>
      <c r="V87" s="805"/>
      <c r="W87" s="184" t="s">
        <v>262</v>
      </c>
      <c r="X87" s="182" t="s">
        <v>258</v>
      </c>
      <c r="Y87" s="183" t="s">
        <v>259</v>
      </c>
      <c r="Z87" s="183" t="s">
        <v>260</v>
      </c>
      <c r="AF87" s="185"/>
      <c r="AG87" s="185"/>
    </row>
    <row r="88" spans="1:37" ht="22.5" thickTop="1" thickBot="1" x14ac:dyDescent="0.3">
      <c r="A88" s="806" t="s">
        <v>263</v>
      </c>
      <c r="B88" s="807"/>
      <c r="C88" s="807"/>
      <c r="D88" s="807"/>
      <c r="E88" s="186">
        <f>I97+V97</f>
        <v>6</v>
      </c>
      <c r="F88" s="180"/>
      <c r="G88" s="180"/>
      <c r="H88" s="180"/>
      <c r="I88" s="180"/>
      <c r="Q88" s="187" t="s">
        <v>264</v>
      </c>
      <c r="R88" s="188"/>
      <c r="S88" s="188"/>
      <c r="T88" s="188"/>
      <c r="W88" s="187" t="s">
        <v>264</v>
      </c>
      <c r="X88" s="188" t="str">
        <f>IF(ISBLANK(W87)," ",IFERROR(VLOOKUP("TOTAL",#REF!,13,0),""))</f>
        <v/>
      </c>
      <c r="Y88" s="188" t="str">
        <f>IF(ISBLANK(W87)," ",IFERROR(VLOOKUP("TOTAL F POWER",#REF!,13,0),""))</f>
        <v/>
      </c>
      <c r="Z88" s="188" t="str">
        <f>IF(ISBLANK(W87)," ",IFERROR(VLOOKUP("TOTAL SIN F POWER",#REF!,13,0),""))</f>
        <v/>
      </c>
      <c r="AF88" s="189"/>
      <c r="AG88" s="189"/>
    </row>
    <row r="89" spans="1:37" ht="23.25" thickTop="1" thickBot="1" x14ac:dyDescent="0.3">
      <c r="A89" s="806" t="s">
        <v>265</v>
      </c>
      <c r="B89" s="807"/>
      <c r="C89" s="807"/>
      <c r="D89" s="807"/>
      <c r="E89" s="186">
        <f>I98+V98</f>
        <v>21</v>
      </c>
      <c r="F89" s="180"/>
      <c r="G89" s="180"/>
      <c r="H89" s="180"/>
      <c r="I89" s="190"/>
      <c r="Q89" s="191" t="s">
        <v>266</v>
      </c>
      <c r="R89" s="192"/>
      <c r="S89" s="192"/>
      <c r="T89" s="192"/>
      <c r="W89" s="191" t="s">
        <v>266</v>
      </c>
      <c r="X89" s="193" t="str">
        <f>IF(ISBLANK(W87)," ",IFERROR(VLOOKUP("TOTAL",#REF!,4,0),""))</f>
        <v/>
      </c>
      <c r="Y89" s="193" t="str">
        <f>IF(ISBLANK(W87)," ",IFERROR(VLOOKUP("TOTAL F POWER",#REF!,4,0),""))</f>
        <v/>
      </c>
      <c r="Z89" s="193" t="str">
        <f>IF(ISBLANK(W87)," ",IFERROR(VLOOKUP("TOTAL SIN F POWER",#REF!,4,0),""))</f>
        <v/>
      </c>
      <c r="AF89" s="189"/>
      <c r="AG89" s="189"/>
    </row>
    <row r="90" spans="1:37" ht="47.25" thickBot="1" x14ac:dyDescent="0.3">
      <c r="F90" s="194"/>
      <c r="G90" s="180"/>
      <c r="H90" s="180"/>
      <c r="I90" s="180"/>
      <c r="Q90" s="195" t="s">
        <v>267</v>
      </c>
      <c r="R90" s="196"/>
      <c r="S90" s="196"/>
      <c r="T90" s="196"/>
      <c r="W90" s="195" t="s">
        <v>267</v>
      </c>
      <c r="X90" s="196" t="str">
        <f>IF(ISBLANK(W87)," ",IFERROR(VLOOKUP("TOTAL",#REF!,14,0),""))</f>
        <v/>
      </c>
      <c r="Y90" s="196" t="str">
        <f>IF(ISBLANK(W87)," ",IFERROR(VLOOKUP("TOTAL F POWER",#REF!,14,0),""))</f>
        <v/>
      </c>
      <c r="Z90" s="196" t="str">
        <f>IF(ISBLANK(W87)," ",IFERROR(VLOOKUP("TOTAL SIN F POWER",#REF!,14,0),""))</f>
        <v/>
      </c>
      <c r="AF90" s="197"/>
      <c r="AG90" s="197"/>
    </row>
    <row r="91" spans="1:37" ht="21.75" thickBot="1" x14ac:dyDescent="0.3">
      <c r="A91" s="808" t="s">
        <v>268</v>
      </c>
      <c r="B91" s="809"/>
      <c r="C91" s="809"/>
      <c r="D91" s="810"/>
      <c r="E91" s="198">
        <f>K202+X202</f>
        <v>0</v>
      </c>
      <c r="F91" s="180"/>
      <c r="G91" s="180"/>
      <c r="H91" s="180"/>
      <c r="I91" s="180"/>
      <c r="Q91" s="199" t="s">
        <v>269</v>
      </c>
      <c r="R91" s="200"/>
      <c r="S91" s="200"/>
      <c r="T91" s="200"/>
      <c r="W91" s="199" t="s">
        <v>269</v>
      </c>
      <c r="X91" s="201" t="str">
        <f>IF(ISBLANK(W87)," ",IFERROR(VLOOKUP("TOTAL",#REF!,11,0),""))</f>
        <v/>
      </c>
      <c r="Y91" s="201" t="str">
        <f>IF(ISBLANK(W87)," ",IFERROR(VLOOKUP("TOTAL F POWER",#REF!,11,0),""))</f>
        <v/>
      </c>
      <c r="Z91" s="201" t="str">
        <f>IF(ISBLANK(W87)," ",IFERROR(VLOOKUP("TOTAL SIN F POWER",#REF!,11,0),""))</f>
        <v/>
      </c>
    </row>
    <row r="92" spans="1:37" ht="21.75" thickBot="1" x14ac:dyDescent="0.3">
      <c r="A92" s="808" t="s">
        <v>270</v>
      </c>
      <c r="B92" s="809"/>
      <c r="C92" s="809"/>
      <c r="D92" s="810"/>
      <c r="E92" s="202">
        <f>L202+Y202</f>
        <v>76</v>
      </c>
      <c r="F92" s="180"/>
      <c r="G92" s="180"/>
      <c r="H92" s="180"/>
      <c r="I92" s="180"/>
      <c r="Q92" s="203" t="s">
        <v>271</v>
      </c>
      <c r="R92" s="204"/>
      <c r="S92" s="204"/>
      <c r="T92" s="204"/>
      <c r="W92" s="203" t="s">
        <v>271</v>
      </c>
      <c r="X92" s="205" t="str">
        <f>IF(ISBLANK(W87)," ",IFERROR(VLOOKUP("TOTAL",#REF!,15,0),""))</f>
        <v/>
      </c>
      <c r="Y92" s="205" t="str">
        <f>IF(ISBLANK(W87)," ",IFERROR(VLOOKUP("TOTAL F POWER",#REF!,15,0),""))</f>
        <v/>
      </c>
      <c r="Z92" s="205" t="str">
        <f>IF(ISBLANK(W87)," ",IFERROR(VLOOKUP("TOTAL SIN F POWER",#REF!,15,0),""))</f>
        <v/>
      </c>
    </row>
    <row r="93" spans="1:37" ht="30.75" thickBot="1" x14ac:dyDescent="0.3">
      <c r="A93" s="808" t="s">
        <v>272</v>
      </c>
      <c r="B93" s="809"/>
      <c r="C93" s="809"/>
      <c r="D93" s="810"/>
      <c r="E93" s="206">
        <f>J202+W202</f>
        <v>0</v>
      </c>
      <c r="Q93" s="207" t="s">
        <v>273</v>
      </c>
      <c r="R93" s="208"/>
      <c r="S93" s="208"/>
      <c r="T93" s="208"/>
      <c r="W93" s="207" t="s">
        <v>273</v>
      </c>
      <c r="X93" s="209" t="str">
        <f>IF(ISBLANK(W87)," ",IFERROR(VLOOKUP("TOTAL",#REF!,16,0),""))</f>
        <v/>
      </c>
      <c r="Y93" s="209" t="str">
        <f>IF(ISBLANK(W87)," ",IFERROR(VLOOKUP("TOTAL F POWER",#REF!,16,0),""))</f>
        <v/>
      </c>
      <c r="Z93" s="209" t="str">
        <f>IF(ISBLANK(W87)," ",IFERROR(VLOOKUP("TOTAL SIN F POWER",#REF!,16,0),""))</f>
        <v/>
      </c>
    </row>
    <row r="96" spans="1:37" ht="47.25" thickBot="1" x14ac:dyDescent="0.75">
      <c r="A96" s="818" t="s">
        <v>274</v>
      </c>
      <c r="B96" s="819"/>
      <c r="C96" s="819"/>
      <c r="D96" s="819"/>
      <c r="E96" s="819"/>
      <c r="F96" s="819"/>
      <c r="G96" s="819"/>
      <c r="H96" s="819"/>
      <c r="I96" s="819"/>
      <c r="J96" s="819"/>
      <c r="K96" s="819"/>
      <c r="L96" s="819"/>
      <c r="M96" s="819"/>
      <c r="N96" s="819"/>
      <c r="O96" s="819"/>
      <c r="P96" s="819"/>
      <c r="Q96" s="819"/>
      <c r="R96" s="819"/>
      <c r="S96" s="819"/>
      <c r="T96" s="819"/>
      <c r="U96" s="819"/>
      <c r="V96" s="819"/>
      <c r="W96" s="819"/>
      <c r="X96" s="819"/>
      <c r="Y96" s="819"/>
      <c r="Z96" s="819"/>
      <c r="AA96" s="178"/>
    </row>
    <row r="97" spans="1:58" ht="27.75" thickTop="1" thickBot="1" x14ac:dyDescent="0.45">
      <c r="D97" s="820" t="s">
        <v>275</v>
      </c>
      <c r="E97" s="821"/>
      <c r="F97" s="821"/>
      <c r="G97" s="822"/>
      <c r="H97" s="822"/>
      <c r="I97" s="823">
        <f>COUNTIF($AO$2:$CA$42,"25C")</f>
        <v>0</v>
      </c>
      <c r="J97" s="824"/>
      <c r="M97" s="174"/>
      <c r="Q97" s="820" t="s">
        <v>276</v>
      </c>
      <c r="R97" s="821"/>
      <c r="S97" s="821"/>
      <c r="T97" s="822"/>
      <c r="U97" s="822"/>
      <c r="V97" s="823">
        <f>COUNTIF($A$2:$AN$70,"25C")</f>
        <v>6</v>
      </c>
      <c r="W97" s="824"/>
      <c r="AA97" s="210"/>
      <c r="AB97" s="211"/>
      <c r="AC97" s="825" t="s">
        <v>277</v>
      </c>
      <c r="AD97" s="826"/>
      <c r="AE97" s="826"/>
      <c r="AF97" s="827"/>
      <c r="AG97" s="211"/>
      <c r="AI97" s="212"/>
      <c r="AJ97" s="213"/>
      <c r="AK97" s="213"/>
      <c r="AL97" s="213"/>
      <c r="AM97" s="213"/>
      <c r="AN97" s="213"/>
      <c r="AO97" s="213"/>
      <c r="AP97" s="213"/>
      <c r="AQ97" s="213"/>
      <c r="AR97" s="213"/>
      <c r="AS97" s="213"/>
      <c r="AT97" s="213"/>
      <c r="AU97" s="213"/>
      <c r="AV97" s="213"/>
      <c r="AW97" s="213"/>
      <c r="AX97" s="213"/>
      <c r="AY97" s="213"/>
      <c r="AZ97" s="213"/>
      <c r="BA97" s="214"/>
    </row>
    <row r="98" spans="1:58" ht="22.5" thickTop="1" thickBot="1" x14ac:dyDescent="0.4">
      <c r="D98" s="820" t="s">
        <v>278</v>
      </c>
      <c r="E98" s="821"/>
      <c r="F98" s="821"/>
      <c r="G98" s="822"/>
      <c r="H98" s="822"/>
      <c r="I98" s="823">
        <f>COUNTIF($AO$2:$CA$42,"50C")</f>
        <v>14</v>
      </c>
      <c r="J98" s="824"/>
      <c r="M98" s="174"/>
      <c r="Q98" s="820" t="s">
        <v>279</v>
      </c>
      <c r="R98" s="821"/>
      <c r="S98" s="821"/>
      <c r="T98" s="822"/>
      <c r="U98" s="822"/>
      <c r="V98" s="823">
        <f>COUNTIF($A$2:$AN$70,"50C")</f>
        <v>7</v>
      </c>
      <c r="W98" s="824"/>
      <c r="AA98" s="210"/>
      <c r="AC98" s="828"/>
      <c r="AD98" s="829"/>
      <c r="AE98" s="829"/>
      <c r="AF98" s="830"/>
      <c r="AH98" s="215"/>
      <c r="AI98" s="831" t="s">
        <v>280</v>
      </c>
      <c r="AJ98" s="832"/>
      <c r="AK98" s="832"/>
      <c r="AL98" s="832"/>
      <c r="AM98" s="832"/>
      <c r="AN98" s="833"/>
      <c r="AO98" s="216" t="s">
        <v>258</v>
      </c>
      <c r="AP98" s="217"/>
      <c r="AQ98" s="215"/>
      <c r="AR98" s="834" t="s">
        <v>281</v>
      </c>
      <c r="AS98" s="835"/>
      <c r="AT98" s="835"/>
      <c r="AU98" s="835"/>
      <c r="AV98" s="835"/>
      <c r="AW98" s="836"/>
      <c r="AX98" s="216" t="s">
        <v>258</v>
      </c>
      <c r="AY98" s="217"/>
      <c r="AZ98" s="215"/>
      <c r="BA98" s="218"/>
    </row>
    <row r="99" spans="1:58" ht="27" thickBot="1" x14ac:dyDescent="0.45">
      <c r="A99" s="177"/>
      <c r="B99" s="177"/>
      <c r="C99" s="177"/>
      <c r="D99" s="820" t="s">
        <v>282</v>
      </c>
      <c r="E99" s="821"/>
      <c r="F99" s="821"/>
      <c r="G99" s="822"/>
      <c r="H99" s="837"/>
      <c r="I99" s="838">
        <f>G126</f>
        <v>16</v>
      </c>
      <c r="J99" s="839"/>
      <c r="K99" s="177"/>
      <c r="L99" s="151"/>
      <c r="M99" s="210"/>
      <c r="N99" s="210"/>
      <c r="O99" s="219"/>
      <c r="P99" s="219"/>
      <c r="Q99" s="820" t="s">
        <v>283</v>
      </c>
      <c r="R99" s="821"/>
      <c r="S99" s="821"/>
      <c r="T99" s="821"/>
      <c r="U99" s="840"/>
      <c r="V99" s="838">
        <f>T126</f>
        <v>14</v>
      </c>
      <c r="W99" s="839"/>
      <c r="X99" s="219"/>
      <c r="Y99" s="219"/>
      <c r="Z99" s="220"/>
      <c r="AA99" s="210"/>
      <c r="AC99" s="841" t="s">
        <v>284</v>
      </c>
      <c r="AD99" s="842"/>
      <c r="AE99" s="221" t="s">
        <v>285</v>
      </c>
      <c r="AF99" s="222" t="s">
        <v>286</v>
      </c>
      <c r="AH99" s="215"/>
      <c r="AI99" s="843" t="s">
        <v>287</v>
      </c>
      <c r="AJ99" s="844"/>
      <c r="AK99" s="844"/>
      <c r="AL99" s="844"/>
      <c r="AM99" s="844"/>
      <c r="AN99" s="223" t="s">
        <v>288</v>
      </c>
      <c r="AO99" s="224">
        <f t="shared" ref="AO99:AO162" si="0">COUNTIF($A$1:$GO$76,AN99)</f>
        <v>0</v>
      </c>
      <c r="AP99" s="225"/>
      <c r="AQ99" s="215"/>
      <c r="AR99" s="845" t="s">
        <v>289</v>
      </c>
      <c r="AS99" s="846"/>
      <c r="AT99" s="846"/>
      <c r="AU99" s="846"/>
      <c r="AV99" s="846"/>
      <c r="AW99" s="228" t="s">
        <v>290</v>
      </c>
      <c r="AX99" s="224">
        <f t="shared" ref="AX99:AX139" si="1">COUNTIF($A$1:$GO$76,AW99)</f>
        <v>0</v>
      </c>
      <c r="AY99" s="229"/>
      <c r="AZ99" s="215"/>
      <c r="BA99" s="218"/>
      <c r="BC99" s="230"/>
      <c r="BD99" s="230"/>
      <c r="BE99" s="230"/>
      <c r="BF99" s="230"/>
    </row>
    <row r="100" spans="1:58" ht="21.75" thickBot="1" x14ac:dyDescent="0.4">
      <c r="C100" s="231" t="b">
        <v>0</v>
      </c>
      <c r="D100" s="820" t="s">
        <v>291</v>
      </c>
      <c r="E100" s="821"/>
      <c r="F100" s="821"/>
      <c r="G100" s="822"/>
      <c r="H100" s="837"/>
      <c r="I100" s="838">
        <f>G150</f>
        <v>0</v>
      </c>
      <c r="J100" s="839"/>
      <c r="M100" s="174"/>
      <c r="Q100" s="820" t="s">
        <v>292</v>
      </c>
      <c r="R100" s="821"/>
      <c r="S100" s="821"/>
      <c r="T100" s="821"/>
      <c r="U100" s="840"/>
      <c r="V100" s="838">
        <f>T150</f>
        <v>0</v>
      </c>
      <c r="W100" s="839"/>
      <c r="AA100" s="231"/>
      <c r="AC100" s="855" t="s">
        <v>293</v>
      </c>
      <c r="AD100" s="856"/>
      <c r="AE100" s="856"/>
      <c r="AF100" s="856"/>
      <c r="AH100" s="215"/>
      <c r="AI100" s="843" t="s">
        <v>294</v>
      </c>
      <c r="AJ100" s="844"/>
      <c r="AK100" s="844"/>
      <c r="AL100" s="844"/>
      <c r="AM100" s="844"/>
      <c r="AN100" s="68" t="s">
        <v>183</v>
      </c>
      <c r="AO100" s="224">
        <f t="shared" si="0"/>
        <v>7</v>
      </c>
      <c r="AP100" s="225"/>
      <c r="AQ100" s="215"/>
      <c r="AR100" s="845" t="s">
        <v>295</v>
      </c>
      <c r="AS100" s="846"/>
      <c r="AT100" s="846"/>
      <c r="AU100" s="846"/>
      <c r="AV100" s="846"/>
      <c r="AW100" s="232" t="s">
        <v>296</v>
      </c>
      <c r="AX100" s="224">
        <f t="shared" si="1"/>
        <v>0</v>
      </c>
      <c r="AY100" s="233"/>
      <c r="AZ100" s="215"/>
      <c r="BA100" s="218"/>
      <c r="BC100" s="234"/>
      <c r="BD100" s="234"/>
      <c r="BE100" s="235"/>
      <c r="BF100" s="235"/>
    </row>
    <row r="101" spans="1:58" ht="21.75" thickBot="1" x14ac:dyDescent="0.4">
      <c r="C101" s="231" t="b">
        <v>0</v>
      </c>
      <c r="D101" s="850" t="s">
        <v>297</v>
      </c>
      <c r="E101" s="851"/>
      <c r="F101" s="851"/>
      <c r="G101" s="851"/>
      <c r="H101" s="852"/>
      <c r="I101" s="853">
        <f>G202</f>
        <v>36</v>
      </c>
      <c r="J101" s="854"/>
      <c r="M101" s="174"/>
      <c r="Q101" s="850" t="s">
        <v>298</v>
      </c>
      <c r="R101" s="851"/>
      <c r="S101" s="851"/>
      <c r="T101" s="851"/>
      <c r="U101" s="852"/>
      <c r="V101" s="853">
        <f>T202</f>
        <v>34</v>
      </c>
      <c r="W101" s="854"/>
      <c r="AA101" s="174"/>
      <c r="AC101" s="236" t="s">
        <v>280</v>
      </c>
      <c r="AD101" s="237" t="s">
        <v>280</v>
      </c>
      <c r="AE101" s="238">
        <f>AO175</f>
        <v>20</v>
      </c>
      <c r="AF101" s="239" t="str">
        <f>IFERROR(AE101/$J$4,"")</f>
        <v/>
      </c>
      <c r="AH101" s="215"/>
      <c r="AI101" s="843" t="s">
        <v>299</v>
      </c>
      <c r="AJ101" s="844"/>
      <c r="AK101" s="844"/>
      <c r="AL101" s="844"/>
      <c r="AM101" s="844"/>
      <c r="AN101" s="240" t="s">
        <v>300</v>
      </c>
      <c r="AO101" s="224">
        <f t="shared" si="0"/>
        <v>0</v>
      </c>
      <c r="AP101" s="225"/>
      <c r="AQ101" s="215"/>
      <c r="AR101" s="845" t="s">
        <v>301</v>
      </c>
      <c r="AS101" s="846"/>
      <c r="AT101" s="846"/>
      <c r="AU101" s="846"/>
      <c r="AV101" s="846"/>
      <c r="AW101" s="241" t="s">
        <v>302</v>
      </c>
      <c r="AX101" s="224">
        <f t="shared" si="1"/>
        <v>0</v>
      </c>
      <c r="AY101" s="233"/>
      <c r="AZ101" s="215"/>
      <c r="BA101" s="218"/>
      <c r="BC101" s="234"/>
      <c r="BD101" s="234"/>
      <c r="BE101" s="235"/>
      <c r="BF101" s="235"/>
    </row>
    <row r="102" spans="1:58" ht="21" x14ac:dyDescent="0.35">
      <c r="A102" s="71"/>
      <c r="B102" s="71"/>
      <c r="C102" s="242"/>
      <c r="D102" s="243"/>
      <c r="E102" s="243"/>
      <c r="F102" s="243"/>
      <c r="G102" s="243"/>
      <c r="H102" s="243"/>
      <c r="I102" s="244"/>
      <c r="J102" s="244"/>
      <c r="K102" s="71"/>
      <c r="L102" s="71"/>
      <c r="M102" s="245"/>
      <c r="N102" s="71"/>
      <c r="O102" s="71"/>
      <c r="P102" s="71"/>
      <c r="Q102" s="243"/>
      <c r="R102" s="243"/>
      <c r="S102" s="243"/>
      <c r="T102" s="243"/>
      <c r="U102" s="243"/>
      <c r="V102" s="244"/>
      <c r="W102" s="244"/>
      <c r="X102" s="71"/>
      <c r="Y102" s="71"/>
      <c r="Z102" s="71"/>
      <c r="AA102" s="231"/>
      <c r="AC102" s="236" t="s">
        <v>303</v>
      </c>
      <c r="AD102" s="246" t="s">
        <v>304</v>
      </c>
      <c r="AE102" s="238">
        <f>AX275</f>
        <v>0</v>
      </c>
      <c r="AF102" s="239" t="str">
        <f t="shared" ref="AF102:AF123" si="2">IFERROR(AE102/$J$4,"")</f>
        <v/>
      </c>
      <c r="AH102" s="215"/>
      <c r="AI102" s="843" t="s">
        <v>305</v>
      </c>
      <c r="AJ102" s="844"/>
      <c r="AK102" s="844"/>
      <c r="AL102" s="844"/>
      <c r="AM102" s="844"/>
      <c r="AN102" s="247" t="s">
        <v>306</v>
      </c>
      <c r="AO102" s="224">
        <f t="shared" si="0"/>
        <v>0</v>
      </c>
      <c r="AP102" s="225"/>
      <c r="AQ102" s="215"/>
      <c r="AR102" s="845" t="s">
        <v>307</v>
      </c>
      <c r="AS102" s="846"/>
      <c r="AT102" s="846"/>
      <c r="AU102" s="846"/>
      <c r="AV102" s="846"/>
      <c r="AW102" s="248" t="s">
        <v>308</v>
      </c>
      <c r="AX102" s="224">
        <f t="shared" si="1"/>
        <v>0</v>
      </c>
      <c r="AY102" s="233"/>
      <c r="AZ102" s="215"/>
      <c r="BA102" s="218"/>
      <c r="BC102" s="249"/>
      <c r="BD102" s="249"/>
      <c r="BE102" s="250"/>
      <c r="BF102" s="250"/>
    </row>
    <row r="103" spans="1:58" ht="18.75" thickBot="1" x14ac:dyDescent="0.3">
      <c r="A103" s="847" t="s">
        <v>309</v>
      </c>
      <c r="B103" s="848"/>
      <c r="C103" s="848"/>
      <c r="D103" s="848"/>
      <c r="E103" s="848"/>
      <c r="F103" s="848"/>
      <c r="G103" s="848"/>
      <c r="H103" s="848"/>
      <c r="I103" s="849"/>
      <c r="J103" s="251" t="s">
        <v>310</v>
      </c>
      <c r="K103" s="251" t="s">
        <v>311</v>
      </c>
      <c r="L103" s="251" t="s">
        <v>30</v>
      </c>
      <c r="M103" s="231"/>
      <c r="N103" s="847" t="s">
        <v>309</v>
      </c>
      <c r="O103" s="848"/>
      <c r="P103" s="848"/>
      <c r="Q103" s="848"/>
      <c r="R103" s="848"/>
      <c r="S103" s="848"/>
      <c r="T103" s="848"/>
      <c r="U103" s="848"/>
      <c r="V103" s="849"/>
      <c r="W103" s="252" t="s">
        <v>310</v>
      </c>
      <c r="X103" s="252" t="s">
        <v>311</v>
      </c>
      <c r="Y103" s="252" t="s">
        <v>30</v>
      </c>
      <c r="Z103" s="252" t="s">
        <v>312</v>
      </c>
      <c r="AA103" s="231"/>
      <c r="AC103" s="236" t="s">
        <v>313</v>
      </c>
      <c r="AD103" s="253" t="s">
        <v>314</v>
      </c>
      <c r="AE103" s="238">
        <f>AO208</f>
        <v>0</v>
      </c>
      <c r="AF103" s="239" t="str">
        <f t="shared" si="2"/>
        <v/>
      </c>
      <c r="AH103" s="215"/>
      <c r="AI103" s="843" t="s">
        <v>315</v>
      </c>
      <c r="AJ103" s="844"/>
      <c r="AK103" s="844"/>
      <c r="AL103" s="844"/>
      <c r="AM103" s="844"/>
      <c r="AN103" s="254" t="s">
        <v>316</v>
      </c>
      <c r="AO103" s="224">
        <f t="shared" si="0"/>
        <v>0</v>
      </c>
      <c r="AP103" s="225"/>
      <c r="AQ103" s="215"/>
      <c r="AR103" s="845" t="s">
        <v>317</v>
      </c>
      <c r="AS103" s="846"/>
      <c r="AT103" s="846"/>
      <c r="AU103" s="846"/>
      <c r="AV103" s="846"/>
      <c r="AW103" s="248" t="s">
        <v>318</v>
      </c>
      <c r="AX103" s="224">
        <f t="shared" si="1"/>
        <v>0</v>
      </c>
      <c r="AY103" s="233"/>
      <c r="AZ103" s="215"/>
      <c r="BA103" s="218"/>
      <c r="BC103" s="234"/>
      <c r="BD103" s="234"/>
      <c r="BE103" s="255"/>
      <c r="BF103" s="255"/>
    </row>
    <row r="104" spans="1:58" ht="18.75" thickBot="1" x14ac:dyDescent="0.3">
      <c r="A104" s="857" t="s">
        <v>75</v>
      </c>
      <c r="B104" s="858"/>
      <c r="C104" s="859"/>
      <c r="D104" s="256" t="s">
        <v>28</v>
      </c>
      <c r="E104" s="257"/>
      <c r="F104" s="258" t="s">
        <v>74</v>
      </c>
      <c r="G104" s="860">
        <f t="shared" ref="G104:G125" si="3">COUNTIF($AO$2:$CA$42,F104)</f>
        <v>0</v>
      </c>
      <c r="H104" s="861"/>
      <c r="I104" s="862"/>
      <c r="J104" s="259">
        <v>0</v>
      </c>
      <c r="K104" s="260">
        <v>0</v>
      </c>
      <c r="L104" s="261">
        <f>G104-K104-J104</f>
        <v>0</v>
      </c>
      <c r="M104" s="231"/>
      <c r="N104" s="857" t="s">
        <v>75</v>
      </c>
      <c r="O104" s="858"/>
      <c r="P104" s="859"/>
      <c r="Q104" s="256" t="s">
        <v>28</v>
      </c>
      <c r="R104" s="257"/>
      <c r="S104" s="258" t="s">
        <v>74</v>
      </c>
      <c r="T104" s="863">
        <f t="shared" ref="T104:T125" si="4">COUNTIF($A$2:$AN$70,S104)</f>
        <v>0</v>
      </c>
      <c r="U104" s="863"/>
      <c r="V104" s="863"/>
      <c r="W104" s="259">
        <v>0</v>
      </c>
      <c r="X104" s="260">
        <v>0</v>
      </c>
      <c r="Y104" s="261">
        <f t="shared" ref="Y104:Y125" si="5">T104-X104-W104</f>
        <v>0</v>
      </c>
      <c r="Z104" s="262">
        <f t="shared" ref="Z104:Z169" si="6">T104+G104</f>
        <v>0</v>
      </c>
      <c r="AA104" s="231"/>
      <c r="AC104" s="236" t="s">
        <v>319</v>
      </c>
      <c r="AD104" s="263" t="s">
        <v>320</v>
      </c>
      <c r="AE104" s="238">
        <f>AX252</f>
        <v>0</v>
      </c>
      <c r="AF104" s="239" t="str">
        <f t="shared" si="2"/>
        <v/>
      </c>
      <c r="AH104" s="215"/>
      <c r="AI104" s="843" t="s">
        <v>321</v>
      </c>
      <c r="AJ104" s="844"/>
      <c r="AK104" s="844"/>
      <c r="AL104" s="844"/>
      <c r="AM104" s="844"/>
      <c r="AN104" s="264" t="s">
        <v>322</v>
      </c>
      <c r="AO104" s="224">
        <f t="shared" si="0"/>
        <v>0</v>
      </c>
      <c r="AP104" s="225"/>
      <c r="AQ104" s="215"/>
      <c r="AR104" s="845" t="s">
        <v>323</v>
      </c>
      <c r="AS104" s="846"/>
      <c r="AT104" s="846"/>
      <c r="AU104" s="846"/>
      <c r="AV104" s="846"/>
      <c r="AW104" s="265" t="s">
        <v>324</v>
      </c>
      <c r="AX104" s="224">
        <f t="shared" si="1"/>
        <v>0</v>
      </c>
      <c r="AY104" s="233"/>
      <c r="AZ104" s="215"/>
      <c r="BA104" s="218"/>
      <c r="BC104" s="234"/>
      <c r="BD104" s="234"/>
      <c r="BE104" s="234"/>
      <c r="BF104" s="234"/>
    </row>
    <row r="105" spans="1:58" ht="18.75" thickBot="1" x14ac:dyDescent="0.3">
      <c r="A105" s="857" t="s">
        <v>32</v>
      </c>
      <c r="B105" s="858"/>
      <c r="C105" s="859"/>
      <c r="D105" s="256"/>
      <c r="E105" s="257" t="s">
        <v>325</v>
      </c>
      <c r="F105" s="266" t="s">
        <v>28</v>
      </c>
      <c r="G105" s="860">
        <f t="shared" si="3"/>
        <v>8</v>
      </c>
      <c r="H105" s="861"/>
      <c r="I105" s="862"/>
      <c r="J105" s="259">
        <v>0</v>
      </c>
      <c r="K105" s="260">
        <v>0</v>
      </c>
      <c r="L105" s="261">
        <f t="shared" ref="L105:L125" si="7">G105-K105-J105</f>
        <v>8</v>
      </c>
      <c r="M105" s="231"/>
      <c r="N105" s="857" t="s">
        <v>32</v>
      </c>
      <c r="O105" s="858"/>
      <c r="P105" s="859"/>
      <c r="Q105" s="256"/>
      <c r="R105" s="257" t="s">
        <v>325</v>
      </c>
      <c r="S105" s="266" t="s">
        <v>28</v>
      </c>
      <c r="T105" s="863">
        <f t="shared" si="4"/>
        <v>1</v>
      </c>
      <c r="U105" s="863"/>
      <c r="V105" s="863"/>
      <c r="W105" s="259">
        <v>0</v>
      </c>
      <c r="X105" s="260">
        <v>0</v>
      </c>
      <c r="Y105" s="261">
        <f t="shared" si="5"/>
        <v>1</v>
      </c>
      <c r="Z105" s="262">
        <f t="shared" si="6"/>
        <v>9</v>
      </c>
      <c r="AA105" s="231"/>
      <c r="AC105" s="236" t="s">
        <v>326</v>
      </c>
      <c r="AD105" s="267" t="s">
        <v>326</v>
      </c>
      <c r="AE105" s="238">
        <f>AX197</f>
        <v>0</v>
      </c>
      <c r="AF105" s="239" t="str">
        <f t="shared" si="2"/>
        <v/>
      </c>
      <c r="AH105" s="215"/>
      <c r="AI105" s="843" t="s">
        <v>327</v>
      </c>
      <c r="AJ105" s="844"/>
      <c r="AK105" s="844"/>
      <c r="AL105" s="844"/>
      <c r="AM105" s="844"/>
      <c r="AN105" s="268" t="s">
        <v>328</v>
      </c>
      <c r="AO105" s="224">
        <f t="shared" si="0"/>
        <v>0</v>
      </c>
      <c r="AP105" s="225"/>
      <c r="AQ105" s="215"/>
      <c r="AR105" s="845" t="s">
        <v>329</v>
      </c>
      <c r="AS105" s="846"/>
      <c r="AT105" s="846"/>
      <c r="AU105" s="846"/>
      <c r="AV105" s="846"/>
      <c r="AW105" s="269" t="s">
        <v>330</v>
      </c>
      <c r="AX105" s="224">
        <f t="shared" si="1"/>
        <v>0</v>
      </c>
      <c r="AY105" s="233"/>
      <c r="AZ105" s="215"/>
      <c r="BA105" s="218"/>
      <c r="BC105" s="234"/>
      <c r="BD105" s="234"/>
      <c r="BE105" s="235"/>
      <c r="BF105" s="235"/>
    </row>
    <row r="106" spans="1:58" ht="18.75" thickBot="1" x14ac:dyDescent="0.3">
      <c r="A106" s="857" t="s">
        <v>24</v>
      </c>
      <c r="B106" s="858"/>
      <c r="C106" s="859"/>
      <c r="D106" s="256"/>
      <c r="E106" s="257" t="s">
        <v>325</v>
      </c>
      <c r="F106" s="270" t="s">
        <v>76</v>
      </c>
      <c r="G106" s="860">
        <f t="shared" si="3"/>
        <v>4</v>
      </c>
      <c r="H106" s="861"/>
      <c r="I106" s="862"/>
      <c r="J106" s="259">
        <v>0</v>
      </c>
      <c r="K106" s="260">
        <v>0</v>
      </c>
      <c r="L106" s="261">
        <f t="shared" si="7"/>
        <v>4</v>
      </c>
      <c r="M106" s="231"/>
      <c r="N106" s="857" t="s">
        <v>24</v>
      </c>
      <c r="O106" s="858"/>
      <c r="P106" s="859"/>
      <c r="Q106" s="256"/>
      <c r="R106" s="257" t="s">
        <v>325</v>
      </c>
      <c r="S106" s="270" t="s">
        <v>76</v>
      </c>
      <c r="T106" s="863">
        <f t="shared" si="4"/>
        <v>5</v>
      </c>
      <c r="U106" s="863"/>
      <c r="V106" s="863"/>
      <c r="W106" s="259">
        <v>0</v>
      </c>
      <c r="X106" s="260">
        <v>0</v>
      </c>
      <c r="Y106" s="261">
        <f t="shared" si="5"/>
        <v>5</v>
      </c>
      <c r="Z106" s="262">
        <f t="shared" si="6"/>
        <v>9</v>
      </c>
      <c r="AA106" s="231"/>
      <c r="AC106" s="236" t="s">
        <v>331</v>
      </c>
      <c r="AD106" s="271" t="s">
        <v>331</v>
      </c>
      <c r="AE106" s="238">
        <f>AO214</f>
        <v>0</v>
      </c>
      <c r="AF106" s="239" t="str">
        <f t="shared" si="2"/>
        <v/>
      </c>
      <c r="AH106" s="215"/>
      <c r="AI106" s="843" t="s">
        <v>332</v>
      </c>
      <c r="AJ106" s="844"/>
      <c r="AK106" s="844"/>
      <c r="AL106" s="844"/>
      <c r="AM106" s="844"/>
      <c r="AN106" s="272" t="s">
        <v>333</v>
      </c>
      <c r="AO106" s="224">
        <f t="shared" si="0"/>
        <v>0</v>
      </c>
      <c r="AP106" s="225"/>
      <c r="AQ106" s="215"/>
      <c r="AR106" s="845" t="s">
        <v>334</v>
      </c>
      <c r="AS106" s="846"/>
      <c r="AT106" s="846"/>
      <c r="AU106" s="846"/>
      <c r="AV106" s="846"/>
      <c r="AW106" s="273" t="s">
        <v>335</v>
      </c>
      <c r="AX106" s="224">
        <f t="shared" si="1"/>
        <v>0</v>
      </c>
      <c r="AY106" s="233"/>
      <c r="AZ106" s="215"/>
      <c r="BA106" s="218"/>
      <c r="BC106" s="249"/>
      <c r="BD106" s="249"/>
      <c r="BE106" s="274"/>
      <c r="BF106" s="274"/>
    </row>
    <row r="107" spans="1:58" ht="18.75" thickBot="1" x14ac:dyDescent="0.3">
      <c r="A107" s="857" t="s">
        <v>336</v>
      </c>
      <c r="B107" s="858"/>
      <c r="C107" s="859"/>
      <c r="D107" s="256"/>
      <c r="E107" s="257" t="s">
        <v>325</v>
      </c>
      <c r="F107" s="275" t="s">
        <v>337</v>
      </c>
      <c r="G107" s="860">
        <f t="shared" si="3"/>
        <v>0</v>
      </c>
      <c r="H107" s="861"/>
      <c r="I107" s="862"/>
      <c r="J107" s="259">
        <v>0</v>
      </c>
      <c r="K107" s="260">
        <v>0</v>
      </c>
      <c r="L107" s="261">
        <f t="shared" si="7"/>
        <v>0</v>
      </c>
      <c r="M107" s="231"/>
      <c r="N107" s="857" t="s">
        <v>336</v>
      </c>
      <c r="O107" s="858"/>
      <c r="P107" s="859"/>
      <c r="Q107" s="256"/>
      <c r="R107" s="257" t="s">
        <v>325</v>
      </c>
      <c r="S107" s="275" t="s">
        <v>337</v>
      </c>
      <c r="T107" s="863">
        <f t="shared" si="4"/>
        <v>0</v>
      </c>
      <c r="U107" s="863"/>
      <c r="V107" s="863"/>
      <c r="W107" s="259">
        <v>0</v>
      </c>
      <c r="X107" s="260">
        <v>0</v>
      </c>
      <c r="Y107" s="261">
        <f t="shared" si="5"/>
        <v>0</v>
      </c>
      <c r="Z107" s="262">
        <f t="shared" si="6"/>
        <v>0</v>
      </c>
      <c r="AA107" s="231"/>
      <c r="AC107" s="236" t="s">
        <v>338</v>
      </c>
      <c r="AD107" s="276" t="s">
        <v>339</v>
      </c>
      <c r="AE107" s="238">
        <f>AO225</f>
        <v>0</v>
      </c>
      <c r="AF107" s="239" t="str">
        <f t="shared" si="2"/>
        <v/>
      </c>
      <c r="AH107" s="215"/>
      <c r="AI107" s="843" t="s">
        <v>340</v>
      </c>
      <c r="AJ107" s="844"/>
      <c r="AK107" s="844"/>
      <c r="AL107" s="844"/>
      <c r="AM107" s="844"/>
      <c r="AN107" s="114" t="s">
        <v>215</v>
      </c>
      <c r="AO107" s="224">
        <f t="shared" si="0"/>
        <v>2</v>
      </c>
      <c r="AP107" s="225"/>
      <c r="AQ107" s="215"/>
      <c r="AR107" s="845" t="s">
        <v>341</v>
      </c>
      <c r="AS107" s="846"/>
      <c r="AT107" s="846"/>
      <c r="AU107" s="846"/>
      <c r="AV107" s="846"/>
      <c r="AW107" s="277" t="s">
        <v>342</v>
      </c>
      <c r="AX107" s="224">
        <f t="shared" si="1"/>
        <v>0</v>
      </c>
      <c r="AY107" s="233"/>
      <c r="AZ107" s="215"/>
      <c r="BA107" s="218"/>
    </row>
    <row r="108" spans="1:58" ht="18.75" thickBot="1" x14ac:dyDescent="0.3">
      <c r="A108" s="857" t="s">
        <v>78</v>
      </c>
      <c r="B108" s="858"/>
      <c r="C108" s="859"/>
      <c r="D108" s="256" t="s">
        <v>14</v>
      </c>
      <c r="E108" s="257" t="s">
        <v>325</v>
      </c>
      <c r="F108" s="278" t="s">
        <v>77</v>
      </c>
      <c r="G108" s="860">
        <f t="shared" si="3"/>
        <v>0</v>
      </c>
      <c r="H108" s="861"/>
      <c r="I108" s="862"/>
      <c r="J108" s="259">
        <v>0</v>
      </c>
      <c r="K108" s="260">
        <v>0</v>
      </c>
      <c r="L108" s="261">
        <f t="shared" si="7"/>
        <v>0</v>
      </c>
      <c r="M108" s="231"/>
      <c r="N108" s="857" t="s">
        <v>78</v>
      </c>
      <c r="O108" s="858"/>
      <c r="P108" s="859"/>
      <c r="Q108" s="256" t="s">
        <v>14</v>
      </c>
      <c r="R108" s="257" t="s">
        <v>325</v>
      </c>
      <c r="S108" s="278" t="s">
        <v>77</v>
      </c>
      <c r="T108" s="863">
        <f t="shared" si="4"/>
        <v>0</v>
      </c>
      <c r="U108" s="863"/>
      <c r="V108" s="863"/>
      <c r="W108" s="259">
        <v>0</v>
      </c>
      <c r="X108" s="260">
        <v>0</v>
      </c>
      <c r="Y108" s="261">
        <f t="shared" si="5"/>
        <v>0</v>
      </c>
      <c r="Z108" s="262">
        <f t="shared" si="6"/>
        <v>0</v>
      </c>
      <c r="AA108" s="231" t="b">
        <f>IFERROR(T111&gt;0.5,FALSE)</f>
        <v>1</v>
      </c>
      <c r="AC108" s="236" t="s">
        <v>343</v>
      </c>
      <c r="AD108" s="109" t="s">
        <v>344</v>
      </c>
      <c r="AE108" s="238">
        <f>AO281</f>
        <v>0</v>
      </c>
      <c r="AF108" s="239" t="str">
        <f t="shared" si="2"/>
        <v/>
      </c>
      <c r="AH108" s="215"/>
      <c r="AI108" s="843" t="s">
        <v>345</v>
      </c>
      <c r="AJ108" s="844"/>
      <c r="AK108" s="844"/>
      <c r="AL108" s="844"/>
      <c r="AM108" s="844"/>
      <c r="AN108" s="279" t="s">
        <v>346</v>
      </c>
      <c r="AO108" s="224">
        <f t="shared" si="0"/>
        <v>0</v>
      </c>
      <c r="AP108" s="225"/>
      <c r="AQ108" s="215"/>
      <c r="AR108" s="845" t="s">
        <v>347</v>
      </c>
      <c r="AS108" s="846"/>
      <c r="AT108" s="846"/>
      <c r="AU108" s="846"/>
      <c r="AV108" s="846"/>
      <c r="AW108" s="280" t="s">
        <v>348</v>
      </c>
      <c r="AX108" s="224">
        <f t="shared" si="1"/>
        <v>0</v>
      </c>
      <c r="AY108" s="233"/>
      <c r="AZ108" s="215"/>
      <c r="BA108" s="218"/>
    </row>
    <row r="109" spans="1:58" ht="18.75" thickBot="1" x14ac:dyDescent="0.3">
      <c r="A109" s="857" t="s">
        <v>49</v>
      </c>
      <c r="B109" s="858"/>
      <c r="C109" s="859"/>
      <c r="D109" s="256"/>
      <c r="E109" s="257" t="s">
        <v>325</v>
      </c>
      <c r="F109" s="281" t="s">
        <v>50</v>
      </c>
      <c r="G109" s="860">
        <f t="shared" si="3"/>
        <v>0</v>
      </c>
      <c r="H109" s="861"/>
      <c r="I109" s="862"/>
      <c r="J109" s="259">
        <v>0</v>
      </c>
      <c r="K109" s="260">
        <v>0</v>
      </c>
      <c r="L109" s="261">
        <f t="shared" si="7"/>
        <v>0</v>
      </c>
      <c r="M109" s="231"/>
      <c r="N109" s="857" t="s">
        <v>49</v>
      </c>
      <c r="O109" s="858"/>
      <c r="P109" s="859"/>
      <c r="Q109" s="256"/>
      <c r="R109" s="257" t="s">
        <v>325</v>
      </c>
      <c r="S109" s="281" t="s">
        <v>50</v>
      </c>
      <c r="T109" s="863">
        <f t="shared" si="4"/>
        <v>3</v>
      </c>
      <c r="U109" s="863"/>
      <c r="V109" s="863"/>
      <c r="W109" s="259">
        <v>0</v>
      </c>
      <c r="X109" s="260">
        <v>0</v>
      </c>
      <c r="Y109" s="261">
        <f t="shared" si="5"/>
        <v>3</v>
      </c>
      <c r="Z109" s="262">
        <f t="shared" si="6"/>
        <v>3</v>
      </c>
      <c r="AA109" s="231" t="b">
        <f>IFERROR(T112&gt;0.5,FALSE)</f>
        <v>0</v>
      </c>
      <c r="AC109" s="236" t="s">
        <v>349</v>
      </c>
      <c r="AD109" s="99" t="s">
        <v>350</v>
      </c>
      <c r="AE109" s="238">
        <f>AO245</f>
        <v>0</v>
      </c>
      <c r="AF109" s="239" t="str">
        <f t="shared" si="2"/>
        <v/>
      </c>
      <c r="AH109" s="215"/>
      <c r="AI109" s="843" t="s">
        <v>351</v>
      </c>
      <c r="AJ109" s="844"/>
      <c r="AK109" s="844"/>
      <c r="AL109" s="844"/>
      <c r="AM109" s="844"/>
      <c r="AN109" s="282" t="s">
        <v>352</v>
      </c>
      <c r="AO109" s="224">
        <f t="shared" si="0"/>
        <v>0</v>
      </c>
      <c r="AP109" s="225"/>
      <c r="AQ109" s="215"/>
      <c r="AR109" s="845" t="s">
        <v>353</v>
      </c>
      <c r="AS109" s="846"/>
      <c r="AT109" s="846"/>
      <c r="AU109" s="846"/>
      <c r="AV109" s="846"/>
      <c r="AW109" s="283" t="s">
        <v>354</v>
      </c>
      <c r="AX109" s="224">
        <f t="shared" si="1"/>
        <v>0</v>
      </c>
      <c r="AY109" s="233"/>
      <c r="AZ109" s="215"/>
      <c r="BA109" s="218"/>
    </row>
    <row r="110" spans="1:58" ht="18.75" thickBot="1" x14ac:dyDescent="0.3">
      <c r="A110" s="857" t="s">
        <v>80</v>
      </c>
      <c r="B110" s="858"/>
      <c r="C110" s="859"/>
      <c r="D110" s="256" t="s">
        <v>25</v>
      </c>
      <c r="E110" s="257" t="s">
        <v>325</v>
      </c>
      <c r="F110" s="284" t="s">
        <v>79</v>
      </c>
      <c r="G110" s="860">
        <f t="shared" si="3"/>
        <v>0</v>
      </c>
      <c r="H110" s="861"/>
      <c r="I110" s="862"/>
      <c r="J110" s="259">
        <v>0</v>
      </c>
      <c r="K110" s="260">
        <v>0</v>
      </c>
      <c r="L110" s="261">
        <f t="shared" si="7"/>
        <v>0</v>
      </c>
      <c r="M110" s="231"/>
      <c r="N110" s="857" t="s">
        <v>80</v>
      </c>
      <c r="O110" s="858"/>
      <c r="P110" s="859"/>
      <c r="Q110" s="256" t="s">
        <v>25</v>
      </c>
      <c r="R110" s="257" t="s">
        <v>325</v>
      </c>
      <c r="S110" s="284" t="s">
        <v>79</v>
      </c>
      <c r="T110" s="863">
        <f t="shared" si="4"/>
        <v>0</v>
      </c>
      <c r="U110" s="863"/>
      <c r="V110" s="863"/>
      <c r="W110" s="259">
        <v>0</v>
      </c>
      <c r="X110" s="260">
        <v>0</v>
      </c>
      <c r="Y110" s="261">
        <f t="shared" si="5"/>
        <v>0</v>
      </c>
      <c r="Z110" s="262">
        <f t="shared" si="6"/>
        <v>0</v>
      </c>
      <c r="AA110" s="231"/>
      <c r="AC110" s="236" t="s">
        <v>355</v>
      </c>
      <c r="AD110" s="285" t="s">
        <v>60</v>
      </c>
      <c r="AE110" s="238">
        <f>AX238</f>
        <v>0</v>
      </c>
      <c r="AF110" s="239" t="str">
        <f t="shared" si="2"/>
        <v/>
      </c>
      <c r="AH110" s="215"/>
      <c r="AI110" s="843" t="s">
        <v>356</v>
      </c>
      <c r="AJ110" s="844"/>
      <c r="AK110" s="844"/>
      <c r="AL110" s="844"/>
      <c r="AM110" s="844"/>
      <c r="AN110" s="286" t="s">
        <v>357</v>
      </c>
      <c r="AO110" s="224">
        <f t="shared" si="0"/>
        <v>0</v>
      </c>
      <c r="AP110" s="225"/>
      <c r="AQ110" s="215"/>
      <c r="AR110" s="845" t="s">
        <v>358</v>
      </c>
      <c r="AS110" s="846"/>
      <c r="AT110" s="846"/>
      <c r="AU110" s="846"/>
      <c r="AV110" s="846"/>
      <c r="AW110" s="287" t="s">
        <v>359</v>
      </c>
      <c r="AX110" s="224">
        <f t="shared" si="1"/>
        <v>0</v>
      </c>
      <c r="AY110" s="233"/>
      <c r="AZ110" s="215"/>
      <c r="BA110" s="218"/>
    </row>
    <row r="111" spans="1:58" ht="18.75" thickBot="1" x14ac:dyDescent="0.3">
      <c r="A111" s="857" t="s">
        <v>8</v>
      </c>
      <c r="B111" s="858"/>
      <c r="C111" s="859"/>
      <c r="D111" s="256"/>
      <c r="E111" s="257" t="s">
        <v>325</v>
      </c>
      <c r="F111" s="163" t="s">
        <v>9</v>
      </c>
      <c r="G111" s="860">
        <f t="shared" si="3"/>
        <v>2</v>
      </c>
      <c r="H111" s="861"/>
      <c r="I111" s="862"/>
      <c r="J111" s="259">
        <v>0</v>
      </c>
      <c r="K111" s="260">
        <v>0</v>
      </c>
      <c r="L111" s="261">
        <f t="shared" si="7"/>
        <v>2</v>
      </c>
      <c r="M111" s="231"/>
      <c r="N111" s="857" t="s">
        <v>8</v>
      </c>
      <c r="O111" s="858"/>
      <c r="P111" s="859"/>
      <c r="Q111" s="256"/>
      <c r="R111" s="257" t="s">
        <v>325</v>
      </c>
      <c r="S111" s="163" t="s">
        <v>9</v>
      </c>
      <c r="T111" s="863">
        <f t="shared" si="4"/>
        <v>4</v>
      </c>
      <c r="U111" s="863"/>
      <c r="V111" s="863"/>
      <c r="W111" s="259">
        <v>0</v>
      </c>
      <c r="X111" s="260">
        <v>0</v>
      </c>
      <c r="Y111" s="261">
        <f t="shared" si="5"/>
        <v>4</v>
      </c>
      <c r="Z111" s="262">
        <f t="shared" si="6"/>
        <v>6</v>
      </c>
      <c r="AA111" s="231"/>
      <c r="AC111" s="236" t="s">
        <v>360</v>
      </c>
      <c r="AD111" s="288" t="s">
        <v>360</v>
      </c>
      <c r="AE111" s="238">
        <f>AX243</f>
        <v>0</v>
      </c>
      <c r="AF111" s="239" t="str">
        <f t="shared" si="2"/>
        <v/>
      </c>
      <c r="AH111" s="215"/>
      <c r="AI111" s="843" t="s">
        <v>361</v>
      </c>
      <c r="AJ111" s="844"/>
      <c r="AK111" s="844"/>
      <c r="AL111" s="844"/>
      <c r="AM111" s="844"/>
      <c r="AN111" s="286" t="s">
        <v>362</v>
      </c>
      <c r="AO111" s="224">
        <f t="shared" si="0"/>
        <v>0</v>
      </c>
      <c r="AP111" s="225"/>
      <c r="AQ111" s="215"/>
      <c r="AR111" s="845" t="s">
        <v>363</v>
      </c>
      <c r="AS111" s="846"/>
      <c r="AT111" s="846"/>
      <c r="AU111" s="846"/>
      <c r="AV111" s="846"/>
      <c r="AW111" s="289" t="s">
        <v>364</v>
      </c>
      <c r="AX111" s="224">
        <f t="shared" si="1"/>
        <v>0</v>
      </c>
      <c r="AY111" s="233"/>
      <c r="AZ111" s="215"/>
      <c r="BA111" s="218"/>
    </row>
    <row r="112" spans="1:58" ht="18.75" thickBot="1" x14ac:dyDescent="0.3">
      <c r="A112" s="857" t="s">
        <v>16</v>
      </c>
      <c r="B112" s="858"/>
      <c r="C112" s="859"/>
      <c r="D112" s="256"/>
      <c r="E112" s="257"/>
      <c r="F112" s="290" t="s">
        <v>15</v>
      </c>
      <c r="G112" s="860">
        <f t="shared" si="3"/>
        <v>0</v>
      </c>
      <c r="H112" s="861"/>
      <c r="I112" s="862"/>
      <c r="J112" s="259">
        <v>0</v>
      </c>
      <c r="K112" s="260">
        <v>0</v>
      </c>
      <c r="L112" s="261">
        <f t="shared" si="7"/>
        <v>0</v>
      </c>
      <c r="M112" s="231"/>
      <c r="N112" s="857" t="s">
        <v>16</v>
      </c>
      <c r="O112" s="858"/>
      <c r="P112" s="859"/>
      <c r="Q112" s="256"/>
      <c r="R112" s="257"/>
      <c r="S112" s="290" t="s">
        <v>15</v>
      </c>
      <c r="T112" s="863">
        <f t="shared" si="4"/>
        <v>0</v>
      </c>
      <c r="U112" s="863"/>
      <c r="V112" s="863"/>
      <c r="W112" s="259">
        <v>0</v>
      </c>
      <c r="X112" s="260">
        <v>0</v>
      </c>
      <c r="Y112" s="261">
        <f t="shared" si="5"/>
        <v>0</v>
      </c>
      <c r="Z112" s="262">
        <f t="shared" si="6"/>
        <v>0</v>
      </c>
      <c r="AA112" s="231"/>
      <c r="AC112" s="291" t="s">
        <v>365</v>
      </c>
      <c r="AD112" s="292" t="s">
        <v>366</v>
      </c>
      <c r="AE112" s="238">
        <f>AX256</f>
        <v>0</v>
      </c>
      <c r="AF112" s="239" t="str">
        <f t="shared" si="2"/>
        <v/>
      </c>
      <c r="AH112" s="215"/>
      <c r="AI112" s="843" t="s">
        <v>367</v>
      </c>
      <c r="AJ112" s="844"/>
      <c r="AK112" s="844"/>
      <c r="AL112" s="844"/>
      <c r="AM112" s="844"/>
      <c r="AN112" s="293" t="s">
        <v>368</v>
      </c>
      <c r="AO112" s="224">
        <f t="shared" si="0"/>
        <v>0</v>
      </c>
      <c r="AP112" s="225"/>
      <c r="AQ112" s="215"/>
      <c r="AR112" s="845" t="s">
        <v>369</v>
      </c>
      <c r="AS112" s="846"/>
      <c r="AT112" s="846"/>
      <c r="AU112" s="846"/>
      <c r="AV112" s="846"/>
      <c r="AW112" s="294" t="s">
        <v>370</v>
      </c>
      <c r="AX112" s="224">
        <f t="shared" si="1"/>
        <v>0</v>
      </c>
      <c r="AY112" s="233"/>
      <c r="AZ112" s="215"/>
      <c r="BA112" s="218"/>
    </row>
    <row r="113" spans="1:58" ht="18.75" thickBot="1" x14ac:dyDescent="0.3">
      <c r="A113" s="857" t="s">
        <v>33</v>
      </c>
      <c r="B113" s="858"/>
      <c r="C113" s="859"/>
      <c r="D113" s="256"/>
      <c r="E113" s="257"/>
      <c r="F113" s="295" t="s">
        <v>29</v>
      </c>
      <c r="G113" s="860">
        <f t="shared" si="3"/>
        <v>0</v>
      </c>
      <c r="H113" s="861"/>
      <c r="I113" s="862"/>
      <c r="J113" s="259">
        <v>0</v>
      </c>
      <c r="K113" s="260">
        <v>0</v>
      </c>
      <c r="L113" s="261">
        <f t="shared" si="7"/>
        <v>0</v>
      </c>
      <c r="M113" s="231"/>
      <c r="N113" s="857" t="s">
        <v>33</v>
      </c>
      <c r="O113" s="858"/>
      <c r="P113" s="859"/>
      <c r="Q113" s="256"/>
      <c r="R113" s="257"/>
      <c r="S113" s="295" t="s">
        <v>29</v>
      </c>
      <c r="T113" s="863">
        <f t="shared" si="4"/>
        <v>0</v>
      </c>
      <c r="U113" s="863"/>
      <c r="V113" s="863"/>
      <c r="W113" s="259">
        <v>0</v>
      </c>
      <c r="X113" s="260">
        <v>0</v>
      </c>
      <c r="Y113" s="261">
        <f t="shared" si="5"/>
        <v>0</v>
      </c>
      <c r="Z113" s="262">
        <f t="shared" si="6"/>
        <v>0</v>
      </c>
      <c r="AA113" s="231"/>
      <c r="AC113" s="291" t="s">
        <v>371</v>
      </c>
      <c r="AD113" s="296" t="s">
        <v>372</v>
      </c>
      <c r="AE113" s="238" t="s">
        <v>373</v>
      </c>
      <c r="AF113" s="239" t="str">
        <f t="shared" si="2"/>
        <v/>
      </c>
      <c r="AH113" s="215"/>
      <c r="AI113" s="843" t="s">
        <v>374</v>
      </c>
      <c r="AJ113" s="844"/>
      <c r="AK113" s="844"/>
      <c r="AL113" s="844"/>
      <c r="AM113" s="844"/>
      <c r="AN113" s="297" t="s">
        <v>375</v>
      </c>
      <c r="AO113" s="224">
        <f t="shared" si="0"/>
        <v>0</v>
      </c>
      <c r="AP113" s="225"/>
      <c r="AQ113" s="215"/>
      <c r="AR113" s="845" t="s">
        <v>376</v>
      </c>
      <c r="AS113" s="846"/>
      <c r="AT113" s="846"/>
      <c r="AU113" s="846"/>
      <c r="AV113" s="846"/>
      <c r="AW113" s="298" t="s">
        <v>377</v>
      </c>
      <c r="AX113" s="224">
        <f t="shared" si="1"/>
        <v>0</v>
      </c>
      <c r="AY113" s="233"/>
      <c r="AZ113" s="215"/>
      <c r="BA113" s="218"/>
    </row>
    <row r="114" spans="1:58" ht="18" x14ac:dyDescent="0.25">
      <c r="A114" s="857" t="s">
        <v>82</v>
      </c>
      <c r="B114" s="858"/>
      <c r="C114" s="859"/>
      <c r="D114" s="256"/>
      <c r="E114" s="257" t="s">
        <v>325</v>
      </c>
      <c r="F114" s="9" t="s">
        <v>81</v>
      </c>
      <c r="G114" s="860">
        <f t="shared" si="3"/>
        <v>0</v>
      </c>
      <c r="H114" s="861"/>
      <c r="I114" s="862"/>
      <c r="J114" s="259">
        <v>0</v>
      </c>
      <c r="K114" s="260">
        <v>0</v>
      </c>
      <c r="L114" s="261">
        <f t="shared" si="7"/>
        <v>0</v>
      </c>
      <c r="M114" s="231"/>
      <c r="N114" s="857" t="s">
        <v>82</v>
      </c>
      <c r="O114" s="858"/>
      <c r="P114" s="859"/>
      <c r="Q114" s="256"/>
      <c r="R114" s="257" t="s">
        <v>325</v>
      </c>
      <c r="S114" s="9" t="s">
        <v>81</v>
      </c>
      <c r="T114" s="863">
        <f t="shared" si="4"/>
        <v>0</v>
      </c>
      <c r="U114" s="863"/>
      <c r="V114" s="863"/>
      <c r="W114" s="259">
        <v>0</v>
      </c>
      <c r="X114" s="260">
        <v>0</v>
      </c>
      <c r="Y114" s="261">
        <f t="shared" si="5"/>
        <v>0</v>
      </c>
      <c r="Z114" s="262">
        <f t="shared" si="6"/>
        <v>0</v>
      </c>
      <c r="AA114" s="231"/>
      <c r="AC114" s="291" t="s">
        <v>378</v>
      </c>
      <c r="AD114" s="299" t="s">
        <v>379</v>
      </c>
      <c r="AE114" s="238">
        <f>AX260</f>
        <v>0</v>
      </c>
      <c r="AF114" s="239" t="str">
        <f t="shared" si="2"/>
        <v/>
      </c>
      <c r="AH114" s="215"/>
      <c r="AI114" s="843" t="s">
        <v>380</v>
      </c>
      <c r="AJ114" s="844"/>
      <c r="AK114" s="844"/>
      <c r="AL114" s="844"/>
      <c r="AM114" s="844"/>
      <c r="AN114" s="300" t="s">
        <v>381</v>
      </c>
      <c r="AO114" s="224">
        <f t="shared" si="0"/>
        <v>0</v>
      </c>
      <c r="AP114" s="225"/>
      <c r="AQ114" s="215"/>
      <c r="AR114" s="845" t="s">
        <v>382</v>
      </c>
      <c r="AS114" s="846"/>
      <c r="AT114" s="846"/>
      <c r="AU114" s="846"/>
      <c r="AV114" s="846"/>
      <c r="AW114" s="301" t="s">
        <v>383</v>
      </c>
      <c r="AX114" s="224">
        <f t="shared" si="1"/>
        <v>0</v>
      </c>
      <c r="AY114" s="233"/>
      <c r="AZ114" s="215"/>
      <c r="BA114" s="218"/>
    </row>
    <row r="115" spans="1:58" ht="18.75" thickBot="1" x14ac:dyDescent="0.3">
      <c r="A115" s="857" t="s">
        <v>84</v>
      </c>
      <c r="B115" s="858"/>
      <c r="C115" s="859"/>
      <c r="D115" s="256"/>
      <c r="E115" s="257" t="s">
        <v>325</v>
      </c>
      <c r="F115" s="302" t="s">
        <v>83</v>
      </c>
      <c r="G115" s="860">
        <f t="shared" si="3"/>
        <v>0</v>
      </c>
      <c r="H115" s="861"/>
      <c r="I115" s="862"/>
      <c r="J115" s="259">
        <v>0</v>
      </c>
      <c r="K115" s="260">
        <v>0</v>
      </c>
      <c r="L115" s="261">
        <f t="shared" si="7"/>
        <v>0</v>
      </c>
      <c r="M115" s="231"/>
      <c r="N115" s="857" t="s">
        <v>84</v>
      </c>
      <c r="O115" s="858"/>
      <c r="P115" s="859"/>
      <c r="Q115" s="256"/>
      <c r="R115" s="257" t="s">
        <v>325</v>
      </c>
      <c r="S115" s="302" t="s">
        <v>83</v>
      </c>
      <c r="T115" s="863">
        <f t="shared" si="4"/>
        <v>0</v>
      </c>
      <c r="U115" s="863"/>
      <c r="V115" s="863"/>
      <c r="W115" s="259">
        <v>0</v>
      </c>
      <c r="X115" s="260">
        <v>0</v>
      </c>
      <c r="Y115" s="261">
        <f t="shared" si="5"/>
        <v>0</v>
      </c>
      <c r="Z115" s="262">
        <f t="shared" si="6"/>
        <v>0</v>
      </c>
      <c r="AA115" s="231"/>
      <c r="AC115" s="291" t="s">
        <v>384</v>
      </c>
      <c r="AD115" s="303" t="s">
        <v>385</v>
      </c>
      <c r="AE115" s="238">
        <f>AO263</f>
        <v>0</v>
      </c>
      <c r="AF115" s="239" t="str">
        <f t="shared" si="2"/>
        <v/>
      </c>
      <c r="AH115" s="215"/>
      <c r="AI115" s="843" t="s">
        <v>386</v>
      </c>
      <c r="AJ115" s="844"/>
      <c r="AK115" s="844"/>
      <c r="AL115" s="844"/>
      <c r="AM115" s="844"/>
      <c r="AN115" s="304" t="s">
        <v>387</v>
      </c>
      <c r="AO115" s="224">
        <f t="shared" si="0"/>
        <v>0</v>
      </c>
      <c r="AP115" s="225"/>
      <c r="AQ115" s="215"/>
      <c r="AR115" s="845" t="s">
        <v>388</v>
      </c>
      <c r="AS115" s="846"/>
      <c r="AT115" s="846"/>
      <c r="AU115" s="846"/>
      <c r="AV115" s="846"/>
      <c r="AW115" s="305" t="s">
        <v>389</v>
      </c>
      <c r="AX115" s="224">
        <f t="shared" si="1"/>
        <v>0</v>
      </c>
      <c r="AY115" s="233"/>
      <c r="AZ115" s="215"/>
      <c r="BA115" s="218"/>
    </row>
    <row r="116" spans="1:58" ht="18.75" thickBot="1" x14ac:dyDescent="0.3">
      <c r="A116" s="857" t="s">
        <v>85</v>
      </c>
      <c r="B116" s="858"/>
      <c r="C116" s="859"/>
      <c r="D116" s="256"/>
      <c r="E116" s="257"/>
      <c r="F116" s="306" t="s">
        <v>120</v>
      </c>
      <c r="G116" s="860">
        <f t="shared" si="3"/>
        <v>0</v>
      </c>
      <c r="H116" s="861"/>
      <c r="I116" s="862"/>
      <c r="J116" s="259">
        <v>0</v>
      </c>
      <c r="K116" s="260">
        <v>0</v>
      </c>
      <c r="L116" s="261">
        <f t="shared" si="7"/>
        <v>0</v>
      </c>
      <c r="M116" s="231"/>
      <c r="N116" s="857" t="s">
        <v>85</v>
      </c>
      <c r="O116" s="858"/>
      <c r="P116" s="859"/>
      <c r="Q116" s="256"/>
      <c r="R116" s="257"/>
      <c r="S116" s="306" t="s">
        <v>120</v>
      </c>
      <c r="T116" s="863">
        <f t="shared" si="4"/>
        <v>0</v>
      </c>
      <c r="U116" s="863"/>
      <c r="V116" s="863"/>
      <c r="W116" s="259">
        <v>0</v>
      </c>
      <c r="X116" s="260">
        <v>0</v>
      </c>
      <c r="Y116" s="261">
        <f t="shared" si="5"/>
        <v>0</v>
      </c>
      <c r="Z116" s="262">
        <f t="shared" si="6"/>
        <v>0</v>
      </c>
      <c r="AA116" s="231"/>
      <c r="AC116" s="291" t="s">
        <v>281</v>
      </c>
      <c r="AD116" s="307" t="s">
        <v>390</v>
      </c>
      <c r="AE116" s="238">
        <f>AX140</f>
        <v>10</v>
      </c>
      <c r="AF116" s="239" t="str">
        <f t="shared" si="2"/>
        <v/>
      </c>
      <c r="AH116" s="215"/>
      <c r="AI116" s="843" t="s">
        <v>391</v>
      </c>
      <c r="AJ116" s="844"/>
      <c r="AK116" s="844"/>
      <c r="AL116" s="844"/>
      <c r="AM116" s="844"/>
      <c r="AN116" s="308" t="s">
        <v>392</v>
      </c>
      <c r="AO116" s="224">
        <f t="shared" si="0"/>
        <v>0</v>
      </c>
      <c r="AP116" s="225"/>
      <c r="AQ116" s="215"/>
      <c r="AR116" s="845" t="s">
        <v>393</v>
      </c>
      <c r="AS116" s="846"/>
      <c r="AT116" s="846"/>
      <c r="AU116" s="846"/>
      <c r="AV116" s="846"/>
      <c r="AW116" s="305" t="s">
        <v>394</v>
      </c>
      <c r="AX116" s="224">
        <f t="shared" si="1"/>
        <v>0</v>
      </c>
      <c r="AY116" s="233"/>
      <c r="AZ116" s="215"/>
      <c r="BA116" s="218"/>
    </row>
    <row r="117" spans="1:58" ht="18.75" thickBot="1" x14ac:dyDescent="0.3">
      <c r="A117" s="857" t="s">
        <v>40</v>
      </c>
      <c r="B117" s="858"/>
      <c r="C117" s="859"/>
      <c r="D117" s="256"/>
      <c r="E117" s="257" t="s">
        <v>325</v>
      </c>
      <c r="F117" s="309" t="s">
        <v>41</v>
      </c>
      <c r="G117" s="860">
        <f t="shared" si="3"/>
        <v>0</v>
      </c>
      <c r="H117" s="861"/>
      <c r="I117" s="862"/>
      <c r="J117" s="259">
        <v>0</v>
      </c>
      <c r="K117" s="260">
        <v>0</v>
      </c>
      <c r="L117" s="261">
        <f t="shared" si="7"/>
        <v>0</v>
      </c>
      <c r="M117" s="231"/>
      <c r="N117" s="857" t="s">
        <v>40</v>
      </c>
      <c r="O117" s="858"/>
      <c r="P117" s="859"/>
      <c r="Q117" s="256"/>
      <c r="R117" s="257" t="s">
        <v>325</v>
      </c>
      <c r="S117" s="309" t="s">
        <v>41</v>
      </c>
      <c r="T117" s="863">
        <f t="shared" si="4"/>
        <v>0</v>
      </c>
      <c r="U117" s="863"/>
      <c r="V117" s="863"/>
      <c r="W117" s="259">
        <v>0</v>
      </c>
      <c r="X117" s="260">
        <v>0</v>
      </c>
      <c r="Y117" s="261">
        <f t="shared" si="5"/>
        <v>0</v>
      </c>
      <c r="Z117" s="262">
        <f t="shared" si="6"/>
        <v>0</v>
      </c>
      <c r="AA117" s="231"/>
      <c r="AC117" s="310" t="s">
        <v>395</v>
      </c>
      <c r="AD117" s="311" t="s">
        <v>396</v>
      </c>
      <c r="AE117" s="238">
        <f t="shared" ref="AE117" si="8">COUNTIF($P$1:$Q$1,AD117)</f>
        <v>0</v>
      </c>
      <c r="AF117" s="239" t="str">
        <f t="shared" si="2"/>
        <v/>
      </c>
      <c r="AH117" s="215"/>
      <c r="AI117" s="843" t="s">
        <v>397</v>
      </c>
      <c r="AJ117" s="844"/>
      <c r="AK117" s="844"/>
      <c r="AL117" s="844"/>
      <c r="AM117" s="844"/>
      <c r="AN117" s="312" t="s">
        <v>398</v>
      </c>
      <c r="AO117" s="224">
        <f t="shared" si="0"/>
        <v>0</v>
      </c>
      <c r="AP117" s="225"/>
      <c r="AQ117" s="215"/>
      <c r="AR117" s="845" t="s">
        <v>399</v>
      </c>
      <c r="AS117" s="846"/>
      <c r="AT117" s="846"/>
      <c r="AU117" s="846"/>
      <c r="AV117" s="846"/>
      <c r="AW117" s="313" t="s">
        <v>400</v>
      </c>
      <c r="AX117" s="224">
        <f t="shared" si="1"/>
        <v>0</v>
      </c>
      <c r="AY117" s="233"/>
      <c r="AZ117" s="215"/>
      <c r="BA117" s="218"/>
      <c r="BB117" s="215"/>
      <c r="BC117" s="215"/>
      <c r="BD117" s="215"/>
      <c r="BE117" s="215"/>
      <c r="BF117" s="215"/>
    </row>
    <row r="118" spans="1:58" ht="18" x14ac:dyDescent="0.25">
      <c r="A118" s="857" t="s">
        <v>47</v>
      </c>
      <c r="B118" s="858"/>
      <c r="C118" s="859"/>
      <c r="D118" s="256"/>
      <c r="E118" s="257"/>
      <c r="F118" s="314" t="s">
        <v>48</v>
      </c>
      <c r="G118" s="860">
        <f t="shared" si="3"/>
        <v>0</v>
      </c>
      <c r="H118" s="861"/>
      <c r="I118" s="862"/>
      <c r="J118" s="259">
        <v>0</v>
      </c>
      <c r="K118" s="260">
        <v>0</v>
      </c>
      <c r="L118" s="261">
        <f t="shared" si="7"/>
        <v>0</v>
      </c>
      <c r="M118" s="231"/>
      <c r="N118" s="857" t="s">
        <v>47</v>
      </c>
      <c r="O118" s="858"/>
      <c r="P118" s="859"/>
      <c r="Q118" s="256"/>
      <c r="R118" s="257"/>
      <c r="S118" s="314" t="s">
        <v>48</v>
      </c>
      <c r="T118" s="863">
        <f t="shared" si="4"/>
        <v>0</v>
      </c>
      <c r="U118" s="863"/>
      <c r="V118" s="863"/>
      <c r="W118" s="259">
        <v>0</v>
      </c>
      <c r="X118" s="260">
        <v>0</v>
      </c>
      <c r="Y118" s="261">
        <f t="shared" si="5"/>
        <v>0</v>
      </c>
      <c r="Z118" s="262">
        <f t="shared" si="6"/>
        <v>0</v>
      </c>
      <c r="AA118" s="231"/>
      <c r="AC118" s="291" t="s">
        <v>401</v>
      </c>
      <c r="AD118" s="315" t="s">
        <v>402</v>
      </c>
      <c r="AE118" s="238">
        <f>COUNTIF($P$1:$Q$1,AD118)</f>
        <v>0</v>
      </c>
      <c r="AF118" s="239" t="str">
        <f t="shared" si="2"/>
        <v/>
      </c>
      <c r="AH118" s="215"/>
      <c r="AI118" s="843" t="s">
        <v>403</v>
      </c>
      <c r="AJ118" s="844"/>
      <c r="AK118" s="844"/>
      <c r="AL118" s="844"/>
      <c r="AM118" s="844"/>
      <c r="AN118" s="316" t="s">
        <v>404</v>
      </c>
      <c r="AO118" s="224">
        <f t="shared" si="0"/>
        <v>0</v>
      </c>
      <c r="AP118" s="225"/>
      <c r="AQ118" s="215"/>
      <c r="AR118" s="845" t="s">
        <v>405</v>
      </c>
      <c r="AS118" s="846"/>
      <c r="AT118" s="846"/>
      <c r="AU118" s="846"/>
      <c r="AV118" s="846"/>
      <c r="AW118" s="317" t="s">
        <v>406</v>
      </c>
      <c r="AX118" s="224">
        <f t="shared" si="1"/>
        <v>0</v>
      </c>
      <c r="AY118" s="233"/>
      <c r="AZ118" s="215"/>
      <c r="BA118" s="218"/>
      <c r="BB118" s="215"/>
      <c r="BC118" s="215"/>
      <c r="BD118" s="215"/>
      <c r="BE118" s="215"/>
      <c r="BF118" s="215"/>
    </row>
    <row r="119" spans="1:58" ht="18.75" thickBot="1" x14ac:dyDescent="0.3">
      <c r="A119" s="857" t="s">
        <v>17</v>
      </c>
      <c r="B119" s="858"/>
      <c r="C119" s="859"/>
      <c r="D119" s="256"/>
      <c r="E119" s="257"/>
      <c r="F119" s="318" t="s">
        <v>7</v>
      </c>
      <c r="G119" s="860">
        <f t="shared" si="3"/>
        <v>0</v>
      </c>
      <c r="H119" s="861"/>
      <c r="I119" s="862"/>
      <c r="J119" s="259">
        <v>0</v>
      </c>
      <c r="K119" s="260">
        <v>0</v>
      </c>
      <c r="L119" s="261">
        <f t="shared" si="7"/>
        <v>0</v>
      </c>
      <c r="M119" s="231"/>
      <c r="N119" s="857" t="s">
        <v>17</v>
      </c>
      <c r="O119" s="858"/>
      <c r="P119" s="859"/>
      <c r="Q119" s="256"/>
      <c r="R119" s="257"/>
      <c r="S119" s="318" t="s">
        <v>7</v>
      </c>
      <c r="T119" s="863">
        <f t="shared" si="4"/>
        <v>0</v>
      </c>
      <c r="U119" s="863"/>
      <c r="V119" s="863"/>
      <c r="W119" s="259">
        <v>0</v>
      </c>
      <c r="X119" s="260">
        <v>0</v>
      </c>
      <c r="Y119" s="261">
        <f t="shared" si="5"/>
        <v>0</v>
      </c>
      <c r="Z119" s="262">
        <f t="shared" si="6"/>
        <v>0</v>
      </c>
      <c r="AA119" s="231"/>
      <c r="AC119" s="291" t="s">
        <v>407</v>
      </c>
      <c r="AD119" s="319" t="s">
        <v>408</v>
      </c>
      <c r="AE119" s="238">
        <f>AO276</f>
        <v>0</v>
      </c>
      <c r="AF119" s="239" t="str">
        <f t="shared" si="2"/>
        <v/>
      </c>
      <c r="AH119" s="215"/>
      <c r="AI119" s="843" t="s">
        <v>409</v>
      </c>
      <c r="AJ119" s="844"/>
      <c r="AK119" s="844"/>
      <c r="AL119" s="844"/>
      <c r="AM119" s="844"/>
      <c r="AN119" s="320" t="s">
        <v>410</v>
      </c>
      <c r="AO119" s="224">
        <f t="shared" si="0"/>
        <v>0</v>
      </c>
      <c r="AP119" s="225"/>
      <c r="AQ119" s="215"/>
      <c r="AR119" s="845" t="s">
        <v>411</v>
      </c>
      <c r="AS119" s="846"/>
      <c r="AT119" s="846"/>
      <c r="AU119" s="846"/>
      <c r="AV119" s="846"/>
      <c r="AW119" s="321" t="s">
        <v>412</v>
      </c>
      <c r="AX119" s="224">
        <f t="shared" si="1"/>
        <v>0</v>
      </c>
      <c r="AY119" s="233"/>
      <c r="AZ119" s="215"/>
      <c r="BA119" s="218"/>
    </row>
    <row r="120" spans="1:58" ht="18.75" thickBot="1" x14ac:dyDescent="0.3">
      <c r="A120" s="857" t="s">
        <v>22</v>
      </c>
      <c r="B120" s="858"/>
      <c r="C120" s="859"/>
      <c r="D120" s="256"/>
      <c r="E120" s="257"/>
      <c r="F120" s="322" t="s">
        <v>11</v>
      </c>
      <c r="G120" s="860">
        <f t="shared" si="3"/>
        <v>2</v>
      </c>
      <c r="H120" s="861"/>
      <c r="I120" s="862"/>
      <c r="J120" s="259">
        <v>0</v>
      </c>
      <c r="K120" s="260">
        <v>0</v>
      </c>
      <c r="L120" s="261">
        <f t="shared" si="7"/>
        <v>2</v>
      </c>
      <c r="M120" s="231"/>
      <c r="N120" s="857" t="s">
        <v>22</v>
      </c>
      <c r="O120" s="858"/>
      <c r="P120" s="859"/>
      <c r="Q120" s="256"/>
      <c r="R120" s="257"/>
      <c r="S120" s="322" t="s">
        <v>11</v>
      </c>
      <c r="T120" s="863">
        <f t="shared" si="4"/>
        <v>0</v>
      </c>
      <c r="U120" s="863"/>
      <c r="V120" s="863"/>
      <c r="W120" s="259">
        <v>0</v>
      </c>
      <c r="X120" s="260">
        <v>0</v>
      </c>
      <c r="Y120" s="261">
        <f t="shared" si="5"/>
        <v>0</v>
      </c>
      <c r="Z120" s="262">
        <f t="shared" si="6"/>
        <v>2</v>
      </c>
      <c r="AA120" s="231"/>
      <c r="AC120" s="291" t="s">
        <v>413</v>
      </c>
      <c r="AD120" s="323" t="s">
        <v>414</v>
      </c>
      <c r="AE120" s="238">
        <f>AX268</f>
        <v>0</v>
      </c>
      <c r="AF120" s="239" t="str">
        <f t="shared" si="2"/>
        <v/>
      </c>
      <c r="AH120" s="215"/>
      <c r="AI120" s="843" t="s">
        <v>415</v>
      </c>
      <c r="AJ120" s="844"/>
      <c r="AK120" s="844"/>
      <c r="AL120" s="844"/>
      <c r="AM120" s="844"/>
      <c r="AN120" s="324" t="s">
        <v>416</v>
      </c>
      <c r="AO120" s="224">
        <f t="shared" si="0"/>
        <v>0</v>
      </c>
      <c r="AP120" s="225"/>
      <c r="AQ120" s="215"/>
      <c r="AR120" s="845" t="s">
        <v>417</v>
      </c>
      <c r="AS120" s="846"/>
      <c r="AT120" s="846"/>
      <c r="AU120" s="846"/>
      <c r="AV120" s="846"/>
      <c r="AW120" s="283" t="s">
        <v>418</v>
      </c>
      <c r="AX120" s="224">
        <f t="shared" si="1"/>
        <v>0</v>
      </c>
      <c r="AY120" s="233"/>
      <c r="AZ120" s="215"/>
      <c r="BA120" s="218"/>
    </row>
    <row r="121" spans="1:58" ht="18.75" thickBot="1" x14ac:dyDescent="0.3">
      <c r="A121" s="857" t="s">
        <v>86</v>
      </c>
      <c r="B121" s="858"/>
      <c r="C121" s="859"/>
      <c r="D121" s="256"/>
      <c r="E121" s="257" t="s">
        <v>325</v>
      </c>
      <c r="F121" s="325" t="s">
        <v>39</v>
      </c>
      <c r="G121" s="860">
        <f t="shared" si="3"/>
        <v>0</v>
      </c>
      <c r="H121" s="861"/>
      <c r="I121" s="862"/>
      <c r="J121" s="259">
        <v>0</v>
      </c>
      <c r="K121" s="260">
        <v>0</v>
      </c>
      <c r="L121" s="261">
        <f t="shared" si="7"/>
        <v>0</v>
      </c>
      <c r="M121" s="231"/>
      <c r="N121" s="857" t="s">
        <v>86</v>
      </c>
      <c r="O121" s="858"/>
      <c r="P121" s="859"/>
      <c r="Q121" s="256"/>
      <c r="R121" s="257" t="s">
        <v>325</v>
      </c>
      <c r="S121" s="325" t="s">
        <v>39</v>
      </c>
      <c r="T121" s="863">
        <f t="shared" si="4"/>
        <v>1</v>
      </c>
      <c r="U121" s="863"/>
      <c r="V121" s="863"/>
      <c r="W121" s="259">
        <v>0</v>
      </c>
      <c r="X121" s="260">
        <v>0</v>
      </c>
      <c r="Y121" s="261">
        <f t="shared" si="5"/>
        <v>1</v>
      </c>
      <c r="Z121" s="262">
        <f t="shared" si="6"/>
        <v>1</v>
      </c>
      <c r="AA121" s="231"/>
      <c r="AC121" s="291" t="s">
        <v>419</v>
      </c>
      <c r="AD121" s="326" t="s">
        <v>420</v>
      </c>
      <c r="AE121" s="238">
        <f>AO258</f>
        <v>0</v>
      </c>
      <c r="AF121" s="239" t="str">
        <f t="shared" si="2"/>
        <v/>
      </c>
      <c r="AH121" s="215"/>
      <c r="AI121" s="843" t="s">
        <v>421</v>
      </c>
      <c r="AJ121" s="844"/>
      <c r="AK121" s="844"/>
      <c r="AL121" s="844"/>
      <c r="AM121" s="844"/>
      <c r="AN121" s="316" t="s">
        <v>422</v>
      </c>
      <c r="AO121" s="224">
        <f t="shared" si="0"/>
        <v>0</v>
      </c>
      <c r="AP121" s="225"/>
      <c r="AQ121" s="215"/>
      <c r="AR121" s="845" t="s">
        <v>423</v>
      </c>
      <c r="AS121" s="846"/>
      <c r="AT121" s="846"/>
      <c r="AU121" s="846"/>
      <c r="AV121" s="846"/>
      <c r="AW121" s="164" t="s">
        <v>246</v>
      </c>
      <c r="AX121" s="224">
        <f t="shared" si="1"/>
        <v>10</v>
      </c>
      <c r="AY121" s="233"/>
      <c r="AZ121" s="215"/>
      <c r="BA121" s="218"/>
    </row>
    <row r="122" spans="1:58" ht="18.75" thickBot="1" x14ac:dyDescent="0.3">
      <c r="A122" s="857" t="s">
        <v>12</v>
      </c>
      <c r="B122" s="858"/>
      <c r="C122" s="859"/>
      <c r="D122" s="256"/>
      <c r="E122" s="257"/>
      <c r="F122" s="327" t="s">
        <v>13</v>
      </c>
      <c r="G122" s="860">
        <f t="shared" si="3"/>
        <v>0</v>
      </c>
      <c r="H122" s="861"/>
      <c r="I122" s="862"/>
      <c r="J122" s="259">
        <v>0</v>
      </c>
      <c r="K122" s="260">
        <v>0</v>
      </c>
      <c r="L122" s="261">
        <f t="shared" si="7"/>
        <v>0</v>
      </c>
      <c r="M122" s="231"/>
      <c r="N122" s="857" t="s">
        <v>12</v>
      </c>
      <c r="O122" s="858"/>
      <c r="P122" s="859"/>
      <c r="Q122" s="256"/>
      <c r="R122" s="257"/>
      <c r="S122" s="327" t="s">
        <v>13</v>
      </c>
      <c r="T122" s="863">
        <f t="shared" si="4"/>
        <v>0</v>
      </c>
      <c r="U122" s="863"/>
      <c r="V122" s="863"/>
      <c r="W122" s="259">
        <v>0</v>
      </c>
      <c r="X122" s="260">
        <v>0</v>
      </c>
      <c r="Y122" s="261">
        <f t="shared" si="5"/>
        <v>0</v>
      </c>
      <c r="Z122" s="262">
        <f t="shared" si="6"/>
        <v>0</v>
      </c>
      <c r="AA122" s="231"/>
      <c r="AC122" s="310" t="s">
        <v>424</v>
      </c>
      <c r="AD122" s="328" t="s">
        <v>425</v>
      </c>
      <c r="AE122" s="238">
        <f>AX264</f>
        <v>0</v>
      </c>
      <c r="AF122" s="239" t="str">
        <f t="shared" si="2"/>
        <v/>
      </c>
      <c r="AH122" s="215"/>
      <c r="AI122" s="843" t="s">
        <v>426</v>
      </c>
      <c r="AJ122" s="844"/>
      <c r="AK122" s="844"/>
      <c r="AL122" s="844"/>
      <c r="AM122" s="844"/>
      <c r="AN122" s="134" t="s">
        <v>228</v>
      </c>
      <c r="AO122" s="224">
        <f t="shared" si="0"/>
        <v>1</v>
      </c>
      <c r="AP122" s="225"/>
      <c r="AQ122" s="215"/>
      <c r="AR122" s="845" t="s">
        <v>427</v>
      </c>
      <c r="AS122" s="846"/>
      <c r="AT122" s="846"/>
      <c r="AU122" s="846"/>
      <c r="AV122" s="846"/>
      <c r="AW122" s="329" t="s">
        <v>428</v>
      </c>
      <c r="AX122" s="224">
        <f t="shared" si="1"/>
        <v>0</v>
      </c>
      <c r="AY122" s="233"/>
      <c r="AZ122" s="215"/>
      <c r="BA122" s="218"/>
    </row>
    <row r="123" spans="1:58" ht="18.75" thickBot="1" x14ac:dyDescent="0.3">
      <c r="A123" s="857" t="s">
        <v>88</v>
      </c>
      <c r="B123" s="858"/>
      <c r="C123" s="859"/>
      <c r="D123" s="256" t="s">
        <v>50</v>
      </c>
      <c r="E123" s="257"/>
      <c r="F123" s="330" t="s">
        <v>87</v>
      </c>
      <c r="G123" s="860">
        <f t="shared" si="3"/>
        <v>0</v>
      </c>
      <c r="H123" s="861"/>
      <c r="I123" s="862"/>
      <c r="J123" s="259">
        <v>0</v>
      </c>
      <c r="K123" s="260">
        <v>0</v>
      </c>
      <c r="L123" s="261">
        <f t="shared" si="7"/>
        <v>0</v>
      </c>
      <c r="M123" s="231"/>
      <c r="N123" s="857" t="s">
        <v>88</v>
      </c>
      <c r="O123" s="858"/>
      <c r="P123" s="859"/>
      <c r="Q123" s="256" t="s">
        <v>50</v>
      </c>
      <c r="R123" s="257"/>
      <c r="S123" s="330" t="s">
        <v>87</v>
      </c>
      <c r="T123" s="863">
        <f t="shared" si="4"/>
        <v>0</v>
      </c>
      <c r="U123" s="863"/>
      <c r="V123" s="863"/>
      <c r="W123" s="259">
        <v>0</v>
      </c>
      <c r="X123" s="260">
        <v>0</v>
      </c>
      <c r="Y123" s="261">
        <f t="shared" si="5"/>
        <v>0</v>
      </c>
      <c r="Z123" s="262">
        <f t="shared" si="6"/>
        <v>0</v>
      </c>
      <c r="AA123" s="231"/>
      <c r="AC123" s="291" t="s">
        <v>429</v>
      </c>
      <c r="AD123" s="326" t="s">
        <v>430</v>
      </c>
      <c r="AE123" s="238">
        <f>COUNTIF($A$1:$GO$76,AD123)</f>
        <v>0</v>
      </c>
      <c r="AF123" s="239" t="str">
        <f t="shared" si="2"/>
        <v/>
      </c>
      <c r="AH123" s="215"/>
      <c r="AI123" s="843" t="s">
        <v>431</v>
      </c>
      <c r="AJ123" s="844"/>
      <c r="AK123" s="844"/>
      <c r="AL123" s="844"/>
      <c r="AM123" s="844"/>
      <c r="AN123" s="331" t="s">
        <v>432</v>
      </c>
      <c r="AO123" s="224">
        <f t="shared" si="0"/>
        <v>0</v>
      </c>
      <c r="AP123" s="225"/>
      <c r="AQ123" s="215"/>
      <c r="AR123" s="845" t="s">
        <v>433</v>
      </c>
      <c r="AS123" s="846"/>
      <c r="AT123" s="846"/>
      <c r="AU123" s="846"/>
      <c r="AV123" s="846"/>
      <c r="AW123" s="332" t="s">
        <v>434</v>
      </c>
      <c r="AX123" s="224">
        <f t="shared" si="1"/>
        <v>0</v>
      </c>
      <c r="AY123" s="233"/>
      <c r="AZ123" s="215"/>
      <c r="BA123" s="218"/>
    </row>
    <row r="124" spans="1:58" ht="18.75" thickBot="1" x14ac:dyDescent="0.3">
      <c r="A124" s="857" t="s">
        <v>90</v>
      </c>
      <c r="B124" s="858"/>
      <c r="C124" s="859"/>
      <c r="D124" s="256"/>
      <c r="E124" s="257" t="s">
        <v>325</v>
      </c>
      <c r="F124" s="333" t="s">
        <v>89</v>
      </c>
      <c r="G124" s="860">
        <f t="shared" si="3"/>
        <v>0</v>
      </c>
      <c r="H124" s="861"/>
      <c r="I124" s="862"/>
      <c r="J124" s="259">
        <v>0</v>
      </c>
      <c r="K124" s="260">
        <v>0</v>
      </c>
      <c r="L124" s="261">
        <f t="shared" si="7"/>
        <v>0</v>
      </c>
      <c r="M124" s="231"/>
      <c r="N124" s="857" t="s">
        <v>90</v>
      </c>
      <c r="O124" s="858"/>
      <c r="P124" s="859"/>
      <c r="Q124" s="256"/>
      <c r="R124" s="257" t="s">
        <v>325</v>
      </c>
      <c r="S124" s="333" t="s">
        <v>89</v>
      </c>
      <c r="T124" s="863">
        <f t="shared" si="4"/>
        <v>0</v>
      </c>
      <c r="U124" s="863"/>
      <c r="V124" s="863"/>
      <c r="W124" s="259">
        <v>0</v>
      </c>
      <c r="X124" s="260">
        <v>0</v>
      </c>
      <c r="Y124" s="261">
        <f t="shared" si="5"/>
        <v>0</v>
      </c>
      <c r="Z124" s="262">
        <f t="shared" si="6"/>
        <v>0</v>
      </c>
      <c r="AA124" s="231"/>
      <c r="AC124" s="855" t="s">
        <v>435</v>
      </c>
      <c r="AD124" s="856"/>
      <c r="AE124" s="856"/>
      <c r="AF124" s="856"/>
      <c r="AH124" s="215"/>
      <c r="AI124" s="843" t="s">
        <v>436</v>
      </c>
      <c r="AJ124" s="844"/>
      <c r="AK124" s="844"/>
      <c r="AL124" s="844"/>
      <c r="AM124" s="844"/>
      <c r="AN124" s="60" t="s">
        <v>178</v>
      </c>
      <c r="AO124" s="224">
        <f t="shared" si="0"/>
        <v>3</v>
      </c>
      <c r="AP124" s="225"/>
      <c r="AQ124" s="215"/>
      <c r="AR124" s="845" t="s">
        <v>437</v>
      </c>
      <c r="AS124" s="846"/>
      <c r="AT124" s="846"/>
      <c r="AU124" s="846"/>
      <c r="AV124" s="846"/>
      <c r="AW124" s="334" t="s">
        <v>438</v>
      </c>
      <c r="AX124" s="224">
        <f t="shared" si="1"/>
        <v>0</v>
      </c>
      <c r="AY124" s="233"/>
      <c r="AZ124" s="215"/>
      <c r="BA124" s="335"/>
    </row>
    <row r="125" spans="1:58" ht="18.75" thickBot="1" x14ac:dyDescent="0.3">
      <c r="A125" s="857" t="s">
        <v>92</v>
      </c>
      <c r="B125" s="858"/>
      <c r="C125" s="859"/>
      <c r="D125" s="256" t="s">
        <v>9</v>
      </c>
      <c r="E125" s="257" t="s">
        <v>325</v>
      </c>
      <c r="F125" s="336" t="s">
        <v>91</v>
      </c>
      <c r="G125" s="860">
        <f t="shared" si="3"/>
        <v>0</v>
      </c>
      <c r="H125" s="861"/>
      <c r="I125" s="862"/>
      <c r="J125" s="259">
        <v>0</v>
      </c>
      <c r="K125" s="260">
        <v>0</v>
      </c>
      <c r="L125" s="261">
        <f t="shared" si="7"/>
        <v>0</v>
      </c>
      <c r="M125" s="231"/>
      <c r="N125" s="857" t="s">
        <v>92</v>
      </c>
      <c r="O125" s="858"/>
      <c r="P125" s="859"/>
      <c r="Q125" s="256" t="s">
        <v>9</v>
      </c>
      <c r="R125" s="257" t="s">
        <v>325</v>
      </c>
      <c r="S125" s="336" t="s">
        <v>91</v>
      </c>
      <c r="T125" s="860">
        <f t="shared" si="4"/>
        <v>0</v>
      </c>
      <c r="U125" s="861"/>
      <c r="V125" s="862"/>
      <c r="W125" s="259">
        <v>0</v>
      </c>
      <c r="X125" s="260">
        <v>0</v>
      </c>
      <c r="Y125" s="261">
        <f t="shared" si="5"/>
        <v>0</v>
      </c>
      <c r="Z125" s="262">
        <f t="shared" si="6"/>
        <v>0</v>
      </c>
      <c r="AA125" s="231"/>
      <c r="AC125" s="337" t="s">
        <v>439</v>
      </c>
      <c r="AD125" s="69" t="s">
        <v>179</v>
      </c>
      <c r="AE125" s="238">
        <f t="shared" ref="AE125:AE188" si="9">COUNTIF($A$1:$GO$76,AD125)</f>
        <v>34</v>
      </c>
      <c r="AF125" s="239" t="str">
        <f>IFERROR(AE125/$J$4,"")</f>
        <v/>
      </c>
      <c r="AH125" s="215"/>
      <c r="AI125" s="843" t="s">
        <v>440</v>
      </c>
      <c r="AJ125" s="844"/>
      <c r="AK125" s="844"/>
      <c r="AL125" s="844"/>
      <c r="AM125" s="844"/>
      <c r="AN125" s="59" t="s">
        <v>177</v>
      </c>
      <c r="AO125" s="224">
        <f t="shared" si="0"/>
        <v>5</v>
      </c>
      <c r="AP125" s="225"/>
      <c r="AQ125" s="215"/>
      <c r="AR125" s="845" t="s">
        <v>441</v>
      </c>
      <c r="AS125" s="846"/>
      <c r="AT125" s="846"/>
      <c r="AU125" s="846"/>
      <c r="AV125" s="846"/>
      <c r="AW125" s="338" t="s">
        <v>442</v>
      </c>
      <c r="AX125" s="224">
        <f t="shared" si="1"/>
        <v>0</v>
      </c>
      <c r="AY125" s="233"/>
      <c r="AZ125" s="215"/>
      <c r="BA125" s="335"/>
    </row>
    <row r="126" spans="1:58" ht="18" x14ac:dyDescent="0.25">
      <c r="A126" s="864" t="s">
        <v>258</v>
      </c>
      <c r="B126" s="865"/>
      <c r="C126" s="865"/>
      <c r="D126" s="865"/>
      <c r="E126" s="865"/>
      <c r="F126" s="339"/>
      <c r="G126" s="866">
        <f>SUM(G104:I125)</f>
        <v>16</v>
      </c>
      <c r="H126" s="866"/>
      <c r="I126" s="866"/>
      <c r="J126" s="340">
        <f>SUM(J104:J125)</f>
        <v>0</v>
      </c>
      <c r="K126" s="341">
        <f>SUM(K104:K125)</f>
        <v>0</v>
      </c>
      <c r="L126" s="261">
        <f>SUM(L104:L125)</f>
        <v>16</v>
      </c>
      <c r="M126" s="231"/>
      <c r="N126" s="867" t="s">
        <v>258</v>
      </c>
      <c r="O126" s="868"/>
      <c r="P126" s="868"/>
      <c r="Q126" s="868"/>
      <c r="R126" s="868"/>
      <c r="S126" s="342"/>
      <c r="T126" s="869">
        <f>SUM(T104:V125)</f>
        <v>14</v>
      </c>
      <c r="U126" s="869"/>
      <c r="V126" s="869"/>
      <c r="W126" s="340">
        <f>SUM(W104:W125)</f>
        <v>0</v>
      </c>
      <c r="X126" s="341">
        <f>SUM(X104:X125)</f>
        <v>0</v>
      </c>
      <c r="Y126" s="261">
        <f>SUM(Y104:Y125)</f>
        <v>14</v>
      </c>
      <c r="Z126" s="262">
        <f t="shared" si="6"/>
        <v>30</v>
      </c>
      <c r="AA126" s="231"/>
      <c r="AC126" s="337" t="s">
        <v>443</v>
      </c>
      <c r="AD126" s="343" t="s">
        <v>444</v>
      </c>
      <c r="AE126" s="238">
        <f t="shared" si="9"/>
        <v>0</v>
      </c>
      <c r="AF126" s="239" t="str">
        <f t="shared" ref="AF126:AF189" si="10">IFERROR(AE126/$J$4,"")</f>
        <v/>
      </c>
      <c r="AH126" s="215"/>
      <c r="AI126" s="843" t="s">
        <v>445</v>
      </c>
      <c r="AJ126" s="844"/>
      <c r="AK126" s="844"/>
      <c r="AL126" s="844"/>
      <c r="AM126" s="844"/>
      <c r="AN126" s="344" t="s">
        <v>446</v>
      </c>
      <c r="AO126" s="224">
        <f t="shared" si="0"/>
        <v>0</v>
      </c>
      <c r="AP126" s="225"/>
      <c r="AQ126" s="215"/>
      <c r="AR126" s="845" t="s">
        <v>447</v>
      </c>
      <c r="AS126" s="846"/>
      <c r="AT126" s="846"/>
      <c r="AU126" s="846"/>
      <c r="AV126" s="846"/>
      <c r="AW126" s="345" t="s">
        <v>448</v>
      </c>
      <c r="AX126" s="224">
        <f t="shared" si="1"/>
        <v>0</v>
      </c>
      <c r="AY126" s="233"/>
      <c r="AZ126" s="215"/>
      <c r="BA126" s="218"/>
    </row>
    <row r="127" spans="1:58" ht="18" x14ac:dyDescent="0.25">
      <c r="A127" s="873" t="s">
        <v>449</v>
      </c>
      <c r="B127" s="874"/>
      <c r="C127" s="874"/>
      <c r="D127" s="874"/>
      <c r="E127" s="874"/>
      <c r="F127" s="874"/>
      <c r="G127" s="874"/>
      <c r="H127" s="874"/>
      <c r="I127" s="875"/>
      <c r="J127" s="251" t="s">
        <v>310</v>
      </c>
      <c r="K127" s="251" t="s">
        <v>311</v>
      </c>
      <c r="L127" s="251" t="s">
        <v>30</v>
      </c>
      <c r="M127" s="231"/>
      <c r="N127" s="873" t="s">
        <v>449</v>
      </c>
      <c r="O127" s="874"/>
      <c r="P127" s="874"/>
      <c r="Q127" s="874"/>
      <c r="R127" s="874"/>
      <c r="S127" s="874"/>
      <c r="T127" s="874"/>
      <c r="U127" s="874"/>
      <c r="V127" s="875"/>
      <c r="W127" s="252" t="s">
        <v>310</v>
      </c>
      <c r="X127" s="252" t="s">
        <v>311</v>
      </c>
      <c r="Y127" s="252" t="s">
        <v>30</v>
      </c>
      <c r="Z127" s="346"/>
      <c r="AA127" s="231"/>
      <c r="AC127" s="337" t="s">
        <v>450</v>
      </c>
      <c r="AD127" s="347" t="s">
        <v>451</v>
      </c>
      <c r="AE127" s="238">
        <f t="shared" si="9"/>
        <v>0</v>
      </c>
      <c r="AF127" s="239" t="str">
        <f t="shared" si="10"/>
        <v/>
      </c>
      <c r="AH127" s="215"/>
      <c r="AI127" s="843" t="s">
        <v>452</v>
      </c>
      <c r="AJ127" s="844"/>
      <c r="AK127" s="844"/>
      <c r="AL127" s="844"/>
      <c r="AM127" s="844"/>
      <c r="AN127" s="348" t="s">
        <v>453</v>
      </c>
      <c r="AO127" s="224">
        <f t="shared" si="0"/>
        <v>0</v>
      </c>
      <c r="AP127" s="225"/>
      <c r="AQ127" s="215"/>
      <c r="AR127" s="845" t="s">
        <v>454</v>
      </c>
      <c r="AS127" s="846"/>
      <c r="AT127" s="846"/>
      <c r="AU127" s="846"/>
      <c r="AV127" s="846"/>
      <c r="AW127" s="349" t="s">
        <v>455</v>
      </c>
      <c r="AX127" s="224">
        <f t="shared" si="1"/>
        <v>0</v>
      </c>
      <c r="AY127" s="233"/>
      <c r="AZ127" s="215"/>
      <c r="BA127" s="218"/>
    </row>
    <row r="128" spans="1:58" ht="18" x14ac:dyDescent="0.25">
      <c r="A128" s="876" t="s">
        <v>18</v>
      </c>
      <c r="B128" s="877"/>
      <c r="C128" s="878"/>
      <c r="D128" s="350"/>
      <c r="E128" s="351" t="s">
        <v>325</v>
      </c>
      <c r="F128" s="352" t="s">
        <v>6</v>
      </c>
      <c r="G128" s="879">
        <f t="shared" ref="G128:G145" si="11">COUNTIF($AO$2:$CA$42,F128)</f>
        <v>2</v>
      </c>
      <c r="H128" s="880"/>
      <c r="I128" s="881"/>
      <c r="J128" s="259">
        <v>0</v>
      </c>
      <c r="K128" s="260">
        <v>0</v>
      </c>
      <c r="L128" s="261">
        <f t="shared" ref="L128:L145" si="12">G128-K128-J128</f>
        <v>2</v>
      </c>
      <c r="M128" s="231"/>
      <c r="N128" s="876" t="s">
        <v>18</v>
      </c>
      <c r="O128" s="877"/>
      <c r="P128" s="878"/>
      <c r="Q128" s="350"/>
      <c r="R128" s="351" t="s">
        <v>325</v>
      </c>
      <c r="S128" s="352" t="s">
        <v>6</v>
      </c>
      <c r="T128" s="863">
        <f t="shared" ref="T128:T145" si="13">COUNTIF($A$2:$AN$70,S128)</f>
        <v>1</v>
      </c>
      <c r="U128" s="863"/>
      <c r="V128" s="863"/>
      <c r="W128" s="259">
        <v>0</v>
      </c>
      <c r="X128" s="260">
        <v>0</v>
      </c>
      <c r="Y128" s="261">
        <f t="shared" ref="Y128:Y145" si="14">T128-X128-W128</f>
        <v>1</v>
      </c>
      <c r="Z128" s="262">
        <f t="shared" ref="Z128:Z146" si="15">T128+G128</f>
        <v>3</v>
      </c>
      <c r="AA128" s="231"/>
      <c r="AC128" s="337" t="s">
        <v>456</v>
      </c>
      <c r="AD128" s="353" t="s">
        <v>457</v>
      </c>
      <c r="AE128" s="238">
        <f t="shared" si="9"/>
        <v>0</v>
      </c>
      <c r="AF128" s="239" t="str">
        <f t="shared" si="10"/>
        <v/>
      </c>
      <c r="AH128" s="215"/>
      <c r="AI128" s="843" t="s">
        <v>458</v>
      </c>
      <c r="AJ128" s="844"/>
      <c r="AK128" s="844"/>
      <c r="AL128" s="844"/>
      <c r="AM128" s="844"/>
      <c r="AN128" s="354" t="s">
        <v>459</v>
      </c>
      <c r="AO128" s="224">
        <f t="shared" si="0"/>
        <v>0</v>
      </c>
      <c r="AP128" s="225"/>
      <c r="AQ128" s="215"/>
      <c r="AR128" s="845" t="s">
        <v>460</v>
      </c>
      <c r="AS128" s="846"/>
      <c r="AT128" s="846"/>
      <c r="AU128" s="846"/>
      <c r="AV128" s="846"/>
      <c r="AW128" s="349" t="s">
        <v>461</v>
      </c>
      <c r="AX128" s="224">
        <f t="shared" si="1"/>
        <v>0</v>
      </c>
      <c r="AY128" s="233"/>
      <c r="AZ128" s="215"/>
      <c r="BA128" s="218"/>
    </row>
    <row r="129" spans="1:58" ht="18.75" thickBot="1" x14ac:dyDescent="0.3">
      <c r="A129" s="870" t="s">
        <v>94</v>
      </c>
      <c r="B129" s="871"/>
      <c r="C129" s="872"/>
      <c r="D129" s="256" t="s">
        <v>35</v>
      </c>
      <c r="E129" s="355"/>
      <c r="F129" s="4" t="s">
        <v>93</v>
      </c>
      <c r="G129" s="860">
        <f t="shared" si="11"/>
        <v>0</v>
      </c>
      <c r="H129" s="861"/>
      <c r="I129" s="862"/>
      <c r="J129" s="259">
        <v>0</v>
      </c>
      <c r="K129" s="260">
        <v>0</v>
      </c>
      <c r="L129" s="261">
        <f t="shared" si="12"/>
        <v>0</v>
      </c>
      <c r="M129" s="231"/>
      <c r="N129" s="870" t="s">
        <v>94</v>
      </c>
      <c r="O129" s="871"/>
      <c r="P129" s="872"/>
      <c r="Q129" s="256" t="s">
        <v>35</v>
      </c>
      <c r="R129" s="257"/>
      <c r="S129" s="356" t="s">
        <v>93</v>
      </c>
      <c r="T129" s="863">
        <f t="shared" si="13"/>
        <v>0</v>
      </c>
      <c r="U129" s="863"/>
      <c r="V129" s="863"/>
      <c r="W129" s="259">
        <v>0</v>
      </c>
      <c r="X129" s="260">
        <v>0</v>
      </c>
      <c r="Y129" s="261">
        <f t="shared" si="14"/>
        <v>0</v>
      </c>
      <c r="Z129" s="262">
        <f t="shared" si="15"/>
        <v>0</v>
      </c>
      <c r="AA129" s="231"/>
      <c r="AC129" s="337" t="s">
        <v>395</v>
      </c>
      <c r="AD129" s="311" t="s">
        <v>395</v>
      </c>
      <c r="AE129" s="238">
        <f t="shared" si="9"/>
        <v>0</v>
      </c>
      <c r="AF129" s="239" t="str">
        <f t="shared" si="10"/>
        <v/>
      </c>
      <c r="AH129" s="215"/>
      <c r="AI129" s="843" t="s">
        <v>462</v>
      </c>
      <c r="AJ129" s="844"/>
      <c r="AK129" s="844"/>
      <c r="AL129" s="844"/>
      <c r="AM129" s="844"/>
      <c r="AN129" s="320" t="s">
        <v>463</v>
      </c>
      <c r="AO129" s="224">
        <f t="shared" si="0"/>
        <v>0</v>
      </c>
      <c r="AP129" s="225"/>
      <c r="AQ129" s="215"/>
      <c r="AR129" s="845" t="s">
        <v>464</v>
      </c>
      <c r="AS129" s="846"/>
      <c r="AT129" s="846"/>
      <c r="AU129" s="846"/>
      <c r="AV129" s="846"/>
      <c r="AW129" s="357" t="s">
        <v>465</v>
      </c>
      <c r="AX129" s="224">
        <f t="shared" si="1"/>
        <v>0</v>
      </c>
      <c r="AY129" s="233"/>
      <c r="AZ129" s="215"/>
      <c r="BA129" s="218"/>
    </row>
    <row r="130" spans="1:58" ht="18" x14ac:dyDescent="0.25">
      <c r="A130" s="870" t="s">
        <v>139</v>
      </c>
      <c r="B130" s="871"/>
      <c r="C130" s="872"/>
      <c r="D130" s="256"/>
      <c r="E130" s="257"/>
      <c r="F130" s="358" t="s">
        <v>135</v>
      </c>
      <c r="G130" s="860">
        <f t="shared" si="11"/>
        <v>0</v>
      </c>
      <c r="H130" s="861"/>
      <c r="I130" s="862"/>
      <c r="J130" s="259">
        <v>0</v>
      </c>
      <c r="K130" s="260">
        <v>0</v>
      </c>
      <c r="L130" s="261">
        <f t="shared" si="12"/>
        <v>0</v>
      </c>
      <c r="M130" s="231"/>
      <c r="N130" s="870" t="s">
        <v>139</v>
      </c>
      <c r="O130" s="871"/>
      <c r="P130" s="872"/>
      <c r="Q130" s="256"/>
      <c r="R130" s="257"/>
      <c r="S130" s="358" t="s">
        <v>135</v>
      </c>
      <c r="T130" s="863">
        <f t="shared" si="13"/>
        <v>0</v>
      </c>
      <c r="U130" s="863"/>
      <c r="V130" s="863"/>
      <c r="W130" s="259">
        <v>0</v>
      </c>
      <c r="X130" s="260">
        <v>0</v>
      </c>
      <c r="Y130" s="261">
        <f t="shared" si="14"/>
        <v>0</v>
      </c>
      <c r="Z130" s="262">
        <f t="shared" si="15"/>
        <v>0</v>
      </c>
      <c r="AA130" s="231"/>
      <c r="AC130" s="337" t="s">
        <v>466</v>
      </c>
      <c r="AD130" s="359" t="s">
        <v>467</v>
      </c>
      <c r="AE130" s="238">
        <f t="shared" si="9"/>
        <v>0</v>
      </c>
      <c r="AF130" s="239" t="str">
        <f t="shared" si="10"/>
        <v/>
      </c>
      <c r="AH130" s="215"/>
      <c r="AI130" s="843" t="s">
        <v>468</v>
      </c>
      <c r="AJ130" s="844"/>
      <c r="AK130" s="844"/>
      <c r="AL130" s="844"/>
      <c r="AM130" s="844"/>
      <c r="AN130" s="360" t="s">
        <v>469</v>
      </c>
      <c r="AO130" s="224">
        <f t="shared" si="0"/>
        <v>0</v>
      </c>
      <c r="AP130" s="225"/>
      <c r="AQ130" s="215"/>
      <c r="AR130" s="845" t="s">
        <v>470</v>
      </c>
      <c r="AS130" s="846"/>
      <c r="AT130" s="846"/>
      <c r="AU130" s="846"/>
      <c r="AV130" s="846"/>
      <c r="AW130" s="361" t="s">
        <v>471</v>
      </c>
      <c r="AX130" s="224">
        <f t="shared" si="1"/>
        <v>0</v>
      </c>
      <c r="AY130" s="233"/>
      <c r="AZ130" s="215"/>
      <c r="BA130" s="218"/>
    </row>
    <row r="131" spans="1:58" ht="18.75" thickBot="1" x14ac:dyDescent="0.3">
      <c r="A131" s="870" t="s">
        <v>140</v>
      </c>
      <c r="B131" s="871"/>
      <c r="C131" s="872"/>
      <c r="D131" s="256"/>
      <c r="E131" s="257"/>
      <c r="F131" s="362" t="s">
        <v>137</v>
      </c>
      <c r="G131" s="860">
        <f t="shared" si="11"/>
        <v>0</v>
      </c>
      <c r="H131" s="861"/>
      <c r="I131" s="862"/>
      <c r="J131" s="259">
        <v>0</v>
      </c>
      <c r="K131" s="260">
        <v>0</v>
      </c>
      <c r="L131" s="261">
        <f t="shared" si="12"/>
        <v>0</v>
      </c>
      <c r="M131" s="231"/>
      <c r="N131" s="870" t="s">
        <v>140</v>
      </c>
      <c r="O131" s="871"/>
      <c r="P131" s="872"/>
      <c r="Q131" s="256"/>
      <c r="R131" s="257"/>
      <c r="S131" s="362" t="s">
        <v>137</v>
      </c>
      <c r="T131" s="863">
        <f t="shared" si="13"/>
        <v>0</v>
      </c>
      <c r="U131" s="863"/>
      <c r="V131" s="863"/>
      <c r="W131" s="259">
        <v>0</v>
      </c>
      <c r="X131" s="260">
        <v>0</v>
      </c>
      <c r="Y131" s="261">
        <f t="shared" si="14"/>
        <v>0</v>
      </c>
      <c r="Z131" s="262">
        <f t="shared" si="15"/>
        <v>0</v>
      </c>
      <c r="AA131" s="231"/>
      <c r="AC131" s="337" t="s">
        <v>472</v>
      </c>
      <c r="AD131" s="363" t="s">
        <v>473</v>
      </c>
      <c r="AE131" s="238">
        <f t="shared" si="9"/>
        <v>0</v>
      </c>
      <c r="AF131" s="239" t="str">
        <f t="shared" si="10"/>
        <v/>
      </c>
      <c r="AH131" s="215"/>
      <c r="AI131" s="843" t="s">
        <v>474</v>
      </c>
      <c r="AJ131" s="844"/>
      <c r="AK131" s="844"/>
      <c r="AL131" s="844"/>
      <c r="AM131" s="844"/>
      <c r="AN131" s="139" t="s">
        <v>475</v>
      </c>
      <c r="AO131" s="224">
        <f t="shared" si="0"/>
        <v>0</v>
      </c>
      <c r="AP131" s="225"/>
      <c r="AQ131" s="215"/>
      <c r="AR131" s="845" t="s">
        <v>476</v>
      </c>
      <c r="AS131" s="846"/>
      <c r="AT131" s="846"/>
      <c r="AU131" s="846"/>
      <c r="AV131" s="846"/>
      <c r="AW131" s="364" t="s">
        <v>477</v>
      </c>
      <c r="AX131" s="224">
        <f t="shared" si="1"/>
        <v>0</v>
      </c>
      <c r="AY131" s="233"/>
      <c r="AZ131" s="215"/>
      <c r="BA131" s="218"/>
    </row>
    <row r="132" spans="1:58" ht="18.75" thickBot="1" x14ac:dyDescent="0.3">
      <c r="A132" s="870" t="s">
        <v>34</v>
      </c>
      <c r="B132" s="871"/>
      <c r="C132" s="872"/>
      <c r="D132" s="256"/>
      <c r="E132" s="257" t="s">
        <v>325</v>
      </c>
      <c r="F132" s="365" t="s">
        <v>35</v>
      </c>
      <c r="G132" s="860">
        <f t="shared" si="11"/>
        <v>0</v>
      </c>
      <c r="H132" s="861"/>
      <c r="I132" s="862"/>
      <c r="J132" s="259">
        <v>0</v>
      </c>
      <c r="K132" s="260">
        <v>0</v>
      </c>
      <c r="L132" s="261">
        <f t="shared" si="12"/>
        <v>0</v>
      </c>
      <c r="M132" s="231"/>
      <c r="N132" s="870" t="s">
        <v>34</v>
      </c>
      <c r="O132" s="871"/>
      <c r="P132" s="872"/>
      <c r="Q132" s="256"/>
      <c r="R132" s="257" t="s">
        <v>325</v>
      </c>
      <c r="S132" s="365" t="s">
        <v>35</v>
      </c>
      <c r="T132" s="863">
        <f t="shared" si="13"/>
        <v>0</v>
      </c>
      <c r="U132" s="863"/>
      <c r="V132" s="863"/>
      <c r="W132" s="259">
        <v>0</v>
      </c>
      <c r="X132" s="260">
        <v>0</v>
      </c>
      <c r="Y132" s="261">
        <f t="shared" si="14"/>
        <v>0</v>
      </c>
      <c r="Z132" s="262">
        <f t="shared" si="15"/>
        <v>0</v>
      </c>
      <c r="AA132" s="231"/>
      <c r="AC132" s="337" t="s">
        <v>154</v>
      </c>
      <c r="AD132" s="88" t="s">
        <v>154</v>
      </c>
      <c r="AE132" s="238">
        <f t="shared" si="9"/>
        <v>23</v>
      </c>
      <c r="AF132" s="239" t="str">
        <f t="shared" si="10"/>
        <v/>
      </c>
      <c r="AH132" s="215"/>
      <c r="AI132" s="843" t="s">
        <v>478</v>
      </c>
      <c r="AJ132" s="844"/>
      <c r="AK132" s="844"/>
      <c r="AL132" s="844"/>
      <c r="AM132" s="844"/>
      <c r="AN132" s="366" t="s">
        <v>479</v>
      </c>
      <c r="AO132" s="224">
        <f t="shared" si="0"/>
        <v>0</v>
      </c>
      <c r="AP132" s="225"/>
      <c r="AQ132" s="215"/>
      <c r="AR132" s="845" t="s">
        <v>480</v>
      </c>
      <c r="AS132" s="846"/>
      <c r="AT132" s="846"/>
      <c r="AU132" s="846"/>
      <c r="AV132" s="846"/>
      <c r="AW132" s="367" t="s">
        <v>481</v>
      </c>
      <c r="AX132" s="224">
        <f t="shared" si="1"/>
        <v>0</v>
      </c>
      <c r="AY132" s="368"/>
      <c r="AZ132" s="215"/>
      <c r="BA132" s="218"/>
    </row>
    <row r="133" spans="1:58" ht="18.75" thickBot="1" x14ac:dyDescent="0.3">
      <c r="A133" s="870" t="s">
        <v>31</v>
      </c>
      <c r="B133" s="871"/>
      <c r="C133" s="872"/>
      <c r="D133" s="256"/>
      <c r="E133" s="257"/>
      <c r="F133" s="369" t="s">
        <v>27</v>
      </c>
      <c r="G133" s="860">
        <f t="shared" si="11"/>
        <v>0</v>
      </c>
      <c r="H133" s="861"/>
      <c r="I133" s="862"/>
      <c r="J133" s="259">
        <v>0</v>
      </c>
      <c r="K133" s="260">
        <v>0</v>
      </c>
      <c r="L133" s="261">
        <f t="shared" si="12"/>
        <v>0</v>
      </c>
      <c r="M133" s="231"/>
      <c r="N133" s="870" t="s">
        <v>31</v>
      </c>
      <c r="O133" s="871"/>
      <c r="P133" s="872"/>
      <c r="Q133" s="256"/>
      <c r="R133" s="257"/>
      <c r="S133" s="369" t="s">
        <v>27</v>
      </c>
      <c r="T133" s="863">
        <f t="shared" si="13"/>
        <v>2</v>
      </c>
      <c r="U133" s="863"/>
      <c r="V133" s="863"/>
      <c r="W133" s="259">
        <v>0</v>
      </c>
      <c r="X133" s="260">
        <v>0</v>
      </c>
      <c r="Y133" s="261">
        <f t="shared" si="14"/>
        <v>2</v>
      </c>
      <c r="Z133" s="262">
        <f t="shared" si="15"/>
        <v>2</v>
      </c>
      <c r="AA133" s="231"/>
      <c r="AC133" s="337" t="s">
        <v>482</v>
      </c>
      <c r="AD133" s="51" t="s">
        <v>171</v>
      </c>
      <c r="AE133" s="238">
        <f t="shared" si="9"/>
        <v>24</v>
      </c>
      <c r="AF133" s="239" t="str">
        <f t="shared" si="10"/>
        <v/>
      </c>
      <c r="AH133" s="215"/>
      <c r="AI133" s="843" t="s">
        <v>483</v>
      </c>
      <c r="AJ133" s="844"/>
      <c r="AK133" s="844"/>
      <c r="AL133" s="844"/>
      <c r="AM133" s="844"/>
      <c r="AN133" s="370" t="s">
        <v>484</v>
      </c>
      <c r="AO133" s="224">
        <f t="shared" si="0"/>
        <v>0</v>
      </c>
      <c r="AP133" s="225"/>
      <c r="AQ133" s="215"/>
      <c r="AR133" s="845" t="s">
        <v>485</v>
      </c>
      <c r="AS133" s="846"/>
      <c r="AT133" s="846"/>
      <c r="AU133" s="846"/>
      <c r="AV133" s="846"/>
      <c r="AW133" s="371" t="s">
        <v>486</v>
      </c>
      <c r="AX133" s="224">
        <f t="shared" si="1"/>
        <v>0</v>
      </c>
      <c r="AY133" s="368"/>
      <c r="AZ133" s="215"/>
      <c r="BA133" s="218"/>
    </row>
    <row r="134" spans="1:58" ht="18" x14ac:dyDescent="0.25">
      <c r="A134" s="870" t="s">
        <v>119</v>
      </c>
      <c r="B134" s="871"/>
      <c r="C134" s="872"/>
      <c r="D134" s="256"/>
      <c r="E134" s="257"/>
      <c r="F134" s="372" t="s">
        <v>118</v>
      </c>
      <c r="G134" s="860">
        <f t="shared" si="11"/>
        <v>2</v>
      </c>
      <c r="H134" s="861"/>
      <c r="I134" s="862"/>
      <c r="J134" s="259">
        <v>0</v>
      </c>
      <c r="K134" s="260">
        <v>0</v>
      </c>
      <c r="L134" s="261">
        <f t="shared" si="12"/>
        <v>2</v>
      </c>
      <c r="M134" s="231"/>
      <c r="N134" s="870" t="s">
        <v>119</v>
      </c>
      <c r="O134" s="871"/>
      <c r="P134" s="872"/>
      <c r="Q134" s="256"/>
      <c r="R134" s="257"/>
      <c r="S134" s="372" t="s">
        <v>118</v>
      </c>
      <c r="T134" s="863">
        <f t="shared" si="13"/>
        <v>2</v>
      </c>
      <c r="U134" s="863"/>
      <c r="V134" s="863"/>
      <c r="W134" s="259">
        <v>0</v>
      </c>
      <c r="X134" s="260">
        <v>0</v>
      </c>
      <c r="Y134" s="261">
        <f t="shared" si="14"/>
        <v>2</v>
      </c>
      <c r="Z134" s="262">
        <f t="shared" si="15"/>
        <v>4</v>
      </c>
      <c r="AA134" s="231"/>
      <c r="AC134" s="337" t="s">
        <v>487</v>
      </c>
      <c r="AD134" s="373" t="s">
        <v>488</v>
      </c>
      <c r="AE134" s="238">
        <f t="shared" si="9"/>
        <v>0</v>
      </c>
      <c r="AF134" s="239" t="str">
        <f t="shared" si="10"/>
        <v/>
      </c>
      <c r="AH134" s="215"/>
      <c r="AI134" s="843" t="s">
        <v>489</v>
      </c>
      <c r="AJ134" s="844"/>
      <c r="AK134" s="844"/>
      <c r="AL134" s="844"/>
      <c r="AM134" s="844"/>
      <c r="AN134" s="265" t="s">
        <v>490</v>
      </c>
      <c r="AO134" s="224">
        <f t="shared" si="0"/>
        <v>0</v>
      </c>
      <c r="AP134" s="225"/>
      <c r="AQ134" s="215"/>
      <c r="AR134" s="845" t="s">
        <v>491</v>
      </c>
      <c r="AS134" s="846"/>
      <c r="AT134" s="846"/>
      <c r="AU134" s="846"/>
      <c r="AV134" s="846"/>
      <c r="AW134" s="374" t="s">
        <v>492</v>
      </c>
      <c r="AX134" s="224">
        <f t="shared" si="1"/>
        <v>0</v>
      </c>
      <c r="AY134" s="233"/>
      <c r="AZ134" s="215"/>
      <c r="BA134" s="218"/>
    </row>
    <row r="135" spans="1:58" ht="18.75" thickBot="1" x14ac:dyDescent="0.3">
      <c r="A135" s="870" t="s">
        <v>117</v>
      </c>
      <c r="B135" s="871"/>
      <c r="C135" s="872"/>
      <c r="D135" s="256"/>
      <c r="E135" s="257"/>
      <c r="F135" s="375" t="s">
        <v>116</v>
      </c>
      <c r="G135" s="860">
        <f t="shared" si="11"/>
        <v>0</v>
      </c>
      <c r="H135" s="861"/>
      <c r="I135" s="862"/>
      <c r="J135" s="259">
        <v>0</v>
      </c>
      <c r="K135" s="260">
        <v>0</v>
      </c>
      <c r="L135" s="261">
        <f t="shared" si="12"/>
        <v>0</v>
      </c>
      <c r="M135" s="231"/>
      <c r="N135" s="870" t="s">
        <v>117</v>
      </c>
      <c r="O135" s="871"/>
      <c r="P135" s="872"/>
      <c r="Q135" s="256"/>
      <c r="R135" s="257"/>
      <c r="S135" s="376" t="s">
        <v>116</v>
      </c>
      <c r="T135" s="863">
        <f t="shared" si="13"/>
        <v>0</v>
      </c>
      <c r="U135" s="863"/>
      <c r="V135" s="863"/>
      <c r="W135" s="259">
        <v>0</v>
      </c>
      <c r="X135" s="260">
        <v>0</v>
      </c>
      <c r="Y135" s="261">
        <f t="shared" si="14"/>
        <v>0</v>
      </c>
      <c r="Z135" s="262">
        <f t="shared" si="15"/>
        <v>0</v>
      </c>
      <c r="AA135" s="231"/>
      <c r="AC135" s="337" t="s">
        <v>493</v>
      </c>
      <c r="AD135" s="377" t="s">
        <v>493</v>
      </c>
      <c r="AE135" s="238">
        <f t="shared" si="9"/>
        <v>0</v>
      </c>
      <c r="AF135" s="239" t="str">
        <f t="shared" si="10"/>
        <v/>
      </c>
      <c r="AH135" s="215"/>
      <c r="AI135" s="843" t="s">
        <v>494</v>
      </c>
      <c r="AJ135" s="844"/>
      <c r="AK135" s="844"/>
      <c r="AL135" s="844"/>
      <c r="AM135" s="844"/>
      <c r="AN135" s="139" t="s">
        <v>229</v>
      </c>
      <c r="AO135" s="224">
        <f t="shared" si="0"/>
        <v>2</v>
      </c>
      <c r="AP135" s="225"/>
      <c r="AQ135" s="215"/>
      <c r="AR135" s="845" t="s">
        <v>495</v>
      </c>
      <c r="AS135" s="846"/>
      <c r="AT135" s="846"/>
      <c r="AU135" s="846"/>
      <c r="AV135" s="846"/>
      <c r="AW135" s="378" t="s">
        <v>496</v>
      </c>
      <c r="AX135" s="224">
        <f t="shared" si="1"/>
        <v>0</v>
      </c>
      <c r="AY135" s="233"/>
      <c r="AZ135" s="215"/>
      <c r="BA135" s="218"/>
      <c r="BC135" s="215"/>
      <c r="BD135" s="215"/>
      <c r="BE135" s="215"/>
      <c r="BF135" s="215"/>
    </row>
    <row r="136" spans="1:58" ht="18" x14ac:dyDescent="0.25">
      <c r="A136" s="870" t="s">
        <v>141</v>
      </c>
      <c r="B136" s="871"/>
      <c r="C136" s="872"/>
      <c r="D136" s="256"/>
      <c r="E136" s="257"/>
      <c r="F136" s="379" t="s">
        <v>136</v>
      </c>
      <c r="G136" s="860">
        <f t="shared" si="11"/>
        <v>0</v>
      </c>
      <c r="H136" s="861"/>
      <c r="I136" s="862"/>
      <c r="J136" s="380"/>
      <c r="K136" s="381"/>
      <c r="L136" s="261"/>
      <c r="M136" s="231"/>
      <c r="N136" s="870" t="s">
        <v>141</v>
      </c>
      <c r="O136" s="871"/>
      <c r="P136" s="872"/>
      <c r="Q136" s="256"/>
      <c r="R136" s="257"/>
      <c r="S136" s="379" t="s">
        <v>136</v>
      </c>
      <c r="T136" s="863">
        <f t="shared" si="13"/>
        <v>0</v>
      </c>
      <c r="U136" s="863"/>
      <c r="V136" s="863"/>
      <c r="W136" s="259">
        <v>0</v>
      </c>
      <c r="X136" s="260">
        <v>0</v>
      </c>
      <c r="Y136" s="261">
        <f t="shared" si="14"/>
        <v>0</v>
      </c>
      <c r="Z136" s="262">
        <f t="shared" si="15"/>
        <v>0</v>
      </c>
      <c r="AA136" s="231"/>
      <c r="AC136" s="337" t="s">
        <v>497</v>
      </c>
      <c r="AD136" s="223" t="s">
        <v>498</v>
      </c>
      <c r="AE136" s="238">
        <f t="shared" si="9"/>
        <v>0</v>
      </c>
      <c r="AF136" s="239" t="str">
        <f t="shared" si="10"/>
        <v/>
      </c>
      <c r="AH136" s="215"/>
      <c r="AI136" s="843" t="s">
        <v>499</v>
      </c>
      <c r="AJ136" s="844"/>
      <c r="AK136" s="844"/>
      <c r="AL136" s="844"/>
      <c r="AM136" s="844"/>
      <c r="AN136" s="324" t="s">
        <v>500</v>
      </c>
      <c r="AO136" s="224">
        <f t="shared" si="0"/>
        <v>0</v>
      </c>
      <c r="AP136" s="225"/>
      <c r="AQ136" s="215"/>
      <c r="AR136" s="226" t="s">
        <v>501</v>
      </c>
      <c r="AS136" s="227"/>
      <c r="AT136" s="227"/>
      <c r="AU136" s="227"/>
      <c r="AV136" s="227"/>
      <c r="AW136" s="382" t="s">
        <v>502</v>
      </c>
      <c r="AX136" s="224">
        <f t="shared" si="1"/>
        <v>0</v>
      </c>
      <c r="AY136" s="368"/>
      <c r="AZ136" s="215"/>
      <c r="BA136" s="218"/>
      <c r="BB136" s="215"/>
      <c r="BC136" s="215"/>
      <c r="BD136" s="215"/>
      <c r="BE136" s="215"/>
      <c r="BF136" s="215"/>
    </row>
    <row r="137" spans="1:58" ht="18.75" thickBot="1" x14ac:dyDescent="0.3">
      <c r="A137" s="870" t="s">
        <v>46</v>
      </c>
      <c r="B137" s="871"/>
      <c r="C137" s="872"/>
      <c r="D137" s="256"/>
      <c r="E137" s="257"/>
      <c r="F137" s="383" t="s">
        <v>46</v>
      </c>
      <c r="G137" s="860">
        <f t="shared" si="11"/>
        <v>0</v>
      </c>
      <c r="H137" s="861"/>
      <c r="I137" s="862"/>
      <c r="J137" s="259">
        <v>0</v>
      </c>
      <c r="K137" s="260">
        <v>0</v>
      </c>
      <c r="L137" s="261">
        <f t="shared" si="12"/>
        <v>0</v>
      </c>
      <c r="M137" s="231"/>
      <c r="N137" s="870" t="s">
        <v>46</v>
      </c>
      <c r="O137" s="871"/>
      <c r="P137" s="872"/>
      <c r="Q137" s="256"/>
      <c r="R137" s="257"/>
      <c r="S137" s="384" t="s">
        <v>46</v>
      </c>
      <c r="T137" s="863">
        <f t="shared" si="13"/>
        <v>0</v>
      </c>
      <c r="U137" s="863"/>
      <c r="V137" s="863"/>
      <c r="W137" s="259">
        <v>0</v>
      </c>
      <c r="X137" s="260">
        <v>0</v>
      </c>
      <c r="Y137" s="261">
        <f t="shared" si="14"/>
        <v>0</v>
      </c>
      <c r="Z137" s="262">
        <f t="shared" si="15"/>
        <v>0</v>
      </c>
      <c r="AA137" s="231"/>
      <c r="AC137" s="337" t="s">
        <v>503</v>
      </c>
      <c r="AD137" s="385" t="s">
        <v>159</v>
      </c>
      <c r="AE137" s="238">
        <f t="shared" si="9"/>
        <v>10</v>
      </c>
      <c r="AF137" s="239" t="str">
        <f t="shared" si="10"/>
        <v/>
      </c>
      <c r="AH137" s="215"/>
      <c r="AI137" s="843" t="s">
        <v>504</v>
      </c>
      <c r="AJ137" s="844"/>
      <c r="AK137" s="844"/>
      <c r="AL137" s="844"/>
      <c r="AM137" s="844"/>
      <c r="AN137" s="139" t="s">
        <v>505</v>
      </c>
      <c r="AO137" s="224">
        <f t="shared" si="0"/>
        <v>0</v>
      </c>
      <c r="AP137" s="225"/>
      <c r="AQ137" s="215"/>
      <c r="AR137" s="226" t="s">
        <v>506</v>
      </c>
      <c r="AS137" s="227"/>
      <c r="AT137" s="227"/>
      <c r="AU137" s="227"/>
      <c r="AV137" s="227"/>
      <c r="AW137" s="305" t="s">
        <v>507</v>
      </c>
      <c r="AX137" s="224">
        <f t="shared" si="1"/>
        <v>0</v>
      </c>
      <c r="AY137" s="368"/>
      <c r="AZ137" s="215"/>
      <c r="BA137" s="218"/>
      <c r="BB137" s="215"/>
      <c r="BC137" s="215"/>
      <c r="BD137" s="215"/>
      <c r="BE137" s="215"/>
      <c r="BF137" s="215"/>
    </row>
    <row r="138" spans="1:58" ht="18" x14ac:dyDescent="0.25">
      <c r="A138" s="870" t="s">
        <v>142</v>
      </c>
      <c r="B138" s="871"/>
      <c r="C138" s="872"/>
      <c r="D138" s="256"/>
      <c r="E138" s="257"/>
      <c r="F138" s="27" t="s">
        <v>131</v>
      </c>
      <c r="G138" s="860">
        <f t="shared" si="11"/>
        <v>3</v>
      </c>
      <c r="H138" s="861"/>
      <c r="I138" s="862"/>
      <c r="J138" s="259">
        <v>0</v>
      </c>
      <c r="K138" s="260">
        <v>0</v>
      </c>
      <c r="L138" s="261">
        <f t="shared" si="12"/>
        <v>3</v>
      </c>
      <c r="M138" s="231"/>
      <c r="N138" s="870" t="s">
        <v>142</v>
      </c>
      <c r="O138" s="871"/>
      <c r="P138" s="872"/>
      <c r="Q138" s="256"/>
      <c r="R138" s="257"/>
      <c r="S138" s="27" t="s">
        <v>131</v>
      </c>
      <c r="T138" s="863">
        <f t="shared" si="13"/>
        <v>0</v>
      </c>
      <c r="U138" s="863"/>
      <c r="V138" s="863"/>
      <c r="W138" s="259">
        <v>0</v>
      </c>
      <c r="X138" s="260">
        <v>0</v>
      </c>
      <c r="Y138" s="261">
        <f t="shared" si="14"/>
        <v>0</v>
      </c>
      <c r="Z138" s="262">
        <f t="shared" si="15"/>
        <v>3</v>
      </c>
      <c r="AA138" s="231"/>
      <c r="AC138" s="337" t="s">
        <v>508</v>
      </c>
      <c r="AD138" s="343" t="s">
        <v>509</v>
      </c>
      <c r="AE138" s="238">
        <f t="shared" si="9"/>
        <v>0</v>
      </c>
      <c r="AF138" s="239" t="str">
        <f t="shared" si="10"/>
        <v/>
      </c>
      <c r="AH138" s="215"/>
      <c r="AI138" s="843" t="s">
        <v>510</v>
      </c>
      <c r="AJ138" s="844"/>
      <c r="AK138" s="844"/>
      <c r="AL138" s="844"/>
      <c r="AM138" s="844"/>
      <c r="AN138" s="386" t="s">
        <v>511</v>
      </c>
      <c r="AO138" s="224">
        <f t="shared" si="0"/>
        <v>0</v>
      </c>
      <c r="AP138" s="225"/>
      <c r="AQ138" s="215"/>
      <c r="AR138" s="882" t="s">
        <v>512</v>
      </c>
      <c r="AS138" s="883"/>
      <c r="AT138" s="883"/>
      <c r="AU138" s="883"/>
      <c r="AV138" s="884"/>
      <c r="AW138" s="387" t="s">
        <v>513</v>
      </c>
      <c r="AX138" s="224">
        <f t="shared" si="1"/>
        <v>0</v>
      </c>
      <c r="AY138" s="233"/>
      <c r="AZ138" s="215"/>
      <c r="BA138" s="218"/>
      <c r="BB138" s="215"/>
      <c r="BC138" s="215"/>
      <c r="BD138" s="215"/>
      <c r="BE138" s="215"/>
      <c r="BF138" s="215"/>
    </row>
    <row r="139" spans="1:58" ht="18.75" thickBot="1" x14ac:dyDescent="0.3">
      <c r="A139" s="857" t="s">
        <v>96</v>
      </c>
      <c r="B139" s="858"/>
      <c r="C139" s="859"/>
      <c r="D139" s="256"/>
      <c r="E139" s="257" t="s">
        <v>325</v>
      </c>
      <c r="F139" s="388" t="s">
        <v>95</v>
      </c>
      <c r="G139" s="860">
        <f t="shared" si="11"/>
        <v>0</v>
      </c>
      <c r="H139" s="861"/>
      <c r="I139" s="862"/>
      <c r="J139" s="259">
        <v>0</v>
      </c>
      <c r="K139" s="260">
        <v>0</v>
      </c>
      <c r="L139" s="261">
        <f t="shared" si="12"/>
        <v>0</v>
      </c>
      <c r="M139" s="231"/>
      <c r="N139" s="857" t="s">
        <v>96</v>
      </c>
      <c r="O139" s="858"/>
      <c r="P139" s="859"/>
      <c r="Q139" s="256"/>
      <c r="R139" s="257" t="s">
        <v>325</v>
      </c>
      <c r="S139" s="388" t="s">
        <v>95</v>
      </c>
      <c r="T139" s="863">
        <f t="shared" si="13"/>
        <v>0</v>
      </c>
      <c r="U139" s="863"/>
      <c r="V139" s="863"/>
      <c r="W139" s="259">
        <v>0</v>
      </c>
      <c r="X139" s="260">
        <v>0</v>
      </c>
      <c r="Y139" s="261">
        <f t="shared" si="14"/>
        <v>0</v>
      </c>
      <c r="Z139" s="262">
        <f t="shared" si="15"/>
        <v>0</v>
      </c>
      <c r="AA139" s="231"/>
      <c r="AC139" s="337" t="s">
        <v>514</v>
      </c>
      <c r="AD139" s="389" t="s">
        <v>515</v>
      </c>
      <c r="AE139" s="238">
        <f t="shared" si="9"/>
        <v>0</v>
      </c>
      <c r="AF139" s="239" t="str">
        <f t="shared" si="10"/>
        <v/>
      </c>
      <c r="AH139" s="215"/>
      <c r="AI139" s="843" t="s">
        <v>516</v>
      </c>
      <c r="AJ139" s="844"/>
      <c r="AK139" s="844"/>
      <c r="AL139" s="844"/>
      <c r="AM139" s="844"/>
      <c r="AN139" s="139" t="s">
        <v>517</v>
      </c>
      <c r="AO139" s="224">
        <f t="shared" si="0"/>
        <v>0</v>
      </c>
      <c r="AP139" s="225"/>
      <c r="AQ139" s="215"/>
      <c r="AR139" s="888" t="s">
        <v>518</v>
      </c>
      <c r="AS139" s="889"/>
      <c r="AT139" s="889"/>
      <c r="AU139" s="889"/>
      <c r="AV139" s="889"/>
      <c r="AW139" s="390" t="s">
        <v>519</v>
      </c>
      <c r="AX139" s="224">
        <f t="shared" si="1"/>
        <v>0</v>
      </c>
      <c r="AY139" s="391"/>
      <c r="AZ139" s="215"/>
      <c r="BA139" s="218"/>
      <c r="BB139" s="215"/>
      <c r="BC139" s="215"/>
      <c r="BD139" s="215"/>
      <c r="BE139" s="215"/>
      <c r="BF139" s="215"/>
    </row>
    <row r="140" spans="1:58" ht="18.75" thickBot="1" x14ac:dyDescent="0.3">
      <c r="A140" s="870" t="s">
        <v>98</v>
      </c>
      <c r="B140" s="871"/>
      <c r="C140" s="872"/>
      <c r="D140" s="256"/>
      <c r="E140" s="257" t="s">
        <v>325</v>
      </c>
      <c r="F140" s="392" t="s">
        <v>97</v>
      </c>
      <c r="G140" s="860">
        <f t="shared" si="11"/>
        <v>0</v>
      </c>
      <c r="H140" s="861"/>
      <c r="I140" s="862"/>
      <c r="J140" s="259">
        <v>0</v>
      </c>
      <c r="K140" s="260">
        <v>0</v>
      </c>
      <c r="L140" s="261">
        <f t="shared" si="12"/>
        <v>0</v>
      </c>
      <c r="M140" s="231"/>
      <c r="N140" s="870" t="s">
        <v>98</v>
      </c>
      <c r="O140" s="871"/>
      <c r="P140" s="872"/>
      <c r="Q140" s="256"/>
      <c r="R140" s="257" t="s">
        <v>325</v>
      </c>
      <c r="S140" s="392" t="s">
        <v>97</v>
      </c>
      <c r="T140" s="863">
        <f t="shared" si="13"/>
        <v>0</v>
      </c>
      <c r="U140" s="863"/>
      <c r="V140" s="863"/>
      <c r="W140" s="259">
        <v>0</v>
      </c>
      <c r="X140" s="260">
        <v>0</v>
      </c>
      <c r="Y140" s="261">
        <f t="shared" si="14"/>
        <v>0</v>
      </c>
      <c r="Z140" s="262">
        <f t="shared" si="15"/>
        <v>0</v>
      </c>
      <c r="AA140" s="231"/>
      <c r="AC140" s="337" t="s">
        <v>520</v>
      </c>
      <c r="AD140" s="296" t="s">
        <v>521</v>
      </c>
      <c r="AE140" s="238">
        <f t="shared" si="9"/>
        <v>0</v>
      </c>
      <c r="AF140" s="239" t="str">
        <f t="shared" si="10"/>
        <v/>
      </c>
      <c r="AH140" s="215"/>
      <c r="AI140" s="843" t="s">
        <v>522</v>
      </c>
      <c r="AJ140" s="844"/>
      <c r="AK140" s="844"/>
      <c r="AL140" s="844"/>
      <c r="AM140" s="844"/>
      <c r="AN140" s="393" t="s">
        <v>523</v>
      </c>
      <c r="AO140" s="224">
        <f t="shared" si="0"/>
        <v>0</v>
      </c>
      <c r="AP140" s="225"/>
      <c r="AQ140" s="215"/>
      <c r="AR140" s="885" t="s">
        <v>524</v>
      </c>
      <c r="AS140" s="886"/>
      <c r="AT140" s="886"/>
      <c r="AU140" s="886"/>
      <c r="AV140" s="887"/>
      <c r="AW140" s="394"/>
      <c r="AX140" s="395">
        <f>SUM(AX99:AX139)</f>
        <v>10</v>
      </c>
      <c r="AY140" s="215"/>
      <c r="AZ140" s="215"/>
      <c r="BA140" s="218"/>
      <c r="BB140" s="215"/>
      <c r="BC140" s="215"/>
      <c r="BD140" s="215"/>
      <c r="BE140" s="215"/>
      <c r="BF140" s="215"/>
    </row>
    <row r="141" spans="1:58" ht="18.75" thickBot="1" x14ac:dyDescent="0.3">
      <c r="A141" s="870" t="s">
        <v>130</v>
      </c>
      <c r="B141" s="871"/>
      <c r="C141" s="872"/>
      <c r="D141" s="256" t="s">
        <v>6</v>
      </c>
      <c r="E141" s="257" t="s">
        <v>325</v>
      </c>
      <c r="F141" s="396" t="s">
        <v>129</v>
      </c>
      <c r="G141" s="860">
        <f t="shared" si="11"/>
        <v>0</v>
      </c>
      <c r="H141" s="861"/>
      <c r="I141" s="862"/>
      <c r="J141" s="259">
        <v>0</v>
      </c>
      <c r="K141" s="260">
        <v>0</v>
      </c>
      <c r="L141" s="261">
        <f t="shared" si="12"/>
        <v>0</v>
      </c>
      <c r="M141" s="231"/>
      <c r="N141" s="870" t="s">
        <v>130</v>
      </c>
      <c r="O141" s="871"/>
      <c r="P141" s="872"/>
      <c r="Q141" s="256" t="s">
        <v>6</v>
      </c>
      <c r="R141" s="257" t="s">
        <v>325</v>
      </c>
      <c r="S141" s="396" t="s">
        <v>129</v>
      </c>
      <c r="T141" s="863">
        <f t="shared" si="13"/>
        <v>0</v>
      </c>
      <c r="U141" s="863"/>
      <c r="V141" s="863"/>
      <c r="W141" s="259">
        <v>0</v>
      </c>
      <c r="X141" s="260">
        <v>0</v>
      </c>
      <c r="Y141" s="261">
        <f t="shared" si="14"/>
        <v>0</v>
      </c>
      <c r="Z141" s="262">
        <f t="shared" si="15"/>
        <v>0</v>
      </c>
      <c r="AA141" s="231"/>
      <c r="AC141" s="337" t="s">
        <v>365</v>
      </c>
      <c r="AD141" s="397" t="s">
        <v>525</v>
      </c>
      <c r="AE141" s="238">
        <f t="shared" si="9"/>
        <v>0</v>
      </c>
      <c r="AF141" s="239" t="str">
        <f t="shared" si="10"/>
        <v/>
      </c>
      <c r="AH141" s="215"/>
      <c r="AI141" s="843" t="s">
        <v>526</v>
      </c>
      <c r="AJ141" s="844"/>
      <c r="AK141" s="844"/>
      <c r="AL141" s="844"/>
      <c r="AM141" s="844"/>
      <c r="AN141" s="398" t="s">
        <v>527</v>
      </c>
      <c r="AO141" s="224">
        <f t="shared" si="0"/>
        <v>0</v>
      </c>
      <c r="AP141" s="225"/>
      <c r="AQ141" s="215"/>
      <c r="AR141" s="215"/>
      <c r="AS141" s="215"/>
      <c r="AT141" s="215"/>
      <c r="AU141" s="215"/>
      <c r="AV141" s="215"/>
      <c r="AW141" s="215"/>
      <c r="AX141" s="215"/>
      <c r="AY141" s="215"/>
      <c r="AZ141" s="215"/>
      <c r="BA141" s="218"/>
      <c r="BB141" s="215"/>
      <c r="BC141" s="215"/>
      <c r="BD141" s="215"/>
      <c r="BE141" s="215"/>
      <c r="BF141" s="215"/>
    </row>
    <row r="142" spans="1:58" ht="18.75" thickBot="1" x14ac:dyDescent="0.3">
      <c r="A142" s="870" t="s">
        <v>37</v>
      </c>
      <c r="B142" s="871"/>
      <c r="C142" s="872"/>
      <c r="D142" s="256"/>
      <c r="E142" s="257" t="s">
        <v>325</v>
      </c>
      <c r="F142" s="399" t="s">
        <v>38</v>
      </c>
      <c r="G142" s="860">
        <f t="shared" si="11"/>
        <v>0</v>
      </c>
      <c r="H142" s="861"/>
      <c r="I142" s="862"/>
      <c r="J142" s="259">
        <v>0</v>
      </c>
      <c r="K142" s="260">
        <v>0</v>
      </c>
      <c r="L142" s="261">
        <f t="shared" si="12"/>
        <v>0</v>
      </c>
      <c r="M142" s="231"/>
      <c r="N142" s="870" t="s">
        <v>37</v>
      </c>
      <c r="O142" s="871"/>
      <c r="P142" s="872"/>
      <c r="Q142" s="256"/>
      <c r="R142" s="257" t="s">
        <v>325</v>
      </c>
      <c r="S142" s="399" t="s">
        <v>38</v>
      </c>
      <c r="T142" s="863">
        <f t="shared" si="13"/>
        <v>0</v>
      </c>
      <c r="U142" s="863"/>
      <c r="V142" s="863"/>
      <c r="W142" s="259">
        <v>0</v>
      </c>
      <c r="X142" s="260">
        <v>0</v>
      </c>
      <c r="Y142" s="261">
        <f t="shared" si="14"/>
        <v>0</v>
      </c>
      <c r="Z142" s="262">
        <f t="shared" si="15"/>
        <v>0</v>
      </c>
      <c r="AA142" s="231"/>
      <c r="AC142" s="337" t="s">
        <v>528</v>
      </c>
      <c r="AD142" s="400" t="s">
        <v>529</v>
      </c>
      <c r="AE142" s="238">
        <f t="shared" si="9"/>
        <v>0</v>
      </c>
      <c r="AF142" s="239" t="str">
        <f t="shared" si="10"/>
        <v/>
      </c>
      <c r="AH142" s="215"/>
      <c r="AI142" s="843" t="s">
        <v>530</v>
      </c>
      <c r="AJ142" s="844"/>
      <c r="AK142" s="844"/>
      <c r="AL142" s="844"/>
      <c r="AM142" s="844"/>
      <c r="AN142" s="398" t="s">
        <v>531</v>
      </c>
      <c r="AO142" s="224">
        <f t="shared" si="0"/>
        <v>0</v>
      </c>
      <c r="AP142" s="225"/>
      <c r="AQ142" s="215"/>
      <c r="AR142" s="834" t="s">
        <v>326</v>
      </c>
      <c r="AS142" s="835"/>
      <c r="AT142" s="835"/>
      <c r="AU142" s="835"/>
      <c r="AV142" s="835"/>
      <c r="AW142" s="836"/>
      <c r="AX142" s="216" t="s">
        <v>258</v>
      </c>
      <c r="AY142" s="217"/>
      <c r="AZ142" s="215"/>
      <c r="BA142" s="218"/>
      <c r="BB142" s="215"/>
      <c r="BC142" s="215"/>
      <c r="BD142" s="215"/>
      <c r="BE142" s="215"/>
      <c r="BF142" s="215"/>
    </row>
    <row r="143" spans="1:58" ht="19.5" thickBot="1" x14ac:dyDescent="0.3">
      <c r="A143" s="870" t="s">
        <v>100</v>
      </c>
      <c r="B143" s="871"/>
      <c r="C143" s="872"/>
      <c r="D143" s="256"/>
      <c r="E143" s="257" t="s">
        <v>325</v>
      </c>
      <c r="F143" s="401" t="s">
        <v>99</v>
      </c>
      <c r="G143" s="860">
        <f t="shared" si="11"/>
        <v>0</v>
      </c>
      <c r="H143" s="861"/>
      <c r="I143" s="862"/>
      <c r="J143" s="259">
        <v>0</v>
      </c>
      <c r="K143" s="260">
        <v>0</v>
      </c>
      <c r="L143" s="261">
        <f t="shared" si="12"/>
        <v>0</v>
      </c>
      <c r="M143" s="231"/>
      <c r="N143" s="870" t="s">
        <v>100</v>
      </c>
      <c r="O143" s="871"/>
      <c r="P143" s="872"/>
      <c r="Q143" s="256"/>
      <c r="R143" s="257" t="s">
        <v>325</v>
      </c>
      <c r="S143" s="401" t="s">
        <v>99</v>
      </c>
      <c r="T143" s="863">
        <f t="shared" si="13"/>
        <v>0</v>
      </c>
      <c r="U143" s="863"/>
      <c r="V143" s="863"/>
      <c r="W143" s="259">
        <v>0</v>
      </c>
      <c r="X143" s="260">
        <v>0</v>
      </c>
      <c r="Y143" s="261">
        <f t="shared" si="14"/>
        <v>0</v>
      </c>
      <c r="Z143" s="262">
        <f t="shared" si="15"/>
        <v>0</v>
      </c>
      <c r="AA143" s="231"/>
      <c r="AC143" s="402" t="s">
        <v>152</v>
      </c>
      <c r="AD143" s="34" t="s">
        <v>152</v>
      </c>
      <c r="AE143" s="238">
        <f t="shared" si="9"/>
        <v>132</v>
      </c>
      <c r="AF143" s="239" t="str">
        <f t="shared" si="10"/>
        <v/>
      </c>
      <c r="AH143" s="215"/>
      <c r="AI143" s="843" t="s">
        <v>532</v>
      </c>
      <c r="AJ143" s="844"/>
      <c r="AK143" s="844"/>
      <c r="AL143" s="844"/>
      <c r="AM143" s="844"/>
      <c r="AN143" s="403" t="s">
        <v>533</v>
      </c>
      <c r="AO143" s="224">
        <f t="shared" si="0"/>
        <v>0</v>
      </c>
      <c r="AP143" s="225"/>
      <c r="AQ143" s="215"/>
      <c r="AR143" s="890" t="s">
        <v>534</v>
      </c>
      <c r="AS143" s="891"/>
      <c r="AT143" s="891"/>
      <c r="AU143" s="891"/>
      <c r="AV143" s="891"/>
      <c r="AW143" s="404" t="s">
        <v>535</v>
      </c>
      <c r="AX143" s="224">
        <f t="shared" ref="AX143:AX196" si="16">COUNTIF($A$1:$GO$76,AW143)</f>
        <v>0</v>
      </c>
      <c r="AY143" s="405"/>
      <c r="AZ143" s="215"/>
      <c r="BA143" s="218"/>
      <c r="BB143" s="215"/>
    </row>
    <row r="144" spans="1:58" ht="19.5" thickBot="1" x14ac:dyDescent="0.3">
      <c r="A144" s="870" t="s">
        <v>102</v>
      </c>
      <c r="B144" s="871"/>
      <c r="C144" s="872"/>
      <c r="D144" s="256"/>
      <c r="E144" s="257" t="s">
        <v>325</v>
      </c>
      <c r="F144" s="406" t="s">
        <v>101</v>
      </c>
      <c r="G144" s="860">
        <f t="shared" si="11"/>
        <v>0</v>
      </c>
      <c r="H144" s="861"/>
      <c r="I144" s="862"/>
      <c r="J144" s="259">
        <v>0</v>
      </c>
      <c r="K144" s="260">
        <v>0</v>
      </c>
      <c r="L144" s="261">
        <f t="shared" si="12"/>
        <v>0</v>
      </c>
      <c r="M144" s="231"/>
      <c r="N144" s="870" t="s">
        <v>102</v>
      </c>
      <c r="O144" s="871"/>
      <c r="P144" s="872"/>
      <c r="Q144" s="256"/>
      <c r="R144" s="257" t="s">
        <v>325</v>
      </c>
      <c r="S144" s="406" t="s">
        <v>101</v>
      </c>
      <c r="T144" s="863">
        <f t="shared" si="13"/>
        <v>0</v>
      </c>
      <c r="U144" s="863"/>
      <c r="V144" s="863"/>
      <c r="W144" s="259">
        <v>0</v>
      </c>
      <c r="X144" s="260">
        <v>0</v>
      </c>
      <c r="Y144" s="261">
        <f t="shared" si="14"/>
        <v>0</v>
      </c>
      <c r="Z144" s="262">
        <f t="shared" si="15"/>
        <v>0</v>
      </c>
      <c r="AA144" s="231"/>
      <c r="AC144" s="337" t="s">
        <v>536</v>
      </c>
      <c r="AD144" s="228" t="s">
        <v>537</v>
      </c>
      <c r="AE144" s="238">
        <f t="shared" si="9"/>
        <v>0</v>
      </c>
      <c r="AF144" s="239" t="str">
        <f t="shared" si="10"/>
        <v/>
      </c>
      <c r="AH144" s="215"/>
      <c r="AI144" s="843" t="s">
        <v>538</v>
      </c>
      <c r="AJ144" s="844"/>
      <c r="AK144" s="844"/>
      <c r="AL144" s="844"/>
      <c r="AM144" s="844"/>
      <c r="AN144" s="312" t="s">
        <v>539</v>
      </c>
      <c r="AO144" s="224">
        <f t="shared" si="0"/>
        <v>0</v>
      </c>
      <c r="AP144" s="225"/>
      <c r="AQ144" s="215"/>
      <c r="AR144" s="890" t="s">
        <v>540</v>
      </c>
      <c r="AS144" s="891"/>
      <c r="AT144" s="891"/>
      <c r="AU144" s="891"/>
      <c r="AV144" s="891"/>
      <c r="AW144" s="407" t="s">
        <v>541</v>
      </c>
      <c r="AX144" s="224">
        <f t="shared" si="16"/>
        <v>0</v>
      </c>
      <c r="AY144" s="405"/>
      <c r="AZ144" s="215"/>
      <c r="BA144" s="218"/>
      <c r="BB144" s="215"/>
    </row>
    <row r="145" spans="1:54" ht="18" x14ac:dyDescent="0.25">
      <c r="A145" s="870" t="s">
        <v>143</v>
      </c>
      <c r="B145" s="871"/>
      <c r="C145" s="872"/>
      <c r="D145" s="408"/>
      <c r="E145" s="355"/>
      <c r="F145" s="409" t="s">
        <v>138</v>
      </c>
      <c r="G145" s="860">
        <f t="shared" si="11"/>
        <v>0</v>
      </c>
      <c r="H145" s="861"/>
      <c r="I145" s="862"/>
      <c r="J145" s="259">
        <v>0</v>
      </c>
      <c r="K145" s="260">
        <v>0</v>
      </c>
      <c r="L145" s="261">
        <f t="shared" si="12"/>
        <v>0</v>
      </c>
      <c r="M145" s="231"/>
      <c r="N145" s="870" t="s">
        <v>143</v>
      </c>
      <c r="O145" s="871"/>
      <c r="P145" s="872"/>
      <c r="Q145" s="410"/>
      <c r="R145" s="411"/>
      <c r="S145" s="409" t="s">
        <v>138</v>
      </c>
      <c r="T145" s="863">
        <f t="shared" si="13"/>
        <v>0</v>
      </c>
      <c r="U145" s="863"/>
      <c r="V145" s="863"/>
      <c r="W145" s="259">
        <v>0</v>
      </c>
      <c r="X145" s="260">
        <v>0</v>
      </c>
      <c r="Y145" s="261">
        <f t="shared" si="14"/>
        <v>0</v>
      </c>
      <c r="Z145" s="262">
        <f t="shared" si="15"/>
        <v>0</v>
      </c>
      <c r="AA145" s="231"/>
      <c r="AC145" s="337" t="s">
        <v>542</v>
      </c>
      <c r="AD145" s="412" t="s">
        <v>543</v>
      </c>
      <c r="AE145" s="238">
        <f t="shared" si="9"/>
        <v>0</v>
      </c>
      <c r="AF145" s="239" t="str">
        <f t="shared" si="10"/>
        <v/>
      </c>
      <c r="AH145" s="215"/>
      <c r="AI145" s="843" t="s">
        <v>544</v>
      </c>
      <c r="AJ145" s="844"/>
      <c r="AK145" s="844"/>
      <c r="AL145" s="844"/>
      <c r="AM145" s="844"/>
      <c r="AN145" s="413" t="s">
        <v>545</v>
      </c>
      <c r="AO145" s="224">
        <f t="shared" si="0"/>
        <v>0</v>
      </c>
      <c r="AP145" s="225"/>
      <c r="AQ145" s="215"/>
      <c r="AR145" s="890" t="s">
        <v>546</v>
      </c>
      <c r="AS145" s="891"/>
      <c r="AT145" s="891"/>
      <c r="AU145" s="891"/>
      <c r="AV145" s="891"/>
      <c r="AW145" s="407" t="s">
        <v>547</v>
      </c>
      <c r="AX145" s="224">
        <f t="shared" si="16"/>
        <v>0</v>
      </c>
      <c r="AY145" s="405"/>
      <c r="AZ145" s="215"/>
      <c r="BA145" s="218"/>
      <c r="BB145" s="215"/>
    </row>
    <row r="146" spans="1:54" ht="18.75" x14ac:dyDescent="0.25">
      <c r="A146" s="892" t="s">
        <v>258</v>
      </c>
      <c r="B146" s="893"/>
      <c r="C146" s="893"/>
      <c r="D146" s="893"/>
      <c r="E146" s="893"/>
      <c r="F146" s="414"/>
      <c r="G146" s="869">
        <f>SUM(G128:I145)</f>
        <v>7</v>
      </c>
      <c r="H146" s="869"/>
      <c r="I146" s="869"/>
      <c r="J146" s="340">
        <f>SUM(J128:J145)</f>
        <v>0</v>
      </c>
      <c r="K146" s="341">
        <f>SUM(K128:K145)</f>
        <v>0</v>
      </c>
      <c r="L146" s="261">
        <f>SUM(L128:L145)</f>
        <v>7</v>
      </c>
      <c r="M146" s="231"/>
      <c r="N146" s="867" t="s">
        <v>258</v>
      </c>
      <c r="O146" s="868"/>
      <c r="P146" s="868"/>
      <c r="Q146" s="868"/>
      <c r="R146" s="868"/>
      <c r="S146" s="415"/>
      <c r="T146" s="894">
        <f>SUM(T128:V145)</f>
        <v>5</v>
      </c>
      <c r="U146" s="894"/>
      <c r="V146" s="894"/>
      <c r="W146" s="340">
        <f>SUM(W128:W145)</f>
        <v>0</v>
      </c>
      <c r="X146" s="341">
        <f>SUM(X128:X145)</f>
        <v>0</v>
      </c>
      <c r="Y146" s="261">
        <f>SUM(Y128:Y145)</f>
        <v>5</v>
      </c>
      <c r="Z146" s="262">
        <f t="shared" si="15"/>
        <v>12</v>
      </c>
      <c r="AA146" s="231"/>
      <c r="AC146" s="337" t="s">
        <v>548</v>
      </c>
      <c r="AD146" s="416" t="s">
        <v>549</v>
      </c>
      <c r="AE146" s="238">
        <f t="shared" si="9"/>
        <v>0</v>
      </c>
      <c r="AF146" s="239" t="str">
        <f t="shared" si="10"/>
        <v/>
      </c>
      <c r="AH146" s="215"/>
      <c r="AI146" s="843" t="s">
        <v>550</v>
      </c>
      <c r="AJ146" s="844"/>
      <c r="AK146" s="844"/>
      <c r="AL146" s="844"/>
      <c r="AM146" s="844"/>
      <c r="AN146" s="139" t="s">
        <v>551</v>
      </c>
      <c r="AO146" s="224">
        <f t="shared" si="0"/>
        <v>0</v>
      </c>
      <c r="AP146" s="225"/>
      <c r="AQ146" s="215"/>
      <c r="AR146" s="890" t="s">
        <v>552</v>
      </c>
      <c r="AS146" s="891"/>
      <c r="AT146" s="891"/>
      <c r="AU146" s="891"/>
      <c r="AV146" s="891"/>
      <c r="AW146" s="417" t="s">
        <v>553</v>
      </c>
      <c r="AX146" s="224">
        <f t="shared" si="16"/>
        <v>0</v>
      </c>
      <c r="AY146" s="405"/>
      <c r="AZ146" s="215"/>
      <c r="BA146" s="218"/>
    </row>
    <row r="147" spans="1:54" ht="18" x14ac:dyDescent="0.25">
      <c r="A147" s="895" t="s">
        <v>554</v>
      </c>
      <c r="B147" s="896"/>
      <c r="C147" s="896"/>
      <c r="D147" s="896"/>
      <c r="E147" s="896"/>
      <c r="F147" s="896"/>
      <c r="G147" s="896"/>
      <c r="H147" s="896"/>
      <c r="I147" s="897"/>
      <c r="J147" s="251" t="s">
        <v>310</v>
      </c>
      <c r="K147" s="251" t="s">
        <v>311</v>
      </c>
      <c r="L147" s="251" t="s">
        <v>30</v>
      </c>
      <c r="M147" s="231"/>
      <c r="N147" s="895" t="s">
        <v>554</v>
      </c>
      <c r="O147" s="896"/>
      <c r="P147" s="896"/>
      <c r="Q147" s="896"/>
      <c r="R147" s="896"/>
      <c r="S147" s="896"/>
      <c r="T147" s="896"/>
      <c r="U147" s="896"/>
      <c r="V147" s="897"/>
      <c r="W147" s="252" t="s">
        <v>310</v>
      </c>
      <c r="X147" s="252" t="s">
        <v>311</v>
      </c>
      <c r="Y147" s="252" t="s">
        <v>30</v>
      </c>
      <c r="Z147" s="346"/>
      <c r="AA147" s="231"/>
      <c r="AC147" s="337" t="s">
        <v>555</v>
      </c>
      <c r="AD147" s="418" t="s">
        <v>556</v>
      </c>
      <c r="AE147" s="238">
        <f t="shared" si="9"/>
        <v>0</v>
      </c>
      <c r="AF147" s="239" t="str">
        <f t="shared" si="10"/>
        <v/>
      </c>
      <c r="AH147" s="215"/>
      <c r="AI147" s="843" t="s">
        <v>557</v>
      </c>
      <c r="AJ147" s="844"/>
      <c r="AK147" s="844"/>
      <c r="AL147" s="844"/>
      <c r="AM147" s="844"/>
      <c r="AN147" s="419" t="s">
        <v>558</v>
      </c>
      <c r="AO147" s="224">
        <f t="shared" si="0"/>
        <v>0</v>
      </c>
      <c r="AP147" s="225"/>
      <c r="AQ147" s="215"/>
      <c r="AR147" s="890" t="s">
        <v>559</v>
      </c>
      <c r="AS147" s="891"/>
      <c r="AT147" s="891"/>
      <c r="AU147" s="891"/>
      <c r="AV147" s="891"/>
      <c r="AW147" s="313" t="s">
        <v>560</v>
      </c>
      <c r="AX147" s="224">
        <f t="shared" si="16"/>
        <v>0</v>
      </c>
      <c r="AY147" s="405"/>
      <c r="AZ147" s="215"/>
      <c r="BA147" s="218"/>
    </row>
    <row r="148" spans="1:54" ht="19.5" thickBot="1" x14ac:dyDescent="0.3">
      <c r="A148" s="876" t="s">
        <v>144</v>
      </c>
      <c r="B148" s="877"/>
      <c r="C148" s="878"/>
      <c r="D148" s="350"/>
      <c r="E148" s="351"/>
      <c r="F148" s="270" t="s">
        <v>132</v>
      </c>
      <c r="G148" s="879">
        <f>COUNTIF($AO$2:$CA$42,F148)</f>
        <v>0</v>
      </c>
      <c r="H148" s="880"/>
      <c r="I148" s="881"/>
      <c r="J148" s="259">
        <v>0</v>
      </c>
      <c r="K148" s="260">
        <v>0</v>
      </c>
      <c r="L148" s="261">
        <f t="shared" ref="L148:L149" si="17">G148-K148-J148</f>
        <v>0</v>
      </c>
      <c r="M148" s="231"/>
      <c r="N148" s="876" t="s">
        <v>144</v>
      </c>
      <c r="O148" s="877"/>
      <c r="P148" s="878"/>
      <c r="Q148" s="350"/>
      <c r="R148" s="351"/>
      <c r="S148" s="270" t="s">
        <v>132</v>
      </c>
      <c r="T148" s="863">
        <f>COUNTIF($A$2:$AN$70,S148)</f>
        <v>0</v>
      </c>
      <c r="U148" s="863"/>
      <c r="V148" s="863"/>
      <c r="W148" s="259">
        <v>0</v>
      </c>
      <c r="X148" s="260">
        <v>0</v>
      </c>
      <c r="Y148" s="261">
        <f t="shared" ref="Y148:Y149" si="18">T148-X148-W148</f>
        <v>0</v>
      </c>
      <c r="Z148" s="262">
        <f t="shared" ref="Z148:Z150" si="19">T148+G148</f>
        <v>0</v>
      </c>
      <c r="AA148" s="231"/>
      <c r="AC148" s="337" t="s">
        <v>561</v>
      </c>
      <c r="AD148" s="420" t="s">
        <v>561</v>
      </c>
      <c r="AE148" s="238">
        <f t="shared" si="9"/>
        <v>0</v>
      </c>
      <c r="AF148" s="239" t="str">
        <f t="shared" si="10"/>
        <v/>
      </c>
      <c r="AH148" s="215"/>
      <c r="AI148" s="843" t="s">
        <v>562</v>
      </c>
      <c r="AJ148" s="844"/>
      <c r="AK148" s="844"/>
      <c r="AL148" s="844"/>
      <c r="AM148" s="844"/>
      <c r="AN148" s="421" t="s">
        <v>563</v>
      </c>
      <c r="AO148" s="224">
        <f t="shared" si="0"/>
        <v>0</v>
      </c>
      <c r="AP148" s="225"/>
      <c r="AQ148" s="215"/>
      <c r="AR148" s="890" t="s">
        <v>564</v>
      </c>
      <c r="AS148" s="891"/>
      <c r="AT148" s="891"/>
      <c r="AU148" s="891"/>
      <c r="AV148" s="891"/>
      <c r="AW148" s="313" t="s">
        <v>565</v>
      </c>
      <c r="AX148" s="224">
        <f t="shared" si="16"/>
        <v>0</v>
      </c>
      <c r="AY148" s="405"/>
      <c r="AZ148" s="215"/>
      <c r="BA148" s="218"/>
    </row>
    <row r="149" spans="1:54" ht="19.5" thickBot="1" x14ac:dyDescent="0.3">
      <c r="A149" s="870" t="s">
        <v>145</v>
      </c>
      <c r="B149" s="871"/>
      <c r="C149" s="872"/>
      <c r="D149" s="256"/>
      <c r="E149" s="257"/>
      <c r="F149" s="365" t="s">
        <v>133</v>
      </c>
      <c r="G149" s="860">
        <f>COUNTIF($AO$2:$CA$42,F149)</f>
        <v>0</v>
      </c>
      <c r="H149" s="861"/>
      <c r="I149" s="862"/>
      <c r="J149" s="259">
        <v>0</v>
      </c>
      <c r="K149" s="260">
        <v>0</v>
      </c>
      <c r="L149" s="261">
        <f t="shared" si="17"/>
        <v>0</v>
      </c>
      <c r="M149" s="231"/>
      <c r="N149" s="870" t="s">
        <v>145</v>
      </c>
      <c r="O149" s="871"/>
      <c r="P149" s="872"/>
      <c r="Q149" s="256"/>
      <c r="R149" s="257"/>
      <c r="S149" s="365" t="s">
        <v>133</v>
      </c>
      <c r="T149" s="863">
        <f>COUNTIF($A$2:$AN$70,S149)</f>
        <v>0</v>
      </c>
      <c r="U149" s="863"/>
      <c r="V149" s="863"/>
      <c r="W149" s="259">
        <v>0</v>
      </c>
      <c r="X149" s="260">
        <v>0</v>
      </c>
      <c r="Y149" s="261">
        <f t="shared" si="18"/>
        <v>0</v>
      </c>
      <c r="Z149" s="262">
        <f t="shared" si="19"/>
        <v>0</v>
      </c>
      <c r="AA149" s="231"/>
      <c r="AC149" s="337" t="s">
        <v>566</v>
      </c>
      <c r="AD149" s="422" t="s">
        <v>567</v>
      </c>
      <c r="AE149" s="238">
        <f t="shared" si="9"/>
        <v>0</v>
      </c>
      <c r="AF149" s="239" t="str">
        <f t="shared" si="10"/>
        <v/>
      </c>
      <c r="AH149" s="215"/>
      <c r="AI149" s="843" t="s">
        <v>568</v>
      </c>
      <c r="AJ149" s="844"/>
      <c r="AK149" s="844"/>
      <c r="AL149" s="844"/>
      <c r="AM149" s="844"/>
      <c r="AN149" s="423" t="s">
        <v>569</v>
      </c>
      <c r="AO149" s="224">
        <f t="shared" si="0"/>
        <v>0</v>
      </c>
      <c r="AP149" s="225"/>
      <c r="AQ149" s="215"/>
      <c r="AR149" s="890" t="s">
        <v>570</v>
      </c>
      <c r="AS149" s="891"/>
      <c r="AT149" s="891"/>
      <c r="AU149" s="891"/>
      <c r="AV149" s="891"/>
      <c r="AW149" s="313" t="s">
        <v>571</v>
      </c>
      <c r="AX149" s="224">
        <f t="shared" si="16"/>
        <v>0</v>
      </c>
      <c r="AY149" s="424"/>
      <c r="AZ149" s="215"/>
      <c r="BA149" s="218"/>
    </row>
    <row r="150" spans="1:54" ht="18.75" x14ac:dyDescent="0.25">
      <c r="A150" s="892" t="s">
        <v>258</v>
      </c>
      <c r="B150" s="893"/>
      <c r="C150" s="893"/>
      <c r="D150" s="893"/>
      <c r="E150" s="893"/>
      <c r="F150" s="414"/>
      <c r="G150" s="869">
        <f>SUM(G148:I149)</f>
        <v>0</v>
      </c>
      <c r="H150" s="869"/>
      <c r="I150" s="869"/>
      <c r="J150" s="340">
        <f>SUM(J148:J149)</f>
        <v>0</v>
      </c>
      <c r="K150" s="341">
        <f>SUM(K148:K149)</f>
        <v>0</v>
      </c>
      <c r="L150" s="261">
        <f>SUM(L148:L149)</f>
        <v>0</v>
      </c>
      <c r="M150" s="231"/>
      <c r="N150" s="867" t="s">
        <v>258</v>
      </c>
      <c r="O150" s="868"/>
      <c r="P150" s="868"/>
      <c r="Q150" s="868"/>
      <c r="R150" s="868"/>
      <c r="S150" s="415"/>
      <c r="T150" s="894">
        <f>SUM(T148:V149)</f>
        <v>0</v>
      </c>
      <c r="U150" s="894"/>
      <c r="V150" s="894"/>
      <c r="W150" s="340">
        <f>SUM(W148:W149)</f>
        <v>0</v>
      </c>
      <c r="X150" s="341">
        <f>SUM(X148:X149)</f>
        <v>0</v>
      </c>
      <c r="Y150" s="261">
        <f>SUM(Y148:Y149)</f>
        <v>0</v>
      </c>
      <c r="Z150" s="262">
        <f t="shared" si="19"/>
        <v>0</v>
      </c>
      <c r="AA150" s="231"/>
      <c r="AC150" s="337" t="s">
        <v>572</v>
      </c>
      <c r="AD150" s="425" t="s">
        <v>573</v>
      </c>
      <c r="AE150" s="238">
        <f t="shared" si="9"/>
        <v>0</v>
      </c>
      <c r="AF150" s="239" t="str">
        <f t="shared" si="10"/>
        <v/>
      </c>
      <c r="AH150" s="215"/>
      <c r="AI150" s="843" t="s">
        <v>574</v>
      </c>
      <c r="AJ150" s="844"/>
      <c r="AK150" s="844"/>
      <c r="AL150" s="844"/>
      <c r="AM150" s="844"/>
      <c r="AN150" s="426" t="s">
        <v>574</v>
      </c>
      <c r="AO150" s="224">
        <f t="shared" si="0"/>
        <v>0</v>
      </c>
      <c r="AP150" s="225"/>
      <c r="AQ150" s="215"/>
      <c r="AR150" s="890" t="s">
        <v>575</v>
      </c>
      <c r="AS150" s="891"/>
      <c r="AT150" s="891"/>
      <c r="AU150" s="891"/>
      <c r="AV150" s="891"/>
      <c r="AW150" s="427" t="s">
        <v>576</v>
      </c>
      <c r="AX150" s="224">
        <f t="shared" si="16"/>
        <v>0</v>
      </c>
      <c r="AY150" s="424"/>
      <c r="AZ150" s="215"/>
      <c r="BA150" s="218"/>
    </row>
    <row r="151" spans="1:54" ht="18.75" x14ac:dyDescent="0.25">
      <c r="A151" s="898" t="s">
        <v>577</v>
      </c>
      <c r="B151" s="899"/>
      <c r="C151" s="899"/>
      <c r="D151" s="899"/>
      <c r="E151" s="899"/>
      <c r="F151" s="899"/>
      <c r="G151" s="899"/>
      <c r="H151" s="899"/>
      <c r="I151" s="900"/>
      <c r="J151" s="251" t="s">
        <v>310</v>
      </c>
      <c r="K151" s="251" t="s">
        <v>311</v>
      </c>
      <c r="L151" s="251" t="s">
        <v>30</v>
      </c>
      <c r="M151" s="231"/>
      <c r="N151" s="898" t="s">
        <v>577</v>
      </c>
      <c r="O151" s="899"/>
      <c r="P151" s="899"/>
      <c r="Q151" s="899"/>
      <c r="R151" s="899"/>
      <c r="S151" s="899"/>
      <c r="T151" s="899"/>
      <c r="U151" s="899"/>
      <c r="V151" s="900"/>
      <c r="W151" s="252" t="s">
        <v>310</v>
      </c>
      <c r="X151" s="252" t="s">
        <v>311</v>
      </c>
      <c r="Y151" s="252" t="s">
        <v>30</v>
      </c>
      <c r="Z151" s="346"/>
      <c r="AA151" s="231" t="b">
        <f>IFERROR(#REF!&gt;0.5,FALSE)</f>
        <v>0</v>
      </c>
      <c r="AC151" s="337" t="s">
        <v>578</v>
      </c>
      <c r="AD151" s="101" t="s">
        <v>203</v>
      </c>
      <c r="AE151" s="238">
        <f t="shared" si="9"/>
        <v>6</v>
      </c>
      <c r="AF151" s="239" t="str">
        <f t="shared" si="10"/>
        <v/>
      </c>
      <c r="AH151" s="215"/>
      <c r="AI151" s="843" t="s">
        <v>579</v>
      </c>
      <c r="AJ151" s="844"/>
      <c r="AK151" s="844"/>
      <c r="AL151" s="844"/>
      <c r="AM151" s="844"/>
      <c r="AN151" s="428" t="s">
        <v>580</v>
      </c>
      <c r="AO151" s="224">
        <f t="shared" si="0"/>
        <v>0</v>
      </c>
      <c r="AP151" s="225"/>
      <c r="AQ151" s="215"/>
      <c r="AR151" s="890" t="s">
        <v>581</v>
      </c>
      <c r="AS151" s="891"/>
      <c r="AT151" s="891"/>
      <c r="AU151" s="891"/>
      <c r="AV151" s="891"/>
      <c r="AW151" s="427" t="s">
        <v>582</v>
      </c>
      <c r="AX151" s="224">
        <f t="shared" si="16"/>
        <v>0</v>
      </c>
      <c r="AY151" s="424"/>
      <c r="AZ151" s="215"/>
      <c r="BA151" s="218"/>
    </row>
    <row r="152" spans="1:54" ht="18.75" thickBot="1" x14ac:dyDescent="0.3">
      <c r="A152" s="857" t="s">
        <v>104</v>
      </c>
      <c r="B152" s="858"/>
      <c r="C152" s="859"/>
      <c r="D152" s="256" t="s">
        <v>583</v>
      </c>
      <c r="E152" s="257" t="s">
        <v>325</v>
      </c>
      <c r="F152" s="429" t="s">
        <v>103</v>
      </c>
      <c r="G152" s="901">
        <f t="shared" ref="G152:G168" si="20">COUNTIF($AO$2:$CA$42,F152)</f>
        <v>0</v>
      </c>
      <c r="H152" s="902"/>
      <c r="I152" s="903"/>
      <c r="J152" s="259">
        <v>0</v>
      </c>
      <c r="K152" s="260">
        <v>0</v>
      </c>
      <c r="L152" s="261">
        <f t="shared" ref="L152:L168" si="21">G152-K152-J152</f>
        <v>0</v>
      </c>
      <c r="M152" s="231"/>
      <c r="N152" s="857" t="s">
        <v>104</v>
      </c>
      <c r="O152" s="858"/>
      <c r="P152" s="859"/>
      <c r="Q152" s="256" t="s">
        <v>583</v>
      </c>
      <c r="R152" s="257" t="s">
        <v>325</v>
      </c>
      <c r="S152" s="429" t="s">
        <v>103</v>
      </c>
      <c r="T152" s="863">
        <f t="shared" ref="T152:T168" si="22">COUNTIF($A$2:$AN$70,S152)</f>
        <v>0</v>
      </c>
      <c r="U152" s="863"/>
      <c r="V152" s="863"/>
      <c r="W152" s="259">
        <v>0</v>
      </c>
      <c r="X152" s="260">
        <v>0</v>
      </c>
      <c r="Y152" s="261">
        <f t="shared" ref="Y152:Y168" si="23">T152-X152-W152</f>
        <v>0</v>
      </c>
      <c r="Z152" s="262">
        <f t="shared" si="6"/>
        <v>0</v>
      </c>
      <c r="AA152" s="231"/>
      <c r="AC152" s="310" t="s">
        <v>584</v>
      </c>
      <c r="AD152" s="430" t="s">
        <v>585</v>
      </c>
      <c r="AE152" s="238">
        <f t="shared" si="9"/>
        <v>0</v>
      </c>
      <c r="AF152" s="239" t="str">
        <f t="shared" si="10"/>
        <v/>
      </c>
      <c r="AH152" s="215"/>
      <c r="AI152" s="843" t="s">
        <v>586</v>
      </c>
      <c r="AJ152" s="844"/>
      <c r="AK152" s="844"/>
      <c r="AL152" s="844"/>
      <c r="AM152" s="844"/>
      <c r="AN152" s="431" t="s">
        <v>587</v>
      </c>
      <c r="AO152" s="224">
        <f t="shared" si="0"/>
        <v>0</v>
      </c>
      <c r="AP152" s="225"/>
      <c r="AQ152" s="215"/>
      <c r="AR152" s="890" t="s">
        <v>588</v>
      </c>
      <c r="AS152" s="891"/>
      <c r="AT152" s="891"/>
      <c r="AU152" s="891"/>
      <c r="AV152" s="891"/>
      <c r="AW152" s="432" t="s">
        <v>589</v>
      </c>
      <c r="AX152" s="224">
        <f t="shared" si="16"/>
        <v>0</v>
      </c>
      <c r="AY152" s="424"/>
      <c r="AZ152" s="215"/>
      <c r="BA152" s="218"/>
    </row>
    <row r="153" spans="1:54" ht="18.75" x14ac:dyDescent="0.25">
      <c r="A153" s="857" t="s">
        <v>146</v>
      </c>
      <c r="B153" s="858"/>
      <c r="C153" s="859"/>
      <c r="D153" s="256"/>
      <c r="E153" s="257"/>
      <c r="F153" s="433" t="s">
        <v>147</v>
      </c>
      <c r="G153" s="861">
        <f t="shared" si="20"/>
        <v>0</v>
      </c>
      <c r="H153" s="861"/>
      <c r="I153" s="862"/>
      <c r="J153" s="259">
        <v>0</v>
      </c>
      <c r="K153" s="260">
        <v>0</v>
      </c>
      <c r="L153" s="261">
        <f t="shared" si="21"/>
        <v>0</v>
      </c>
      <c r="M153" s="231"/>
      <c r="N153" s="857" t="s">
        <v>146</v>
      </c>
      <c r="O153" s="858"/>
      <c r="P153" s="859"/>
      <c r="Q153" s="256"/>
      <c r="R153" s="257"/>
      <c r="S153" s="433" t="s">
        <v>147</v>
      </c>
      <c r="T153" s="862">
        <f t="shared" si="22"/>
        <v>0</v>
      </c>
      <c r="U153" s="863"/>
      <c r="V153" s="863"/>
      <c r="W153" s="259">
        <v>0</v>
      </c>
      <c r="X153" s="260">
        <v>0</v>
      </c>
      <c r="Y153" s="261">
        <f t="shared" si="23"/>
        <v>0</v>
      </c>
      <c r="Z153" s="262">
        <f t="shared" si="6"/>
        <v>0</v>
      </c>
      <c r="AA153" s="231"/>
      <c r="AC153" s="337" t="s">
        <v>590</v>
      </c>
      <c r="AD153" s="434" t="s">
        <v>591</v>
      </c>
      <c r="AE153" s="238">
        <f t="shared" si="9"/>
        <v>0</v>
      </c>
      <c r="AF153" s="239" t="str">
        <f t="shared" si="10"/>
        <v/>
      </c>
      <c r="AH153" s="215"/>
      <c r="AI153" s="843" t="s">
        <v>592</v>
      </c>
      <c r="AJ153" s="844"/>
      <c r="AK153" s="844"/>
      <c r="AL153" s="844"/>
      <c r="AM153" s="844"/>
      <c r="AN153" s="435" t="s">
        <v>593</v>
      </c>
      <c r="AO153" s="224">
        <f t="shared" si="0"/>
        <v>0</v>
      </c>
      <c r="AP153" s="436"/>
      <c r="AQ153" s="215"/>
      <c r="AR153" s="890" t="s">
        <v>594</v>
      </c>
      <c r="AS153" s="891"/>
      <c r="AT153" s="891"/>
      <c r="AU153" s="891"/>
      <c r="AV153" s="891"/>
      <c r="AW153" s="427" t="s">
        <v>595</v>
      </c>
      <c r="AX153" s="224">
        <f t="shared" si="16"/>
        <v>0</v>
      </c>
      <c r="AY153" s="405"/>
      <c r="AZ153" s="215"/>
      <c r="BA153" s="218"/>
    </row>
    <row r="154" spans="1:54" ht="18.75" thickBot="1" x14ac:dyDescent="0.3">
      <c r="A154" s="857" t="s">
        <v>105</v>
      </c>
      <c r="B154" s="858"/>
      <c r="C154" s="859"/>
      <c r="D154" s="256"/>
      <c r="E154" s="257"/>
      <c r="F154" s="155" t="s">
        <v>0</v>
      </c>
      <c r="G154" s="861">
        <f t="shared" si="20"/>
        <v>0</v>
      </c>
      <c r="H154" s="861"/>
      <c r="I154" s="862"/>
      <c r="J154" s="259">
        <v>0</v>
      </c>
      <c r="K154" s="260">
        <v>0</v>
      </c>
      <c r="L154" s="261">
        <f t="shared" si="21"/>
        <v>0</v>
      </c>
      <c r="M154" s="231"/>
      <c r="N154" s="857" t="s">
        <v>105</v>
      </c>
      <c r="O154" s="858"/>
      <c r="P154" s="859"/>
      <c r="Q154" s="256"/>
      <c r="R154" s="257"/>
      <c r="S154" s="155" t="s">
        <v>0</v>
      </c>
      <c r="T154" s="862">
        <f t="shared" si="22"/>
        <v>2</v>
      </c>
      <c r="U154" s="863"/>
      <c r="V154" s="863"/>
      <c r="W154" s="259">
        <v>0</v>
      </c>
      <c r="X154" s="260">
        <v>0</v>
      </c>
      <c r="Y154" s="261">
        <f t="shared" si="23"/>
        <v>2</v>
      </c>
      <c r="Z154" s="262">
        <f t="shared" si="6"/>
        <v>2</v>
      </c>
      <c r="AA154" s="231"/>
      <c r="AC154" s="337" t="s">
        <v>596</v>
      </c>
      <c r="AD154" s="437" t="s">
        <v>597</v>
      </c>
      <c r="AE154" s="238">
        <f t="shared" si="9"/>
        <v>0</v>
      </c>
      <c r="AF154" s="239" t="str">
        <f t="shared" si="10"/>
        <v/>
      </c>
      <c r="AH154" s="215"/>
      <c r="AI154" s="843" t="s">
        <v>598</v>
      </c>
      <c r="AJ154" s="844"/>
      <c r="AK154" s="844"/>
      <c r="AL154" s="844"/>
      <c r="AM154" s="844"/>
      <c r="AN154" s="343" t="s">
        <v>599</v>
      </c>
      <c r="AO154" s="224">
        <f t="shared" si="0"/>
        <v>0</v>
      </c>
      <c r="AP154" s="225"/>
      <c r="AQ154" s="215"/>
      <c r="AR154" s="890" t="s">
        <v>600</v>
      </c>
      <c r="AS154" s="891"/>
      <c r="AT154" s="891"/>
      <c r="AU154" s="891"/>
      <c r="AV154" s="891"/>
      <c r="AW154" s="438" t="s">
        <v>601</v>
      </c>
      <c r="AX154" s="224">
        <f t="shared" si="16"/>
        <v>0</v>
      </c>
      <c r="AY154" s="405"/>
      <c r="AZ154" s="215"/>
      <c r="BA154" s="335"/>
    </row>
    <row r="155" spans="1:54" ht="19.5" thickBot="1" x14ac:dyDescent="0.3">
      <c r="A155" s="857" t="s">
        <v>107</v>
      </c>
      <c r="B155" s="858"/>
      <c r="C155" s="859"/>
      <c r="D155" s="256" t="s">
        <v>0</v>
      </c>
      <c r="E155" s="257"/>
      <c r="F155" s="439" t="s">
        <v>106</v>
      </c>
      <c r="G155" s="861">
        <f t="shared" si="20"/>
        <v>0</v>
      </c>
      <c r="H155" s="861"/>
      <c r="I155" s="862"/>
      <c r="J155" s="259">
        <v>0</v>
      </c>
      <c r="K155" s="260">
        <v>0</v>
      </c>
      <c r="L155" s="261">
        <f t="shared" si="21"/>
        <v>0</v>
      </c>
      <c r="M155" s="231"/>
      <c r="N155" s="857" t="s">
        <v>107</v>
      </c>
      <c r="O155" s="858"/>
      <c r="P155" s="859"/>
      <c r="Q155" s="256" t="s">
        <v>0</v>
      </c>
      <c r="R155" s="257"/>
      <c r="S155" s="439" t="s">
        <v>106</v>
      </c>
      <c r="T155" s="862">
        <f t="shared" si="22"/>
        <v>0</v>
      </c>
      <c r="U155" s="863"/>
      <c r="V155" s="863"/>
      <c r="W155" s="259">
        <v>0</v>
      </c>
      <c r="X155" s="260">
        <v>0</v>
      </c>
      <c r="Y155" s="261">
        <f t="shared" si="23"/>
        <v>0</v>
      </c>
      <c r="Z155" s="262">
        <f t="shared" si="6"/>
        <v>0</v>
      </c>
      <c r="AC155" s="337" t="s">
        <v>155</v>
      </c>
      <c r="AD155" s="36" t="s">
        <v>155</v>
      </c>
      <c r="AE155" s="238">
        <f t="shared" si="9"/>
        <v>32</v>
      </c>
      <c r="AF155" s="239" t="str">
        <f t="shared" si="10"/>
        <v/>
      </c>
      <c r="AH155" s="215"/>
      <c r="AI155" s="843" t="s">
        <v>602</v>
      </c>
      <c r="AJ155" s="844"/>
      <c r="AK155" s="844"/>
      <c r="AL155" s="844"/>
      <c r="AM155" s="844"/>
      <c r="AN155" s="428" t="s">
        <v>603</v>
      </c>
      <c r="AO155" s="224">
        <f t="shared" si="0"/>
        <v>0</v>
      </c>
      <c r="AP155" s="225"/>
      <c r="AQ155" s="215"/>
      <c r="AR155" s="890" t="s">
        <v>604</v>
      </c>
      <c r="AS155" s="891"/>
      <c r="AT155" s="891"/>
      <c r="AU155" s="891"/>
      <c r="AV155" s="891"/>
      <c r="AW155" s="440" t="s">
        <v>605</v>
      </c>
      <c r="AX155" s="224">
        <f t="shared" si="16"/>
        <v>0</v>
      </c>
      <c r="AY155" s="405"/>
      <c r="AZ155" s="215"/>
      <c r="BA155" s="335"/>
    </row>
    <row r="156" spans="1:54" ht="19.5" thickBot="1" x14ac:dyDescent="0.3">
      <c r="A156" s="857" t="s">
        <v>19</v>
      </c>
      <c r="B156" s="858"/>
      <c r="C156" s="859"/>
      <c r="D156" s="256"/>
      <c r="E156" s="257"/>
      <c r="F156" s="441" t="s">
        <v>1</v>
      </c>
      <c r="G156" s="861">
        <f t="shared" si="20"/>
        <v>0</v>
      </c>
      <c r="H156" s="861"/>
      <c r="I156" s="862"/>
      <c r="J156" s="259">
        <v>0</v>
      </c>
      <c r="K156" s="260">
        <v>0</v>
      </c>
      <c r="L156" s="261">
        <f t="shared" si="21"/>
        <v>0</v>
      </c>
      <c r="M156" s="231"/>
      <c r="N156" s="857" t="s">
        <v>19</v>
      </c>
      <c r="O156" s="858"/>
      <c r="P156" s="859"/>
      <c r="Q156" s="256"/>
      <c r="R156" s="257"/>
      <c r="S156" s="441" t="s">
        <v>1</v>
      </c>
      <c r="T156" s="862">
        <f t="shared" si="22"/>
        <v>0</v>
      </c>
      <c r="U156" s="863"/>
      <c r="V156" s="863"/>
      <c r="W156" s="259">
        <v>0</v>
      </c>
      <c r="X156" s="260">
        <v>0</v>
      </c>
      <c r="Y156" s="261">
        <f t="shared" si="23"/>
        <v>0</v>
      </c>
      <c r="Z156" s="262">
        <f t="shared" si="6"/>
        <v>0</v>
      </c>
      <c r="AC156" s="337" t="s">
        <v>606</v>
      </c>
      <c r="AD156" s="442" t="s">
        <v>607</v>
      </c>
      <c r="AE156" s="238">
        <f t="shared" si="9"/>
        <v>0</v>
      </c>
      <c r="AF156" s="239" t="str">
        <f t="shared" si="10"/>
        <v/>
      </c>
      <c r="AH156" s="215"/>
      <c r="AI156" s="843" t="s">
        <v>608</v>
      </c>
      <c r="AJ156" s="844"/>
      <c r="AK156" s="844"/>
      <c r="AL156" s="844"/>
      <c r="AM156" s="844"/>
      <c r="AN156" s="443" t="s">
        <v>609</v>
      </c>
      <c r="AO156" s="224">
        <f t="shared" si="0"/>
        <v>0</v>
      </c>
      <c r="AP156" s="225"/>
      <c r="AQ156" s="215"/>
      <c r="AR156" s="890" t="s">
        <v>610</v>
      </c>
      <c r="AS156" s="891"/>
      <c r="AT156" s="891"/>
      <c r="AU156" s="891"/>
      <c r="AV156" s="891"/>
      <c r="AW156" s="444" t="s">
        <v>611</v>
      </c>
      <c r="AX156" s="224">
        <f t="shared" si="16"/>
        <v>0</v>
      </c>
      <c r="AY156" s="405"/>
      <c r="AZ156" s="215"/>
      <c r="BA156" s="335"/>
    </row>
    <row r="157" spans="1:54" ht="18.75" x14ac:dyDescent="0.25">
      <c r="A157" s="857" t="s">
        <v>148</v>
      </c>
      <c r="B157" s="858"/>
      <c r="C157" s="859"/>
      <c r="D157" s="256"/>
      <c r="E157" s="257"/>
      <c r="F157" s="445" t="s">
        <v>149</v>
      </c>
      <c r="G157" s="860">
        <f t="shared" si="20"/>
        <v>0</v>
      </c>
      <c r="H157" s="861"/>
      <c r="I157" s="862"/>
      <c r="J157" s="259">
        <v>0</v>
      </c>
      <c r="K157" s="260">
        <v>0</v>
      </c>
      <c r="L157" s="261">
        <f t="shared" si="21"/>
        <v>0</v>
      </c>
      <c r="M157" s="231"/>
      <c r="N157" s="857" t="s">
        <v>148</v>
      </c>
      <c r="O157" s="858"/>
      <c r="P157" s="859"/>
      <c r="Q157" s="256"/>
      <c r="R157" s="257"/>
      <c r="S157" s="445" t="s">
        <v>149</v>
      </c>
      <c r="T157" s="863">
        <f t="shared" si="22"/>
        <v>0</v>
      </c>
      <c r="U157" s="863"/>
      <c r="V157" s="863"/>
      <c r="W157" s="259">
        <v>0</v>
      </c>
      <c r="X157" s="260">
        <v>0</v>
      </c>
      <c r="Y157" s="261">
        <f t="shared" si="23"/>
        <v>0</v>
      </c>
      <c r="Z157" s="262">
        <f t="shared" si="6"/>
        <v>0</v>
      </c>
      <c r="AC157" s="337" t="s">
        <v>612</v>
      </c>
      <c r="AD157" s="93" t="s">
        <v>196</v>
      </c>
      <c r="AE157" s="238">
        <f t="shared" si="9"/>
        <v>8</v>
      </c>
      <c r="AF157" s="239" t="str">
        <f t="shared" si="10"/>
        <v/>
      </c>
      <c r="AH157" s="215"/>
      <c r="AI157" s="843" t="s">
        <v>613</v>
      </c>
      <c r="AJ157" s="844"/>
      <c r="AK157" s="844"/>
      <c r="AL157" s="844"/>
      <c r="AM157" s="844"/>
      <c r="AN157" s="139" t="s">
        <v>614</v>
      </c>
      <c r="AO157" s="224">
        <f t="shared" si="0"/>
        <v>0</v>
      </c>
      <c r="AP157" s="225"/>
      <c r="AQ157" s="215"/>
      <c r="AR157" s="890" t="s">
        <v>615</v>
      </c>
      <c r="AS157" s="891"/>
      <c r="AT157" s="891"/>
      <c r="AU157" s="891"/>
      <c r="AV157" s="891"/>
      <c r="AW157" s="446" t="s">
        <v>616</v>
      </c>
      <c r="AX157" s="224">
        <f t="shared" si="16"/>
        <v>0</v>
      </c>
      <c r="AY157" s="405"/>
      <c r="AZ157" s="215"/>
      <c r="BA157" s="335"/>
    </row>
    <row r="158" spans="1:54" ht="18.75" x14ac:dyDescent="0.25">
      <c r="A158" s="857" t="s">
        <v>36</v>
      </c>
      <c r="B158" s="858"/>
      <c r="C158" s="859"/>
      <c r="D158" s="256"/>
      <c r="E158" s="257" t="s">
        <v>325</v>
      </c>
      <c r="F158" s="163" t="s">
        <v>73</v>
      </c>
      <c r="G158" s="860">
        <f t="shared" si="20"/>
        <v>1</v>
      </c>
      <c r="H158" s="861"/>
      <c r="I158" s="862"/>
      <c r="J158" s="259">
        <v>0</v>
      </c>
      <c r="K158" s="260">
        <v>0</v>
      </c>
      <c r="L158" s="261">
        <f t="shared" si="21"/>
        <v>1</v>
      </c>
      <c r="M158" s="231"/>
      <c r="N158" s="857" t="s">
        <v>36</v>
      </c>
      <c r="O158" s="858"/>
      <c r="P158" s="859"/>
      <c r="Q158" s="256"/>
      <c r="R158" s="257" t="s">
        <v>325</v>
      </c>
      <c r="S158" s="163" t="s">
        <v>73</v>
      </c>
      <c r="T158" s="863">
        <f t="shared" si="22"/>
        <v>2</v>
      </c>
      <c r="U158" s="863"/>
      <c r="V158" s="863"/>
      <c r="W158" s="259">
        <v>0</v>
      </c>
      <c r="X158" s="260">
        <v>0</v>
      </c>
      <c r="Y158" s="261">
        <f t="shared" si="23"/>
        <v>2</v>
      </c>
      <c r="Z158" s="262">
        <f t="shared" si="6"/>
        <v>3</v>
      </c>
      <c r="AC158" s="337" t="s">
        <v>617</v>
      </c>
      <c r="AD158" s="447" t="s">
        <v>618</v>
      </c>
      <c r="AE158" s="238">
        <f t="shared" si="9"/>
        <v>0</v>
      </c>
      <c r="AF158" s="239" t="str">
        <f t="shared" si="10"/>
        <v/>
      </c>
      <c r="AH158" s="215"/>
      <c r="AI158" s="843" t="s">
        <v>619</v>
      </c>
      <c r="AJ158" s="844"/>
      <c r="AK158" s="844"/>
      <c r="AL158" s="844"/>
      <c r="AM158" s="844"/>
      <c r="AN158" s="448" t="s">
        <v>620</v>
      </c>
      <c r="AO158" s="224">
        <f t="shared" si="0"/>
        <v>0</v>
      </c>
      <c r="AP158" s="225"/>
      <c r="AQ158" s="215"/>
      <c r="AR158" s="890" t="s">
        <v>621</v>
      </c>
      <c r="AS158" s="891"/>
      <c r="AT158" s="891"/>
      <c r="AU158" s="891"/>
      <c r="AV158" s="891"/>
      <c r="AW158" s="449" t="s">
        <v>622</v>
      </c>
      <c r="AX158" s="224">
        <f t="shared" si="16"/>
        <v>0</v>
      </c>
      <c r="AY158" s="424"/>
      <c r="AZ158" s="215"/>
      <c r="BA158" s="218"/>
    </row>
    <row r="159" spans="1:54" ht="18" x14ac:dyDescent="0.25">
      <c r="A159" s="857" t="s">
        <v>115</v>
      </c>
      <c r="B159" s="858"/>
      <c r="C159" s="859"/>
      <c r="D159" s="256"/>
      <c r="E159" s="257"/>
      <c r="F159" s="450" t="s">
        <v>114</v>
      </c>
      <c r="G159" s="860">
        <f t="shared" si="20"/>
        <v>3</v>
      </c>
      <c r="H159" s="861"/>
      <c r="I159" s="862"/>
      <c r="J159" s="259">
        <v>0</v>
      </c>
      <c r="K159" s="260">
        <v>0</v>
      </c>
      <c r="L159" s="261">
        <f t="shared" si="21"/>
        <v>3</v>
      </c>
      <c r="M159" s="231"/>
      <c r="N159" s="857" t="s">
        <v>115</v>
      </c>
      <c r="O159" s="858"/>
      <c r="P159" s="859"/>
      <c r="Q159" s="256"/>
      <c r="R159" s="257"/>
      <c r="S159" s="450" t="s">
        <v>114</v>
      </c>
      <c r="T159" s="863">
        <f t="shared" si="22"/>
        <v>4</v>
      </c>
      <c r="U159" s="863"/>
      <c r="V159" s="863"/>
      <c r="W159" s="259">
        <v>0</v>
      </c>
      <c r="X159" s="260">
        <v>0</v>
      </c>
      <c r="Y159" s="261">
        <f t="shared" si="23"/>
        <v>4</v>
      </c>
      <c r="Z159" s="262">
        <f t="shared" si="6"/>
        <v>7</v>
      </c>
      <c r="AC159" s="337" t="s">
        <v>623</v>
      </c>
      <c r="AD159" s="447" t="s">
        <v>624</v>
      </c>
      <c r="AE159" s="238">
        <f t="shared" si="9"/>
        <v>0</v>
      </c>
      <c r="AF159" s="239" t="str">
        <f t="shared" si="10"/>
        <v/>
      </c>
      <c r="AH159" s="215"/>
      <c r="AI159" s="843" t="s">
        <v>625</v>
      </c>
      <c r="AJ159" s="844"/>
      <c r="AK159" s="844"/>
      <c r="AL159" s="844"/>
      <c r="AM159" s="844"/>
      <c r="AN159" s="451" t="s">
        <v>626</v>
      </c>
      <c r="AO159" s="224">
        <f t="shared" si="0"/>
        <v>0</v>
      </c>
      <c r="AP159" s="225"/>
      <c r="AQ159" s="215"/>
      <c r="AR159" s="890" t="s">
        <v>627</v>
      </c>
      <c r="AS159" s="891"/>
      <c r="AT159" s="891"/>
      <c r="AU159" s="891"/>
      <c r="AV159" s="891"/>
      <c r="AW159" s="452" t="s">
        <v>628</v>
      </c>
      <c r="AX159" s="224">
        <f t="shared" si="16"/>
        <v>0</v>
      </c>
      <c r="AY159" s="405"/>
      <c r="AZ159" s="215"/>
      <c r="BA159" s="218"/>
    </row>
    <row r="160" spans="1:54" ht="18.75" x14ac:dyDescent="0.25">
      <c r="A160" s="857" t="s">
        <v>111</v>
      </c>
      <c r="B160" s="858"/>
      <c r="C160" s="859"/>
      <c r="D160" s="256"/>
      <c r="E160" s="257"/>
      <c r="F160" s="453" t="s">
        <v>110</v>
      </c>
      <c r="G160" s="860">
        <f t="shared" si="20"/>
        <v>1</v>
      </c>
      <c r="H160" s="861"/>
      <c r="I160" s="862"/>
      <c r="J160" s="259">
        <v>0</v>
      </c>
      <c r="K160" s="260">
        <v>0</v>
      </c>
      <c r="L160" s="261">
        <f t="shared" si="21"/>
        <v>1</v>
      </c>
      <c r="M160" s="231"/>
      <c r="N160" s="857" t="s">
        <v>111</v>
      </c>
      <c r="O160" s="858"/>
      <c r="P160" s="859"/>
      <c r="Q160" s="256"/>
      <c r="R160" s="257"/>
      <c r="S160" s="453" t="s">
        <v>110</v>
      </c>
      <c r="T160" s="863">
        <f t="shared" si="22"/>
        <v>2</v>
      </c>
      <c r="U160" s="863"/>
      <c r="V160" s="863"/>
      <c r="W160" s="259">
        <v>0</v>
      </c>
      <c r="X160" s="260">
        <v>0</v>
      </c>
      <c r="Y160" s="261">
        <f t="shared" si="23"/>
        <v>2</v>
      </c>
      <c r="Z160" s="262">
        <f t="shared" si="6"/>
        <v>3</v>
      </c>
      <c r="AC160" s="337" t="s">
        <v>629</v>
      </c>
      <c r="AD160" s="124" t="s">
        <v>630</v>
      </c>
      <c r="AE160" s="238">
        <f t="shared" si="9"/>
        <v>0</v>
      </c>
      <c r="AF160" s="239" t="str">
        <f t="shared" si="10"/>
        <v/>
      </c>
      <c r="AH160" s="215"/>
      <c r="AI160" s="843" t="s">
        <v>631</v>
      </c>
      <c r="AJ160" s="844"/>
      <c r="AK160" s="844"/>
      <c r="AL160" s="844"/>
      <c r="AM160" s="844"/>
      <c r="AN160" s="454" t="s">
        <v>632</v>
      </c>
      <c r="AO160" s="224">
        <f t="shared" si="0"/>
        <v>0</v>
      </c>
      <c r="AP160" s="225"/>
      <c r="AQ160" s="215"/>
      <c r="AR160" s="890" t="s">
        <v>633</v>
      </c>
      <c r="AS160" s="891"/>
      <c r="AT160" s="891"/>
      <c r="AU160" s="891"/>
      <c r="AV160" s="891"/>
      <c r="AW160" s="455" t="s">
        <v>634</v>
      </c>
      <c r="AX160" s="224">
        <f t="shared" si="16"/>
        <v>0</v>
      </c>
      <c r="AY160" s="405"/>
      <c r="AZ160" s="215"/>
      <c r="BA160" s="335"/>
    </row>
    <row r="161" spans="1:53" ht="18.75" thickBot="1" x14ac:dyDescent="0.3">
      <c r="A161" s="857" t="s">
        <v>10</v>
      </c>
      <c r="B161" s="858"/>
      <c r="C161" s="859"/>
      <c r="D161" s="256"/>
      <c r="E161" s="257"/>
      <c r="F161" s="439" t="s">
        <v>51</v>
      </c>
      <c r="G161" s="860">
        <f t="shared" si="20"/>
        <v>0</v>
      </c>
      <c r="H161" s="861"/>
      <c r="I161" s="862"/>
      <c r="J161" s="259">
        <v>0</v>
      </c>
      <c r="K161" s="260">
        <v>0</v>
      </c>
      <c r="L161" s="261">
        <f t="shared" si="21"/>
        <v>0</v>
      </c>
      <c r="M161" s="231"/>
      <c r="N161" s="857" t="s">
        <v>10</v>
      </c>
      <c r="O161" s="858"/>
      <c r="P161" s="859"/>
      <c r="Q161" s="256"/>
      <c r="R161" s="257"/>
      <c r="S161" s="439" t="s">
        <v>51</v>
      </c>
      <c r="T161" s="863">
        <f t="shared" si="22"/>
        <v>2</v>
      </c>
      <c r="U161" s="863"/>
      <c r="V161" s="863"/>
      <c r="W161" s="259">
        <v>0</v>
      </c>
      <c r="X161" s="260">
        <v>0</v>
      </c>
      <c r="Y161" s="261">
        <f t="shared" si="23"/>
        <v>2</v>
      </c>
      <c r="Z161" s="262">
        <f t="shared" si="6"/>
        <v>2</v>
      </c>
      <c r="AC161" s="337" t="s">
        <v>635</v>
      </c>
      <c r="AD161" s="456" t="s">
        <v>636</v>
      </c>
      <c r="AE161" s="238">
        <f t="shared" si="9"/>
        <v>0</v>
      </c>
      <c r="AF161" s="239" t="str">
        <f t="shared" si="10"/>
        <v/>
      </c>
      <c r="AH161" s="215"/>
      <c r="AI161" s="843" t="s">
        <v>637</v>
      </c>
      <c r="AJ161" s="844"/>
      <c r="AK161" s="844"/>
      <c r="AL161" s="844"/>
      <c r="AM161" s="844"/>
      <c r="AN161" s="457" t="s">
        <v>638</v>
      </c>
      <c r="AO161" s="224">
        <f t="shared" si="0"/>
        <v>0</v>
      </c>
      <c r="AP161" s="225"/>
      <c r="AQ161" s="215"/>
      <c r="AR161" s="890" t="s">
        <v>639</v>
      </c>
      <c r="AS161" s="891"/>
      <c r="AT161" s="891"/>
      <c r="AU161" s="891"/>
      <c r="AV161" s="891"/>
      <c r="AW161" s="455" t="s">
        <v>640</v>
      </c>
      <c r="AX161" s="224">
        <f t="shared" si="16"/>
        <v>0</v>
      </c>
      <c r="AY161" s="405"/>
      <c r="AZ161" s="215"/>
      <c r="BA161" s="335"/>
    </row>
    <row r="162" spans="1:53" ht="19.5" thickBot="1" x14ac:dyDescent="0.3">
      <c r="A162" s="857" t="s">
        <v>42</v>
      </c>
      <c r="B162" s="858"/>
      <c r="C162" s="859"/>
      <c r="D162" s="256"/>
      <c r="E162" s="257"/>
      <c r="F162" s="458" t="s">
        <v>43</v>
      </c>
      <c r="G162" s="860">
        <f t="shared" si="20"/>
        <v>0</v>
      </c>
      <c r="H162" s="861"/>
      <c r="I162" s="862"/>
      <c r="J162" s="259">
        <v>0</v>
      </c>
      <c r="K162" s="260">
        <v>0</v>
      </c>
      <c r="L162" s="261">
        <f t="shared" si="21"/>
        <v>0</v>
      </c>
      <c r="M162" s="231"/>
      <c r="N162" s="857" t="s">
        <v>42</v>
      </c>
      <c r="O162" s="858"/>
      <c r="P162" s="859"/>
      <c r="Q162" s="256"/>
      <c r="R162" s="257"/>
      <c r="S162" s="458" t="s">
        <v>43</v>
      </c>
      <c r="T162" s="863">
        <f t="shared" si="22"/>
        <v>0</v>
      </c>
      <c r="U162" s="863"/>
      <c r="V162" s="863"/>
      <c r="W162" s="259">
        <v>0</v>
      </c>
      <c r="X162" s="260">
        <v>0</v>
      </c>
      <c r="Y162" s="261">
        <f t="shared" si="23"/>
        <v>0</v>
      </c>
      <c r="Z162" s="262">
        <f t="shared" si="6"/>
        <v>0</v>
      </c>
      <c r="AC162" s="337" t="s">
        <v>641</v>
      </c>
      <c r="AD162" s="456" t="s">
        <v>642</v>
      </c>
      <c r="AE162" s="238">
        <f t="shared" si="9"/>
        <v>0</v>
      </c>
      <c r="AF162" s="239" t="str">
        <f t="shared" si="10"/>
        <v/>
      </c>
      <c r="AH162" s="215"/>
      <c r="AI162" s="843" t="s">
        <v>643</v>
      </c>
      <c r="AJ162" s="844"/>
      <c r="AK162" s="844"/>
      <c r="AL162" s="844"/>
      <c r="AM162" s="844"/>
      <c r="AN162" s="459" t="s">
        <v>644</v>
      </c>
      <c r="AO162" s="224">
        <f t="shared" si="0"/>
        <v>0</v>
      </c>
      <c r="AP162" s="225"/>
      <c r="AQ162" s="215"/>
      <c r="AR162" s="890" t="s">
        <v>645</v>
      </c>
      <c r="AS162" s="891"/>
      <c r="AT162" s="891"/>
      <c r="AU162" s="891"/>
      <c r="AV162" s="891"/>
      <c r="AW162" s="460" t="s">
        <v>646</v>
      </c>
      <c r="AX162" s="224">
        <f t="shared" si="16"/>
        <v>0</v>
      </c>
      <c r="AY162" s="405"/>
      <c r="AZ162" s="215"/>
      <c r="BA162" s="335"/>
    </row>
    <row r="163" spans="1:53" ht="19.5" thickBot="1" x14ac:dyDescent="0.3">
      <c r="A163" s="857" t="s">
        <v>109</v>
      </c>
      <c r="B163" s="858"/>
      <c r="C163" s="859"/>
      <c r="D163" s="256" t="s">
        <v>2</v>
      </c>
      <c r="E163" s="257"/>
      <c r="F163" s="439" t="s">
        <v>108</v>
      </c>
      <c r="G163" s="860">
        <f t="shared" si="20"/>
        <v>0</v>
      </c>
      <c r="H163" s="861"/>
      <c r="I163" s="862"/>
      <c r="J163" s="259">
        <v>0</v>
      </c>
      <c r="K163" s="260">
        <v>0</v>
      </c>
      <c r="L163" s="261">
        <f t="shared" si="21"/>
        <v>0</v>
      </c>
      <c r="M163" s="231"/>
      <c r="N163" s="857" t="s">
        <v>109</v>
      </c>
      <c r="O163" s="858"/>
      <c r="P163" s="859"/>
      <c r="Q163" s="256" t="s">
        <v>2</v>
      </c>
      <c r="R163" s="257"/>
      <c r="S163" s="439" t="s">
        <v>108</v>
      </c>
      <c r="T163" s="863">
        <f t="shared" si="22"/>
        <v>0</v>
      </c>
      <c r="U163" s="863"/>
      <c r="V163" s="863"/>
      <c r="W163" s="259">
        <v>0</v>
      </c>
      <c r="X163" s="260">
        <v>0</v>
      </c>
      <c r="Y163" s="261">
        <f t="shared" si="23"/>
        <v>0</v>
      </c>
      <c r="Z163" s="262">
        <f t="shared" si="6"/>
        <v>0</v>
      </c>
      <c r="AC163" s="337" t="s">
        <v>647</v>
      </c>
      <c r="AD163" s="461" t="s">
        <v>648</v>
      </c>
      <c r="AE163" s="238">
        <f t="shared" si="9"/>
        <v>0</v>
      </c>
      <c r="AF163" s="239" t="str">
        <f t="shared" si="10"/>
        <v/>
      </c>
      <c r="AH163" s="215"/>
      <c r="AI163" s="843" t="s">
        <v>649</v>
      </c>
      <c r="AJ163" s="844"/>
      <c r="AK163" s="844"/>
      <c r="AL163" s="844"/>
      <c r="AM163" s="904"/>
      <c r="AN163" s="398" t="s">
        <v>650</v>
      </c>
      <c r="AO163" s="224">
        <f t="shared" ref="AO163:AO174" si="24">COUNTIF($A$1:$GO$76,AN163)</f>
        <v>0</v>
      </c>
      <c r="AP163" s="225"/>
      <c r="AQ163" s="215"/>
      <c r="AR163" s="890" t="s">
        <v>651</v>
      </c>
      <c r="AS163" s="891"/>
      <c r="AT163" s="891"/>
      <c r="AU163" s="891"/>
      <c r="AV163" s="891"/>
      <c r="AW163" s="462" t="s">
        <v>652</v>
      </c>
      <c r="AX163" s="224">
        <f t="shared" si="16"/>
        <v>0</v>
      </c>
      <c r="AY163" s="405"/>
      <c r="AZ163" s="215"/>
      <c r="BA163" s="335"/>
    </row>
    <row r="164" spans="1:53" ht="19.5" thickBot="1" x14ac:dyDescent="0.3">
      <c r="A164" s="857" t="s">
        <v>26</v>
      </c>
      <c r="B164" s="858"/>
      <c r="C164" s="859"/>
      <c r="D164" s="256"/>
      <c r="E164" s="257" t="s">
        <v>325</v>
      </c>
      <c r="F164" s="463" t="s">
        <v>4</v>
      </c>
      <c r="G164" s="860">
        <f t="shared" si="20"/>
        <v>2</v>
      </c>
      <c r="H164" s="861"/>
      <c r="I164" s="862"/>
      <c r="J164" s="259">
        <v>0</v>
      </c>
      <c r="K164" s="260">
        <v>0</v>
      </c>
      <c r="L164" s="261">
        <f t="shared" si="21"/>
        <v>2</v>
      </c>
      <c r="M164" s="231"/>
      <c r="N164" s="857" t="s">
        <v>26</v>
      </c>
      <c r="O164" s="858"/>
      <c r="P164" s="859"/>
      <c r="Q164" s="256"/>
      <c r="R164" s="257" t="s">
        <v>325</v>
      </c>
      <c r="S164" s="463" t="s">
        <v>4</v>
      </c>
      <c r="T164" s="863">
        <f t="shared" si="22"/>
        <v>2</v>
      </c>
      <c r="U164" s="863"/>
      <c r="V164" s="863"/>
      <c r="W164" s="259">
        <v>0</v>
      </c>
      <c r="X164" s="260">
        <v>0</v>
      </c>
      <c r="Y164" s="261">
        <f t="shared" si="23"/>
        <v>2</v>
      </c>
      <c r="Z164" s="262">
        <f t="shared" si="6"/>
        <v>4</v>
      </c>
      <c r="AC164" s="337" t="s">
        <v>653</v>
      </c>
      <c r="AD164" s="464" t="s">
        <v>654</v>
      </c>
      <c r="AE164" s="238">
        <f t="shared" si="9"/>
        <v>0</v>
      </c>
      <c r="AF164" s="239" t="str">
        <f t="shared" si="10"/>
        <v/>
      </c>
      <c r="AH164" s="215"/>
      <c r="AI164" s="843" t="s">
        <v>23</v>
      </c>
      <c r="AJ164" s="844"/>
      <c r="AK164" s="844"/>
      <c r="AL164" s="844"/>
      <c r="AM164" s="844"/>
      <c r="AN164" s="114" t="s">
        <v>134</v>
      </c>
      <c r="AO164" s="224">
        <f t="shared" si="24"/>
        <v>0</v>
      </c>
      <c r="AP164" s="225"/>
      <c r="AQ164" s="215"/>
      <c r="AR164" s="890" t="s">
        <v>655</v>
      </c>
      <c r="AS164" s="891"/>
      <c r="AT164" s="891"/>
      <c r="AU164" s="891"/>
      <c r="AV164" s="891"/>
      <c r="AW164" s="462" t="s">
        <v>656</v>
      </c>
      <c r="AX164" s="224">
        <f t="shared" si="16"/>
        <v>0</v>
      </c>
      <c r="AY164" s="405"/>
      <c r="AZ164" s="215"/>
      <c r="BA164" s="335"/>
    </row>
    <row r="165" spans="1:53" ht="18" x14ac:dyDescent="0.25">
      <c r="A165" s="857" t="s">
        <v>20</v>
      </c>
      <c r="B165" s="858"/>
      <c r="C165" s="859"/>
      <c r="D165" s="256"/>
      <c r="E165" s="257"/>
      <c r="F165" s="465" t="s">
        <v>2</v>
      </c>
      <c r="G165" s="860">
        <f t="shared" si="20"/>
        <v>0</v>
      </c>
      <c r="H165" s="861"/>
      <c r="I165" s="862"/>
      <c r="J165" s="259">
        <v>0</v>
      </c>
      <c r="K165" s="260">
        <v>0</v>
      </c>
      <c r="L165" s="261">
        <f t="shared" si="21"/>
        <v>0</v>
      </c>
      <c r="M165" s="231"/>
      <c r="N165" s="857" t="s">
        <v>20</v>
      </c>
      <c r="O165" s="858"/>
      <c r="P165" s="859"/>
      <c r="Q165" s="256"/>
      <c r="R165" s="257"/>
      <c r="S165" s="465" t="s">
        <v>2</v>
      </c>
      <c r="T165" s="863">
        <f t="shared" si="22"/>
        <v>1</v>
      </c>
      <c r="U165" s="863"/>
      <c r="V165" s="863"/>
      <c r="W165" s="259">
        <v>0</v>
      </c>
      <c r="X165" s="260">
        <v>0</v>
      </c>
      <c r="Y165" s="261">
        <f t="shared" si="23"/>
        <v>1</v>
      </c>
      <c r="Z165" s="262">
        <f t="shared" si="6"/>
        <v>1</v>
      </c>
      <c r="AC165" s="337" t="s">
        <v>657</v>
      </c>
      <c r="AD165" s="466" t="s">
        <v>658</v>
      </c>
      <c r="AE165" s="238">
        <f t="shared" si="9"/>
        <v>0</v>
      </c>
      <c r="AF165" s="239" t="str">
        <f t="shared" si="10"/>
        <v/>
      </c>
      <c r="AH165" s="215"/>
      <c r="AI165" s="843" t="s">
        <v>659</v>
      </c>
      <c r="AJ165" s="844"/>
      <c r="AK165" s="844"/>
      <c r="AL165" s="844"/>
      <c r="AM165" s="844"/>
      <c r="AN165" s="467" t="s">
        <v>660</v>
      </c>
      <c r="AO165" s="224">
        <f t="shared" si="24"/>
        <v>0</v>
      </c>
      <c r="AP165" s="225"/>
      <c r="AQ165" s="215"/>
      <c r="AR165" s="890" t="s">
        <v>661</v>
      </c>
      <c r="AS165" s="891"/>
      <c r="AT165" s="891"/>
      <c r="AU165" s="891"/>
      <c r="AV165" s="891"/>
      <c r="AW165" s="468" t="s">
        <v>662</v>
      </c>
      <c r="AX165" s="224">
        <f t="shared" si="16"/>
        <v>0</v>
      </c>
      <c r="AY165" s="405"/>
      <c r="AZ165" s="215"/>
      <c r="BA165" s="335"/>
    </row>
    <row r="166" spans="1:53" ht="18" x14ac:dyDescent="0.25">
      <c r="A166" s="857" t="s">
        <v>44</v>
      </c>
      <c r="B166" s="858"/>
      <c r="C166" s="859"/>
      <c r="D166" s="256"/>
      <c r="E166" s="257"/>
      <c r="F166" s="469" t="s">
        <v>45</v>
      </c>
      <c r="G166" s="860">
        <f t="shared" si="20"/>
        <v>0</v>
      </c>
      <c r="H166" s="861"/>
      <c r="I166" s="862"/>
      <c r="J166" s="259">
        <v>0</v>
      </c>
      <c r="K166" s="260">
        <v>0</v>
      </c>
      <c r="L166" s="261">
        <f t="shared" si="21"/>
        <v>0</v>
      </c>
      <c r="M166" s="231"/>
      <c r="N166" s="857" t="s">
        <v>44</v>
      </c>
      <c r="O166" s="858"/>
      <c r="P166" s="859"/>
      <c r="Q166" s="256"/>
      <c r="R166" s="257"/>
      <c r="S166" s="469" t="s">
        <v>45</v>
      </c>
      <c r="T166" s="863">
        <f t="shared" si="22"/>
        <v>0</v>
      </c>
      <c r="U166" s="863"/>
      <c r="V166" s="863"/>
      <c r="W166" s="259">
        <v>0</v>
      </c>
      <c r="X166" s="260">
        <v>0</v>
      </c>
      <c r="Y166" s="261">
        <f t="shared" si="23"/>
        <v>0</v>
      </c>
      <c r="Z166" s="262">
        <f t="shared" si="6"/>
        <v>0</v>
      </c>
      <c r="AC166" s="337" t="s">
        <v>190</v>
      </c>
      <c r="AD166" s="470" t="s">
        <v>190</v>
      </c>
      <c r="AE166" s="238">
        <f t="shared" si="9"/>
        <v>30</v>
      </c>
      <c r="AF166" s="239" t="str">
        <f t="shared" si="10"/>
        <v/>
      </c>
      <c r="AH166" s="215"/>
      <c r="AI166" s="843" t="s">
        <v>663</v>
      </c>
      <c r="AJ166" s="844"/>
      <c r="AK166" s="844"/>
      <c r="AL166" s="844"/>
      <c r="AM166" s="844"/>
      <c r="AN166" s="471" t="s">
        <v>664</v>
      </c>
      <c r="AO166" s="224">
        <f t="shared" si="24"/>
        <v>0</v>
      </c>
      <c r="AP166" s="225"/>
      <c r="AQ166" s="215"/>
      <c r="AR166" s="890" t="s">
        <v>665</v>
      </c>
      <c r="AS166" s="891"/>
      <c r="AT166" s="891"/>
      <c r="AU166" s="891"/>
      <c r="AV166" s="891"/>
      <c r="AW166" s="407" t="s">
        <v>666</v>
      </c>
      <c r="AX166" s="224">
        <f t="shared" si="16"/>
        <v>0</v>
      </c>
      <c r="AY166" s="405"/>
      <c r="AZ166" s="215"/>
      <c r="BA166" s="335"/>
    </row>
    <row r="167" spans="1:53" ht="18.75" x14ac:dyDescent="0.25">
      <c r="A167" s="857" t="s">
        <v>21</v>
      </c>
      <c r="B167" s="858"/>
      <c r="C167" s="859"/>
      <c r="D167" s="256"/>
      <c r="E167" s="257"/>
      <c r="F167" s="472" t="s">
        <v>3</v>
      </c>
      <c r="G167" s="860">
        <f t="shared" si="20"/>
        <v>0</v>
      </c>
      <c r="H167" s="861"/>
      <c r="I167" s="862"/>
      <c r="J167" s="259">
        <v>0</v>
      </c>
      <c r="K167" s="260">
        <v>0</v>
      </c>
      <c r="L167" s="261">
        <f t="shared" si="21"/>
        <v>0</v>
      </c>
      <c r="M167" s="231"/>
      <c r="N167" s="857" t="s">
        <v>21</v>
      </c>
      <c r="O167" s="858"/>
      <c r="P167" s="859"/>
      <c r="Q167" s="256"/>
      <c r="R167" s="257"/>
      <c r="S167" s="472" t="s">
        <v>3</v>
      </c>
      <c r="T167" s="863">
        <f t="shared" si="22"/>
        <v>0</v>
      </c>
      <c r="U167" s="863"/>
      <c r="V167" s="863"/>
      <c r="W167" s="259">
        <v>0</v>
      </c>
      <c r="X167" s="260">
        <v>0</v>
      </c>
      <c r="Y167" s="261">
        <f t="shared" si="23"/>
        <v>0</v>
      </c>
      <c r="Z167" s="262">
        <f t="shared" si="6"/>
        <v>0</v>
      </c>
      <c r="AC167" s="337" t="s">
        <v>667</v>
      </c>
      <c r="AD167" s="473" t="s">
        <v>668</v>
      </c>
      <c r="AE167" s="238">
        <f t="shared" si="9"/>
        <v>0</v>
      </c>
      <c r="AF167" s="239" t="str">
        <f t="shared" si="10"/>
        <v/>
      </c>
      <c r="AH167" s="215"/>
      <c r="AI167" s="843" t="s">
        <v>669</v>
      </c>
      <c r="AJ167" s="844"/>
      <c r="AK167" s="844"/>
      <c r="AL167" s="844"/>
      <c r="AM167" s="844"/>
      <c r="AN167" s="114" t="s">
        <v>670</v>
      </c>
      <c r="AO167" s="224">
        <f t="shared" si="24"/>
        <v>0</v>
      </c>
      <c r="AP167" s="225"/>
      <c r="AQ167" s="215"/>
      <c r="AR167" s="890" t="s">
        <v>671</v>
      </c>
      <c r="AS167" s="891"/>
      <c r="AT167" s="891"/>
      <c r="AU167" s="891"/>
      <c r="AV167" s="891"/>
      <c r="AW167" s="241" t="s">
        <v>672</v>
      </c>
      <c r="AX167" s="224">
        <f t="shared" si="16"/>
        <v>0</v>
      </c>
      <c r="AY167" s="405"/>
      <c r="AZ167" s="215"/>
      <c r="BA167" s="335"/>
    </row>
    <row r="168" spans="1:53" ht="19.5" thickBot="1" x14ac:dyDescent="0.3">
      <c r="A168" s="857" t="s">
        <v>113</v>
      </c>
      <c r="B168" s="858"/>
      <c r="C168" s="859"/>
      <c r="D168" s="256" t="s">
        <v>3</v>
      </c>
      <c r="E168" s="257" t="s">
        <v>325</v>
      </c>
      <c r="F168" s="474" t="s">
        <v>112</v>
      </c>
      <c r="G168" s="860">
        <f t="shared" si="20"/>
        <v>0</v>
      </c>
      <c r="H168" s="861"/>
      <c r="I168" s="862"/>
      <c r="J168" s="259">
        <v>0</v>
      </c>
      <c r="K168" s="260">
        <v>0</v>
      </c>
      <c r="L168" s="261">
        <f t="shared" si="21"/>
        <v>0</v>
      </c>
      <c r="M168" s="231"/>
      <c r="N168" s="857" t="s">
        <v>113</v>
      </c>
      <c r="O168" s="858"/>
      <c r="P168" s="859"/>
      <c r="Q168" s="256" t="s">
        <v>3</v>
      </c>
      <c r="R168" s="257" t="s">
        <v>325</v>
      </c>
      <c r="S168" s="474" t="s">
        <v>112</v>
      </c>
      <c r="T168" s="863">
        <f t="shared" si="22"/>
        <v>0</v>
      </c>
      <c r="U168" s="863"/>
      <c r="V168" s="863"/>
      <c r="W168" s="259">
        <v>0</v>
      </c>
      <c r="X168" s="260">
        <v>0</v>
      </c>
      <c r="Y168" s="261">
        <f t="shared" si="23"/>
        <v>0</v>
      </c>
      <c r="Z168" s="262">
        <f t="shared" si="6"/>
        <v>0</v>
      </c>
      <c r="AC168" s="337" t="s">
        <v>673</v>
      </c>
      <c r="AD168" s="475" t="s">
        <v>674</v>
      </c>
      <c r="AE168" s="238">
        <f t="shared" si="9"/>
        <v>0</v>
      </c>
      <c r="AF168" s="239" t="str">
        <f t="shared" si="10"/>
        <v/>
      </c>
      <c r="AH168" s="215"/>
      <c r="AI168" s="843" t="s">
        <v>675</v>
      </c>
      <c r="AJ168" s="844"/>
      <c r="AK168" s="844"/>
      <c r="AL168" s="844"/>
      <c r="AM168" s="844"/>
      <c r="AN168" s="476" t="s">
        <v>676</v>
      </c>
      <c r="AO168" s="224">
        <f t="shared" si="24"/>
        <v>0</v>
      </c>
      <c r="AP168" s="225"/>
      <c r="AQ168" s="215"/>
      <c r="AR168" s="890" t="s">
        <v>677</v>
      </c>
      <c r="AS168" s="891"/>
      <c r="AT168" s="891"/>
      <c r="AU168" s="891"/>
      <c r="AV168" s="891"/>
      <c r="AW168" s="241" t="s">
        <v>678</v>
      </c>
      <c r="AX168" s="224">
        <f t="shared" si="16"/>
        <v>0</v>
      </c>
      <c r="AY168" s="405"/>
      <c r="AZ168" s="215"/>
      <c r="BA168" s="335"/>
    </row>
    <row r="169" spans="1:53" ht="18" x14ac:dyDescent="0.25">
      <c r="A169" s="892" t="s">
        <v>258</v>
      </c>
      <c r="B169" s="893"/>
      <c r="C169" s="893"/>
      <c r="D169" s="893"/>
      <c r="E169" s="893"/>
      <c r="F169" s="414"/>
      <c r="G169" s="869">
        <f>SUM(G152:I168)</f>
        <v>7</v>
      </c>
      <c r="H169" s="869"/>
      <c r="I169" s="869"/>
      <c r="J169" s="340">
        <f>SUM(J152:J168)</f>
        <v>0</v>
      </c>
      <c r="K169" s="341">
        <f>SUM(K152:K168)</f>
        <v>0</v>
      </c>
      <c r="L169" s="261">
        <f>SUM(L152:L168)</f>
        <v>7</v>
      </c>
      <c r="M169" s="231"/>
      <c r="N169" s="867" t="s">
        <v>258</v>
      </c>
      <c r="O169" s="868"/>
      <c r="P169" s="868"/>
      <c r="Q169" s="868"/>
      <c r="R169" s="868"/>
      <c r="S169" s="415"/>
      <c r="T169" s="894">
        <f>SUM(T152:V168)</f>
        <v>15</v>
      </c>
      <c r="U169" s="894"/>
      <c r="V169" s="894"/>
      <c r="W169" s="340">
        <f>SUM(W152:W168)</f>
        <v>0</v>
      </c>
      <c r="X169" s="341">
        <f>SUM(X152:X168)</f>
        <v>0</v>
      </c>
      <c r="Y169" s="261">
        <f>SUM(Y152:Y168)</f>
        <v>15</v>
      </c>
      <c r="Z169" s="262">
        <f t="shared" si="6"/>
        <v>22</v>
      </c>
      <c r="AC169" s="310" t="s">
        <v>679</v>
      </c>
      <c r="AD169" s="328" t="s">
        <v>680</v>
      </c>
      <c r="AE169" s="238">
        <f t="shared" si="9"/>
        <v>0</v>
      </c>
      <c r="AF169" s="239" t="str">
        <f t="shared" si="10"/>
        <v/>
      </c>
      <c r="AH169" s="215"/>
      <c r="AI169" s="843" t="s">
        <v>681</v>
      </c>
      <c r="AJ169" s="844"/>
      <c r="AK169" s="844"/>
      <c r="AL169" s="844"/>
      <c r="AM169" s="844"/>
      <c r="AN169" s="114" t="s">
        <v>682</v>
      </c>
      <c r="AO169" s="224">
        <f t="shared" si="24"/>
        <v>0</v>
      </c>
      <c r="AP169" s="225"/>
      <c r="AQ169" s="215"/>
      <c r="AR169" s="890" t="s">
        <v>683</v>
      </c>
      <c r="AS169" s="891"/>
      <c r="AT169" s="891"/>
      <c r="AU169" s="891"/>
      <c r="AV169" s="891"/>
      <c r="AW169" s="305" t="s">
        <v>684</v>
      </c>
      <c r="AX169" s="224">
        <f t="shared" si="16"/>
        <v>0</v>
      </c>
      <c r="AY169" s="405"/>
      <c r="AZ169" s="215"/>
      <c r="BA169" s="335"/>
    </row>
    <row r="170" spans="1:53" ht="18" x14ac:dyDescent="0.25">
      <c r="A170" s="477"/>
      <c r="B170" s="477"/>
      <c r="C170" s="477"/>
      <c r="D170" s="477"/>
      <c r="E170" s="477"/>
      <c r="F170" s="478"/>
      <c r="J170" s="479"/>
      <c r="K170" s="479"/>
      <c r="M170" s="174"/>
      <c r="N170" s="477"/>
      <c r="O170" s="477"/>
      <c r="P170" s="477"/>
      <c r="Q170" s="477"/>
      <c r="R170" s="477"/>
      <c r="S170" s="478"/>
      <c r="W170" s="479"/>
      <c r="X170" s="479"/>
      <c r="AC170" s="337" t="s">
        <v>685</v>
      </c>
      <c r="AD170" s="328" t="s">
        <v>686</v>
      </c>
      <c r="AE170" s="238">
        <f t="shared" si="9"/>
        <v>0</v>
      </c>
      <c r="AF170" s="239" t="str">
        <f t="shared" si="10"/>
        <v/>
      </c>
      <c r="AH170" s="215"/>
      <c r="AI170" s="843" t="s">
        <v>687</v>
      </c>
      <c r="AJ170" s="844"/>
      <c r="AK170" s="844"/>
      <c r="AL170" s="844"/>
      <c r="AM170" s="844"/>
      <c r="AN170" s="467" t="s">
        <v>688</v>
      </c>
      <c r="AO170" s="224">
        <f t="shared" si="24"/>
        <v>0</v>
      </c>
      <c r="AP170" s="225"/>
      <c r="AQ170" s="215"/>
      <c r="AR170" s="890" t="s">
        <v>689</v>
      </c>
      <c r="AS170" s="891"/>
      <c r="AT170" s="891"/>
      <c r="AU170" s="891"/>
      <c r="AV170" s="891"/>
      <c r="AW170" s="480" t="s">
        <v>690</v>
      </c>
      <c r="AX170" s="224">
        <f t="shared" si="16"/>
        <v>0</v>
      </c>
      <c r="AY170" s="405"/>
      <c r="AZ170" s="215"/>
      <c r="BA170" s="335"/>
    </row>
    <row r="171" spans="1:53" ht="18.75" x14ac:dyDescent="0.25">
      <c r="A171" s="477"/>
      <c r="B171" s="477"/>
      <c r="C171" s="477"/>
      <c r="D171" s="477"/>
      <c r="E171" s="477"/>
      <c r="F171" s="478"/>
      <c r="J171" s="479"/>
      <c r="K171" s="479"/>
      <c r="M171" s="174"/>
      <c r="N171" s="477"/>
      <c r="O171" s="477"/>
      <c r="P171" s="477"/>
      <c r="Q171" s="477"/>
      <c r="R171" s="477"/>
      <c r="S171" s="478"/>
      <c r="W171" s="479"/>
      <c r="X171" s="479"/>
      <c r="AC171" s="337" t="s">
        <v>691</v>
      </c>
      <c r="AD171" s="328" t="s">
        <v>692</v>
      </c>
      <c r="AE171" s="238">
        <f t="shared" si="9"/>
        <v>0</v>
      </c>
      <c r="AF171" s="239" t="str">
        <f t="shared" si="10"/>
        <v/>
      </c>
      <c r="AH171" s="215"/>
      <c r="AI171" s="843" t="s">
        <v>693</v>
      </c>
      <c r="AJ171" s="844"/>
      <c r="AK171" s="844"/>
      <c r="AL171" s="844"/>
      <c r="AM171" s="844"/>
      <c r="AN171" s="471" t="s">
        <v>694</v>
      </c>
      <c r="AO171" s="224">
        <f t="shared" si="24"/>
        <v>0</v>
      </c>
      <c r="AP171" s="225"/>
      <c r="AQ171" s="215"/>
      <c r="AR171" s="890" t="s">
        <v>695</v>
      </c>
      <c r="AS171" s="891"/>
      <c r="AT171" s="891"/>
      <c r="AU171" s="891"/>
      <c r="AV171" s="891"/>
      <c r="AW171" s="480" t="s">
        <v>696</v>
      </c>
      <c r="AX171" s="224">
        <f t="shared" si="16"/>
        <v>0</v>
      </c>
      <c r="AY171" s="424"/>
      <c r="AZ171" s="215"/>
      <c r="BA171" s="335"/>
    </row>
    <row r="172" spans="1:53" ht="18" x14ac:dyDescent="0.25">
      <c r="A172" s="905" t="s">
        <v>697</v>
      </c>
      <c r="B172" s="906"/>
      <c r="C172" s="906"/>
      <c r="D172" s="906"/>
      <c r="E172" s="907"/>
      <c r="F172" s="481"/>
      <c r="G172" s="880"/>
      <c r="H172" s="880"/>
      <c r="I172" s="881"/>
      <c r="J172" s="482" t="s">
        <v>310</v>
      </c>
      <c r="K172" s="483" t="s">
        <v>311</v>
      </c>
      <c r="L172" s="482" t="s">
        <v>30</v>
      </c>
      <c r="M172" s="174"/>
      <c r="N172" s="905" t="s">
        <v>697</v>
      </c>
      <c r="O172" s="906"/>
      <c r="P172" s="906"/>
      <c r="Q172" s="906"/>
      <c r="R172" s="907"/>
      <c r="S172" s="481"/>
      <c r="T172" s="880"/>
      <c r="U172" s="880"/>
      <c r="V172" s="881"/>
      <c r="W172" s="482" t="s">
        <v>310</v>
      </c>
      <c r="X172" s="483" t="s">
        <v>311</v>
      </c>
      <c r="Y172" s="482" t="s">
        <v>30</v>
      </c>
      <c r="AC172" s="337" t="s">
        <v>698</v>
      </c>
      <c r="AD172" s="484" t="s">
        <v>699</v>
      </c>
      <c r="AE172" s="238">
        <f t="shared" si="9"/>
        <v>0</v>
      </c>
      <c r="AF172" s="239" t="str">
        <f t="shared" si="10"/>
        <v/>
      </c>
      <c r="AH172" s="215"/>
      <c r="AI172" s="843" t="s">
        <v>700</v>
      </c>
      <c r="AJ172" s="844"/>
      <c r="AK172" s="844"/>
      <c r="AL172" s="844"/>
      <c r="AM172" s="844"/>
      <c r="AN172" s="485" t="s">
        <v>701</v>
      </c>
      <c r="AO172" s="224">
        <f t="shared" si="24"/>
        <v>0</v>
      </c>
      <c r="AP172" s="225"/>
      <c r="AQ172" s="215"/>
      <c r="AR172" s="890" t="s">
        <v>702</v>
      </c>
      <c r="AS172" s="891"/>
      <c r="AT172" s="891"/>
      <c r="AU172" s="891"/>
      <c r="AV172" s="891"/>
      <c r="AW172" s="480" t="s">
        <v>703</v>
      </c>
      <c r="AX172" s="224">
        <f t="shared" si="16"/>
        <v>0</v>
      </c>
      <c r="AY172" s="424"/>
      <c r="AZ172" s="215"/>
      <c r="BA172" s="218"/>
    </row>
    <row r="173" spans="1:53" ht="18.75" x14ac:dyDescent="0.25">
      <c r="A173" s="857" t="s">
        <v>59</v>
      </c>
      <c r="B173" s="858"/>
      <c r="C173" s="859"/>
      <c r="D173" s="908"/>
      <c r="E173" s="909"/>
      <c r="F173" s="13" t="s">
        <v>58</v>
      </c>
      <c r="G173" s="860">
        <f>COUNTIF($AO$2:$CA$42,F173)</f>
        <v>3</v>
      </c>
      <c r="H173" s="861"/>
      <c r="I173" s="862"/>
      <c r="J173" s="259">
        <v>0</v>
      </c>
      <c r="K173" s="260">
        <v>0</v>
      </c>
      <c r="L173" s="261">
        <f t="shared" ref="L173:L176" si="25">G173-K173-J173</f>
        <v>3</v>
      </c>
      <c r="M173" s="174"/>
      <c r="N173" s="857" t="s">
        <v>59</v>
      </c>
      <c r="O173" s="858"/>
      <c r="P173" s="859"/>
      <c r="Q173" s="908"/>
      <c r="R173" s="909"/>
      <c r="S173" s="13" t="s">
        <v>58</v>
      </c>
      <c r="T173" s="863">
        <f>COUNTIF($A$2:$AN$70,S173)</f>
        <v>0</v>
      </c>
      <c r="U173" s="863"/>
      <c r="V173" s="863"/>
      <c r="W173" s="259">
        <v>0</v>
      </c>
      <c r="X173" s="260">
        <v>0</v>
      </c>
      <c r="Y173" s="261">
        <f t="shared" ref="Y173:Y176" si="26">T173-X173-W173</f>
        <v>0</v>
      </c>
      <c r="Z173" s="262">
        <f t="shared" ref="Z173:Z177" si="27">T173+G173</f>
        <v>3</v>
      </c>
      <c r="AC173" s="337" t="s">
        <v>704</v>
      </c>
      <c r="AD173" s="486" t="s">
        <v>704</v>
      </c>
      <c r="AE173" s="238">
        <f t="shared" si="9"/>
        <v>0</v>
      </c>
      <c r="AF173" s="239" t="str">
        <f t="shared" si="10"/>
        <v/>
      </c>
      <c r="AH173" s="215"/>
      <c r="AI173" s="843" t="s">
        <v>705</v>
      </c>
      <c r="AJ173" s="844"/>
      <c r="AK173" s="844"/>
      <c r="AL173" s="844"/>
      <c r="AM173" s="844"/>
      <c r="AN173" s="487" t="s">
        <v>706</v>
      </c>
      <c r="AO173" s="224">
        <f t="shared" si="24"/>
        <v>0</v>
      </c>
      <c r="AP173" s="225"/>
      <c r="AQ173" s="215"/>
      <c r="AR173" s="890" t="s">
        <v>707</v>
      </c>
      <c r="AS173" s="891"/>
      <c r="AT173" s="891"/>
      <c r="AU173" s="891"/>
      <c r="AV173" s="891"/>
      <c r="AW173" s="488" t="s">
        <v>708</v>
      </c>
      <c r="AX173" s="224">
        <f t="shared" si="16"/>
        <v>0</v>
      </c>
      <c r="AY173" s="424"/>
      <c r="BA173" s="218"/>
    </row>
    <row r="174" spans="1:53" ht="18" x14ac:dyDescent="0.25">
      <c r="A174" s="857" t="s">
        <v>56</v>
      </c>
      <c r="B174" s="858"/>
      <c r="C174" s="859"/>
      <c r="D174" s="908"/>
      <c r="E174" s="909"/>
      <c r="F174" s="14" t="s">
        <v>57</v>
      </c>
      <c r="G174" s="860">
        <f>COUNTIF($AO$2:$CA$42,F174)</f>
        <v>3</v>
      </c>
      <c r="H174" s="861"/>
      <c r="I174" s="862"/>
      <c r="J174" s="259">
        <v>0</v>
      </c>
      <c r="K174" s="260">
        <v>0</v>
      </c>
      <c r="L174" s="261">
        <f t="shared" si="25"/>
        <v>3</v>
      </c>
      <c r="M174" s="174"/>
      <c r="N174" s="857" t="s">
        <v>56</v>
      </c>
      <c r="O174" s="858"/>
      <c r="P174" s="859"/>
      <c r="Q174" s="908"/>
      <c r="R174" s="909"/>
      <c r="S174" s="14" t="s">
        <v>57</v>
      </c>
      <c r="T174" s="863">
        <f>COUNTIF($A$2:$AN$70,S174)</f>
        <v>0</v>
      </c>
      <c r="U174" s="863"/>
      <c r="V174" s="863"/>
      <c r="W174" s="259">
        <v>0</v>
      </c>
      <c r="X174" s="260">
        <v>0</v>
      </c>
      <c r="Y174" s="261">
        <f t="shared" si="26"/>
        <v>0</v>
      </c>
      <c r="Z174" s="262">
        <f t="shared" si="27"/>
        <v>3</v>
      </c>
      <c r="AC174" s="337" t="s">
        <v>709</v>
      </c>
      <c r="AD174" s="109" t="s">
        <v>209</v>
      </c>
      <c r="AE174" s="238">
        <f t="shared" si="9"/>
        <v>10</v>
      </c>
      <c r="AF174" s="239" t="str">
        <f t="shared" si="10"/>
        <v/>
      </c>
      <c r="AH174" s="215"/>
      <c r="AI174" s="843" t="s">
        <v>710</v>
      </c>
      <c r="AJ174" s="844"/>
      <c r="AK174" s="844"/>
      <c r="AL174" s="844"/>
      <c r="AM174" s="844"/>
      <c r="AN174" s="489" t="s">
        <v>711</v>
      </c>
      <c r="AO174" s="224">
        <f t="shared" si="24"/>
        <v>0</v>
      </c>
      <c r="AP174" s="225"/>
      <c r="AQ174" s="215"/>
      <c r="AR174" s="890" t="s">
        <v>712</v>
      </c>
      <c r="AS174" s="891"/>
      <c r="AT174" s="891"/>
      <c r="AU174" s="891"/>
      <c r="AV174" s="891"/>
      <c r="AW174" s="490" t="s">
        <v>713</v>
      </c>
      <c r="AX174" s="224">
        <f t="shared" si="16"/>
        <v>0</v>
      </c>
      <c r="AY174" s="424"/>
      <c r="BA174" s="218"/>
    </row>
    <row r="175" spans="1:53" ht="19.5" thickBot="1" x14ac:dyDescent="0.3">
      <c r="A175" s="857" t="s">
        <v>54</v>
      </c>
      <c r="B175" s="858"/>
      <c r="C175" s="859"/>
      <c r="D175" s="908"/>
      <c r="E175" s="909"/>
      <c r="F175" s="15" t="s">
        <v>55</v>
      </c>
      <c r="G175" s="860">
        <f>COUNTIF($AO$2:$CA$42,F175)</f>
        <v>0</v>
      </c>
      <c r="H175" s="861"/>
      <c r="I175" s="862"/>
      <c r="J175" s="259">
        <v>0</v>
      </c>
      <c r="K175" s="260">
        <v>0</v>
      </c>
      <c r="L175" s="261">
        <f t="shared" si="25"/>
        <v>0</v>
      </c>
      <c r="M175" s="174"/>
      <c r="N175" s="857" t="s">
        <v>54</v>
      </c>
      <c r="O175" s="858"/>
      <c r="P175" s="859"/>
      <c r="Q175" s="908"/>
      <c r="R175" s="909"/>
      <c r="S175" s="15" t="s">
        <v>55</v>
      </c>
      <c r="T175" s="863">
        <f>COUNTIF($A$2:$AN$70,S175)</f>
        <v>0</v>
      </c>
      <c r="U175" s="863"/>
      <c r="V175" s="863"/>
      <c r="W175" s="259">
        <v>0</v>
      </c>
      <c r="X175" s="260">
        <v>0</v>
      </c>
      <c r="Y175" s="261">
        <f t="shared" si="26"/>
        <v>0</v>
      </c>
      <c r="Z175" s="262">
        <f t="shared" si="27"/>
        <v>0</v>
      </c>
      <c r="AC175" s="337" t="s">
        <v>714</v>
      </c>
      <c r="AD175" s="491" t="s">
        <v>715</v>
      </c>
      <c r="AE175" s="238">
        <f t="shared" si="9"/>
        <v>0</v>
      </c>
      <c r="AF175" s="239" t="str">
        <f t="shared" si="10"/>
        <v/>
      </c>
      <c r="AH175" s="215"/>
      <c r="AI175" s="910" t="s">
        <v>716</v>
      </c>
      <c r="AJ175" s="886"/>
      <c r="AK175" s="886"/>
      <c r="AL175" s="886"/>
      <c r="AM175" s="887"/>
      <c r="AN175" s="492"/>
      <c r="AO175" s="395">
        <f>SUM(AO99:AO173)</f>
        <v>20</v>
      </c>
      <c r="AQ175" s="215"/>
      <c r="AR175" s="890" t="s">
        <v>717</v>
      </c>
      <c r="AS175" s="891"/>
      <c r="AT175" s="891"/>
      <c r="AU175" s="891"/>
      <c r="AV175" s="891"/>
      <c r="AW175" s="428" t="s">
        <v>718</v>
      </c>
      <c r="AX175" s="224">
        <f t="shared" si="16"/>
        <v>0</v>
      </c>
      <c r="AY175" s="424"/>
      <c r="BA175" s="218"/>
    </row>
    <row r="176" spans="1:53" ht="19.5" thickBot="1" x14ac:dyDescent="0.35">
      <c r="A176" s="857" t="s">
        <v>52</v>
      </c>
      <c r="B176" s="858"/>
      <c r="C176" s="859"/>
      <c r="D176" s="908"/>
      <c r="E176" s="909"/>
      <c r="F176" s="16" t="s">
        <v>53</v>
      </c>
      <c r="G176" s="860">
        <f>COUNTIF($AO$2:$CA$42,F176)</f>
        <v>0</v>
      </c>
      <c r="H176" s="861"/>
      <c r="I176" s="862"/>
      <c r="J176" s="259">
        <v>0</v>
      </c>
      <c r="K176" s="260">
        <v>0</v>
      </c>
      <c r="L176" s="261">
        <f t="shared" si="25"/>
        <v>0</v>
      </c>
      <c r="M176" s="174"/>
      <c r="N176" s="857" t="s">
        <v>52</v>
      </c>
      <c r="O176" s="858"/>
      <c r="P176" s="859"/>
      <c r="Q176" s="908"/>
      <c r="R176" s="909"/>
      <c r="S176" s="16" t="s">
        <v>53</v>
      </c>
      <c r="T176" s="863">
        <f>COUNTIF($A$2:$AN$70,S176)</f>
        <v>0</v>
      </c>
      <c r="U176" s="863"/>
      <c r="V176" s="863"/>
      <c r="W176" s="259">
        <v>0</v>
      </c>
      <c r="X176" s="260">
        <v>0</v>
      </c>
      <c r="Y176" s="261">
        <f t="shared" si="26"/>
        <v>0</v>
      </c>
      <c r="Z176" s="262">
        <f t="shared" si="27"/>
        <v>0</v>
      </c>
      <c r="AC176" s="337" t="s">
        <v>719</v>
      </c>
      <c r="AD176" s="67" t="s">
        <v>158</v>
      </c>
      <c r="AE176" s="238">
        <f t="shared" si="9"/>
        <v>14</v>
      </c>
      <c r="AF176" s="239" t="str">
        <f t="shared" si="10"/>
        <v/>
      </c>
      <c r="AH176" s="215"/>
      <c r="AI176" s="911" t="s">
        <v>720</v>
      </c>
      <c r="AJ176" s="912"/>
      <c r="AK176" s="912"/>
      <c r="AL176" s="912"/>
      <c r="AM176" s="912"/>
      <c r="AN176" s="493" t="s">
        <v>721</v>
      </c>
      <c r="AO176" s="224">
        <f>COUNTIF($P$1:$Q$1,"O-FUT")</f>
        <v>0</v>
      </c>
      <c r="AQ176" s="215"/>
      <c r="AR176" s="890" t="s">
        <v>722</v>
      </c>
      <c r="AS176" s="891"/>
      <c r="AT176" s="891"/>
      <c r="AU176" s="891"/>
      <c r="AV176" s="891"/>
      <c r="AW176" s="364" t="s">
        <v>723</v>
      </c>
      <c r="AX176" s="224">
        <f t="shared" si="16"/>
        <v>0</v>
      </c>
      <c r="AY176" s="424"/>
      <c r="BA176" s="218"/>
    </row>
    <row r="177" spans="1:58" ht="18.75" x14ac:dyDescent="0.25">
      <c r="A177" s="916" t="s">
        <v>724</v>
      </c>
      <c r="B177" s="916"/>
      <c r="C177" s="916"/>
      <c r="D177" s="916"/>
      <c r="E177" s="916"/>
      <c r="F177" s="478"/>
      <c r="G177" s="917">
        <f>SUM(G173:I176)</f>
        <v>6</v>
      </c>
      <c r="H177" s="917"/>
      <c r="I177" s="917"/>
      <c r="J177" s="494">
        <f t="shared" ref="J177:L177" si="28">SUM(J173:J176)</f>
        <v>0</v>
      </c>
      <c r="K177" s="495">
        <f t="shared" si="28"/>
        <v>0</v>
      </c>
      <c r="L177" s="496">
        <f t="shared" si="28"/>
        <v>6</v>
      </c>
      <c r="M177" s="174"/>
      <c r="N177" s="916" t="s">
        <v>724</v>
      </c>
      <c r="O177" s="916"/>
      <c r="P177" s="916"/>
      <c r="Q177" s="916"/>
      <c r="R177" s="916"/>
      <c r="S177" s="478"/>
      <c r="T177" s="917">
        <f>SUM(T173:V176)</f>
        <v>0</v>
      </c>
      <c r="U177" s="917"/>
      <c r="V177" s="917"/>
      <c r="W177" s="494">
        <f t="shared" ref="W177:Y177" si="29">SUM(W173:W176)</f>
        <v>0</v>
      </c>
      <c r="X177" s="495">
        <f t="shared" si="29"/>
        <v>0</v>
      </c>
      <c r="Y177" s="496">
        <f t="shared" si="29"/>
        <v>0</v>
      </c>
      <c r="Z177" s="262">
        <f t="shared" si="27"/>
        <v>6</v>
      </c>
      <c r="AA177" s="231"/>
      <c r="AC177" s="337" t="s">
        <v>725</v>
      </c>
      <c r="AD177" s="497" t="s">
        <v>726</v>
      </c>
      <c r="AE177" s="238">
        <f t="shared" si="9"/>
        <v>0</v>
      </c>
      <c r="AF177" s="239" t="str">
        <f t="shared" si="10"/>
        <v/>
      </c>
      <c r="AH177" s="215"/>
      <c r="AI177" s="498"/>
      <c r="AJ177" s="499"/>
      <c r="AK177" s="499"/>
      <c r="AL177" s="499"/>
      <c r="AM177" s="499"/>
      <c r="AQ177" s="215"/>
      <c r="AR177" s="890" t="s">
        <v>727</v>
      </c>
      <c r="AS177" s="891"/>
      <c r="AT177" s="891"/>
      <c r="AU177" s="891"/>
      <c r="AV177" s="891"/>
      <c r="AW177" s="294" t="s">
        <v>728</v>
      </c>
      <c r="AX177" s="224">
        <f t="shared" si="16"/>
        <v>0</v>
      </c>
      <c r="AY177" s="424"/>
      <c r="BA177" s="218"/>
    </row>
    <row r="178" spans="1:58" ht="18.75" x14ac:dyDescent="0.25">
      <c r="A178" s="477"/>
      <c r="B178" s="477"/>
      <c r="C178" s="477"/>
      <c r="D178" s="477"/>
      <c r="E178" s="477"/>
      <c r="F178" s="478"/>
      <c r="J178" s="479"/>
      <c r="K178" s="479"/>
      <c r="M178" s="174"/>
      <c r="N178" s="477"/>
      <c r="O178" s="477"/>
      <c r="P178" s="477"/>
      <c r="Q178" s="477"/>
      <c r="R178" s="477"/>
      <c r="S178" s="478"/>
      <c r="W178" s="479"/>
      <c r="X178" s="479"/>
      <c r="AA178" s="231"/>
      <c r="AC178" s="337" t="s">
        <v>729</v>
      </c>
      <c r="AD178" s="500" t="s">
        <v>730</v>
      </c>
      <c r="AE178" s="238">
        <f t="shared" si="9"/>
        <v>0</v>
      </c>
      <c r="AF178" s="239" t="str">
        <f t="shared" si="10"/>
        <v/>
      </c>
      <c r="AH178" s="215"/>
      <c r="AI178" s="918" t="s">
        <v>313</v>
      </c>
      <c r="AJ178" s="835"/>
      <c r="AK178" s="835"/>
      <c r="AL178" s="835"/>
      <c r="AM178" s="835"/>
      <c r="AN178" s="836"/>
      <c r="AO178" s="216" t="s">
        <v>258</v>
      </c>
      <c r="AP178" s="501"/>
      <c r="AQ178" s="215"/>
      <c r="AR178" s="890" t="s">
        <v>731</v>
      </c>
      <c r="AS178" s="891"/>
      <c r="AT178" s="891"/>
      <c r="AU178" s="891"/>
      <c r="AV178" s="891"/>
      <c r="AW178" s="294" t="s">
        <v>732</v>
      </c>
      <c r="AX178" s="224">
        <f t="shared" si="16"/>
        <v>0</v>
      </c>
      <c r="AY178" s="424"/>
      <c r="BA178" s="218"/>
    </row>
    <row r="179" spans="1:58" ht="18" x14ac:dyDescent="0.25">
      <c r="A179" s="477"/>
      <c r="B179" s="477"/>
      <c r="C179" s="477"/>
      <c r="D179" s="477"/>
      <c r="E179" s="477"/>
      <c r="F179" s="478"/>
      <c r="J179" s="479"/>
      <c r="K179" s="479"/>
      <c r="M179" s="174"/>
      <c r="N179" s="477"/>
      <c r="O179" s="477"/>
      <c r="P179" s="477"/>
      <c r="Q179" s="477"/>
      <c r="R179" s="477"/>
      <c r="S179" s="478"/>
      <c r="W179" s="479"/>
      <c r="X179" s="479"/>
      <c r="AA179" s="231"/>
      <c r="AC179" s="337" t="s">
        <v>733</v>
      </c>
      <c r="AD179" s="491" t="s">
        <v>734</v>
      </c>
      <c r="AE179" s="238">
        <f t="shared" si="9"/>
        <v>0</v>
      </c>
      <c r="AF179" s="239" t="str">
        <f t="shared" si="10"/>
        <v/>
      </c>
      <c r="AH179" s="215"/>
      <c r="AI179" s="888" t="s">
        <v>735</v>
      </c>
      <c r="AJ179" s="889"/>
      <c r="AK179" s="889"/>
      <c r="AL179" s="889"/>
      <c r="AM179" s="889"/>
      <c r="AN179" s="502" t="s">
        <v>736</v>
      </c>
      <c r="AO179" s="224">
        <f t="shared" ref="AO179:AO207" si="30">COUNTIF($A$1:$GO$76,AN179)</f>
        <v>0</v>
      </c>
      <c r="AP179" s="503"/>
      <c r="AQ179" s="215"/>
      <c r="AR179" s="890" t="s">
        <v>737</v>
      </c>
      <c r="AS179" s="891"/>
      <c r="AT179" s="891"/>
      <c r="AU179" s="891"/>
      <c r="AV179" s="891"/>
      <c r="AW179" s="298" t="s">
        <v>738</v>
      </c>
      <c r="AX179" s="224">
        <f t="shared" si="16"/>
        <v>0</v>
      </c>
      <c r="AY179" s="424"/>
      <c r="BA179" s="218"/>
    </row>
    <row r="180" spans="1:58" ht="18.75" x14ac:dyDescent="0.25">
      <c r="A180" s="913" t="s">
        <v>739</v>
      </c>
      <c r="B180" s="914"/>
      <c r="C180" s="914"/>
      <c r="D180" s="914"/>
      <c r="E180" s="915"/>
      <c r="F180" s="481"/>
      <c r="G180" s="880"/>
      <c r="H180" s="880"/>
      <c r="I180" s="881"/>
      <c r="J180" s="482" t="s">
        <v>310</v>
      </c>
      <c r="K180" s="483" t="s">
        <v>311</v>
      </c>
      <c r="L180" s="482" t="s">
        <v>30</v>
      </c>
      <c r="M180" s="174"/>
      <c r="N180" s="913" t="s">
        <v>739</v>
      </c>
      <c r="O180" s="914"/>
      <c r="P180" s="914"/>
      <c r="Q180" s="914"/>
      <c r="R180" s="915"/>
      <c r="S180" s="481"/>
      <c r="T180" s="880"/>
      <c r="U180" s="880"/>
      <c r="V180" s="881"/>
      <c r="W180" s="482" t="s">
        <v>310</v>
      </c>
      <c r="X180" s="483" t="s">
        <v>311</v>
      </c>
      <c r="Y180" s="482" t="s">
        <v>30</v>
      </c>
      <c r="AA180" s="231"/>
      <c r="AC180" s="337" t="s">
        <v>740</v>
      </c>
      <c r="AD180" s="504" t="s">
        <v>741</v>
      </c>
      <c r="AE180" s="238">
        <f t="shared" si="9"/>
        <v>0</v>
      </c>
      <c r="AF180" s="239" t="str">
        <f t="shared" si="10"/>
        <v/>
      </c>
      <c r="AH180" s="215"/>
      <c r="AI180" s="888" t="s">
        <v>742</v>
      </c>
      <c r="AJ180" s="889"/>
      <c r="AK180" s="889"/>
      <c r="AL180" s="889"/>
      <c r="AM180" s="889"/>
      <c r="AN180" s="505" t="s">
        <v>743</v>
      </c>
      <c r="AO180" s="224">
        <f t="shared" si="30"/>
        <v>0</v>
      </c>
      <c r="AP180" s="503"/>
      <c r="AQ180" s="215"/>
      <c r="AR180" s="890" t="s">
        <v>744</v>
      </c>
      <c r="AS180" s="891"/>
      <c r="AT180" s="891"/>
      <c r="AU180" s="891"/>
      <c r="AV180" s="891"/>
      <c r="AW180" s="361" t="s">
        <v>745</v>
      </c>
      <c r="AX180" s="224">
        <f t="shared" si="16"/>
        <v>0</v>
      </c>
      <c r="AY180" s="424"/>
      <c r="BA180" s="218"/>
    </row>
    <row r="181" spans="1:58" ht="18.75" x14ac:dyDescent="0.25">
      <c r="A181" s="857" t="s">
        <v>69</v>
      </c>
      <c r="B181" s="858"/>
      <c r="C181" s="859"/>
      <c r="D181" s="908"/>
      <c r="E181" s="909"/>
      <c r="F181" s="17" t="s">
        <v>70</v>
      </c>
      <c r="G181" s="860">
        <f>COUNTIF($AO$2:$CA$42,F181)</f>
        <v>0</v>
      </c>
      <c r="H181" s="861"/>
      <c r="I181" s="862"/>
      <c r="J181" s="259">
        <v>0</v>
      </c>
      <c r="K181" s="260">
        <v>0</v>
      </c>
      <c r="L181" s="261">
        <f t="shared" ref="L181:L183" si="31">G181-K181-J181</f>
        <v>0</v>
      </c>
      <c r="M181" s="174"/>
      <c r="N181" s="857" t="s">
        <v>69</v>
      </c>
      <c r="O181" s="858"/>
      <c r="P181" s="859"/>
      <c r="Q181" s="908"/>
      <c r="R181" s="909"/>
      <c r="S181" s="17" t="s">
        <v>70</v>
      </c>
      <c r="T181" s="863">
        <f>COUNTIF($A$2:$AN$70,S181)</f>
        <v>0</v>
      </c>
      <c r="U181" s="863"/>
      <c r="V181" s="863"/>
      <c r="W181" s="259">
        <v>0</v>
      </c>
      <c r="X181" s="260">
        <v>0</v>
      </c>
      <c r="Y181" s="261">
        <f t="shared" ref="Y181:Y183" si="32">T181-X181-W181</f>
        <v>0</v>
      </c>
      <c r="Z181" s="262">
        <f t="shared" ref="Z181:Z184" si="33">T181+G181</f>
        <v>0</v>
      </c>
      <c r="AA181" s="231"/>
      <c r="AC181" s="337" t="s">
        <v>746</v>
      </c>
      <c r="AD181" s="506" t="s">
        <v>747</v>
      </c>
      <c r="AE181" s="238">
        <f t="shared" si="9"/>
        <v>0</v>
      </c>
      <c r="AF181" s="239" t="str">
        <f t="shared" si="10"/>
        <v/>
      </c>
      <c r="AH181" s="215"/>
      <c r="AI181" s="888" t="s">
        <v>748</v>
      </c>
      <c r="AJ181" s="889"/>
      <c r="AK181" s="889"/>
      <c r="AL181" s="889"/>
      <c r="AM181" s="889"/>
      <c r="AN181" s="507" t="s">
        <v>749</v>
      </c>
      <c r="AO181" s="224">
        <f t="shared" si="30"/>
        <v>0</v>
      </c>
      <c r="AP181" s="503"/>
      <c r="AQ181" s="215"/>
      <c r="AR181" s="890" t="s">
        <v>750</v>
      </c>
      <c r="AS181" s="891"/>
      <c r="AT181" s="891"/>
      <c r="AU181" s="891"/>
      <c r="AV181" s="891"/>
      <c r="AW181" s="361" t="s">
        <v>751</v>
      </c>
      <c r="AX181" s="224">
        <f t="shared" si="16"/>
        <v>0</v>
      </c>
      <c r="AY181" s="424"/>
      <c r="BA181" s="218"/>
    </row>
    <row r="182" spans="1:58" ht="18.75" x14ac:dyDescent="0.25">
      <c r="A182" s="857" t="s">
        <v>67</v>
      </c>
      <c r="B182" s="858"/>
      <c r="C182" s="859"/>
      <c r="D182" s="908"/>
      <c r="E182" s="909"/>
      <c r="F182" s="18" t="s">
        <v>68</v>
      </c>
      <c r="G182" s="860">
        <f>COUNTIF($AO$2:$CA$42,F182)</f>
        <v>0</v>
      </c>
      <c r="H182" s="861"/>
      <c r="I182" s="862"/>
      <c r="J182" s="259">
        <v>0</v>
      </c>
      <c r="K182" s="260">
        <v>0</v>
      </c>
      <c r="L182" s="261">
        <f t="shared" si="31"/>
        <v>0</v>
      </c>
      <c r="M182" s="174"/>
      <c r="N182" s="857" t="s">
        <v>67</v>
      </c>
      <c r="O182" s="858"/>
      <c r="P182" s="859"/>
      <c r="Q182" s="908"/>
      <c r="R182" s="909"/>
      <c r="S182" s="18" t="s">
        <v>68</v>
      </c>
      <c r="T182" s="863">
        <f>COUNTIF($A$2:$AN$70,S182)</f>
        <v>0</v>
      </c>
      <c r="U182" s="863"/>
      <c r="V182" s="863"/>
      <c r="W182" s="259">
        <v>0</v>
      </c>
      <c r="X182" s="260">
        <v>0</v>
      </c>
      <c r="Y182" s="261">
        <f t="shared" si="32"/>
        <v>0</v>
      </c>
      <c r="Z182" s="262">
        <f t="shared" si="33"/>
        <v>0</v>
      </c>
      <c r="AA182" s="231"/>
      <c r="AC182" s="337" t="s">
        <v>752</v>
      </c>
      <c r="AD182" s="508" t="s">
        <v>753</v>
      </c>
      <c r="AE182" s="238">
        <f t="shared" si="9"/>
        <v>0</v>
      </c>
      <c r="AF182" s="239" t="str">
        <f t="shared" si="10"/>
        <v/>
      </c>
      <c r="AH182" s="215"/>
      <c r="AI182" s="888" t="s">
        <v>754</v>
      </c>
      <c r="AJ182" s="889"/>
      <c r="AK182" s="889"/>
      <c r="AL182" s="889"/>
      <c r="AM182" s="889"/>
      <c r="AN182" s="509" t="s">
        <v>755</v>
      </c>
      <c r="AO182" s="224">
        <f t="shared" si="30"/>
        <v>0</v>
      </c>
      <c r="AP182" s="503"/>
      <c r="AQ182" s="215"/>
      <c r="AR182" s="890" t="s">
        <v>756</v>
      </c>
      <c r="AS182" s="891"/>
      <c r="AT182" s="891"/>
      <c r="AU182" s="891"/>
      <c r="AV182" s="891"/>
      <c r="AW182" s="361" t="s">
        <v>757</v>
      </c>
      <c r="AX182" s="224">
        <f t="shared" si="16"/>
        <v>0</v>
      </c>
      <c r="AY182" s="424"/>
      <c r="BA182" s="218"/>
    </row>
    <row r="183" spans="1:58" ht="18" x14ac:dyDescent="0.25">
      <c r="A183" s="857" t="s">
        <v>71</v>
      </c>
      <c r="B183" s="858"/>
      <c r="C183" s="859"/>
      <c r="D183" s="908"/>
      <c r="E183" s="909"/>
      <c r="F183" s="19" t="s">
        <v>72</v>
      </c>
      <c r="G183" s="860">
        <f>COUNTIF($AO$2:$CA$42,F183)</f>
        <v>0</v>
      </c>
      <c r="H183" s="861"/>
      <c r="I183" s="862"/>
      <c r="J183" s="259">
        <v>0</v>
      </c>
      <c r="K183" s="260">
        <v>0</v>
      </c>
      <c r="L183" s="261">
        <f t="shared" si="31"/>
        <v>0</v>
      </c>
      <c r="M183" s="174"/>
      <c r="N183" s="857" t="s">
        <v>71</v>
      </c>
      <c r="O183" s="858"/>
      <c r="P183" s="859"/>
      <c r="Q183" s="908"/>
      <c r="R183" s="909"/>
      <c r="S183" s="19" t="s">
        <v>72</v>
      </c>
      <c r="T183" s="863">
        <f>COUNTIF($A$2:$AN$70,S183)</f>
        <v>0</v>
      </c>
      <c r="U183" s="863"/>
      <c r="V183" s="863"/>
      <c r="W183" s="259">
        <v>0</v>
      </c>
      <c r="X183" s="260">
        <v>0</v>
      </c>
      <c r="Y183" s="261">
        <f t="shared" si="32"/>
        <v>0</v>
      </c>
      <c r="Z183" s="262">
        <f t="shared" si="33"/>
        <v>0</v>
      </c>
      <c r="AA183" s="231" t="b">
        <f>IFERROR(#REF!&gt;0.5,FALSE)</f>
        <v>0</v>
      </c>
      <c r="AC183" s="337" t="s">
        <v>758</v>
      </c>
      <c r="AD183" s="510" t="s">
        <v>759</v>
      </c>
      <c r="AE183" s="238">
        <f t="shared" si="9"/>
        <v>0</v>
      </c>
      <c r="AF183" s="239" t="str">
        <f t="shared" si="10"/>
        <v/>
      </c>
      <c r="AH183" s="215"/>
      <c r="AI183" s="888" t="s">
        <v>760</v>
      </c>
      <c r="AJ183" s="889"/>
      <c r="AK183" s="889"/>
      <c r="AL183" s="889"/>
      <c r="AM183" s="889"/>
      <c r="AN183" s="511" t="s">
        <v>761</v>
      </c>
      <c r="AO183" s="224">
        <f t="shared" si="30"/>
        <v>0</v>
      </c>
      <c r="AP183" s="503"/>
      <c r="AQ183" s="215"/>
      <c r="AR183" s="890" t="s">
        <v>762</v>
      </c>
      <c r="AS183" s="891"/>
      <c r="AT183" s="891"/>
      <c r="AU183" s="891"/>
      <c r="AV183" s="891"/>
      <c r="AW183" s="357" t="s">
        <v>763</v>
      </c>
      <c r="AX183" s="224">
        <f t="shared" si="16"/>
        <v>0</v>
      </c>
      <c r="AY183" s="424"/>
      <c r="BA183" s="218"/>
    </row>
    <row r="184" spans="1:58" ht="18.75" x14ac:dyDescent="0.25">
      <c r="A184" s="916" t="s">
        <v>764</v>
      </c>
      <c r="B184" s="916"/>
      <c r="C184" s="916"/>
      <c r="D184" s="916"/>
      <c r="E184" s="916"/>
      <c r="F184" s="478"/>
      <c r="G184" s="917">
        <f t="shared" ref="G184:L184" si="34">SUM(G181:I183)</f>
        <v>0</v>
      </c>
      <c r="H184" s="917"/>
      <c r="I184" s="917"/>
      <c r="J184" s="494">
        <f t="shared" si="34"/>
        <v>0</v>
      </c>
      <c r="K184" s="495">
        <f t="shared" si="34"/>
        <v>0</v>
      </c>
      <c r="L184" s="261">
        <f t="shared" si="34"/>
        <v>0</v>
      </c>
      <c r="M184" s="174"/>
      <c r="N184" s="916" t="s">
        <v>764</v>
      </c>
      <c r="O184" s="916"/>
      <c r="P184" s="916"/>
      <c r="Q184" s="916"/>
      <c r="R184" s="916"/>
      <c r="S184" s="478"/>
      <c r="T184" s="917">
        <f t="shared" ref="T184" si="35">SUM(T181:V183)</f>
        <v>0</v>
      </c>
      <c r="U184" s="917"/>
      <c r="V184" s="917"/>
      <c r="W184" s="494">
        <f t="shared" ref="W184:X184" si="36">SUM(W181:Y183)</f>
        <v>0</v>
      </c>
      <c r="X184" s="495">
        <f t="shared" si="36"/>
        <v>0</v>
      </c>
      <c r="Y184" s="261">
        <f>SUM(Y176:AA178)</f>
        <v>6</v>
      </c>
      <c r="Z184" s="262">
        <f t="shared" si="33"/>
        <v>0</v>
      </c>
      <c r="AA184" s="231"/>
      <c r="AC184" s="337" t="s">
        <v>765</v>
      </c>
      <c r="AD184" s="510" t="s">
        <v>765</v>
      </c>
      <c r="AE184" s="238">
        <f t="shared" si="9"/>
        <v>0</v>
      </c>
      <c r="AF184" s="239" t="str">
        <f t="shared" si="10"/>
        <v/>
      </c>
      <c r="AH184" s="215"/>
      <c r="AI184" s="888" t="s">
        <v>766</v>
      </c>
      <c r="AJ184" s="889"/>
      <c r="AK184" s="889"/>
      <c r="AL184" s="889"/>
      <c r="AM184" s="889"/>
      <c r="AN184" s="512" t="s">
        <v>767</v>
      </c>
      <c r="AO184" s="224">
        <f t="shared" si="30"/>
        <v>0</v>
      </c>
      <c r="AP184" s="503"/>
      <c r="AQ184" s="215"/>
      <c r="AR184" s="890" t="s">
        <v>768</v>
      </c>
      <c r="AS184" s="891"/>
      <c r="AT184" s="891"/>
      <c r="AU184" s="891"/>
      <c r="AV184" s="891"/>
      <c r="AW184" s="357" t="s">
        <v>769</v>
      </c>
      <c r="AX184" s="224">
        <f t="shared" si="16"/>
        <v>0</v>
      </c>
      <c r="AY184" s="424"/>
      <c r="BA184" s="218"/>
    </row>
    <row r="185" spans="1:58" ht="18" x14ac:dyDescent="0.25">
      <c r="A185" s="477"/>
      <c r="B185" s="477"/>
      <c r="C185" s="477"/>
      <c r="D185" s="477"/>
      <c r="E185" s="477"/>
      <c r="F185" s="478"/>
      <c r="J185" s="479"/>
      <c r="K185" s="479"/>
      <c r="M185" s="174"/>
      <c r="N185" s="477"/>
      <c r="O185" s="477"/>
      <c r="P185" s="477"/>
      <c r="Q185" s="477"/>
      <c r="R185" s="477"/>
      <c r="S185" s="478"/>
      <c r="W185" s="479"/>
      <c r="X185" s="479"/>
      <c r="AA185" s="231"/>
      <c r="AC185" s="337" t="s">
        <v>319</v>
      </c>
      <c r="AD185" s="513" t="s">
        <v>770</v>
      </c>
      <c r="AE185" s="238">
        <f t="shared" si="9"/>
        <v>0</v>
      </c>
      <c r="AF185" s="239" t="str">
        <f t="shared" si="10"/>
        <v/>
      </c>
      <c r="AH185" s="215"/>
      <c r="AI185" s="888" t="s">
        <v>771</v>
      </c>
      <c r="AJ185" s="889"/>
      <c r="AK185" s="889"/>
      <c r="AL185" s="889"/>
      <c r="AM185" s="889"/>
      <c r="AN185" s="294" t="s">
        <v>772</v>
      </c>
      <c r="AO185" s="224">
        <f t="shared" si="30"/>
        <v>0</v>
      </c>
      <c r="AP185" s="503"/>
      <c r="AQ185" s="215"/>
      <c r="AR185" s="890" t="s">
        <v>773</v>
      </c>
      <c r="AS185" s="891"/>
      <c r="AT185" s="891"/>
      <c r="AU185" s="891"/>
      <c r="AV185" s="891"/>
      <c r="AW185" s="228" t="s">
        <v>774</v>
      </c>
      <c r="AX185" s="224">
        <f t="shared" si="16"/>
        <v>0</v>
      </c>
      <c r="AY185" s="424"/>
      <c r="BA185" s="218"/>
      <c r="BC185" s="514"/>
      <c r="BD185" s="514"/>
      <c r="BE185" s="514"/>
      <c r="BF185" s="514"/>
    </row>
    <row r="186" spans="1:58" ht="18.75" x14ac:dyDescent="0.25">
      <c r="A186" s="477"/>
      <c r="B186" s="477"/>
      <c r="C186" s="477"/>
      <c r="D186" s="477"/>
      <c r="E186" s="477"/>
      <c r="F186" s="478"/>
      <c r="J186" s="479"/>
      <c r="K186" s="479"/>
      <c r="M186" s="174"/>
      <c r="N186" s="477"/>
      <c r="O186" s="477"/>
      <c r="P186" s="477"/>
      <c r="Q186" s="477"/>
      <c r="R186" s="477"/>
      <c r="S186" s="478"/>
      <c r="W186" s="479"/>
      <c r="X186" s="479"/>
      <c r="AA186" s="231"/>
      <c r="AC186" s="337" t="s">
        <v>775</v>
      </c>
      <c r="AD186" s="86" t="s">
        <v>191</v>
      </c>
      <c r="AE186" s="238">
        <f t="shared" si="9"/>
        <v>6</v>
      </c>
      <c r="AF186" s="239" t="str">
        <f t="shared" si="10"/>
        <v/>
      </c>
      <c r="AH186" s="215"/>
      <c r="AI186" s="888" t="s">
        <v>776</v>
      </c>
      <c r="AJ186" s="889"/>
      <c r="AK186" s="889"/>
      <c r="AL186" s="889"/>
      <c r="AM186" s="889"/>
      <c r="AN186" s="228" t="s">
        <v>777</v>
      </c>
      <c r="AO186" s="224">
        <f t="shared" si="30"/>
        <v>0</v>
      </c>
      <c r="AP186" s="503"/>
      <c r="AQ186" s="215"/>
      <c r="AR186" s="890" t="s">
        <v>778</v>
      </c>
      <c r="AS186" s="891"/>
      <c r="AT186" s="891"/>
      <c r="AU186" s="891"/>
      <c r="AV186" s="891"/>
      <c r="AW186" s="515" t="s">
        <v>779</v>
      </c>
      <c r="AX186" s="224">
        <f t="shared" si="16"/>
        <v>0</v>
      </c>
      <c r="AY186" s="424"/>
      <c r="BA186" s="218"/>
      <c r="BC186" s="516"/>
      <c r="BD186" s="516"/>
      <c r="BE186" s="516"/>
      <c r="BF186" s="516"/>
    </row>
    <row r="187" spans="1:58" ht="18" x14ac:dyDescent="0.25">
      <c r="A187" s="919" t="s">
        <v>780</v>
      </c>
      <c r="B187" s="920"/>
      <c r="C187" s="920"/>
      <c r="D187" s="920"/>
      <c r="E187" s="921"/>
      <c r="F187" s="481"/>
      <c r="G187" s="880"/>
      <c r="H187" s="880"/>
      <c r="I187" s="881"/>
      <c r="J187" s="482" t="s">
        <v>310</v>
      </c>
      <c r="K187" s="483" t="s">
        <v>311</v>
      </c>
      <c r="L187" s="482" t="s">
        <v>30</v>
      </c>
      <c r="M187" s="174"/>
      <c r="N187" s="919" t="s">
        <v>780</v>
      </c>
      <c r="O187" s="920"/>
      <c r="P187" s="920"/>
      <c r="Q187" s="920"/>
      <c r="R187" s="921"/>
      <c r="S187" s="481"/>
      <c r="T187" s="880"/>
      <c r="U187" s="880"/>
      <c r="V187" s="881"/>
      <c r="W187" s="482" t="s">
        <v>310</v>
      </c>
      <c r="X187" s="483" t="s">
        <v>311</v>
      </c>
      <c r="Y187" s="482" t="s">
        <v>30</v>
      </c>
      <c r="AA187" s="231"/>
      <c r="AC187" s="337" t="s">
        <v>781</v>
      </c>
      <c r="AD187" s="517" t="s">
        <v>782</v>
      </c>
      <c r="AE187" s="238">
        <f t="shared" si="9"/>
        <v>0</v>
      </c>
      <c r="AF187" s="239" t="str">
        <f t="shared" si="10"/>
        <v/>
      </c>
      <c r="AH187" s="215"/>
      <c r="AI187" s="888" t="s">
        <v>783</v>
      </c>
      <c r="AJ187" s="889"/>
      <c r="AK187" s="889"/>
      <c r="AL187" s="889"/>
      <c r="AM187" s="889"/>
      <c r="AN187" s="357" t="s">
        <v>784</v>
      </c>
      <c r="AO187" s="224">
        <f t="shared" si="30"/>
        <v>0</v>
      </c>
      <c r="AP187" s="503"/>
      <c r="AQ187" s="215"/>
      <c r="AR187" s="890" t="s">
        <v>785</v>
      </c>
      <c r="AS187" s="891"/>
      <c r="AT187" s="891"/>
      <c r="AU187" s="891"/>
      <c r="AV187" s="891"/>
      <c r="AW187" s="518" t="s">
        <v>786</v>
      </c>
      <c r="AX187" s="224">
        <f t="shared" si="16"/>
        <v>0</v>
      </c>
      <c r="AY187" s="424"/>
      <c r="BA187" s="218"/>
      <c r="BC187" s="514"/>
      <c r="BD187" s="514"/>
      <c r="BE187" s="514"/>
      <c r="BF187" s="514"/>
    </row>
    <row r="188" spans="1:58" ht="18" x14ac:dyDescent="0.25">
      <c r="A188" s="857" t="s">
        <v>121</v>
      </c>
      <c r="B188" s="858"/>
      <c r="C188" s="859"/>
      <c r="D188" s="908"/>
      <c r="E188" s="909"/>
      <c r="F188" s="20" t="s">
        <v>125</v>
      </c>
      <c r="G188" s="860">
        <f>COUNTIF($AO$2:$CA$42,F188)</f>
        <v>0</v>
      </c>
      <c r="H188" s="861"/>
      <c r="I188" s="862"/>
      <c r="J188" s="259">
        <v>0</v>
      </c>
      <c r="K188" s="260">
        <v>0</v>
      </c>
      <c r="L188" s="261">
        <f t="shared" ref="L188:L191" si="37">G188-K188-J188</f>
        <v>0</v>
      </c>
      <c r="M188" s="174"/>
      <c r="N188" s="857" t="s">
        <v>121</v>
      </c>
      <c r="O188" s="858"/>
      <c r="P188" s="859"/>
      <c r="Q188" s="908"/>
      <c r="R188" s="909"/>
      <c r="S188" s="20" t="s">
        <v>125</v>
      </c>
      <c r="T188" s="863">
        <f>COUNTIF($A$2:$AN$70,S188)</f>
        <v>0</v>
      </c>
      <c r="U188" s="863"/>
      <c r="V188" s="863"/>
      <c r="W188" s="259">
        <v>0</v>
      </c>
      <c r="X188" s="260">
        <v>0</v>
      </c>
      <c r="Y188" s="261">
        <f t="shared" ref="Y188:Y191" si="38">T188-X188-W188</f>
        <v>0</v>
      </c>
      <c r="Z188" s="262">
        <f t="shared" ref="Z188:Z192" si="39">T188+G188</f>
        <v>0</v>
      </c>
      <c r="AA188" s="231"/>
      <c r="AC188" s="337" t="s">
        <v>787</v>
      </c>
      <c r="AD188" s="519" t="s">
        <v>788</v>
      </c>
      <c r="AE188" s="238">
        <f t="shared" si="9"/>
        <v>0</v>
      </c>
      <c r="AF188" s="239" t="str">
        <f t="shared" si="10"/>
        <v/>
      </c>
      <c r="AH188" s="215"/>
      <c r="AI188" s="888" t="s">
        <v>789</v>
      </c>
      <c r="AJ188" s="889"/>
      <c r="AK188" s="889"/>
      <c r="AL188" s="889"/>
      <c r="AM188" s="889"/>
      <c r="AN188" s="357" t="s">
        <v>5</v>
      </c>
      <c r="AO188" s="224">
        <f t="shared" si="30"/>
        <v>0</v>
      </c>
      <c r="AP188" s="503"/>
      <c r="AQ188" s="215"/>
      <c r="AR188" s="890" t="s">
        <v>790</v>
      </c>
      <c r="AS188" s="891"/>
      <c r="AT188" s="891"/>
      <c r="AU188" s="891"/>
      <c r="AV188" s="891"/>
      <c r="AW188" s="520" t="s">
        <v>791</v>
      </c>
      <c r="AX188" s="224">
        <f t="shared" si="16"/>
        <v>0</v>
      </c>
      <c r="AY188" s="424"/>
      <c r="BA188" s="218"/>
      <c r="BC188" s="521"/>
      <c r="BD188" s="521"/>
      <c r="BE188" s="521"/>
      <c r="BF188" s="521"/>
    </row>
    <row r="189" spans="1:58" ht="18" x14ac:dyDescent="0.25">
      <c r="A189" s="857" t="s">
        <v>122</v>
      </c>
      <c r="B189" s="858"/>
      <c r="C189" s="859"/>
      <c r="D189" s="908"/>
      <c r="E189" s="909"/>
      <c r="F189" s="21" t="s">
        <v>126</v>
      </c>
      <c r="G189" s="860">
        <f>COUNTIF($AO$2:$CA$42,F189)</f>
        <v>0</v>
      </c>
      <c r="H189" s="861"/>
      <c r="I189" s="862"/>
      <c r="J189" s="259">
        <v>0</v>
      </c>
      <c r="K189" s="260">
        <v>0</v>
      </c>
      <c r="L189" s="261">
        <f t="shared" si="37"/>
        <v>0</v>
      </c>
      <c r="M189" s="174"/>
      <c r="N189" s="857" t="s">
        <v>122</v>
      </c>
      <c r="O189" s="858"/>
      <c r="P189" s="859"/>
      <c r="Q189" s="908"/>
      <c r="R189" s="909"/>
      <c r="S189" s="21" t="s">
        <v>126</v>
      </c>
      <c r="T189" s="863">
        <f>COUNTIF($A$2:$AN$70,S189)</f>
        <v>0</v>
      </c>
      <c r="U189" s="863"/>
      <c r="V189" s="863"/>
      <c r="W189" s="259">
        <v>0</v>
      </c>
      <c r="X189" s="260">
        <v>0</v>
      </c>
      <c r="Y189" s="261">
        <f t="shared" si="38"/>
        <v>0</v>
      </c>
      <c r="Z189" s="262">
        <f t="shared" si="39"/>
        <v>0</v>
      </c>
      <c r="AA189" s="231"/>
      <c r="AC189" s="337" t="s">
        <v>792</v>
      </c>
      <c r="AD189" s="519" t="s">
        <v>793</v>
      </c>
      <c r="AE189" s="238">
        <f t="shared" ref="AE189:AE197" si="40">COUNTIF($A$1:$GO$76,AD189)</f>
        <v>0</v>
      </c>
      <c r="AF189" s="239" t="str">
        <f t="shared" si="10"/>
        <v/>
      </c>
      <c r="AH189" s="215"/>
      <c r="AI189" s="888" t="s">
        <v>794</v>
      </c>
      <c r="AJ189" s="889"/>
      <c r="AK189" s="889"/>
      <c r="AL189" s="889"/>
      <c r="AM189" s="889"/>
      <c r="AN189" s="522" t="s">
        <v>795</v>
      </c>
      <c r="AO189" s="224">
        <f t="shared" si="30"/>
        <v>0</v>
      </c>
      <c r="AP189" s="503"/>
      <c r="AQ189" s="215"/>
      <c r="AR189" s="890" t="s">
        <v>796</v>
      </c>
      <c r="AS189" s="891"/>
      <c r="AT189" s="891"/>
      <c r="AU189" s="891"/>
      <c r="AV189" s="891"/>
      <c r="AW189" s="520" t="s">
        <v>797</v>
      </c>
      <c r="AX189" s="224">
        <f t="shared" si="16"/>
        <v>0</v>
      </c>
      <c r="AY189" s="424"/>
      <c r="BA189" s="218"/>
    </row>
    <row r="190" spans="1:58" ht="18" x14ac:dyDescent="0.25">
      <c r="A190" s="857" t="s">
        <v>123</v>
      </c>
      <c r="B190" s="858"/>
      <c r="C190" s="859"/>
      <c r="D190" s="908"/>
      <c r="E190" s="909"/>
      <c r="F190" s="22" t="s">
        <v>127</v>
      </c>
      <c r="G190" s="860">
        <f>COUNTIF($AO$2:$CA$42,F190)</f>
        <v>0</v>
      </c>
      <c r="H190" s="861"/>
      <c r="I190" s="862"/>
      <c r="J190" s="259">
        <v>0</v>
      </c>
      <c r="K190" s="260">
        <v>0</v>
      </c>
      <c r="L190" s="261">
        <f t="shared" si="37"/>
        <v>0</v>
      </c>
      <c r="M190" s="174"/>
      <c r="N190" s="857" t="s">
        <v>123</v>
      </c>
      <c r="O190" s="858"/>
      <c r="P190" s="859"/>
      <c r="Q190" s="908"/>
      <c r="R190" s="909"/>
      <c r="S190" s="22" t="s">
        <v>127</v>
      </c>
      <c r="T190" s="863">
        <f>COUNTIF($A$2:$AN$70,S190)</f>
        <v>0</v>
      </c>
      <c r="U190" s="863"/>
      <c r="V190" s="863"/>
      <c r="W190" s="259">
        <v>0</v>
      </c>
      <c r="X190" s="260">
        <v>0</v>
      </c>
      <c r="Y190" s="261">
        <f t="shared" si="38"/>
        <v>0</v>
      </c>
      <c r="Z190" s="262">
        <f t="shared" si="39"/>
        <v>0</v>
      </c>
      <c r="AA190" s="231"/>
      <c r="AC190" s="337" t="s">
        <v>798</v>
      </c>
      <c r="AD190" s="523" t="s">
        <v>799</v>
      </c>
      <c r="AE190" s="238">
        <f t="shared" si="40"/>
        <v>0</v>
      </c>
      <c r="AF190" s="239" t="str">
        <f t="shared" ref="AF190:AF197" si="41">IFERROR(AE190/$J$4,"")</f>
        <v/>
      </c>
      <c r="AH190" s="215"/>
      <c r="AI190" s="888" t="s">
        <v>800</v>
      </c>
      <c r="AJ190" s="889"/>
      <c r="AK190" s="889"/>
      <c r="AL190" s="889"/>
      <c r="AM190" s="889"/>
      <c r="AN190" s="241" t="s">
        <v>801</v>
      </c>
      <c r="AO190" s="224">
        <f t="shared" si="30"/>
        <v>0</v>
      </c>
      <c r="AP190" s="503"/>
      <c r="AQ190" s="215"/>
      <c r="AR190" s="890" t="s">
        <v>802</v>
      </c>
      <c r="AS190" s="891"/>
      <c r="AT190" s="891"/>
      <c r="AU190" s="891"/>
      <c r="AV190" s="891"/>
      <c r="AW190" s="524" t="s">
        <v>803</v>
      </c>
      <c r="AX190" s="224">
        <f t="shared" si="16"/>
        <v>0</v>
      </c>
      <c r="AY190" s="424"/>
      <c r="BA190" s="218"/>
      <c r="BC190" s="514"/>
      <c r="BD190" s="514"/>
      <c r="BE190" s="514"/>
      <c r="BF190" s="514"/>
    </row>
    <row r="191" spans="1:58" ht="18.75" x14ac:dyDescent="0.25">
      <c r="A191" s="857" t="s">
        <v>124</v>
      </c>
      <c r="B191" s="858"/>
      <c r="C191" s="859"/>
      <c r="D191" s="908"/>
      <c r="E191" s="909"/>
      <c r="F191" s="23" t="s">
        <v>128</v>
      </c>
      <c r="G191" s="860">
        <f>COUNTIF($AO$2:$CA$42,F191)</f>
        <v>0</v>
      </c>
      <c r="H191" s="861"/>
      <c r="I191" s="862"/>
      <c r="J191" s="259">
        <v>0</v>
      </c>
      <c r="K191" s="260">
        <v>0</v>
      </c>
      <c r="L191" s="261">
        <f t="shared" si="37"/>
        <v>0</v>
      </c>
      <c r="M191" s="174"/>
      <c r="N191" s="857" t="s">
        <v>124</v>
      </c>
      <c r="O191" s="858"/>
      <c r="P191" s="859"/>
      <c r="Q191" s="908"/>
      <c r="R191" s="909"/>
      <c r="S191" s="23" t="s">
        <v>128</v>
      </c>
      <c r="T191" s="863">
        <f>COUNTIF($A$2:$AN$70,S191)</f>
        <v>0</v>
      </c>
      <c r="U191" s="863"/>
      <c r="V191" s="863"/>
      <c r="W191" s="259">
        <v>0</v>
      </c>
      <c r="X191" s="260">
        <v>0</v>
      </c>
      <c r="Y191" s="261">
        <f t="shared" si="38"/>
        <v>0</v>
      </c>
      <c r="Z191" s="262">
        <f t="shared" si="39"/>
        <v>0</v>
      </c>
      <c r="AA191" s="231"/>
      <c r="AC191" s="337" t="s">
        <v>804</v>
      </c>
      <c r="AD191" s="500" t="s">
        <v>805</v>
      </c>
      <c r="AE191" s="238">
        <f t="shared" si="40"/>
        <v>0</v>
      </c>
      <c r="AF191" s="239" t="str">
        <f t="shared" si="41"/>
        <v/>
      </c>
      <c r="AI191" s="888" t="s">
        <v>806</v>
      </c>
      <c r="AJ191" s="889"/>
      <c r="AK191" s="889"/>
      <c r="AL191" s="889"/>
      <c r="AM191" s="889"/>
      <c r="AN191" s="313" t="s">
        <v>807</v>
      </c>
      <c r="AO191" s="224">
        <f t="shared" si="30"/>
        <v>0</v>
      </c>
      <c r="AP191" s="503"/>
      <c r="AQ191" s="215"/>
      <c r="AR191" s="890" t="s">
        <v>808</v>
      </c>
      <c r="AS191" s="891"/>
      <c r="AT191" s="891"/>
      <c r="AU191" s="891"/>
      <c r="AV191" s="891"/>
      <c r="AW191" s="525" t="s">
        <v>809</v>
      </c>
      <c r="AX191" s="224">
        <f t="shared" si="16"/>
        <v>0</v>
      </c>
      <c r="AY191" s="424"/>
      <c r="BA191" s="218"/>
      <c r="BC191" s="516"/>
      <c r="BD191" s="516"/>
      <c r="BE191" s="516"/>
      <c r="BF191" s="516"/>
    </row>
    <row r="192" spans="1:58" ht="18" x14ac:dyDescent="0.25">
      <c r="A192" s="916" t="s">
        <v>810</v>
      </c>
      <c r="B192" s="916"/>
      <c r="C192" s="916"/>
      <c r="D192" s="916"/>
      <c r="E192" s="916"/>
      <c r="F192" s="478"/>
      <c r="G192" s="917">
        <f>SUM(G188:I191)</f>
        <v>0</v>
      </c>
      <c r="H192" s="917"/>
      <c r="I192" s="917"/>
      <c r="J192" s="494">
        <f t="shared" ref="J192:L192" si="42">SUM(J188:J191)</f>
        <v>0</v>
      </c>
      <c r="K192" s="495">
        <f t="shared" si="42"/>
        <v>0</v>
      </c>
      <c r="L192" s="496">
        <f t="shared" si="42"/>
        <v>0</v>
      </c>
      <c r="M192" s="174"/>
      <c r="N192" s="916" t="s">
        <v>810</v>
      </c>
      <c r="O192" s="916"/>
      <c r="P192" s="916"/>
      <c r="Q192" s="916"/>
      <c r="R192" s="916"/>
      <c r="S192" s="478"/>
      <c r="T192" s="917">
        <f>SUM(T188:V191)</f>
        <v>0</v>
      </c>
      <c r="U192" s="917"/>
      <c r="V192" s="917"/>
      <c r="W192" s="494">
        <f t="shared" ref="W192:Y192" si="43">SUM(W188:W191)</f>
        <v>0</v>
      </c>
      <c r="X192" s="495">
        <f t="shared" si="43"/>
        <v>0</v>
      </c>
      <c r="Y192" s="496">
        <f t="shared" si="43"/>
        <v>0</v>
      </c>
      <c r="Z192" s="262">
        <f t="shared" si="39"/>
        <v>0</v>
      </c>
      <c r="AA192" s="231"/>
      <c r="AC192" s="337" t="s">
        <v>811</v>
      </c>
      <c r="AD192" s="517" t="s">
        <v>812</v>
      </c>
      <c r="AE192" s="238">
        <f t="shared" si="40"/>
        <v>0</v>
      </c>
      <c r="AF192" s="239" t="str">
        <f t="shared" si="41"/>
        <v/>
      </c>
      <c r="AI192" s="888" t="s">
        <v>813</v>
      </c>
      <c r="AJ192" s="889"/>
      <c r="AK192" s="889"/>
      <c r="AL192" s="889"/>
      <c r="AM192" s="889"/>
      <c r="AN192" s="364" t="s">
        <v>814</v>
      </c>
      <c r="AO192" s="224">
        <f t="shared" si="30"/>
        <v>0</v>
      </c>
      <c r="AP192" s="503"/>
      <c r="AQ192" s="215"/>
      <c r="AR192" s="890" t="s">
        <v>815</v>
      </c>
      <c r="AS192" s="891"/>
      <c r="AT192" s="891"/>
      <c r="AU192" s="891"/>
      <c r="AV192" s="891"/>
      <c r="AW192" s="526" t="s">
        <v>816</v>
      </c>
      <c r="AX192" s="224">
        <f t="shared" si="16"/>
        <v>0</v>
      </c>
      <c r="AY192" s="424"/>
      <c r="BA192" s="218"/>
      <c r="BC192" s="514"/>
      <c r="BD192" s="514"/>
      <c r="BE192" s="514"/>
      <c r="BF192" s="514"/>
    </row>
    <row r="193" spans="1:58" ht="18.75" x14ac:dyDescent="0.25">
      <c r="A193" s="477"/>
      <c r="B193" s="477"/>
      <c r="C193" s="477"/>
      <c r="D193" s="477"/>
      <c r="E193" s="477"/>
      <c r="F193" s="478"/>
      <c r="J193" s="479"/>
      <c r="K193" s="479"/>
      <c r="M193" s="174"/>
      <c r="N193" s="477"/>
      <c r="O193" s="477"/>
      <c r="P193" s="477"/>
      <c r="Q193" s="477"/>
      <c r="R193" s="477"/>
      <c r="S193" s="478"/>
      <c r="W193" s="479"/>
      <c r="X193" s="479"/>
      <c r="AA193" s="231"/>
      <c r="AC193" s="337" t="s">
        <v>817</v>
      </c>
      <c r="AD193" s="527" t="s">
        <v>818</v>
      </c>
      <c r="AE193" s="238">
        <f t="shared" si="40"/>
        <v>0</v>
      </c>
      <c r="AF193" s="239" t="str">
        <f t="shared" si="41"/>
        <v/>
      </c>
      <c r="AI193" s="888" t="s">
        <v>819</v>
      </c>
      <c r="AJ193" s="889"/>
      <c r="AK193" s="889"/>
      <c r="AL193" s="889"/>
      <c r="AM193" s="889"/>
      <c r="AN193" s="361" t="s">
        <v>820</v>
      </c>
      <c r="AO193" s="224">
        <f t="shared" si="30"/>
        <v>0</v>
      </c>
      <c r="AP193" s="503"/>
      <c r="AQ193" s="215"/>
      <c r="AR193" s="890" t="s">
        <v>821</v>
      </c>
      <c r="AS193" s="891"/>
      <c r="AT193" s="891"/>
      <c r="AU193" s="891"/>
      <c r="AV193" s="891"/>
      <c r="AW193" s="528" t="s">
        <v>822</v>
      </c>
      <c r="AX193" s="224">
        <f t="shared" si="16"/>
        <v>0</v>
      </c>
      <c r="AY193" s="424"/>
      <c r="BA193" s="218"/>
      <c r="BC193" s="521"/>
      <c r="BD193" s="521"/>
      <c r="BE193" s="521"/>
      <c r="BF193" s="521"/>
    </row>
    <row r="194" spans="1:58" ht="18.75" x14ac:dyDescent="0.25">
      <c r="A194" s="477"/>
      <c r="B194" s="477"/>
      <c r="C194" s="477"/>
      <c r="D194" s="477"/>
      <c r="E194" s="477"/>
      <c r="F194" s="478"/>
      <c r="J194" s="479"/>
      <c r="K194" s="479"/>
      <c r="M194" s="174"/>
      <c r="N194" s="477"/>
      <c r="O194" s="477"/>
      <c r="P194" s="477"/>
      <c r="Q194" s="477"/>
      <c r="R194" s="477"/>
      <c r="S194" s="478"/>
      <c r="W194" s="479"/>
      <c r="X194" s="479"/>
      <c r="AA194" s="231"/>
      <c r="AC194" s="337" t="s">
        <v>823</v>
      </c>
      <c r="AD194" s="529" t="s">
        <v>823</v>
      </c>
      <c r="AE194" s="238">
        <f t="shared" si="40"/>
        <v>0</v>
      </c>
      <c r="AF194" s="239" t="str">
        <f t="shared" si="41"/>
        <v/>
      </c>
      <c r="AI194" s="888" t="s">
        <v>824</v>
      </c>
      <c r="AJ194" s="889"/>
      <c r="AK194" s="889"/>
      <c r="AL194" s="889"/>
      <c r="AM194" s="889"/>
      <c r="AN194" s="371" t="s">
        <v>825</v>
      </c>
      <c r="AO194" s="224">
        <f t="shared" si="30"/>
        <v>0</v>
      </c>
      <c r="AP194" s="503"/>
      <c r="AQ194" s="215"/>
      <c r="AR194" s="890" t="s">
        <v>826</v>
      </c>
      <c r="AS194" s="891"/>
      <c r="AT194" s="891"/>
      <c r="AU194" s="891"/>
      <c r="AV194" s="891"/>
      <c r="AW194" s="530" t="s">
        <v>827</v>
      </c>
      <c r="AX194" s="224">
        <f t="shared" si="16"/>
        <v>0</v>
      </c>
      <c r="AY194" s="424"/>
      <c r="BA194" s="218"/>
    </row>
    <row r="195" spans="1:58" ht="18" x14ac:dyDescent="0.25">
      <c r="A195" s="922" t="s">
        <v>828</v>
      </c>
      <c r="B195" s="923"/>
      <c r="C195" s="923"/>
      <c r="D195" s="923"/>
      <c r="E195" s="924"/>
      <c r="F195" s="481"/>
      <c r="G195" s="880"/>
      <c r="H195" s="880"/>
      <c r="I195" s="881"/>
      <c r="J195" s="482" t="s">
        <v>310</v>
      </c>
      <c r="K195" s="483" t="s">
        <v>311</v>
      </c>
      <c r="L195" s="482" t="s">
        <v>30</v>
      </c>
      <c r="M195" s="174"/>
      <c r="N195" s="922" t="s">
        <v>828</v>
      </c>
      <c r="O195" s="923"/>
      <c r="P195" s="923"/>
      <c r="Q195" s="923"/>
      <c r="R195" s="924"/>
      <c r="S195" s="481"/>
      <c r="T195" s="880"/>
      <c r="U195" s="880"/>
      <c r="V195" s="881"/>
      <c r="W195" s="482" t="s">
        <v>310</v>
      </c>
      <c r="X195" s="483" t="s">
        <v>311</v>
      </c>
      <c r="Y195" s="482" t="s">
        <v>30</v>
      </c>
      <c r="AA195" s="231"/>
      <c r="AC195" s="337" t="s">
        <v>829</v>
      </c>
      <c r="AD195" s="99" t="s">
        <v>201</v>
      </c>
      <c r="AE195" s="238">
        <f t="shared" si="40"/>
        <v>14</v>
      </c>
      <c r="AF195" s="239" t="str">
        <f t="shared" si="41"/>
        <v/>
      </c>
      <c r="AI195" s="888" t="s">
        <v>830</v>
      </c>
      <c r="AJ195" s="889"/>
      <c r="AK195" s="889"/>
      <c r="AL195" s="889"/>
      <c r="AM195" s="889"/>
      <c r="AN195" s="515" t="s">
        <v>831</v>
      </c>
      <c r="AO195" s="224">
        <f t="shared" si="30"/>
        <v>0</v>
      </c>
      <c r="AP195" s="503"/>
      <c r="AQ195" s="215"/>
      <c r="AR195" s="890" t="s">
        <v>832</v>
      </c>
      <c r="AS195" s="891"/>
      <c r="AT195" s="891"/>
      <c r="AU195" s="891"/>
      <c r="AV195" s="891"/>
      <c r="AW195" s="371" t="s">
        <v>833</v>
      </c>
      <c r="AX195" s="224">
        <f t="shared" si="16"/>
        <v>0</v>
      </c>
      <c r="AY195" s="424"/>
      <c r="BA195" s="218"/>
      <c r="BC195" s="514"/>
      <c r="BD195" s="514"/>
      <c r="BE195" s="514"/>
      <c r="BF195" s="514"/>
    </row>
    <row r="196" spans="1:58" ht="18" x14ac:dyDescent="0.25">
      <c r="A196" s="857" t="s">
        <v>61</v>
      </c>
      <c r="B196" s="858"/>
      <c r="C196" s="859"/>
      <c r="D196" s="908"/>
      <c r="E196" s="909"/>
      <c r="F196" s="24" t="s">
        <v>62</v>
      </c>
      <c r="G196" s="860">
        <f>COUNTIF($AO$2:$CA$42,F196)</f>
        <v>0</v>
      </c>
      <c r="H196" s="861"/>
      <c r="I196" s="862"/>
      <c r="J196" s="259">
        <v>0</v>
      </c>
      <c r="K196" s="260">
        <v>0</v>
      </c>
      <c r="L196" s="261">
        <f t="shared" ref="L196:L198" si="44">G196-K196-J196</f>
        <v>0</v>
      </c>
      <c r="M196" s="174"/>
      <c r="N196" s="857" t="s">
        <v>61</v>
      </c>
      <c r="O196" s="858"/>
      <c r="P196" s="859"/>
      <c r="Q196" s="908"/>
      <c r="R196" s="909"/>
      <c r="S196" s="24" t="s">
        <v>62</v>
      </c>
      <c r="T196" s="863">
        <f>COUNTIF($A$2:$AN$70,S196)</f>
        <v>0</v>
      </c>
      <c r="U196" s="863"/>
      <c r="V196" s="863"/>
      <c r="W196" s="259">
        <v>0</v>
      </c>
      <c r="X196" s="260">
        <v>0</v>
      </c>
      <c r="Y196" s="261">
        <f t="shared" ref="Y196:Y198" si="45">T196-X196-W196</f>
        <v>0</v>
      </c>
      <c r="Z196" s="262">
        <f t="shared" ref="Z196:Z199" si="46">T196+G196</f>
        <v>0</v>
      </c>
      <c r="AA196" s="231"/>
      <c r="AC196" s="337" t="s">
        <v>834</v>
      </c>
      <c r="AD196" s="124" t="s">
        <v>166</v>
      </c>
      <c r="AE196" s="238">
        <f t="shared" si="40"/>
        <v>7</v>
      </c>
      <c r="AF196" s="239" t="str">
        <f t="shared" si="41"/>
        <v/>
      </c>
      <c r="AI196" s="888" t="s">
        <v>835</v>
      </c>
      <c r="AJ196" s="889"/>
      <c r="AK196" s="889"/>
      <c r="AL196" s="889"/>
      <c r="AM196" s="889"/>
      <c r="AN196" s="531" t="s">
        <v>836</v>
      </c>
      <c r="AO196" s="224">
        <f t="shared" si="30"/>
        <v>0</v>
      </c>
      <c r="AP196" s="503"/>
      <c r="AQ196" s="215"/>
      <c r="AR196" s="890" t="s">
        <v>837</v>
      </c>
      <c r="AS196" s="891"/>
      <c r="AT196" s="891"/>
      <c r="AU196" s="891"/>
      <c r="AV196" s="891"/>
      <c r="AW196" s="532" t="s">
        <v>838</v>
      </c>
      <c r="AX196" s="224">
        <f t="shared" si="16"/>
        <v>0</v>
      </c>
      <c r="AY196" s="424"/>
      <c r="BA196" s="218"/>
      <c r="BC196" s="516"/>
      <c r="BD196" s="516"/>
      <c r="BE196" s="516"/>
      <c r="BF196" s="516"/>
    </row>
    <row r="197" spans="1:58" ht="18" x14ac:dyDescent="0.25">
      <c r="A197" s="857" t="s">
        <v>63</v>
      </c>
      <c r="B197" s="858"/>
      <c r="C197" s="859"/>
      <c r="D197" s="908"/>
      <c r="E197" s="909"/>
      <c r="F197" s="25" t="s">
        <v>64</v>
      </c>
      <c r="G197" s="860">
        <f>COUNTIF($AO$2:$CA$42,F197)</f>
        <v>0</v>
      </c>
      <c r="H197" s="861"/>
      <c r="I197" s="862"/>
      <c r="J197" s="259">
        <v>0</v>
      </c>
      <c r="K197" s="260">
        <v>0</v>
      </c>
      <c r="L197" s="261">
        <f t="shared" si="44"/>
        <v>0</v>
      </c>
      <c r="M197" s="174"/>
      <c r="N197" s="857" t="s">
        <v>63</v>
      </c>
      <c r="O197" s="858"/>
      <c r="P197" s="859"/>
      <c r="Q197" s="908"/>
      <c r="R197" s="909"/>
      <c r="S197" s="25" t="s">
        <v>64</v>
      </c>
      <c r="T197" s="863">
        <f>COUNTIF($A$2:$AN$70,S197)</f>
        <v>0</v>
      </c>
      <c r="U197" s="863"/>
      <c r="V197" s="863"/>
      <c r="W197" s="259">
        <v>0</v>
      </c>
      <c r="X197" s="260">
        <v>0</v>
      </c>
      <c r="Y197" s="261">
        <f t="shared" si="45"/>
        <v>0</v>
      </c>
      <c r="Z197" s="262">
        <f t="shared" si="46"/>
        <v>0</v>
      </c>
      <c r="AA197" s="231"/>
      <c r="AC197" s="337" t="s">
        <v>839</v>
      </c>
      <c r="AD197" s="533" t="s">
        <v>840</v>
      </c>
      <c r="AE197" s="238">
        <f t="shared" si="40"/>
        <v>0</v>
      </c>
      <c r="AF197" s="239" t="str">
        <f t="shared" si="41"/>
        <v/>
      </c>
      <c r="AI197" s="888" t="s">
        <v>841</v>
      </c>
      <c r="AJ197" s="889"/>
      <c r="AK197" s="889"/>
      <c r="AL197" s="889"/>
      <c r="AM197" s="889"/>
      <c r="AN197" s="534" t="s">
        <v>842</v>
      </c>
      <c r="AO197" s="224">
        <f t="shared" si="30"/>
        <v>0</v>
      </c>
      <c r="AP197" s="503"/>
      <c r="AQ197" s="215"/>
      <c r="AR197" s="885" t="s">
        <v>843</v>
      </c>
      <c r="AS197" s="886"/>
      <c r="AT197" s="886"/>
      <c r="AU197" s="886"/>
      <c r="AV197" s="887"/>
      <c r="AW197" s="394"/>
      <c r="AX197" s="395">
        <f>SUM(AX143:AX196)</f>
        <v>0</v>
      </c>
      <c r="AY197" s="215"/>
      <c r="BA197" s="218"/>
      <c r="BC197" s="514"/>
      <c r="BD197" s="514"/>
      <c r="BE197" s="514"/>
      <c r="BF197" s="514"/>
    </row>
    <row r="198" spans="1:58" ht="18" x14ac:dyDescent="0.25">
      <c r="A198" s="857" t="s">
        <v>65</v>
      </c>
      <c r="B198" s="858"/>
      <c r="C198" s="859"/>
      <c r="D198" s="908"/>
      <c r="E198" s="909"/>
      <c r="F198" s="26" t="s">
        <v>66</v>
      </c>
      <c r="G198" s="860">
        <f>COUNTIF($AO$2:$CA$42,F198)</f>
        <v>0</v>
      </c>
      <c r="H198" s="861"/>
      <c r="I198" s="862"/>
      <c r="J198" s="259">
        <v>0</v>
      </c>
      <c r="K198" s="260">
        <v>0</v>
      </c>
      <c r="L198" s="261">
        <f t="shared" si="44"/>
        <v>0</v>
      </c>
      <c r="M198" s="174"/>
      <c r="N198" s="857" t="s">
        <v>65</v>
      </c>
      <c r="O198" s="858"/>
      <c r="P198" s="859"/>
      <c r="Q198" s="908"/>
      <c r="R198" s="909"/>
      <c r="S198" s="26" t="s">
        <v>66</v>
      </c>
      <c r="T198" s="863">
        <f>COUNTIF($A$2:$AN$70,S198)</f>
        <v>0</v>
      </c>
      <c r="U198" s="863"/>
      <c r="V198" s="863"/>
      <c r="W198" s="259">
        <v>0</v>
      </c>
      <c r="X198" s="260">
        <v>0</v>
      </c>
      <c r="Y198" s="261">
        <f t="shared" si="45"/>
        <v>0</v>
      </c>
      <c r="Z198" s="262">
        <f t="shared" si="46"/>
        <v>0</v>
      </c>
      <c r="AA198" s="231"/>
      <c r="AI198" s="888" t="s">
        <v>844</v>
      </c>
      <c r="AJ198" s="889"/>
      <c r="AK198" s="889"/>
      <c r="AL198" s="889"/>
      <c r="AM198" s="889"/>
      <c r="AN198" s="455" t="s">
        <v>845</v>
      </c>
      <c r="AO198" s="224">
        <f t="shared" si="30"/>
        <v>0</v>
      </c>
      <c r="AP198" s="503"/>
      <c r="AQ198" s="215"/>
      <c r="AR198" s="215"/>
      <c r="AS198" s="215"/>
      <c r="AT198" s="215"/>
      <c r="AU198" s="215"/>
      <c r="AV198" s="215"/>
      <c r="AW198" s="215"/>
      <c r="AX198" s="215"/>
      <c r="AY198" s="215"/>
      <c r="BA198" s="218"/>
      <c r="BC198" s="521"/>
      <c r="BD198" s="521"/>
      <c r="BE198" s="521"/>
      <c r="BF198" s="521"/>
    </row>
    <row r="199" spans="1:58" ht="18" x14ac:dyDescent="0.25">
      <c r="A199" s="925" t="s">
        <v>846</v>
      </c>
      <c r="B199" s="916"/>
      <c r="C199" s="916"/>
      <c r="D199" s="916"/>
      <c r="E199" s="916"/>
      <c r="F199" s="478"/>
      <c r="G199" s="917">
        <f t="shared" ref="G199" si="47">SUM(G196:I198)</f>
        <v>0</v>
      </c>
      <c r="H199" s="917"/>
      <c r="I199" s="917"/>
      <c r="J199" s="494">
        <f t="shared" ref="J199:L199" si="48">SUM(J196:L198)</f>
        <v>0</v>
      </c>
      <c r="K199" s="495">
        <f t="shared" si="48"/>
        <v>0</v>
      </c>
      <c r="L199" s="261">
        <f t="shared" si="48"/>
        <v>0</v>
      </c>
      <c r="M199" s="174"/>
      <c r="N199" s="925" t="s">
        <v>846</v>
      </c>
      <c r="O199" s="916"/>
      <c r="P199" s="916"/>
      <c r="Q199" s="916"/>
      <c r="R199" s="916"/>
      <c r="S199" s="478"/>
      <c r="T199" s="917">
        <f t="shared" ref="T199" si="49">SUM(T196:V198)</f>
        <v>0</v>
      </c>
      <c r="U199" s="917"/>
      <c r="V199" s="917"/>
      <c r="W199" s="494">
        <f t="shared" ref="W199:X199" si="50">SUM(W196:Y198)</f>
        <v>0</v>
      </c>
      <c r="X199" s="495">
        <f t="shared" si="50"/>
        <v>0</v>
      </c>
      <c r="Y199" s="261">
        <f>SUM(Y191:AA193)</f>
        <v>0</v>
      </c>
      <c r="Z199" s="262">
        <f t="shared" si="46"/>
        <v>0</v>
      </c>
      <c r="AA199" s="231"/>
      <c r="AI199" s="888" t="s">
        <v>847</v>
      </c>
      <c r="AJ199" s="889"/>
      <c r="AK199" s="889"/>
      <c r="AL199" s="889"/>
      <c r="AM199" s="889"/>
      <c r="AN199" s="535" t="s">
        <v>848</v>
      </c>
      <c r="AO199" s="224">
        <f t="shared" si="30"/>
        <v>0</v>
      </c>
      <c r="AP199" s="503"/>
      <c r="AQ199" s="215"/>
      <c r="AR199" s="834" t="s">
        <v>355</v>
      </c>
      <c r="AS199" s="835"/>
      <c r="AT199" s="835"/>
      <c r="AU199" s="835"/>
      <c r="AV199" s="835"/>
      <c r="AW199" s="836"/>
      <c r="AX199" s="216" t="s">
        <v>258</v>
      </c>
      <c r="AY199" s="217"/>
      <c r="BA199" s="218"/>
    </row>
    <row r="200" spans="1:58" ht="18" x14ac:dyDescent="0.25">
      <c r="M200" s="174"/>
      <c r="AA200" s="231"/>
      <c r="AI200" s="888" t="s">
        <v>849</v>
      </c>
      <c r="AJ200" s="889"/>
      <c r="AK200" s="889"/>
      <c r="AL200" s="889"/>
      <c r="AM200" s="889"/>
      <c r="AN200" s="535" t="s">
        <v>850</v>
      </c>
      <c r="AO200" s="224">
        <f t="shared" si="30"/>
        <v>0</v>
      </c>
      <c r="AP200" s="503"/>
      <c r="AQ200" s="215"/>
      <c r="AR200" s="890" t="s">
        <v>851</v>
      </c>
      <c r="AS200" s="891"/>
      <c r="AT200" s="891"/>
      <c r="AU200" s="891"/>
      <c r="AV200" s="891"/>
      <c r="AW200" s="536" t="s">
        <v>852</v>
      </c>
      <c r="AX200" s="224">
        <f t="shared" ref="AX200:AX237" si="51">COUNTIF($A$1:$GO$76,AW200)</f>
        <v>0</v>
      </c>
      <c r="AY200" s="537"/>
      <c r="BA200" s="218"/>
      <c r="BC200" s="514"/>
      <c r="BD200" s="514"/>
      <c r="BE200" s="514"/>
      <c r="BF200" s="514"/>
    </row>
    <row r="201" spans="1:58" ht="18" x14ac:dyDescent="0.25">
      <c r="M201" s="174"/>
      <c r="AA201" s="231"/>
      <c r="AI201" s="888" t="s">
        <v>853</v>
      </c>
      <c r="AJ201" s="889"/>
      <c r="AK201" s="889"/>
      <c r="AL201" s="889"/>
      <c r="AM201" s="889"/>
      <c r="AN201" s="538" t="s">
        <v>854</v>
      </c>
      <c r="AO201" s="224">
        <f t="shared" si="30"/>
        <v>0</v>
      </c>
      <c r="AP201" s="503"/>
      <c r="AQ201" s="215"/>
      <c r="AR201" s="890" t="s">
        <v>855</v>
      </c>
      <c r="AS201" s="891"/>
      <c r="AT201" s="891"/>
      <c r="AU201" s="891"/>
      <c r="AV201" s="891"/>
      <c r="AW201" s="313" t="s">
        <v>856</v>
      </c>
      <c r="AX201" s="224">
        <f t="shared" si="51"/>
        <v>0</v>
      </c>
      <c r="AY201" s="537"/>
      <c r="BA201" s="218"/>
      <c r="BC201" s="514"/>
      <c r="BD201" s="514"/>
      <c r="BE201" s="514"/>
      <c r="BF201" s="514"/>
    </row>
    <row r="202" spans="1:58" ht="18.75" x14ac:dyDescent="0.25">
      <c r="A202" s="892" t="s">
        <v>857</v>
      </c>
      <c r="B202" s="893"/>
      <c r="C202" s="893"/>
      <c r="D202" s="893"/>
      <c r="E202" s="893"/>
      <c r="F202" s="342"/>
      <c r="G202" s="926">
        <f>G169+G126+G150+G199+G192+G184+G177+G146</f>
        <v>36</v>
      </c>
      <c r="H202" s="926"/>
      <c r="I202" s="926"/>
      <c r="J202" s="539">
        <f>J169+J126+J150+J199+J192+J184+J177+J146</f>
        <v>0</v>
      </c>
      <c r="K202" s="341">
        <f>K169+K126+K150+K199+K192+K184+K177+K146</f>
        <v>0</v>
      </c>
      <c r="L202" s="261">
        <f>L169+L126+L150+L199+L192+L184+L177+L146</f>
        <v>36</v>
      </c>
      <c r="M202" s="231"/>
      <c r="N202" s="892" t="s">
        <v>857</v>
      </c>
      <c r="O202" s="893"/>
      <c r="P202" s="893"/>
      <c r="Q202" s="893"/>
      <c r="R202" s="893"/>
      <c r="S202" s="342"/>
      <c r="T202" s="926">
        <f>T169+T126+T150+T199+T192+T184+T177+T146</f>
        <v>34</v>
      </c>
      <c r="U202" s="926"/>
      <c r="V202" s="926"/>
      <c r="W202" s="539">
        <f>W169+W126+W150+W199+W192+W184+W177+W146</f>
        <v>0</v>
      </c>
      <c r="X202" s="341">
        <f>X169+X126+X150+X199+X192+X184+X177+X146</f>
        <v>0</v>
      </c>
      <c r="Y202" s="261">
        <f>Y169+Y126+Y150+Y199+Y192+Y184+Y177+Y146</f>
        <v>40</v>
      </c>
      <c r="Z202" s="262">
        <f>T202+G202</f>
        <v>70</v>
      </c>
      <c r="AA202" s="231"/>
      <c r="AI202" s="888" t="s">
        <v>858</v>
      </c>
      <c r="AJ202" s="889"/>
      <c r="AK202" s="889"/>
      <c r="AL202" s="889"/>
      <c r="AM202" s="889"/>
      <c r="AN202" s="540" t="s">
        <v>859</v>
      </c>
      <c r="AO202" s="224">
        <f t="shared" si="30"/>
        <v>0</v>
      </c>
      <c r="AP202" s="503"/>
      <c r="AQ202" s="215"/>
      <c r="AR202" s="890" t="s">
        <v>860</v>
      </c>
      <c r="AS202" s="891"/>
      <c r="AT202" s="891"/>
      <c r="AU202" s="891"/>
      <c r="AV202" s="891"/>
      <c r="AW202" s="541" t="s">
        <v>861</v>
      </c>
      <c r="AX202" s="224">
        <f t="shared" si="51"/>
        <v>0</v>
      </c>
      <c r="AY202" s="537"/>
      <c r="BA202" s="218"/>
      <c r="BB202" s="542"/>
      <c r="BC202" s="521"/>
      <c r="BD202" s="521"/>
      <c r="BE202" s="521"/>
      <c r="BF202" s="521"/>
    </row>
    <row r="203" spans="1:58" ht="16.5" x14ac:dyDescent="0.25">
      <c r="M203" s="174"/>
      <c r="AA203" s="231"/>
      <c r="AI203" s="888" t="s">
        <v>862</v>
      </c>
      <c r="AJ203" s="889"/>
      <c r="AK203" s="889"/>
      <c r="AL203" s="889"/>
      <c r="AM203" s="889"/>
      <c r="AN203" s="298" t="s">
        <v>862</v>
      </c>
      <c r="AO203" s="224">
        <f t="shared" si="30"/>
        <v>0</v>
      </c>
      <c r="AP203" s="503"/>
      <c r="AQ203" s="215"/>
      <c r="AR203" s="890" t="s">
        <v>863</v>
      </c>
      <c r="AS203" s="891"/>
      <c r="AT203" s="891"/>
      <c r="AU203" s="891"/>
      <c r="AV203" s="891"/>
      <c r="AW203" s="543" t="s">
        <v>864</v>
      </c>
      <c r="AX203" s="224">
        <f t="shared" si="51"/>
        <v>0</v>
      </c>
      <c r="AY203" s="537"/>
      <c r="BA203" s="218"/>
      <c r="BB203" s="28"/>
    </row>
    <row r="204" spans="1:58" ht="18" x14ac:dyDescent="0.25">
      <c r="M204" s="174"/>
      <c r="AA204" s="231"/>
      <c r="AI204" s="888" t="s">
        <v>865</v>
      </c>
      <c r="AJ204" s="889"/>
      <c r="AK204" s="889"/>
      <c r="AL204" s="889"/>
      <c r="AM204" s="889"/>
      <c r="AN204" s="544" t="s">
        <v>866</v>
      </c>
      <c r="AO204" s="224">
        <f t="shared" si="30"/>
        <v>0</v>
      </c>
      <c r="AP204" s="503"/>
      <c r="AQ204" s="215"/>
      <c r="AR204" s="890" t="s">
        <v>867</v>
      </c>
      <c r="AS204" s="891"/>
      <c r="AT204" s="891"/>
      <c r="AU204" s="891"/>
      <c r="AV204" s="891"/>
      <c r="AW204" s="545" t="s">
        <v>868</v>
      </c>
      <c r="AX204" s="224">
        <f t="shared" si="51"/>
        <v>0</v>
      </c>
      <c r="AY204" s="537"/>
      <c r="BA204" s="218"/>
      <c r="BB204" s="542"/>
      <c r="BC204" s="514"/>
      <c r="BD204" s="514"/>
      <c r="BE204" s="514"/>
      <c r="BF204" s="514"/>
    </row>
    <row r="205" spans="1:58" ht="18" x14ac:dyDescent="0.25">
      <c r="M205" s="174"/>
      <c r="AA205" s="231"/>
      <c r="AI205" s="888" t="s">
        <v>869</v>
      </c>
      <c r="AJ205" s="889"/>
      <c r="AK205" s="889"/>
      <c r="AL205" s="889"/>
      <c r="AM205" s="889"/>
      <c r="AN205" s="546" t="s">
        <v>870</v>
      </c>
      <c r="AO205" s="224">
        <f t="shared" si="30"/>
        <v>0</v>
      </c>
      <c r="AP205" s="503"/>
      <c r="AQ205" s="215"/>
      <c r="AR205" s="890" t="s">
        <v>871</v>
      </c>
      <c r="AS205" s="891"/>
      <c r="AT205" s="891"/>
      <c r="AU205" s="891"/>
      <c r="AV205" s="891"/>
      <c r="AW205" s="547" t="s">
        <v>872</v>
      </c>
      <c r="AX205" s="224">
        <f t="shared" si="51"/>
        <v>0</v>
      </c>
      <c r="AY205" s="537"/>
      <c r="BA205" s="218"/>
      <c r="BB205" s="542"/>
      <c r="BC205" s="516"/>
      <c r="BD205" s="516"/>
      <c r="BE205" s="516"/>
      <c r="BF205" s="516"/>
    </row>
    <row r="206" spans="1:58" ht="18" x14ac:dyDescent="0.25">
      <c r="A206" s="927" t="s">
        <v>873</v>
      </c>
      <c r="B206" s="927"/>
      <c r="C206" s="927"/>
      <c r="D206" s="927"/>
      <c r="E206" s="927"/>
      <c r="F206" s="927"/>
      <c r="G206" s="927"/>
      <c r="H206" s="927"/>
      <c r="I206" s="927"/>
      <c r="J206" s="927"/>
      <c r="K206" s="927"/>
      <c r="L206" s="927"/>
      <c r="M206" s="927"/>
      <c r="N206" s="927"/>
      <c r="O206" s="927"/>
      <c r="P206" s="927"/>
      <c r="Q206" s="927"/>
      <c r="R206" s="927"/>
      <c r="S206" s="927"/>
      <c r="T206" s="927"/>
      <c r="U206" s="927"/>
      <c r="V206" s="927"/>
      <c r="W206" s="927"/>
      <c r="X206" s="927"/>
      <c r="Y206" s="927"/>
      <c r="Z206" s="927"/>
      <c r="AA206" s="231" t="b">
        <f>IFERROR(#REF!&gt;0.5,FALSE)</f>
        <v>0</v>
      </c>
      <c r="AI206" s="888" t="s">
        <v>874</v>
      </c>
      <c r="AJ206" s="889"/>
      <c r="AK206" s="889"/>
      <c r="AL206" s="889"/>
      <c r="AM206" s="889"/>
      <c r="AN206" s="548" t="s">
        <v>875</v>
      </c>
      <c r="AO206" s="224">
        <f t="shared" si="30"/>
        <v>0</v>
      </c>
      <c r="AP206" s="503"/>
      <c r="AQ206" s="215"/>
      <c r="AR206" s="890" t="s">
        <v>876</v>
      </c>
      <c r="AS206" s="891"/>
      <c r="AT206" s="891"/>
      <c r="AU206" s="891"/>
      <c r="AV206" s="891"/>
      <c r="AW206" s="547" t="s">
        <v>877</v>
      </c>
      <c r="AX206" s="224">
        <f t="shared" si="51"/>
        <v>0</v>
      </c>
      <c r="AY206" s="537"/>
      <c r="BA206" s="218"/>
      <c r="BC206" s="514"/>
      <c r="BD206" s="514"/>
      <c r="BE206" s="514"/>
      <c r="BF206" s="514"/>
    </row>
    <row r="207" spans="1:58" ht="18" x14ac:dyDescent="0.25">
      <c r="A207" s="927"/>
      <c r="B207" s="927"/>
      <c r="C207" s="927"/>
      <c r="D207" s="927"/>
      <c r="E207" s="927"/>
      <c r="F207" s="927"/>
      <c r="G207" s="927"/>
      <c r="H207" s="927"/>
      <c r="I207" s="927"/>
      <c r="J207" s="927"/>
      <c r="K207" s="927"/>
      <c r="L207" s="927"/>
      <c r="M207" s="927"/>
      <c r="N207" s="927"/>
      <c r="O207" s="927"/>
      <c r="P207" s="927"/>
      <c r="Q207" s="927"/>
      <c r="R207" s="927"/>
      <c r="S207" s="927"/>
      <c r="T207" s="927"/>
      <c r="U207" s="927"/>
      <c r="V207" s="927"/>
      <c r="W207" s="927"/>
      <c r="X207" s="927"/>
      <c r="Y207" s="927"/>
      <c r="Z207" s="927"/>
      <c r="AA207" s="231" t="b">
        <f>IFERROR(#REF!&gt;0.5,FALSE)</f>
        <v>0</v>
      </c>
      <c r="AI207" s="888" t="s">
        <v>878</v>
      </c>
      <c r="AJ207" s="889"/>
      <c r="AK207" s="889"/>
      <c r="AL207" s="889"/>
      <c r="AM207" s="889"/>
      <c r="AN207" s="549" t="s">
        <v>879</v>
      </c>
      <c r="AO207" s="224">
        <f t="shared" si="30"/>
        <v>0</v>
      </c>
      <c r="AP207" s="503"/>
      <c r="AQ207" s="215"/>
      <c r="AR207" s="890" t="s">
        <v>880</v>
      </c>
      <c r="AS207" s="891"/>
      <c r="AT207" s="891"/>
      <c r="AU207" s="891"/>
      <c r="AV207" s="891"/>
      <c r="AW207" s="547" t="s">
        <v>881</v>
      </c>
      <c r="AX207" s="224">
        <f t="shared" si="51"/>
        <v>0</v>
      </c>
      <c r="AY207" s="537"/>
      <c r="BA207" s="218"/>
      <c r="BB207" s="542"/>
      <c r="BC207" s="521"/>
      <c r="BD207" s="521"/>
      <c r="BE207" s="521"/>
      <c r="BF207" s="521"/>
    </row>
    <row r="208" spans="1:58" ht="17.25" thickBot="1" x14ac:dyDescent="0.3">
      <c r="AA208" s="231"/>
      <c r="AI208" s="928" t="s">
        <v>882</v>
      </c>
      <c r="AJ208" s="929"/>
      <c r="AK208" s="929"/>
      <c r="AL208" s="929"/>
      <c r="AM208" s="930"/>
      <c r="AN208" s="394"/>
      <c r="AO208" s="395">
        <f>SUM(AO179:AO207)</f>
        <v>0</v>
      </c>
      <c r="AP208" s="215"/>
      <c r="AQ208" s="215"/>
      <c r="AR208" s="890" t="s">
        <v>883</v>
      </c>
      <c r="AS208" s="891"/>
      <c r="AT208" s="891"/>
      <c r="AU208" s="891"/>
      <c r="AV208" s="891"/>
      <c r="AW208" s="550" t="s">
        <v>884</v>
      </c>
      <c r="AX208" s="224">
        <f t="shared" si="51"/>
        <v>0</v>
      </c>
      <c r="AY208" s="537"/>
      <c r="BA208" s="218"/>
      <c r="BB208" s="28"/>
    </row>
    <row r="209" spans="1:58" ht="27.75" thickBot="1" x14ac:dyDescent="0.3">
      <c r="A209" s="931" t="s">
        <v>885</v>
      </c>
      <c r="B209" s="932"/>
      <c r="C209" s="932"/>
      <c r="D209" s="932"/>
      <c r="E209" s="932"/>
      <c r="F209" s="932"/>
      <c r="G209" s="933"/>
      <c r="H209" s="551">
        <f>F211+S211</f>
        <v>2</v>
      </c>
      <c r="AA209" s="231"/>
      <c r="AI209" s="552"/>
      <c r="AJ209" s="215"/>
      <c r="AK209" s="215"/>
      <c r="AL209" s="215"/>
      <c r="AM209" s="215"/>
      <c r="AN209" s="215"/>
      <c r="AO209" s="215"/>
      <c r="AP209" s="215"/>
      <c r="AQ209" s="215"/>
      <c r="AR209" s="890" t="s">
        <v>886</v>
      </c>
      <c r="AS209" s="891"/>
      <c r="AT209" s="891"/>
      <c r="AU209" s="891"/>
      <c r="AV209" s="891"/>
      <c r="AW209" s="294" t="s">
        <v>887</v>
      </c>
      <c r="AX209" s="224">
        <f t="shared" si="51"/>
        <v>0</v>
      </c>
      <c r="AY209" s="537"/>
      <c r="BA209" s="218"/>
      <c r="BB209" s="542"/>
      <c r="BC209" s="514"/>
      <c r="BD209" s="514"/>
      <c r="BE209" s="514"/>
      <c r="BF209" s="514"/>
    </row>
    <row r="210" spans="1:58" ht="18.75" thickBot="1" x14ac:dyDescent="0.3">
      <c r="AA210" s="231"/>
      <c r="AI210" s="552"/>
      <c r="AJ210" s="215"/>
      <c r="AK210" s="215"/>
      <c r="AL210" s="215"/>
      <c r="AM210" s="215"/>
      <c r="AN210" s="215"/>
      <c r="AO210" s="215"/>
      <c r="AQ210" s="215"/>
      <c r="AR210" s="890" t="s">
        <v>888</v>
      </c>
      <c r="AS210" s="891"/>
      <c r="AT210" s="891"/>
      <c r="AU210" s="891"/>
      <c r="AV210" s="891"/>
      <c r="AW210" s="553" t="s">
        <v>889</v>
      </c>
      <c r="AX210" s="224">
        <f t="shared" si="51"/>
        <v>0</v>
      </c>
      <c r="AY210" s="554"/>
      <c r="BA210" s="218"/>
      <c r="BB210" s="542"/>
      <c r="BC210" s="516"/>
      <c r="BD210" s="516"/>
      <c r="BE210" s="516"/>
      <c r="BF210" s="516"/>
    </row>
    <row r="211" spans="1:58" ht="24" thickBot="1" x14ac:dyDescent="0.4">
      <c r="A211" s="934" t="s">
        <v>890</v>
      </c>
      <c r="B211" s="935"/>
      <c r="C211" s="935"/>
      <c r="D211" s="935"/>
      <c r="E211" s="936"/>
      <c r="F211" s="937">
        <f>SUM(G220,G235,G243,G247,G251)</f>
        <v>2</v>
      </c>
      <c r="G211" s="938"/>
      <c r="N211" s="934" t="s">
        <v>857</v>
      </c>
      <c r="O211" s="935"/>
      <c r="P211" s="935"/>
      <c r="Q211" s="935"/>
      <c r="R211" s="936"/>
      <c r="S211" s="937">
        <f>SUM(T220,T235,T243,T247,T251)</f>
        <v>0</v>
      </c>
      <c r="T211" s="938"/>
      <c r="AA211" s="231"/>
      <c r="AI211" s="918" t="s">
        <v>331</v>
      </c>
      <c r="AJ211" s="835"/>
      <c r="AK211" s="835"/>
      <c r="AL211" s="835"/>
      <c r="AM211" s="835"/>
      <c r="AN211" s="939"/>
      <c r="AO211" s="216" t="s">
        <v>258</v>
      </c>
      <c r="AP211" s="217"/>
      <c r="AQ211" s="215"/>
      <c r="AR211" s="890" t="s">
        <v>891</v>
      </c>
      <c r="AS211" s="891"/>
      <c r="AT211" s="891"/>
      <c r="AU211" s="891"/>
      <c r="AV211" s="891"/>
      <c r="AW211" s="555" t="s">
        <v>892</v>
      </c>
      <c r="AX211" s="224">
        <f t="shared" si="51"/>
        <v>0</v>
      </c>
      <c r="AY211" s="554"/>
      <c r="BA211" s="218"/>
      <c r="BC211" s="514"/>
      <c r="BD211" s="514"/>
      <c r="BE211" s="514"/>
      <c r="BF211" s="514"/>
    </row>
    <row r="212" spans="1:58" ht="21.75" thickBot="1" x14ac:dyDescent="0.4">
      <c r="A212" s="556"/>
      <c r="B212" s="557"/>
      <c r="C212" s="557"/>
      <c r="D212" s="557"/>
      <c r="E212" s="558"/>
      <c r="F212" s="558"/>
      <c r="G212" s="558"/>
      <c r="Q212" s="558"/>
      <c r="AA212" s="231"/>
      <c r="AI212" s="888" t="s">
        <v>893</v>
      </c>
      <c r="AJ212" s="889"/>
      <c r="AK212" s="889"/>
      <c r="AL212" s="889"/>
      <c r="AM212" s="941"/>
      <c r="AN212" s="559" t="s">
        <v>894</v>
      </c>
      <c r="AO212" s="224">
        <f>COUNTIF($A$1:$GO$76,AN212)</f>
        <v>0</v>
      </c>
      <c r="AP212" s="560"/>
      <c r="AQ212" s="215"/>
      <c r="AR212" s="942" t="s">
        <v>895</v>
      </c>
      <c r="AS212" s="943"/>
      <c r="AT212" s="943"/>
      <c r="AU212" s="943"/>
      <c r="AV212" s="943"/>
      <c r="AW212" s="561" t="s">
        <v>896</v>
      </c>
      <c r="AX212" s="224">
        <f t="shared" si="51"/>
        <v>0</v>
      </c>
      <c r="AY212" s="554"/>
      <c r="BA212" s="218"/>
      <c r="BC212" s="521"/>
      <c r="BD212" s="521"/>
      <c r="BE212" s="521"/>
      <c r="BF212" s="521"/>
    </row>
    <row r="213" spans="1:58" ht="18.75" thickBot="1" x14ac:dyDescent="0.3">
      <c r="A213" s="944" t="s">
        <v>897</v>
      </c>
      <c r="B213" s="945"/>
      <c r="C213" s="945"/>
      <c r="D213" s="945"/>
      <c r="E213" s="946"/>
      <c r="G213" s="947"/>
      <c r="H213" s="947"/>
      <c r="I213" s="947"/>
      <c r="N213" s="944" t="s">
        <v>897</v>
      </c>
      <c r="O213" s="945"/>
      <c r="P213" s="945"/>
      <c r="Q213" s="945"/>
      <c r="R213" s="946"/>
      <c r="T213" s="947"/>
      <c r="U213" s="947"/>
      <c r="V213" s="947"/>
      <c r="AA213" s="231"/>
      <c r="AI213" s="888" t="s">
        <v>898</v>
      </c>
      <c r="AJ213" s="889"/>
      <c r="AK213" s="889"/>
      <c r="AL213" s="889"/>
      <c r="AM213" s="941"/>
      <c r="AN213" s="562" t="s">
        <v>899</v>
      </c>
      <c r="AO213" s="224">
        <f>COUNTIF($A$1:$GO$76,AN213)</f>
        <v>0</v>
      </c>
      <c r="AP213" s="560"/>
      <c r="AQ213" s="215"/>
      <c r="AR213" s="890" t="s">
        <v>900</v>
      </c>
      <c r="AS213" s="891"/>
      <c r="AT213" s="891"/>
      <c r="AU213" s="891"/>
      <c r="AV213" s="891"/>
      <c r="AW213" s="490" t="s">
        <v>901</v>
      </c>
      <c r="AX213" s="224">
        <f t="shared" si="51"/>
        <v>0</v>
      </c>
      <c r="AY213" s="554"/>
      <c r="BA213" s="218"/>
      <c r="BB213" s="542"/>
    </row>
    <row r="214" spans="1:58" ht="18.75" x14ac:dyDescent="0.25">
      <c r="A214" s="940" t="s">
        <v>902</v>
      </c>
      <c r="B214" s="940"/>
      <c r="C214" s="940"/>
      <c r="D214" s="940"/>
      <c r="E214" s="940"/>
      <c r="F214" s="53" t="s">
        <v>903</v>
      </c>
      <c r="G214" s="860">
        <f t="shared" ref="G214:G219" si="52">COUNTIF($AO$2:$CA$42,F214)</f>
        <v>0</v>
      </c>
      <c r="H214" s="861"/>
      <c r="I214" s="862"/>
      <c r="N214" s="940" t="s">
        <v>902</v>
      </c>
      <c r="O214" s="940"/>
      <c r="P214" s="940"/>
      <c r="Q214" s="940"/>
      <c r="R214" s="940"/>
      <c r="S214" s="53" t="s">
        <v>903</v>
      </c>
      <c r="T214" s="863">
        <f t="shared" ref="T214:T219" si="53">COUNTIF($A$2:$AN$70,S214)</f>
        <v>0</v>
      </c>
      <c r="U214" s="863"/>
      <c r="V214" s="863"/>
      <c r="AA214" s="231" t="b">
        <f>IFERROR(#REF!&gt;0.5,FALSE)</f>
        <v>0</v>
      </c>
      <c r="AI214" s="928" t="s">
        <v>904</v>
      </c>
      <c r="AJ214" s="929"/>
      <c r="AK214" s="929"/>
      <c r="AL214" s="929"/>
      <c r="AM214" s="930"/>
      <c r="AN214" s="394"/>
      <c r="AO214" s="395">
        <f>SUM(AO212:AO213)</f>
        <v>0</v>
      </c>
      <c r="AP214" s="215"/>
      <c r="AQ214" s="215"/>
      <c r="AR214" s="890" t="s">
        <v>905</v>
      </c>
      <c r="AS214" s="891"/>
      <c r="AT214" s="891"/>
      <c r="AU214" s="891"/>
      <c r="AV214" s="891"/>
      <c r="AW214" s="563" t="s">
        <v>906</v>
      </c>
      <c r="AX214" s="224">
        <f t="shared" si="51"/>
        <v>0</v>
      </c>
      <c r="AY214" s="554"/>
      <c r="BA214" s="218"/>
      <c r="BB214" s="28"/>
      <c r="BC214" s="514"/>
      <c r="BD214" s="514"/>
      <c r="BE214" s="514"/>
      <c r="BF214" s="514"/>
    </row>
    <row r="215" spans="1:58" ht="18.75" x14ac:dyDescent="0.25">
      <c r="A215" s="948" t="s">
        <v>907</v>
      </c>
      <c r="B215" s="948"/>
      <c r="C215" s="948"/>
      <c r="D215" s="948"/>
      <c r="E215" s="948"/>
      <c r="F215" s="53" t="s">
        <v>908</v>
      </c>
      <c r="G215" s="860">
        <f t="shared" si="52"/>
        <v>0</v>
      </c>
      <c r="H215" s="861"/>
      <c r="I215" s="862"/>
      <c r="N215" s="948" t="s">
        <v>907</v>
      </c>
      <c r="O215" s="948"/>
      <c r="P215" s="948"/>
      <c r="Q215" s="948"/>
      <c r="R215" s="948"/>
      <c r="S215" s="53" t="s">
        <v>908</v>
      </c>
      <c r="T215" s="863">
        <f t="shared" si="53"/>
        <v>0</v>
      </c>
      <c r="U215" s="863"/>
      <c r="V215" s="863"/>
      <c r="AA215" s="231" t="b">
        <f>IFERROR(#REF!&gt;0.5,FALSE)</f>
        <v>0</v>
      </c>
      <c r="AI215" s="552"/>
      <c r="AJ215" s="215"/>
      <c r="AK215" s="215"/>
      <c r="AL215" s="215"/>
      <c r="AM215" s="215"/>
      <c r="AN215" s="215"/>
      <c r="AO215" s="215"/>
      <c r="AP215" s="215"/>
      <c r="AQ215" s="215"/>
      <c r="AR215" s="890" t="s">
        <v>909</v>
      </c>
      <c r="AS215" s="891"/>
      <c r="AT215" s="891"/>
      <c r="AU215" s="891"/>
      <c r="AV215" s="891"/>
      <c r="AW215" s="564" t="s">
        <v>910</v>
      </c>
      <c r="AX215" s="224">
        <f t="shared" si="51"/>
        <v>0</v>
      </c>
      <c r="AY215" s="554"/>
      <c r="BA215" s="218"/>
      <c r="BB215" s="542"/>
      <c r="BC215" s="516"/>
      <c r="BD215" s="516"/>
      <c r="BE215" s="516"/>
      <c r="BF215" s="516"/>
    </row>
    <row r="216" spans="1:58" ht="18.75" x14ac:dyDescent="0.25">
      <c r="A216" s="948" t="s">
        <v>911</v>
      </c>
      <c r="B216" s="948"/>
      <c r="C216" s="948"/>
      <c r="D216" s="948"/>
      <c r="E216" s="948"/>
      <c r="F216" s="53" t="s">
        <v>912</v>
      </c>
      <c r="G216" s="860">
        <f t="shared" si="52"/>
        <v>0</v>
      </c>
      <c r="H216" s="861"/>
      <c r="I216" s="862"/>
      <c r="N216" s="948" t="s">
        <v>911</v>
      </c>
      <c r="O216" s="948"/>
      <c r="P216" s="948"/>
      <c r="Q216" s="948"/>
      <c r="R216" s="948"/>
      <c r="S216" s="53" t="s">
        <v>912</v>
      </c>
      <c r="T216" s="863">
        <f t="shared" si="53"/>
        <v>0</v>
      </c>
      <c r="U216" s="863"/>
      <c r="V216" s="863"/>
      <c r="AA216" s="231"/>
      <c r="AI216" s="552"/>
      <c r="AJ216" s="215"/>
      <c r="AK216" s="215"/>
      <c r="AL216" s="215"/>
      <c r="AM216" s="215"/>
      <c r="AN216" s="215"/>
      <c r="AO216" s="215"/>
      <c r="AP216" s="215"/>
      <c r="AQ216" s="215"/>
      <c r="AR216" s="890" t="s">
        <v>913</v>
      </c>
      <c r="AS216" s="891"/>
      <c r="AT216" s="891"/>
      <c r="AU216" s="891"/>
      <c r="AV216" s="891"/>
      <c r="AW216" s="298" t="s">
        <v>914</v>
      </c>
      <c r="AX216" s="224">
        <f t="shared" si="51"/>
        <v>0</v>
      </c>
      <c r="AY216" s="554"/>
      <c r="BA216" s="218"/>
      <c r="BC216" s="514"/>
      <c r="BD216" s="514"/>
      <c r="BE216" s="514"/>
      <c r="BF216" s="514"/>
    </row>
    <row r="217" spans="1:58" ht="18.75" x14ac:dyDescent="0.25">
      <c r="A217" s="948" t="s">
        <v>915</v>
      </c>
      <c r="B217" s="948"/>
      <c r="C217" s="948"/>
      <c r="D217" s="948"/>
      <c r="E217" s="948"/>
      <c r="F217" s="53" t="s">
        <v>916</v>
      </c>
      <c r="G217" s="860">
        <f t="shared" si="52"/>
        <v>0</v>
      </c>
      <c r="H217" s="861"/>
      <c r="I217" s="862"/>
      <c r="N217" s="948" t="s">
        <v>915</v>
      </c>
      <c r="O217" s="948"/>
      <c r="P217" s="948"/>
      <c r="Q217" s="948"/>
      <c r="R217" s="948"/>
      <c r="S217" s="53" t="s">
        <v>916</v>
      </c>
      <c r="T217" s="863">
        <f t="shared" si="53"/>
        <v>0</v>
      </c>
      <c r="U217" s="863"/>
      <c r="V217" s="863"/>
      <c r="AA217" s="231"/>
      <c r="AI217" s="949" t="s">
        <v>917</v>
      </c>
      <c r="AJ217" s="950"/>
      <c r="AK217" s="950"/>
      <c r="AL217" s="950"/>
      <c r="AM217" s="950"/>
      <c r="AN217" s="836"/>
      <c r="AO217" s="216" t="s">
        <v>258</v>
      </c>
      <c r="AP217" s="217"/>
      <c r="AR217" s="890" t="s">
        <v>918</v>
      </c>
      <c r="AS217" s="891"/>
      <c r="AT217" s="891"/>
      <c r="AU217" s="891"/>
      <c r="AV217" s="891"/>
      <c r="AW217" s="228" t="s">
        <v>919</v>
      </c>
      <c r="AX217" s="224">
        <f t="shared" si="51"/>
        <v>0</v>
      </c>
      <c r="AY217" s="554"/>
      <c r="BA217" s="218"/>
      <c r="BB217" s="542"/>
      <c r="BC217" s="521"/>
      <c r="BD217" s="521"/>
      <c r="BE217" s="521"/>
      <c r="BF217" s="521"/>
    </row>
    <row r="218" spans="1:58" ht="18.75" x14ac:dyDescent="0.25">
      <c r="A218" s="948" t="s">
        <v>920</v>
      </c>
      <c r="B218" s="948"/>
      <c r="C218" s="948"/>
      <c r="D218" s="948"/>
      <c r="E218" s="948"/>
      <c r="F218" s="53" t="s">
        <v>921</v>
      </c>
      <c r="G218" s="860">
        <f t="shared" si="52"/>
        <v>0</v>
      </c>
      <c r="H218" s="861"/>
      <c r="I218" s="862"/>
      <c r="N218" s="948" t="s">
        <v>920</v>
      </c>
      <c r="O218" s="948"/>
      <c r="P218" s="948"/>
      <c r="Q218" s="948"/>
      <c r="R218" s="948"/>
      <c r="S218" s="53" t="s">
        <v>921</v>
      </c>
      <c r="T218" s="863">
        <f t="shared" si="53"/>
        <v>0</v>
      </c>
      <c r="U218" s="863"/>
      <c r="V218" s="863"/>
      <c r="AA218" s="231"/>
      <c r="AH218" s="218"/>
      <c r="AI218" s="843" t="s">
        <v>922</v>
      </c>
      <c r="AJ218" s="844"/>
      <c r="AK218" s="844"/>
      <c r="AL218" s="844"/>
      <c r="AM218" s="844"/>
      <c r="AN218" s="294" t="s">
        <v>923</v>
      </c>
      <c r="AO218" s="224">
        <f t="shared" ref="AO218:AO224" si="54">COUNTIF($A$1:$GO$76,AN218)</f>
        <v>0</v>
      </c>
      <c r="AP218" s="565"/>
      <c r="AR218" s="890" t="s">
        <v>924</v>
      </c>
      <c r="AS218" s="891"/>
      <c r="AT218" s="891"/>
      <c r="AU218" s="891"/>
      <c r="AV218" s="891"/>
      <c r="AW218" s="566" t="s">
        <v>925</v>
      </c>
      <c r="AX218" s="224">
        <f t="shared" si="51"/>
        <v>0</v>
      </c>
      <c r="AY218" s="554"/>
      <c r="BA218" s="218"/>
      <c r="BB218" s="28"/>
    </row>
    <row r="219" spans="1:58" ht="18.75" x14ac:dyDescent="0.25">
      <c r="A219" s="948" t="s">
        <v>926</v>
      </c>
      <c r="B219" s="948"/>
      <c r="C219" s="948"/>
      <c r="D219" s="948"/>
      <c r="E219" s="948"/>
      <c r="F219" s="53" t="s">
        <v>927</v>
      </c>
      <c r="G219" s="860">
        <f t="shared" si="52"/>
        <v>0</v>
      </c>
      <c r="H219" s="861"/>
      <c r="I219" s="862"/>
      <c r="N219" s="948" t="s">
        <v>926</v>
      </c>
      <c r="O219" s="948"/>
      <c r="P219" s="948"/>
      <c r="Q219" s="948"/>
      <c r="R219" s="948"/>
      <c r="S219" s="53" t="s">
        <v>927</v>
      </c>
      <c r="T219" s="863">
        <f t="shared" si="53"/>
        <v>0</v>
      </c>
      <c r="U219" s="863"/>
      <c r="V219" s="863"/>
      <c r="AA219" s="231" t="b">
        <f>IFERROR(#REF!&gt;0.5,FALSE)</f>
        <v>0</v>
      </c>
      <c r="AH219" s="567"/>
      <c r="AI219" s="843" t="s">
        <v>928</v>
      </c>
      <c r="AJ219" s="844"/>
      <c r="AK219" s="844"/>
      <c r="AL219" s="844"/>
      <c r="AM219" s="956"/>
      <c r="AN219" s="559" t="s">
        <v>929</v>
      </c>
      <c r="AO219" s="224">
        <f t="shared" si="54"/>
        <v>0</v>
      </c>
      <c r="AP219" s="568"/>
      <c r="AR219" s="890" t="s">
        <v>930</v>
      </c>
      <c r="AS219" s="891"/>
      <c r="AT219" s="891"/>
      <c r="AU219" s="891"/>
      <c r="AV219" s="891"/>
      <c r="AW219" s="569" t="s">
        <v>931</v>
      </c>
      <c r="AX219" s="224">
        <f t="shared" si="51"/>
        <v>0</v>
      </c>
      <c r="AY219" s="554"/>
      <c r="BA219" s="218"/>
      <c r="BB219" s="542"/>
    </row>
    <row r="220" spans="1:58" ht="19.5" thickBot="1" x14ac:dyDescent="0.3">
      <c r="A220" s="951" t="s">
        <v>258</v>
      </c>
      <c r="B220" s="952"/>
      <c r="C220" s="952"/>
      <c r="D220" s="952"/>
      <c r="E220" s="952"/>
      <c r="F220" s="570"/>
      <c r="G220" s="953">
        <f>SUM(G214:I219)</f>
        <v>0</v>
      </c>
      <c r="H220" s="954"/>
      <c r="I220" s="955"/>
      <c r="N220" s="951" t="s">
        <v>258</v>
      </c>
      <c r="O220" s="952"/>
      <c r="P220" s="952"/>
      <c r="Q220" s="952"/>
      <c r="R220" s="952"/>
      <c r="S220" s="570"/>
      <c r="T220" s="953">
        <f>SUM(T214:V219)</f>
        <v>0</v>
      </c>
      <c r="U220" s="954"/>
      <c r="V220" s="955"/>
      <c r="AA220" s="231"/>
      <c r="AH220" s="567"/>
      <c r="AI220" s="843" t="s">
        <v>932</v>
      </c>
      <c r="AJ220" s="844"/>
      <c r="AK220" s="844"/>
      <c r="AL220" s="844"/>
      <c r="AM220" s="956"/>
      <c r="AN220" s="571" t="s">
        <v>933</v>
      </c>
      <c r="AO220" s="224">
        <f t="shared" si="54"/>
        <v>0</v>
      </c>
      <c r="AP220" s="568"/>
      <c r="AR220" s="890" t="s">
        <v>934</v>
      </c>
      <c r="AS220" s="891"/>
      <c r="AT220" s="891"/>
      <c r="AU220" s="891"/>
      <c r="AV220" s="891"/>
      <c r="AW220" s="572" t="s">
        <v>935</v>
      </c>
      <c r="AX220" s="224">
        <f t="shared" si="51"/>
        <v>0</v>
      </c>
      <c r="AY220" s="554"/>
      <c r="AZ220" s="215"/>
      <c r="BA220" s="218"/>
      <c r="BB220" s="542"/>
    </row>
    <row r="221" spans="1:58" ht="18.75" thickBot="1" x14ac:dyDescent="0.3">
      <c r="A221" s="944" t="s">
        <v>936</v>
      </c>
      <c r="B221" s="945"/>
      <c r="C221" s="945"/>
      <c r="D221" s="945"/>
      <c r="E221" s="946"/>
      <c r="F221" s="50"/>
      <c r="G221" s="50"/>
      <c r="H221" s="50"/>
      <c r="I221" s="50"/>
      <c r="N221" s="944" t="s">
        <v>936</v>
      </c>
      <c r="O221" s="945"/>
      <c r="P221" s="945"/>
      <c r="Q221" s="945"/>
      <c r="R221" s="946"/>
      <c r="S221" s="50"/>
      <c r="T221" s="50"/>
      <c r="U221" s="50"/>
      <c r="V221" s="50"/>
      <c r="AA221" s="231"/>
      <c r="AI221" s="843" t="s">
        <v>937</v>
      </c>
      <c r="AJ221" s="844"/>
      <c r="AK221" s="844"/>
      <c r="AL221" s="844"/>
      <c r="AM221" s="956"/>
      <c r="AN221" s="573" t="s">
        <v>938</v>
      </c>
      <c r="AO221" s="224">
        <f t="shared" si="54"/>
        <v>0</v>
      </c>
      <c r="AP221" s="568"/>
      <c r="AR221" s="890" t="s">
        <v>939</v>
      </c>
      <c r="AS221" s="891"/>
      <c r="AT221" s="891"/>
      <c r="AU221" s="891"/>
      <c r="AV221" s="891"/>
      <c r="AW221" s="574" t="s">
        <v>940</v>
      </c>
      <c r="AX221" s="224">
        <f t="shared" si="51"/>
        <v>0</v>
      </c>
      <c r="AY221" s="554"/>
      <c r="BA221" s="218"/>
    </row>
    <row r="222" spans="1:58" ht="18.75" x14ac:dyDescent="0.25">
      <c r="A222" s="940" t="s">
        <v>902</v>
      </c>
      <c r="B222" s="940"/>
      <c r="C222" s="940"/>
      <c r="D222" s="940"/>
      <c r="E222" s="940"/>
      <c r="F222" s="53" t="s">
        <v>941</v>
      </c>
      <c r="G222" s="860">
        <f t="shared" ref="G222:G234" si="55">COUNTIF($AO$2:$CA$42,F222)</f>
        <v>0</v>
      </c>
      <c r="H222" s="861"/>
      <c r="I222" s="862"/>
      <c r="N222" s="940" t="s">
        <v>902</v>
      </c>
      <c r="O222" s="940"/>
      <c r="P222" s="940"/>
      <c r="Q222" s="940"/>
      <c r="R222" s="940"/>
      <c r="S222" s="53" t="s">
        <v>941</v>
      </c>
      <c r="T222" s="863">
        <f t="shared" ref="T222:T234" si="56">COUNTIF($A$2:$AN$70,S222)</f>
        <v>0</v>
      </c>
      <c r="U222" s="863"/>
      <c r="V222" s="863"/>
      <c r="AA222" s="231"/>
      <c r="AI222" s="843" t="s">
        <v>942</v>
      </c>
      <c r="AJ222" s="844"/>
      <c r="AK222" s="844"/>
      <c r="AL222" s="844"/>
      <c r="AM222" s="956"/>
      <c r="AN222" s="575" t="s">
        <v>943</v>
      </c>
      <c r="AO222" s="224">
        <f t="shared" si="54"/>
        <v>0</v>
      </c>
      <c r="AP222" s="568"/>
      <c r="AR222" s="890" t="s">
        <v>944</v>
      </c>
      <c r="AS222" s="891"/>
      <c r="AT222" s="891"/>
      <c r="AU222" s="891"/>
      <c r="AV222" s="891"/>
      <c r="AW222" s="576" t="s">
        <v>945</v>
      </c>
      <c r="AX222" s="224">
        <f t="shared" si="51"/>
        <v>0</v>
      </c>
      <c r="AY222" s="554"/>
      <c r="BA222" s="218"/>
      <c r="BB222" s="542"/>
    </row>
    <row r="223" spans="1:58" ht="18" x14ac:dyDescent="0.25">
      <c r="A223" s="948" t="s">
        <v>907</v>
      </c>
      <c r="B223" s="948"/>
      <c r="C223" s="948"/>
      <c r="D223" s="948"/>
      <c r="E223" s="948"/>
      <c r="F223" s="53" t="s">
        <v>946</v>
      </c>
      <c r="G223" s="860">
        <f t="shared" si="55"/>
        <v>0</v>
      </c>
      <c r="H223" s="861"/>
      <c r="I223" s="862"/>
      <c r="N223" s="948" t="s">
        <v>907</v>
      </c>
      <c r="O223" s="948"/>
      <c r="P223" s="948"/>
      <c r="Q223" s="948"/>
      <c r="R223" s="948"/>
      <c r="S223" s="53" t="s">
        <v>946</v>
      </c>
      <c r="T223" s="863">
        <f t="shared" si="56"/>
        <v>0</v>
      </c>
      <c r="U223" s="863"/>
      <c r="V223" s="863"/>
      <c r="AA223" s="231"/>
      <c r="AI223" s="843" t="s">
        <v>947</v>
      </c>
      <c r="AJ223" s="844"/>
      <c r="AK223" s="844"/>
      <c r="AL223" s="844"/>
      <c r="AM223" s="956"/>
      <c r="AN223" s="577" t="s">
        <v>948</v>
      </c>
      <c r="AO223" s="224">
        <f t="shared" si="54"/>
        <v>0</v>
      </c>
      <c r="AP223" s="568"/>
      <c r="AR223" s="890" t="s">
        <v>949</v>
      </c>
      <c r="AS223" s="891"/>
      <c r="AT223" s="891"/>
      <c r="AU223" s="891"/>
      <c r="AV223" s="891"/>
      <c r="AW223" s="578" t="s">
        <v>950</v>
      </c>
      <c r="AX223" s="224">
        <f t="shared" si="51"/>
        <v>0</v>
      </c>
      <c r="AY223" s="554"/>
      <c r="BA223" s="218"/>
      <c r="BB223" s="579"/>
    </row>
    <row r="224" spans="1:58" ht="18.75" x14ac:dyDescent="0.25">
      <c r="A224" s="948" t="s">
        <v>911</v>
      </c>
      <c r="B224" s="948"/>
      <c r="C224" s="948"/>
      <c r="D224" s="948"/>
      <c r="E224" s="948"/>
      <c r="F224" s="53" t="s">
        <v>951</v>
      </c>
      <c r="G224" s="860">
        <f t="shared" si="55"/>
        <v>0</v>
      </c>
      <c r="H224" s="861"/>
      <c r="I224" s="862"/>
      <c r="N224" s="948" t="s">
        <v>911</v>
      </c>
      <c r="O224" s="948"/>
      <c r="P224" s="948"/>
      <c r="Q224" s="948"/>
      <c r="R224" s="948"/>
      <c r="S224" s="53" t="s">
        <v>951</v>
      </c>
      <c r="T224" s="863">
        <f t="shared" si="56"/>
        <v>0</v>
      </c>
      <c r="U224" s="863"/>
      <c r="V224" s="863"/>
      <c r="AA224" s="231"/>
      <c r="AI224" s="843" t="s">
        <v>952</v>
      </c>
      <c r="AJ224" s="844"/>
      <c r="AK224" s="844"/>
      <c r="AL224" s="844"/>
      <c r="AM224" s="956"/>
      <c r="AN224" s="313" t="s">
        <v>953</v>
      </c>
      <c r="AO224" s="224">
        <f t="shared" si="54"/>
        <v>0</v>
      </c>
      <c r="AP224" s="568"/>
      <c r="AR224" s="890" t="s">
        <v>954</v>
      </c>
      <c r="AS224" s="891"/>
      <c r="AT224" s="891"/>
      <c r="AU224" s="891"/>
      <c r="AV224" s="891"/>
      <c r="AW224" s="578" t="s">
        <v>955</v>
      </c>
      <c r="AX224" s="224">
        <f t="shared" si="51"/>
        <v>0</v>
      </c>
      <c r="AY224" s="554"/>
      <c r="BA224" s="218"/>
      <c r="BB224" s="542"/>
    </row>
    <row r="225" spans="1:54" ht="18.75" x14ac:dyDescent="0.25">
      <c r="A225" s="948" t="s">
        <v>956</v>
      </c>
      <c r="B225" s="948"/>
      <c r="C225" s="948"/>
      <c r="D225" s="948"/>
      <c r="E225" s="948"/>
      <c r="F225" s="53" t="s">
        <v>957</v>
      </c>
      <c r="G225" s="860">
        <f t="shared" si="55"/>
        <v>0</v>
      </c>
      <c r="H225" s="861"/>
      <c r="I225" s="862"/>
      <c r="N225" s="948" t="s">
        <v>956</v>
      </c>
      <c r="O225" s="948"/>
      <c r="P225" s="948"/>
      <c r="Q225" s="948"/>
      <c r="R225" s="948"/>
      <c r="S225" s="53" t="s">
        <v>957</v>
      </c>
      <c r="T225" s="863">
        <f t="shared" si="56"/>
        <v>0</v>
      </c>
      <c r="U225" s="863"/>
      <c r="V225" s="863"/>
      <c r="AA225" s="231"/>
      <c r="AI225" s="928" t="s">
        <v>958</v>
      </c>
      <c r="AJ225" s="929"/>
      <c r="AK225" s="929"/>
      <c r="AL225" s="929"/>
      <c r="AM225" s="930"/>
      <c r="AN225" s="394"/>
      <c r="AO225" s="395">
        <f>SUM(AO218:AO224)</f>
        <v>0</v>
      </c>
      <c r="AP225" s="215"/>
      <c r="AR225" s="890" t="s">
        <v>959</v>
      </c>
      <c r="AS225" s="891"/>
      <c r="AT225" s="891"/>
      <c r="AU225" s="891"/>
      <c r="AV225" s="891"/>
      <c r="AW225" s="578" t="s">
        <v>960</v>
      </c>
      <c r="AX225" s="224">
        <f t="shared" si="51"/>
        <v>0</v>
      </c>
      <c r="AY225" s="554"/>
      <c r="BA225" s="218"/>
      <c r="BB225" s="542"/>
    </row>
    <row r="226" spans="1:54" ht="18" x14ac:dyDescent="0.25">
      <c r="A226" s="948" t="s">
        <v>915</v>
      </c>
      <c r="B226" s="948"/>
      <c r="C226" s="948"/>
      <c r="D226" s="948"/>
      <c r="E226" s="948"/>
      <c r="F226" s="53" t="s">
        <v>961</v>
      </c>
      <c r="G226" s="860">
        <f t="shared" si="55"/>
        <v>0</v>
      </c>
      <c r="H226" s="861"/>
      <c r="I226" s="862"/>
      <c r="N226" s="948" t="s">
        <v>915</v>
      </c>
      <c r="O226" s="948"/>
      <c r="P226" s="948"/>
      <c r="Q226" s="948"/>
      <c r="R226" s="948"/>
      <c r="S226" s="53" t="s">
        <v>961</v>
      </c>
      <c r="T226" s="863">
        <f t="shared" si="56"/>
        <v>0</v>
      </c>
      <c r="U226" s="863"/>
      <c r="V226" s="863"/>
      <c r="AA226" s="231"/>
      <c r="AI226" s="552"/>
      <c r="AJ226" s="215"/>
      <c r="AK226" s="215"/>
      <c r="AL226" s="215"/>
      <c r="AM226" s="215"/>
      <c r="AN226" s="215"/>
      <c r="AO226" s="215"/>
      <c r="AP226" s="215"/>
      <c r="AR226" s="890" t="s">
        <v>962</v>
      </c>
      <c r="AS226" s="891"/>
      <c r="AT226" s="891"/>
      <c r="AU226" s="891"/>
      <c r="AV226" s="891"/>
      <c r="AW226" s="580" t="s">
        <v>963</v>
      </c>
      <c r="AX226" s="224">
        <f t="shared" si="51"/>
        <v>0</v>
      </c>
      <c r="AY226" s="554"/>
      <c r="BA226" s="218"/>
    </row>
    <row r="227" spans="1:54" ht="18" x14ac:dyDescent="0.25">
      <c r="A227" s="948" t="s">
        <v>964</v>
      </c>
      <c r="B227" s="948"/>
      <c r="C227" s="948"/>
      <c r="D227" s="948"/>
      <c r="E227" s="948"/>
      <c r="F227" s="53" t="s">
        <v>208</v>
      </c>
      <c r="G227" s="860">
        <f t="shared" si="55"/>
        <v>2</v>
      </c>
      <c r="H227" s="861"/>
      <c r="I227" s="862"/>
      <c r="N227" s="948" t="s">
        <v>964</v>
      </c>
      <c r="O227" s="948"/>
      <c r="P227" s="948"/>
      <c r="Q227" s="948"/>
      <c r="R227" s="948"/>
      <c r="S227" s="53" t="s">
        <v>208</v>
      </c>
      <c r="T227" s="863">
        <f t="shared" si="56"/>
        <v>0</v>
      </c>
      <c r="U227" s="863"/>
      <c r="V227" s="863"/>
      <c r="AA227" s="231"/>
      <c r="AI227" s="581"/>
      <c r="AQ227" s="215"/>
      <c r="AR227" s="890" t="s">
        <v>965</v>
      </c>
      <c r="AS227" s="891"/>
      <c r="AT227" s="891"/>
      <c r="AU227" s="891"/>
      <c r="AV227" s="891"/>
      <c r="AW227" s="582" t="s">
        <v>966</v>
      </c>
      <c r="AX227" s="224">
        <f t="shared" si="51"/>
        <v>0</v>
      </c>
      <c r="AY227" s="554"/>
      <c r="BA227" s="218"/>
      <c r="BB227" s="542"/>
    </row>
    <row r="228" spans="1:54" ht="18" x14ac:dyDescent="0.25">
      <c r="A228" s="948" t="s">
        <v>920</v>
      </c>
      <c r="B228" s="948"/>
      <c r="C228" s="948"/>
      <c r="D228" s="948"/>
      <c r="E228" s="948"/>
      <c r="F228" s="53" t="s">
        <v>967</v>
      </c>
      <c r="G228" s="860">
        <f t="shared" si="55"/>
        <v>0</v>
      </c>
      <c r="H228" s="861"/>
      <c r="I228" s="862"/>
      <c r="N228" s="948" t="s">
        <v>920</v>
      </c>
      <c r="O228" s="948"/>
      <c r="P228" s="948"/>
      <c r="Q228" s="948"/>
      <c r="R228" s="948"/>
      <c r="S228" s="53" t="s">
        <v>967</v>
      </c>
      <c r="T228" s="863">
        <f t="shared" si="56"/>
        <v>0</v>
      </c>
      <c r="U228" s="863"/>
      <c r="V228" s="863"/>
      <c r="AA228" s="231"/>
      <c r="AI228" s="918" t="s">
        <v>349</v>
      </c>
      <c r="AJ228" s="835"/>
      <c r="AK228" s="835"/>
      <c r="AL228" s="835"/>
      <c r="AM228" s="835"/>
      <c r="AN228" s="939"/>
      <c r="AO228" s="216" t="s">
        <v>258</v>
      </c>
      <c r="AP228" s="217"/>
      <c r="AQ228" s="583"/>
      <c r="AR228" s="888" t="s">
        <v>968</v>
      </c>
      <c r="AS228" s="889"/>
      <c r="AT228" s="889"/>
      <c r="AU228" s="889"/>
      <c r="AV228" s="889"/>
      <c r="AW228" s="584" t="s">
        <v>968</v>
      </c>
      <c r="AX228" s="224">
        <f t="shared" si="51"/>
        <v>0</v>
      </c>
      <c r="AY228" s="554"/>
      <c r="BA228" s="218"/>
      <c r="BB228" s="585"/>
    </row>
    <row r="229" spans="1:54" ht="18" x14ac:dyDescent="0.25">
      <c r="A229" s="948" t="s">
        <v>926</v>
      </c>
      <c r="B229" s="948"/>
      <c r="C229" s="948"/>
      <c r="D229" s="948"/>
      <c r="E229" s="948"/>
      <c r="F229" s="53" t="s">
        <v>969</v>
      </c>
      <c r="G229" s="860">
        <f t="shared" si="55"/>
        <v>0</v>
      </c>
      <c r="H229" s="861"/>
      <c r="I229" s="862"/>
      <c r="N229" s="948" t="s">
        <v>926</v>
      </c>
      <c r="O229" s="948"/>
      <c r="P229" s="948"/>
      <c r="Q229" s="948"/>
      <c r="R229" s="948"/>
      <c r="S229" s="53" t="s">
        <v>969</v>
      </c>
      <c r="T229" s="863">
        <f t="shared" si="56"/>
        <v>0</v>
      </c>
      <c r="U229" s="863"/>
      <c r="V229" s="863"/>
      <c r="AA229" s="231"/>
      <c r="AI229" s="957" t="s">
        <v>970</v>
      </c>
      <c r="AJ229" s="958"/>
      <c r="AK229" s="958"/>
      <c r="AL229" s="958"/>
      <c r="AM229" s="959"/>
      <c r="AN229" s="586" t="s">
        <v>971</v>
      </c>
      <c r="AO229" s="224">
        <f t="shared" ref="AO229:AO244" si="57">COUNTIF($A$1:$GO$76,AN229)</f>
        <v>0</v>
      </c>
      <c r="AP229" s="587"/>
      <c r="AR229" s="890" t="s">
        <v>972</v>
      </c>
      <c r="AS229" s="891"/>
      <c r="AT229" s="891"/>
      <c r="AU229" s="891"/>
      <c r="AV229" s="891"/>
      <c r="AW229" s="357" t="s">
        <v>973</v>
      </c>
      <c r="AX229" s="224">
        <f t="shared" si="51"/>
        <v>0</v>
      </c>
      <c r="AY229" s="554"/>
      <c r="BA229" s="218"/>
      <c r="BB229" s="542"/>
    </row>
    <row r="230" spans="1:54" ht="18" x14ac:dyDescent="0.25">
      <c r="A230" s="948" t="s">
        <v>974</v>
      </c>
      <c r="B230" s="948"/>
      <c r="C230" s="948"/>
      <c r="D230" s="948"/>
      <c r="E230" s="948"/>
      <c r="F230" s="53" t="s">
        <v>975</v>
      </c>
      <c r="G230" s="860">
        <f t="shared" si="55"/>
        <v>0</v>
      </c>
      <c r="H230" s="861"/>
      <c r="I230" s="862"/>
      <c r="N230" s="948" t="s">
        <v>974</v>
      </c>
      <c r="O230" s="948"/>
      <c r="P230" s="948"/>
      <c r="Q230" s="948"/>
      <c r="R230" s="948"/>
      <c r="S230" s="53" t="s">
        <v>975</v>
      </c>
      <c r="T230" s="863">
        <f t="shared" si="56"/>
        <v>0</v>
      </c>
      <c r="U230" s="863"/>
      <c r="V230" s="863"/>
      <c r="AA230" s="231"/>
      <c r="AI230" s="957" t="s">
        <v>976</v>
      </c>
      <c r="AJ230" s="958"/>
      <c r="AK230" s="958"/>
      <c r="AL230" s="958"/>
      <c r="AM230" s="959"/>
      <c r="AN230" s="586" t="s">
        <v>976</v>
      </c>
      <c r="AO230" s="224">
        <f t="shared" si="57"/>
        <v>0</v>
      </c>
      <c r="AP230" s="588"/>
      <c r="AR230" s="890" t="s">
        <v>977</v>
      </c>
      <c r="AS230" s="891"/>
      <c r="AT230" s="891"/>
      <c r="AU230" s="891"/>
      <c r="AV230" s="891"/>
      <c r="AW230" s="432" t="s">
        <v>978</v>
      </c>
      <c r="AX230" s="224">
        <f t="shared" si="51"/>
        <v>0</v>
      </c>
      <c r="AY230" s="554"/>
      <c r="BA230" s="218"/>
      <c r="BB230" s="542"/>
    </row>
    <row r="231" spans="1:54" ht="18" x14ac:dyDescent="0.25">
      <c r="A231" s="948" t="s">
        <v>979</v>
      </c>
      <c r="B231" s="948"/>
      <c r="C231" s="948"/>
      <c r="D231" s="948"/>
      <c r="E231" s="948"/>
      <c r="F231" s="53" t="s">
        <v>980</v>
      </c>
      <c r="G231" s="860">
        <f t="shared" si="55"/>
        <v>0</v>
      </c>
      <c r="H231" s="861"/>
      <c r="I231" s="862"/>
      <c r="N231" s="948" t="s">
        <v>979</v>
      </c>
      <c r="O231" s="948"/>
      <c r="P231" s="948"/>
      <c r="Q231" s="948"/>
      <c r="R231" s="948"/>
      <c r="S231" s="53" t="s">
        <v>980</v>
      </c>
      <c r="T231" s="863">
        <f t="shared" si="56"/>
        <v>0</v>
      </c>
      <c r="U231" s="863"/>
      <c r="V231" s="863"/>
      <c r="AA231" s="231"/>
      <c r="AI231" s="957" t="s">
        <v>981</v>
      </c>
      <c r="AJ231" s="958"/>
      <c r="AK231" s="958"/>
      <c r="AL231" s="958"/>
      <c r="AM231" s="959"/>
      <c r="AN231" s="586" t="s">
        <v>982</v>
      </c>
      <c r="AO231" s="224">
        <f t="shared" si="57"/>
        <v>0</v>
      </c>
      <c r="AP231" s="588"/>
      <c r="AQ231" s="215"/>
      <c r="AR231" s="890" t="s">
        <v>983</v>
      </c>
      <c r="AS231" s="891"/>
      <c r="AT231" s="891"/>
      <c r="AU231" s="891"/>
      <c r="AV231" s="891"/>
      <c r="AW231" s="566" t="s">
        <v>984</v>
      </c>
      <c r="AX231" s="224">
        <f t="shared" si="51"/>
        <v>0</v>
      </c>
      <c r="AY231" s="554"/>
      <c r="BA231" s="218"/>
    </row>
    <row r="232" spans="1:54" ht="18" x14ac:dyDescent="0.25">
      <c r="A232" s="948" t="s">
        <v>985</v>
      </c>
      <c r="B232" s="948"/>
      <c r="C232" s="948"/>
      <c r="D232" s="948"/>
      <c r="E232" s="948"/>
      <c r="F232" s="53" t="s">
        <v>986</v>
      </c>
      <c r="G232" s="860">
        <f t="shared" si="55"/>
        <v>0</v>
      </c>
      <c r="H232" s="861"/>
      <c r="I232" s="862"/>
      <c r="N232" s="948" t="s">
        <v>985</v>
      </c>
      <c r="O232" s="948"/>
      <c r="P232" s="948"/>
      <c r="Q232" s="948"/>
      <c r="R232" s="948"/>
      <c r="S232" s="53" t="s">
        <v>986</v>
      </c>
      <c r="T232" s="863">
        <f t="shared" si="56"/>
        <v>0</v>
      </c>
      <c r="U232" s="863"/>
      <c r="V232" s="863"/>
      <c r="AA232" s="231"/>
      <c r="AI232" s="957" t="s">
        <v>987</v>
      </c>
      <c r="AJ232" s="958"/>
      <c r="AK232" s="958"/>
      <c r="AL232" s="958"/>
      <c r="AM232" s="959"/>
      <c r="AN232" s="586" t="s">
        <v>988</v>
      </c>
      <c r="AO232" s="224">
        <f t="shared" si="57"/>
        <v>0</v>
      </c>
      <c r="AP232" s="588"/>
      <c r="AQ232" s="215"/>
      <c r="AR232" s="890" t="s">
        <v>989</v>
      </c>
      <c r="AS232" s="891"/>
      <c r="AT232" s="891"/>
      <c r="AU232" s="891"/>
      <c r="AV232" s="891"/>
      <c r="AW232" s="589" t="s">
        <v>990</v>
      </c>
      <c r="AX232" s="224">
        <f t="shared" si="51"/>
        <v>0</v>
      </c>
      <c r="AY232" s="554"/>
      <c r="BA232" s="218"/>
      <c r="BB232" s="542"/>
    </row>
    <row r="233" spans="1:54" ht="18.75" x14ac:dyDescent="0.25">
      <c r="A233" s="948" t="s">
        <v>991</v>
      </c>
      <c r="B233" s="948"/>
      <c r="C233" s="948"/>
      <c r="D233" s="948"/>
      <c r="E233" s="948"/>
      <c r="F233" s="53" t="s">
        <v>992</v>
      </c>
      <c r="G233" s="860">
        <f t="shared" si="55"/>
        <v>0</v>
      </c>
      <c r="H233" s="861"/>
      <c r="I233" s="862"/>
      <c r="N233" s="948" t="s">
        <v>991</v>
      </c>
      <c r="O233" s="948"/>
      <c r="P233" s="948"/>
      <c r="Q233" s="948"/>
      <c r="R233" s="948"/>
      <c r="S233" s="53" t="s">
        <v>992</v>
      </c>
      <c r="T233" s="863">
        <f t="shared" si="56"/>
        <v>0</v>
      </c>
      <c r="U233" s="863"/>
      <c r="V233" s="863"/>
      <c r="AA233" s="231"/>
      <c r="AI233" s="957" t="s">
        <v>993</v>
      </c>
      <c r="AJ233" s="958"/>
      <c r="AK233" s="958"/>
      <c r="AL233" s="958"/>
      <c r="AM233" s="959"/>
      <c r="AN233" s="586" t="s">
        <v>994</v>
      </c>
      <c r="AO233" s="224">
        <f t="shared" si="57"/>
        <v>0</v>
      </c>
      <c r="AP233" s="588"/>
      <c r="AQ233" s="215"/>
      <c r="AR233" s="890" t="s">
        <v>995</v>
      </c>
      <c r="AS233" s="891"/>
      <c r="AT233" s="891"/>
      <c r="AU233" s="891"/>
      <c r="AV233" s="891"/>
      <c r="AW233" s="590" t="s">
        <v>996</v>
      </c>
      <c r="AX233" s="224">
        <f t="shared" si="51"/>
        <v>0</v>
      </c>
      <c r="AY233" s="554"/>
      <c r="BA233" s="218"/>
      <c r="BB233" s="591"/>
    </row>
    <row r="234" spans="1:54" ht="18" x14ac:dyDescent="0.25">
      <c r="A234" s="948" t="s">
        <v>997</v>
      </c>
      <c r="B234" s="948"/>
      <c r="C234" s="948"/>
      <c r="D234" s="948"/>
      <c r="E234" s="948"/>
      <c r="F234" s="53" t="s">
        <v>998</v>
      </c>
      <c r="G234" s="860">
        <f t="shared" si="55"/>
        <v>0</v>
      </c>
      <c r="H234" s="861"/>
      <c r="I234" s="862"/>
      <c r="N234" s="948" t="s">
        <v>997</v>
      </c>
      <c r="O234" s="948"/>
      <c r="P234" s="948"/>
      <c r="Q234" s="948"/>
      <c r="R234" s="948"/>
      <c r="S234" s="53" t="s">
        <v>998</v>
      </c>
      <c r="T234" s="863">
        <f t="shared" si="56"/>
        <v>0</v>
      </c>
      <c r="U234" s="863"/>
      <c r="V234" s="863"/>
      <c r="AA234" s="231"/>
      <c r="AI234" s="957" t="s">
        <v>999</v>
      </c>
      <c r="AJ234" s="958"/>
      <c r="AK234" s="958"/>
      <c r="AL234" s="958"/>
      <c r="AM234" s="959"/>
      <c r="AN234" s="586" t="s">
        <v>1000</v>
      </c>
      <c r="AO234" s="224">
        <f t="shared" si="57"/>
        <v>0</v>
      </c>
      <c r="AP234" s="588"/>
      <c r="AQ234" s="215"/>
      <c r="AR234" s="890" t="s">
        <v>1001</v>
      </c>
      <c r="AS234" s="891"/>
      <c r="AT234" s="891"/>
      <c r="AU234" s="891"/>
      <c r="AV234" s="891"/>
      <c r="AW234" s="592" t="s">
        <v>1002</v>
      </c>
      <c r="AX234" s="224">
        <f t="shared" si="51"/>
        <v>0</v>
      </c>
      <c r="AY234" s="554"/>
      <c r="BA234" s="218"/>
      <c r="BB234" s="542"/>
    </row>
    <row r="235" spans="1:54" ht="19.5" thickBot="1" x14ac:dyDescent="0.3">
      <c r="A235" s="960" t="s">
        <v>258</v>
      </c>
      <c r="B235" s="960"/>
      <c r="C235" s="960"/>
      <c r="D235" s="960"/>
      <c r="E235" s="960"/>
      <c r="F235" s="570"/>
      <c r="G235" s="953">
        <f>SUM(G222:I234)</f>
        <v>2</v>
      </c>
      <c r="H235" s="954"/>
      <c r="I235" s="955"/>
      <c r="N235" s="960" t="s">
        <v>258</v>
      </c>
      <c r="O235" s="960"/>
      <c r="P235" s="960"/>
      <c r="Q235" s="960"/>
      <c r="R235" s="960"/>
      <c r="S235" s="570"/>
      <c r="T235" s="953">
        <f>SUM(T222:V234)</f>
        <v>0</v>
      </c>
      <c r="U235" s="954"/>
      <c r="V235" s="955"/>
      <c r="AA235" s="174"/>
      <c r="AI235" s="957" t="s">
        <v>1003</v>
      </c>
      <c r="AJ235" s="958"/>
      <c r="AK235" s="958"/>
      <c r="AL235" s="958"/>
      <c r="AM235" s="959"/>
      <c r="AN235" s="586" t="s">
        <v>1004</v>
      </c>
      <c r="AO235" s="224">
        <f t="shared" si="57"/>
        <v>0</v>
      </c>
      <c r="AP235" s="588"/>
      <c r="AQ235" s="215"/>
      <c r="AR235" s="890" t="s">
        <v>1005</v>
      </c>
      <c r="AS235" s="891"/>
      <c r="AT235" s="891"/>
      <c r="AU235" s="891"/>
      <c r="AV235" s="891"/>
      <c r="AW235" s="593" t="s">
        <v>1006</v>
      </c>
      <c r="AX235" s="224">
        <f t="shared" si="51"/>
        <v>0</v>
      </c>
      <c r="AY235" s="554"/>
      <c r="BA235" s="218"/>
      <c r="BB235" s="542"/>
    </row>
    <row r="236" spans="1:54" ht="19.5" thickBot="1" x14ac:dyDescent="0.3">
      <c r="A236" s="944" t="s">
        <v>1007</v>
      </c>
      <c r="B236" s="945"/>
      <c r="C236" s="945"/>
      <c r="D236" s="945"/>
      <c r="E236" s="946"/>
      <c r="F236" s="50"/>
      <c r="G236" s="50"/>
      <c r="H236" s="50"/>
      <c r="I236" s="50"/>
      <c r="N236" s="944" t="s">
        <v>1007</v>
      </c>
      <c r="O236" s="945"/>
      <c r="P236" s="945"/>
      <c r="Q236" s="945"/>
      <c r="R236" s="946"/>
      <c r="S236" s="50"/>
      <c r="T236" s="50"/>
      <c r="U236" s="50"/>
      <c r="V236" s="50"/>
      <c r="AI236" s="957" t="s">
        <v>1008</v>
      </c>
      <c r="AJ236" s="958"/>
      <c r="AK236" s="958"/>
      <c r="AL236" s="958"/>
      <c r="AM236" s="959"/>
      <c r="AN236" s="586" t="s">
        <v>1009</v>
      </c>
      <c r="AO236" s="224">
        <f t="shared" si="57"/>
        <v>0</v>
      </c>
      <c r="AP236" s="588"/>
      <c r="AQ236" s="215"/>
      <c r="AR236" s="890" t="s">
        <v>1010</v>
      </c>
      <c r="AS236" s="891"/>
      <c r="AT236" s="891"/>
      <c r="AU236" s="891"/>
      <c r="AV236" s="891"/>
      <c r="AW236" s="590" t="s">
        <v>1011</v>
      </c>
      <c r="AX236" s="224">
        <f t="shared" si="51"/>
        <v>0</v>
      </c>
      <c r="AY236" s="554"/>
      <c r="BA236" s="218"/>
    </row>
    <row r="237" spans="1:54" ht="18.75" x14ac:dyDescent="0.25">
      <c r="A237" s="948" t="s">
        <v>902</v>
      </c>
      <c r="B237" s="948"/>
      <c r="C237" s="948"/>
      <c r="D237" s="948"/>
      <c r="E237" s="948"/>
      <c r="F237" s="53" t="s">
        <v>1012</v>
      </c>
      <c r="G237" s="860">
        <f t="shared" ref="G237:G242" si="58">COUNTIF($AO$2:$CA$42,F237)</f>
        <v>0</v>
      </c>
      <c r="H237" s="861"/>
      <c r="I237" s="862"/>
      <c r="N237" s="948" t="s">
        <v>902</v>
      </c>
      <c r="O237" s="948"/>
      <c r="P237" s="948"/>
      <c r="Q237" s="948"/>
      <c r="R237" s="948"/>
      <c r="S237" s="53" t="s">
        <v>1012</v>
      </c>
      <c r="T237" s="863">
        <f t="shared" ref="T237:T242" si="59">COUNTIF($A$2:$AN$70,S237)</f>
        <v>0</v>
      </c>
      <c r="U237" s="863"/>
      <c r="V237" s="863"/>
      <c r="AI237" s="957" t="s">
        <v>1013</v>
      </c>
      <c r="AJ237" s="958"/>
      <c r="AK237" s="958"/>
      <c r="AL237" s="958"/>
      <c r="AM237" s="959"/>
      <c r="AN237" s="586" t="s">
        <v>1014</v>
      </c>
      <c r="AO237" s="224">
        <f t="shared" si="57"/>
        <v>0</v>
      </c>
      <c r="AP237" s="588"/>
      <c r="AQ237" s="215"/>
      <c r="AR237" s="890" t="s">
        <v>1015</v>
      </c>
      <c r="AS237" s="891"/>
      <c r="AT237" s="891"/>
      <c r="AU237" s="891"/>
      <c r="AV237" s="891"/>
      <c r="AW237" s="594" t="s">
        <v>1016</v>
      </c>
      <c r="AX237" s="224">
        <f t="shared" si="51"/>
        <v>0</v>
      </c>
      <c r="AY237" s="554"/>
      <c r="BA237" s="218"/>
    </row>
    <row r="238" spans="1:54" ht="18" x14ac:dyDescent="0.25">
      <c r="A238" s="948" t="s">
        <v>907</v>
      </c>
      <c r="B238" s="948"/>
      <c r="C238" s="948"/>
      <c r="D238" s="948"/>
      <c r="E238" s="948"/>
      <c r="F238" s="53" t="s">
        <v>1017</v>
      </c>
      <c r="G238" s="860">
        <f t="shared" si="58"/>
        <v>0</v>
      </c>
      <c r="H238" s="861"/>
      <c r="I238" s="862"/>
      <c r="N238" s="948" t="s">
        <v>907</v>
      </c>
      <c r="O238" s="948"/>
      <c r="P238" s="948"/>
      <c r="Q238" s="948"/>
      <c r="R238" s="948"/>
      <c r="S238" s="53" t="s">
        <v>1017</v>
      </c>
      <c r="T238" s="863">
        <f t="shared" si="59"/>
        <v>0</v>
      </c>
      <c r="U238" s="863"/>
      <c r="V238" s="863"/>
      <c r="AI238" s="957" t="s">
        <v>1018</v>
      </c>
      <c r="AJ238" s="958"/>
      <c r="AK238" s="958"/>
      <c r="AL238" s="958"/>
      <c r="AM238" s="959"/>
      <c r="AN238" s="586" t="s">
        <v>1019</v>
      </c>
      <c r="AO238" s="224">
        <f t="shared" si="57"/>
        <v>0</v>
      </c>
      <c r="AP238" s="588"/>
      <c r="AQ238" s="215"/>
      <c r="AR238" s="885" t="s">
        <v>1020</v>
      </c>
      <c r="AS238" s="886"/>
      <c r="AT238" s="886"/>
      <c r="AU238" s="886"/>
      <c r="AV238" s="887"/>
      <c r="AW238" s="394"/>
      <c r="AX238" s="395">
        <f>SUM(AX200:AX237)</f>
        <v>0</v>
      </c>
      <c r="BA238" s="218"/>
    </row>
    <row r="239" spans="1:54" ht="18" x14ac:dyDescent="0.25">
      <c r="A239" s="948" t="s">
        <v>911</v>
      </c>
      <c r="B239" s="948"/>
      <c r="C239" s="948"/>
      <c r="D239" s="948"/>
      <c r="E239" s="948"/>
      <c r="F239" s="53" t="s">
        <v>1021</v>
      </c>
      <c r="G239" s="860">
        <f t="shared" si="58"/>
        <v>0</v>
      </c>
      <c r="H239" s="861"/>
      <c r="I239" s="862"/>
      <c r="N239" s="948" t="s">
        <v>911</v>
      </c>
      <c r="O239" s="948"/>
      <c r="P239" s="948"/>
      <c r="Q239" s="948"/>
      <c r="R239" s="948"/>
      <c r="S239" s="53" t="s">
        <v>1021</v>
      </c>
      <c r="T239" s="863">
        <f t="shared" si="59"/>
        <v>0</v>
      </c>
      <c r="U239" s="863"/>
      <c r="V239" s="863"/>
      <c r="AI239" s="957" t="s">
        <v>1022</v>
      </c>
      <c r="AJ239" s="958"/>
      <c r="AK239" s="958"/>
      <c r="AL239" s="958"/>
      <c r="AM239" s="959"/>
      <c r="AN239" s="586" t="s">
        <v>1023</v>
      </c>
      <c r="AO239" s="224">
        <f t="shared" si="57"/>
        <v>0</v>
      </c>
      <c r="AP239" s="588"/>
      <c r="AQ239" s="215"/>
      <c r="BA239" s="218"/>
    </row>
    <row r="240" spans="1:54" ht="18" x14ac:dyDescent="0.25">
      <c r="A240" s="948" t="s">
        <v>915</v>
      </c>
      <c r="B240" s="948"/>
      <c r="C240" s="948"/>
      <c r="D240" s="948"/>
      <c r="E240" s="948"/>
      <c r="F240" s="53" t="s">
        <v>1024</v>
      </c>
      <c r="G240" s="860">
        <f t="shared" si="58"/>
        <v>0</v>
      </c>
      <c r="H240" s="861"/>
      <c r="I240" s="862"/>
      <c r="N240" s="948" t="s">
        <v>915</v>
      </c>
      <c r="O240" s="948"/>
      <c r="P240" s="948"/>
      <c r="Q240" s="948"/>
      <c r="R240" s="948"/>
      <c r="S240" s="53" t="s">
        <v>1024</v>
      </c>
      <c r="T240" s="863">
        <f t="shared" si="59"/>
        <v>0</v>
      </c>
      <c r="U240" s="863"/>
      <c r="V240" s="863"/>
      <c r="AI240" s="957" t="s">
        <v>1025</v>
      </c>
      <c r="AJ240" s="958"/>
      <c r="AK240" s="958"/>
      <c r="AL240" s="958"/>
      <c r="AM240" s="959"/>
      <c r="AN240" s="586" t="s">
        <v>1025</v>
      </c>
      <c r="AO240" s="224">
        <f t="shared" si="57"/>
        <v>0</v>
      </c>
      <c r="AP240" s="588"/>
      <c r="AR240" s="834" t="s">
        <v>360</v>
      </c>
      <c r="AS240" s="835"/>
      <c r="AT240" s="835"/>
      <c r="AU240" s="835"/>
      <c r="AV240" s="835"/>
      <c r="AW240" s="939"/>
      <c r="AX240" s="216" t="s">
        <v>258</v>
      </c>
      <c r="AY240" s="217"/>
      <c r="BA240" s="218"/>
    </row>
    <row r="241" spans="1:53" ht="18" x14ac:dyDescent="0.25">
      <c r="A241" s="948" t="s">
        <v>920</v>
      </c>
      <c r="B241" s="948"/>
      <c r="C241" s="948"/>
      <c r="D241" s="948"/>
      <c r="E241" s="948"/>
      <c r="F241" s="53" t="s">
        <v>1026</v>
      </c>
      <c r="G241" s="860">
        <f t="shared" si="58"/>
        <v>0</v>
      </c>
      <c r="H241" s="861"/>
      <c r="I241" s="862"/>
      <c r="N241" s="948" t="s">
        <v>920</v>
      </c>
      <c r="O241" s="948"/>
      <c r="P241" s="948"/>
      <c r="Q241" s="948"/>
      <c r="R241" s="948"/>
      <c r="S241" s="53" t="s">
        <v>1026</v>
      </c>
      <c r="T241" s="863">
        <f t="shared" si="59"/>
        <v>0</v>
      </c>
      <c r="U241" s="863"/>
      <c r="V241" s="863"/>
      <c r="AI241" s="957" t="s">
        <v>1027</v>
      </c>
      <c r="AJ241" s="958"/>
      <c r="AK241" s="958"/>
      <c r="AL241" s="958"/>
      <c r="AM241" s="959"/>
      <c r="AN241" s="586" t="s">
        <v>1028</v>
      </c>
      <c r="AO241" s="224">
        <f t="shared" si="57"/>
        <v>0</v>
      </c>
      <c r="AP241" s="588"/>
      <c r="AR241" s="882" t="s">
        <v>1029</v>
      </c>
      <c r="AS241" s="883"/>
      <c r="AT241" s="883"/>
      <c r="AU241" s="883"/>
      <c r="AV241" s="968"/>
      <c r="AW241" s="595" t="s">
        <v>1030</v>
      </c>
      <c r="AX241" s="224">
        <f>COUNTIF($A$1:$GO$76,AW241)</f>
        <v>0</v>
      </c>
      <c r="AY241" s="596"/>
      <c r="BA241" s="218"/>
    </row>
    <row r="242" spans="1:53" ht="18.75" thickBot="1" x14ac:dyDescent="0.3">
      <c r="A242" s="964" t="s">
        <v>926</v>
      </c>
      <c r="B242" s="964"/>
      <c r="C242" s="964"/>
      <c r="D242" s="964"/>
      <c r="E242" s="964"/>
      <c r="F242" s="53" t="s">
        <v>1031</v>
      </c>
      <c r="G242" s="860">
        <f t="shared" si="58"/>
        <v>0</v>
      </c>
      <c r="H242" s="861"/>
      <c r="I242" s="862"/>
      <c r="N242" s="964" t="s">
        <v>926</v>
      </c>
      <c r="O242" s="964"/>
      <c r="P242" s="964"/>
      <c r="Q242" s="964"/>
      <c r="R242" s="964"/>
      <c r="S242" s="53" t="s">
        <v>1031</v>
      </c>
      <c r="T242" s="863">
        <f t="shared" si="59"/>
        <v>0</v>
      </c>
      <c r="U242" s="863"/>
      <c r="V242" s="863"/>
      <c r="AI242" s="957" t="s">
        <v>1032</v>
      </c>
      <c r="AJ242" s="958"/>
      <c r="AK242" s="958"/>
      <c r="AL242" s="958"/>
      <c r="AM242" s="959"/>
      <c r="AN242" s="586" t="s">
        <v>1032</v>
      </c>
      <c r="AO242" s="224">
        <f t="shared" si="57"/>
        <v>0</v>
      </c>
      <c r="AP242" s="588"/>
      <c r="AR242" s="965" t="s">
        <v>1033</v>
      </c>
      <c r="AS242" s="966"/>
      <c r="AT242" s="966"/>
      <c r="AU242" s="966"/>
      <c r="AV242" s="967"/>
      <c r="AW242" s="597" t="s">
        <v>1034</v>
      </c>
      <c r="AX242" s="224">
        <f>COUNTIF($A$1:$GO$76,AW242)</f>
        <v>0</v>
      </c>
      <c r="AY242" s="596"/>
      <c r="BA242" s="218"/>
    </row>
    <row r="243" spans="1:53" ht="18.75" thickBot="1" x14ac:dyDescent="0.3">
      <c r="A243" s="972" t="s">
        <v>258</v>
      </c>
      <c r="B243" s="973"/>
      <c r="C243" s="973"/>
      <c r="D243" s="973"/>
      <c r="E243" s="973"/>
      <c r="F243" s="570"/>
      <c r="G243" s="953">
        <f>SUM(G237:I242)</f>
        <v>0</v>
      </c>
      <c r="H243" s="954"/>
      <c r="I243" s="955"/>
      <c r="N243" s="972" t="s">
        <v>258</v>
      </c>
      <c r="O243" s="973"/>
      <c r="P243" s="973"/>
      <c r="Q243" s="973"/>
      <c r="R243" s="973"/>
      <c r="S243" s="570"/>
      <c r="T243" s="953">
        <f>SUM(T237:V242)</f>
        <v>0</v>
      </c>
      <c r="U243" s="954"/>
      <c r="V243" s="955"/>
      <c r="AI243" s="957" t="s">
        <v>1035</v>
      </c>
      <c r="AJ243" s="958"/>
      <c r="AK243" s="958"/>
      <c r="AL243" s="958"/>
      <c r="AM243" s="959"/>
      <c r="AN243" s="586" t="s">
        <v>1036</v>
      </c>
      <c r="AO243" s="224">
        <f t="shared" si="57"/>
        <v>0</v>
      </c>
      <c r="AP243" s="588"/>
      <c r="AR243" s="961" t="s">
        <v>1037</v>
      </c>
      <c r="AS243" s="962"/>
      <c r="AT243" s="962"/>
      <c r="AU243" s="962"/>
      <c r="AV243" s="963"/>
      <c r="AW243" s="394"/>
      <c r="AX243" s="395">
        <f>SUM(AX241:AX242)</f>
        <v>0</v>
      </c>
      <c r="BA243" s="218"/>
    </row>
    <row r="244" spans="1:53" ht="18.75" thickBot="1" x14ac:dyDescent="0.3">
      <c r="A244" s="969" t="s">
        <v>1038</v>
      </c>
      <c r="B244" s="970"/>
      <c r="C244" s="970"/>
      <c r="D244" s="970"/>
      <c r="E244" s="971"/>
      <c r="F244" s="50"/>
      <c r="G244" s="50"/>
      <c r="H244" s="50"/>
      <c r="I244" s="50"/>
      <c r="N244" s="969" t="s">
        <v>1038</v>
      </c>
      <c r="O244" s="970"/>
      <c r="P244" s="970"/>
      <c r="Q244" s="970"/>
      <c r="R244" s="971"/>
      <c r="S244" s="50"/>
      <c r="T244" s="50"/>
      <c r="U244" s="50"/>
      <c r="V244" s="50"/>
      <c r="AI244" s="957" t="s">
        <v>1039</v>
      </c>
      <c r="AJ244" s="958"/>
      <c r="AK244" s="958"/>
      <c r="AL244" s="958"/>
      <c r="AM244" s="959"/>
      <c r="AN244" s="586" t="s">
        <v>1040</v>
      </c>
      <c r="AO244" s="224">
        <f t="shared" si="57"/>
        <v>0</v>
      </c>
      <c r="AP244" s="588"/>
      <c r="AY244" s="215"/>
      <c r="BA244" s="218"/>
    </row>
    <row r="245" spans="1:53" ht="18" x14ac:dyDescent="0.25">
      <c r="A245" s="948" t="s">
        <v>902</v>
      </c>
      <c r="B245" s="948"/>
      <c r="C245" s="948"/>
      <c r="D245" s="948"/>
      <c r="E245" s="948"/>
      <c r="F245" s="53" t="s">
        <v>1041</v>
      </c>
      <c r="G245" s="860">
        <f>COUNTIF($AO$2:$CA$42,F245)</f>
        <v>0</v>
      </c>
      <c r="H245" s="861"/>
      <c r="I245" s="862"/>
      <c r="N245" s="948" t="s">
        <v>902</v>
      </c>
      <c r="O245" s="948"/>
      <c r="P245" s="948"/>
      <c r="Q245" s="948"/>
      <c r="R245" s="948"/>
      <c r="S245" s="53" t="s">
        <v>1041</v>
      </c>
      <c r="T245" s="863">
        <f>COUNTIF($A$2:$AN$70,S245)</f>
        <v>0</v>
      </c>
      <c r="U245" s="863"/>
      <c r="V245" s="863"/>
      <c r="AI245" s="928" t="s">
        <v>1042</v>
      </c>
      <c r="AJ245" s="929"/>
      <c r="AK245" s="929"/>
      <c r="AL245" s="929"/>
      <c r="AM245" s="930"/>
      <c r="AN245" s="394"/>
      <c r="AO245" s="395">
        <f>SUM(AO229:AO244)</f>
        <v>0</v>
      </c>
      <c r="AR245" s="834" t="s">
        <v>319</v>
      </c>
      <c r="AS245" s="835"/>
      <c r="AT245" s="835"/>
      <c r="AU245" s="835"/>
      <c r="AV245" s="835"/>
      <c r="AW245" s="939"/>
      <c r="AX245" s="216" t="s">
        <v>258</v>
      </c>
      <c r="AY245" s="217"/>
      <c r="BA245" s="218"/>
    </row>
    <row r="246" spans="1:53" ht="18" x14ac:dyDescent="0.25">
      <c r="A246" s="948" t="s">
        <v>915</v>
      </c>
      <c r="B246" s="948"/>
      <c r="C246" s="948"/>
      <c r="D246" s="948"/>
      <c r="E246" s="948"/>
      <c r="F246" s="53" t="s">
        <v>1043</v>
      </c>
      <c r="G246" s="860">
        <f>COUNTIF($AO$2:$CA$42,F246)</f>
        <v>0</v>
      </c>
      <c r="H246" s="861"/>
      <c r="I246" s="862"/>
      <c r="N246" s="948" t="s">
        <v>915</v>
      </c>
      <c r="O246" s="948"/>
      <c r="P246" s="948"/>
      <c r="Q246" s="948"/>
      <c r="R246" s="948"/>
      <c r="S246" s="53" t="s">
        <v>1043</v>
      </c>
      <c r="T246" s="863">
        <f>COUNTIF($A$2:$AN$70,S246)</f>
        <v>0</v>
      </c>
      <c r="U246" s="863"/>
      <c r="V246" s="863"/>
      <c r="AI246" s="581"/>
      <c r="AR246" s="845" t="s">
        <v>1044</v>
      </c>
      <c r="AS246" s="846"/>
      <c r="AT246" s="846"/>
      <c r="AU246" s="846"/>
      <c r="AV246" s="977"/>
      <c r="AW246" s="598" t="s">
        <v>1045</v>
      </c>
      <c r="AX246" s="224">
        <f t="shared" ref="AX246:AX251" si="60">COUNTIF($A$1:$GO$76,AW246)</f>
        <v>0</v>
      </c>
      <c r="AY246" s="599"/>
      <c r="BA246" s="218"/>
    </row>
    <row r="247" spans="1:53" ht="18.75" thickBot="1" x14ac:dyDescent="0.3">
      <c r="A247" s="974" t="s">
        <v>258</v>
      </c>
      <c r="B247" s="975"/>
      <c r="C247" s="975"/>
      <c r="D247" s="975"/>
      <c r="E247" s="976"/>
      <c r="F247" s="570"/>
      <c r="G247" s="953">
        <f>SUM(G245:I246)</f>
        <v>0</v>
      </c>
      <c r="H247" s="954"/>
      <c r="I247" s="955"/>
      <c r="N247" s="974" t="s">
        <v>258</v>
      </c>
      <c r="O247" s="975"/>
      <c r="P247" s="975"/>
      <c r="Q247" s="975"/>
      <c r="R247" s="976"/>
      <c r="S247" s="570"/>
      <c r="T247" s="953">
        <f>SUM(T245:V246)</f>
        <v>0</v>
      </c>
      <c r="U247" s="954"/>
      <c r="V247" s="955"/>
      <c r="AI247" s="918"/>
      <c r="AJ247" s="835"/>
      <c r="AK247" s="835"/>
      <c r="AL247" s="835"/>
      <c r="AM247" s="835"/>
      <c r="AN247" s="836"/>
      <c r="AO247" s="216"/>
      <c r="AP247" s="217"/>
      <c r="AR247" s="845" t="s">
        <v>1046</v>
      </c>
      <c r="AS247" s="846"/>
      <c r="AT247" s="846"/>
      <c r="AU247" s="846"/>
      <c r="AV247" s="977"/>
      <c r="AW247" s="600" t="s">
        <v>1047</v>
      </c>
      <c r="AX247" s="224">
        <f t="shared" si="60"/>
        <v>0</v>
      </c>
      <c r="AY247" s="599"/>
      <c r="BA247" s="218"/>
    </row>
    <row r="248" spans="1:53" ht="18.75" thickBot="1" x14ac:dyDescent="0.3">
      <c r="A248" s="944" t="s">
        <v>1048</v>
      </c>
      <c r="B248" s="945"/>
      <c r="C248" s="945"/>
      <c r="D248" s="945"/>
      <c r="E248" s="946"/>
      <c r="F248" s="50"/>
      <c r="G248" s="50"/>
      <c r="H248" s="50"/>
      <c r="I248" s="50"/>
      <c r="N248" s="944" t="s">
        <v>1048</v>
      </c>
      <c r="O248" s="945"/>
      <c r="P248" s="945"/>
      <c r="Q248" s="945"/>
      <c r="R248" s="946"/>
      <c r="S248" s="50"/>
      <c r="T248" s="50"/>
      <c r="U248" s="50"/>
      <c r="V248" s="50"/>
      <c r="AI248" s="888"/>
      <c r="AJ248" s="889"/>
      <c r="AK248" s="889"/>
      <c r="AL248" s="889"/>
      <c r="AM248" s="889"/>
      <c r="AN248" s="390"/>
      <c r="AO248" s="224"/>
      <c r="AP248" s="601"/>
      <c r="AR248" s="845" t="s">
        <v>1049</v>
      </c>
      <c r="AS248" s="846"/>
      <c r="AT248" s="846"/>
      <c r="AU248" s="846"/>
      <c r="AV248" s="977"/>
      <c r="AW248" s="602" t="s">
        <v>1050</v>
      </c>
      <c r="AX248" s="224">
        <f t="shared" si="60"/>
        <v>0</v>
      </c>
      <c r="AY248" s="599"/>
      <c r="BA248" s="218"/>
    </row>
    <row r="249" spans="1:53" ht="18" x14ac:dyDescent="0.25">
      <c r="A249" s="948" t="s">
        <v>902</v>
      </c>
      <c r="B249" s="948"/>
      <c r="C249" s="948"/>
      <c r="D249" s="948"/>
      <c r="E249" s="948"/>
      <c r="F249" s="53" t="s">
        <v>1051</v>
      </c>
      <c r="G249" s="860">
        <f>COUNTIF($AO$2:$CA$42,F249)</f>
        <v>0</v>
      </c>
      <c r="H249" s="861"/>
      <c r="I249" s="862"/>
      <c r="N249" s="948" t="s">
        <v>902</v>
      </c>
      <c r="O249" s="948"/>
      <c r="P249" s="948"/>
      <c r="Q249" s="948"/>
      <c r="R249" s="948"/>
      <c r="S249" s="53" t="s">
        <v>1051</v>
      </c>
      <c r="T249" s="863">
        <f>COUNTIF($A$2:$AN$70,S249)</f>
        <v>0</v>
      </c>
      <c r="U249" s="863"/>
      <c r="V249" s="863"/>
      <c r="AI249" s="928"/>
      <c r="AJ249" s="929"/>
      <c r="AK249" s="929"/>
      <c r="AL249" s="929"/>
      <c r="AM249" s="930"/>
      <c r="AN249" s="394"/>
      <c r="AO249" s="395"/>
      <c r="AR249" s="845" t="s">
        <v>1052</v>
      </c>
      <c r="AS249" s="846"/>
      <c r="AT249" s="846"/>
      <c r="AU249" s="846"/>
      <c r="AV249" s="977"/>
      <c r="AW249" s="603" t="s">
        <v>1053</v>
      </c>
      <c r="AX249" s="224">
        <f t="shared" si="60"/>
        <v>0</v>
      </c>
      <c r="AY249" s="599"/>
      <c r="BA249" s="218"/>
    </row>
    <row r="250" spans="1:53" ht="18" x14ac:dyDescent="0.25">
      <c r="A250" s="948" t="s">
        <v>915</v>
      </c>
      <c r="B250" s="948"/>
      <c r="C250" s="948"/>
      <c r="D250" s="948"/>
      <c r="E250" s="948"/>
      <c r="F250" s="53" t="s">
        <v>1054</v>
      </c>
      <c r="G250" s="860">
        <f>COUNTIF($AO$2:$CA$42,F250)</f>
        <v>0</v>
      </c>
      <c r="H250" s="861"/>
      <c r="I250" s="862"/>
      <c r="N250" s="948" t="s">
        <v>915</v>
      </c>
      <c r="O250" s="948"/>
      <c r="P250" s="948"/>
      <c r="Q250" s="948"/>
      <c r="R250" s="948"/>
      <c r="S250" s="53" t="s">
        <v>1054</v>
      </c>
      <c r="T250" s="863">
        <f>COUNTIF($A$2:$AN$70,S250)</f>
        <v>0</v>
      </c>
      <c r="U250" s="863"/>
      <c r="V250" s="863"/>
      <c r="AI250" s="581"/>
      <c r="AR250" s="845" t="s">
        <v>1055</v>
      </c>
      <c r="AS250" s="846"/>
      <c r="AT250" s="846"/>
      <c r="AU250" s="846"/>
      <c r="AV250" s="977"/>
      <c r="AW250" s="604" t="s">
        <v>1056</v>
      </c>
      <c r="AX250" s="224">
        <f t="shared" si="60"/>
        <v>0</v>
      </c>
      <c r="AY250" s="599"/>
      <c r="BA250" s="218"/>
    </row>
    <row r="251" spans="1:53" ht="18.75" thickBot="1" x14ac:dyDescent="0.3">
      <c r="A251" s="974" t="s">
        <v>258</v>
      </c>
      <c r="B251" s="975"/>
      <c r="C251" s="975"/>
      <c r="D251" s="975"/>
      <c r="E251" s="976"/>
      <c r="F251" s="570"/>
      <c r="G251" s="953">
        <f>SUM(G249:I250)</f>
        <v>0</v>
      </c>
      <c r="H251" s="954"/>
      <c r="I251" s="955"/>
      <c r="N251" s="974" t="s">
        <v>258</v>
      </c>
      <c r="O251" s="975"/>
      <c r="P251" s="975"/>
      <c r="Q251" s="975"/>
      <c r="R251" s="976"/>
      <c r="S251" s="570"/>
      <c r="T251" s="953">
        <f>SUM(T249:V250)</f>
        <v>0</v>
      </c>
      <c r="U251" s="954"/>
      <c r="V251" s="955"/>
      <c r="AI251" s="581"/>
      <c r="AR251" s="845" t="s">
        <v>1057</v>
      </c>
      <c r="AS251" s="846"/>
      <c r="AT251" s="846"/>
      <c r="AU251" s="846"/>
      <c r="AV251" s="977"/>
      <c r="AW251" s="605" t="s">
        <v>1058</v>
      </c>
      <c r="AX251" s="224">
        <f t="shared" si="60"/>
        <v>0</v>
      </c>
      <c r="AY251" s="599"/>
      <c r="BA251" s="218"/>
    </row>
    <row r="252" spans="1:53" ht="15.75" x14ac:dyDescent="0.25">
      <c r="M252" s="174"/>
      <c r="AI252" s="918" t="s">
        <v>765</v>
      </c>
      <c r="AJ252" s="835"/>
      <c r="AK252" s="835"/>
      <c r="AL252" s="835"/>
      <c r="AM252" s="835"/>
      <c r="AN252" s="939"/>
      <c r="AO252" s="216" t="s">
        <v>258</v>
      </c>
      <c r="AP252" s="217"/>
      <c r="AR252" s="834" t="s">
        <v>1059</v>
      </c>
      <c r="AS252" s="835"/>
      <c r="AT252" s="835"/>
      <c r="AU252" s="835"/>
      <c r="AV252" s="939"/>
      <c r="AW252" s="394"/>
      <c r="AX252" s="395">
        <f>SUM(AX246:AX251)</f>
        <v>0</v>
      </c>
      <c r="BA252" s="218"/>
    </row>
    <row r="253" spans="1:53" ht="15.75" x14ac:dyDescent="0.25">
      <c r="M253" s="174"/>
      <c r="AI253" s="888" t="s">
        <v>1060</v>
      </c>
      <c r="AJ253" s="889"/>
      <c r="AK253" s="889"/>
      <c r="AL253" s="889"/>
      <c r="AM253" s="941"/>
      <c r="AN253" s="606" t="s">
        <v>1061</v>
      </c>
      <c r="AO253" s="224">
        <f>COUNTIF($A$1:$GO$76,AN253)</f>
        <v>0</v>
      </c>
      <c r="AP253" s="607"/>
      <c r="BA253" s="218"/>
    </row>
    <row r="254" spans="1:53" ht="15.75" x14ac:dyDescent="0.25">
      <c r="M254" s="174"/>
      <c r="AI254" s="888" t="s">
        <v>1062</v>
      </c>
      <c r="AJ254" s="889"/>
      <c r="AK254" s="889"/>
      <c r="AL254" s="889"/>
      <c r="AM254" s="941"/>
      <c r="AN254" s="608" t="s">
        <v>1063</v>
      </c>
      <c r="AO254" s="224">
        <f>COUNTIF($A$1:$GO$76,AN254)</f>
        <v>0</v>
      </c>
      <c r="AP254" s="609"/>
      <c r="AQ254" s="215"/>
      <c r="AR254" s="834" t="s">
        <v>365</v>
      </c>
      <c r="AS254" s="835"/>
      <c r="AT254" s="835"/>
      <c r="AU254" s="835"/>
      <c r="AV254" s="835"/>
      <c r="AW254" s="939"/>
      <c r="AX254" s="216" t="s">
        <v>258</v>
      </c>
      <c r="AY254" s="217"/>
      <c r="BA254" s="218"/>
    </row>
    <row r="255" spans="1:53" ht="15.75" x14ac:dyDescent="0.25">
      <c r="M255" s="174"/>
      <c r="AI255" s="888" t="s">
        <v>1064</v>
      </c>
      <c r="AJ255" s="889"/>
      <c r="AK255" s="889"/>
      <c r="AL255" s="889"/>
      <c r="AM255" s="941"/>
      <c r="AN255" s="610" t="s">
        <v>1065</v>
      </c>
      <c r="AO255" s="224">
        <f>COUNTIF($A$1:$GO$76,AN255)</f>
        <v>0</v>
      </c>
      <c r="AP255" s="609"/>
      <c r="AR255" s="845" t="s">
        <v>1066</v>
      </c>
      <c r="AS255" s="846"/>
      <c r="AT255" s="846"/>
      <c r="AU255" s="846"/>
      <c r="AV255" s="977"/>
      <c r="AW255" s="611" t="s">
        <v>366</v>
      </c>
      <c r="AX255" s="224">
        <f>COUNTIF($A$1:$GO$76,AW255)</f>
        <v>0</v>
      </c>
      <c r="AY255" s="599"/>
      <c r="BA255" s="218"/>
    </row>
    <row r="256" spans="1:53" ht="15.75" x14ac:dyDescent="0.25">
      <c r="M256" s="174"/>
      <c r="AI256" s="888" t="s">
        <v>1067</v>
      </c>
      <c r="AJ256" s="889"/>
      <c r="AK256" s="889"/>
      <c r="AL256" s="889"/>
      <c r="AM256" s="941"/>
      <c r="AN256" s="612" t="s">
        <v>1068</v>
      </c>
      <c r="AO256" s="224">
        <f>COUNTIF($A$1:$GO$76,AN256)</f>
        <v>0</v>
      </c>
      <c r="AP256" s="609"/>
      <c r="AR256" s="834" t="s">
        <v>1069</v>
      </c>
      <c r="AS256" s="835"/>
      <c r="AT256" s="835"/>
      <c r="AU256" s="835"/>
      <c r="AV256" s="939"/>
      <c r="AW256" s="394"/>
      <c r="AX256" s="395">
        <f>SUM(AX255:AX255)</f>
        <v>0</v>
      </c>
      <c r="BA256" s="218"/>
    </row>
    <row r="257" spans="13:53" ht="15.75" x14ac:dyDescent="0.25">
      <c r="M257" s="174"/>
      <c r="AI257" s="888" t="s">
        <v>1070</v>
      </c>
      <c r="AJ257" s="889"/>
      <c r="AK257" s="889"/>
      <c r="AL257" s="889"/>
      <c r="AM257" s="941"/>
      <c r="AN257" s="613" t="s">
        <v>1071</v>
      </c>
      <c r="AO257" s="224">
        <f>COUNTIF($A$1:$GO$76,AN257)</f>
        <v>0</v>
      </c>
      <c r="AP257" s="609"/>
      <c r="AR257" s="215"/>
      <c r="AS257" s="215"/>
      <c r="AT257" s="215"/>
      <c r="AU257" s="215"/>
      <c r="AV257" s="215"/>
      <c r="AW257" s="215"/>
      <c r="AX257" s="215"/>
      <c r="AY257" s="215"/>
      <c r="BA257" s="218"/>
    </row>
    <row r="258" spans="13:53" ht="15.75" x14ac:dyDescent="0.25">
      <c r="M258" s="174"/>
      <c r="AI258" s="928" t="s">
        <v>1072</v>
      </c>
      <c r="AJ258" s="929"/>
      <c r="AK258" s="929"/>
      <c r="AL258" s="929"/>
      <c r="AM258" s="930"/>
      <c r="AN258" s="394"/>
      <c r="AO258" s="395">
        <f>SUM(AO253:AO257)</f>
        <v>0</v>
      </c>
      <c r="AP258" s="215"/>
      <c r="AR258" s="834" t="s">
        <v>378</v>
      </c>
      <c r="AS258" s="835"/>
      <c r="AT258" s="835"/>
      <c r="AU258" s="835"/>
      <c r="AV258" s="835"/>
      <c r="AW258" s="939"/>
      <c r="AX258" s="216" t="s">
        <v>258</v>
      </c>
      <c r="AY258" s="217"/>
      <c r="BA258" s="218"/>
    </row>
    <row r="259" spans="13:53" ht="18" x14ac:dyDescent="0.25">
      <c r="M259" s="174"/>
      <c r="AI259" s="581"/>
      <c r="AR259" s="978" t="s">
        <v>378</v>
      </c>
      <c r="AS259" s="846"/>
      <c r="AT259" s="846"/>
      <c r="AU259" s="846"/>
      <c r="AV259" s="977"/>
      <c r="AW259" s="614" t="s">
        <v>379</v>
      </c>
      <c r="AX259" s="224">
        <f>COUNTIF($A$1:$GO$76,AW259)</f>
        <v>0</v>
      </c>
      <c r="AY259" s="615"/>
      <c r="BA259" s="567"/>
    </row>
    <row r="260" spans="13:53" ht="18" x14ac:dyDescent="0.25">
      <c r="M260" s="174"/>
      <c r="AI260" s="949" t="s">
        <v>384</v>
      </c>
      <c r="AJ260" s="950"/>
      <c r="AK260" s="950"/>
      <c r="AL260" s="950"/>
      <c r="AM260" s="950"/>
      <c r="AN260" s="836"/>
      <c r="AO260" s="216" t="s">
        <v>258</v>
      </c>
      <c r="AP260" s="217"/>
      <c r="AR260" s="834" t="s">
        <v>1073</v>
      </c>
      <c r="AS260" s="835"/>
      <c r="AT260" s="835"/>
      <c r="AU260" s="835"/>
      <c r="AV260" s="939"/>
      <c r="AW260" s="394"/>
      <c r="AX260" s="395">
        <f>SUM(AX259:AX259)</f>
        <v>0</v>
      </c>
      <c r="BA260" s="567"/>
    </row>
    <row r="261" spans="13:53" ht="18" x14ac:dyDescent="0.25">
      <c r="M261" s="174"/>
      <c r="AI261" s="843" t="s">
        <v>1074</v>
      </c>
      <c r="AJ261" s="844"/>
      <c r="AK261" s="844"/>
      <c r="AL261" s="844"/>
      <c r="AM261" s="844"/>
      <c r="AN261" s="616" t="s">
        <v>1075</v>
      </c>
      <c r="AO261" s="224">
        <f>COUNTIF($A$1:$GO$76,AN261)</f>
        <v>0</v>
      </c>
      <c r="AP261" s="617"/>
      <c r="BA261" s="567"/>
    </row>
    <row r="262" spans="13:53" ht="18" x14ac:dyDescent="0.25">
      <c r="M262" s="174"/>
      <c r="AA262" s="174"/>
      <c r="AI262" s="843" t="s">
        <v>1076</v>
      </c>
      <c r="AJ262" s="844"/>
      <c r="AK262" s="844"/>
      <c r="AL262" s="844"/>
      <c r="AM262" s="956"/>
      <c r="AN262" s="618" t="s">
        <v>1077</v>
      </c>
      <c r="AO262" s="224">
        <f>COUNTIF($A$1:$GO$76,AN262)</f>
        <v>0</v>
      </c>
      <c r="AP262" s="617"/>
      <c r="AR262" s="834" t="s">
        <v>685</v>
      </c>
      <c r="AS262" s="835"/>
      <c r="AT262" s="835"/>
      <c r="AU262" s="835"/>
      <c r="AV262" s="835"/>
      <c r="AW262" s="939"/>
      <c r="AX262" s="216" t="s">
        <v>258</v>
      </c>
      <c r="AY262" s="217"/>
      <c r="BA262" s="567"/>
    </row>
    <row r="263" spans="13:53" ht="18" x14ac:dyDescent="0.25">
      <c r="M263" s="174"/>
      <c r="AA263" s="174"/>
      <c r="AI263" s="928" t="s">
        <v>1078</v>
      </c>
      <c r="AJ263" s="929"/>
      <c r="AK263" s="929"/>
      <c r="AL263" s="929"/>
      <c r="AM263" s="930"/>
      <c r="AN263" s="394"/>
      <c r="AO263" s="395">
        <f>SUM(AO261:AO262)</f>
        <v>0</v>
      </c>
      <c r="AP263" s="215"/>
      <c r="AR263" s="845" t="s">
        <v>685</v>
      </c>
      <c r="AS263" s="846"/>
      <c r="AT263" s="846"/>
      <c r="AU263" s="846"/>
      <c r="AV263" s="977"/>
      <c r="AW263" s="619" t="s">
        <v>1079</v>
      </c>
      <c r="AX263" s="224">
        <f>COUNTIF($A$1:$GO$76,AW263)</f>
        <v>0</v>
      </c>
      <c r="AY263" s="620"/>
      <c r="BA263" s="567"/>
    </row>
    <row r="264" spans="13:53" ht="18" x14ac:dyDescent="0.25">
      <c r="M264" s="174"/>
      <c r="AA264" s="174"/>
      <c r="AI264" s="581"/>
      <c r="AR264" s="834" t="s">
        <v>1080</v>
      </c>
      <c r="AS264" s="835"/>
      <c r="AT264" s="835"/>
      <c r="AU264" s="835"/>
      <c r="AV264" s="939"/>
      <c r="AW264" s="621"/>
      <c r="AX264" s="395">
        <f>SUM(AX263:AX263)</f>
        <v>0</v>
      </c>
      <c r="BA264" s="567"/>
    </row>
    <row r="265" spans="13:53" ht="18" x14ac:dyDescent="0.25">
      <c r="M265" s="174"/>
      <c r="AA265" s="174"/>
      <c r="AI265" s="949" t="s">
        <v>561</v>
      </c>
      <c r="AJ265" s="950"/>
      <c r="AK265" s="950"/>
      <c r="AL265" s="950"/>
      <c r="AM265" s="950"/>
      <c r="AN265" s="836"/>
      <c r="AO265" s="216" t="s">
        <v>258</v>
      </c>
      <c r="AP265" s="217"/>
      <c r="BA265" s="567"/>
    </row>
    <row r="266" spans="13:53" ht="18" x14ac:dyDescent="0.25">
      <c r="M266" s="174"/>
      <c r="AA266" s="174"/>
      <c r="AI266" s="843" t="s">
        <v>1081</v>
      </c>
      <c r="AJ266" s="844"/>
      <c r="AK266" s="844"/>
      <c r="AL266" s="844"/>
      <c r="AM266" s="904"/>
      <c r="AN266" s="606" t="s">
        <v>1082</v>
      </c>
      <c r="AO266" s="224">
        <f t="shared" ref="AO266:AO275" si="61">COUNTIF($A$1:$GO$76,AN266)</f>
        <v>0</v>
      </c>
      <c r="AP266" s="622"/>
      <c r="AR266" s="834" t="s">
        <v>413</v>
      </c>
      <c r="AS266" s="835"/>
      <c r="AT266" s="835"/>
      <c r="AU266" s="835"/>
      <c r="AV266" s="835"/>
      <c r="AW266" s="939"/>
      <c r="AX266" s="216" t="s">
        <v>258</v>
      </c>
      <c r="AY266" s="217"/>
      <c r="BA266" s="567"/>
    </row>
    <row r="267" spans="13:53" ht="18" x14ac:dyDescent="0.25">
      <c r="M267" s="174"/>
      <c r="AA267" s="174"/>
      <c r="AI267" s="843" t="s">
        <v>1083</v>
      </c>
      <c r="AJ267" s="844"/>
      <c r="AK267" s="844"/>
      <c r="AL267" s="844"/>
      <c r="AM267" s="904"/>
      <c r="AN267" s="623" t="s">
        <v>1084</v>
      </c>
      <c r="AO267" s="224">
        <f t="shared" si="61"/>
        <v>0</v>
      </c>
      <c r="AP267" s="622"/>
      <c r="AR267" s="845" t="s">
        <v>1085</v>
      </c>
      <c r="AS267" s="846"/>
      <c r="AT267" s="846"/>
      <c r="AU267" s="846"/>
      <c r="AV267" s="977"/>
      <c r="AW267" s="624" t="s">
        <v>1086</v>
      </c>
      <c r="AX267" s="224">
        <f>COUNTIF($A$1:$GO$76,AW267)</f>
        <v>0</v>
      </c>
      <c r="AY267" s="625"/>
      <c r="BA267" s="567"/>
    </row>
    <row r="268" spans="13:53" ht="18" x14ac:dyDescent="0.25">
      <c r="M268" s="174"/>
      <c r="AA268" s="174"/>
      <c r="AI268" s="843" t="s">
        <v>1087</v>
      </c>
      <c r="AJ268" s="844"/>
      <c r="AK268" s="844"/>
      <c r="AL268" s="844"/>
      <c r="AM268" s="904"/>
      <c r="AN268" s="626" t="s">
        <v>1088</v>
      </c>
      <c r="AO268" s="224">
        <f t="shared" si="61"/>
        <v>0</v>
      </c>
      <c r="AP268" s="622"/>
      <c r="AR268" s="834" t="s">
        <v>1089</v>
      </c>
      <c r="AS268" s="835"/>
      <c r="AT268" s="835"/>
      <c r="AU268" s="835"/>
      <c r="AV268" s="939"/>
      <c r="AW268" s="394"/>
      <c r="AX268" s="395">
        <f>SUM(AX267:AX267)</f>
        <v>0</v>
      </c>
      <c r="BA268" s="567"/>
    </row>
    <row r="269" spans="13:53" ht="18" x14ac:dyDescent="0.25">
      <c r="M269" s="174"/>
      <c r="AA269" s="174"/>
      <c r="AI269" s="843" t="s">
        <v>1090</v>
      </c>
      <c r="AJ269" s="844"/>
      <c r="AK269" s="844"/>
      <c r="AL269" s="844"/>
      <c r="AM269" s="904"/>
      <c r="AN269" s="627" t="s">
        <v>1091</v>
      </c>
      <c r="AO269" s="224">
        <f t="shared" si="61"/>
        <v>0</v>
      </c>
      <c r="AP269" s="622"/>
      <c r="BA269" s="567"/>
    </row>
    <row r="270" spans="13:53" ht="18" x14ac:dyDescent="0.25">
      <c r="M270" s="174"/>
      <c r="AA270" s="174"/>
      <c r="AI270" s="843" t="s">
        <v>1092</v>
      </c>
      <c r="AJ270" s="844"/>
      <c r="AK270" s="844"/>
      <c r="AL270" s="844"/>
      <c r="AM270" s="904"/>
      <c r="AN270" s="628" t="s">
        <v>1093</v>
      </c>
      <c r="AO270" s="224">
        <f t="shared" si="61"/>
        <v>0</v>
      </c>
      <c r="AP270" s="622"/>
      <c r="AR270" s="980" t="s">
        <v>303</v>
      </c>
      <c r="AS270" s="950"/>
      <c r="AT270" s="950"/>
      <c r="AU270" s="950"/>
      <c r="AV270" s="950"/>
      <c r="AW270" s="836"/>
      <c r="AX270" s="216" t="s">
        <v>258</v>
      </c>
      <c r="AY270" s="217"/>
      <c r="BA270" s="567"/>
    </row>
    <row r="271" spans="13:53" ht="18" x14ac:dyDescent="0.25">
      <c r="M271" s="174"/>
      <c r="AA271" s="174"/>
      <c r="AI271" s="843" t="s">
        <v>1094</v>
      </c>
      <c r="AJ271" s="844"/>
      <c r="AK271" s="844"/>
      <c r="AL271" s="844"/>
      <c r="AM271" s="904"/>
      <c r="AN271" s="629" t="s">
        <v>1095</v>
      </c>
      <c r="AO271" s="224">
        <f t="shared" si="61"/>
        <v>0</v>
      </c>
      <c r="AP271" s="622"/>
      <c r="AR271" s="979" t="s">
        <v>1096</v>
      </c>
      <c r="AS271" s="979"/>
      <c r="AT271" s="979"/>
      <c r="AU271" s="979"/>
      <c r="AV271" s="979"/>
      <c r="AW271" s="630" t="s">
        <v>1097</v>
      </c>
      <c r="AX271" s="224">
        <f>COUNTIF($A$1:$GO$76,AW271)</f>
        <v>0</v>
      </c>
      <c r="AY271" s="631"/>
      <c r="BA271" s="567"/>
    </row>
    <row r="272" spans="13:53" ht="18" x14ac:dyDescent="0.25">
      <c r="M272" s="174"/>
      <c r="AA272" s="174"/>
      <c r="AI272" s="843" t="s">
        <v>1098</v>
      </c>
      <c r="AJ272" s="844"/>
      <c r="AK272" s="844"/>
      <c r="AL272" s="844"/>
      <c r="AM272" s="904"/>
      <c r="AN272" s="632" t="s">
        <v>1099</v>
      </c>
      <c r="AO272" s="224">
        <f t="shared" si="61"/>
        <v>0</v>
      </c>
      <c r="AP272" s="622"/>
      <c r="AR272" s="979" t="s">
        <v>1100</v>
      </c>
      <c r="AS272" s="979"/>
      <c r="AT272" s="979"/>
      <c r="AU272" s="979"/>
      <c r="AV272" s="979"/>
      <c r="AW272" s="633" t="s">
        <v>1101</v>
      </c>
      <c r="AX272" s="224">
        <f>COUNTIF($A$1:$GO$76,AW272)</f>
        <v>0</v>
      </c>
      <c r="AY272" s="631"/>
      <c r="BA272" s="567"/>
    </row>
    <row r="273" spans="13:53" ht="18" x14ac:dyDescent="0.25">
      <c r="M273" s="174"/>
      <c r="AA273" s="174"/>
      <c r="AI273" s="843" t="s">
        <v>1102</v>
      </c>
      <c r="AJ273" s="844"/>
      <c r="AK273" s="844"/>
      <c r="AL273" s="844"/>
      <c r="AM273" s="904"/>
      <c r="AN273" s="634" t="s">
        <v>1103</v>
      </c>
      <c r="AO273" s="224">
        <f t="shared" si="61"/>
        <v>0</v>
      </c>
      <c r="AP273" s="622"/>
      <c r="AR273" s="979" t="s">
        <v>1104</v>
      </c>
      <c r="AS273" s="979"/>
      <c r="AT273" s="979"/>
      <c r="AU273" s="979"/>
      <c r="AV273" s="979"/>
      <c r="AW273" s="635" t="s">
        <v>1105</v>
      </c>
      <c r="AX273" s="224">
        <f>COUNTIF($A$1:$GO$76,AW273)</f>
        <v>0</v>
      </c>
      <c r="AY273" s="631"/>
      <c r="BA273" s="567"/>
    </row>
    <row r="274" spans="13:53" ht="18" x14ac:dyDescent="0.25">
      <c r="M274" s="174"/>
      <c r="AA274" s="174"/>
      <c r="AI274" s="843" t="s">
        <v>1106</v>
      </c>
      <c r="AJ274" s="844"/>
      <c r="AK274" s="844"/>
      <c r="AL274" s="844"/>
      <c r="AM274" s="904"/>
      <c r="AN274" s="636" t="s">
        <v>1107</v>
      </c>
      <c r="AO274" s="224">
        <f t="shared" si="61"/>
        <v>0</v>
      </c>
      <c r="AP274" s="622"/>
      <c r="AR274" s="979" t="s">
        <v>1108</v>
      </c>
      <c r="AS274" s="979"/>
      <c r="AT274" s="979"/>
      <c r="AU274" s="979"/>
      <c r="AV274" s="979"/>
      <c r="AW274" s="637" t="s">
        <v>1109</v>
      </c>
      <c r="AX274" s="224">
        <f>COUNTIF($A$1:$GO$76,AW274)</f>
        <v>0</v>
      </c>
      <c r="AY274" s="631"/>
      <c r="BA274" s="567"/>
    </row>
    <row r="275" spans="13:53" ht="18" x14ac:dyDescent="0.25">
      <c r="M275" s="174"/>
      <c r="AA275" s="174"/>
      <c r="AI275" s="843" t="s">
        <v>1110</v>
      </c>
      <c r="AJ275" s="844"/>
      <c r="AK275" s="844"/>
      <c r="AL275" s="844"/>
      <c r="AM275" s="904"/>
      <c r="AN275" s="638" t="s">
        <v>1111</v>
      </c>
      <c r="AO275" s="224">
        <f t="shared" si="61"/>
        <v>0</v>
      </c>
      <c r="AP275" s="622"/>
      <c r="AR275" s="983" t="s">
        <v>1112</v>
      </c>
      <c r="AS275" s="984"/>
      <c r="AT275" s="984"/>
      <c r="AU275" s="984"/>
      <c r="AV275" s="985"/>
      <c r="AW275" s="639"/>
      <c r="AX275" s="395">
        <f>SUM(AX271:AX274)</f>
        <v>0</v>
      </c>
      <c r="BA275" s="567"/>
    </row>
    <row r="276" spans="13:53" ht="18" x14ac:dyDescent="0.25">
      <c r="M276" s="174"/>
      <c r="AA276" s="174"/>
      <c r="AI276" s="928" t="s">
        <v>1113</v>
      </c>
      <c r="AJ276" s="929"/>
      <c r="AK276" s="929"/>
      <c r="AL276" s="929"/>
      <c r="AM276" s="930"/>
      <c r="AN276" s="394"/>
      <c r="AO276" s="395">
        <f>SUM(AO266:AO275)</f>
        <v>0</v>
      </c>
      <c r="AP276" s="215"/>
      <c r="BA276" s="567"/>
    </row>
    <row r="277" spans="13:53" ht="18" x14ac:dyDescent="0.25">
      <c r="M277" s="174"/>
      <c r="AA277" s="174"/>
      <c r="AI277" s="581"/>
      <c r="BA277" s="567"/>
    </row>
    <row r="278" spans="13:53" ht="18" x14ac:dyDescent="0.25">
      <c r="M278" s="174"/>
      <c r="AA278" s="174"/>
      <c r="AI278" s="949" t="s">
        <v>343</v>
      </c>
      <c r="AJ278" s="950"/>
      <c r="AK278" s="950"/>
      <c r="AL278" s="950"/>
      <c r="AM278" s="950"/>
      <c r="AN278" s="836"/>
      <c r="AO278" s="216" t="s">
        <v>258</v>
      </c>
      <c r="AP278" s="217"/>
      <c r="BA278" s="567"/>
    </row>
    <row r="279" spans="13:53" ht="18" x14ac:dyDescent="0.25">
      <c r="M279" s="174"/>
      <c r="AA279" s="174"/>
      <c r="AI279" s="843" t="s">
        <v>1114</v>
      </c>
      <c r="AJ279" s="844"/>
      <c r="AK279" s="844"/>
      <c r="AL279" s="844"/>
      <c r="AM279" s="844"/>
      <c r="AN279" s="640" t="s">
        <v>1115</v>
      </c>
      <c r="AO279" s="224">
        <f>COUNTIF($A$1:$GO$76,AN279)</f>
        <v>0</v>
      </c>
      <c r="AP279" s="617"/>
      <c r="BA279" s="567"/>
    </row>
    <row r="280" spans="13:53" ht="18" x14ac:dyDescent="0.25">
      <c r="M280" s="174"/>
      <c r="AA280" s="174"/>
      <c r="AI280" s="843"/>
      <c r="AJ280" s="844"/>
      <c r="AK280" s="844"/>
      <c r="AL280" s="844"/>
      <c r="AM280" s="956"/>
      <c r="AN280" s="641"/>
      <c r="AO280" s="224"/>
      <c r="AP280" s="617"/>
      <c r="BA280" s="567"/>
    </row>
    <row r="281" spans="13:53" ht="18" x14ac:dyDescent="0.25">
      <c r="M281" s="174"/>
      <c r="AA281" s="174"/>
      <c r="AI281" s="928" t="s">
        <v>1116</v>
      </c>
      <c r="AJ281" s="929"/>
      <c r="AK281" s="929"/>
      <c r="AL281" s="929"/>
      <c r="AM281" s="930"/>
      <c r="AN281" s="394"/>
      <c r="AO281" s="395">
        <f>SUM(AO279:AO280)</f>
        <v>0</v>
      </c>
      <c r="AP281" s="215"/>
      <c r="BA281" s="567"/>
    </row>
    <row r="282" spans="13:53" ht="18" x14ac:dyDescent="0.25">
      <c r="M282" s="174"/>
      <c r="AA282" s="174"/>
      <c r="AI282" s="642"/>
      <c r="AJ282" s="643"/>
      <c r="AK282" s="643"/>
      <c r="AL282" s="643"/>
      <c r="AM282" s="643"/>
      <c r="AN282" s="644"/>
      <c r="AO282" s="645"/>
      <c r="AP282" s="215"/>
      <c r="BA282" s="567"/>
    </row>
    <row r="283" spans="13:53" ht="18" x14ac:dyDescent="0.25">
      <c r="M283" s="174"/>
      <c r="AA283" s="174"/>
      <c r="AI283" s="642"/>
      <c r="AJ283" s="643"/>
      <c r="AK283" s="643"/>
      <c r="AL283" s="643"/>
      <c r="AM283" s="643"/>
      <c r="AN283" s="644"/>
      <c r="AO283" s="645"/>
      <c r="AP283" s="215"/>
      <c r="BA283" s="567"/>
    </row>
    <row r="284" spans="13:53" ht="18" x14ac:dyDescent="0.25">
      <c r="M284" s="174"/>
      <c r="AA284" s="174"/>
      <c r="AI284" s="642"/>
      <c r="AJ284" s="643"/>
      <c r="AK284" s="643"/>
      <c r="AL284" s="643"/>
      <c r="AM284" s="643"/>
      <c r="AN284" s="644"/>
      <c r="AO284" s="645"/>
      <c r="AP284" s="215"/>
      <c r="BA284" s="567"/>
    </row>
    <row r="285" spans="13:53" ht="18" x14ac:dyDescent="0.25">
      <c r="M285" s="174"/>
      <c r="AA285" s="174"/>
      <c r="AI285" s="642"/>
      <c r="AJ285" s="643"/>
      <c r="AK285" s="643"/>
      <c r="AL285" s="643"/>
      <c r="AM285" s="643"/>
      <c r="AN285" s="644"/>
      <c r="AO285" s="645"/>
      <c r="AP285" s="215"/>
      <c r="BA285" s="567"/>
    </row>
    <row r="286" spans="13:53" ht="18" x14ac:dyDescent="0.25">
      <c r="M286" s="174"/>
      <c r="AA286" s="174"/>
      <c r="AI286" s="642"/>
      <c r="AJ286" s="643"/>
      <c r="AK286" s="643"/>
      <c r="AL286" s="643"/>
      <c r="AM286" s="643"/>
      <c r="AN286" s="644"/>
      <c r="AO286" s="645"/>
      <c r="AP286" s="215"/>
      <c r="BA286" s="567"/>
    </row>
    <row r="287" spans="13:53" ht="18" x14ac:dyDescent="0.25">
      <c r="M287" s="174"/>
      <c r="AA287" s="174"/>
      <c r="AI287" s="642"/>
      <c r="AJ287" s="643"/>
      <c r="AK287" s="643"/>
      <c r="AL287" s="643"/>
      <c r="AM287" s="643"/>
      <c r="AN287" s="644"/>
      <c r="AO287" s="645"/>
      <c r="AP287" s="215"/>
      <c r="BA287" s="567"/>
    </row>
    <row r="288" spans="13:53" ht="18" x14ac:dyDescent="0.25">
      <c r="M288" s="174"/>
      <c r="AA288" s="174"/>
      <c r="AI288" s="642"/>
      <c r="AJ288" s="643"/>
      <c r="AK288" s="643"/>
      <c r="AL288" s="643"/>
      <c r="AM288" s="643"/>
      <c r="AN288" s="644"/>
      <c r="AO288" s="645"/>
      <c r="AP288" s="215"/>
      <c r="BA288" s="567"/>
    </row>
    <row r="289" spans="13:53" ht="18" x14ac:dyDescent="0.25">
      <c r="M289" s="174"/>
      <c r="AA289" s="174"/>
      <c r="AI289" s="642"/>
      <c r="AJ289" s="643"/>
      <c r="AK289" s="643"/>
      <c r="AL289" s="643"/>
      <c r="AM289" s="643"/>
      <c r="AN289" s="644"/>
      <c r="AO289" s="645"/>
      <c r="AP289" s="215"/>
      <c r="BA289" s="567"/>
    </row>
    <row r="290" spans="13:53" ht="18" x14ac:dyDescent="0.25">
      <c r="M290" s="174"/>
      <c r="AA290" s="174"/>
      <c r="AI290" s="642"/>
      <c r="AJ290" s="643"/>
      <c r="AK290" s="643"/>
      <c r="AL290" s="643"/>
      <c r="AM290" s="643"/>
      <c r="AN290" s="644"/>
      <c r="AO290" s="645"/>
      <c r="AP290" s="215"/>
      <c r="BA290" s="567"/>
    </row>
    <row r="291" spans="13:53" ht="18" x14ac:dyDescent="0.25">
      <c r="M291" s="174"/>
      <c r="AA291" s="174"/>
      <c r="AI291" s="642"/>
      <c r="AJ291" s="643"/>
      <c r="AK291" s="643"/>
      <c r="AL291" s="643"/>
      <c r="AM291" s="643"/>
      <c r="AN291" s="644"/>
      <c r="AO291" s="645"/>
      <c r="AP291" s="215"/>
      <c r="BA291" s="567"/>
    </row>
    <row r="292" spans="13:53" ht="18" x14ac:dyDescent="0.25">
      <c r="M292" s="174"/>
      <c r="AA292" s="174"/>
      <c r="AI292" s="642"/>
      <c r="AJ292" s="643"/>
      <c r="AK292" s="643"/>
      <c r="AL292" s="643"/>
      <c r="AM292" s="643"/>
      <c r="AN292" s="644"/>
      <c r="AO292" s="645"/>
      <c r="AP292" s="215"/>
      <c r="BA292" s="567"/>
    </row>
    <row r="293" spans="13:53" ht="18" x14ac:dyDescent="0.25">
      <c r="M293" s="174"/>
      <c r="AA293" s="174"/>
      <c r="AI293" s="581"/>
      <c r="BA293" s="567"/>
    </row>
    <row r="294" spans="13:53" ht="15.75" thickBot="1" x14ac:dyDescent="0.3">
      <c r="M294" s="174"/>
      <c r="AA294" s="174"/>
      <c r="AI294" s="646"/>
      <c r="AJ294" s="647"/>
      <c r="AK294" s="647"/>
      <c r="AL294" s="647"/>
      <c r="AM294" s="647"/>
      <c r="AN294" s="647"/>
      <c r="AO294" s="647"/>
      <c r="AP294" s="647"/>
      <c r="AQ294" s="647"/>
      <c r="AR294" s="647"/>
      <c r="AS294" s="647"/>
      <c r="AT294" s="647"/>
      <c r="AU294" s="647"/>
      <c r="AV294" s="647"/>
      <c r="AW294" s="647"/>
      <c r="AX294" s="647"/>
      <c r="AY294" s="647"/>
      <c r="AZ294" s="647"/>
      <c r="BA294" s="648"/>
    </row>
    <row r="295" spans="13:53" x14ac:dyDescent="0.25">
      <c r="M295" s="174"/>
      <c r="AA295" s="174"/>
    </row>
    <row r="296" spans="13:53" x14ac:dyDescent="0.25">
      <c r="M296" s="174"/>
      <c r="AA296" s="174"/>
    </row>
    <row r="297" spans="13:53" x14ac:dyDescent="0.25">
      <c r="M297" s="174"/>
      <c r="AA297" s="174"/>
    </row>
    <row r="298" spans="13:53" x14ac:dyDescent="0.25">
      <c r="M298" s="174"/>
      <c r="AA298" s="174"/>
    </row>
    <row r="299" spans="13:53" x14ac:dyDescent="0.25">
      <c r="M299" s="174"/>
      <c r="AA299" s="174"/>
    </row>
    <row r="300" spans="13:53" ht="18" x14ac:dyDescent="0.25">
      <c r="M300" s="174"/>
      <c r="AA300" s="174"/>
      <c r="AZ300" s="542"/>
    </row>
    <row r="301" spans="13:53" ht="18" x14ac:dyDescent="0.25">
      <c r="M301" s="174"/>
      <c r="AA301" s="174"/>
      <c r="AI301" s="649"/>
      <c r="AJ301" s="649"/>
      <c r="AK301" s="649"/>
      <c r="AL301" s="649"/>
      <c r="AM301" s="649"/>
      <c r="AQ301" s="650"/>
    </row>
    <row r="302" spans="13:53" ht="18" x14ac:dyDescent="0.25">
      <c r="M302" s="174"/>
      <c r="AA302" s="174"/>
      <c r="AI302" s="981"/>
      <c r="AJ302" s="981"/>
      <c r="AK302" s="981"/>
      <c r="AL302" s="981"/>
      <c r="AM302" s="981"/>
      <c r="AN302" s="981"/>
      <c r="AO302" s="650"/>
      <c r="AP302" s="650"/>
      <c r="AQ302" s="411"/>
      <c r="BA302" s="542"/>
    </row>
    <row r="303" spans="13:53" ht="18" x14ac:dyDescent="0.25">
      <c r="M303" s="174"/>
      <c r="AA303" s="174"/>
      <c r="AI303" s="982"/>
      <c r="AJ303" s="982"/>
      <c r="AK303" s="982"/>
      <c r="AL303" s="982"/>
      <c r="AM303" s="982"/>
      <c r="AN303" s="28"/>
      <c r="AO303" s="411"/>
      <c r="AP303" s="411"/>
      <c r="AQ303" s="650"/>
      <c r="AZ303" s="542"/>
      <c r="BA303" s="650"/>
    </row>
    <row r="304" spans="13:53" ht="18" x14ac:dyDescent="0.25">
      <c r="M304" s="174"/>
      <c r="AA304" s="174"/>
      <c r="AI304" s="981"/>
      <c r="AJ304" s="981"/>
      <c r="AK304" s="981"/>
      <c r="AL304" s="981"/>
      <c r="AM304" s="981"/>
      <c r="AN304" s="981"/>
      <c r="AO304" s="650"/>
      <c r="AP304" s="650"/>
      <c r="AQ304" s="651"/>
      <c r="AZ304" s="650"/>
      <c r="BA304" s="542"/>
    </row>
    <row r="305" spans="13:53" ht="18" x14ac:dyDescent="0.25">
      <c r="M305" s="174"/>
      <c r="AA305" s="174"/>
      <c r="AI305" s="981"/>
      <c r="AJ305" s="981"/>
      <c r="AK305" s="981"/>
      <c r="AL305" s="981"/>
      <c r="AM305" s="981"/>
      <c r="AN305" s="981"/>
      <c r="AO305" s="651"/>
      <c r="AP305" s="651"/>
      <c r="AQ305" s="651"/>
      <c r="AZ305" s="542"/>
      <c r="BA305" s="542"/>
    </row>
    <row r="306" spans="13:53" ht="18" x14ac:dyDescent="0.25">
      <c r="M306" s="174"/>
      <c r="AA306" s="174"/>
      <c r="AI306" s="542"/>
      <c r="AJ306" s="542"/>
      <c r="AK306" s="542"/>
      <c r="AL306" s="542"/>
      <c r="AM306" s="542"/>
      <c r="AN306" s="542"/>
      <c r="AO306" s="651"/>
      <c r="AP306" s="651"/>
      <c r="AQ306" s="651"/>
      <c r="AZ306" s="542"/>
      <c r="BA306" s="542"/>
    </row>
    <row r="307" spans="13:53" ht="18" x14ac:dyDescent="0.25">
      <c r="M307" s="174"/>
      <c r="AA307" s="174"/>
      <c r="AI307" s="542"/>
      <c r="AJ307" s="542"/>
      <c r="AK307" s="542"/>
      <c r="AL307" s="542"/>
      <c r="AM307" s="542"/>
      <c r="AN307" s="542"/>
      <c r="AO307" s="651"/>
      <c r="AP307" s="651"/>
      <c r="AQ307" s="651"/>
      <c r="AZ307" s="542"/>
      <c r="BA307" s="542"/>
    </row>
    <row r="308" spans="13:53" ht="18" x14ac:dyDescent="0.25">
      <c r="M308" s="174"/>
      <c r="AA308" s="174"/>
      <c r="AI308" s="542"/>
      <c r="AJ308" s="542"/>
      <c r="AK308" s="542"/>
      <c r="AL308" s="542"/>
      <c r="AM308" s="542"/>
      <c r="AN308" s="542"/>
      <c r="AO308" s="651"/>
      <c r="AP308" s="651"/>
      <c r="AQ308" s="651"/>
      <c r="AZ308" s="542"/>
      <c r="BA308" s="542"/>
    </row>
    <row r="309" spans="13:53" ht="18" x14ac:dyDescent="0.25">
      <c r="M309" s="174"/>
      <c r="AA309" s="174"/>
      <c r="AI309" s="542"/>
      <c r="AJ309" s="542"/>
      <c r="AK309" s="542"/>
      <c r="AL309" s="542"/>
      <c r="AM309" s="542"/>
      <c r="AN309" s="542"/>
      <c r="AO309" s="651"/>
      <c r="AP309" s="651"/>
      <c r="AQ309" s="651"/>
      <c r="AZ309" s="542"/>
      <c r="BA309" s="542"/>
    </row>
    <row r="310" spans="13:53" ht="18" x14ac:dyDescent="0.25">
      <c r="M310" s="174"/>
      <c r="AA310" s="174"/>
      <c r="AI310" s="542"/>
      <c r="AJ310" s="542"/>
      <c r="AK310" s="542"/>
      <c r="AL310" s="542"/>
      <c r="AM310" s="542"/>
      <c r="AN310" s="542"/>
      <c r="AO310" s="651"/>
      <c r="AP310" s="651"/>
      <c r="AQ310" s="651"/>
      <c r="AZ310" s="542"/>
      <c r="BA310" s="542"/>
    </row>
    <row r="311" spans="13:53" ht="18" x14ac:dyDescent="0.25">
      <c r="M311" s="174"/>
      <c r="AA311" s="174"/>
      <c r="AI311" s="542"/>
      <c r="AJ311" s="542"/>
      <c r="AK311" s="542"/>
      <c r="AL311" s="542"/>
      <c r="AM311" s="542"/>
      <c r="AN311" s="542"/>
      <c r="AO311" s="651"/>
      <c r="AP311" s="651"/>
      <c r="AQ311" s="651"/>
      <c r="AZ311" s="542"/>
      <c r="BA311" s="542"/>
    </row>
    <row r="312" spans="13:53" ht="18" x14ac:dyDescent="0.25">
      <c r="M312" s="174"/>
      <c r="AA312" s="174"/>
      <c r="AI312" s="542"/>
      <c r="AJ312" s="542"/>
      <c r="AK312" s="542"/>
      <c r="AL312" s="542"/>
      <c r="AM312" s="542"/>
      <c r="AN312" s="542"/>
      <c r="AO312" s="651"/>
      <c r="AP312" s="651"/>
      <c r="AQ312" s="651"/>
      <c r="AZ312" s="542"/>
      <c r="BA312" s="542"/>
    </row>
    <row r="313" spans="13:53" ht="18" x14ac:dyDescent="0.25">
      <c r="M313" s="174"/>
      <c r="AA313" s="174"/>
      <c r="AI313" s="542"/>
      <c r="AJ313" s="542"/>
      <c r="AK313" s="542"/>
      <c r="AL313" s="542"/>
      <c r="AM313" s="542"/>
      <c r="AN313" s="542"/>
      <c r="AO313" s="651"/>
      <c r="AP313" s="651"/>
      <c r="AQ313" s="651"/>
      <c r="AZ313" s="542"/>
      <c r="BA313" s="542"/>
    </row>
    <row r="314" spans="13:53" ht="18" x14ac:dyDescent="0.25">
      <c r="M314" s="174"/>
      <c r="AA314" s="174"/>
      <c r="AI314" s="542"/>
      <c r="AJ314" s="542"/>
      <c r="AK314" s="542"/>
      <c r="AL314" s="542"/>
      <c r="AM314" s="542"/>
      <c r="AN314" s="542"/>
      <c r="AO314" s="651"/>
      <c r="AP314" s="651"/>
      <c r="AQ314" s="651"/>
      <c r="AZ314" s="542"/>
      <c r="BA314" s="542"/>
    </row>
    <row r="315" spans="13:53" ht="18" x14ac:dyDescent="0.25">
      <c r="M315" s="174"/>
      <c r="AA315" s="174"/>
      <c r="AI315" s="542"/>
      <c r="AJ315" s="542"/>
      <c r="AK315" s="542"/>
      <c r="AL315" s="542"/>
      <c r="AM315" s="542"/>
      <c r="AN315" s="542"/>
      <c r="AO315" s="651"/>
      <c r="AP315" s="651"/>
      <c r="AQ315" s="651"/>
      <c r="AZ315" s="542"/>
      <c r="BA315" s="542"/>
    </row>
    <row r="316" spans="13:53" ht="18" x14ac:dyDescent="0.25">
      <c r="M316" s="174"/>
      <c r="AA316" s="174"/>
      <c r="AI316" s="542"/>
      <c r="AJ316" s="542"/>
      <c r="AK316" s="542"/>
      <c r="AL316" s="542"/>
      <c r="AM316" s="542"/>
      <c r="AN316" s="542"/>
      <c r="AO316" s="651"/>
      <c r="AP316" s="651"/>
      <c r="AQ316" s="651"/>
      <c r="AZ316" s="542"/>
      <c r="BA316" s="542"/>
    </row>
    <row r="317" spans="13:53" ht="18" x14ac:dyDescent="0.25">
      <c r="M317" s="174"/>
      <c r="AA317" s="174"/>
      <c r="AI317" s="542"/>
      <c r="AJ317" s="542"/>
      <c r="AK317" s="542"/>
      <c r="AL317" s="542"/>
      <c r="AM317" s="542"/>
      <c r="AN317" s="542"/>
      <c r="AO317" s="651"/>
      <c r="AP317" s="651"/>
      <c r="AQ317" s="651"/>
      <c r="AZ317" s="542"/>
      <c r="BA317" s="542"/>
    </row>
    <row r="318" spans="13:53" ht="18" x14ac:dyDescent="0.25">
      <c r="M318" s="174"/>
      <c r="AA318" s="174"/>
      <c r="AI318" s="649"/>
      <c r="AJ318" s="649"/>
      <c r="AK318" s="649"/>
      <c r="AL318" s="649"/>
      <c r="AM318" s="649"/>
      <c r="AQ318" s="651"/>
      <c r="AZ318" s="542"/>
      <c r="BA318" s="542"/>
    </row>
    <row r="319" spans="13:53" ht="18" x14ac:dyDescent="0.25">
      <c r="M319" s="174"/>
      <c r="AA319" s="174"/>
      <c r="AI319" s="649"/>
      <c r="AJ319" s="649"/>
      <c r="AK319" s="649"/>
      <c r="AL319" s="649"/>
      <c r="AM319" s="649"/>
      <c r="AQ319" s="651"/>
      <c r="AZ319" s="542"/>
      <c r="BA319" s="542"/>
    </row>
    <row r="320" spans="13:53" ht="18" x14ac:dyDescent="0.25">
      <c r="M320" s="174"/>
      <c r="AA320" s="174"/>
      <c r="AI320" s="649"/>
      <c r="AJ320" s="649"/>
      <c r="AK320" s="649"/>
      <c r="AL320" s="649"/>
      <c r="AM320" s="649"/>
      <c r="AQ320" s="651"/>
      <c r="AZ320" s="542"/>
      <c r="BA320" s="542"/>
    </row>
    <row r="321" spans="13:53" ht="18" x14ac:dyDescent="0.25">
      <c r="M321" s="174"/>
      <c r="AA321" s="174"/>
      <c r="AI321" s="649"/>
      <c r="AJ321" s="649"/>
      <c r="AK321" s="649"/>
      <c r="AL321" s="649"/>
      <c r="AM321" s="649"/>
      <c r="AQ321" s="651"/>
      <c r="AZ321" s="542"/>
      <c r="BA321" s="542"/>
    </row>
    <row r="322" spans="13:53" ht="18" x14ac:dyDescent="0.25">
      <c r="M322" s="174"/>
      <c r="AA322" s="174"/>
      <c r="AI322" s="649"/>
      <c r="AJ322" s="649"/>
      <c r="AK322" s="649"/>
      <c r="AL322" s="649"/>
      <c r="AM322" s="649"/>
      <c r="AQ322" s="651"/>
      <c r="AZ322" s="542"/>
      <c r="BA322" s="542"/>
    </row>
    <row r="323" spans="13:53" ht="18" x14ac:dyDescent="0.25">
      <c r="M323" s="174"/>
      <c r="AA323" s="174"/>
      <c r="AI323" s="649"/>
      <c r="AJ323" s="649"/>
      <c r="AK323" s="649"/>
      <c r="AL323" s="649"/>
      <c r="AM323" s="649"/>
      <c r="AQ323" s="651"/>
      <c r="AZ323" s="542"/>
      <c r="BA323" s="542"/>
    </row>
    <row r="324" spans="13:53" ht="18" x14ac:dyDescent="0.25">
      <c r="M324" s="174"/>
      <c r="AA324" s="174"/>
      <c r="AI324" s="649"/>
      <c r="AJ324" s="649"/>
      <c r="AK324" s="649"/>
      <c r="AL324" s="649"/>
      <c r="AM324" s="649"/>
      <c r="AQ324" s="651"/>
      <c r="AZ324" s="542"/>
      <c r="BA324" s="542"/>
    </row>
    <row r="325" spans="13:53" ht="18" x14ac:dyDescent="0.25">
      <c r="M325" s="174"/>
      <c r="AA325" s="174"/>
      <c r="AI325" s="649"/>
      <c r="AJ325" s="649"/>
      <c r="AK325" s="649"/>
      <c r="AL325" s="649"/>
      <c r="AM325" s="649"/>
      <c r="AQ325" s="651"/>
      <c r="AZ325" s="542"/>
      <c r="BA325" s="542"/>
    </row>
    <row r="326" spans="13:53" ht="18" x14ac:dyDescent="0.25">
      <c r="M326" s="174"/>
      <c r="AA326" s="174"/>
      <c r="AI326" s="649"/>
      <c r="AJ326" s="649"/>
      <c r="AK326" s="649"/>
      <c r="AL326" s="649"/>
      <c r="AM326" s="649"/>
      <c r="AQ326" s="651"/>
      <c r="AZ326" s="542"/>
      <c r="BA326" s="542"/>
    </row>
    <row r="327" spans="13:53" ht="18" x14ac:dyDescent="0.25">
      <c r="M327" s="174"/>
      <c r="AA327" s="174"/>
      <c r="AI327" s="649"/>
      <c r="AJ327" s="649"/>
      <c r="AK327" s="649"/>
      <c r="AL327" s="649"/>
      <c r="AM327" s="649"/>
      <c r="AQ327" s="651"/>
      <c r="AZ327" s="542"/>
      <c r="BA327" s="542"/>
    </row>
    <row r="328" spans="13:53" ht="18" x14ac:dyDescent="0.25">
      <c r="M328" s="174"/>
      <c r="AA328" s="174"/>
      <c r="AI328" s="649"/>
      <c r="AJ328" s="649"/>
      <c r="AK328" s="649"/>
      <c r="AL328" s="649"/>
      <c r="AM328" s="649"/>
      <c r="AQ328" s="651"/>
      <c r="AZ328" s="542"/>
      <c r="BA328" s="542"/>
    </row>
    <row r="329" spans="13:53" ht="18" x14ac:dyDescent="0.25">
      <c r="M329" s="174"/>
      <c r="AA329" s="174"/>
      <c r="AI329" s="649"/>
      <c r="AJ329" s="649"/>
      <c r="AK329" s="649"/>
      <c r="AL329" s="649"/>
      <c r="AM329" s="649"/>
      <c r="AQ329" s="651"/>
      <c r="AZ329" s="542"/>
      <c r="BA329" s="542"/>
    </row>
    <row r="330" spans="13:53" ht="18" x14ac:dyDescent="0.25">
      <c r="M330" s="174"/>
      <c r="AA330" s="174"/>
      <c r="AI330" s="649"/>
      <c r="AJ330" s="649"/>
      <c r="AK330" s="649"/>
      <c r="AL330" s="649"/>
      <c r="AM330" s="649"/>
      <c r="AQ330" s="651"/>
      <c r="AZ330" s="542"/>
      <c r="BA330" s="542"/>
    </row>
    <row r="331" spans="13:53" ht="18" x14ac:dyDescent="0.25">
      <c r="M331" s="174"/>
      <c r="AI331" s="649"/>
      <c r="AJ331" s="649"/>
      <c r="AK331" s="649"/>
      <c r="AL331" s="649"/>
      <c r="AM331" s="649"/>
      <c r="AQ331" s="651"/>
      <c r="AZ331" s="542"/>
      <c r="BA331" s="542"/>
    </row>
    <row r="332" spans="13:53" ht="18" x14ac:dyDescent="0.25">
      <c r="M332" s="174"/>
      <c r="AI332" s="649"/>
      <c r="AJ332" s="649"/>
      <c r="AK332" s="649"/>
      <c r="AL332" s="649"/>
      <c r="AM332" s="649"/>
      <c r="AQ332" s="651"/>
      <c r="AZ332" s="542"/>
      <c r="BA332" s="542"/>
    </row>
    <row r="333" spans="13:53" ht="18" x14ac:dyDescent="0.25">
      <c r="M333" s="174"/>
      <c r="AI333" s="649"/>
      <c r="AJ333" s="649"/>
      <c r="AK333" s="649"/>
      <c r="AL333" s="649"/>
      <c r="AM333" s="649"/>
      <c r="AQ333" s="650"/>
      <c r="AZ333" s="542"/>
    </row>
    <row r="334" spans="13:53" ht="18" x14ac:dyDescent="0.25">
      <c r="M334" s="174"/>
      <c r="AI334" s="649"/>
      <c r="AJ334" s="649"/>
      <c r="AK334" s="649"/>
      <c r="AL334" s="649"/>
      <c r="AM334" s="649"/>
      <c r="AQ334" s="411"/>
      <c r="BA334" s="542"/>
    </row>
    <row r="335" spans="13:53" ht="18" x14ac:dyDescent="0.25">
      <c r="M335" s="174"/>
      <c r="AI335" s="982"/>
      <c r="AJ335" s="982"/>
      <c r="AK335" s="982"/>
      <c r="AL335" s="982"/>
      <c r="AM335" s="982"/>
      <c r="AN335" s="28"/>
      <c r="AO335" s="411"/>
      <c r="AP335" s="411"/>
      <c r="AQ335" s="411"/>
      <c r="AZ335" s="542"/>
      <c r="BA335" s="542"/>
    </row>
    <row r="336" spans="13:53" ht="18" x14ac:dyDescent="0.25">
      <c r="M336" s="174"/>
      <c r="AI336" s="650"/>
      <c r="AJ336" s="650"/>
      <c r="AK336" s="650"/>
      <c r="AL336" s="650"/>
      <c r="AM336" s="650"/>
      <c r="AN336" s="28"/>
      <c r="AO336" s="411"/>
      <c r="AP336" s="411"/>
      <c r="AQ336" s="411"/>
      <c r="AZ336" s="542"/>
      <c r="BA336" s="542"/>
    </row>
    <row r="337" spans="13:53" ht="18" x14ac:dyDescent="0.25">
      <c r="M337" s="174"/>
      <c r="AI337" s="650"/>
      <c r="AJ337" s="650"/>
      <c r="AK337" s="650"/>
      <c r="AL337" s="650"/>
      <c r="AM337" s="650"/>
      <c r="AN337" s="28"/>
      <c r="AO337" s="411"/>
      <c r="AP337" s="411"/>
      <c r="AQ337" s="650"/>
      <c r="AZ337" s="542"/>
      <c r="BA337" s="650"/>
    </row>
    <row r="338" spans="13:53" ht="18" x14ac:dyDescent="0.25">
      <c r="M338" s="174"/>
      <c r="AI338" s="650"/>
      <c r="AJ338" s="650"/>
      <c r="AK338" s="650"/>
      <c r="AL338" s="650"/>
      <c r="AM338" s="650"/>
      <c r="AN338" s="28"/>
      <c r="AO338" s="411"/>
      <c r="AP338" s="411"/>
      <c r="AQ338" s="651"/>
      <c r="AR338" s="651"/>
      <c r="AS338" s="651"/>
      <c r="AT338" s="651"/>
      <c r="AU338" s="651"/>
      <c r="AZ338" s="650"/>
      <c r="BA338" s="542"/>
    </row>
    <row r="339" spans="13:53" ht="18" x14ac:dyDescent="0.25">
      <c r="M339" s="174"/>
      <c r="AI339" s="981"/>
      <c r="AJ339" s="981"/>
      <c r="AK339" s="981"/>
      <c r="AL339" s="981"/>
      <c r="AM339" s="981"/>
      <c r="AN339" s="981"/>
      <c r="AO339" s="650"/>
      <c r="AP339" s="650"/>
      <c r="AW339" s="542"/>
      <c r="AX339" s="542"/>
      <c r="AY339" s="542"/>
      <c r="AZ339" s="542"/>
      <c r="BA339" s="542"/>
    </row>
    <row r="340" spans="13:53" ht="18" x14ac:dyDescent="0.25">
      <c r="M340" s="174"/>
      <c r="AI340" s="981"/>
      <c r="AJ340" s="981"/>
      <c r="AK340" s="981"/>
      <c r="AL340" s="981"/>
      <c r="AM340" s="981"/>
      <c r="AN340" s="981"/>
      <c r="AO340" s="651"/>
      <c r="AP340" s="651"/>
      <c r="AQ340" s="650"/>
      <c r="AW340" s="542"/>
      <c r="AX340" s="542"/>
      <c r="AY340" s="542"/>
      <c r="AZ340" s="542"/>
      <c r="BA340" s="542"/>
    </row>
    <row r="341" spans="13:53" ht="18" x14ac:dyDescent="0.25">
      <c r="M341" s="174"/>
      <c r="AQ341" s="650"/>
      <c r="AW341" s="542"/>
      <c r="AX341" s="542"/>
      <c r="AY341" s="542"/>
      <c r="AZ341" s="542"/>
    </row>
    <row r="342" spans="13:53" ht="18" x14ac:dyDescent="0.25">
      <c r="M342" s="174"/>
      <c r="AI342" s="981"/>
      <c r="AJ342" s="981"/>
      <c r="AK342" s="981"/>
      <c r="AL342" s="981"/>
      <c r="AM342" s="981"/>
      <c r="AN342" s="981"/>
      <c r="AO342" s="650"/>
      <c r="AP342" s="650"/>
      <c r="AQ342" s="650"/>
      <c r="AR342" s="650"/>
      <c r="AS342" s="650"/>
      <c r="AT342" s="650"/>
      <c r="AU342" s="650"/>
      <c r="AW342" s="650"/>
      <c r="AX342" s="650"/>
      <c r="AY342" s="650"/>
    </row>
    <row r="343" spans="13:53" ht="18" x14ac:dyDescent="0.25">
      <c r="M343" s="174"/>
      <c r="AI343" s="982"/>
      <c r="AJ343" s="982"/>
      <c r="AK343" s="982"/>
      <c r="AL343" s="982"/>
      <c r="AM343" s="982"/>
      <c r="AN343" s="28"/>
      <c r="AO343" s="411"/>
      <c r="AP343" s="411"/>
      <c r="AQ343" s="411"/>
      <c r="AR343" s="411"/>
      <c r="AS343" s="411"/>
      <c r="AT343" s="411"/>
      <c r="AU343" s="411"/>
      <c r="AW343" s="542"/>
      <c r="AX343" s="542"/>
      <c r="AY343" s="542"/>
      <c r="BA343" s="542"/>
    </row>
    <row r="344" spans="13:53" ht="18" x14ac:dyDescent="0.25">
      <c r="M344" s="174"/>
      <c r="AI344" s="650"/>
      <c r="AJ344" s="650"/>
      <c r="AK344" s="650"/>
      <c r="AL344" s="650"/>
      <c r="AM344" s="650"/>
      <c r="AN344" s="28"/>
      <c r="AO344" s="411"/>
      <c r="AP344" s="411"/>
      <c r="AQ344" s="411"/>
      <c r="AR344" s="411"/>
      <c r="AS344" s="411"/>
      <c r="AT344" s="411"/>
      <c r="AU344" s="411"/>
      <c r="AW344" s="542"/>
      <c r="AX344" s="542"/>
      <c r="AY344" s="542"/>
      <c r="AZ344" s="542"/>
      <c r="BA344" s="542"/>
    </row>
    <row r="345" spans="13:53" ht="18" x14ac:dyDescent="0.25">
      <c r="M345" s="174"/>
      <c r="AI345" s="650"/>
      <c r="AJ345" s="650"/>
      <c r="AK345" s="650"/>
      <c r="AL345" s="650"/>
      <c r="AM345" s="650"/>
      <c r="AN345" s="28"/>
      <c r="AO345" s="411"/>
      <c r="AP345" s="411"/>
      <c r="AQ345" s="411"/>
      <c r="AZ345" s="542"/>
      <c r="BA345" s="542"/>
    </row>
    <row r="346" spans="13:53" ht="18" x14ac:dyDescent="0.25">
      <c r="M346" s="174"/>
      <c r="AI346" s="650"/>
      <c r="AJ346" s="650"/>
      <c r="AK346" s="650"/>
      <c r="AL346" s="650"/>
      <c r="AM346" s="650"/>
      <c r="AN346" s="28"/>
      <c r="AO346" s="411"/>
      <c r="AP346" s="411"/>
      <c r="AQ346" s="411"/>
      <c r="AZ346" s="542"/>
      <c r="BA346" s="542"/>
    </row>
    <row r="347" spans="13:53" ht="18" x14ac:dyDescent="0.25">
      <c r="M347" s="174"/>
      <c r="AI347" s="650"/>
      <c r="AJ347" s="650"/>
      <c r="AK347" s="650"/>
      <c r="AL347" s="650"/>
      <c r="AM347" s="650"/>
      <c r="AN347" s="28"/>
      <c r="AO347" s="411"/>
      <c r="AP347" s="411"/>
      <c r="AQ347" s="411"/>
      <c r="AR347" s="651"/>
      <c r="AS347" s="651"/>
      <c r="AT347" s="651"/>
      <c r="AU347" s="651"/>
      <c r="AZ347" s="542"/>
      <c r="BA347" s="542"/>
    </row>
    <row r="348" spans="13:53" ht="18" x14ac:dyDescent="0.25">
      <c r="M348" s="174"/>
      <c r="AI348" s="650"/>
      <c r="AJ348" s="650"/>
      <c r="AK348" s="650"/>
      <c r="AL348" s="650"/>
      <c r="AM348" s="650"/>
      <c r="AN348" s="28"/>
      <c r="AO348" s="411"/>
      <c r="AP348" s="411"/>
      <c r="AR348" s="651"/>
      <c r="AS348" s="651"/>
      <c r="AT348" s="651"/>
      <c r="AU348" s="651"/>
      <c r="AZ348" s="542"/>
      <c r="BA348" s="542"/>
    </row>
    <row r="349" spans="13:53" ht="18" x14ac:dyDescent="0.25">
      <c r="M349" s="174"/>
      <c r="AI349" s="650"/>
      <c r="AJ349" s="650"/>
      <c r="AK349" s="650"/>
      <c r="AL349" s="650"/>
      <c r="AM349" s="650"/>
      <c r="AN349" s="28"/>
      <c r="AO349" s="411"/>
      <c r="AP349" s="411"/>
      <c r="AQ349" s="650"/>
      <c r="AR349" s="651"/>
      <c r="AS349" s="651"/>
      <c r="AT349" s="651"/>
      <c r="AU349" s="651"/>
      <c r="AZ349" s="542"/>
      <c r="BA349" s="542"/>
    </row>
    <row r="350" spans="13:53" ht="18" x14ac:dyDescent="0.25">
      <c r="M350" s="174"/>
      <c r="AQ350" s="650"/>
      <c r="AW350" s="542"/>
      <c r="AX350" s="542"/>
      <c r="AY350" s="542"/>
      <c r="AZ350" s="542"/>
    </row>
    <row r="351" spans="13:53" ht="18" x14ac:dyDescent="0.25">
      <c r="M351" s="174"/>
      <c r="AI351" s="981"/>
      <c r="AJ351" s="981"/>
      <c r="AK351" s="981"/>
      <c r="AL351" s="981"/>
      <c r="AM351" s="981"/>
      <c r="AN351" s="981"/>
      <c r="AO351" s="650"/>
      <c r="AP351" s="650"/>
      <c r="AQ351" s="411"/>
      <c r="AR351" s="650"/>
      <c r="AS351" s="650"/>
      <c r="AT351" s="650"/>
      <c r="AU351" s="650"/>
      <c r="AW351" s="650"/>
      <c r="AX351" s="650"/>
      <c r="AY351" s="650"/>
    </row>
    <row r="352" spans="13:53" ht="18" x14ac:dyDescent="0.25">
      <c r="M352" s="174"/>
      <c r="AI352" s="982"/>
      <c r="AJ352" s="982"/>
      <c r="AK352" s="982"/>
      <c r="AL352" s="982"/>
      <c r="AM352" s="982"/>
      <c r="AN352" s="28"/>
      <c r="AO352" s="411"/>
      <c r="AP352" s="411"/>
      <c r="AQ352" s="650"/>
      <c r="AR352" s="411"/>
      <c r="AS352" s="411"/>
      <c r="AT352" s="411"/>
      <c r="AU352" s="411"/>
      <c r="AW352" s="542"/>
      <c r="AX352" s="542"/>
      <c r="AY352" s="542"/>
    </row>
    <row r="353" spans="13:51" ht="18" x14ac:dyDescent="0.25">
      <c r="M353" s="174"/>
      <c r="AI353" s="981"/>
      <c r="AJ353" s="981"/>
      <c r="AK353" s="981"/>
      <c r="AL353" s="981"/>
      <c r="AM353" s="981"/>
      <c r="AN353" s="981"/>
      <c r="AO353" s="650"/>
      <c r="AP353" s="650"/>
      <c r="AQ353" s="651"/>
      <c r="AR353" s="650"/>
      <c r="AS353" s="650"/>
      <c r="AT353" s="650"/>
      <c r="AU353" s="650"/>
      <c r="AW353" s="542"/>
      <c r="AX353" s="542"/>
      <c r="AY353" s="542"/>
    </row>
    <row r="354" spans="13:51" ht="18" x14ac:dyDescent="0.25">
      <c r="M354" s="174"/>
      <c r="AI354" s="981"/>
      <c r="AJ354" s="981"/>
      <c r="AK354" s="981"/>
      <c r="AL354" s="981"/>
      <c r="AM354" s="981"/>
      <c r="AN354" s="981"/>
      <c r="AO354" s="651"/>
      <c r="AP354" s="651"/>
      <c r="AR354" s="650"/>
      <c r="AS354" s="650"/>
      <c r="AT354" s="650"/>
      <c r="AU354" s="650"/>
      <c r="AW354" s="542"/>
      <c r="AX354" s="542"/>
      <c r="AY354" s="542"/>
    </row>
    <row r="355" spans="13:51" ht="18" x14ac:dyDescent="0.25">
      <c r="M355" s="174"/>
      <c r="AI355" s="649"/>
      <c r="AJ355" s="649"/>
      <c r="AK355" s="649"/>
      <c r="AL355" s="649"/>
      <c r="AM355" s="649"/>
      <c r="AQ355" s="650"/>
      <c r="AR355" s="651"/>
      <c r="AS355" s="651"/>
      <c r="AT355" s="651"/>
      <c r="AU355" s="651"/>
    </row>
    <row r="356" spans="13:51" ht="18" x14ac:dyDescent="0.25">
      <c r="M356" s="174"/>
      <c r="AI356" s="981"/>
      <c r="AJ356" s="981"/>
      <c r="AK356" s="981"/>
      <c r="AL356" s="981"/>
      <c r="AM356" s="981"/>
      <c r="AN356" s="981"/>
      <c r="AO356" s="650"/>
      <c r="AP356" s="650"/>
      <c r="AQ356" s="411"/>
      <c r="AW356" s="542"/>
      <c r="AX356" s="542"/>
      <c r="AY356" s="542"/>
    </row>
    <row r="357" spans="13:51" ht="18" x14ac:dyDescent="0.25">
      <c r="M357" s="174"/>
      <c r="AI357" s="982"/>
      <c r="AJ357" s="982"/>
      <c r="AK357" s="982"/>
      <c r="AL357" s="982"/>
      <c r="AM357" s="982"/>
      <c r="AN357" s="28"/>
      <c r="AO357" s="411"/>
      <c r="AP357" s="411"/>
      <c r="AQ357" s="650"/>
      <c r="AR357" s="650"/>
      <c r="AS357" s="650"/>
      <c r="AT357" s="650"/>
      <c r="AU357" s="650"/>
      <c r="AW357" s="650"/>
      <c r="AX357" s="650"/>
      <c r="AY357" s="650"/>
    </row>
    <row r="358" spans="13:51" ht="18" x14ac:dyDescent="0.25">
      <c r="M358" s="174"/>
      <c r="AI358" s="981"/>
      <c r="AJ358" s="981"/>
      <c r="AK358" s="981"/>
      <c r="AL358" s="981"/>
      <c r="AM358" s="981"/>
      <c r="AN358" s="981"/>
      <c r="AO358" s="650"/>
      <c r="AP358" s="650"/>
      <c r="AQ358" s="651"/>
      <c r="AR358" s="411"/>
      <c r="AS358" s="411"/>
      <c r="AT358" s="411"/>
      <c r="AU358" s="411"/>
      <c r="AW358" s="542"/>
      <c r="AX358" s="542"/>
      <c r="AY358" s="542"/>
    </row>
    <row r="359" spans="13:51" ht="18" x14ac:dyDescent="0.25">
      <c r="M359" s="174"/>
      <c r="AI359" s="981"/>
      <c r="AJ359" s="981"/>
      <c r="AK359" s="981"/>
      <c r="AL359" s="981"/>
      <c r="AM359" s="981"/>
      <c r="AN359" s="981"/>
      <c r="AO359" s="651"/>
      <c r="AP359" s="651"/>
      <c r="AR359" s="650"/>
      <c r="AS359" s="650"/>
      <c r="AT359" s="650"/>
      <c r="AU359" s="650"/>
      <c r="AW359" s="542"/>
      <c r="AX359" s="542"/>
      <c r="AY359" s="542"/>
    </row>
    <row r="360" spans="13:51" ht="18" x14ac:dyDescent="0.25">
      <c r="M360" s="174"/>
      <c r="AK360" s="215"/>
      <c r="AQ360" s="650"/>
      <c r="AR360" s="651"/>
      <c r="AS360" s="651"/>
      <c r="AT360" s="651"/>
      <c r="AU360" s="651"/>
    </row>
    <row r="361" spans="13:51" ht="18" x14ac:dyDescent="0.25">
      <c r="M361" s="174"/>
      <c r="AI361" s="986"/>
      <c r="AJ361" s="986"/>
      <c r="AK361" s="986"/>
      <c r="AL361" s="986"/>
      <c r="AM361" s="986"/>
      <c r="AN361" s="986"/>
      <c r="AO361" s="650"/>
      <c r="AP361" s="650"/>
      <c r="AQ361" s="411"/>
    </row>
    <row r="362" spans="13:51" ht="18" x14ac:dyDescent="0.25">
      <c r="M362" s="174"/>
      <c r="AI362" s="987"/>
      <c r="AJ362" s="987"/>
      <c r="AK362" s="987"/>
      <c r="AL362" s="987"/>
      <c r="AM362" s="987"/>
      <c r="AN362" s="28"/>
      <c r="AO362" s="411"/>
      <c r="AP362" s="411"/>
      <c r="AQ362" s="650"/>
      <c r="AR362" s="650"/>
      <c r="AS362" s="650"/>
      <c r="AT362" s="650"/>
      <c r="AU362" s="650"/>
    </row>
    <row r="363" spans="13:51" ht="18" x14ac:dyDescent="0.25">
      <c r="M363" s="174"/>
      <c r="AI363" s="986"/>
      <c r="AJ363" s="986"/>
      <c r="AK363" s="986"/>
      <c r="AL363" s="986"/>
      <c r="AM363" s="986"/>
      <c r="AN363" s="986"/>
      <c r="AO363" s="650"/>
      <c r="AP363" s="650"/>
      <c r="AQ363" s="651"/>
      <c r="AR363" s="411"/>
      <c r="AS363" s="411"/>
      <c r="AT363" s="411"/>
      <c r="AU363" s="411"/>
    </row>
    <row r="364" spans="13:51" ht="18" x14ac:dyDescent="0.25">
      <c r="M364" s="174"/>
      <c r="AI364" s="986"/>
      <c r="AJ364" s="986"/>
      <c r="AK364" s="986"/>
      <c r="AL364" s="986"/>
      <c r="AM364" s="986"/>
      <c r="AN364" s="986"/>
      <c r="AO364" s="651"/>
      <c r="AP364" s="651"/>
      <c r="AR364" s="650"/>
      <c r="AS364" s="650"/>
      <c r="AT364" s="650"/>
      <c r="AU364" s="650"/>
    </row>
    <row r="365" spans="13:51" ht="18" x14ac:dyDescent="0.25">
      <c r="M365" s="174"/>
      <c r="AI365" s="649"/>
      <c r="AJ365" s="649"/>
      <c r="AK365" s="649"/>
      <c r="AL365" s="649"/>
      <c r="AM365" s="649"/>
      <c r="AQ365" s="650"/>
      <c r="AR365" s="651"/>
      <c r="AS365" s="651"/>
      <c r="AT365" s="651"/>
      <c r="AU365" s="651"/>
    </row>
    <row r="366" spans="13:51" ht="18" x14ac:dyDescent="0.25">
      <c r="M366" s="174"/>
      <c r="AI366" s="981"/>
      <c r="AJ366" s="981"/>
      <c r="AK366" s="981"/>
      <c r="AL366" s="981"/>
      <c r="AM366" s="981"/>
      <c r="AN366" s="981"/>
      <c r="AO366" s="650"/>
      <c r="AP366" s="650"/>
      <c r="AQ366" s="411"/>
    </row>
    <row r="367" spans="13:51" ht="18" x14ac:dyDescent="0.25">
      <c r="M367" s="174"/>
      <c r="AI367" s="982"/>
      <c r="AJ367" s="982"/>
      <c r="AK367" s="982"/>
      <c r="AL367" s="982"/>
      <c r="AM367" s="982"/>
      <c r="AN367" s="28"/>
      <c r="AO367" s="411"/>
      <c r="AP367" s="411"/>
      <c r="AQ367" s="650"/>
      <c r="AR367" s="650"/>
      <c r="AS367" s="650"/>
      <c r="AT367" s="650"/>
      <c r="AU367" s="650"/>
    </row>
    <row r="368" spans="13:51" ht="18" x14ac:dyDescent="0.25">
      <c r="M368" s="174"/>
      <c r="AI368" s="981"/>
      <c r="AJ368" s="981"/>
      <c r="AK368" s="981"/>
      <c r="AL368" s="981"/>
      <c r="AM368" s="981"/>
      <c r="AN368" s="981"/>
      <c r="AO368" s="650"/>
      <c r="AP368" s="650"/>
      <c r="AQ368" s="651"/>
      <c r="AR368" s="411"/>
      <c r="AS368" s="411"/>
      <c r="AT368" s="411"/>
      <c r="AU368" s="411"/>
    </row>
    <row r="369" spans="13:47" ht="18" x14ac:dyDescent="0.25">
      <c r="M369" s="174"/>
      <c r="AI369" s="981"/>
      <c r="AJ369" s="981"/>
      <c r="AK369" s="981"/>
      <c r="AL369" s="981"/>
      <c r="AM369" s="981"/>
      <c r="AN369" s="981"/>
      <c r="AO369" s="651"/>
      <c r="AP369" s="651"/>
      <c r="AR369" s="650"/>
      <c r="AS369" s="650"/>
      <c r="AT369" s="650"/>
      <c r="AU369" s="650"/>
    </row>
    <row r="370" spans="13:47" x14ac:dyDescent="0.25">
      <c r="M370" s="174"/>
      <c r="AR370" s="651"/>
      <c r="AS370" s="651"/>
      <c r="AT370" s="651"/>
      <c r="AU370" s="651"/>
    </row>
    <row r="371" spans="13:47" ht="18" x14ac:dyDescent="0.25">
      <c r="M371" s="174"/>
      <c r="AI371" s="649"/>
      <c r="AJ371" s="649"/>
      <c r="AK371" s="649"/>
      <c r="AL371" s="649"/>
      <c r="AM371" s="649"/>
      <c r="AQ371" s="650"/>
    </row>
    <row r="372" spans="13:47" ht="18" x14ac:dyDescent="0.25">
      <c r="M372" s="174"/>
      <c r="AI372" s="981"/>
      <c r="AJ372" s="981"/>
      <c r="AK372" s="981"/>
      <c r="AL372" s="981"/>
      <c r="AM372" s="981"/>
      <c r="AN372" s="981"/>
      <c r="AO372" s="650"/>
      <c r="AP372" s="650"/>
      <c r="AR372" s="650"/>
      <c r="AS372" s="650"/>
      <c r="AT372" s="650"/>
      <c r="AU372" s="650"/>
    </row>
    <row r="373" spans="13:47" ht="18" x14ac:dyDescent="0.25">
      <c r="M373" s="174"/>
      <c r="AI373" s="982"/>
      <c r="AJ373" s="982"/>
      <c r="AK373" s="982"/>
      <c r="AL373" s="982"/>
      <c r="AM373" s="982"/>
      <c r="AN373" s="28"/>
      <c r="AO373" s="411"/>
      <c r="AP373" s="411"/>
      <c r="AR373" s="411"/>
      <c r="AS373" s="411"/>
      <c r="AT373" s="411"/>
      <c r="AU373" s="411"/>
    </row>
    <row r="374" spans="13:47" x14ac:dyDescent="0.25">
      <c r="M374" s="174"/>
    </row>
    <row r="375" spans="13:47" x14ac:dyDescent="0.25">
      <c r="M375" s="174"/>
    </row>
    <row r="376" spans="13:47" x14ac:dyDescent="0.25">
      <c r="M376" s="174"/>
    </row>
    <row r="377" spans="13:47" x14ac:dyDescent="0.25">
      <c r="M377" s="174"/>
    </row>
    <row r="378" spans="13:47" x14ac:dyDescent="0.25">
      <c r="M378" s="174"/>
    </row>
    <row r="379" spans="13:47" x14ac:dyDescent="0.25">
      <c r="M379" s="174"/>
    </row>
    <row r="380" spans="13:47" x14ac:dyDescent="0.25">
      <c r="M380" s="174"/>
    </row>
    <row r="381" spans="13:47" x14ac:dyDescent="0.25">
      <c r="M381" s="174"/>
    </row>
    <row r="382" spans="13:47" x14ac:dyDescent="0.25">
      <c r="M382" s="174"/>
    </row>
    <row r="383" spans="13:47" x14ac:dyDescent="0.25">
      <c r="M383" s="174"/>
    </row>
    <row r="384" spans="13:47" x14ac:dyDescent="0.25">
      <c r="M384" s="174"/>
    </row>
    <row r="385" spans="13:13" x14ac:dyDescent="0.25">
      <c r="M385" s="174"/>
    </row>
    <row r="386" spans="13:13" x14ac:dyDescent="0.25">
      <c r="M386" s="174"/>
    </row>
    <row r="387" spans="13:13" x14ac:dyDescent="0.25">
      <c r="M387" s="174"/>
    </row>
    <row r="388" spans="13:13" x14ac:dyDescent="0.25">
      <c r="M388" s="174"/>
    </row>
    <row r="389" spans="13:13" x14ac:dyDescent="0.25">
      <c r="M389" s="174"/>
    </row>
    <row r="390" spans="13:13" x14ac:dyDescent="0.25">
      <c r="M390" s="174"/>
    </row>
    <row r="391" spans="13:13" x14ac:dyDescent="0.25">
      <c r="M391" s="174"/>
    </row>
    <row r="392" spans="13:13" x14ac:dyDescent="0.25">
      <c r="M392" s="174"/>
    </row>
    <row r="393" spans="13:13" x14ac:dyDescent="0.25">
      <c r="M393" s="174"/>
    </row>
    <row r="394" spans="13:13" x14ac:dyDescent="0.25">
      <c r="M394" s="174"/>
    </row>
    <row r="395" spans="13:13" x14ac:dyDescent="0.25">
      <c r="M395" s="174"/>
    </row>
    <row r="396" spans="13:13" x14ac:dyDescent="0.25">
      <c r="M396" s="174"/>
    </row>
    <row r="397" spans="13:13" x14ac:dyDescent="0.25">
      <c r="M397" s="174"/>
    </row>
    <row r="398" spans="13:13" x14ac:dyDescent="0.25">
      <c r="M398" s="174"/>
    </row>
    <row r="399" spans="13:13" x14ac:dyDescent="0.25">
      <c r="M399" s="174"/>
    </row>
    <row r="400" spans="13:13" x14ac:dyDescent="0.25">
      <c r="M400" s="174"/>
    </row>
    <row r="401" spans="13:13" x14ac:dyDescent="0.25">
      <c r="M401" s="174"/>
    </row>
    <row r="402" spans="13:13" x14ac:dyDescent="0.25">
      <c r="M402" s="174"/>
    </row>
    <row r="403" spans="13:13" x14ac:dyDescent="0.25">
      <c r="M403" s="174"/>
    </row>
    <row r="404" spans="13:13" x14ac:dyDescent="0.25">
      <c r="M404" s="174"/>
    </row>
    <row r="405" spans="13:13" x14ac:dyDescent="0.25">
      <c r="M405" s="174"/>
    </row>
    <row r="406" spans="13:13" x14ac:dyDescent="0.25">
      <c r="M406" s="174"/>
    </row>
    <row r="407" spans="13:13" x14ac:dyDescent="0.25">
      <c r="M407" s="174"/>
    </row>
    <row r="408" spans="13:13" x14ac:dyDescent="0.25">
      <c r="M408" s="174"/>
    </row>
    <row r="409" spans="13:13" x14ac:dyDescent="0.25">
      <c r="M409" s="174"/>
    </row>
    <row r="410" spans="13:13" x14ac:dyDescent="0.25">
      <c r="M410" s="174"/>
    </row>
    <row r="411" spans="13:13" x14ac:dyDescent="0.25">
      <c r="M411" s="174"/>
    </row>
    <row r="412" spans="13:13" x14ac:dyDescent="0.25">
      <c r="M412" s="174"/>
    </row>
    <row r="413" spans="13:13" x14ac:dyDescent="0.25">
      <c r="M413" s="174"/>
    </row>
    <row r="414" spans="13:13" x14ac:dyDescent="0.25">
      <c r="M414" s="174"/>
    </row>
    <row r="415" spans="13:13" x14ac:dyDescent="0.25">
      <c r="M415" s="174"/>
    </row>
    <row r="416" spans="13:13" x14ac:dyDescent="0.25">
      <c r="M416" s="174"/>
    </row>
    <row r="417" spans="13:13" x14ac:dyDescent="0.25">
      <c r="M417" s="174"/>
    </row>
    <row r="418" spans="13:13" x14ac:dyDescent="0.25">
      <c r="M418" s="174"/>
    </row>
    <row r="419" spans="13:13" x14ac:dyDescent="0.25">
      <c r="M419" s="174"/>
    </row>
    <row r="420" spans="13:13" x14ac:dyDescent="0.25">
      <c r="M420" s="174"/>
    </row>
    <row r="421" spans="13:13" x14ac:dyDescent="0.25">
      <c r="M421" s="174"/>
    </row>
    <row r="422" spans="13:13" x14ac:dyDescent="0.25">
      <c r="M422" s="174"/>
    </row>
    <row r="423" spans="13:13" x14ac:dyDescent="0.25">
      <c r="M423" s="174"/>
    </row>
    <row r="424" spans="13:13" x14ac:dyDescent="0.25">
      <c r="M424" s="174"/>
    </row>
    <row r="425" spans="13:13" x14ac:dyDescent="0.25">
      <c r="M425" s="174"/>
    </row>
    <row r="426" spans="13:13" x14ac:dyDescent="0.25">
      <c r="M426" s="174"/>
    </row>
    <row r="427" spans="13:13" x14ac:dyDescent="0.25">
      <c r="M427" s="174"/>
    </row>
    <row r="428" spans="13:13" x14ac:dyDescent="0.25">
      <c r="M428" s="174"/>
    </row>
    <row r="429" spans="13:13" x14ac:dyDescent="0.25">
      <c r="M429" s="174"/>
    </row>
    <row r="430" spans="13:13" x14ac:dyDescent="0.25">
      <c r="M430" s="174"/>
    </row>
    <row r="431" spans="13:13" x14ac:dyDescent="0.25">
      <c r="M431" s="174"/>
    </row>
    <row r="432" spans="13:13" x14ac:dyDescent="0.25">
      <c r="M432" s="174"/>
    </row>
    <row r="433" spans="13:13" x14ac:dyDescent="0.25">
      <c r="M433" s="174"/>
    </row>
    <row r="434" spans="13:13" x14ac:dyDescent="0.25">
      <c r="M434" s="174"/>
    </row>
    <row r="435" spans="13:13" x14ac:dyDescent="0.25">
      <c r="M435" s="174"/>
    </row>
    <row r="436" spans="13:13" x14ac:dyDescent="0.25">
      <c r="M436" s="174"/>
    </row>
    <row r="437" spans="13:13" x14ac:dyDescent="0.25">
      <c r="M437" s="174"/>
    </row>
    <row r="438" spans="13:13" x14ac:dyDescent="0.25">
      <c r="M438" s="174"/>
    </row>
    <row r="439" spans="13:13" x14ac:dyDescent="0.25">
      <c r="M439" s="174"/>
    </row>
    <row r="440" spans="13:13" x14ac:dyDescent="0.25">
      <c r="M440" s="174"/>
    </row>
    <row r="441" spans="13:13" x14ac:dyDescent="0.25">
      <c r="M441" s="174"/>
    </row>
    <row r="442" spans="13:13" x14ac:dyDescent="0.25">
      <c r="M442" s="174"/>
    </row>
    <row r="443" spans="13:13" x14ac:dyDescent="0.25">
      <c r="M443" s="174"/>
    </row>
    <row r="444" spans="13:13" x14ac:dyDescent="0.25">
      <c r="M444" s="174"/>
    </row>
    <row r="445" spans="13:13" x14ac:dyDescent="0.25">
      <c r="M445" s="174"/>
    </row>
    <row r="446" spans="13:13" x14ac:dyDescent="0.25">
      <c r="M446" s="174"/>
    </row>
    <row r="447" spans="13:13" x14ac:dyDescent="0.25">
      <c r="M447" s="174"/>
    </row>
    <row r="448" spans="13:13" x14ac:dyDescent="0.25">
      <c r="M448" s="174"/>
    </row>
    <row r="449" spans="13:13" x14ac:dyDescent="0.25">
      <c r="M449" s="174"/>
    </row>
    <row r="450" spans="13:13" x14ac:dyDescent="0.25">
      <c r="M450" s="174"/>
    </row>
    <row r="451" spans="13:13" x14ac:dyDescent="0.25">
      <c r="M451" s="174"/>
    </row>
    <row r="452" spans="13:13" x14ac:dyDescent="0.25">
      <c r="M452" s="174"/>
    </row>
    <row r="453" spans="13:13" x14ac:dyDescent="0.25">
      <c r="M453" s="174"/>
    </row>
    <row r="454" spans="13:13" x14ac:dyDescent="0.25">
      <c r="M454" s="174"/>
    </row>
    <row r="455" spans="13:13" x14ac:dyDescent="0.25">
      <c r="M455" s="174"/>
    </row>
    <row r="456" spans="13:13" x14ac:dyDescent="0.25">
      <c r="M456" s="174"/>
    </row>
    <row r="457" spans="13:13" x14ac:dyDescent="0.25">
      <c r="M457" s="174"/>
    </row>
    <row r="458" spans="13:13" x14ac:dyDescent="0.25">
      <c r="M458" s="174"/>
    </row>
    <row r="459" spans="13:13" x14ac:dyDescent="0.25">
      <c r="M459" s="174"/>
    </row>
    <row r="460" spans="13:13" x14ac:dyDescent="0.25">
      <c r="M460" s="174"/>
    </row>
    <row r="461" spans="13:13" x14ac:dyDescent="0.25">
      <c r="M461" s="174"/>
    </row>
    <row r="462" spans="13:13" x14ac:dyDescent="0.25">
      <c r="M462" s="174"/>
    </row>
    <row r="463" spans="13:13" x14ac:dyDescent="0.25">
      <c r="M463" s="174"/>
    </row>
    <row r="464" spans="13:13" x14ac:dyDescent="0.25">
      <c r="M464" s="174"/>
    </row>
    <row r="465" spans="13:58" x14ac:dyDescent="0.25">
      <c r="M465" s="174"/>
    </row>
    <row r="466" spans="13:58" x14ac:dyDescent="0.25">
      <c r="M466" s="174"/>
    </row>
    <row r="467" spans="13:58" x14ac:dyDescent="0.25">
      <c r="M467" s="174"/>
    </row>
    <row r="468" spans="13:58" x14ac:dyDescent="0.25">
      <c r="M468" s="174"/>
      <c r="BF468" s="652" t="s">
        <v>1117</v>
      </c>
    </row>
  </sheetData>
  <mergeCells count="1000">
    <mergeCell ref="AI368:AN368"/>
    <mergeCell ref="AI369:AN369"/>
    <mergeCell ref="AI372:AN372"/>
    <mergeCell ref="AI373:AM373"/>
    <mergeCell ref="AI361:AN361"/>
    <mergeCell ref="AI362:AM362"/>
    <mergeCell ref="AI363:AN363"/>
    <mergeCell ref="AI364:AN364"/>
    <mergeCell ref="AI366:AN366"/>
    <mergeCell ref="AI367:AM367"/>
    <mergeCell ref="AI353:AN353"/>
    <mergeCell ref="AI354:AN354"/>
    <mergeCell ref="AI356:AN356"/>
    <mergeCell ref="AI357:AM357"/>
    <mergeCell ref="AI358:AN358"/>
    <mergeCell ref="AI359:AN359"/>
    <mergeCell ref="AI339:AN339"/>
    <mergeCell ref="AI340:AN340"/>
    <mergeCell ref="AI342:AN342"/>
    <mergeCell ref="AI343:AM343"/>
    <mergeCell ref="AI351:AN351"/>
    <mergeCell ref="AI352:AM352"/>
    <mergeCell ref="AI281:AM281"/>
    <mergeCell ref="AI302:AN302"/>
    <mergeCell ref="AI303:AM303"/>
    <mergeCell ref="AI304:AN304"/>
    <mergeCell ref="AI305:AN305"/>
    <mergeCell ref="AI335:AM335"/>
    <mergeCell ref="AI275:AM275"/>
    <mergeCell ref="AR275:AV275"/>
    <mergeCell ref="AI276:AM276"/>
    <mergeCell ref="AI278:AN278"/>
    <mergeCell ref="AI279:AM279"/>
    <mergeCell ref="AI280:AM280"/>
    <mergeCell ref="AI272:AM272"/>
    <mergeCell ref="AR272:AV272"/>
    <mergeCell ref="AI273:AM273"/>
    <mergeCell ref="AR273:AV273"/>
    <mergeCell ref="AI274:AM274"/>
    <mergeCell ref="AR274:AV274"/>
    <mergeCell ref="AI268:AM268"/>
    <mergeCell ref="AR268:AV268"/>
    <mergeCell ref="AI269:AM269"/>
    <mergeCell ref="AI270:AM270"/>
    <mergeCell ref="AR270:AW270"/>
    <mergeCell ref="AI271:AM271"/>
    <mergeCell ref="AR271:AV271"/>
    <mergeCell ref="AR264:AV264"/>
    <mergeCell ref="AI265:AN265"/>
    <mergeCell ref="AI266:AM266"/>
    <mergeCell ref="AR266:AW266"/>
    <mergeCell ref="AI267:AM267"/>
    <mergeCell ref="AR267:AV267"/>
    <mergeCell ref="AI260:AN260"/>
    <mergeCell ref="AR260:AV260"/>
    <mergeCell ref="AI261:AM261"/>
    <mergeCell ref="AI262:AM262"/>
    <mergeCell ref="AR262:AW262"/>
    <mergeCell ref="AI263:AM263"/>
    <mergeCell ref="AR263:AV263"/>
    <mergeCell ref="AI256:AM256"/>
    <mergeCell ref="AR256:AV256"/>
    <mergeCell ref="AI257:AM257"/>
    <mergeCell ref="AI258:AM258"/>
    <mergeCell ref="AR258:AW258"/>
    <mergeCell ref="AR259:AV259"/>
    <mergeCell ref="AI252:AN252"/>
    <mergeCell ref="AR252:AV252"/>
    <mergeCell ref="AI253:AM253"/>
    <mergeCell ref="AI254:AM254"/>
    <mergeCell ref="AR254:AW254"/>
    <mergeCell ref="AI255:AM255"/>
    <mergeCell ref="AR255:AV255"/>
    <mergeCell ref="A250:E250"/>
    <mergeCell ref="G250:I250"/>
    <mergeCell ref="N250:R250"/>
    <mergeCell ref="T250:V250"/>
    <mergeCell ref="AR250:AV250"/>
    <mergeCell ref="A251:E251"/>
    <mergeCell ref="G251:I251"/>
    <mergeCell ref="N251:R251"/>
    <mergeCell ref="T251:V251"/>
    <mergeCell ref="AR251:AV251"/>
    <mergeCell ref="A248:E248"/>
    <mergeCell ref="N248:R248"/>
    <mergeCell ref="AI248:AM248"/>
    <mergeCell ref="AR248:AV248"/>
    <mergeCell ref="A249:E249"/>
    <mergeCell ref="G249:I249"/>
    <mergeCell ref="N249:R249"/>
    <mergeCell ref="T249:V249"/>
    <mergeCell ref="AI249:AM249"/>
    <mergeCell ref="AR249:AV249"/>
    <mergeCell ref="A247:E247"/>
    <mergeCell ref="G247:I247"/>
    <mergeCell ref="N247:R247"/>
    <mergeCell ref="T247:V247"/>
    <mergeCell ref="AI247:AN247"/>
    <mergeCell ref="AR247:AV247"/>
    <mergeCell ref="AR245:AW245"/>
    <mergeCell ref="A246:E246"/>
    <mergeCell ref="G246:I246"/>
    <mergeCell ref="N246:R246"/>
    <mergeCell ref="T246:V246"/>
    <mergeCell ref="AR246:AV246"/>
    <mergeCell ref="A244:E244"/>
    <mergeCell ref="N244:R244"/>
    <mergeCell ref="AI244:AM244"/>
    <mergeCell ref="A245:E245"/>
    <mergeCell ref="G245:I245"/>
    <mergeCell ref="N245:R245"/>
    <mergeCell ref="T245:V245"/>
    <mergeCell ref="AI245:AM245"/>
    <mergeCell ref="A243:E243"/>
    <mergeCell ref="G243:I243"/>
    <mergeCell ref="N243:R243"/>
    <mergeCell ref="T243:V243"/>
    <mergeCell ref="AI243:AM243"/>
    <mergeCell ref="AR243:AV243"/>
    <mergeCell ref="A242:E242"/>
    <mergeCell ref="G242:I242"/>
    <mergeCell ref="N242:R242"/>
    <mergeCell ref="T242:V242"/>
    <mergeCell ref="AI242:AM242"/>
    <mergeCell ref="AR242:AV242"/>
    <mergeCell ref="AR240:AW240"/>
    <mergeCell ref="A241:E241"/>
    <mergeCell ref="G241:I241"/>
    <mergeCell ref="N241:R241"/>
    <mergeCell ref="T241:V241"/>
    <mergeCell ref="AI241:AM241"/>
    <mergeCell ref="AR241:AV241"/>
    <mergeCell ref="A239:E239"/>
    <mergeCell ref="G239:I239"/>
    <mergeCell ref="N239:R239"/>
    <mergeCell ref="T239:V239"/>
    <mergeCell ref="AI239:AM239"/>
    <mergeCell ref="A240:E240"/>
    <mergeCell ref="G240:I240"/>
    <mergeCell ref="N240:R240"/>
    <mergeCell ref="T240:V240"/>
    <mergeCell ref="AI240:AM240"/>
    <mergeCell ref="A238:E238"/>
    <mergeCell ref="G238:I238"/>
    <mergeCell ref="N238:R238"/>
    <mergeCell ref="T238:V238"/>
    <mergeCell ref="AI238:AM238"/>
    <mergeCell ref="AR238:AV238"/>
    <mergeCell ref="A236:E236"/>
    <mergeCell ref="N236:R236"/>
    <mergeCell ref="AI236:AM236"/>
    <mergeCell ref="AR236:AV236"/>
    <mergeCell ref="A237:E237"/>
    <mergeCell ref="G237:I237"/>
    <mergeCell ref="N237:R237"/>
    <mergeCell ref="T237:V237"/>
    <mergeCell ref="AI237:AM237"/>
    <mergeCell ref="AR237:AV237"/>
    <mergeCell ref="A235:E235"/>
    <mergeCell ref="G235:I235"/>
    <mergeCell ref="N235:R235"/>
    <mergeCell ref="T235:V235"/>
    <mergeCell ref="AI235:AM235"/>
    <mergeCell ref="AR235:AV235"/>
    <mergeCell ref="A234:E234"/>
    <mergeCell ref="G234:I234"/>
    <mergeCell ref="N234:R234"/>
    <mergeCell ref="T234:V234"/>
    <mergeCell ref="AI234:AM234"/>
    <mergeCell ref="AR234:AV234"/>
    <mergeCell ref="A233:E233"/>
    <mergeCell ref="G233:I233"/>
    <mergeCell ref="N233:R233"/>
    <mergeCell ref="T233:V233"/>
    <mergeCell ref="AI233:AM233"/>
    <mergeCell ref="AR233:AV233"/>
    <mergeCell ref="A232:E232"/>
    <mergeCell ref="G232:I232"/>
    <mergeCell ref="N232:R232"/>
    <mergeCell ref="T232:V232"/>
    <mergeCell ref="AI232:AM232"/>
    <mergeCell ref="AR232:AV232"/>
    <mergeCell ref="A231:E231"/>
    <mergeCell ref="G231:I231"/>
    <mergeCell ref="N231:R231"/>
    <mergeCell ref="T231:V231"/>
    <mergeCell ref="AI231:AM231"/>
    <mergeCell ref="AR231:AV231"/>
    <mergeCell ref="A230:E230"/>
    <mergeCell ref="G230:I230"/>
    <mergeCell ref="N230:R230"/>
    <mergeCell ref="T230:V230"/>
    <mergeCell ref="AI230:AM230"/>
    <mergeCell ref="AR230:AV230"/>
    <mergeCell ref="A229:E229"/>
    <mergeCell ref="G229:I229"/>
    <mergeCell ref="N229:R229"/>
    <mergeCell ref="T229:V229"/>
    <mergeCell ref="AI229:AM229"/>
    <mergeCell ref="AR229:AV229"/>
    <mergeCell ref="A228:E228"/>
    <mergeCell ref="G228:I228"/>
    <mergeCell ref="N228:R228"/>
    <mergeCell ref="T228:V228"/>
    <mergeCell ref="AI228:AN228"/>
    <mergeCell ref="AR228:AV228"/>
    <mergeCell ref="A226:E226"/>
    <mergeCell ref="G226:I226"/>
    <mergeCell ref="N226:R226"/>
    <mergeCell ref="T226:V226"/>
    <mergeCell ref="AR226:AV226"/>
    <mergeCell ref="A227:E227"/>
    <mergeCell ref="G227:I227"/>
    <mergeCell ref="N227:R227"/>
    <mergeCell ref="T227:V227"/>
    <mergeCell ref="AR227:AV227"/>
    <mergeCell ref="A225:E225"/>
    <mergeCell ref="G225:I225"/>
    <mergeCell ref="N225:R225"/>
    <mergeCell ref="T225:V225"/>
    <mergeCell ref="AI225:AM225"/>
    <mergeCell ref="AR225:AV225"/>
    <mergeCell ref="A224:E224"/>
    <mergeCell ref="G224:I224"/>
    <mergeCell ref="N224:R224"/>
    <mergeCell ref="T224:V224"/>
    <mergeCell ref="AI224:AM224"/>
    <mergeCell ref="AR224:AV224"/>
    <mergeCell ref="A223:E223"/>
    <mergeCell ref="G223:I223"/>
    <mergeCell ref="N223:R223"/>
    <mergeCell ref="T223:V223"/>
    <mergeCell ref="AI223:AM223"/>
    <mergeCell ref="AR223:AV223"/>
    <mergeCell ref="A221:E221"/>
    <mergeCell ref="N221:R221"/>
    <mergeCell ref="AI221:AM221"/>
    <mergeCell ref="AR221:AV221"/>
    <mergeCell ref="A222:E222"/>
    <mergeCell ref="G222:I222"/>
    <mergeCell ref="N222:R222"/>
    <mergeCell ref="T222:V222"/>
    <mergeCell ref="AI222:AM222"/>
    <mergeCell ref="AR222:AV222"/>
    <mergeCell ref="A220:E220"/>
    <mergeCell ref="G220:I220"/>
    <mergeCell ref="N220:R220"/>
    <mergeCell ref="T220:V220"/>
    <mergeCell ref="AI220:AM220"/>
    <mergeCell ref="AR220:AV220"/>
    <mergeCell ref="A219:E219"/>
    <mergeCell ref="G219:I219"/>
    <mergeCell ref="N219:R219"/>
    <mergeCell ref="T219:V219"/>
    <mergeCell ref="AI219:AM219"/>
    <mergeCell ref="AR219:AV219"/>
    <mergeCell ref="A218:E218"/>
    <mergeCell ref="G218:I218"/>
    <mergeCell ref="N218:R218"/>
    <mergeCell ref="T218:V218"/>
    <mergeCell ref="AI218:AM218"/>
    <mergeCell ref="AR218:AV218"/>
    <mergeCell ref="A217:E217"/>
    <mergeCell ref="G217:I217"/>
    <mergeCell ref="N217:R217"/>
    <mergeCell ref="T217:V217"/>
    <mergeCell ref="AI217:AN217"/>
    <mergeCell ref="AR217:AV217"/>
    <mergeCell ref="A215:E215"/>
    <mergeCell ref="G215:I215"/>
    <mergeCell ref="N215:R215"/>
    <mergeCell ref="T215:V215"/>
    <mergeCell ref="AR215:AV215"/>
    <mergeCell ref="A216:E216"/>
    <mergeCell ref="G216:I216"/>
    <mergeCell ref="N216:R216"/>
    <mergeCell ref="T216:V216"/>
    <mergeCell ref="AR216:AV216"/>
    <mergeCell ref="A214:E214"/>
    <mergeCell ref="G214:I214"/>
    <mergeCell ref="N214:R214"/>
    <mergeCell ref="T214:V214"/>
    <mergeCell ref="AI214:AM214"/>
    <mergeCell ref="AR214:AV214"/>
    <mergeCell ref="AI212:AM212"/>
    <mergeCell ref="AR212:AV212"/>
    <mergeCell ref="A213:E213"/>
    <mergeCell ref="G213:I213"/>
    <mergeCell ref="N213:R213"/>
    <mergeCell ref="T213:V213"/>
    <mergeCell ref="AI213:AM213"/>
    <mergeCell ref="AR213:AV213"/>
    <mergeCell ref="A209:G209"/>
    <mergeCell ref="AR209:AV209"/>
    <mergeCell ref="AR210:AV210"/>
    <mergeCell ref="A211:E211"/>
    <mergeCell ref="F211:G211"/>
    <mergeCell ref="N211:R211"/>
    <mergeCell ref="S211:T211"/>
    <mergeCell ref="AI211:AN211"/>
    <mergeCell ref="AR211:AV211"/>
    <mergeCell ref="A206:Z207"/>
    <mergeCell ref="AI206:AM206"/>
    <mergeCell ref="AR206:AV206"/>
    <mergeCell ref="AI207:AM207"/>
    <mergeCell ref="AR207:AV207"/>
    <mergeCell ref="AI208:AM208"/>
    <mergeCell ref="AR208:AV208"/>
    <mergeCell ref="AR202:AV202"/>
    <mergeCell ref="AI203:AM203"/>
    <mergeCell ref="AR203:AV203"/>
    <mergeCell ref="AI204:AM204"/>
    <mergeCell ref="AR204:AV204"/>
    <mergeCell ref="AI205:AM205"/>
    <mergeCell ref="AR205:AV205"/>
    <mergeCell ref="AR199:AW199"/>
    <mergeCell ref="AI200:AM200"/>
    <mergeCell ref="AR200:AV200"/>
    <mergeCell ref="AI201:AM201"/>
    <mergeCell ref="AR201:AV201"/>
    <mergeCell ref="A202:E202"/>
    <mergeCell ref="G202:I202"/>
    <mergeCell ref="N202:R202"/>
    <mergeCell ref="T202:V202"/>
    <mergeCell ref="AI202:AM202"/>
    <mergeCell ref="AI198:AM198"/>
    <mergeCell ref="A199:E199"/>
    <mergeCell ref="G199:I199"/>
    <mergeCell ref="N199:R199"/>
    <mergeCell ref="T199:V199"/>
    <mergeCell ref="AI199:AM199"/>
    <mergeCell ref="A198:C198"/>
    <mergeCell ref="D198:E198"/>
    <mergeCell ref="G198:I198"/>
    <mergeCell ref="N198:P198"/>
    <mergeCell ref="Q198:R198"/>
    <mergeCell ref="T198:V198"/>
    <mergeCell ref="AI196:AM196"/>
    <mergeCell ref="AR196:AV196"/>
    <mergeCell ref="A197:C197"/>
    <mergeCell ref="D197:E197"/>
    <mergeCell ref="G197:I197"/>
    <mergeCell ref="N197:P197"/>
    <mergeCell ref="Q197:R197"/>
    <mergeCell ref="T197:V197"/>
    <mergeCell ref="AI197:AM197"/>
    <mergeCell ref="AR197:AV197"/>
    <mergeCell ref="A196:C196"/>
    <mergeCell ref="D196:E196"/>
    <mergeCell ref="G196:I196"/>
    <mergeCell ref="N196:P196"/>
    <mergeCell ref="Q196:R196"/>
    <mergeCell ref="T196:V196"/>
    <mergeCell ref="AI193:AM193"/>
    <mergeCell ref="AR193:AV193"/>
    <mergeCell ref="AI194:AM194"/>
    <mergeCell ref="AR194:AV194"/>
    <mergeCell ref="A195:E195"/>
    <mergeCell ref="G195:I195"/>
    <mergeCell ref="N195:R195"/>
    <mergeCell ref="T195:V195"/>
    <mergeCell ref="AI195:AM195"/>
    <mergeCell ref="AR195:AV195"/>
    <mergeCell ref="A192:E192"/>
    <mergeCell ref="G192:I192"/>
    <mergeCell ref="N192:R192"/>
    <mergeCell ref="T192:V192"/>
    <mergeCell ref="AI192:AM192"/>
    <mergeCell ref="AR192:AV192"/>
    <mergeCell ref="AI190:AM190"/>
    <mergeCell ref="AR190:AV190"/>
    <mergeCell ref="A191:C191"/>
    <mergeCell ref="D191:E191"/>
    <mergeCell ref="G191:I191"/>
    <mergeCell ref="N191:P191"/>
    <mergeCell ref="Q191:R191"/>
    <mergeCell ref="T191:V191"/>
    <mergeCell ref="AI191:AM191"/>
    <mergeCell ref="AR191:AV191"/>
    <mergeCell ref="A190:C190"/>
    <mergeCell ref="D190:E190"/>
    <mergeCell ref="G190:I190"/>
    <mergeCell ref="N190:P190"/>
    <mergeCell ref="Q190:R190"/>
    <mergeCell ref="T190:V190"/>
    <mergeCell ref="AI188:AM188"/>
    <mergeCell ref="AR188:AV188"/>
    <mergeCell ref="A189:C189"/>
    <mergeCell ref="D189:E189"/>
    <mergeCell ref="G189:I189"/>
    <mergeCell ref="N189:P189"/>
    <mergeCell ref="Q189:R189"/>
    <mergeCell ref="T189:V189"/>
    <mergeCell ref="AI189:AM189"/>
    <mergeCell ref="AR189:AV189"/>
    <mergeCell ref="A188:C188"/>
    <mergeCell ref="D188:E188"/>
    <mergeCell ref="G188:I188"/>
    <mergeCell ref="N188:P188"/>
    <mergeCell ref="Q188:R188"/>
    <mergeCell ref="T188:V188"/>
    <mergeCell ref="AI185:AM185"/>
    <mergeCell ref="AR185:AV185"/>
    <mergeCell ref="AI186:AM186"/>
    <mergeCell ref="AR186:AV186"/>
    <mergeCell ref="A187:E187"/>
    <mergeCell ref="G187:I187"/>
    <mergeCell ref="N187:R187"/>
    <mergeCell ref="T187:V187"/>
    <mergeCell ref="AI187:AM187"/>
    <mergeCell ref="AR187:AV187"/>
    <mergeCell ref="AI183:AM183"/>
    <mergeCell ref="AR183:AV183"/>
    <mergeCell ref="A184:E184"/>
    <mergeCell ref="G184:I184"/>
    <mergeCell ref="N184:R184"/>
    <mergeCell ref="T184:V184"/>
    <mergeCell ref="AI184:AM184"/>
    <mergeCell ref="AR184:AV184"/>
    <mergeCell ref="A183:C183"/>
    <mergeCell ref="D183:E183"/>
    <mergeCell ref="G183:I183"/>
    <mergeCell ref="N183:P183"/>
    <mergeCell ref="Q183:R183"/>
    <mergeCell ref="T183:V183"/>
    <mergeCell ref="AI181:AM181"/>
    <mergeCell ref="AR181:AV181"/>
    <mergeCell ref="A182:C182"/>
    <mergeCell ref="D182:E182"/>
    <mergeCell ref="G182:I182"/>
    <mergeCell ref="N182:P182"/>
    <mergeCell ref="Q182:R182"/>
    <mergeCell ref="T182:V182"/>
    <mergeCell ref="AI182:AM182"/>
    <mergeCell ref="AR182:AV182"/>
    <mergeCell ref="A181:C181"/>
    <mergeCell ref="D181:E181"/>
    <mergeCell ref="G181:I181"/>
    <mergeCell ref="N181:P181"/>
    <mergeCell ref="Q181:R181"/>
    <mergeCell ref="T181:V181"/>
    <mergeCell ref="AI179:AM179"/>
    <mergeCell ref="AR179:AV179"/>
    <mergeCell ref="A180:E180"/>
    <mergeCell ref="G180:I180"/>
    <mergeCell ref="N180:R180"/>
    <mergeCell ref="T180:V180"/>
    <mergeCell ref="AI180:AM180"/>
    <mergeCell ref="AR180:AV180"/>
    <mergeCell ref="A177:E177"/>
    <mergeCell ref="G177:I177"/>
    <mergeCell ref="N177:R177"/>
    <mergeCell ref="T177:V177"/>
    <mergeCell ref="AR177:AV177"/>
    <mergeCell ref="AI178:AN178"/>
    <mergeCell ref="AR178:AV178"/>
    <mergeCell ref="AI175:AM175"/>
    <mergeCell ref="AR175:AV175"/>
    <mergeCell ref="A176:C176"/>
    <mergeCell ref="D176:E176"/>
    <mergeCell ref="G176:I176"/>
    <mergeCell ref="N176:P176"/>
    <mergeCell ref="Q176:R176"/>
    <mergeCell ref="T176:V176"/>
    <mergeCell ref="AI176:AM176"/>
    <mergeCell ref="AR176:AV176"/>
    <mergeCell ref="A175:C175"/>
    <mergeCell ref="D175:E175"/>
    <mergeCell ref="G175:I175"/>
    <mergeCell ref="N175:P175"/>
    <mergeCell ref="Q175:R175"/>
    <mergeCell ref="T175:V175"/>
    <mergeCell ref="AI173:AM173"/>
    <mergeCell ref="AR173:AV173"/>
    <mergeCell ref="A174:C174"/>
    <mergeCell ref="D174:E174"/>
    <mergeCell ref="G174:I174"/>
    <mergeCell ref="N174:P174"/>
    <mergeCell ref="Q174:R174"/>
    <mergeCell ref="T174:V174"/>
    <mergeCell ref="AI174:AM174"/>
    <mergeCell ref="AR174:AV174"/>
    <mergeCell ref="A173:C173"/>
    <mergeCell ref="D173:E173"/>
    <mergeCell ref="G173:I173"/>
    <mergeCell ref="N173:P173"/>
    <mergeCell ref="Q173:R173"/>
    <mergeCell ref="T173:V173"/>
    <mergeCell ref="AI170:AM170"/>
    <mergeCell ref="AR170:AV170"/>
    <mergeCell ref="AI171:AM171"/>
    <mergeCell ref="AR171:AV171"/>
    <mergeCell ref="A172:E172"/>
    <mergeCell ref="G172:I172"/>
    <mergeCell ref="N172:R172"/>
    <mergeCell ref="T172:V172"/>
    <mergeCell ref="AI172:AM172"/>
    <mergeCell ref="AR172:AV172"/>
    <mergeCell ref="A169:E169"/>
    <mergeCell ref="G169:I169"/>
    <mergeCell ref="N169:R169"/>
    <mergeCell ref="T169:V169"/>
    <mergeCell ref="AI169:AM169"/>
    <mergeCell ref="AR169:AV169"/>
    <mergeCell ref="A168:C168"/>
    <mergeCell ref="G168:I168"/>
    <mergeCell ref="N168:P168"/>
    <mergeCell ref="T168:V168"/>
    <mergeCell ref="AI168:AM168"/>
    <mergeCell ref="AR168:AV168"/>
    <mergeCell ref="A167:C167"/>
    <mergeCell ref="G167:I167"/>
    <mergeCell ref="N167:P167"/>
    <mergeCell ref="T167:V167"/>
    <mergeCell ref="AI167:AM167"/>
    <mergeCell ref="AR167:AV167"/>
    <mergeCell ref="A166:C166"/>
    <mergeCell ref="G166:I166"/>
    <mergeCell ref="N166:P166"/>
    <mergeCell ref="T166:V166"/>
    <mergeCell ref="AI166:AM166"/>
    <mergeCell ref="AR166:AV166"/>
    <mergeCell ref="A165:C165"/>
    <mergeCell ref="G165:I165"/>
    <mergeCell ref="N165:P165"/>
    <mergeCell ref="T165:V165"/>
    <mergeCell ref="AI165:AM165"/>
    <mergeCell ref="AR165:AV165"/>
    <mergeCell ref="A164:C164"/>
    <mergeCell ref="G164:I164"/>
    <mergeCell ref="N164:P164"/>
    <mergeCell ref="T164:V164"/>
    <mergeCell ref="AI164:AM164"/>
    <mergeCell ref="AR164:AV164"/>
    <mergeCell ref="A163:C163"/>
    <mergeCell ref="G163:I163"/>
    <mergeCell ref="N163:P163"/>
    <mergeCell ref="T163:V163"/>
    <mergeCell ref="AI163:AM163"/>
    <mergeCell ref="AR163:AV163"/>
    <mergeCell ref="A162:C162"/>
    <mergeCell ref="G162:I162"/>
    <mergeCell ref="N162:P162"/>
    <mergeCell ref="T162:V162"/>
    <mergeCell ref="AI162:AM162"/>
    <mergeCell ref="AR162:AV162"/>
    <mergeCell ref="A161:C161"/>
    <mergeCell ref="G161:I161"/>
    <mergeCell ref="N161:P161"/>
    <mergeCell ref="T161:V161"/>
    <mergeCell ref="AI161:AM161"/>
    <mergeCell ref="AR161:AV161"/>
    <mergeCell ref="A160:C160"/>
    <mergeCell ref="G160:I160"/>
    <mergeCell ref="N160:P160"/>
    <mergeCell ref="T160:V160"/>
    <mergeCell ref="AI160:AM160"/>
    <mergeCell ref="AR160:AV160"/>
    <mergeCell ref="A159:C159"/>
    <mergeCell ref="G159:I159"/>
    <mergeCell ref="N159:P159"/>
    <mergeCell ref="T159:V159"/>
    <mergeCell ref="AI159:AM159"/>
    <mergeCell ref="AR159:AV159"/>
    <mergeCell ref="A158:C158"/>
    <mergeCell ref="G158:I158"/>
    <mergeCell ref="N158:P158"/>
    <mergeCell ref="T158:V158"/>
    <mergeCell ref="AI158:AM158"/>
    <mergeCell ref="AR158:AV158"/>
    <mergeCell ref="A157:C157"/>
    <mergeCell ref="G157:I157"/>
    <mergeCell ref="N157:P157"/>
    <mergeCell ref="T157:V157"/>
    <mergeCell ref="AI157:AM157"/>
    <mergeCell ref="AR157:AV157"/>
    <mergeCell ref="A156:C156"/>
    <mergeCell ref="G156:I156"/>
    <mergeCell ref="N156:P156"/>
    <mergeCell ref="T156:V156"/>
    <mergeCell ref="AI156:AM156"/>
    <mergeCell ref="AR156:AV156"/>
    <mergeCell ref="A155:C155"/>
    <mergeCell ref="G155:I155"/>
    <mergeCell ref="N155:P155"/>
    <mergeCell ref="T155:V155"/>
    <mergeCell ref="AI155:AM155"/>
    <mergeCell ref="AR155:AV155"/>
    <mergeCell ref="A154:C154"/>
    <mergeCell ref="G154:I154"/>
    <mergeCell ref="N154:P154"/>
    <mergeCell ref="T154:V154"/>
    <mergeCell ref="AI154:AM154"/>
    <mergeCell ref="AR154:AV154"/>
    <mergeCell ref="A153:C153"/>
    <mergeCell ref="G153:I153"/>
    <mergeCell ref="N153:P153"/>
    <mergeCell ref="T153:V153"/>
    <mergeCell ref="AI153:AM153"/>
    <mergeCell ref="AR153:AV153"/>
    <mergeCell ref="A151:I151"/>
    <mergeCell ref="N151:V151"/>
    <mergeCell ref="AI151:AM151"/>
    <mergeCell ref="AR151:AV151"/>
    <mergeCell ref="A152:C152"/>
    <mergeCell ref="G152:I152"/>
    <mergeCell ref="N152:P152"/>
    <mergeCell ref="T152:V152"/>
    <mergeCell ref="AI152:AM152"/>
    <mergeCell ref="AR152:AV152"/>
    <mergeCell ref="A150:E150"/>
    <mergeCell ref="G150:I150"/>
    <mergeCell ref="N150:R150"/>
    <mergeCell ref="T150:V150"/>
    <mergeCell ref="AI150:AM150"/>
    <mergeCell ref="AR150:AV150"/>
    <mergeCell ref="A149:C149"/>
    <mergeCell ref="G149:I149"/>
    <mergeCell ref="N149:P149"/>
    <mergeCell ref="T149:V149"/>
    <mergeCell ref="AI149:AM149"/>
    <mergeCell ref="AR149:AV149"/>
    <mergeCell ref="A147:I147"/>
    <mergeCell ref="N147:V147"/>
    <mergeCell ref="AI147:AM147"/>
    <mergeCell ref="AR147:AV147"/>
    <mergeCell ref="A148:C148"/>
    <mergeCell ref="G148:I148"/>
    <mergeCell ref="N148:P148"/>
    <mergeCell ref="T148:V148"/>
    <mergeCell ref="AI148:AM148"/>
    <mergeCell ref="AR148:AV148"/>
    <mergeCell ref="A146:E146"/>
    <mergeCell ref="G146:I146"/>
    <mergeCell ref="N146:R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144:C144"/>
    <mergeCell ref="G144:I144"/>
    <mergeCell ref="N144:P144"/>
    <mergeCell ref="T144:V144"/>
    <mergeCell ref="AI144:AM144"/>
    <mergeCell ref="AR144:AV144"/>
    <mergeCell ref="AR142:AW142"/>
    <mergeCell ref="A143:C143"/>
    <mergeCell ref="G143:I143"/>
    <mergeCell ref="N143:P143"/>
    <mergeCell ref="T143:V143"/>
    <mergeCell ref="AI143:AM143"/>
    <mergeCell ref="AR143:AV143"/>
    <mergeCell ref="A141:C141"/>
    <mergeCell ref="G141:I141"/>
    <mergeCell ref="N141:P141"/>
    <mergeCell ref="T141:V141"/>
    <mergeCell ref="AI141:AM141"/>
    <mergeCell ref="A142:C142"/>
    <mergeCell ref="G142:I142"/>
    <mergeCell ref="N142:P142"/>
    <mergeCell ref="T142:V142"/>
    <mergeCell ref="AI142:AM142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38:C138"/>
    <mergeCell ref="G138:I138"/>
    <mergeCell ref="N138:P138"/>
    <mergeCell ref="T138:V138"/>
    <mergeCell ref="AI138:AM138"/>
    <mergeCell ref="AR138:AV138"/>
    <mergeCell ref="A136:C136"/>
    <mergeCell ref="G136:I136"/>
    <mergeCell ref="N136:P136"/>
    <mergeCell ref="T136:V136"/>
    <mergeCell ref="AI136:AM136"/>
    <mergeCell ref="A137:C137"/>
    <mergeCell ref="G137:I137"/>
    <mergeCell ref="N137:P137"/>
    <mergeCell ref="T137:V137"/>
    <mergeCell ref="AI137:AM137"/>
    <mergeCell ref="A135:C135"/>
    <mergeCell ref="G135:I135"/>
    <mergeCell ref="N135:P135"/>
    <mergeCell ref="T135:V135"/>
    <mergeCell ref="AI135:AM135"/>
    <mergeCell ref="AR135:AV135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0:C130"/>
    <mergeCell ref="G130:I130"/>
    <mergeCell ref="N130:P130"/>
    <mergeCell ref="T130:V130"/>
    <mergeCell ref="AI130:AM130"/>
    <mergeCell ref="AR130:AV130"/>
    <mergeCell ref="A129:C129"/>
    <mergeCell ref="G129:I129"/>
    <mergeCell ref="N129:P129"/>
    <mergeCell ref="T129:V129"/>
    <mergeCell ref="AI129:AM129"/>
    <mergeCell ref="AR129:AV129"/>
    <mergeCell ref="A127:I127"/>
    <mergeCell ref="N127:V127"/>
    <mergeCell ref="AI127:AM127"/>
    <mergeCell ref="AR127:AV127"/>
    <mergeCell ref="A128:C128"/>
    <mergeCell ref="G128:I128"/>
    <mergeCell ref="N128:P128"/>
    <mergeCell ref="T128:V128"/>
    <mergeCell ref="AI128:AM128"/>
    <mergeCell ref="AR128:AV128"/>
    <mergeCell ref="A126:E126"/>
    <mergeCell ref="G126:I126"/>
    <mergeCell ref="N126:R126"/>
    <mergeCell ref="T126:V126"/>
    <mergeCell ref="AI126:AM126"/>
    <mergeCell ref="AR126:AV126"/>
    <mergeCell ref="AR124:AV124"/>
    <mergeCell ref="A125:C125"/>
    <mergeCell ref="G125:I125"/>
    <mergeCell ref="N125:P125"/>
    <mergeCell ref="T125:V125"/>
    <mergeCell ref="AI125:AM125"/>
    <mergeCell ref="AR125:AV125"/>
    <mergeCell ref="A124:C124"/>
    <mergeCell ref="G124:I124"/>
    <mergeCell ref="N124:P124"/>
    <mergeCell ref="T124:V124"/>
    <mergeCell ref="AC124:AF124"/>
    <mergeCell ref="AI124:AM124"/>
    <mergeCell ref="A123:C123"/>
    <mergeCell ref="G123:I123"/>
    <mergeCell ref="N123:P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121:C121"/>
    <mergeCell ref="G121:I121"/>
    <mergeCell ref="N121:P121"/>
    <mergeCell ref="T121:V121"/>
    <mergeCell ref="AI121:AM121"/>
    <mergeCell ref="AR121:AV121"/>
    <mergeCell ref="A120:C120"/>
    <mergeCell ref="G120:I120"/>
    <mergeCell ref="N120:P120"/>
    <mergeCell ref="T120:V120"/>
    <mergeCell ref="AI120:AM120"/>
    <mergeCell ref="AR120:AV120"/>
    <mergeCell ref="A119:C119"/>
    <mergeCell ref="G119:I119"/>
    <mergeCell ref="N119:P119"/>
    <mergeCell ref="T119:V119"/>
    <mergeCell ref="AI119:AM119"/>
    <mergeCell ref="AR119:AV119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116:C116"/>
    <mergeCell ref="G116:I116"/>
    <mergeCell ref="N116:P116"/>
    <mergeCell ref="T116:V116"/>
    <mergeCell ref="AI116:AM116"/>
    <mergeCell ref="AR116:AV116"/>
    <mergeCell ref="A115:C115"/>
    <mergeCell ref="G115:I115"/>
    <mergeCell ref="N115:P115"/>
    <mergeCell ref="T115:V115"/>
    <mergeCell ref="AI115:AM115"/>
    <mergeCell ref="AR115:AV115"/>
    <mergeCell ref="A114:C114"/>
    <mergeCell ref="G114:I114"/>
    <mergeCell ref="N114:P114"/>
    <mergeCell ref="T114:V114"/>
    <mergeCell ref="AI114:AM114"/>
    <mergeCell ref="AR114:AV114"/>
    <mergeCell ref="A113:C113"/>
    <mergeCell ref="G113:I113"/>
    <mergeCell ref="N113:P113"/>
    <mergeCell ref="T113:V113"/>
    <mergeCell ref="AI113:AM113"/>
    <mergeCell ref="AR113:AV113"/>
    <mergeCell ref="A112:C112"/>
    <mergeCell ref="G112:I112"/>
    <mergeCell ref="N112:P112"/>
    <mergeCell ref="T112:V112"/>
    <mergeCell ref="AI112:AM112"/>
    <mergeCell ref="AR112:AV112"/>
    <mergeCell ref="A111:C111"/>
    <mergeCell ref="G111:I111"/>
    <mergeCell ref="N111:P111"/>
    <mergeCell ref="T111:V111"/>
    <mergeCell ref="AI111:AM111"/>
    <mergeCell ref="AR111:AV111"/>
    <mergeCell ref="A110:C110"/>
    <mergeCell ref="G110:I110"/>
    <mergeCell ref="N110:P110"/>
    <mergeCell ref="T110:V110"/>
    <mergeCell ref="AI110:AM110"/>
    <mergeCell ref="AR110:AV110"/>
    <mergeCell ref="A109:C109"/>
    <mergeCell ref="G109:I109"/>
    <mergeCell ref="N109:P109"/>
    <mergeCell ref="T109:V109"/>
    <mergeCell ref="AI109:AM109"/>
    <mergeCell ref="AR109:AV109"/>
    <mergeCell ref="A108:C108"/>
    <mergeCell ref="G108:I108"/>
    <mergeCell ref="N108:P108"/>
    <mergeCell ref="T108:V108"/>
    <mergeCell ref="AI108:AM108"/>
    <mergeCell ref="AR108:AV108"/>
    <mergeCell ref="A107:C107"/>
    <mergeCell ref="G107:I107"/>
    <mergeCell ref="N107:P107"/>
    <mergeCell ref="T107:V107"/>
    <mergeCell ref="AI107:AM107"/>
    <mergeCell ref="AR107:AV107"/>
    <mergeCell ref="A106:C106"/>
    <mergeCell ref="G106:I106"/>
    <mergeCell ref="N106:P106"/>
    <mergeCell ref="T106:V106"/>
    <mergeCell ref="AI106:AM106"/>
    <mergeCell ref="AR106:AV106"/>
    <mergeCell ref="A105:C105"/>
    <mergeCell ref="G105:I105"/>
    <mergeCell ref="N105:P105"/>
    <mergeCell ref="T105:V105"/>
    <mergeCell ref="AI105:AM105"/>
    <mergeCell ref="AR105:AV105"/>
    <mergeCell ref="A104:C104"/>
    <mergeCell ref="G104:I104"/>
    <mergeCell ref="N104:P104"/>
    <mergeCell ref="T104:V104"/>
    <mergeCell ref="AI104:AM104"/>
    <mergeCell ref="AR104:AV104"/>
    <mergeCell ref="AI102:AM102"/>
    <mergeCell ref="AR102:AV102"/>
    <mergeCell ref="A103:I103"/>
    <mergeCell ref="N103:V103"/>
    <mergeCell ref="AI103:AM103"/>
    <mergeCell ref="AR103:AV103"/>
    <mergeCell ref="AR100:AV100"/>
    <mergeCell ref="D101:H101"/>
    <mergeCell ref="I101:J101"/>
    <mergeCell ref="Q101:U101"/>
    <mergeCell ref="V101:W101"/>
    <mergeCell ref="AI101:AM101"/>
    <mergeCell ref="AR101:AV101"/>
    <mergeCell ref="D100:H100"/>
    <mergeCell ref="I100:J100"/>
    <mergeCell ref="Q100:U100"/>
    <mergeCell ref="V100:W100"/>
    <mergeCell ref="AC100:AF100"/>
    <mergeCell ref="AI100:AM100"/>
    <mergeCell ref="AI98:AN98"/>
    <mergeCell ref="AR98:AW98"/>
    <mergeCell ref="D99:H99"/>
    <mergeCell ref="I99:J99"/>
    <mergeCell ref="Q99:U99"/>
    <mergeCell ref="V99:W99"/>
    <mergeCell ref="AC99:AD99"/>
    <mergeCell ref="AI99:AM99"/>
    <mergeCell ref="AR99:AV99"/>
    <mergeCell ref="A96:Z96"/>
    <mergeCell ref="D97:H97"/>
    <mergeCell ref="I97:J97"/>
    <mergeCell ref="Q97:U97"/>
    <mergeCell ref="V97:W97"/>
    <mergeCell ref="AC97:AF98"/>
    <mergeCell ref="D98:H98"/>
    <mergeCell ref="I98:J98"/>
    <mergeCell ref="Q98:U98"/>
    <mergeCell ref="V98:W98"/>
    <mergeCell ref="U87:V87"/>
    <mergeCell ref="A88:D88"/>
    <mergeCell ref="A89:D89"/>
    <mergeCell ref="A91:D91"/>
    <mergeCell ref="A92:D92"/>
    <mergeCell ref="A93:D93"/>
    <mergeCell ref="A86:F86"/>
    <mergeCell ref="G86:I86"/>
    <mergeCell ref="Q86:R86"/>
    <mergeCell ref="S86:T86"/>
    <mergeCell ref="W86:X86"/>
    <mergeCell ref="Y86:Z86"/>
    <mergeCell ref="A84:I84"/>
    <mergeCell ref="J84:M84"/>
    <mergeCell ref="Q84:T84"/>
    <mergeCell ref="W84:Z84"/>
    <mergeCell ref="Q85:R85"/>
    <mergeCell ref="S85:T85"/>
    <mergeCell ref="W85:X85"/>
    <mergeCell ref="Y85:Z85"/>
    <mergeCell ref="A53:E70"/>
    <mergeCell ref="AK53:AL53"/>
    <mergeCell ref="I54:J54"/>
    <mergeCell ref="L58:O58"/>
    <mergeCell ref="Q58:T58"/>
    <mergeCell ref="I61:J61"/>
    <mergeCell ref="M67:O67"/>
    <mergeCell ref="P67:Q67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AT36:AW36"/>
    <mergeCell ref="AY36:BB36"/>
    <mergeCell ref="BD36:BG36"/>
    <mergeCell ref="M39:N39"/>
    <mergeCell ref="AX39:BB39"/>
    <mergeCell ref="BE39:BI39"/>
    <mergeCell ref="A23:E23"/>
    <mergeCell ref="A24:B35"/>
    <mergeCell ref="C24:E31"/>
    <mergeCell ref="AE27:AF27"/>
    <mergeCell ref="BJ28:BJ29"/>
    <mergeCell ref="BS6:BW6"/>
    <mergeCell ref="AP7:AR7"/>
    <mergeCell ref="AZ7:BA7"/>
    <mergeCell ref="E8:G9"/>
    <mergeCell ref="BW8:BY8"/>
    <mergeCell ref="Y14:Z14"/>
    <mergeCell ref="BK14:BL14"/>
    <mergeCell ref="BK28:BK29"/>
    <mergeCell ref="BW28:BY28"/>
    <mergeCell ref="M29:M30"/>
    <mergeCell ref="N29:N30"/>
    <mergeCell ref="R33:S33"/>
    <mergeCell ref="AE34:AF34"/>
    <mergeCell ref="Y16:Z16"/>
    <mergeCell ref="AJ17:AK17"/>
    <mergeCell ref="I19:J19"/>
    <mergeCell ref="AN20:AN26"/>
    <mergeCell ref="BP21:BQ21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</mergeCells>
  <phoneticPr fontId="0" type="noConversion"/>
  <conditionalFormatting sqref="A104:A125 N104:N125 A128:A138 N128:N138">
    <cfRule type="expression" dxfId="64" priority="60">
      <formula>IF(D104="DESC",1,0)</formula>
    </cfRule>
  </conditionalFormatting>
  <conditionalFormatting sqref="A148:A149">
    <cfRule type="expression" dxfId="63" priority="54">
      <formula>IF(D148="DESC",1,0)</formula>
    </cfRule>
  </conditionalFormatting>
  <conditionalFormatting sqref="A152:A168">
    <cfRule type="expression" dxfId="62" priority="57">
      <formula>IF(D152="DESC",1,0)</formula>
    </cfRule>
  </conditionalFormatting>
  <conditionalFormatting sqref="A214:A219">
    <cfRule type="expression" dxfId="61" priority="16">
      <formula>IF(#REF!="DESC",1,0)</formula>
    </cfRule>
  </conditionalFormatting>
  <conditionalFormatting sqref="A222:A234">
    <cfRule type="expression" dxfId="60" priority="4">
      <formula>IF(#REF!="DESC",1,0)</formula>
    </cfRule>
  </conditionalFormatting>
  <conditionalFormatting sqref="A237:A242">
    <cfRule type="expression" dxfId="59" priority="15">
      <formula>IF(#REF!="DESC",1,0)</formula>
    </cfRule>
  </conditionalFormatting>
  <conditionalFormatting sqref="A245:A246">
    <cfRule type="expression" dxfId="58" priority="14">
      <formula>IF(#REF!="DESC",1,0)</formula>
    </cfRule>
  </conditionalFormatting>
  <conditionalFormatting sqref="A249:A250">
    <cfRule type="expression" dxfId="57" priority="13">
      <formula>IF(#REF!="DESC",1,0)</formula>
    </cfRule>
  </conditionalFormatting>
  <conditionalFormatting sqref="A173:C176">
    <cfRule type="expression" dxfId="56" priority="27">
      <formula>IF(D173="DESC",1,0)</formula>
    </cfRule>
  </conditionalFormatting>
  <conditionalFormatting sqref="A181:C183">
    <cfRule type="expression" dxfId="55" priority="31">
      <formula>IF(D181="DESC",1,0)</formula>
    </cfRule>
  </conditionalFormatting>
  <conditionalFormatting sqref="A188:C191">
    <cfRule type="expression" dxfId="54" priority="29">
      <formula>IF(D188="DESC",1,0)</formula>
    </cfRule>
  </conditionalFormatting>
  <conditionalFormatting sqref="A196:C198">
    <cfRule type="expression" dxfId="53" priority="26">
      <formula>IF(D196="DESC",1,0)</formula>
    </cfRule>
  </conditionalFormatting>
  <conditionalFormatting sqref="A139:N144">
    <cfRule type="expression" dxfId="52" priority="55">
      <formula>IF(D139="DESC",1,0)</formula>
    </cfRule>
  </conditionalFormatting>
  <conditionalFormatting sqref="A145:P145">
    <cfRule type="expression" dxfId="51" priority="5">
      <formula>IF(D145="DESC",1,0)</formula>
    </cfRule>
  </conditionalFormatting>
  <conditionalFormatting sqref="F114">
    <cfRule type="expression" dxfId="50" priority="61">
      <formula>IF(D114="DESC",1,0)</formula>
    </cfRule>
  </conditionalFormatting>
  <conditionalFormatting sqref="F118">
    <cfRule type="expression" dxfId="49" priority="62">
      <formula>IF(D118="DESC",1,0)</formula>
    </cfRule>
  </conditionalFormatting>
  <conditionalFormatting sqref="F138">
    <cfRule type="expression" dxfId="48" priority="36">
      <formula>IF(D138="DESC",1,0)</formula>
    </cfRule>
  </conditionalFormatting>
  <conditionalFormatting sqref="F173:F176">
    <cfRule type="expression" dxfId="47" priority="28">
      <formula>IF(D173="DESC",1,0)</formula>
    </cfRule>
  </conditionalFormatting>
  <conditionalFormatting sqref="F181:F183">
    <cfRule type="expression" dxfId="46" priority="18">
      <formula>IF(D181="DESC",1,0)</formula>
    </cfRule>
  </conditionalFormatting>
  <conditionalFormatting sqref="F188:F191">
    <cfRule type="expression" dxfId="45" priority="30">
      <formula>IF(D188="DESC",1,0)</formula>
    </cfRule>
  </conditionalFormatting>
  <conditionalFormatting sqref="F196:F198">
    <cfRule type="expression" dxfId="44" priority="32">
      <formula>IF(D196="DESC",1,0)</formula>
    </cfRule>
  </conditionalFormatting>
  <conditionalFormatting sqref="F222:F234">
    <cfRule type="duplicateValues" dxfId="43" priority="3"/>
  </conditionalFormatting>
  <conditionalFormatting sqref="G222:N234">
    <cfRule type="expression" dxfId="42" priority="2">
      <formula>IF(#REF!="DESC",1,0)</formula>
    </cfRule>
  </conditionalFormatting>
  <conditionalFormatting sqref="M130:M131">
    <cfRule type="expression" dxfId="41" priority="6">
      <formula>IF(P130="DESC",1,0)</formula>
    </cfRule>
  </conditionalFormatting>
  <conditionalFormatting sqref="M136">
    <cfRule type="expression" dxfId="40" priority="7">
      <formula>IF(P136="DESC",1,0)</formula>
    </cfRule>
  </conditionalFormatting>
  <conditionalFormatting sqref="N148:N149">
    <cfRule type="expression" dxfId="39" priority="53">
      <formula>IF(Q148="DESC",1,0)</formula>
    </cfRule>
  </conditionalFormatting>
  <conditionalFormatting sqref="N152:N168">
    <cfRule type="expression" dxfId="38" priority="56">
      <formula>IF(Q152="DESC",1,0)</formula>
    </cfRule>
  </conditionalFormatting>
  <conditionalFormatting sqref="N214:N219">
    <cfRule type="expression" dxfId="37" priority="12">
      <formula>IF(#REF!="DESC",1,0)</formula>
    </cfRule>
  </conditionalFormatting>
  <conditionalFormatting sqref="N237:N242">
    <cfRule type="expression" dxfId="36" priority="11">
      <formula>IF(#REF!="DESC",1,0)</formula>
    </cfRule>
  </conditionalFormatting>
  <conditionalFormatting sqref="N245:N246">
    <cfRule type="expression" dxfId="35" priority="10">
      <formula>IF(#REF!="DESC",1,0)</formula>
    </cfRule>
  </conditionalFormatting>
  <conditionalFormatting sqref="N249:N250">
    <cfRule type="expression" dxfId="34" priority="9">
      <formula>IF(#REF!="DESC",1,0)</formula>
    </cfRule>
  </conditionalFormatting>
  <conditionalFormatting sqref="N173:P176">
    <cfRule type="expression" dxfId="33" priority="21">
      <formula>IF(Q173="DESC",1,0)</formula>
    </cfRule>
  </conditionalFormatting>
  <conditionalFormatting sqref="N181:P183">
    <cfRule type="expression" dxfId="32" priority="24">
      <formula>IF(Q181="DESC",1,0)</formula>
    </cfRule>
  </conditionalFormatting>
  <conditionalFormatting sqref="N188:P191">
    <cfRule type="expression" dxfId="31" priority="23">
      <formula>IF(Q188="DESC",1,0)</formula>
    </cfRule>
  </conditionalFormatting>
  <conditionalFormatting sqref="N196:P198">
    <cfRule type="expression" dxfId="30" priority="20">
      <formula>IF(Q196="DESC",1,0)</formula>
    </cfRule>
  </conditionalFormatting>
  <conditionalFormatting sqref="S114">
    <cfRule type="expression" dxfId="29" priority="58">
      <formula>IF(Q114="DESC",1,0)</formula>
    </cfRule>
  </conditionalFormatting>
  <conditionalFormatting sqref="S118">
    <cfRule type="expression" dxfId="28" priority="59">
      <formula>IF(Q118="DESC",1,0)</formula>
    </cfRule>
  </conditionalFormatting>
  <conditionalFormatting sqref="S138">
    <cfRule type="expression" dxfId="27" priority="35">
      <formula>IF(Q138="DESC",1,0)</formula>
    </cfRule>
  </conditionalFormatting>
  <conditionalFormatting sqref="S145">
    <cfRule type="expression" dxfId="26" priority="8">
      <formula>IF(V145="DESC",1,0)</formula>
    </cfRule>
  </conditionalFormatting>
  <conditionalFormatting sqref="S173:S176">
    <cfRule type="expression" dxfId="25" priority="22">
      <formula>IF(Q173="DESC",1,0)</formula>
    </cfRule>
  </conditionalFormatting>
  <conditionalFormatting sqref="S181:S183">
    <cfRule type="expression" dxfId="24" priority="17">
      <formula>IF(Q181="DESC",1,0)</formula>
    </cfRule>
  </conditionalFormatting>
  <conditionalFormatting sqref="S188:S191">
    <cfRule type="expression" dxfId="23" priority="19">
      <formula>IF(Q188="DESC",1,0)</formula>
    </cfRule>
  </conditionalFormatting>
  <conditionalFormatting sqref="S196:S198">
    <cfRule type="expression" dxfId="22" priority="25">
      <formula>IF(Q196="DESC",1,0)</formula>
    </cfRule>
  </conditionalFormatting>
  <conditionalFormatting sqref="S222:S234">
    <cfRule type="duplicateValues" dxfId="21" priority="1"/>
  </conditionalFormatting>
  <conditionalFormatting sqref="AD117">
    <cfRule type="duplicateValues" dxfId="20" priority="63"/>
  </conditionalFormatting>
  <conditionalFormatting sqref="AD122">
    <cfRule type="duplicateValues" dxfId="19" priority="38"/>
  </conditionalFormatting>
  <conditionalFormatting sqref="AD125:AD126 AD128 AD130:AD136 AD138:AD141">
    <cfRule type="duplicateValues" dxfId="18" priority="64"/>
  </conditionalFormatting>
  <conditionalFormatting sqref="AD127">
    <cfRule type="duplicateValues" dxfId="17" priority="50"/>
  </conditionalFormatting>
  <conditionalFormatting sqref="AD129">
    <cfRule type="duplicateValues" dxfId="16" priority="52"/>
  </conditionalFormatting>
  <conditionalFormatting sqref="AD137">
    <cfRule type="duplicateValues" dxfId="15" priority="51"/>
  </conditionalFormatting>
  <conditionalFormatting sqref="AD142">
    <cfRule type="duplicateValues" dxfId="14" priority="44"/>
  </conditionalFormatting>
  <conditionalFormatting sqref="AD143">
    <cfRule type="duplicateValues" dxfId="13" priority="37"/>
  </conditionalFormatting>
  <conditionalFormatting sqref="AD144 AD146:AD149 AD151 AD154:AD157 AD159:AD165 AD167:AD168 AD170:AD178 AD180:AD182 AD184:AD186 AD188:AD194">
    <cfRule type="duplicateValues" dxfId="12" priority="65"/>
  </conditionalFormatting>
  <conditionalFormatting sqref="AD145">
    <cfRule type="duplicateValues" dxfId="11" priority="43"/>
  </conditionalFormatting>
  <conditionalFormatting sqref="AD150">
    <cfRule type="duplicateValues" dxfId="10" priority="48"/>
  </conditionalFormatting>
  <conditionalFormatting sqref="AD152">
    <cfRule type="duplicateValues" dxfId="9" priority="34"/>
  </conditionalFormatting>
  <conditionalFormatting sqref="AD153">
    <cfRule type="duplicateValues" dxfId="8" priority="49"/>
  </conditionalFormatting>
  <conditionalFormatting sqref="AD158">
    <cfRule type="duplicateValues" dxfId="7" priority="41"/>
  </conditionalFormatting>
  <conditionalFormatting sqref="AD166">
    <cfRule type="duplicateValues" dxfId="6" priority="47"/>
  </conditionalFormatting>
  <conditionalFormatting sqref="AD169">
    <cfRule type="duplicateValues" dxfId="5" priority="33"/>
  </conditionalFormatting>
  <conditionalFormatting sqref="AD179">
    <cfRule type="duplicateValues" dxfId="4" priority="42"/>
  </conditionalFormatting>
  <conditionalFormatting sqref="AD183">
    <cfRule type="duplicateValues" dxfId="3" priority="46"/>
  </conditionalFormatting>
  <conditionalFormatting sqref="AD187">
    <cfRule type="duplicateValues" dxfId="2" priority="45"/>
  </conditionalFormatting>
  <conditionalFormatting sqref="AD196">
    <cfRule type="duplicateValues" dxfId="1" priority="40"/>
  </conditionalFormatting>
  <conditionalFormatting sqref="AD197">
    <cfRule type="duplicateValues" dxfId="0" priority="39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CB83"/>
  <sheetViews>
    <sheetView zoomScale="40" zoomScaleNormal="40" workbookViewId="0">
      <selection sqref="A1:XFD1048576"/>
    </sheetView>
  </sheetViews>
  <sheetFormatPr baseColWidth="10" defaultColWidth="16.7109375" defaultRowHeight="15" x14ac:dyDescent="0.25"/>
  <sheetData>
    <row r="1" spans="1:79" ht="47.25" thickBot="1" x14ac:dyDescent="0.3">
      <c r="A1" s="694" t="s">
        <v>150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695"/>
      <c r="AU1" s="695"/>
      <c r="AV1" s="695"/>
      <c r="AW1" s="695"/>
      <c r="AX1" s="695"/>
      <c r="AY1" s="695"/>
      <c r="AZ1" s="695"/>
      <c r="BA1" s="695"/>
      <c r="BB1" s="695"/>
      <c r="BC1" s="695"/>
      <c r="BD1" s="695"/>
      <c r="BE1" s="695"/>
      <c r="BF1" s="695"/>
      <c r="BG1" s="695"/>
      <c r="BH1" s="695"/>
      <c r="BI1" s="695"/>
      <c r="BJ1" s="695"/>
      <c r="BK1" s="695"/>
      <c r="BL1" s="695"/>
      <c r="BM1" s="695"/>
      <c r="BN1" s="695"/>
      <c r="BO1" s="695"/>
      <c r="BP1" s="695"/>
      <c r="BQ1" s="695"/>
      <c r="BR1" s="695"/>
      <c r="BS1" s="695"/>
      <c r="BT1" s="695"/>
      <c r="BU1" s="695"/>
      <c r="BV1" s="695"/>
      <c r="BW1" s="695"/>
      <c r="BX1" s="695"/>
      <c r="BY1" s="695"/>
      <c r="BZ1" s="695"/>
      <c r="CA1" s="696"/>
    </row>
    <row r="2" spans="1:79" ht="15.75" thickBot="1" x14ac:dyDescent="0.3">
      <c r="A2" s="697" t="s">
        <v>151</v>
      </c>
      <c r="B2" s="698"/>
      <c r="C2" s="698"/>
      <c r="D2" s="698"/>
      <c r="E2" s="698"/>
      <c r="F2" s="698"/>
      <c r="G2" s="698"/>
      <c r="H2" s="698"/>
      <c r="I2" s="698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699"/>
      <c r="AK2" s="699"/>
      <c r="AL2" s="699"/>
      <c r="AM2" s="699"/>
      <c r="AN2" s="699"/>
      <c r="AO2" s="699"/>
      <c r="AP2" s="699"/>
      <c r="AQ2" s="699"/>
      <c r="AR2" s="699"/>
      <c r="AS2" s="699"/>
      <c r="AT2" s="699"/>
      <c r="AU2" s="699"/>
      <c r="AV2" s="699"/>
      <c r="AW2" s="699"/>
      <c r="AX2" s="699"/>
      <c r="AY2" s="699"/>
      <c r="AZ2" s="699"/>
      <c r="BA2" s="699"/>
      <c r="BB2" s="699"/>
      <c r="BC2" s="699"/>
      <c r="BD2" s="699"/>
      <c r="BE2" s="699"/>
      <c r="BF2" s="699"/>
      <c r="BG2" s="699"/>
      <c r="BH2" s="699"/>
      <c r="BI2" s="699"/>
      <c r="BJ2" s="699"/>
      <c r="BK2" s="699"/>
      <c r="BL2" s="699"/>
      <c r="BM2" s="699"/>
      <c r="BN2" s="699"/>
      <c r="BO2" s="699"/>
      <c r="BP2" s="699"/>
      <c r="BQ2" s="699"/>
      <c r="BR2" s="699"/>
      <c r="BS2" s="699"/>
      <c r="BT2" s="699"/>
      <c r="BU2" s="699"/>
      <c r="BV2" s="699"/>
      <c r="BW2" s="699"/>
      <c r="BX2" s="699"/>
      <c r="BY2" s="699"/>
      <c r="BZ2" s="699"/>
      <c r="CA2" s="700"/>
    </row>
    <row r="3" spans="1:79" ht="15" customHeight="1" x14ac:dyDescent="0.25">
      <c r="A3" s="29"/>
      <c r="B3" s="30"/>
      <c r="C3" s="30"/>
      <c r="D3" s="30"/>
      <c r="E3" s="30"/>
      <c r="F3" s="30"/>
      <c r="G3" s="30"/>
      <c r="H3" s="30"/>
      <c r="I3" s="31"/>
      <c r="J3" s="32"/>
      <c r="K3" s="656"/>
      <c r="L3" s="657"/>
      <c r="M3" s="656"/>
      <c r="N3" s="657"/>
      <c r="O3" s="656"/>
      <c r="P3" s="657"/>
      <c r="Q3" s="656"/>
      <c r="R3" s="32"/>
      <c r="S3" s="32"/>
      <c r="T3" s="32"/>
      <c r="U3" s="32"/>
      <c r="V3" s="701" t="s">
        <v>153</v>
      </c>
      <c r="W3" s="702"/>
      <c r="X3" s="702"/>
      <c r="Y3" s="702"/>
      <c r="Z3" s="702"/>
      <c r="AA3" s="702"/>
      <c r="AB3" s="702"/>
      <c r="AC3" s="702"/>
      <c r="AD3" s="702"/>
      <c r="AE3" s="702"/>
      <c r="AF3" s="702"/>
      <c r="AG3" s="703"/>
      <c r="AH3" s="32"/>
      <c r="AI3" s="32"/>
      <c r="AJ3" s="32"/>
      <c r="AO3" s="680"/>
      <c r="AP3" s="680"/>
      <c r="AQ3" s="680"/>
      <c r="AR3" s="680"/>
      <c r="AV3" s="667"/>
      <c r="AW3" s="667"/>
      <c r="AX3" s="667"/>
      <c r="AY3" s="667"/>
      <c r="BA3" s="710" t="s">
        <v>156</v>
      </c>
      <c r="BB3" s="711"/>
      <c r="BE3" s="667"/>
      <c r="BF3" s="667"/>
      <c r="BJ3" s="712" t="s">
        <v>157</v>
      </c>
      <c r="BK3" s="712"/>
      <c r="BL3" s="662"/>
      <c r="BM3" s="662"/>
      <c r="BN3" s="677"/>
      <c r="BO3" s="677"/>
      <c r="BP3" s="677"/>
      <c r="BQ3" s="677"/>
      <c r="BR3" s="656"/>
      <c r="BS3" s="657"/>
      <c r="BT3" s="656"/>
      <c r="BU3" s="657"/>
      <c r="BV3" s="656"/>
      <c r="BW3" s="657"/>
      <c r="BX3" s="656"/>
      <c r="BY3" s="32"/>
      <c r="BZ3" s="32"/>
      <c r="CA3" s="39"/>
    </row>
    <row r="4" spans="1:79" ht="18.75" x14ac:dyDescent="0.25">
      <c r="A4" s="40"/>
      <c r="B4" s="32"/>
      <c r="C4" s="32"/>
      <c r="D4" s="32"/>
      <c r="E4" s="32"/>
      <c r="F4" s="32"/>
      <c r="G4" s="32"/>
      <c r="H4" s="32"/>
      <c r="I4" s="41"/>
      <c r="J4" s="32"/>
      <c r="K4" s="42"/>
      <c r="L4" s="658"/>
      <c r="M4" s="658"/>
      <c r="N4" s="658"/>
      <c r="O4" s="658"/>
      <c r="P4" s="658"/>
      <c r="Q4" s="32"/>
      <c r="R4" s="32"/>
      <c r="S4" s="32"/>
      <c r="T4" s="32"/>
      <c r="U4" s="32"/>
      <c r="V4" s="704"/>
      <c r="W4" s="705"/>
      <c r="X4" s="705"/>
      <c r="Y4" s="705"/>
      <c r="Z4" s="705"/>
      <c r="AA4" s="705"/>
      <c r="AB4" s="705"/>
      <c r="AC4" s="705"/>
      <c r="AD4" s="705"/>
      <c r="AE4" s="705"/>
      <c r="AF4" s="705"/>
      <c r="AG4" s="706"/>
      <c r="AH4" s="32"/>
      <c r="AI4" s="32"/>
      <c r="AJ4" s="32"/>
      <c r="AK4" s="32"/>
      <c r="AL4" s="32"/>
      <c r="AM4" s="32"/>
      <c r="AN4" s="39"/>
      <c r="AO4" s="713"/>
      <c r="AP4" s="714"/>
      <c r="AQ4" s="714"/>
      <c r="AR4" s="714"/>
      <c r="AS4" s="32"/>
      <c r="AT4" s="32"/>
      <c r="AV4" s="32"/>
      <c r="AW4" s="32"/>
      <c r="BI4" s="32"/>
      <c r="BJ4" s="32"/>
      <c r="BN4" s="715"/>
      <c r="BO4" s="715"/>
      <c r="BP4" s="715"/>
      <c r="BQ4" s="715"/>
      <c r="BR4" s="42"/>
      <c r="BS4" s="658"/>
      <c r="BT4" s="32"/>
      <c r="BU4" s="658"/>
      <c r="BV4" s="32"/>
      <c r="BW4" s="658"/>
      <c r="BX4" s="32"/>
      <c r="BY4" s="32"/>
      <c r="BZ4" s="32"/>
      <c r="CA4" s="39"/>
    </row>
    <row r="5" spans="1:79" ht="15.75" thickBot="1" x14ac:dyDescent="0.3">
      <c r="A5" s="716" t="s">
        <v>164</v>
      </c>
      <c r="B5" s="717"/>
      <c r="C5" s="32"/>
      <c r="D5" s="32"/>
      <c r="E5" s="32"/>
      <c r="F5" s="32"/>
      <c r="G5" s="32"/>
      <c r="H5" s="32"/>
      <c r="I5" s="41"/>
      <c r="J5" s="32"/>
      <c r="K5" s="32"/>
      <c r="L5" s="44"/>
      <c r="N5" s="44"/>
      <c r="P5" s="44"/>
      <c r="Q5" s="45"/>
      <c r="R5" s="32"/>
      <c r="U5" s="32"/>
      <c r="V5" s="707"/>
      <c r="W5" s="708"/>
      <c r="X5" s="708"/>
      <c r="Y5" s="708"/>
      <c r="Z5" s="708"/>
      <c r="AA5" s="708"/>
      <c r="AB5" s="708"/>
      <c r="AC5" s="708"/>
      <c r="AD5" s="708"/>
      <c r="AE5" s="708"/>
      <c r="AF5" s="708"/>
      <c r="AG5" s="709"/>
      <c r="AH5" s="32"/>
      <c r="AM5" s="32"/>
      <c r="AN5" s="39"/>
      <c r="AO5" s="32"/>
      <c r="AP5" s="32"/>
      <c r="AQ5" s="32"/>
      <c r="AR5" s="32"/>
      <c r="AS5" s="32"/>
      <c r="AT5" s="32"/>
      <c r="AU5" s="32"/>
      <c r="AV5" s="32"/>
      <c r="AW5" s="32"/>
      <c r="AX5" s="32"/>
      <c r="BE5" s="46"/>
      <c r="BF5" s="46"/>
      <c r="BJ5" s="32"/>
      <c r="BO5" s="47"/>
      <c r="BP5" s="47"/>
      <c r="BQ5" s="47"/>
      <c r="BR5" s="32"/>
      <c r="BS5" s="44"/>
      <c r="BU5" s="44"/>
      <c r="BW5" s="44"/>
      <c r="BX5" s="45"/>
      <c r="CA5" s="39"/>
    </row>
    <row r="6" spans="1:79" ht="15.75" x14ac:dyDescent="0.25">
      <c r="A6" s="718"/>
      <c r="B6" s="719"/>
      <c r="C6" s="32"/>
      <c r="D6" s="32"/>
      <c r="E6" s="32"/>
      <c r="F6" s="32"/>
      <c r="G6" s="32"/>
      <c r="H6" s="32"/>
      <c r="I6" s="41"/>
      <c r="J6" s="32"/>
      <c r="K6" s="32"/>
      <c r="L6" s="722"/>
      <c r="M6" s="722"/>
      <c r="N6" s="722"/>
      <c r="O6" s="722"/>
      <c r="P6" s="722"/>
      <c r="Q6" s="32"/>
      <c r="R6" s="32"/>
      <c r="S6" s="32"/>
      <c r="T6" s="32"/>
      <c r="W6" s="32"/>
      <c r="X6" s="32"/>
      <c r="AA6" s="32"/>
      <c r="AB6" s="32"/>
      <c r="AC6" s="32"/>
      <c r="AD6" s="32"/>
      <c r="AG6" s="32"/>
      <c r="AH6" s="32"/>
      <c r="AI6" s="32"/>
      <c r="AJ6" s="723"/>
      <c r="AK6" s="723"/>
      <c r="AL6" s="32"/>
      <c r="AM6" s="32"/>
      <c r="AN6" s="39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J6" s="32"/>
      <c r="BK6" s="32"/>
      <c r="BN6" s="48"/>
      <c r="BO6" s="48"/>
      <c r="BP6" s="48"/>
      <c r="BQ6" s="48"/>
      <c r="BR6" s="682"/>
      <c r="BS6" s="722"/>
      <c r="BT6" s="722"/>
      <c r="BU6" s="722"/>
      <c r="BV6" s="722"/>
      <c r="BW6" s="722"/>
      <c r="CA6" s="39"/>
    </row>
    <row r="7" spans="1:79" x14ac:dyDescent="0.25">
      <c r="A7" s="718"/>
      <c r="B7" s="719"/>
      <c r="C7" s="32"/>
      <c r="D7" s="32"/>
      <c r="E7" s="32"/>
      <c r="F7" s="32"/>
      <c r="G7" s="32"/>
      <c r="H7" s="32"/>
      <c r="I7" s="41"/>
      <c r="J7" s="32"/>
      <c r="K7" s="32"/>
      <c r="L7" s="32"/>
      <c r="P7" s="32"/>
      <c r="Q7" s="32"/>
      <c r="R7" s="32"/>
      <c r="S7" s="32"/>
      <c r="T7" s="44"/>
      <c r="W7" s="32"/>
      <c r="X7" s="32"/>
      <c r="AA7" s="32"/>
      <c r="AB7" s="32"/>
      <c r="AC7" s="32"/>
      <c r="AD7" s="32"/>
      <c r="AG7" s="32"/>
      <c r="AH7" s="32"/>
      <c r="AI7" s="32"/>
      <c r="AJ7" s="723"/>
      <c r="AK7" s="723"/>
      <c r="AL7" s="32"/>
      <c r="AM7" s="32"/>
      <c r="AN7" s="39"/>
      <c r="AO7" s="32"/>
      <c r="AP7" s="724"/>
      <c r="AQ7" s="724"/>
      <c r="AR7" s="724"/>
      <c r="AS7" s="32"/>
      <c r="AT7" s="45"/>
      <c r="AU7" s="32"/>
      <c r="AV7" s="32"/>
      <c r="AW7" s="32"/>
      <c r="AX7" s="32"/>
      <c r="AZ7" s="725"/>
      <c r="BA7" s="725"/>
      <c r="BF7" s="32"/>
      <c r="BG7" s="32"/>
      <c r="BH7" s="32"/>
      <c r="BR7" s="32"/>
      <c r="CA7" s="39"/>
    </row>
    <row r="8" spans="1:79" ht="21" x14ac:dyDescent="0.35">
      <c r="A8" s="718"/>
      <c r="B8" s="719"/>
      <c r="C8" s="32"/>
      <c r="D8" s="32"/>
      <c r="E8" s="726" t="s">
        <v>170</v>
      </c>
      <c r="F8" s="727"/>
      <c r="G8" s="727"/>
      <c r="H8" s="32"/>
      <c r="I8" s="41"/>
      <c r="J8" s="32"/>
      <c r="K8" s="32"/>
      <c r="L8" s="32"/>
      <c r="M8" s="32"/>
      <c r="N8" s="32"/>
      <c r="P8" s="32"/>
      <c r="Q8" s="32"/>
      <c r="R8" s="32"/>
      <c r="S8" s="32"/>
      <c r="T8" s="44"/>
      <c r="W8" s="32"/>
      <c r="X8" s="32"/>
      <c r="AA8" s="32"/>
      <c r="AB8" s="32"/>
      <c r="AC8" s="32"/>
      <c r="AD8" s="32"/>
      <c r="AE8" s="32"/>
      <c r="AF8" s="32"/>
      <c r="AG8" s="32"/>
      <c r="AH8" s="32"/>
      <c r="AI8" s="32"/>
      <c r="AJ8" s="723"/>
      <c r="AK8" s="723"/>
      <c r="AL8" s="32"/>
      <c r="AM8" s="32"/>
      <c r="AN8" s="39"/>
      <c r="AO8" s="32"/>
      <c r="AP8" s="661"/>
      <c r="AQ8" s="661"/>
      <c r="AR8" s="661"/>
      <c r="AS8" s="32"/>
      <c r="AT8" s="42"/>
      <c r="AU8" s="32"/>
      <c r="AV8" s="32"/>
      <c r="AW8" s="63"/>
      <c r="AX8" s="32"/>
      <c r="AY8" s="42"/>
      <c r="AZ8" s="118"/>
      <c r="BA8" s="118"/>
      <c r="BB8" s="32"/>
      <c r="BN8" s="32"/>
      <c r="BO8" s="32"/>
      <c r="BP8" s="680"/>
      <c r="BQ8" s="680"/>
      <c r="BS8" s="32"/>
      <c r="BT8" s="32"/>
      <c r="BW8" s="728" t="s">
        <v>175</v>
      </c>
      <c r="BX8" s="728"/>
      <c r="BY8" s="728"/>
      <c r="CA8" s="39"/>
    </row>
    <row r="9" spans="1:79" ht="18.75" x14ac:dyDescent="0.25">
      <c r="A9" s="718"/>
      <c r="B9" s="719"/>
      <c r="C9" s="32"/>
      <c r="D9" s="32"/>
      <c r="E9" s="727"/>
      <c r="F9" s="727"/>
      <c r="G9" s="727"/>
      <c r="H9" s="32"/>
      <c r="I9" s="41"/>
      <c r="J9" s="32"/>
      <c r="K9" s="32"/>
      <c r="L9" s="32"/>
      <c r="M9" s="32"/>
      <c r="N9" s="32"/>
      <c r="P9" s="32"/>
      <c r="Q9" s="32"/>
      <c r="R9" s="32"/>
      <c r="S9" s="32"/>
      <c r="T9" s="32"/>
      <c r="W9" s="32"/>
      <c r="X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9"/>
      <c r="AP9" s="661"/>
      <c r="AQ9" s="661"/>
      <c r="AR9" s="661"/>
      <c r="AS9" s="55"/>
      <c r="AT9" s="115"/>
      <c r="AU9" s="657"/>
      <c r="AV9" s="657"/>
      <c r="AW9" s="115"/>
      <c r="AX9" s="44"/>
      <c r="AY9" s="118"/>
      <c r="AZ9" s="657"/>
      <c r="BA9" s="657"/>
      <c r="BB9" s="118"/>
      <c r="BC9" s="57"/>
      <c r="BE9" s="686"/>
      <c r="BF9" s="294"/>
      <c r="BG9" s="678"/>
      <c r="BH9" s="32"/>
      <c r="BJ9" s="687"/>
      <c r="BK9" s="688"/>
      <c r="BL9" s="688"/>
      <c r="BN9" s="32"/>
      <c r="BO9" s="32"/>
      <c r="BP9" s="680"/>
      <c r="BQ9" s="680"/>
      <c r="BT9" s="32"/>
      <c r="BU9" s="32"/>
      <c r="BV9" s="63" t="s">
        <v>172</v>
      </c>
      <c r="BW9" s="64"/>
      <c r="BX9" s="64"/>
      <c r="BY9" s="64"/>
      <c r="CA9" s="39"/>
    </row>
    <row r="10" spans="1:79" ht="18.75" x14ac:dyDescent="0.3">
      <c r="A10" s="718"/>
      <c r="B10" s="719"/>
      <c r="C10" s="32"/>
      <c r="D10" s="32"/>
      <c r="E10" s="32"/>
      <c r="F10" s="32"/>
      <c r="G10" s="32"/>
      <c r="H10" s="32"/>
      <c r="I10" s="41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V10" s="32"/>
      <c r="W10" s="32"/>
      <c r="X10" s="32"/>
      <c r="AB10" s="32"/>
      <c r="AC10" s="32"/>
      <c r="AD10" s="32"/>
      <c r="AE10" s="32"/>
      <c r="AF10" s="32"/>
      <c r="AG10" s="32"/>
      <c r="AH10" s="32"/>
      <c r="AN10" s="39"/>
      <c r="AS10" s="55"/>
      <c r="AT10" s="115"/>
      <c r="AU10" s="657"/>
      <c r="AV10" s="657"/>
      <c r="AW10" s="115"/>
      <c r="AX10" s="44"/>
      <c r="AY10" s="118"/>
      <c r="AZ10" s="657"/>
      <c r="BA10" s="657"/>
      <c r="BB10" s="118"/>
      <c r="BC10" s="57"/>
      <c r="BE10" s="32"/>
      <c r="BF10" s="294"/>
      <c r="BG10" s="678"/>
      <c r="BK10" s="688"/>
      <c r="BL10" s="688"/>
      <c r="BN10" s="32"/>
      <c r="BO10" s="32"/>
      <c r="BP10" s="680"/>
      <c r="BQ10" s="680"/>
      <c r="BU10" s="32"/>
      <c r="BV10" s="64"/>
      <c r="BW10" s="66" t="s">
        <v>181</v>
      </c>
      <c r="BX10" s="66" t="s">
        <v>181</v>
      </c>
      <c r="BY10" s="66" t="s">
        <v>181</v>
      </c>
      <c r="BZ10" s="64"/>
      <c r="CA10" s="39"/>
    </row>
    <row r="11" spans="1:79" ht="18.75" x14ac:dyDescent="0.3">
      <c r="A11" s="718"/>
      <c r="B11" s="719"/>
      <c r="C11" s="32"/>
      <c r="D11" s="32"/>
      <c r="E11" s="32"/>
      <c r="F11" s="32"/>
      <c r="G11" s="32"/>
      <c r="H11" s="32"/>
      <c r="I11" s="41"/>
      <c r="J11" s="32"/>
      <c r="K11" s="32"/>
      <c r="L11" s="32"/>
      <c r="M11" s="32"/>
      <c r="N11" s="32"/>
      <c r="P11" s="32"/>
      <c r="Q11" s="32"/>
      <c r="R11" s="32"/>
      <c r="S11" s="32"/>
      <c r="V11" s="32"/>
      <c r="W11" s="32"/>
      <c r="Y11" s="674"/>
      <c r="Z11" s="674"/>
      <c r="AB11" s="32"/>
      <c r="AC11" s="32"/>
      <c r="AD11" s="32"/>
      <c r="AG11" s="32"/>
      <c r="AM11" s="57"/>
      <c r="AN11" s="39"/>
      <c r="AS11" s="55"/>
      <c r="AT11" s="115"/>
      <c r="AU11" s="657"/>
      <c r="AV11" s="657"/>
      <c r="AW11" s="115"/>
      <c r="AX11" s="44"/>
      <c r="AY11" s="118"/>
      <c r="AZ11" s="657"/>
      <c r="BA11" s="657"/>
      <c r="BB11" s="118"/>
      <c r="BC11" s="57"/>
      <c r="BE11" s="32"/>
      <c r="BF11" s="294"/>
      <c r="BG11" s="294"/>
      <c r="BK11" s="688"/>
      <c r="BL11" s="688"/>
      <c r="BN11" s="32"/>
      <c r="BO11" s="32"/>
      <c r="BP11" s="680"/>
      <c r="BQ11" s="680"/>
      <c r="BT11" s="32"/>
      <c r="BU11" s="32"/>
      <c r="BV11" s="66"/>
      <c r="BW11" s="3">
        <v>50</v>
      </c>
      <c r="BX11" s="3">
        <v>50</v>
      </c>
      <c r="BY11" s="3">
        <v>50</v>
      </c>
      <c r="BZ11" s="66"/>
      <c r="CA11" s="39"/>
    </row>
    <row r="12" spans="1:79" ht="18.75" x14ac:dyDescent="0.3">
      <c r="A12" s="718"/>
      <c r="B12" s="719"/>
      <c r="C12" s="32"/>
      <c r="D12" s="32"/>
      <c r="E12" s="32"/>
      <c r="F12" s="32"/>
      <c r="G12" s="32"/>
      <c r="H12" s="32"/>
      <c r="I12" s="41"/>
      <c r="J12" s="32"/>
      <c r="K12" s="32"/>
      <c r="L12" s="32"/>
      <c r="P12" s="32"/>
      <c r="Q12" s="32"/>
      <c r="R12" s="661"/>
      <c r="S12" s="661"/>
      <c r="U12" s="32"/>
      <c r="V12" s="32"/>
      <c r="W12" s="32"/>
      <c r="Y12" s="674"/>
      <c r="Z12" s="674"/>
      <c r="AB12" s="32"/>
      <c r="AC12" s="32"/>
      <c r="AD12" s="32"/>
      <c r="AE12" s="661"/>
      <c r="AF12" s="661"/>
      <c r="AG12" s="32"/>
      <c r="AJ12" s="661"/>
      <c r="AK12" s="661"/>
      <c r="AM12" s="57"/>
      <c r="AN12" s="39"/>
      <c r="AU12" s="32"/>
      <c r="AV12" s="32"/>
      <c r="AZ12" s="118"/>
      <c r="BA12" s="118"/>
      <c r="BE12" s="32"/>
      <c r="BN12" s="32"/>
      <c r="BP12" s="681"/>
      <c r="BQ12" s="681"/>
      <c r="BT12" s="32"/>
      <c r="BU12" s="32"/>
      <c r="BV12" s="66"/>
      <c r="BW12" s="3">
        <v>50</v>
      </c>
      <c r="BX12" s="3">
        <v>50</v>
      </c>
      <c r="BY12" s="3">
        <v>50</v>
      </c>
      <c r="BZ12" s="66"/>
      <c r="CA12" s="39"/>
    </row>
    <row r="13" spans="1:79" ht="18.75" x14ac:dyDescent="0.3">
      <c r="A13" s="720"/>
      <c r="B13" s="721"/>
      <c r="C13" s="32"/>
      <c r="D13" s="32"/>
      <c r="E13" s="32"/>
      <c r="F13" s="32"/>
      <c r="G13" s="32"/>
      <c r="H13" s="32"/>
      <c r="I13" s="41"/>
      <c r="J13" s="32"/>
      <c r="K13" s="32"/>
      <c r="L13" s="32"/>
      <c r="P13" s="32"/>
      <c r="Q13" s="32"/>
      <c r="R13" s="661"/>
      <c r="S13" s="661"/>
      <c r="U13" s="71"/>
      <c r="V13" s="32"/>
      <c r="W13" s="32"/>
      <c r="Y13" s="674"/>
      <c r="Z13" s="674"/>
      <c r="AB13" s="32"/>
      <c r="AC13" s="32"/>
      <c r="AD13" s="32"/>
      <c r="AE13" s="661"/>
      <c r="AF13" s="661"/>
      <c r="AG13" s="32"/>
      <c r="AJ13" s="661"/>
      <c r="AK13" s="661"/>
      <c r="AN13" s="39"/>
      <c r="AS13" s="44"/>
      <c r="AT13" s="32"/>
      <c r="AU13" s="681"/>
      <c r="AV13" s="682"/>
      <c r="BE13" s="32"/>
      <c r="BN13" s="32"/>
      <c r="BO13" s="32"/>
      <c r="BT13" s="32"/>
      <c r="BU13" s="32"/>
      <c r="BV13" s="64"/>
      <c r="BW13" s="66" t="s">
        <v>181</v>
      </c>
      <c r="BX13" s="66" t="s">
        <v>181</v>
      </c>
      <c r="BY13" s="66" t="s">
        <v>181</v>
      </c>
      <c r="BZ13" s="64"/>
      <c r="CA13" s="39"/>
    </row>
    <row r="14" spans="1:79" ht="15.75" x14ac:dyDescent="0.25">
      <c r="A14" s="40"/>
      <c r="B14" s="32"/>
      <c r="C14" s="32"/>
      <c r="D14" s="32"/>
      <c r="E14" s="32"/>
      <c r="F14" s="32"/>
      <c r="G14" s="32"/>
      <c r="H14" s="32"/>
      <c r="I14" s="76"/>
      <c r="K14" s="32"/>
      <c r="L14" s="32"/>
      <c r="P14" s="32"/>
      <c r="Q14" s="32"/>
      <c r="R14" s="661"/>
      <c r="S14" s="661"/>
      <c r="U14" s="32"/>
      <c r="V14" s="32"/>
      <c r="W14" s="32"/>
      <c r="Y14" s="692"/>
      <c r="Z14" s="692"/>
      <c r="AB14" s="32"/>
      <c r="AC14" s="32"/>
      <c r="AD14" s="32"/>
      <c r="AE14" s="32"/>
      <c r="AF14" s="32"/>
      <c r="AG14" s="32"/>
      <c r="AJ14" s="32"/>
      <c r="AK14" s="32"/>
      <c r="AN14" s="39"/>
      <c r="AS14" s="32"/>
      <c r="AT14" s="32"/>
      <c r="AU14" s="32"/>
      <c r="AV14" s="32"/>
      <c r="BF14" s="668"/>
      <c r="BG14" s="668"/>
      <c r="BK14" s="693"/>
      <c r="BL14" s="693"/>
      <c r="BN14" s="32"/>
      <c r="BO14" s="32"/>
      <c r="BT14" s="32"/>
      <c r="BU14" s="32"/>
      <c r="BW14" s="64"/>
      <c r="BX14" s="64"/>
      <c r="BY14" s="64"/>
      <c r="CA14" s="39"/>
    </row>
    <row r="15" spans="1:79" ht="18.75" x14ac:dyDescent="0.25">
      <c r="A15" s="77"/>
      <c r="B15" s="78"/>
      <c r="C15" s="78"/>
      <c r="D15" s="78"/>
      <c r="E15" s="78"/>
      <c r="F15" s="78"/>
      <c r="G15" s="78"/>
      <c r="H15" s="78"/>
      <c r="I15" s="79"/>
      <c r="K15" s="32"/>
      <c r="L15" s="32"/>
      <c r="P15" s="32"/>
      <c r="Q15" s="32"/>
      <c r="U15" s="32"/>
      <c r="V15" s="32"/>
      <c r="W15" s="32"/>
      <c r="AB15" s="32"/>
      <c r="AC15" s="32"/>
      <c r="AD15" s="32"/>
      <c r="AG15" s="32"/>
      <c r="AH15" s="32"/>
      <c r="AI15" s="32"/>
      <c r="AJ15" s="32"/>
      <c r="AK15" s="32"/>
      <c r="AM15" s="32"/>
      <c r="AN15" s="39"/>
      <c r="AR15" s="115"/>
      <c r="AS15" s="32"/>
      <c r="AT15" s="32"/>
      <c r="AY15" s="42"/>
      <c r="AZ15" s="32"/>
      <c r="BA15" s="32"/>
      <c r="BB15" s="63"/>
      <c r="BF15" s="174"/>
      <c r="BG15" s="174"/>
      <c r="BH15" s="63"/>
      <c r="BK15" s="32"/>
      <c r="BL15" s="32"/>
      <c r="BN15" s="32"/>
      <c r="BO15" s="32"/>
      <c r="BP15" s="676"/>
      <c r="BQ15" s="676"/>
      <c r="BT15" s="32"/>
      <c r="BU15" s="32"/>
      <c r="BV15" s="84"/>
      <c r="BW15" s="84"/>
      <c r="BX15" s="84"/>
      <c r="BY15" s="84"/>
      <c r="BZ15" s="32"/>
      <c r="CA15" s="39"/>
    </row>
    <row r="16" spans="1:79" ht="18.75" x14ac:dyDescent="0.25">
      <c r="A16" s="85"/>
      <c r="B16" s="32"/>
      <c r="C16" s="32"/>
      <c r="D16" s="32"/>
      <c r="E16" s="32"/>
      <c r="F16" s="32"/>
      <c r="G16" s="32"/>
      <c r="K16" s="32"/>
      <c r="L16" s="32"/>
      <c r="M16" s="32"/>
      <c r="N16" s="32"/>
      <c r="P16" s="32"/>
      <c r="Q16" s="32"/>
      <c r="U16" s="32"/>
      <c r="V16" s="32"/>
      <c r="W16" s="32"/>
      <c r="X16" s="32"/>
      <c r="Y16" s="725"/>
      <c r="Z16" s="725"/>
      <c r="AA16" s="32"/>
      <c r="AB16" s="32"/>
      <c r="AC16" s="32"/>
      <c r="AD16" s="32"/>
      <c r="AG16" s="32"/>
      <c r="AH16" s="32"/>
      <c r="AI16" s="32"/>
      <c r="AM16" s="32"/>
      <c r="AN16" s="39"/>
      <c r="AR16" s="657"/>
      <c r="AS16" s="32"/>
      <c r="AT16" s="32"/>
      <c r="AU16" s="216"/>
      <c r="AV16" s="216"/>
      <c r="AY16" s="115"/>
      <c r="AZ16" s="657"/>
      <c r="BA16" s="657"/>
      <c r="BB16" s="115"/>
      <c r="BC16" s="58"/>
      <c r="BE16" s="85"/>
      <c r="BF16" s="657"/>
      <c r="BG16" s="657"/>
      <c r="BH16" s="85"/>
      <c r="BJ16" s="115"/>
      <c r="BK16" s="657"/>
      <c r="BL16" s="657"/>
      <c r="BM16" s="115"/>
      <c r="BN16" s="32"/>
      <c r="BO16" s="32"/>
      <c r="BP16" s="676"/>
      <c r="BQ16" s="676"/>
      <c r="BT16" s="32"/>
      <c r="BV16" s="63" t="s">
        <v>193</v>
      </c>
      <c r="BW16" s="64"/>
      <c r="BX16" s="64"/>
      <c r="BY16" s="64"/>
      <c r="BZ16" s="32"/>
      <c r="CA16" s="39"/>
    </row>
    <row r="17" spans="1:80" ht="21" x14ac:dyDescent="0.25">
      <c r="A17" s="653"/>
      <c r="B17" s="85"/>
      <c r="C17" s="85"/>
      <c r="D17" s="32"/>
      <c r="E17" s="32"/>
      <c r="F17" s="32"/>
      <c r="G17" s="32"/>
      <c r="K17" s="32"/>
      <c r="L17" s="32"/>
      <c r="M17" s="32"/>
      <c r="N17" s="32"/>
      <c r="O17" s="32"/>
      <c r="P17" s="32"/>
      <c r="Q17" s="32"/>
      <c r="R17" s="32"/>
      <c r="S17" s="32"/>
      <c r="U17" s="32"/>
      <c r="V17" s="32"/>
      <c r="W17" s="32"/>
      <c r="X17" s="32"/>
      <c r="Y17" s="670"/>
      <c r="Z17" s="670"/>
      <c r="AA17" s="32"/>
      <c r="AB17" s="32"/>
      <c r="AC17" s="32"/>
      <c r="AD17" s="32"/>
      <c r="AG17" s="32"/>
      <c r="AH17" s="32"/>
      <c r="AI17" s="90"/>
      <c r="AJ17" s="725"/>
      <c r="AK17" s="725"/>
      <c r="AL17" s="55"/>
      <c r="AM17" s="32"/>
      <c r="AN17" s="39"/>
      <c r="AR17" s="657"/>
      <c r="AS17" s="32"/>
      <c r="AT17" s="32"/>
      <c r="AU17" s="216"/>
      <c r="AV17" s="216"/>
      <c r="AY17" s="115"/>
      <c r="AZ17" s="657"/>
      <c r="BA17" s="657"/>
      <c r="BB17" s="115"/>
      <c r="BC17" s="58"/>
      <c r="BE17" s="85"/>
      <c r="BF17" s="657"/>
      <c r="BG17" s="657"/>
      <c r="BH17" s="85"/>
      <c r="BJ17" s="115"/>
      <c r="BK17" s="657"/>
      <c r="BL17" s="657"/>
      <c r="BM17" s="115"/>
      <c r="BN17" s="32"/>
      <c r="BO17" s="32"/>
      <c r="BP17" s="676"/>
      <c r="BQ17" s="676"/>
      <c r="BT17" s="32"/>
      <c r="BV17" s="64"/>
      <c r="BW17" s="91" t="s">
        <v>181</v>
      </c>
      <c r="BX17" s="91" t="s">
        <v>181</v>
      </c>
      <c r="BY17" s="92"/>
      <c r="BZ17" s="53" t="s">
        <v>195</v>
      </c>
      <c r="CA17" s="39"/>
    </row>
    <row r="18" spans="1:80" ht="21" x14ac:dyDescent="0.25">
      <c r="A18" s="653"/>
      <c r="B18" s="32"/>
      <c r="C18" s="32"/>
      <c r="D18" s="32"/>
      <c r="E18" s="32"/>
      <c r="F18" s="32"/>
      <c r="G18" s="32"/>
      <c r="K18" s="32"/>
      <c r="L18" s="32"/>
      <c r="O18" s="32"/>
      <c r="P18" s="44"/>
      <c r="Q18" s="44"/>
      <c r="R18" s="659"/>
      <c r="S18" s="659"/>
      <c r="U18" s="32"/>
      <c r="V18" s="32"/>
      <c r="W18" s="55"/>
      <c r="X18" s="670"/>
      <c r="Y18" s="657"/>
      <c r="Z18" s="657"/>
      <c r="AA18" s="670"/>
      <c r="AB18" s="57"/>
      <c r="AC18" s="32"/>
      <c r="AD18" s="32"/>
      <c r="AE18" s="675"/>
      <c r="AF18" s="675"/>
      <c r="AG18" s="32"/>
      <c r="AH18" s="32"/>
      <c r="AI18" s="42"/>
      <c r="AJ18" s="115"/>
      <c r="AK18" s="115"/>
      <c r="AM18" s="32"/>
      <c r="AN18" s="39"/>
      <c r="AO18" s="32"/>
      <c r="AP18" s="32"/>
      <c r="AR18" s="115"/>
      <c r="AS18" s="32"/>
      <c r="AT18" s="32"/>
      <c r="AU18" s="216"/>
      <c r="AV18" s="216"/>
      <c r="AY18" s="115"/>
      <c r="AZ18" s="657"/>
      <c r="BA18" s="657"/>
      <c r="BB18" s="115"/>
      <c r="BC18" s="58"/>
      <c r="BE18" s="85"/>
      <c r="BF18" s="657"/>
      <c r="BG18" s="657"/>
      <c r="BH18" s="85"/>
      <c r="BJ18" s="115"/>
      <c r="BK18" s="657"/>
      <c r="BL18" s="657"/>
      <c r="BM18" s="115"/>
      <c r="BN18" s="32"/>
      <c r="BP18" s="681"/>
      <c r="BQ18" s="681"/>
      <c r="BS18" s="32"/>
      <c r="BT18" s="32"/>
      <c r="BV18" s="92"/>
      <c r="BW18" s="3">
        <v>50</v>
      </c>
      <c r="BX18" s="3">
        <v>50</v>
      </c>
      <c r="BY18" s="10">
        <v>100</v>
      </c>
      <c r="BZ18" s="92"/>
      <c r="CA18" s="39"/>
    </row>
    <row r="19" spans="1:80" ht="21.75" thickBot="1" x14ac:dyDescent="0.3">
      <c r="A19" s="653"/>
      <c r="B19" s="654"/>
      <c r="C19" s="654"/>
      <c r="D19" s="655"/>
      <c r="E19" s="32"/>
      <c r="F19" s="32"/>
      <c r="G19" s="32"/>
      <c r="I19" s="740"/>
      <c r="J19" s="740"/>
      <c r="R19" s="659"/>
      <c r="S19" s="659"/>
      <c r="U19" s="32"/>
      <c r="V19" s="32"/>
      <c r="W19" s="55"/>
      <c r="X19" s="670"/>
      <c r="Y19" s="657"/>
      <c r="Z19" s="657"/>
      <c r="AA19" s="670"/>
      <c r="AB19" s="57"/>
      <c r="AC19" s="32"/>
      <c r="AD19" s="32"/>
      <c r="AE19" s="676"/>
      <c r="AF19" s="676"/>
      <c r="AG19" s="32"/>
      <c r="AH19" s="55"/>
      <c r="AI19" s="115"/>
      <c r="AJ19" s="657"/>
      <c r="AK19" s="657"/>
      <c r="AL19" s="115"/>
      <c r="AM19" s="57"/>
      <c r="AN19" s="39"/>
      <c r="AO19" s="32"/>
      <c r="AP19" s="32"/>
      <c r="AQ19" s="32"/>
      <c r="AR19" s="32"/>
      <c r="AS19" s="32"/>
      <c r="AT19" s="32"/>
      <c r="AU19" s="32"/>
      <c r="AV19" s="32"/>
      <c r="AY19" s="32"/>
      <c r="AZ19" s="32"/>
      <c r="BA19" s="32"/>
      <c r="BB19" s="32"/>
      <c r="BC19" s="58"/>
      <c r="BF19" s="174"/>
      <c r="BG19" s="174"/>
      <c r="BK19" s="32"/>
      <c r="BL19" s="32"/>
      <c r="BN19" s="32"/>
      <c r="BO19" s="32"/>
      <c r="BS19" s="32"/>
      <c r="BT19" s="32"/>
      <c r="BV19" s="92"/>
      <c r="BW19" s="3">
        <v>50</v>
      </c>
      <c r="BX19" s="10">
        <v>100</v>
      </c>
      <c r="BY19" s="3">
        <v>50</v>
      </c>
      <c r="BZ19" s="92"/>
      <c r="CA19" s="39"/>
    </row>
    <row r="20" spans="1:80" ht="21" x14ac:dyDescent="0.25">
      <c r="A20" s="85"/>
      <c r="B20" s="85"/>
      <c r="C20" s="32"/>
      <c r="D20" s="85"/>
      <c r="E20" s="32"/>
      <c r="F20" s="32"/>
      <c r="G20" s="32"/>
      <c r="I20" s="660"/>
      <c r="J20" s="660"/>
      <c r="R20" s="659"/>
      <c r="S20" s="659"/>
      <c r="U20" s="32"/>
      <c r="V20" s="32"/>
      <c r="W20" s="55"/>
      <c r="X20" s="670"/>
      <c r="Y20" s="657"/>
      <c r="Z20" s="657"/>
      <c r="AA20" s="670"/>
      <c r="AB20" s="57"/>
      <c r="AC20" s="32"/>
      <c r="AD20" s="32"/>
      <c r="AE20" s="676"/>
      <c r="AF20" s="676"/>
      <c r="AG20" s="32"/>
      <c r="AH20" s="55"/>
      <c r="AI20" s="115"/>
      <c r="AJ20" s="657"/>
      <c r="AK20" s="657"/>
      <c r="AL20" s="115"/>
      <c r="AM20" s="57"/>
      <c r="AN20" s="741" t="s">
        <v>202</v>
      </c>
      <c r="AO20" s="32"/>
      <c r="AQ20" s="683"/>
      <c r="AT20" s="32"/>
      <c r="AU20" s="32"/>
      <c r="AV20" s="32"/>
      <c r="AW20" s="32"/>
      <c r="BC20" s="32"/>
      <c r="BT20" s="32"/>
      <c r="BV20" s="64"/>
      <c r="BW20" s="91" t="s">
        <v>181</v>
      </c>
      <c r="BX20" s="92"/>
      <c r="BY20" s="91" t="s">
        <v>181</v>
      </c>
      <c r="BZ20" s="64"/>
      <c r="CA20" s="39"/>
    </row>
    <row r="21" spans="1:80" ht="21" x14ac:dyDescent="0.25">
      <c r="B21" s="85"/>
      <c r="C21" s="32"/>
      <c r="D21" s="85"/>
      <c r="E21" s="32"/>
      <c r="F21" s="32"/>
      <c r="G21" s="32"/>
      <c r="I21" s="32"/>
      <c r="J21" s="32"/>
      <c r="L21" s="32"/>
      <c r="M21" s="659"/>
      <c r="N21" s="659"/>
      <c r="O21" s="32"/>
      <c r="P21" s="44"/>
      <c r="Q21" s="44"/>
      <c r="R21" s="659"/>
      <c r="S21" s="659"/>
      <c r="W21" s="55"/>
      <c r="X21" s="670"/>
      <c r="Y21" s="657"/>
      <c r="Z21" s="657"/>
      <c r="AA21" s="670"/>
      <c r="AB21" s="57"/>
      <c r="AC21" s="32"/>
      <c r="AD21" s="32"/>
      <c r="AE21" s="676"/>
      <c r="AF21" s="676"/>
      <c r="AG21" s="32"/>
      <c r="AH21" s="32"/>
      <c r="AI21" s="32"/>
      <c r="AJ21" s="115"/>
      <c r="AK21" s="115"/>
      <c r="AL21" s="32"/>
      <c r="AM21" s="57"/>
      <c r="AN21" s="742"/>
      <c r="AO21" s="32"/>
      <c r="AQ21" s="683"/>
      <c r="AT21" s="32"/>
      <c r="AU21" s="32"/>
      <c r="AV21" s="32"/>
      <c r="AX21" s="32"/>
      <c r="AY21" s="32"/>
      <c r="AZ21" s="32"/>
      <c r="BA21" s="32"/>
      <c r="BB21" s="32"/>
      <c r="BC21" s="32"/>
      <c r="BI21" s="102"/>
      <c r="BO21" s="32"/>
      <c r="BP21" s="725"/>
      <c r="BQ21" s="725"/>
      <c r="BR21" s="32"/>
      <c r="BS21" s="32"/>
      <c r="BV21" s="32"/>
      <c r="BW21" s="64"/>
      <c r="BX21" s="64"/>
      <c r="BY21" s="64"/>
      <c r="BZ21" s="32"/>
      <c r="CA21" s="39"/>
    </row>
    <row r="22" spans="1:80" ht="21" x14ac:dyDescent="0.3">
      <c r="A22" s="85"/>
      <c r="B22" s="653"/>
      <c r="C22" s="85"/>
      <c r="D22" s="653"/>
      <c r="E22" s="85"/>
      <c r="F22" s="32"/>
      <c r="G22" s="32"/>
      <c r="I22" s="660"/>
      <c r="J22" s="660"/>
      <c r="L22" s="32"/>
      <c r="M22" s="659"/>
      <c r="N22" s="659"/>
      <c r="P22" s="32"/>
      <c r="W22" s="32"/>
      <c r="X22" s="32"/>
      <c r="Y22" s="670"/>
      <c r="Z22" s="670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742"/>
      <c r="AO22" s="32"/>
      <c r="AQ22" s="684"/>
      <c r="AT22" s="32"/>
      <c r="AU22" s="32"/>
      <c r="AV22" s="32"/>
      <c r="AX22" s="32"/>
      <c r="AY22" s="47"/>
      <c r="AZ22" s="668"/>
      <c r="BA22" s="104"/>
      <c r="BB22" s="32"/>
      <c r="BC22" s="32"/>
      <c r="BF22" s="668"/>
      <c r="BG22" s="689"/>
      <c r="BK22" s="690"/>
      <c r="BL22" s="690"/>
      <c r="BO22" s="42"/>
      <c r="BP22" s="670"/>
      <c r="BQ22" s="670"/>
      <c r="BR22" s="63"/>
      <c r="BS22" s="32"/>
      <c r="BV22" s="63" t="s">
        <v>174</v>
      </c>
      <c r="BW22" s="108"/>
      <c r="BX22" s="108"/>
      <c r="BY22" s="108"/>
      <c r="BZ22" s="53" t="s">
        <v>208</v>
      </c>
      <c r="CA22" s="39"/>
    </row>
    <row r="23" spans="1:80" ht="21" x14ac:dyDescent="0.3">
      <c r="A23" s="729"/>
      <c r="B23" s="729"/>
      <c r="C23" s="729"/>
      <c r="D23" s="729"/>
      <c r="E23" s="729"/>
      <c r="F23" s="32"/>
      <c r="G23" s="32"/>
      <c r="H23" s="32"/>
      <c r="I23" s="32"/>
      <c r="J23" s="32"/>
      <c r="M23" s="659"/>
      <c r="N23" s="659"/>
      <c r="P23" s="32"/>
      <c r="V23" s="32"/>
      <c r="W23" s="32"/>
      <c r="X23" s="32"/>
      <c r="Y23" s="32"/>
      <c r="Z23" s="32"/>
      <c r="AA23" s="32"/>
      <c r="AB23" s="32"/>
      <c r="AC23" s="32"/>
      <c r="AD23" s="32"/>
      <c r="AG23" s="32"/>
      <c r="AM23" s="32"/>
      <c r="AN23" s="742"/>
      <c r="AO23" s="32"/>
      <c r="AR23" s="674"/>
      <c r="AT23" s="32"/>
      <c r="AU23" s="674"/>
      <c r="AV23" s="674"/>
      <c r="AX23" s="32"/>
      <c r="AY23" s="42"/>
      <c r="AZ23" s="115"/>
      <c r="BA23" s="115"/>
      <c r="BB23" s="63"/>
      <c r="BC23" s="32"/>
      <c r="BE23" s="42"/>
      <c r="BF23" s="691"/>
      <c r="BG23" s="691"/>
      <c r="BH23" s="63"/>
      <c r="BK23" s="676"/>
      <c r="BL23" s="676"/>
      <c r="BN23" s="55"/>
      <c r="BO23" s="670"/>
      <c r="BP23" s="657"/>
      <c r="BQ23" s="657"/>
      <c r="BR23" s="670"/>
      <c r="BS23" s="57"/>
      <c r="BU23" s="63"/>
      <c r="BV23" s="108"/>
      <c r="BW23" s="92"/>
      <c r="BX23" s="92"/>
      <c r="BY23" s="92"/>
      <c r="BZ23" s="108"/>
      <c r="CA23" s="32"/>
      <c r="CB23" s="111"/>
    </row>
    <row r="24" spans="1:80" ht="21" x14ac:dyDescent="0.3">
      <c r="A24" s="730" t="s">
        <v>213</v>
      </c>
      <c r="B24" s="717"/>
      <c r="C24" s="733" t="s">
        <v>214</v>
      </c>
      <c r="D24" s="734"/>
      <c r="E24" s="717"/>
      <c r="F24" s="32"/>
      <c r="G24" s="32"/>
      <c r="H24" s="32"/>
      <c r="I24" s="660"/>
      <c r="J24" s="660"/>
      <c r="V24" s="32"/>
      <c r="AE24" s="677"/>
      <c r="AF24" s="677"/>
      <c r="AI24" s="32"/>
      <c r="AJ24" s="32"/>
      <c r="AK24" s="32"/>
      <c r="AL24" s="32"/>
      <c r="AM24" s="32"/>
      <c r="AN24" s="742"/>
      <c r="AO24" s="32"/>
      <c r="AR24" s="674"/>
      <c r="AT24" s="32"/>
      <c r="AU24" s="674"/>
      <c r="AV24" s="674"/>
      <c r="AX24" s="55"/>
      <c r="AY24" s="115"/>
      <c r="AZ24" s="657"/>
      <c r="BA24" s="657"/>
      <c r="BB24" s="115"/>
      <c r="BC24" s="57"/>
      <c r="BD24" s="55"/>
      <c r="BE24" s="669"/>
      <c r="BF24" s="657"/>
      <c r="BG24" s="657"/>
      <c r="BH24" s="669"/>
      <c r="BI24" s="57"/>
      <c r="BK24" s="676"/>
      <c r="BL24" s="676"/>
      <c r="BN24" s="55"/>
      <c r="BO24" s="670"/>
      <c r="BP24" s="657"/>
      <c r="BQ24" s="657"/>
      <c r="BR24" s="670"/>
      <c r="BS24" s="57"/>
      <c r="BU24" s="108"/>
      <c r="BV24" s="92"/>
      <c r="BW24" s="10">
        <v>100</v>
      </c>
      <c r="BX24" s="10">
        <v>100</v>
      </c>
      <c r="BY24" s="10">
        <v>100</v>
      </c>
      <c r="BZ24" s="92"/>
      <c r="CA24" s="32"/>
      <c r="CB24" s="111"/>
    </row>
    <row r="25" spans="1:80" ht="21" x14ac:dyDescent="0.3">
      <c r="A25" s="731"/>
      <c r="B25" s="719"/>
      <c r="C25" s="727"/>
      <c r="D25" s="727"/>
      <c r="E25" s="719"/>
      <c r="F25" s="32"/>
      <c r="G25" s="32"/>
      <c r="H25" s="32"/>
      <c r="I25" s="32"/>
      <c r="J25" s="32"/>
      <c r="K25" s="32"/>
      <c r="M25" s="661"/>
      <c r="N25" s="661"/>
      <c r="O25" s="32"/>
      <c r="P25" s="32"/>
      <c r="Q25" s="32"/>
      <c r="R25" s="294"/>
      <c r="S25" s="294"/>
      <c r="T25" s="32"/>
      <c r="U25" s="32"/>
      <c r="V25" s="44"/>
      <c r="Y25" s="667"/>
      <c r="Z25" s="667"/>
      <c r="AC25" s="32"/>
      <c r="AD25" s="32"/>
      <c r="AE25" s="677"/>
      <c r="AF25" s="677"/>
      <c r="AG25" s="32"/>
      <c r="AH25" s="32"/>
      <c r="AI25" s="32"/>
      <c r="AJ25" s="32"/>
      <c r="AK25" s="32"/>
      <c r="AL25" s="32"/>
      <c r="AM25" s="32"/>
      <c r="AN25" s="742"/>
      <c r="AO25" s="32"/>
      <c r="AT25" s="32"/>
      <c r="AU25" s="674"/>
      <c r="AV25" s="674"/>
      <c r="AX25" s="55"/>
      <c r="AY25" s="115"/>
      <c r="AZ25" s="657"/>
      <c r="BA25" s="657"/>
      <c r="BB25" s="115"/>
      <c r="BC25" s="57"/>
      <c r="BD25" s="55"/>
      <c r="BE25" s="669"/>
      <c r="BF25" s="657"/>
      <c r="BG25" s="657"/>
      <c r="BH25" s="669"/>
      <c r="BI25" s="57"/>
      <c r="BK25" s="676"/>
      <c r="BL25" s="676"/>
      <c r="BN25" s="55"/>
      <c r="BO25" s="670"/>
      <c r="BP25" s="657"/>
      <c r="BQ25" s="657"/>
      <c r="BR25" s="670"/>
      <c r="BS25" s="57"/>
      <c r="BU25" s="108"/>
      <c r="BV25" s="92"/>
      <c r="BW25" s="10">
        <v>100</v>
      </c>
      <c r="BX25" s="10">
        <v>100</v>
      </c>
      <c r="BY25" s="10">
        <v>100</v>
      </c>
      <c r="BZ25" s="92"/>
      <c r="CA25" s="32"/>
      <c r="CB25" s="111"/>
    </row>
    <row r="26" spans="1:80" ht="21.75" thickBot="1" x14ac:dyDescent="0.35">
      <c r="A26" s="731"/>
      <c r="B26" s="719"/>
      <c r="C26" s="727"/>
      <c r="D26" s="727"/>
      <c r="E26" s="719"/>
      <c r="F26" s="32"/>
      <c r="G26" s="32"/>
      <c r="H26" s="32"/>
      <c r="I26" s="32"/>
      <c r="J26" s="32"/>
      <c r="K26" s="32"/>
      <c r="L26" s="32"/>
      <c r="M26" s="661"/>
      <c r="N26" s="661"/>
      <c r="R26" s="294"/>
      <c r="S26" s="294"/>
      <c r="Y26" s="667"/>
      <c r="Z26" s="667"/>
      <c r="AC26" s="32"/>
      <c r="AD26" s="32"/>
      <c r="AE26" s="677"/>
      <c r="AF26" s="677"/>
      <c r="AG26" s="32"/>
      <c r="AH26" s="32"/>
      <c r="AI26" s="32"/>
      <c r="AN26" s="743"/>
      <c r="AO26" s="32"/>
      <c r="AQ26" s="683"/>
      <c r="AT26" s="32"/>
      <c r="AU26" s="674"/>
      <c r="AV26" s="674"/>
      <c r="AX26" s="55"/>
      <c r="AY26" s="115"/>
      <c r="AZ26" s="657"/>
      <c r="BA26" s="657"/>
      <c r="BB26" s="115"/>
      <c r="BC26" s="57"/>
      <c r="BD26" s="55"/>
      <c r="BE26" s="669"/>
      <c r="BF26" s="657"/>
      <c r="BG26" s="657"/>
      <c r="BH26" s="669"/>
      <c r="BI26" s="57"/>
      <c r="BN26" s="55"/>
      <c r="BO26" s="670"/>
      <c r="BP26" s="657"/>
      <c r="BQ26" s="657"/>
      <c r="BR26" s="670"/>
      <c r="BS26" s="57"/>
      <c r="BU26" s="32"/>
      <c r="BV26" s="108"/>
      <c r="BW26" s="92"/>
      <c r="BX26" s="92"/>
      <c r="BY26" s="92"/>
      <c r="BZ26" s="108"/>
      <c r="CA26" s="32"/>
      <c r="CB26" s="111"/>
    </row>
    <row r="27" spans="1:80" ht="21.75" thickBot="1" x14ac:dyDescent="0.35">
      <c r="A27" s="731"/>
      <c r="B27" s="719"/>
      <c r="C27" s="727"/>
      <c r="D27" s="727"/>
      <c r="E27" s="719"/>
      <c r="F27" s="32"/>
      <c r="G27" s="115"/>
      <c r="H27" s="32"/>
      <c r="I27" s="32"/>
      <c r="J27" s="32"/>
      <c r="K27" s="32"/>
      <c r="L27" s="32"/>
      <c r="M27" s="661"/>
      <c r="N27" s="661"/>
      <c r="R27" s="294"/>
      <c r="S27" s="294"/>
      <c r="Y27" s="667"/>
      <c r="Z27" s="667"/>
      <c r="AC27" s="32"/>
      <c r="AD27" s="32"/>
      <c r="AE27" s="736"/>
      <c r="AF27" s="736"/>
      <c r="AG27" s="32"/>
      <c r="AH27" s="32"/>
      <c r="AI27" s="32"/>
      <c r="AN27" s="39"/>
      <c r="AO27" s="32"/>
      <c r="AT27" s="32"/>
      <c r="AX27" s="55"/>
      <c r="AY27" s="115"/>
      <c r="AZ27" s="657"/>
      <c r="BA27" s="657"/>
      <c r="BB27" s="115"/>
      <c r="BC27" s="57"/>
      <c r="BD27" s="55"/>
      <c r="BE27" s="669"/>
      <c r="BF27" s="657"/>
      <c r="BG27" s="657"/>
      <c r="BH27" s="669"/>
      <c r="BI27" s="57"/>
      <c r="BO27" s="116"/>
      <c r="BP27" s="670"/>
      <c r="BQ27" s="670"/>
      <c r="BR27" s="116"/>
      <c r="BS27" s="32"/>
      <c r="BV27" s="32"/>
      <c r="BW27" s="108"/>
      <c r="BX27" s="108"/>
      <c r="BY27" s="108"/>
      <c r="BZ27" s="32"/>
      <c r="CA27" s="39"/>
    </row>
    <row r="28" spans="1:80" ht="19.5" thickBot="1" x14ac:dyDescent="0.3">
      <c r="A28" s="731"/>
      <c r="B28" s="719"/>
      <c r="C28" s="727"/>
      <c r="D28" s="727"/>
      <c r="E28" s="719"/>
      <c r="F28" s="32"/>
      <c r="G28" s="55"/>
      <c r="H28" s="32"/>
      <c r="I28" s="32"/>
      <c r="J28" s="32"/>
      <c r="K28" s="32"/>
      <c r="L28" s="32"/>
      <c r="M28" s="32"/>
      <c r="N28" s="32"/>
      <c r="O28" s="32"/>
      <c r="P28" s="32"/>
      <c r="U28" s="32"/>
      <c r="AC28" s="32"/>
      <c r="AD28" s="32"/>
      <c r="AE28" s="32"/>
      <c r="AF28" s="32"/>
      <c r="AG28" s="32"/>
      <c r="AH28" s="32"/>
      <c r="AN28" s="39"/>
      <c r="AO28" s="32"/>
      <c r="AT28" s="32"/>
      <c r="AW28" s="32"/>
      <c r="AX28" s="32"/>
      <c r="AY28" s="32"/>
      <c r="AZ28" s="115"/>
      <c r="BA28" s="115"/>
      <c r="BB28" s="32"/>
      <c r="BC28" s="32"/>
      <c r="BF28" s="691"/>
      <c r="BG28" s="691"/>
      <c r="BJ28" s="737"/>
      <c r="BK28" s="737"/>
      <c r="BW28" s="744" t="s">
        <v>217</v>
      </c>
      <c r="BX28" s="744"/>
      <c r="BY28" s="745"/>
      <c r="CA28" s="39"/>
    </row>
    <row r="29" spans="1:80" ht="15.75" thickBot="1" x14ac:dyDescent="0.3">
      <c r="A29" s="731"/>
      <c r="B29" s="719"/>
      <c r="C29" s="727"/>
      <c r="D29" s="727"/>
      <c r="E29" s="719"/>
      <c r="F29" s="32"/>
      <c r="G29" s="55"/>
      <c r="H29" s="32"/>
      <c r="I29" s="32"/>
      <c r="J29" s="32"/>
      <c r="K29" s="32"/>
      <c r="L29" s="32"/>
      <c r="M29" s="737"/>
      <c r="N29" s="737"/>
      <c r="O29" s="32"/>
      <c r="P29" s="32"/>
      <c r="Q29" s="32"/>
      <c r="T29" s="32"/>
      <c r="U29" s="32"/>
      <c r="AC29" s="32"/>
      <c r="AD29" s="32"/>
      <c r="AE29" s="32"/>
      <c r="AF29" s="32"/>
      <c r="AG29" s="32"/>
      <c r="AH29" s="32"/>
      <c r="AN29" s="39"/>
      <c r="AO29" s="32"/>
      <c r="AT29" s="32"/>
      <c r="AW29" s="32"/>
      <c r="AX29" s="32"/>
      <c r="BC29" s="32"/>
      <c r="BJ29" s="738"/>
      <c r="BK29" s="738"/>
      <c r="BL29" s="32"/>
      <c r="BM29" s="32"/>
      <c r="BN29" s="32"/>
      <c r="BO29" s="32"/>
      <c r="BP29" s="32"/>
      <c r="BQ29" s="32"/>
      <c r="BR29" s="32"/>
      <c r="BS29" s="32"/>
      <c r="CA29" s="39"/>
    </row>
    <row r="30" spans="1:80" ht="21.75" thickBot="1" x14ac:dyDescent="0.3">
      <c r="A30" s="731"/>
      <c r="B30" s="719"/>
      <c r="C30" s="727"/>
      <c r="D30" s="727"/>
      <c r="E30" s="719"/>
      <c r="F30" s="32"/>
      <c r="G30" s="32"/>
      <c r="H30" s="32"/>
      <c r="K30" s="32"/>
      <c r="L30" s="32"/>
      <c r="M30" s="738"/>
      <c r="N30" s="738"/>
      <c r="O30" s="32"/>
      <c r="P30" s="32"/>
      <c r="Q30" s="42"/>
      <c r="T30" s="117"/>
      <c r="U30" s="32"/>
      <c r="AC30" s="32"/>
      <c r="AD30" s="32"/>
      <c r="AE30" s="32"/>
      <c r="AF30" s="32"/>
      <c r="AG30" s="32"/>
      <c r="AH30" s="32"/>
      <c r="AN30" s="39"/>
      <c r="AO30" s="32"/>
      <c r="AT30" s="32"/>
      <c r="AW30" s="32"/>
      <c r="BI30" s="32"/>
      <c r="BJ30" s="32"/>
      <c r="BK30" s="32"/>
      <c r="BL30" s="32"/>
      <c r="BM30" s="32"/>
      <c r="BN30" s="32"/>
      <c r="BO30" s="32"/>
      <c r="BP30" s="32"/>
      <c r="BQ30" s="32"/>
      <c r="BS30" s="32"/>
      <c r="BZ30" s="32"/>
      <c r="CA30" s="39"/>
    </row>
    <row r="31" spans="1:80" ht="18.75" x14ac:dyDescent="0.25">
      <c r="A31" s="731"/>
      <c r="B31" s="719"/>
      <c r="C31" s="735"/>
      <c r="D31" s="735"/>
      <c r="E31" s="721"/>
      <c r="F31" s="32"/>
      <c r="G31" s="32"/>
      <c r="H31" s="32"/>
      <c r="K31" s="32"/>
      <c r="M31" s="32"/>
      <c r="N31" s="32"/>
      <c r="O31" s="32"/>
      <c r="P31" s="32"/>
      <c r="Q31" s="118"/>
      <c r="T31" s="118"/>
      <c r="U31" s="32"/>
      <c r="AC31" s="32"/>
      <c r="AG31" s="32"/>
      <c r="AH31" s="32"/>
      <c r="AN31" s="39"/>
      <c r="AO31" s="32"/>
      <c r="AT31" s="32"/>
      <c r="AW31" s="32"/>
      <c r="BI31" s="32"/>
      <c r="BL31" s="32"/>
      <c r="BM31" s="32"/>
      <c r="BN31" s="32"/>
      <c r="BS31" s="32"/>
      <c r="BV31" s="119" t="s">
        <v>218</v>
      </c>
      <c r="BW31" s="120">
        <v>7</v>
      </c>
      <c r="BX31" s="120">
        <v>6</v>
      </c>
      <c r="BY31" s="120">
        <v>5</v>
      </c>
      <c r="BZ31" s="53" t="s">
        <v>208</v>
      </c>
      <c r="CA31" s="39"/>
    </row>
    <row r="32" spans="1:80" ht="21" x14ac:dyDescent="0.25">
      <c r="A32" s="731"/>
      <c r="B32" s="719"/>
      <c r="C32" s="32"/>
      <c r="D32" s="32"/>
      <c r="E32" s="32"/>
      <c r="F32" s="32"/>
      <c r="G32" s="32"/>
      <c r="H32" s="32"/>
      <c r="K32" s="32"/>
      <c r="L32" s="32"/>
      <c r="O32" s="32"/>
      <c r="P32" s="32"/>
      <c r="Q32" s="118"/>
      <c r="R32" s="118"/>
      <c r="S32" s="118"/>
      <c r="T32" s="32"/>
      <c r="U32" s="32"/>
      <c r="AC32" s="32"/>
      <c r="AG32" s="32"/>
      <c r="AH32" s="32"/>
      <c r="AN32" s="39"/>
      <c r="AO32" s="32"/>
      <c r="AT32" s="32"/>
      <c r="AU32" s="32"/>
      <c r="AV32" s="32"/>
      <c r="AW32" s="44"/>
      <c r="AZ32" s="115"/>
      <c r="BA32" s="115"/>
      <c r="BE32" s="670"/>
      <c r="BF32" s="670"/>
      <c r="BI32" s="63" t="s">
        <v>219</v>
      </c>
      <c r="BJ32" s="64"/>
      <c r="BK32" s="64"/>
      <c r="BM32" s="32"/>
      <c r="BO32" s="63" t="s">
        <v>187</v>
      </c>
      <c r="BP32" s="64"/>
      <c r="BQ32" s="64"/>
      <c r="BV32" s="121"/>
      <c r="BW32" s="92"/>
      <c r="BX32" s="92"/>
      <c r="BY32" s="92"/>
      <c r="BZ32" s="64"/>
      <c r="CA32" s="39"/>
    </row>
    <row r="33" spans="1:80" ht="21" x14ac:dyDescent="0.3">
      <c r="A33" s="731"/>
      <c r="B33" s="719"/>
      <c r="C33" s="32"/>
      <c r="D33" s="32"/>
      <c r="E33" s="32"/>
      <c r="F33" s="32"/>
      <c r="G33" s="32"/>
      <c r="H33" s="32"/>
      <c r="K33" s="32"/>
      <c r="Q33" s="118"/>
      <c r="R33" s="746"/>
      <c r="S33" s="746"/>
      <c r="AN33" s="39"/>
      <c r="AO33" s="667"/>
      <c r="AP33" s="667"/>
      <c r="AQ33" s="667"/>
      <c r="AR33" s="667"/>
      <c r="AS33" s="55"/>
      <c r="AT33" s="115"/>
      <c r="AU33" s="657"/>
      <c r="AV33" s="657"/>
      <c r="AW33" s="115"/>
      <c r="AX33" s="44"/>
      <c r="AY33" s="115"/>
      <c r="AZ33" s="657"/>
      <c r="BA33" s="657"/>
      <c r="BB33" s="115"/>
      <c r="BC33" s="44"/>
      <c r="BD33" s="670"/>
      <c r="BE33" s="657"/>
      <c r="BF33" s="657"/>
      <c r="BG33" s="670"/>
      <c r="BI33" s="121"/>
      <c r="BJ33" s="66"/>
      <c r="BK33" s="66"/>
      <c r="BL33" s="64"/>
      <c r="BM33" s="32"/>
      <c r="BO33" s="121"/>
      <c r="BP33" s="92"/>
      <c r="BQ33" s="92"/>
      <c r="BR33" s="64"/>
      <c r="BV33" s="92"/>
      <c r="BW33" s="10">
        <v>100</v>
      </c>
      <c r="BX33" s="10">
        <v>100</v>
      </c>
      <c r="BY33" s="10">
        <v>100</v>
      </c>
      <c r="BZ33" s="92"/>
      <c r="CA33" s="39"/>
    </row>
    <row r="34" spans="1:80" ht="21" x14ac:dyDescent="0.3">
      <c r="A34" s="731"/>
      <c r="B34" s="719"/>
      <c r="C34" s="32"/>
      <c r="D34" s="32"/>
      <c r="E34" s="32"/>
      <c r="F34" s="32"/>
      <c r="G34" s="32"/>
      <c r="H34" s="32"/>
      <c r="K34" s="32"/>
      <c r="Q34" s="118"/>
      <c r="R34" s="667"/>
      <c r="S34" s="667"/>
      <c r="Y34" s="661"/>
      <c r="Z34" s="661"/>
      <c r="AE34" s="739"/>
      <c r="AF34" s="739"/>
      <c r="AN34" s="39"/>
      <c r="AO34" s="667"/>
      <c r="AP34" s="667"/>
      <c r="AQ34" s="667"/>
      <c r="AR34" s="667"/>
      <c r="AS34" s="55"/>
      <c r="AT34" s="115"/>
      <c r="AU34" s="657"/>
      <c r="AV34" s="657"/>
      <c r="AW34" s="115"/>
      <c r="AX34" s="44"/>
      <c r="AY34" s="115"/>
      <c r="AZ34" s="657"/>
      <c r="BA34" s="657"/>
      <c r="BB34" s="115"/>
      <c r="BC34" s="44"/>
      <c r="BD34" s="670"/>
      <c r="BE34" s="657"/>
      <c r="BF34" s="657"/>
      <c r="BG34" s="670"/>
      <c r="BI34" s="66" t="s">
        <v>181</v>
      </c>
      <c r="BJ34" s="3">
        <v>50</v>
      </c>
      <c r="BK34" s="3">
        <v>50</v>
      </c>
      <c r="BL34" s="66" t="s">
        <v>181</v>
      </c>
      <c r="BM34" s="32"/>
      <c r="BN34" s="64"/>
      <c r="BO34" s="92"/>
      <c r="BP34" s="10">
        <v>100</v>
      </c>
      <c r="BQ34" s="10">
        <v>100</v>
      </c>
      <c r="BR34" s="92"/>
      <c r="BS34" s="64"/>
      <c r="BV34" s="92"/>
      <c r="BW34" s="10">
        <v>100</v>
      </c>
      <c r="BX34" s="10">
        <v>100</v>
      </c>
      <c r="BY34" s="10">
        <v>100</v>
      </c>
      <c r="BZ34" s="92"/>
      <c r="CA34" s="39"/>
    </row>
    <row r="35" spans="1:80" ht="21" x14ac:dyDescent="0.3">
      <c r="A35" s="732"/>
      <c r="B35" s="721"/>
      <c r="C35" s="32"/>
      <c r="D35" s="32"/>
      <c r="E35" s="32"/>
      <c r="F35" s="32"/>
      <c r="G35" s="32"/>
      <c r="H35" s="32"/>
      <c r="I35" s="216"/>
      <c r="J35" s="216"/>
      <c r="K35" s="32"/>
      <c r="M35" s="661"/>
      <c r="N35" s="661"/>
      <c r="R35" s="667"/>
      <c r="S35" s="667"/>
      <c r="Y35" s="661"/>
      <c r="Z35" s="661"/>
      <c r="AE35" s="660"/>
      <c r="AF35" s="660"/>
      <c r="AN35" s="39"/>
      <c r="AO35" s="32"/>
      <c r="AP35" s="32"/>
      <c r="AQ35" s="32"/>
      <c r="AR35" s="32"/>
      <c r="AS35" s="32"/>
      <c r="AT35" s="44"/>
      <c r="AU35" s="32"/>
      <c r="AV35" s="32"/>
      <c r="AW35" s="44"/>
      <c r="AZ35" s="115"/>
      <c r="BA35" s="115"/>
      <c r="BE35" s="670"/>
      <c r="BF35" s="670"/>
      <c r="BI35" s="66" t="s">
        <v>181</v>
      </c>
      <c r="BJ35" s="3">
        <v>50</v>
      </c>
      <c r="BK35" s="3">
        <v>50</v>
      </c>
      <c r="BL35" s="66" t="s">
        <v>181</v>
      </c>
      <c r="BM35" s="32"/>
      <c r="BN35" s="64"/>
      <c r="BO35" s="92"/>
      <c r="BP35" s="10">
        <v>100</v>
      </c>
      <c r="BQ35" s="10">
        <v>100</v>
      </c>
      <c r="BR35" s="92"/>
      <c r="BS35" s="64"/>
      <c r="BT35" s="32"/>
      <c r="BU35" s="32"/>
      <c r="BV35" s="64"/>
      <c r="BW35" s="92"/>
      <c r="BX35" s="92"/>
      <c r="BY35" s="92"/>
      <c r="BZ35" s="64"/>
      <c r="CA35" s="39"/>
    </row>
    <row r="36" spans="1:80" ht="18.75" x14ac:dyDescent="0.3">
      <c r="A36" s="125"/>
      <c r="B36" s="32"/>
      <c r="C36" s="32"/>
      <c r="D36" s="32"/>
      <c r="E36" s="32"/>
      <c r="F36" s="32"/>
      <c r="G36" s="32"/>
      <c r="H36" s="32"/>
      <c r="I36" s="216"/>
      <c r="J36" s="216"/>
      <c r="K36" s="32"/>
      <c r="M36" s="661"/>
      <c r="N36" s="661"/>
      <c r="R36" s="667"/>
      <c r="S36" s="667"/>
      <c r="Y36" s="661"/>
      <c r="Z36" s="661"/>
      <c r="AE36" s="660"/>
      <c r="AF36" s="660"/>
      <c r="AN36" s="39"/>
      <c r="AO36" s="32"/>
      <c r="AP36" s="32"/>
      <c r="AQ36" s="32"/>
      <c r="AR36" s="32"/>
      <c r="AS36" s="32"/>
      <c r="AT36" s="725"/>
      <c r="AU36" s="747"/>
      <c r="AV36" s="747"/>
      <c r="AW36" s="747"/>
      <c r="AY36" s="725"/>
      <c r="AZ36" s="747"/>
      <c r="BA36" s="747"/>
      <c r="BB36" s="747"/>
      <c r="BD36" s="725"/>
      <c r="BE36" s="725"/>
      <c r="BF36" s="725"/>
      <c r="BG36" s="725"/>
      <c r="BI36" s="64"/>
      <c r="BJ36" s="66"/>
      <c r="BK36" s="66"/>
      <c r="BL36" s="64"/>
      <c r="BM36" s="32"/>
      <c r="BN36" s="32"/>
      <c r="BO36" s="64"/>
      <c r="BP36" s="92"/>
      <c r="BQ36" s="92"/>
      <c r="BR36" s="64"/>
      <c r="BS36" s="32"/>
      <c r="BT36" s="32"/>
      <c r="BU36" s="32"/>
      <c r="BW36" s="120">
        <v>2</v>
      </c>
      <c r="BX36" s="120">
        <v>3</v>
      </c>
      <c r="BY36" s="120">
        <v>4</v>
      </c>
      <c r="CA36" s="39"/>
    </row>
    <row r="37" spans="1:80" ht="15.75" x14ac:dyDescent="0.25">
      <c r="A37" s="125"/>
      <c r="B37" s="32"/>
      <c r="C37" s="32"/>
      <c r="D37" s="32"/>
      <c r="E37" s="32"/>
      <c r="F37" s="32"/>
      <c r="G37" s="32"/>
      <c r="H37" s="32"/>
      <c r="I37" s="216"/>
      <c r="J37" s="216"/>
      <c r="K37" s="32"/>
      <c r="AN37" s="39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64"/>
      <c r="BK37" s="64"/>
      <c r="BL37" s="32"/>
      <c r="BM37" s="32"/>
      <c r="BN37" s="32"/>
      <c r="BO37" s="32"/>
      <c r="BP37" s="64"/>
      <c r="BQ37" s="64"/>
      <c r="BR37" s="32"/>
      <c r="BS37" s="32"/>
      <c r="BT37" s="32"/>
      <c r="BU37" s="32"/>
      <c r="BV37" s="32"/>
      <c r="BW37" s="32"/>
      <c r="BX37" s="32"/>
      <c r="BY37" s="32"/>
      <c r="BZ37" s="32"/>
      <c r="CA37" s="39"/>
    </row>
    <row r="38" spans="1:80" x14ac:dyDescent="0.25">
      <c r="A38" s="125"/>
      <c r="B38" s="32"/>
      <c r="C38" s="32"/>
      <c r="D38" s="32"/>
      <c r="E38" s="32"/>
      <c r="F38" s="32"/>
      <c r="G38" s="32"/>
      <c r="H38" s="32"/>
      <c r="K38" s="32"/>
      <c r="AN38" s="39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9"/>
    </row>
    <row r="39" spans="1:80" ht="18.75" x14ac:dyDescent="0.25">
      <c r="A39" s="125"/>
      <c r="B39" s="32"/>
      <c r="C39" s="32"/>
      <c r="D39" s="32"/>
      <c r="E39" s="32"/>
      <c r="F39" s="32"/>
      <c r="G39" s="32"/>
      <c r="H39" s="32"/>
      <c r="K39" s="32"/>
      <c r="M39" s="748"/>
      <c r="N39" s="748"/>
      <c r="Q39" s="32"/>
      <c r="R39" s="668"/>
      <c r="S39" s="104"/>
      <c r="U39" s="126"/>
      <c r="W39" s="32"/>
      <c r="X39" s="32"/>
      <c r="Y39" s="668"/>
      <c r="Z39" s="668"/>
      <c r="AA39" s="32"/>
      <c r="AB39" s="32"/>
      <c r="AN39" s="39"/>
      <c r="AO39" s="32"/>
      <c r="AP39" s="32"/>
      <c r="AQ39" s="32"/>
      <c r="AR39" s="32"/>
      <c r="AS39" s="32"/>
      <c r="AT39" s="32"/>
      <c r="AX39" s="722"/>
      <c r="AY39" s="722"/>
      <c r="AZ39" s="722"/>
      <c r="BA39" s="722"/>
      <c r="BB39" s="722"/>
      <c r="BC39" s="32"/>
      <c r="BD39" s="32"/>
      <c r="BE39" s="722"/>
      <c r="BF39" s="722"/>
      <c r="BG39" s="722"/>
      <c r="BH39" s="722"/>
      <c r="BI39" s="72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9"/>
    </row>
    <row r="40" spans="1:80" ht="21" x14ac:dyDescent="0.25">
      <c r="A40" s="125"/>
      <c r="H40" s="32"/>
      <c r="K40" s="32"/>
      <c r="M40" s="115"/>
      <c r="N40" s="115"/>
      <c r="O40" s="42"/>
      <c r="P40" s="32"/>
      <c r="Q40" s="42"/>
      <c r="R40" s="669"/>
      <c r="S40" s="669"/>
      <c r="T40" s="63"/>
      <c r="U40" s="127"/>
      <c r="W40" s="32"/>
      <c r="X40" s="42"/>
      <c r="Y40" s="670"/>
      <c r="Z40" s="670"/>
      <c r="AA40" s="63"/>
      <c r="AB40" s="32"/>
      <c r="AN40" s="39"/>
      <c r="AO40" s="32"/>
      <c r="AP40" s="32"/>
      <c r="AQ40" s="32"/>
      <c r="AR40" s="32"/>
      <c r="AS40" s="32"/>
      <c r="AU40" s="32"/>
      <c r="AX40" s="44"/>
      <c r="AZ40" s="44"/>
      <c r="BB40" s="44"/>
      <c r="BD40" s="32"/>
      <c r="BE40" s="32"/>
      <c r="BF40" s="32"/>
      <c r="BG40" s="32"/>
      <c r="BH40" s="32"/>
      <c r="BI40" s="32"/>
      <c r="BN40" s="32"/>
      <c r="BP40" s="32"/>
      <c r="BQ40" s="32"/>
      <c r="BR40" s="32"/>
      <c r="BS40" s="32"/>
      <c r="BT40" s="32"/>
      <c r="BU40" s="32"/>
      <c r="BV40" s="32"/>
      <c r="BW40" s="119" t="s">
        <v>206</v>
      </c>
      <c r="BX40" s="128">
        <v>4</v>
      </c>
      <c r="BY40" s="128">
        <v>3</v>
      </c>
      <c r="BZ40" s="128">
        <v>2</v>
      </c>
      <c r="CA40" s="129">
        <v>1</v>
      </c>
    </row>
    <row r="41" spans="1:80" ht="23.25" x14ac:dyDescent="0.25">
      <c r="A41" s="125"/>
      <c r="E41" s="32"/>
      <c r="F41" s="32"/>
      <c r="G41" s="32"/>
      <c r="H41" s="32"/>
      <c r="I41" s="662"/>
      <c r="J41" s="662"/>
      <c r="K41" s="32"/>
      <c r="L41" s="115"/>
      <c r="M41" s="657"/>
      <c r="N41" s="657"/>
      <c r="O41" s="115"/>
      <c r="P41" s="55"/>
      <c r="Q41" s="669"/>
      <c r="R41" s="657"/>
      <c r="S41" s="657"/>
      <c r="T41" s="669"/>
      <c r="U41" s="130"/>
      <c r="W41" s="55"/>
      <c r="X41" s="670"/>
      <c r="Y41" s="657"/>
      <c r="Z41" s="657"/>
      <c r="AA41" s="670"/>
      <c r="AB41" s="57"/>
      <c r="AE41" s="676"/>
      <c r="AF41" s="676"/>
      <c r="AN41" s="39"/>
      <c r="AO41" s="749"/>
      <c r="AP41" s="750"/>
      <c r="AQ41" s="750"/>
      <c r="AR41" s="750"/>
      <c r="AS41" s="750"/>
      <c r="AT41" s="750"/>
      <c r="AU41" s="32"/>
      <c r="AV41" s="32"/>
      <c r="AW41" s="32"/>
      <c r="AX41" s="658"/>
      <c r="AZ41" s="658"/>
      <c r="BB41" s="658"/>
      <c r="BC41" s="32"/>
      <c r="BD41" s="656"/>
      <c r="BF41" s="656"/>
      <c r="BH41" s="656"/>
      <c r="BJ41" s="656"/>
      <c r="BM41" s="740"/>
      <c r="BN41" s="740"/>
      <c r="BO41" s="740"/>
      <c r="BP41" s="740"/>
      <c r="BW41" s="64"/>
      <c r="BX41" s="92"/>
      <c r="BY41" s="92"/>
      <c r="BZ41" s="92"/>
      <c r="CA41" s="132"/>
      <c r="CB41" s="111"/>
    </row>
    <row r="42" spans="1:80" ht="24" thickBot="1" x14ac:dyDescent="0.3">
      <c r="A42" s="125"/>
      <c r="I42" s="663"/>
      <c r="J42" s="663"/>
      <c r="L42" s="115"/>
      <c r="M42" s="657"/>
      <c r="N42" s="657"/>
      <c r="O42" s="115"/>
      <c r="P42" s="55"/>
      <c r="Q42" s="669"/>
      <c r="R42" s="657"/>
      <c r="S42" s="657"/>
      <c r="T42" s="669"/>
      <c r="U42" s="130"/>
      <c r="W42" s="55"/>
      <c r="X42" s="670"/>
      <c r="Y42" s="657"/>
      <c r="Z42" s="657"/>
      <c r="AA42" s="670"/>
      <c r="AB42" s="57"/>
      <c r="AE42" s="676"/>
      <c r="AF42" s="676"/>
      <c r="AK42" s="659"/>
      <c r="AL42" s="678"/>
      <c r="AN42" s="39"/>
      <c r="AO42" s="667"/>
      <c r="AP42" s="667"/>
      <c r="AQ42" s="667"/>
      <c r="AR42" s="685"/>
      <c r="AS42" s="685"/>
      <c r="AT42" s="685"/>
      <c r="AU42" s="136"/>
      <c r="AV42" s="136"/>
      <c r="AW42" s="658"/>
      <c r="AX42" s="657"/>
      <c r="AY42" s="658"/>
      <c r="AZ42" s="657"/>
      <c r="BA42" s="658"/>
      <c r="BB42" s="657"/>
      <c r="BC42" s="43"/>
      <c r="BD42" s="657"/>
      <c r="BE42" s="656"/>
      <c r="BF42" s="657"/>
      <c r="BG42" s="656"/>
      <c r="BH42" s="657"/>
      <c r="BI42" s="656"/>
      <c r="BJ42" s="657"/>
      <c r="BK42" s="656"/>
      <c r="BM42" s="660"/>
      <c r="BN42" s="660"/>
      <c r="BO42" s="660"/>
      <c r="BP42" s="660"/>
      <c r="BW42" s="92"/>
      <c r="BX42" s="10">
        <v>100</v>
      </c>
      <c r="BY42" s="10">
        <v>100</v>
      </c>
      <c r="BZ42" s="10">
        <v>100</v>
      </c>
      <c r="CA42" s="10">
        <v>100</v>
      </c>
      <c r="CB42" s="111"/>
    </row>
    <row r="43" spans="1:80" ht="21" x14ac:dyDescent="0.25">
      <c r="A43" s="125"/>
      <c r="E43" s="32"/>
      <c r="F43" s="32"/>
      <c r="G43" s="32"/>
      <c r="I43" s="664"/>
      <c r="J43" s="664"/>
      <c r="L43" s="115"/>
      <c r="M43" s="657"/>
      <c r="N43" s="657"/>
      <c r="O43" s="115"/>
      <c r="P43" s="55"/>
      <c r="Q43" s="669"/>
      <c r="R43" s="657"/>
      <c r="S43" s="657"/>
      <c r="T43" s="669"/>
      <c r="U43" s="130"/>
      <c r="W43" s="55"/>
      <c r="X43" s="670"/>
      <c r="Y43" s="657"/>
      <c r="Z43" s="657"/>
      <c r="AA43" s="670"/>
      <c r="AB43" s="57"/>
      <c r="AE43" s="676"/>
      <c r="AF43" s="676"/>
      <c r="AK43" s="659"/>
      <c r="AL43" s="659"/>
      <c r="AN43" s="32"/>
      <c r="AR43" s="140"/>
      <c r="AS43" s="141"/>
      <c r="AT43" s="142"/>
      <c r="AU43" s="751"/>
      <c r="AV43" s="751"/>
      <c r="AW43" s="752"/>
      <c r="BB43" s="141"/>
      <c r="BC43" s="141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11"/>
    </row>
    <row r="44" spans="1:80" ht="21" x14ac:dyDescent="0.25">
      <c r="A44" s="125"/>
      <c r="M44" s="115"/>
      <c r="N44" s="115"/>
      <c r="O44" s="63"/>
      <c r="R44" s="669"/>
      <c r="S44" s="669"/>
      <c r="W44" s="126"/>
      <c r="X44" s="32"/>
      <c r="Y44" s="670"/>
      <c r="Z44" s="670"/>
      <c r="AB44" s="32"/>
      <c r="AE44" s="755"/>
      <c r="AF44" s="755"/>
      <c r="AN44" s="32"/>
      <c r="AR44" s="111"/>
      <c r="AT44" s="144"/>
      <c r="AU44" s="751"/>
      <c r="AV44" s="751"/>
      <c r="AW44" s="75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9"/>
      <c r="CB44" s="111"/>
    </row>
    <row r="45" spans="1:80" x14ac:dyDescent="0.25">
      <c r="A45" s="125"/>
      <c r="C45" s="32"/>
      <c r="D45" s="32"/>
      <c r="E45" s="32"/>
      <c r="F45" s="32"/>
      <c r="G45" s="32"/>
      <c r="H45" s="32"/>
      <c r="AN45" s="32"/>
      <c r="AR45" s="111"/>
      <c r="AT45" s="144"/>
      <c r="AU45" s="751"/>
      <c r="AV45" s="751"/>
      <c r="AW45" s="75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9"/>
      <c r="CB45" s="111"/>
    </row>
    <row r="46" spans="1:80" ht="19.5" thickBot="1" x14ac:dyDescent="0.3">
      <c r="A46" s="125"/>
      <c r="H46" s="32"/>
      <c r="K46" s="32"/>
      <c r="L46" s="32"/>
      <c r="M46" s="112"/>
      <c r="N46" s="112"/>
      <c r="O46" s="50"/>
      <c r="P46" s="145"/>
      <c r="Q46" s="32"/>
      <c r="R46" s="118"/>
      <c r="S46" s="118"/>
      <c r="U46" s="32"/>
      <c r="AN46" s="32"/>
      <c r="AR46" s="111"/>
      <c r="AT46" s="144"/>
      <c r="AU46" s="751"/>
      <c r="AV46" s="751"/>
      <c r="AW46" s="75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W46" s="32"/>
      <c r="BX46" s="32"/>
      <c r="BY46" s="32"/>
      <c r="BZ46" s="32"/>
      <c r="CA46" s="39"/>
      <c r="CB46" s="111"/>
    </row>
    <row r="47" spans="1:80" x14ac:dyDescent="0.25">
      <c r="A47" s="125"/>
      <c r="B47" s="32"/>
      <c r="C47" s="32"/>
      <c r="D47" s="32"/>
      <c r="E47" s="32"/>
      <c r="F47" s="32"/>
      <c r="G47" s="32"/>
      <c r="M47" s="737"/>
      <c r="N47" s="737"/>
      <c r="R47" s="756" t="s">
        <v>232</v>
      </c>
      <c r="S47" s="756"/>
      <c r="AN47" s="32"/>
      <c r="AR47" s="111"/>
      <c r="AT47" s="144"/>
      <c r="AU47" s="751"/>
      <c r="AV47" s="751"/>
      <c r="AW47" s="752"/>
      <c r="BC47" s="32"/>
      <c r="BH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W47" s="32"/>
      <c r="BX47" s="32"/>
      <c r="BY47" s="32"/>
      <c r="BZ47" s="32"/>
      <c r="CA47" s="39"/>
      <c r="CB47" s="111"/>
    </row>
    <row r="48" spans="1:80" ht="16.5" thickBot="1" x14ac:dyDescent="0.3">
      <c r="A48" s="125"/>
      <c r="B48" s="32"/>
      <c r="C48" s="32"/>
      <c r="D48" s="32"/>
      <c r="E48" s="32"/>
      <c r="F48" s="32"/>
      <c r="M48" s="738"/>
      <c r="N48" s="738"/>
      <c r="Q48" s="119" t="s">
        <v>210</v>
      </c>
      <c r="R48" s="128"/>
      <c r="S48" s="128"/>
      <c r="Y48" s="756" t="s">
        <v>232</v>
      </c>
      <c r="Z48" s="756"/>
      <c r="AK48" s="294"/>
      <c r="AL48" s="294"/>
      <c r="AR48" s="111"/>
      <c r="AT48" s="144"/>
      <c r="AU48" s="751"/>
      <c r="AV48" s="751"/>
      <c r="AW48" s="752"/>
      <c r="BH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W48" s="32"/>
      <c r="BX48" s="32"/>
      <c r="BY48" s="32"/>
      <c r="BZ48" s="32"/>
      <c r="CA48" s="39"/>
    </row>
    <row r="49" spans="1:79" ht="18.75" x14ac:dyDescent="0.3">
      <c r="A49" s="125"/>
      <c r="B49" s="32"/>
      <c r="C49" s="32"/>
      <c r="D49" s="32"/>
      <c r="E49" s="32"/>
      <c r="F49" s="32"/>
      <c r="M49" s="32"/>
      <c r="N49" s="32"/>
      <c r="O49" s="32"/>
      <c r="Q49" s="121"/>
      <c r="R49" s="66"/>
      <c r="S49" s="66"/>
      <c r="T49" s="64"/>
      <c r="X49" s="119" t="s">
        <v>233</v>
      </c>
      <c r="Y49" s="128"/>
      <c r="Z49" s="128"/>
      <c r="AK49" s="294"/>
      <c r="AL49" s="294"/>
      <c r="AR49" s="111"/>
      <c r="AT49" s="144"/>
      <c r="AU49" s="751"/>
      <c r="AV49" s="751"/>
      <c r="AW49" s="752"/>
      <c r="BH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W49" s="32"/>
      <c r="BX49" s="32"/>
      <c r="BY49" s="32"/>
      <c r="BZ49" s="32"/>
      <c r="CA49" s="39"/>
    </row>
    <row r="50" spans="1:79" ht="18.75" x14ac:dyDescent="0.3">
      <c r="A50" s="146"/>
      <c r="B50" s="147"/>
      <c r="C50" s="147"/>
      <c r="D50" s="147"/>
      <c r="E50" s="147"/>
      <c r="F50" s="32"/>
      <c r="I50" s="665"/>
      <c r="J50" s="665"/>
      <c r="L50" s="119" t="s">
        <v>234</v>
      </c>
      <c r="M50" s="149"/>
      <c r="N50" s="149"/>
      <c r="O50" s="150" t="s">
        <v>235</v>
      </c>
      <c r="Q50" s="66"/>
      <c r="R50" s="10">
        <v>100</v>
      </c>
      <c r="S50" s="10">
        <v>100</v>
      </c>
      <c r="T50" s="66"/>
      <c r="X50" s="121"/>
      <c r="Y50" s="92"/>
      <c r="Z50" s="92"/>
      <c r="AA50" s="64"/>
      <c r="AD50" s="151" t="s">
        <v>236</v>
      </c>
      <c r="AE50" s="97" t="s">
        <v>237</v>
      </c>
      <c r="AF50" s="97"/>
      <c r="AR50" s="111"/>
      <c r="AT50" s="144"/>
      <c r="AU50" s="751"/>
      <c r="AV50" s="751"/>
      <c r="AW50" s="752"/>
      <c r="BH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W50" s="32"/>
      <c r="BX50" s="32"/>
      <c r="BY50" s="32"/>
      <c r="BZ50" s="32"/>
      <c r="CA50" s="39"/>
    </row>
    <row r="51" spans="1:79" ht="18.75" x14ac:dyDescent="0.3">
      <c r="A51" s="146"/>
      <c r="B51" s="147"/>
      <c r="C51" s="147"/>
      <c r="D51" s="147"/>
      <c r="E51" s="147"/>
      <c r="F51" s="32"/>
      <c r="I51" s="665"/>
      <c r="J51" s="665"/>
      <c r="L51" s="149"/>
      <c r="M51" s="91"/>
      <c r="N51" s="91"/>
      <c r="O51" s="64"/>
      <c r="Q51" s="66"/>
      <c r="R51" s="10">
        <v>100</v>
      </c>
      <c r="S51" s="10">
        <v>100</v>
      </c>
      <c r="T51" s="66"/>
      <c r="W51" s="128">
        <v>1</v>
      </c>
      <c r="X51" s="92"/>
      <c r="Y51" s="10">
        <v>100</v>
      </c>
      <c r="Z51" s="10">
        <v>100</v>
      </c>
      <c r="AA51" s="92"/>
      <c r="AB51" s="128">
        <v>5</v>
      </c>
      <c r="AD51" s="119" t="s">
        <v>238</v>
      </c>
      <c r="AE51" s="153">
        <v>4</v>
      </c>
      <c r="AF51" s="153">
        <v>3</v>
      </c>
      <c r="AR51" s="111"/>
      <c r="AT51" s="144"/>
      <c r="AU51" s="751"/>
      <c r="AV51" s="751"/>
      <c r="AW51" s="752"/>
      <c r="BH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W51" s="32"/>
      <c r="BX51" s="32"/>
      <c r="BY51" s="32"/>
      <c r="BZ51" s="32"/>
      <c r="CA51" s="39"/>
    </row>
    <row r="52" spans="1:79" ht="18.75" x14ac:dyDescent="0.3">
      <c r="A52" s="146"/>
      <c r="B52" s="147"/>
      <c r="C52" s="147"/>
      <c r="D52" s="147"/>
      <c r="E52" s="147"/>
      <c r="F52" s="32"/>
      <c r="I52" s="665"/>
      <c r="J52" s="665"/>
      <c r="K52" s="149"/>
      <c r="L52" s="92"/>
      <c r="M52" s="10">
        <v>100</v>
      </c>
      <c r="N52" s="3">
        <v>50</v>
      </c>
      <c r="O52" s="91" t="s">
        <v>181</v>
      </c>
      <c r="P52" s="156">
        <v>6</v>
      </c>
      <c r="Q52" s="66"/>
      <c r="R52" s="10">
        <v>100</v>
      </c>
      <c r="S52" s="10">
        <v>100</v>
      </c>
      <c r="T52" s="66"/>
      <c r="W52" s="128">
        <v>2</v>
      </c>
      <c r="X52" s="92"/>
      <c r="Y52" s="10">
        <v>100</v>
      </c>
      <c r="Z52" s="10">
        <v>100</v>
      </c>
      <c r="AA52" s="92"/>
      <c r="AB52" s="128">
        <v>6</v>
      </c>
      <c r="AD52" s="121"/>
      <c r="AE52" s="91"/>
      <c r="AF52" s="91"/>
      <c r="AG52" s="64"/>
      <c r="AR52" s="111"/>
      <c r="AT52" s="144"/>
      <c r="AU52" s="751"/>
      <c r="AV52" s="751"/>
      <c r="AW52" s="752"/>
      <c r="BH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W52" s="32"/>
      <c r="BX52" s="32"/>
      <c r="BY52" s="32"/>
      <c r="BZ52" s="32"/>
      <c r="CA52" s="39"/>
    </row>
    <row r="53" spans="1:79" ht="18.75" x14ac:dyDescent="0.3">
      <c r="A53" s="757" t="s">
        <v>239</v>
      </c>
      <c r="B53" s="758"/>
      <c r="C53" s="758"/>
      <c r="D53" s="758"/>
      <c r="E53" s="759"/>
      <c r="F53" s="32"/>
      <c r="I53" s="665"/>
      <c r="J53" s="665"/>
      <c r="K53" s="149"/>
      <c r="L53" s="91" t="s">
        <v>181</v>
      </c>
      <c r="M53" s="3">
        <v>50</v>
      </c>
      <c r="N53" s="3">
        <v>50</v>
      </c>
      <c r="O53" s="91" t="s">
        <v>181</v>
      </c>
      <c r="P53" s="156">
        <v>3</v>
      </c>
      <c r="Q53" s="66"/>
      <c r="R53" s="10">
        <v>100</v>
      </c>
      <c r="S53" s="10">
        <v>100</v>
      </c>
      <c r="T53" s="66"/>
      <c r="V53" s="32"/>
      <c r="W53" s="128">
        <v>3</v>
      </c>
      <c r="X53" s="92"/>
      <c r="Y53" s="10">
        <v>100</v>
      </c>
      <c r="Z53" s="10">
        <v>100</v>
      </c>
      <c r="AA53" s="92"/>
      <c r="AB53" s="128">
        <v>7</v>
      </c>
      <c r="AD53" s="91"/>
      <c r="AE53" s="10">
        <v>100</v>
      </c>
      <c r="AF53" s="10">
        <v>100</v>
      </c>
      <c r="AG53" s="91"/>
      <c r="AJ53" s="151" t="s">
        <v>236</v>
      </c>
      <c r="AK53" s="765" t="s">
        <v>237</v>
      </c>
      <c r="AL53" s="765"/>
      <c r="AR53" s="111"/>
      <c r="AT53" s="144"/>
      <c r="AU53" s="751"/>
      <c r="AV53" s="751"/>
      <c r="AW53" s="75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W53" s="32"/>
      <c r="BX53" s="32"/>
      <c r="BY53" s="32"/>
      <c r="BZ53" s="32"/>
      <c r="CA53" s="39"/>
    </row>
    <row r="54" spans="1:79" ht="18.75" x14ac:dyDescent="0.3">
      <c r="A54" s="760"/>
      <c r="B54" s="761"/>
      <c r="C54" s="761"/>
      <c r="D54" s="761"/>
      <c r="E54" s="762"/>
      <c r="F54" s="158"/>
      <c r="I54" s="766"/>
      <c r="J54" s="766"/>
      <c r="L54" s="64"/>
      <c r="M54" s="91"/>
      <c r="N54" s="91"/>
      <c r="O54" s="64"/>
      <c r="P54" s="159"/>
      <c r="Q54" s="64"/>
      <c r="R54" s="66"/>
      <c r="S54" s="66"/>
      <c r="T54" s="64"/>
      <c r="V54" s="44"/>
      <c r="W54" s="128">
        <v>4</v>
      </c>
      <c r="X54" s="92"/>
      <c r="Y54" s="10">
        <v>100</v>
      </c>
      <c r="Z54" s="10">
        <v>100</v>
      </c>
      <c r="AA54" s="92"/>
      <c r="AB54" s="128">
        <v>8</v>
      </c>
      <c r="AD54" s="91"/>
      <c r="AE54" s="10">
        <v>100</v>
      </c>
      <c r="AF54" s="10">
        <v>100</v>
      </c>
      <c r="AG54" s="91"/>
      <c r="AJ54" s="119" t="s">
        <v>160</v>
      </c>
      <c r="AK54" s="153">
        <v>4</v>
      </c>
      <c r="AL54" s="153">
        <v>3</v>
      </c>
      <c r="AR54" s="111"/>
      <c r="AT54" s="144"/>
      <c r="AU54" s="751"/>
      <c r="AV54" s="751"/>
      <c r="AW54" s="752"/>
      <c r="BC54" s="160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9"/>
    </row>
    <row r="55" spans="1:79" ht="15.75" x14ac:dyDescent="0.25">
      <c r="A55" s="760"/>
      <c r="B55" s="761"/>
      <c r="C55" s="761"/>
      <c r="D55" s="761"/>
      <c r="E55" s="762"/>
      <c r="F55" s="158"/>
      <c r="M55" s="149"/>
      <c r="N55" s="149"/>
      <c r="R55" s="64"/>
      <c r="S55" s="64"/>
      <c r="V55" s="44"/>
      <c r="X55" s="64"/>
      <c r="Y55" s="92"/>
      <c r="Z55" s="92"/>
      <c r="AA55" s="64"/>
      <c r="AD55" s="64"/>
      <c r="AE55" s="91"/>
      <c r="AF55" s="91"/>
      <c r="AG55" s="64"/>
      <c r="AJ55" s="121"/>
      <c r="AK55" s="91"/>
      <c r="AL55" s="91"/>
      <c r="AM55" s="64"/>
      <c r="AR55" s="111"/>
      <c r="AT55" s="144"/>
      <c r="AU55" s="751"/>
      <c r="AV55" s="751"/>
      <c r="AW55" s="752"/>
      <c r="BC55" s="160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9"/>
    </row>
    <row r="56" spans="1:79" ht="18" x14ac:dyDescent="0.25">
      <c r="A56" s="760"/>
      <c r="B56" s="761"/>
      <c r="C56" s="761"/>
      <c r="D56" s="761"/>
      <c r="E56" s="762"/>
      <c r="F56" s="158"/>
      <c r="Y56" s="64"/>
      <c r="Z56" s="64"/>
      <c r="AE56" s="161">
        <v>1</v>
      </c>
      <c r="AF56" s="161">
        <v>2</v>
      </c>
      <c r="AJ56" s="91" t="s">
        <v>241</v>
      </c>
      <c r="AK56" s="3">
        <v>50</v>
      </c>
      <c r="AL56" s="3">
        <v>50</v>
      </c>
      <c r="AM56" s="91" t="s">
        <v>241</v>
      </c>
      <c r="AR56" s="111"/>
      <c r="AT56" s="144"/>
      <c r="AU56" s="751"/>
      <c r="AV56" s="751"/>
      <c r="AW56" s="752"/>
      <c r="BC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9"/>
    </row>
    <row r="57" spans="1:79" ht="18" x14ac:dyDescent="0.25">
      <c r="A57" s="760"/>
      <c r="B57" s="761"/>
      <c r="C57" s="761"/>
      <c r="D57" s="761"/>
      <c r="E57" s="762"/>
      <c r="F57" s="158"/>
      <c r="V57" s="44"/>
      <c r="W57" s="32"/>
      <c r="X57" s="32"/>
      <c r="AA57" s="32"/>
      <c r="AJ57" s="91" t="s">
        <v>241</v>
      </c>
      <c r="AK57" s="3">
        <v>50</v>
      </c>
      <c r="AL57" s="3">
        <v>50</v>
      </c>
      <c r="AM57" s="91" t="s">
        <v>241</v>
      </c>
      <c r="AR57" s="111"/>
      <c r="AT57" s="144"/>
      <c r="AU57" s="751"/>
      <c r="AV57" s="751"/>
      <c r="AW57" s="752"/>
      <c r="BC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9"/>
    </row>
    <row r="58" spans="1:79" ht="15.75" x14ac:dyDescent="0.25">
      <c r="A58" s="760"/>
      <c r="B58" s="761"/>
      <c r="C58" s="761"/>
      <c r="D58" s="761"/>
      <c r="E58" s="762"/>
      <c r="F58" s="665"/>
      <c r="I58" s="653"/>
      <c r="J58" s="653"/>
      <c r="L58" s="767"/>
      <c r="M58" s="767"/>
      <c r="N58" s="767"/>
      <c r="O58" s="767"/>
      <c r="P58" s="47"/>
      <c r="Q58" s="767"/>
      <c r="R58" s="767"/>
      <c r="S58" s="767"/>
      <c r="T58" s="767"/>
      <c r="U58" s="32"/>
      <c r="V58" s="32"/>
      <c r="W58" s="32"/>
      <c r="X58" s="32"/>
      <c r="Y58" s="32"/>
      <c r="Z58" s="32"/>
      <c r="AA58" s="32"/>
      <c r="AJ58" s="64"/>
      <c r="AK58" s="91"/>
      <c r="AL58" s="91"/>
      <c r="AM58" s="64"/>
      <c r="AR58" s="111"/>
      <c r="AT58" s="144"/>
      <c r="AU58" s="751"/>
      <c r="AV58" s="751"/>
      <c r="AW58" s="75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9"/>
    </row>
    <row r="59" spans="1:79" ht="21" x14ac:dyDescent="0.25">
      <c r="A59" s="760"/>
      <c r="B59" s="761"/>
      <c r="C59" s="761"/>
      <c r="D59" s="761"/>
      <c r="E59" s="762"/>
      <c r="F59" s="665"/>
      <c r="I59" s="653"/>
      <c r="J59" s="653"/>
      <c r="M59" s="670"/>
      <c r="N59" s="85"/>
      <c r="R59" s="671"/>
      <c r="S59" s="671"/>
      <c r="U59" s="32"/>
      <c r="V59" s="32"/>
      <c r="X59" s="119" t="s">
        <v>197</v>
      </c>
      <c r="Y59" s="149"/>
      <c r="Z59" s="149"/>
      <c r="AA59" s="150" t="s">
        <v>235</v>
      </c>
      <c r="AK59" s="161">
        <v>1</v>
      </c>
      <c r="AL59" s="161">
        <v>2</v>
      </c>
      <c r="AR59" s="111"/>
      <c r="AT59" s="144"/>
      <c r="AU59" s="751"/>
      <c r="AV59" s="751"/>
      <c r="AW59" s="75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9"/>
    </row>
    <row r="60" spans="1:79" ht="21" x14ac:dyDescent="0.25">
      <c r="A60" s="760"/>
      <c r="B60" s="761"/>
      <c r="C60" s="761"/>
      <c r="D60" s="761"/>
      <c r="E60" s="762"/>
      <c r="F60" s="665"/>
      <c r="I60" s="653"/>
      <c r="J60" s="653"/>
      <c r="L60" s="670"/>
      <c r="M60" s="657"/>
      <c r="N60" s="657"/>
      <c r="O60" s="85"/>
      <c r="P60" s="55"/>
      <c r="Q60" s="671"/>
      <c r="R60" s="657"/>
      <c r="S60" s="657"/>
      <c r="T60" s="671"/>
      <c r="U60" s="57"/>
      <c r="V60" s="32"/>
      <c r="X60" s="149"/>
      <c r="Y60" s="91"/>
      <c r="Z60" s="91"/>
      <c r="AA60" s="64"/>
      <c r="AR60" s="111"/>
      <c r="AT60" s="144"/>
      <c r="AU60" s="751"/>
      <c r="AV60" s="751"/>
      <c r="AW60" s="75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9"/>
    </row>
    <row r="61" spans="1:79" ht="21" x14ac:dyDescent="0.25">
      <c r="A61" s="760"/>
      <c r="B61" s="761"/>
      <c r="C61" s="761"/>
      <c r="D61" s="761"/>
      <c r="E61" s="762"/>
      <c r="F61" s="665"/>
      <c r="I61" s="768"/>
      <c r="J61" s="768"/>
      <c r="L61" s="670"/>
      <c r="M61" s="657"/>
      <c r="N61" s="657"/>
      <c r="O61" s="85"/>
      <c r="P61" s="55"/>
      <c r="Q61" s="671"/>
      <c r="R61" s="657"/>
      <c r="S61" s="657"/>
      <c r="T61" s="671"/>
      <c r="U61" s="57"/>
      <c r="V61" s="32"/>
      <c r="W61" s="149"/>
      <c r="X61" s="91" t="s">
        <v>245</v>
      </c>
      <c r="Y61" s="5">
        <v>25</v>
      </c>
      <c r="Z61" s="5">
        <v>25</v>
      </c>
      <c r="AA61" s="91" t="s">
        <v>245</v>
      </c>
      <c r="AB61" s="156">
        <v>6</v>
      </c>
      <c r="AE61" s="679"/>
      <c r="AF61" s="679"/>
      <c r="AR61" s="111"/>
      <c r="AT61" s="144"/>
      <c r="AU61" s="751"/>
      <c r="AV61" s="751"/>
      <c r="AW61" s="75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9"/>
    </row>
    <row r="62" spans="1:79" ht="21" x14ac:dyDescent="0.25">
      <c r="A62" s="760"/>
      <c r="B62" s="761"/>
      <c r="C62" s="761"/>
      <c r="D62" s="761"/>
      <c r="E62" s="762"/>
      <c r="F62" s="158"/>
      <c r="L62" s="670"/>
      <c r="M62" s="657"/>
      <c r="N62" s="657"/>
      <c r="O62" s="85"/>
      <c r="P62" s="55"/>
      <c r="Q62" s="671"/>
      <c r="R62" s="657"/>
      <c r="S62" s="657"/>
      <c r="T62" s="671"/>
      <c r="U62" s="57"/>
      <c r="V62" s="32"/>
      <c r="W62" s="149"/>
      <c r="X62" s="91" t="s">
        <v>245</v>
      </c>
      <c r="Y62" s="5">
        <v>25</v>
      </c>
      <c r="Z62" s="5">
        <v>25</v>
      </c>
      <c r="AA62" s="91" t="s">
        <v>245</v>
      </c>
      <c r="AB62" s="156">
        <v>3</v>
      </c>
      <c r="AE62" s="679"/>
      <c r="AF62" s="679"/>
      <c r="AK62" s="679"/>
      <c r="AL62" s="679"/>
      <c r="AR62" s="111"/>
      <c r="AT62" s="144"/>
      <c r="AU62" s="751"/>
      <c r="AV62" s="751"/>
      <c r="AW62" s="75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9"/>
    </row>
    <row r="63" spans="1:79" ht="21" x14ac:dyDescent="0.25">
      <c r="A63" s="760"/>
      <c r="B63" s="761"/>
      <c r="C63" s="761"/>
      <c r="D63" s="761"/>
      <c r="E63" s="762"/>
      <c r="F63" s="158"/>
      <c r="M63" s="670"/>
      <c r="N63" s="85"/>
      <c r="P63" s="126"/>
      <c r="R63" s="671"/>
      <c r="S63" s="671"/>
      <c r="U63" s="32"/>
      <c r="V63" s="32"/>
      <c r="X63" s="91" t="s">
        <v>245</v>
      </c>
      <c r="Y63" s="5">
        <v>25</v>
      </c>
      <c r="Z63" s="5">
        <v>25</v>
      </c>
      <c r="AA63" s="91" t="s">
        <v>245</v>
      </c>
      <c r="AB63" s="32"/>
      <c r="AC63" s="32"/>
      <c r="AE63" s="679"/>
      <c r="AF63" s="679"/>
      <c r="AK63" s="679"/>
      <c r="AL63" s="679"/>
      <c r="AR63" s="111"/>
      <c r="AT63" s="144"/>
      <c r="AU63" s="751"/>
      <c r="AV63" s="751"/>
      <c r="AW63" s="75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9"/>
    </row>
    <row r="64" spans="1:79" ht="15.75" x14ac:dyDescent="0.25">
      <c r="A64" s="760"/>
      <c r="B64" s="761"/>
      <c r="C64" s="761"/>
      <c r="D64" s="761"/>
      <c r="E64" s="762"/>
      <c r="F64" s="158"/>
      <c r="G64" s="165"/>
      <c r="P64" s="32"/>
      <c r="Q64" s="32"/>
      <c r="U64" s="32"/>
      <c r="V64" s="32"/>
      <c r="X64" s="149"/>
      <c r="Y64" s="91"/>
      <c r="Z64" s="91"/>
      <c r="AA64" s="149"/>
      <c r="AC64" s="32"/>
      <c r="AI64" s="32"/>
      <c r="AR64" s="111"/>
      <c r="AT64" s="144"/>
      <c r="AU64" s="751"/>
      <c r="AV64" s="751"/>
      <c r="AW64" s="75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9"/>
    </row>
    <row r="65" spans="1:79" ht="15.75" x14ac:dyDescent="0.25">
      <c r="A65" s="760"/>
      <c r="B65" s="761"/>
      <c r="C65" s="761"/>
      <c r="D65" s="761"/>
      <c r="E65" s="762"/>
      <c r="F65" s="158"/>
      <c r="G65" s="165"/>
      <c r="H65" s="165"/>
      <c r="I65" s="165"/>
      <c r="J65" s="165"/>
      <c r="K65" s="165"/>
      <c r="M65" s="32"/>
      <c r="N65" s="32"/>
      <c r="P65" s="32"/>
      <c r="Q65" s="32"/>
      <c r="U65" s="32"/>
      <c r="V65" s="32"/>
      <c r="W65" s="32"/>
      <c r="X65" s="32"/>
      <c r="Y65" s="149"/>
      <c r="Z65" s="149"/>
      <c r="AA65" s="32"/>
      <c r="AB65" s="32"/>
      <c r="AC65" s="32"/>
      <c r="AD65" s="32"/>
      <c r="AH65" s="32"/>
      <c r="AI65" s="32"/>
      <c r="AR65" s="111"/>
      <c r="AT65" s="144"/>
      <c r="AU65" s="751"/>
      <c r="AV65" s="751"/>
      <c r="AW65" s="75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9"/>
    </row>
    <row r="66" spans="1:79" ht="15.75" x14ac:dyDescent="0.25">
      <c r="A66" s="760"/>
      <c r="B66" s="761"/>
      <c r="C66" s="761"/>
      <c r="D66" s="761"/>
      <c r="E66" s="762"/>
      <c r="F66" s="158"/>
      <c r="G66" s="32"/>
      <c r="H66" s="32"/>
      <c r="I66" s="32"/>
      <c r="J66" s="32"/>
      <c r="K66" s="32"/>
      <c r="L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H66" s="32"/>
      <c r="AI66" s="32"/>
      <c r="AJ66" s="32"/>
      <c r="AK66" s="32"/>
      <c r="AR66" s="111"/>
      <c r="AT66" s="144"/>
      <c r="AU66" s="751"/>
      <c r="AV66" s="751"/>
      <c r="AW66" s="75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9"/>
    </row>
    <row r="67" spans="1:79" ht="15.75" x14ac:dyDescent="0.25">
      <c r="A67" s="760"/>
      <c r="B67" s="761"/>
      <c r="C67" s="761"/>
      <c r="D67" s="761"/>
      <c r="E67" s="762"/>
      <c r="F67" s="158"/>
      <c r="J67" s="32"/>
      <c r="L67" s="32"/>
      <c r="M67" s="769"/>
      <c r="N67" s="769"/>
      <c r="O67" s="769"/>
      <c r="P67" s="769"/>
      <c r="Q67" s="769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R67" s="111"/>
      <c r="AT67" s="144"/>
      <c r="AU67" s="751"/>
      <c r="AV67" s="751"/>
      <c r="AW67" s="75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9"/>
    </row>
    <row r="68" spans="1:79" x14ac:dyDescent="0.25">
      <c r="A68" s="760"/>
      <c r="B68" s="761"/>
      <c r="C68" s="761"/>
      <c r="D68" s="761"/>
      <c r="E68" s="762"/>
      <c r="F68" s="32"/>
      <c r="J68" s="1"/>
      <c r="M68" s="44"/>
      <c r="N68" s="44"/>
      <c r="O68" s="44"/>
      <c r="P68" s="44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R68" s="111"/>
      <c r="AT68" s="144"/>
      <c r="AU68" s="751"/>
      <c r="AV68" s="751"/>
      <c r="AW68" s="75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9"/>
    </row>
    <row r="69" spans="1:79" ht="23.25" x14ac:dyDescent="0.25">
      <c r="A69" s="760"/>
      <c r="B69" s="761"/>
      <c r="C69" s="761"/>
      <c r="D69" s="761"/>
      <c r="E69" s="762"/>
      <c r="F69" s="770"/>
      <c r="G69" s="771"/>
      <c r="H69" s="771"/>
      <c r="I69" s="771"/>
      <c r="J69" s="771"/>
      <c r="K69" s="771"/>
      <c r="L69" s="42"/>
      <c r="M69" s="658"/>
      <c r="N69" s="658"/>
      <c r="O69" s="658"/>
      <c r="P69" s="658"/>
      <c r="Q69" s="658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656"/>
      <c r="AH69" s="656"/>
      <c r="AI69" s="656"/>
      <c r="AJ69" s="656"/>
      <c r="AK69" s="32"/>
      <c r="AL69" s="32"/>
      <c r="AM69" s="32"/>
      <c r="AN69" s="32"/>
      <c r="AR69" s="111"/>
      <c r="AT69" s="144"/>
      <c r="AU69" s="751"/>
      <c r="AV69" s="751"/>
      <c r="AW69" s="75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9"/>
    </row>
    <row r="70" spans="1:79" ht="24" thickBot="1" x14ac:dyDescent="0.3">
      <c r="A70" s="763"/>
      <c r="B70" s="764"/>
      <c r="C70" s="764"/>
      <c r="D70" s="764"/>
      <c r="E70" s="762"/>
      <c r="F70" s="666"/>
      <c r="G70" s="666"/>
      <c r="H70" s="666"/>
      <c r="I70" s="666"/>
      <c r="J70" s="666"/>
      <c r="K70" s="666"/>
      <c r="L70" s="672"/>
      <c r="M70" s="673"/>
      <c r="N70" s="673"/>
      <c r="O70" s="673"/>
      <c r="P70" s="673"/>
      <c r="Q70" s="673"/>
      <c r="R70" s="658"/>
      <c r="S70" s="665"/>
      <c r="T70" s="665"/>
      <c r="U70" s="665"/>
      <c r="V70" s="665"/>
      <c r="W70" s="40"/>
      <c r="X70" s="32"/>
      <c r="Y70" s="32"/>
      <c r="Z70" s="32"/>
      <c r="AA70" s="32"/>
      <c r="AB70" s="32"/>
      <c r="AC70" s="32"/>
      <c r="AD70" s="32"/>
      <c r="AE70" s="32"/>
      <c r="AF70" s="656"/>
      <c r="AG70" s="673"/>
      <c r="AH70" s="673"/>
      <c r="AI70" s="673"/>
      <c r="AJ70" s="673"/>
      <c r="AK70" s="656"/>
      <c r="AL70" s="32"/>
      <c r="AM70" s="32"/>
      <c r="AN70" s="32"/>
      <c r="AO70" s="32"/>
      <c r="AP70" s="32"/>
      <c r="AQ70" s="32"/>
      <c r="AR70" s="170"/>
      <c r="AS70" s="32"/>
      <c r="AT70" s="144"/>
      <c r="AU70" s="751"/>
      <c r="AV70" s="753"/>
      <c r="AW70" s="754"/>
      <c r="AX70" s="171"/>
      <c r="AY70" s="171"/>
      <c r="AZ70" s="171"/>
      <c r="BA70" s="171"/>
      <c r="BB70" s="171"/>
      <c r="BC70" s="171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3"/>
    </row>
    <row r="71" spans="1:79" x14ac:dyDescent="0.25"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</row>
    <row r="74" spans="1:79" x14ac:dyDescent="0.25">
      <c r="M74" s="174"/>
    </row>
    <row r="75" spans="1:79" x14ac:dyDescent="0.25">
      <c r="M75" s="174"/>
    </row>
    <row r="76" spans="1:79" x14ac:dyDescent="0.25">
      <c r="M76" s="174"/>
    </row>
    <row r="81" spans="13:13" x14ac:dyDescent="0.25">
      <c r="M81" s="174"/>
    </row>
    <row r="82" spans="13:13" x14ac:dyDescent="0.25">
      <c r="M82" s="174"/>
    </row>
    <row r="83" spans="13:13" x14ac:dyDescent="0.25">
      <c r="M83" s="174"/>
    </row>
  </sheetData>
  <mergeCells count="56">
    <mergeCell ref="A53:E70"/>
    <mergeCell ref="AK53:AL53"/>
    <mergeCell ref="I54:J54"/>
    <mergeCell ref="L58:O58"/>
    <mergeCell ref="Q58:T58"/>
    <mergeCell ref="I61:J61"/>
    <mergeCell ref="M67:O67"/>
    <mergeCell ref="P67:Q67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R33:S33"/>
    <mergeCell ref="AT36:AW36"/>
    <mergeCell ref="AY36:BB36"/>
    <mergeCell ref="BD36:BG36"/>
    <mergeCell ref="M39:N39"/>
    <mergeCell ref="AX39:BB39"/>
    <mergeCell ref="BE39:BI39"/>
    <mergeCell ref="BW8:BY8"/>
    <mergeCell ref="BP21:BQ21"/>
    <mergeCell ref="A23:E23"/>
    <mergeCell ref="A24:B35"/>
    <mergeCell ref="C24:E31"/>
    <mergeCell ref="AE27:AF27"/>
    <mergeCell ref="BJ28:BJ29"/>
    <mergeCell ref="AE34:AF34"/>
    <mergeCell ref="Y16:Z16"/>
    <mergeCell ref="AJ17:AK17"/>
    <mergeCell ref="I19:J19"/>
    <mergeCell ref="AN20:AN26"/>
    <mergeCell ref="BK28:BK29"/>
    <mergeCell ref="BW28:BY28"/>
    <mergeCell ref="M29:M30"/>
    <mergeCell ref="N29:N30"/>
    <mergeCell ref="Y14:Z14"/>
    <mergeCell ref="BK14:BL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BS6:BW6"/>
    <mergeCell ref="AP7:AR7"/>
    <mergeCell ref="AZ7:BA7"/>
    <mergeCell ref="E8:G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CB83"/>
  <sheetViews>
    <sheetView topLeftCell="A21" zoomScale="55" zoomScaleNormal="55" workbookViewId="0">
      <selection activeCell="A21" sqref="A1:XFD1048576"/>
    </sheetView>
  </sheetViews>
  <sheetFormatPr baseColWidth="10" defaultColWidth="16.7109375" defaultRowHeight="15" x14ac:dyDescent="0.25"/>
  <sheetData>
    <row r="1" spans="1:79" ht="47.25" thickBot="1" x14ac:dyDescent="0.3">
      <c r="A1" s="694" t="s">
        <v>150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5"/>
      <c r="P1" s="695"/>
      <c r="Q1" s="695"/>
      <c r="R1" s="695"/>
      <c r="S1" s="695"/>
      <c r="T1" s="695"/>
      <c r="U1" s="695"/>
      <c r="V1" s="695"/>
      <c r="W1" s="695"/>
      <c r="X1" s="695"/>
      <c r="Y1" s="695"/>
      <c r="Z1" s="695"/>
      <c r="AA1" s="695"/>
      <c r="AB1" s="695"/>
      <c r="AC1" s="695"/>
      <c r="AD1" s="695"/>
      <c r="AE1" s="695"/>
      <c r="AF1" s="695"/>
      <c r="AG1" s="695"/>
      <c r="AH1" s="695"/>
      <c r="AI1" s="695"/>
      <c r="AJ1" s="695"/>
      <c r="AK1" s="695"/>
      <c r="AL1" s="695"/>
      <c r="AM1" s="695"/>
      <c r="AN1" s="695"/>
      <c r="AO1" s="695"/>
      <c r="AP1" s="695"/>
      <c r="AQ1" s="695"/>
      <c r="AR1" s="695"/>
      <c r="AS1" s="695"/>
      <c r="AT1" s="695"/>
      <c r="AU1" s="695"/>
      <c r="AV1" s="695"/>
      <c r="AW1" s="695"/>
      <c r="AX1" s="695"/>
      <c r="AY1" s="695"/>
      <c r="AZ1" s="695"/>
      <c r="BA1" s="695"/>
      <c r="BB1" s="695"/>
      <c r="BC1" s="695"/>
      <c r="BD1" s="695"/>
      <c r="BE1" s="695"/>
      <c r="BF1" s="695"/>
      <c r="BG1" s="695"/>
      <c r="BH1" s="695"/>
      <c r="BI1" s="695"/>
      <c r="BJ1" s="695"/>
      <c r="BK1" s="695"/>
      <c r="BL1" s="695"/>
      <c r="BM1" s="695"/>
      <c r="BN1" s="695"/>
      <c r="BO1" s="695"/>
      <c r="BP1" s="695"/>
      <c r="BQ1" s="695"/>
      <c r="BR1" s="695"/>
      <c r="BS1" s="695"/>
      <c r="BT1" s="695"/>
      <c r="BU1" s="695"/>
      <c r="BV1" s="695"/>
      <c r="BW1" s="695"/>
      <c r="BX1" s="695"/>
      <c r="BY1" s="695"/>
      <c r="BZ1" s="695"/>
      <c r="CA1" s="696"/>
    </row>
    <row r="2" spans="1:79" ht="15.75" thickBot="1" x14ac:dyDescent="0.3">
      <c r="A2" s="697" t="s">
        <v>151</v>
      </c>
      <c r="B2" s="698"/>
      <c r="C2" s="698"/>
      <c r="D2" s="698"/>
      <c r="E2" s="698"/>
      <c r="F2" s="698"/>
      <c r="G2" s="698"/>
      <c r="H2" s="698"/>
      <c r="I2" s="698"/>
      <c r="J2" s="699"/>
      <c r="K2" s="699"/>
      <c r="L2" s="699"/>
      <c r="M2" s="699"/>
      <c r="N2" s="699"/>
      <c r="O2" s="699"/>
      <c r="P2" s="699"/>
      <c r="Q2" s="699"/>
      <c r="R2" s="699"/>
      <c r="S2" s="699"/>
      <c r="T2" s="699"/>
      <c r="U2" s="699"/>
      <c r="V2" s="699"/>
      <c r="W2" s="699"/>
      <c r="X2" s="699"/>
      <c r="Y2" s="699"/>
      <c r="Z2" s="699"/>
      <c r="AA2" s="699"/>
      <c r="AB2" s="699"/>
      <c r="AC2" s="699"/>
      <c r="AD2" s="699"/>
      <c r="AE2" s="699"/>
      <c r="AF2" s="699"/>
      <c r="AG2" s="699"/>
      <c r="AH2" s="699"/>
      <c r="AI2" s="699"/>
      <c r="AJ2" s="699"/>
      <c r="AK2" s="699"/>
      <c r="AL2" s="699"/>
      <c r="AM2" s="699"/>
      <c r="AN2" s="699"/>
      <c r="AO2" s="699"/>
      <c r="AP2" s="699"/>
      <c r="AQ2" s="699"/>
      <c r="AR2" s="699"/>
      <c r="AS2" s="699"/>
      <c r="AT2" s="699"/>
      <c r="AU2" s="699"/>
      <c r="AV2" s="699"/>
      <c r="AW2" s="699"/>
      <c r="AX2" s="699"/>
      <c r="AY2" s="699"/>
      <c r="AZ2" s="699"/>
      <c r="BA2" s="699"/>
      <c r="BB2" s="699"/>
      <c r="BC2" s="699"/>
      <c r="BD2" s="699"/>
      <c r="BE2" s="699"/>
      <c r="BF2" s="699"/>
      <c r="BG2" s="699"/>
      <c r="BH2" s="699"/>
      <c r="BI2" s="699"/>
      <c r="BJ2" s="699"/>
      <c r="BK2" s="699"/>
      <c r="BL2" s="699"/>
      <c r="BM2" s="699"/>
      <c r="BN2" s="699"/>
      <c r="BO2" s="699"/>
      <c r="BP2" s="699"/>
      <c r="BQ2" s="699"/>
      <c r="BR2" s="699"/>
      <c r="BS2" s="699"/>
      <c r="BT2" s="699"/>
      <c r="BU2" s="699"/>
      <c r="BV2" s="699"/>
      <c r="BW2" s="699"/>
      <c r="BX2" s="699"/>
      <c r="BY2" s="699"/>
      <c r="BZ2" s="699"/>
      <c r="CA2" s="700"/>
    </row>
    <row r="3" spans="1:79" ht="15" customHeight="1" x14ac:dyDescent="0.25">
      <c r="A3" s="29"/>
      <c r="B3" s="30"/>
      <c r="C3" s="30"/>
      <c r="D3" s="30"/>
      <c r="E3" s="30"/>
      <c r="F3" s="30"/>
      <c r="G3" s="30"/>
      <c r="H3" s="30"/>
      <c r="I3" s="31"/>
      <c r="J3" s="32"/>
      <c r="K3" s="656"/>
      <c r="L3" s="657"/>
      <c r="M3" s="656"/>
      <c r="N3" s="657"/>
      <c r="O3" s="656"/>
      <c r="P3" s="657"/>
      <c r="Q3" s="656"/>
      <c r="R3" s="32"/>
      <c r="S3" s="32"/>
      <c r="T3" s="32"/>
      <c r="U3" s="32"/>
      <c r="V3" s="701" t="s">
        <v>153</v>
      </c>
      <c r="W3" s="702"/>
      <c r="X3" s="702"/>
      <c r="Y3" s="702"/>
      <c r="Z3" s="702"/>
      <c r="AA3" s="702"/>
      <c r="AB3" s="702"/>
      <c r="AC3" s="702"/>
      <c r="AD3" s="702"/>
      <c r="AE3" s="702"/>
      <c r="AF3" s="702"/>
      <c r="AG3" s="703"/>
      <c r="AH3" s="32"/>
      <c r="AI3" s="32"/>
      <c r="AJ3" s="32"/>
      <c r="AO3" s="680"/>
      <c r="AP3" s="680"/>
      <c r="AQ3" s="680"/>
      <c r="AR3" s="680"/>
      <c r="AV3" s="667"/>
      <c r="AW3" s="667"/>
      <c r="AX3" s="667"/>
      <c r="AY3" s="667"/>
      <c r="BA3" s="710" t="s">
        <v>156</v>
      </c>
      <c r="BB3" s="711"/>
      <c r="BE3" s="667"/>
      <c r="BF3" s="667"/>
      <c r="BJ3" s="712" t="s">
        <v>157</v>
      </c>
      <c r="BK3" s="712"/>
      <c r="BL3" s="662"/>
      <c r="BM3" s="662"/>
      <c r="BN3" s="677"/>
      <c r="BO3" s="677"/>
      <c r="BP3" s="677"/>
      <c r="BQ3" s="677"/>
      <c r="BR3" s="656"/>
      <c r="BS3" s="657"/>
      <c r="BT3" s="656"/>
      <c r="BU3" s="657"/>
      <c r="BV3" s="656"/>
      <c r="BW3" s="657"/>
      <c r="BX3" s="656"/>
      <c r="BY3" s="32"/>
      <c r="BZ3" s="32"/>
      <c r="CA3" s="39"/>
    </row>
    <row r="4" spans="1:79" ht="18.75" x14ac:dyDescent="0.25">
      <c r="A4" s="40"/>
      <c r="B4" s="32"/>
      <c r="C4" s="32"/>
      <c r="D4" s="32"/>
      <c r="E4" s="32"/>
      <c r="F4" s="32"/>
      <c r="G4" s="32"/>
      <c r="H4" s="32"/>
      <c r="I4" s="41"/>
      <c r="J4" s="32"/>
      <c r="K4" s="42"/>
      <c r="L4" s="658"/>
      <c r="M4" s="658"/>
      <c r="N4" s="658"/>
      <c r="O4" s="658"/>
      <c r="P4" s="658"/>
      <c r="Q4" s="32"/>
      <c r="R4" s="32"/>
      <c r="S4" s="32"/>
      <c r="T4" s="32"/>
      <c r="U4" s="32"/>
      <c r="V4" s="704"/>
      <c r="W4" s="705"/>
      <c r="X4" s="705"/>
      <c r="Y4" s="705"/>
      <c r="Z4" s="705"/>
      <c r="AA4" s="705"/>
      <c r="AB4" s="705"/>
      <c r="AC4" s="705"/>
      <c r="AD4" s="705"/>
      <c r="AE4" s="705"/>
      <c r="AF4" s="705"/>
      <c r="AG4" s="706"/>
      <c r="AH4" s="32"/>
      <c r="AI4" s="32"/>
      <c r="AJ4" s="32"/>
      <c r="AK4" s="32"/>
      <c r="AL4" s="32"/>
      <c r="AM4" s="32"/>
      <c r="AN4" s="39"/>
      <c r="AO4" s="713"/>
      <c r="AP4" s="714"/>
      <c r="AQ4" s="714"/>
      <c r="AR4" s="714"/>
      <c r="AS4" s="32"/>
      <c r="AT4" s="32"/>
      <c r="AV4" s="32"/>
      <c r="AW4" s="32"/>
      <c r="BI4" s="32"/>
      <c r="BJ4" s="32"/>
      <c r="BN4" s="715"/>
      <c r="BO4" s="715"/>
      <c r="BP4" s="715"/>
      <c r="BQ4" s="715"/>
      <c r="BR4" s="42"/>
      <c r="BS4" s="658"/>
      <c r="BT4" s="32"/>
      <c r="BU4" s="658"/>
      <c r="BV4" s="32"/>
      <c r="BW4" s="658"/>
      <c r="BX4" s="32"/>
      <c r="BY4" s="32"/>
      <c r="BZ4" s="32"/>
      <c r="CA4" s="39"/>
    </row>
    <row r="5" spans="1:79" ht="15.75" thickBot="1" x14ac:dyDescent="0.3">
      <c r="A5" s="716" t="s">
        <v>164</v>
      </c>
      <c r="B5" s="717"/>
      <c r="C5" s="32"/>
      <c r="D5" s="32"/>
      <c r="E5" s="32"/>
      <c r="F5" s="32"/>
      <c r="G5" s="32"/>
      <c r="H5" s="32"/>
      <c r="I5" s="41"/>
      <c r="J5" s="32"/>
      <c r="K5" s="32"/>
      <c r="L5" s="44"/>
      <c r="N5" s="44"/>
      <c r="P5" s="44"/>
      <c r="Q5" s="45"/>
      <c r="R5" s="32"/>
      <c r="U5" s="32"/>
      <c r="V5" s="707"/>
      <c r="W5" s="708"/>
      <c r="X5" s="708"/>
      <c r="Y5" s="708"/>
      <c r="Z5" s="708"/>
      <c r="AA5" s="708"/>
      <c r="AB5" s="708"/>
      <c r="AC5" s="708"/>
      <c r="AD5" s="708"/>
      <c r="AE5" s="708"/>
      <c r="AF5" s="708"/>
      <c r="AG5" s="709"/>
      <c r="AH5" s="32"/>
      <c r="AM5" s="32"/>
      <c r="AN5" s="39"/>
      <c r="AO5" s="32"/>
      <c r="AP5" s="32"/>
      <c r="AQ5" s="32"/>
      <c r="AR5" s="32"/>
      <c r="AS5" s="32"/>
      <c r="AT5" s="32"/>
      <c r="AU5" s="32"/>
      <c r="AV5" s="32"/>
      <c r="AW5" s="32"/>
      <c r="AX5" s="32"/>
      <c r="BE5" s="46"/>
      <c r="BF5" s="46"/>
      <c r="BJ5" s="32"/>
      <c r="BO5" s="47"/>
      <c r="BP5" s="47"/>
      <c r="BQ5" s="47"/>
      <c r="BR5" s="32"/>
      <c r="BS5" s="44"/>
      <c r="BU5" s="44"/>
      <c r="BW5" s="44"/>
      <c r="BX5" s="45"/>
      <c r="CA5" s="39"/>
    </row>
    <row r="6" spans="1:79" ht="15.75" x14ac:dyDescent="0.25">
      <c r="A6" s="718"/>
      <c r="B6" s="719"/>
      <c r="C6" s="32"/>
      <c r="D6" s="32"/>
      <c r="E6" s="32"/>
      <c r="F6" s="32"/>
      <c r="G6" s="32"/>
      <c r="H6" s="32"/>
      <c r="I6" s="41"/>
      <c r="J6" s="32"/>
      <c r="K6" s="32"/>
      <c r="L6" s="722"/>
      <c r="M6" s="722"/>
      <c r="N6" s="722"/>
      <c r="O6" s="722"/>
      <c r="P6" s="722"/>
      <c r="Q6" s="32"/>
      <c r="R6" s="32"/>
      <c r="S6" s="32"/>
      <c r="T6" s="32"/>
      <c r="W6" s="32"/>
      <c r="X6" s="32"/>
      <c r="AA6" s="32"/>
      <c r="AB6" s="32"/>
      <c r="AC6" s="32"/>
      <c r="AD6" s="32"/>
      <c r="AG6" s="32"/>
      <c r="AH6" s="32"/>
      <c r="AI6" s="32"/>
      <c r="AJ6" s="723"/>
      <c r="AK6" s="723"/>
      <c r="AL6" s="32"/>
      <c r="AM6" s="32"/>
      <c r="AN6" s="39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J6" s="32"/>
      <c r="BK6" s="32"/>
      <c r="BN6" s="48"/>
      <c r="BO6" s="48"/>
      <c r="BP6" s="48"/>
      <c r="BQ6" s="48"/>
      <c r="BR6" s="682"/>
      <c r="BS6" s="722"/>
      <c r="BT6" s="722"/>
      <c r="BU6" s="722"/>
      <c r="BV6" s="722"/>
      <c r="BW6" s="722"/>
      <c r="CA6" s="39"/>
    </row>
    <row r="7" spans="1:79" x14ac:dyDescent="0.25">
      <c r="A7" s="718"/>
      <c r="B7" s="719"/>
      <c r="C7" s="32"/>
      <c r="D7" s="32"/>
      <c r="E7" s="32"/>
      <c r="F7" s="32"/>
      <c r="G7" s="32"/>
      <c r="H7" s="32"/>
      <c r="I7" s="41"/>
      <c r="J7" s="32"/>
      <c r="K7" s="32"/>
      <c r="L7" s="32"/>
      <c r="P7" s="32"/>
      <c r="Q7" s="32"/>
      <c r="R7" s="32"/>
      <c r="S7" s="32"/>
      <c r="T7" s="44"/>
      <c r="W7" s="32"/>
      <c r="X7" s="32"/>
      <c r="AA7" s="32"/>
      <c r="AB7" s="32"/>
      <c r="AC7" s="32"/>
      <c r="AD7" s="32"/>
      <c r="AG7" s="32"/>
      <c r="AH7" s="32"/>
      <c r="AI7" s="32"/>
      <c r="AJ7" s="723"/>
      <c r="AK7" s="723"/>
      <c r="AL7" s="32"/>
      <c r="AM7" s="32"/>
      <c r="AN7" s="39"/>
      <c r="AO7" s="32"/>
      <c r="AP7" s="724"/>
      <c r="AQ7" s="724"/>
      <c r="AR7" s="724"/>
      <c r="AS7" s="32"/>
      <c r="AT7" s="45"/>
      <c r="AU7" s="32"/>
      <c r="AV7" s="32"/>
      <c r="AW7" s="32"/>
      <c r="AX7" s="32"/>
      <c r="AZ7" s="725"/>
      <c r="BA7" s="725"/>
      <c r="BF7" s="32"/>
      <c r="BG7" s="32"/>
      <c r="BH7" s="32"/>
      <c r="BR7" s="32"/>
      <c r="CA7" s="39"/>
    </row>
    <row r="8" spans="1:79" ht="21" x14ac:dyDescent="0.35">
      <c r="A8" s="718"/>
      <c r="B8" s="719"/>
      <c r="C8" s="32"/>
      <c r="D8" s="32"/>
      <c r="E8" s="726" t="s">
        <v>170</v>
      </c>
      <c r="F8" s="727"/>
      <c r="G8" s="727"/>
      <c r="H8" s="32"/>
      <c r="I8" s="41"/>
      <c r="J8" s="32"/>
      <c r="K8" s="32"/>
      <c r="L8" s="32"/>
      <c r="M8" s="32"/>
      <c r="N8" s="32"/>
      <c r="P8" s="32"/>
      <c r="Q8" s="32"/>
      <c r="R8" s="32"/>
      <c r="S8" s="32"/>
      <c r="T8" s="44"/>
      <c r="W8" s="32"/>
      <c r="X8" s="32"/>
      <c r="AA8" s="32"/>
      <c r="AB8" s="32"/>
      <c r="AC8" s="32"/>
      <c r="AD8" s="32"/>
      <c r="AE8" s="32"/>
      <c r="AF8" s="32"/>
      <c r="AG8" s="32"/>
      <c r="AH8" s="32"/>
      <c r="AI8" s="32"/>
      <c r="AJ8" s="723"/>
      <c r="AK8" s="723"/>
      <c r="AL8" s="32"/>
      <c r="AM8" s="32"/>
      <c r="AN8" s="39"/>
      <c r="AO8" s="32"/>
      <c r="AP8" s="661"/>
      <c r="AQ8" s="661"/>
      <c r="AR8" s="661"/>
      <c r="AS8" s="32"/>
      <c r="AT8" s="42"/>
      <c r="AU8" s="32"/>
      <c r="AV8" s="32"/>
      <c r="AW8" s="63"/>
      <c r="AX8" s="32"/>
      <c r="AY8" s="42"/>
      <c r="AZ8" s="118"/>
      <c r="BA8" s="118"/>
      <c r="BB8" s="32"/>
      <c r="BN8" s="32"/>
      <c r="BO8" s="32"/>
      <c r="BP8" s="680"/>
      <c r="BQ8" s="680"/>
      <c r="BS8" s="32"/>
      <c r="BT8" s="32"/>
      <c r="BW8" s="728" t="s">
        <v>175</v>
      </c>
      <c r="BX8" s="728"/>
      <c r="BY8" s="728"/>
      <c r="CA8" s="39"/>
    </row>
    <row r="9" spans="1:79" ht="18.75" x14ac:dyDescent="0.25">
      <c r="A9" s="718"/>
      <c r="B9" s="719"/>
      <c r="C9" s="32"/>
      <c r="D9" s="32"/>
      <c r="E9" s="727"/>
      <c r="F9" s="727"/>
      <c r="G9" s="727"/>
      <c r="H9" s="32"/>
      <c r="I9" s="41"/>
      <c r="J9" s="32"/>
      <c r="K9" s="32"/>
      <c r="L9" s="32"/>
      <c r="M9" s="32"/>
      <c r="N9" s="32"/>
      <c r="P9" s="32"/>
      <c r="Q9" s="32"/>
      <c r="R9" s="32"/>
      <c r="S9" s="32"/>
      <c r="T9" s="32"/>
      <c r="W9" s="32"/>
      <c r="X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9"/>
      <c r="AP9" s="661"/>
      <c r="AQ9" s="661"/>
      <c r="AR9" s="661"/>
      <c r="AS9" s="55"/>
      <c r="AT9" s="115"/>
      <c r="AU9" s="657"/>
      <c r="AV9" s="657"/>
      <c r="AW9" s="115"/>
      <c r="AX9" s="44"/>
      <c r="AY9" s="118"/>
      <c r="AZ9" s="657"/>
      <c r="BA9" s="657"/>
      <c r="BB9" s="118"/>
      <c r="BC9" s="57"/>
      <c r="BE9" s="686"/>
      <c r="BF9" s="294"/>
      <c r="BG9" s="678"/>
      <c r="BH9" s="32"/>
      <c r="BJ9" s="687"/>
      <c r="BK9" s="688"/>
      <c r="BL9" s="688"/>
      <c r="BN9" s="32"/>
      <c r="BO9" s="32"/>
      <c r="BP9" s="680"/>
      <c r="BQ9" s="680"/>
      <c r="BT9" s="32"/>
      <c r="BU9" s="32"/>
      <c r="BV9" s="63" t="s">
        <v>172</v>
      </c>
      <c r="BW9" s="64"/>
      <c r="BX9" s="64"/>
      <c r="BY9" s="64"/>
      <c r="CA9" s="39"/>
    </row>
    <row r="10" spans="1:79" ht="18.75" x14ac:dyDescent="0.3">
      <c r="A10" s="718"/>
      <c r="B10" s="719"/>
      <c r="C10" s="32"/>
      <c r="D10" s="32"/>
      <c r="E10" s="32"/>
      <c r="F10" s="32"/>
      <c r="G10" s="32"/>
      <c r="H10" s="32"/>
      <c r="I10" s="41"/>
      <c r="J10" s="32"/>
      <c r="K10" s="32"/>
      <c r="L10" s="32"/>
      <c r="M10" s="32"/>
      <c r="N10" s="32"/>
      <c r="P10" s="32"/>
      <c r="Q10" s="32"/>
      <c r="R10" s="32"/>
      <c r="S10" s="32"/>
      <c r="T10" s="32"/>
      <c r="U10" s="32"/>
      <c r="V10" s="32"/>
      <c r="W10" s="32"/>
      <c r="X10" s="32"/>
      <c r="AB10" s="32"/>
      <c r="AC10" s="32"/>
      <c r="AD10" s="32"/>
      <c r="AE10" s="32"/>
      <c r="AF10" s="32"/>
      <c r="AG10" s="32"/>
      <c r="AH10" s="32"/>
      <c r="AN10" s="39"/>
      <c r="AS10" s="55"/>
      <c r="AT10" s="115"/>
      <c r="AU10" s="657"/>
      <c r="AV10" s="657"/>
      <c r="AW10" s="115"/>
      <c r="AX10" s="44"/>
      <c r="AY10" s="118"/>
      <c r="AZ10" s="657"/>
      <c r="BA10" s="657"/>
      <c r="BB10" s="118"/>
      <c r="BC10" s="57"/>
      <c r="BE10" s="32"/>
      <c r="BF10" s="294"/>
      <c r="BG10" s="678"/>
      <c r="BK10" s="688"/>
      <c r="BL10" s="688"/>
      <c r="BN10" s="32"/>
      <c r="BO10" s="32"/>
      <c r="BP10" s="680"/>
      <c r="BQ10" s="680"/>
      <c r="BU10" s="32"/>
      <c r="BV10" s="64"/>
      <c r="BW10" s="66" t="s">
        <v>181</v>
      </c>
      <c r="BX10" s="66" t="s">
        <v>181</v>
      </c>
      <c r="BY10" s="66" t="s">
        <v>181</v>
      </c>
      <c r="BZ10" s="64"/>
      <c r="CA10" s="39"/>
    </row>
    <row r="11" spans="1:79" ht="18.75" x14ac:dyDescent="0.3">
      <c r="A11" s="718"/>
      <c r="B11" s="719"/>
      <c r="C11" s="32"/>
      <c r="D11" s="32"/>
      <c r="E11" s="32"/>
      <c r="F11" s="32"/>
      <c r="G11" s="32"/>
      <c r="H11" s="32"/>
      <c r="I11" s="41"/>
      <c r="J11" s="32"/>
      <c r="K11" s="32"/>
      <c r="L11" s="32"/>
      <c r="M11" s="32"/>
      <c r="N11" s="32"/>
      <c r="P11" s="32"/>
      <c r="Q11" s="32"/>
      <c r="R11" s="32"/>
      <c r="S11" s="32"/>
      <c r="V11" s="32"/>
      <c r="W11" s="32"/>
      <c r="Y11" s="674"/>
      <c r="Z11" s="674"/>
      <c r="AB11" s="32"/>
      <c r="AC11" s="32"/>
      <c r="AD11" s="32"/>
      <c r="AG11" s="32"/>
      <c r="AM11" s="57"/>
      <c r="AN11" s="39"/>
      <c r="AS11" s="55"/>
      <c r="AT11" s="115"/>
      <c r="AU11" s="657"/>
      <c r="AV11" s="657"/>
      <c r="AW11" s="115"/>
      <c r="AX11" s="44"/>
      <c r="AY11" s="118"/>
      <c r="AZ11" s="657"/>
      <c r="BA11" s="657"/>
      <c r="BB11" s="118"/>
      <c r="BC11" s="57"/>
      <c r="BE11" s="32"/>
      <c r="BF11" s="294"/>
      <c r="BG11" s="294"/>
      <c r="BK11" s="688"/>
      <c r="BL11" s="688"/>
      <c r="BN11" s="32"/>
      <c r="BO11" s="32"/>
      <c r="BP11" s="680"/>
      <c r="BQ11" s="680"/>
      <c r="BT11" s="32"/>
      <c r="BU11" s="32"/>
      <c r="BV11" s="66"/>
      <c r="BW11" s="10">
        <v>200</v>
      </c>
      <c r="BX11" s="10">
        <v>200</v>
      </c>
      <c r="BY11" s="10">
        <v>200</v>
      </c>
      <c r="BZ11" s="66"/>
      <c r="CA11" s="39"/>
    </row>
    <row r="12" spans="1:79" ht="18.75" x14ac:dyDescent="0.3">
      <c r="A12" s="718"/>
      <c r="B12" s="719"/>
      <c r="C12" s="32"/>
      <c r="D12" s="32"/>
      <c r="E12" s="32"/>
      <c r="F12" s="32"/>
      <c r="G12" s="32"/>
      <c r="H12" s="32"/>
      <c r="I12" s="41"/>
      <c r="J12" s="32"/>
      <c r="K12" s="32"/>
      <c r="L12" s="32"/>
      <c r="P12" s="32"/>
      <c r="Q12" s="32"/>
      <c r="R12" s="661"/>
      <c r="S12" s="661"/>
      <c r="U12" s="32"/>
      <c r="V12" s="32"/>
      <c r="W12" s="32"/>
      <c r="Y12" s="674"/>
      <c r="Z12" s="674"/>
      <c r="AB12" s="32"/>
      <c r="AC12" s="32"/>
      <c r="AD12" s="32"/>
      <c r="AE12" s="661"/>
      <c r="AF12" s="661"/>
      <c r="AG12" s="32"/>
      <c r="AJ12" s="661"/>
      <c r="AK12" s="661"/>
      <c r="AM12" s="57"/>
      <c r="AN12" s="39"/>
      <c r="AU12" s="32"/>
      <c r="AV12" s="32"/>
      <c r="AZ12" s="118"/>
      <c r="BA12" s="118"/>
      <c r="BE12" s="32"/>
      <c r="BN12" s="32"/>
      <c r="BP12" s="681"/>
      <c r="BQ12" s="681"/>
      <c r="BT12" s="32"/>
      <c r="BU12" s="32"/>
      <c r="BV12" s="66"/>
      <c r="BW12" s="10">
        <v>200</v>
      </c>
      <c r="BX12" s="10">
        <v>200</v>
      </c>
      <c r="BY12" s="10">
        <v>200</v>
      </c>
      <c r="BZ12" s="66"/>
      <c r="CA12" s="39"/>
    </row>
    <row r="13" spans="1:79" ht="18.75" x14ac:dyDescent="0.3">
      <c r="A13" s="720"/>
      <c r="B13" s="721"/>
      <c r="C13" s="32"/>
      <c r="D13" s="32"/>
      <c r="E13" s="32"/>
      <c r="F13" s="32"/>
      <c r="G13" s="32"/>
      <c r="H13" s="32"/>
      <c r="I13" s="41"/>
      <c r="J13" s="32"/>
      <c r="K13" s="32"/>
      <c r="L13" s="32"/>
      <c r="P13" s="32"/>
      <c r="Q13" s="32"/>
      <c r="R13" s="661"/>
      <c r="S13" s="661"/>
      <c r="U13" s="71"/>
      <c r="V13" s="32"/>
      <c r="W13" s="32"/>
      <c r="Y13" s="674"/>
      <c r="Z13" s="674"/>
      <c r="AB13" s="32"/>
      <c r="AC13" s="32"/>
      <c r="AD13" s="32"/>
      <c r="AE13" s="661"/>
      <c r="AF13" s="661"/>
      <c r="AG13" s="32"/>
      <c r="AJ13" s="661"/>
      <c r="AK13" s="661"/>
      <c r="AN13" s="39"/>
      <c r="AS13" s="44"/>
      <c r="AT13" s="32"/>
      <c r="AU13" s="681"/>
      <c r="AV13" s="682"/>
      <c r="BE13" s="32"/>
      <c r="BN13" s="32"/>
      <c r="BO13" s="32"/>
      <c r="BT13" s="32"/>
      <c r="BU13" s="32"/>
      <c r="BV13" s="64"/>
      <c r="BW13" s="66" t="s">
        <v>181</v>
      </c>
      <c r="BX13" s="66" t="s">
        <v>181</v>
      </c>
      <c r="BY13" s="66" t="s">
        <v>181</v>
      </c>
      <c r="BZ13" s="64"/>
      <c r="CA13" s="39"/>
    </row>
    <row r="14" spans="1:79" ht="15.75" x14ac:dyDescent="0.25">
      <c r="A14" s="40"/>
      <c r="B14" s="32"/>
      <c r="C14" s="32"/>
      <c r="D14" s="32"/>
      <c r="E14" s="32"/>
      <c r="F14" s="32"/>
      <c r="G14" s="32"/>
      <c r="H14" s="32"/>
      <c r="I14" s="76"/>
      <c r="K14" s="32"/>
      <c r="L14" s="32"/>
      <c r="P14" s="32"/>
      <c r="Q14" s="32"/>
      <c r="R14" s="661"/>
      <c r="S14" s="661"/>
      <c r="U14" s="32"/>
      <c r="V14" s="32"/>
      <c r="W14" s="32"/>
      <c r="Y14" s="692"/>
      <c r="Z14" s="692"/>
      <c r="AB14" s="32"/>
      <c r="AC14" s="32"/>
      <c r="AD14" s="32"/>
      <c r="AE14" s="32"/>
      <c r="AF14" s="32"/>
      <c r="AG14" s="32"/>
      <c r="AJ14" s="32"/>
      <c r="AK14" s="32"/>
      <c r="AN14" s="39"/>
      <c r="AS14" s="32"/>
      <c r="AT14" s="32"/>
      <c r="AU14" s="32"/>
      <c r="AV14" s="32"/>
      <c r="BF14" s="668"/>
      <c r="BG14" s="668"/>
      <c r="BK14" s="693"/>
      <c r="BL14" s="693"/>
      <c r="BN14" s="32"/>
      <c r="BO14" s="32"/>
      <c r="BT14" s="32"/>
      <c r="BU14" s="32"/>
      <c r="BW14" s="64"/>
      <c r="BX14" s="64"/>
      <c r="BY14" s="64"/>
      <c r="CA14" s="39"/>
    </row>
    <row r="15" spans="1:79" ht="18.75" x14ac:dyDescent="0.25">
      <c r="A15" s="77"/>
      <c r="B15" s="78"/>
      <c r="C15" s="78"/>
      <c r="D15" s="78"/>
      <c r="E15" s="78"/>
      <c r="F15" s="78"/>
      <c r="G15" s="78"/>
      <c r="H15" s="78"/>
      <c r="I15" s="79"/>
      <c r="K15" s="32"/>
      <c r="L15" s="32"/>
      <c r="P15" s="32"/>
      <c r="Q15" s="32"/>
      <c r="U15" s="32"/>
      <c r="V15" s="32"/>
      <c r="W15" s="32"/>
      <c r="AB15" s="32"/>
      <c r="AC15" s="32"/>
      <c r="AD15" s="32"/>
      <c r="AG15" s="32"/>
      <c r="AH15" s="32"/>
      <c r="AI15" s="32"/>
      <c r="AJ15" s="32"/>
      <c r="AK15" s="32"/>
      <c r="AM15" s="32"/>
      <c r="AN15" s="39"/>
      <c r="AR15" s="115"/>
      <c r="AS15" s="32"/>
      <c r="AT15" s="32"/>
      <c r="AY15" s="42"/>
      <c r="AZ15" s="32"/>
      <c r="BA15" s="32"/>
      <c r="BB15" s="63"/>
      <c r="BF15" s="174"/>
      <c r="BG15" s="174"/>
      <c r="BH15" s="63"/>
      <c r="BK15" s="32"/>
      <c r="BL15" s="32"/>
      <c r="BN15" s="32"/>
      <c r="BO15" s="32"/>
      <c r="BP15" s="676"/>
      <c r="BQ15" s="676"/>
      <c r="BT15" s="32"/>
      <c r="BU15" s="32"/>
      <c r="BV15" s="84"/>
      <c r="BW15" s="84"/>
      <c r="BX15" s="84"/>
      <c r="BY15" s="84"/>
      <c r="BZ15" s="32"/>
      <c r="CA15" s="39"/>
    </row>
    <row r="16" spans="1:79" ht="18.75" x14ac:dyDescent="0.25">
      <c r="A16" s="85"/>
      <c r="B16" s="32"/>
      <c r="C16" s="32"/>
      <c r="D16" s="32"/>
      <c r="E16" s="32"/>
      <c r="F16" s="32"/>
      <c r="G16" s="32"/>
      <c r="K16" s="32"/>
      <c r="L16" s="32"/>
      <c r="M16" s="32"/>
      <c r="N16" s="32"/>
      <c r="P16" s="32"/>
      <c r="Q16" s="32"/>
      <c r="U16" s="32"/>
      <c r="V16" s="32"/>
      <c r="W16" s="32"/>
      <c r="X16" s="32"/>
      <c r="Y16" s="725"/>
      <c r="Z16" s="725"/>
      <c r="AA16" s="32"/>
      <c r="AB16" s="32"/>
      <c r="AC16" s="32"/>
      <c r="AD16" s="32"/>
      <c r="AG16" s="32"/>
      <c r="AH16" s="32"/>
      <c r="AI16" s="32"/>
      <c r="AM16" s="32"/>
      <c r="AN16" s="39"/>
      <c r="AR16" s="657"/>
      <c r="AS16" s="32"/>
      <c r="AT16" s="32"/>
      <c r="AU16" s="216"/>
      <c r="AV16" s="216"/>
      <c r="AY16" s="115"/>
      <c r="AZ16" s="657"/>
      <c r="BA16" s="657"/>
      <c r="BB16" s="115"/>
      <c r="BC16" s="58"/>
      <c r="BE16" s="85"/>
      <c r="BF16" s="657"/>
      <c r="BG16" s="657"/>
      <c r="BH16" s="85"/>
      <c r="BJ16" s="115"/>
      <c r="BK16" s="657"/>
      <c r="BL16" s="657"/>
      <c r="BM16" s="115"/>
      <c r="BN16" s="32"/>
      <c r="BO16" s="32"/>
      <c r="BP16" s="676"/>
      <c r="BQ16" s="676"/>
      <c r="BT16" s="32"/>
      <c r="BV16" s="63" t="s">
        <v>193</v>
      </c>
      <c r="BW16" s="64"/>
      <c r="BX16" s="64"/>
      <c r="BY16" s="64"/>
      <c r="BZ16" s="32"/>
      <c r="CA16" s="39"/>
    </row>
    <row r="17" spans="1:80" ht="21" x14ac:dyDescent="0.25">
      <c r="A17" s="653"/>
      <c r="B17" s="85"/>
      <c r="C17" s="85"/>
      <c r="D17" s="32"/>
      <c r="E17" s="32"/>
      <c r="F17" s="32"/>
      <c r="G17" s="32"/>
      <c r="K17" s="32"/>
      <c r="L17" s="32"/>
      <c r="M17" s="32"/>
      <c r="N17" s="32"/>
      <c r="O17" s="32"/>
      <c r="P17" s="32"/>
      <c r="Q17" s="32"/>
      <c r="R17" s="32"/>
      <c r="S17" s="32"/>
      <c r="U17" s="32"/>
      <c r="V17" s="32"/>
      <c r="W17" s="32"/>
      <c r="X17" s="32"/>
      <c r="Y17" s="670"/>
      <c r="Z17" s="670"/>
      <c r="AA17" s="32"/>
      <c r="AB17" s="32"/>
      <c r="AC17" s="32"/>
      <c r="AD17" s="32"/>
      <c r="AG17" s="32"/>
      <c r="AH17" s="32"/>
      <c r="AI17" s="90"/>
      <c r="AJ17" s="725"/>
      <c r="AK17" s="725"/>
      <c r="AL17" s="55"/>
      <c r="AM17" s="32"/>
      <c r="AN17" s="39"/>
      <c r="AR17" s="657"/>
      <c r="AS17" s="32"/>
      <c r="AT17" s="32"/>
      <c r="AU17" s="216"/>
      <c r="AV17" s="216"/>
      <c r="AY17" s="115"/>
      <c r="AZ17" s="657"/>
      <c r="BA17" s="657"/>
      <c r="BB17" s="115"/>
      <c r="BC17" s="58"/>
      <c r="BE17" s="85"/>
      <c r="BF17" s="657"/>
      <c r="BG17" s="657"/>
      <c r="BH17" s="85"/>
      <c r="BJ17" s="115"/>
      <c r="BK17" s="657"/>
      <c r="BL17" s="657"/>
      <c r="BM17" s="115"/>
      <c r="BN17" s="32"/>
      <c r="BO17" s="32"/>
      <c r="BP17" s="676"/>
      <c r="BQ17" s="676"/>
      <c r="BT17" s="32"/>
      <c r="BV17" s="64"/>
      <c r="BW17" s="91" t="s">
        <v>181</v>
      </c>
      <c r="BX17" s="91" t="s">
        <v>181</v>
      </c>
      <c r="BY17" s="92"/>
      <c r="BZ17" s="53" t="s">
        <v>195</v>
      </c>
      <c r="CA17" s="39"/>
    </row>
    <row r="18" spans="1:80" ht="21" x14ac:dyDescent="0.25">
      <c r="A18" s="653"/>
      <c r="B18" s="32"/>
      <c r="C18" s="32"/>
      <c r="D18" s="32"/>
      <c r="E18" s="32"/>
      <c r="F18" s="32"/>
      <c r="G18" s="32"/>
      <c r="K18" s="32"/>
      <c r="L18" s="32"/>
      <c r="O18" s="32"/>
      <c r="P18" s="44"/>
      <c r="Q18" s="44"/>
      <c r="R18" s="659"/>
      <c r="S18" s="659"/>
      <c r="U18" s="32"/>
      <c r="V18" s="32"/>
      <c r="W18" s="55"/>
      <c r="X18" s="670"/>
      <c r="Y18" s="657"/>
      <c r="Z18" s="657"/>
      <c r="AA18" s="670"/>
      <c r="AB18" s="57"/>
      <c r="AC18" s="32"/>
      <c r="AD18" s="32"/>
      <c r="AE18" s="675"/>
      <c r="AF18" s="675"/>
      <c r="AG18" s="32"/>
      <c r="AH18" s="32"/>
      <c r="AI18" s="42"/>
      <c r="AJ18" s="115"/>
      <c r="AK18" s="115"/>
      <c r="AM18" s="32"/>
      <c r="AN18" s="39"/>
      <c r="AO18" s="32"/>
      <c r="AP18" s="32"/>
      <c r="AR18" s="115"/>
      <c r="AS18" s="32"/>
      <c r="AT18" s="32"/>
      <c r="AU18" s="216"/>
      <c r="AV18" s="216"/>
      <c r="AY18" s="115"/>
      <c r="AZ18" s="657"/>
      <c r="BA18" s="657"/>
      <c r="BB18" s="115"/>
      <c r="BC18" s="58"/>
      <c r="BE18" s="85"/>
      <c r="BF18" s="657"/>
      <c r="BG18" s="657"/>
      <c r="BH18" s="85"/>
      <c r="BJ18" s="115"/>
      <c r="BK18" s="657"/>
      <c r="BL18" s="657"/>
      <c r="BM18" s="115"/>
      <c r="BN18" s="32"/>
      <c r="BP18" s="681"/>
      <c r="BQ18" s="681"/>
      <c r="BS18" s="32"/>
      <c r="BT18" s="32"/>
      <c r="BV18" s="92"/>
      <c r="BW18" s="10">
        <v>100</v>
      </c>
      <c r="BX18" s="10">
        <v>100</v>
      </c>
      <c r="BY18" s="10">
        <v>100</v>
      </c>
      <c r="BZ18" s="92"/>
      <c r="CA18" s="39"/>
    </row>
    <row r="19" spans="1:80" ht="21.75" thickBot="1" x14ac:dyDescent="0.3">
      <c r="A19" s="653"/>
      <c r="B19" s="654"/>
      <c r="C19" s="654"/>
      <c r="D19" s="655"/>
      <c r="E19" s="32"/>
      <c r="F19" s="32"/>
      <c r="G19" s="32"/>
      <c r="I19" s="740"/>
      <c r="J19" s="740"/>
      <c r="R19" s="659"/>
      <c r="S19" s="659"/>
      <c r="U19" s="32"/>
      <c r="V19" s="32"/>
      <c r="W19" s="55"/>
      <c r="X19" s="670"/>
      <c r="Y19" s="657"/>
      <c r="Z19" s="657"/>
      <c r="AA19" s="670"/>
      <c r="AB19" s="57"/>
      <c r="AC19" s="32"/>
      <c r="AD19" s="32"/>
      <c r="AE19" s="676"/>
      <c r="AF19" s="676"/>
      <c r="AG19" s="32"/>
      <c r="AH19" s="55"/>
      <c r="AI19" s="115"/>
      <c r="AJ19" s="657"/>
      <c r="AK19" s="657"/>
      <c r="AL19" s="115"/>
      <c r="AM19" s="57"/>
      <c r="AN19" s="39"/>
      <c r="AO19" s="32"/>
      <c r="AP19" s="32"/>
      <c r="AQ19" s="32"/>
      <c r="AR19" s="32"/>
      <c r="AS19" s="32"/>
      <c r="AT19" s="32"/>
      <c r="AU19" s="32"/>
      <c r="AV19" s="32"/>
      <c r="AY19" s="32"/>
      <c r="AZ19" s="32"/>
      <c r="BA19" s="32"/>
      <c r="BB19" s="32"/>
      <c r="BC19" s="58"/>
      <c r="BF19" s="174"/>
      <c r="BG19" s="174"/>
      <c r="BK19" s="32"/>
      <c r="BL19" s="32"/>
      <c r="BN19" s="32"/>
      <c r="BO19" s="32"/>
      <c r="BS19" s="32"/>
      <c r="BT19" s="32"/>
      <c r="BV19" s="92"/>
      <c r="BW19" s="10">
        <v>100</v>
      </c>
      <c r="BX19" s="10">
        <v>100</v>
      </c>
      <c r="BY19" s="10">
        <v>100</v>
      </c>
      <c r="BZ19" s="92"/>
      <c r="CA19" s="39"/>
    </row>
    <row r="20" spans="1:80" ht="21" x14ac:dyDescent="0.25">
      <c r="A20" s="85"/>
      <c r="B20" s="85"/>
      <c r="C20" s="32"/>
      <c r="D20" s="85"/>
      <c r="E20" s="32"/>
      <c r="F20" s="32"/>
      <c r="G20" s="32"/>
      <c r="I20" s="660"/>
      <c r="J20" s="660"/>
      <c r="R20" s="659"/>
      <c r="S20" s="659"/>
      <c r="U20" s="32"/>
      <c r="V20" s="32"/>
      <c r="W20" s="55"/>
      <c r="X20" s="670"/>
      <c r="Y20" s="657"/>
      <c r="Z20" s="657"/>
      <c r="AA20" s="670"/>
      <c r="AB20" s="57"/>
      <c r="AC20" s="32"/>
      <c r="AD20" s="32"/>
      <c r="AE20" s="676"/>
      <c r="AF20" s="676"/>
      <c r="AG20" s="32"/>
      <c r="AH20" s="55"/>
      <c r="AI20" s="115"/>
      <c r="AJ20" s="657"/>
      <c r="AK20" s="657"/>
      <c r="AL20" s="115"/>
      <c r="AM20" s="57"/>
      <c r="AN20" s="741" t="s">
        <v>202</v>
      </c>
      <c r="AO20" s="32"/>
      <c r="AQ20" s="683"/>
      <c r="AT20" s="32"/>
      <c r="AU20" s="32"/>
      <c r="AV20" s="32"/>
      <c r="AW20" s="32"/>
      <c r="BC20" s="32"/>
      <c r="BT20" s="32"/>
      <c r="BV20" s="64"/>
      <c r="BW20" s="91" t="s">
        <v>181</v>
      </c>
      <c r="BX20" s="92"/>
      <c r="BY20" s="91" t="s">
        <v>181</v>
      </c>
      <c r="BZ20" s="64"/>
      <c r="CA20" s="39"/>
    </row>
    <row r="21" spans="1:80" ht="21" x14ac:dyDescent="0.25">
      <c r="B21" s="85"/>
      <c r="C21" s="32"/>
      <c r="D21" s="85"/>
      <c r="E21" s="32"/>
      <c r="F21" s="32"/>
      <c r="G21" s="32"/>
      <c r="I21" s="32"/>
      <c r="J21" s="32"/>
      <c r="L21" s="32"/>
      <c r="M21" s="659"/>
      <c r="N21" s="659"/>
      <c r="O21" s="32"/>
      <c r="P21" s="44"/>
      <c r="Q21" s="44"/>
      <c r="R21" s="659"/>
      <c r="S21" s="659"/>
      <c r="W21" s="55"/>
      <c r="X21" s="670"/>
      <c r="Y21" s="657"/>
      <c r="Z21" s="657"/>
      <c r="AA21" s="670"/>
      <c r="AB21" s="57"/>
      <c r="AC21" s="32"/>
      <c r="AD21" s="32"/>
      <c r="AE21" s="676"/>
      <c r="AF21" s="676"/>
      <c r="AG21" s="32"/>
      <c r="AH21" s="32"/>
      <c r="AI21" s="32"/>
      <c r="AJ21" s="115"/>
      <c r="AK21" s="115"/>
      <c r="AL21" s="32"/>
      <c r="AM21" s="57"/>
      <c r="AN21" s="742"/>
      <c r="AO21" s="32"/>
      <c r="AQ21" s="683"/>
      <c r="AT21" s="32"/>
      <c r="AU21" s="32"/>
      <c r="AV21" s="32"/>
      <c r="AX21" s="32"/>
      <c r="AY21" s="32"/>
      <c r="AZ21" s="32"/>
      <c r="BA21" s="32"/>
      <c r="BB21" s="32"/>
      <c r="BC21" s="32"/>
      <c r="BI21" s="102"/>
      <c r="BO21" s="32"/>
      <c r="BP21" s="725"/>
      <c r="BQ21" s="725"/>
      <c r="BR21" s="32"/>
      <c r="BS21" s="32"/>
      <c r="BV21" s="32"/>
      <c r="BW21" s="64"/>
      <c r="BX21" s="64"/>
      <c r="BY21" s="64"/>
      <c r="BZ21" s="32"/>
      <c r="CA21" s="39"/>
    </row>
    <row r="22" spans="1:80" ht="21" x14ac:dyDescent="0.3">
      <c r="A22" s="85"/>
      <c r="B22" s="653"/>
      <c r="C22" s="85"/>
      <c r="D22" s="653"/>
      <c r="E22" s="85"/>
      <c r="F22" s="32"/>
      <c r="G22" s="32"/>
      <c r="I22" s="660"/>
      <c r="J22" s="660"/>
      <c r="L22" s="32"/>
      <c r="M22" s="659"/>
      <c r="N22" s="659"/>
      <c r="P22" s="32"/>
      <c r="W22" s="32"/>
      <c r="X22" s="32"/>
      <c r="Y22" s="670"/>
      <c r="Z22" s="670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742"/>
      <c r="AO22" s="32"/>
      <c r="AQ22" s="684"/>
      <c r="AT22" s="32"/>
      <c r="AU22" s="32"/>
      <c r="AV22" s="32"/>
      <c r="AX22" s="32"/>
      <c r="AY22" s="47"/>
      <c r="AZ22" s="668"/>
      <c r="BA22" s="104"/>
      <c r="BB22" s="32"/>
      <c r="BC22" s="32"/>
      <c r="BF22" s="668"/>
      <c r="BG22" s="689"/>
      <c r="BK22" s="690"/>
      <c r="BL22" s="690"/>
      <c r="BO22" s="42"/>
      <c r="BP22" s="670"/>
      <c r="BQ22" s="670"/>
      <c r="BR22" s="63"/>
      <c r="BS22" s="32"/>
      <c r="BV22" s="63" t="s">
        <v>174</v>
      </c>
      <c r="BW22" s="108"/>
      <c r="BX22" s="108"/>
      <c r="BY22" s="108"/>
      <c r="BZ22" s="53" t="s">
        <v>208</v>
      </c>
      <c r="CA22" s="39"/>
    </row>
    <row r="23" spans="1:80" ht="21" x14ac:dyDescent="0.3">
      <c r="A23" s="729"/>
      <c r="B23" s="729"/>
      <c r="C23" s="729"/>
      <c r="D23" s="729"/>
      <c r="E23" s="729"/>
      <c r="F23" s="32"/>
      <c r="G23" s="32"/>
      <c r="H23" s="32"/>
      <c r="I23" s="32"/>
      <c r="J23" s="32"/>
      <c r="M23" s="659"/>
      <c r="N23" s="659"/>
      <c r="P23" s="32"/>
      <c r="V23" s="32"/>
      <c r="W23" s="32"/>
      <c r="X23" s="32"/>
      <c r="Y23" s="32"/>
      <c r="Z23" s="32"/>
      <c r="AA23" s="32"/>
      <c r="AB23" s="32"/>
      <c r="AC23" s="32"/>
      <c r="AD23" s="32"/>
      <c r="AG23" s="32"/>
      <c r="AM23" s="32"/>
      <c r="AN23" s="742"/>
      <c r="AO23" s="32"/>
      <c r="AR23" s="674"/>
      <c r="AT23" s="32"/>
      <c r="AU23" s="674"/>
      <c r="AV23" s="674"/>
      <c r="AX23" s="32"/>
      <c r="AY23" s="42"/>
      <c r="AZ23" s="115"/>
      <c r="BA23" s="115"/>
      <c r="BB23" s="63"/>
      <c r="BC23" s="32"/>
      <c r="BE23" s="42"/>
      <c r="BF23" s="691"/>
      <c r="BG23" s="691"/>
      <c r="BH23" s="63"/>
      <c r="BK23" s="676"/>
      <c r="BL23" s="676"/>
      <c r="BN23" s="55"/>
      <c r="BO23" s="670"/>
      <c r="BP23" s="657"/>
      <c r="BQ23" s="657"/>
      <c r="BR23" s="670"/>
      <c r="BS23" s="57"/>
      <c r="BU23" s="63"/>
      <c r="BV23" s="108"/>
      <c r="BW23" s="92"/>
      <c r="BX23" s="92"/>
      <c r="BY23" s="92"/>
      <c r="BZ23" s="108"/>
      <c r="CA23" s="32"/>
      <c r="CB23" s="111"/>
    </row>
    <row r="24" spans="1:80" ht="21" x14ac:dyDescent="0.3">
      <c r="A24" s="730" t="s">
        <v>213</v>
      </c>
      <c r="B24" s="717"/>
      <c r="C24" s="733" t="s">
        <v>214</v>
      </c>
      <c r="D24" s="734"/>
      <c r="E24" s="717"/>
      <c r="F24" s="32"/>
      <c r="G24" s="32"/>
      <c r="H24" s="32"/>
      <c r="I24" s="660"/>
      <c r="J24" s="660"/>
      <c r="V24" s="32"/>
      <c r="AE24" s="677"/>
      <c r="AF24" s="677"/>
      <c r="AI24" s="32"/>
      <c r="AJ24" s="32"/>
      <c r="AK24" s="32"/>
      <c r="AL24" s="32"/>
      <c r="AM24" s="32"/>
      <c r="AN24" s="742"/>
      <c r="AO24" s="32"/>
      <c r="AR24" s="674"/>
      <c r="AT24" s="32"/>
      <c r="AU24" s="674"/>
      <c r="AV24" s="674"/>
      <c r="AX24" s="55"/>
      <c r="AY24" s="115"/>
      <c r="AZ24" s="657"/>
      <c r="BA24" s="657"/>
      <c r="BB24" s="115"/>
      <c r="BC24" s="57"/>
      <c r="BD24" s="55"/>
      <c r="BE24" s="669"/>
      <c r="BF24" s="657"/>
      <c r="BG24" s="657"/>
      <c r="BH24" s="669"/>
      <c r="BI24" s="57"/>
      <c r="BK24" s="676"/>
      <c r="BL24" s="676"/>
      <c r="BN24" s="55"/>
      <c r="BO24" s="670"/>
      <c r="BP24" s="657"/>
      <c r="BQ24" s="657"/>
      <c r="BR24" s="670"/>
      <c r="BS24" s="57"/>
      <c r="BU24" s="108"/>
      <c r="BV24" s="92"/>
      <c r="BW24" s="10">
        <v>500</v>
      </c>
      <c r="BX24" s="10">
        <v>500</v>
      </c>
      <c r="BY24" s="10">
        <v>500</v>
      </c>
      <c r="BZ24" s="92"/>
      <c r="CA24" s="32"/>
      <c r="CB24" s="111"/>
    </row>
    <row r="25" spans="1:80" ht="21" x14ac:dyDescent="0.3">
      <c r="A25" s="731"/>
      <c r="B25" s="719"/>
      <c r="C25" s="727"/>
      <c r="D25" s="727"/>
      <c r="E25" s="719"/>
      <c r="F25" s="32"/>
      <c r="G25" s="32"/>
      <c r="H25" s="32"/>
      <c r="I25" s="32"/>
      <c r="J25" s="32"/>
      <c r="K25" s="32"/>
      <c r="M25" s="661"/>
      <c r="N25" s="661"/>
      <c r="O25" s="32"/>
      <c r="P25" s="32"/>
      <c r="Q25" s="32"/>
      <c r="R25" s="294"/>
      <c r="S25" s="294"/>
      <c r="T25" s="32"/>
      <c r="U25" s="32"/>
      <c r="V25" s="44"/>
      <c r="Y25" s="667"/>
      <c r="Z25" s="667"/>
      <c r="AC25" s="32"/>
      <c r="AD25" s="32"/>
      <c r="AE25" s="677"/>
      <c r="AF25" s="677"/>
      <c r="AG25" s="32"/>
      <c r="AH25" s="32"/>
      <c r="AI25" s="32"/>
      <c r="AJ25" s="32"/>
      <c r="AK25" s="32"/>
      <c r="AL25" s="32"/>
      <c r="AM25" s="32"/>
      <c r="AN25" s="742"/>
      <c r="AO25" s="32"/>
      <c r="AT25" s="32"/>
      <c r="AU25" s="674"/>
      <c r="AV25" s="674"/>
      <c r="AX25" s="55"/>
      <c r="AY25" s="115"/>
      <c r="AZ25" s="657"/>
      <c r="BA25" s="657"/>
      <c r="BB25" s="115"/>
      <c r="BC25" s="57"/>
      <c r="BD25" s="55"/>
      <c r="BE25" s="669"/>
      <c r="BF25" s="657"/>
      <c r="BG25" s="657"/>
      <c r="BH25" s="669"/>
      <c r="BI25" s="57"/>
      <c r="BK25" s="676"/>
      <c r="BL25" s="676"/>
      <c r="BN25" s="55"/>
      <c r="BO25" s="670"/>
      <c r="BP25" s="657"/>
      <c r="BQ25" s="657"/>
      <c r="BR25" s="670"/>
      <c r="BS25" s="57"/>
      <c r="BU25" s="108"/>
      <c r="BV25" s="92"/>
      <c r="BW25" s="10">
        <v>500</v>
      </c>
      <c r="BX25" s="10">
        <v>500</v>
      </c>
      <c r="BY25" s="10">
        <v>500</v>
      </c>
      <c r="BZ25" s="92"/>
      <c r="CA25" s="32"/>
      <c r="CB25" s="111"/>
    </row>
    <row r="26" spans="1:80" ht="21.75" thickBot="1" x14ac:dyDescent="0.35">
      <c r="A26" s="731"/>
      <c r="B26" s="719"/>
      <c r="C26" s="727"/>
      <c r="D26" s="727"/>
      <c r="E26" s="719"/>
      <c r="F26" s="32"/>
      <c r="G26" s="32"/>
      <c r="H26" s="32"/>
      <c r="I26" s="32"/>
      <c r="J26" s="32"/>
      <c r="K26" s="32"/>
      <c r="L26" s="32"/>
      <c r="M26" s="661"/>
      <c r="N26" s="661"/>
      <c r="R26" s="294"/>
      <c r="S26" s="294"/>
      <c r="Y26" s="667"/>
      <c r="Z26" s="667"/>
      <c r="AC26" s="32"/>
      <c r="AD26" s="32"/>
      <c r="AE26" s="677"/>
      <c r="AF26" s="677"/>
      <c r="AG26" s="32"/>
      <c r="AH26" s="32"/>
      <c r="AI26" s="32"/>
      <c r="AN26" s="743"/>
      <c r="AO26" s="32"/>
      <c r="AQ26" s="683"/>
      <c r="AT26" s="32"/>
      <c r="AU26" s="674"/>
      <c r="AV26" s="674"/>
      <c r="AX26" s="55"/>
      <c r="AY26" s="115"/>
      <c r="AZ26" s="657"/>
      <c r="BA26" s="657"/>
      <c r="BB26" s="115"/>
      <c r="BC26" s="57"/>
      <c r="BD26" s="55"/>
      <c r="BE26" s="669"/>
      <c r="BF26" s="657"/>
      <c r="BG26" s="657"/>
      <c r="BH26" s="669"/>
      <c r="BI26" s="57"/>
      <c r="BN26" s="55"/>
      <c r="BO26" s="670"/>
      <c r="BP26" s="657"/>
      <c r="BQ26" s="657"/>
      <c r="BR26" s="670"/>
      <c r="BS26" s="57"/>
      <c r="BU26" s="32"/>
      <c r="BV26" s="108"/>
      <c r="BW26" s="92"/>
      <c r="BX26" s="92"/>
      <c r="BY26" s="92"/>
      <c r="BZ26" s="108"/>
      <c r="CA26" s="32"/>
      <c r="CB26" s="111"/>
    </row>
    <row r="27" spans="1:80" ht="21.75" thickBot="1" x14ac:dyDescent="0.35">
      <c r="A27" s="731"/>
      <c r="B27" s="719"/>
      <c r="C27" s="727"/>
      <c r="D27" s="727"/>
      <c r="E27" s="719"/>
      <c r="F27" s="32"/>
      <c r="G27" s="115"/>
      <c r="H27" s="32"/>
      <c r="I27" s="32"/>
      <c r="J27" s="32"/>
      <c r="K27" s="32"/>
      <c r="L27" s="32"/>
      <c r="M27" s="661"/>
      <c r="N27" s="661"/>
      <c r="R27" s="294"/>
      <c r="S27" s="294"/>
      <c r="Y27" s="667"/>
      <c r="Z27" s="667"/>
      <c r="AC27" s="32"/>
      <c r="AD27" s="32"/>
      <c r="AE27" s="736"/>
      <c r="AF27" s="736"/>
      <c r="AG27" s="32"/>
      <c r="AH27" s="32"/>
      <c r="AI27" s="32"/>
      <c r="AN27" s="39"/>
      <c r="AO27" s="32"/>
      <c r="AT27" s="32"/>
      <c r="AX27" s="55"/>
      <c r="AY27" s="115"/>
      <c r="AZ27" s="657"/>
      <c r="BA27" s="657"/>
      <c r="BB27" s="115"/>
      <c r="BC27" s="57"/>
      <c r="BD27" s="55"/>
      <c r="BE27" s="669"/>
      <c r="BF27" s="657"/>
      <c r="BG27" s="657"/>
      <c r="BH27" s="669"/>
      <c r="BI27" s="57"/>
      <c r="BO27" s="116"/>
      <c r="BP27" s="670"/>
      <c r="BQ27" s="670"/>
      <c r="BR27" s="116"/>
      <c r="BS27" s="32"/>
      <c r="BV27" s="32"/>
      <c r="BW27" s="108"/>
      <c r="BX27" s="108"/>
      <c r="BY27" s="108"/>
      <c r="BZ27" s="32"/>
      <c r="CA27" s="39"/>
    </row>
    <row r="28" spans="1:80" ht="19.5" thickBot="1" x14ac:dyDescent="0.3">
      <c r="A28" s="731"/>
      <c r="B28" s="719"/>
      <c r="C28" s="727"/>
      <c r="D28" s="727"/>
      <c r="E28" s="719"/>
      <c r="F28" s="32"/>
      <c r="G28" s="55"/>
      <c r="H28" s="32"/>
      <c r="I28" s="32"/>
      <c r="J28" s="32"/>
      <c r="K28" s="32"/>
      <c r="L28" s="32"/>
      <c r="M28" s="32"/>
      <c r="N28" s="32"/>
      <c r="O28" s="32"/>
      <c r="P28" s="32"/>
      <c r="U28" s="32"/>
      <c r="AC28" s="32"/>
      <c r="AD28" s="32"/>
      <c r="AE28" s="32"/>
      <c r="AF28" s="32"/>
      <c r="AG28" s="32"/>
      <c r="AH28" s="32"/>
      <c r="AN28" s="39"/>
      <c r="AO28" s="32"/>
      <c r="AT28" s="32"/>
      <c r="AW28" s="32"/>
      <c r="AX28" s="32"/>
      <c r="AY28" s="32"/>
      <c r="AZ28" s="115"/>
      <c r="BA28" s="115"/>
      <c r="BB28" s="32"/>
      <c r="BC28" s="32"/>
      <c r="BF28" s="691"/>
      <c r="BG28" s="691"/>
      <c r="BJ28" s="737"/>
      <c r="BK28" s="737"/>
      <c r="BW28" s="744" t="s">
        <v>217</v>
      </c>
      <c r="BX28" s="744"/>
      <c r="BY28" s="745"/>
      <c r="CA28" s="39"/>
    </row>
    <row r="29" spans="1:80" ht="15.75" thickBot="1" x14ac:dyDescent="0.3">
      <c r="A29" s="731"/>
      <c r="B29" s="719"/>
      <c r="C29" s="727"/>
      <c r="D29" s="727"/>
      <c r="E29" s="719"/>
      <c r="F29" s="32"/>
      <c r="G29" s="55"/>
      <c r="H29" s="32"/>
      <c r="I29" s="32"/>
      <c r="J29" s="32"/>
      <c r="K29" s="32"/>
      <c r="L29" s="32"/>
      <c r="M29" s="737"/>
      <c r="N29" s="737"/>
      <c r="O29" s="32"/>
      <c r="P29" s="32"/>
      <c r="Q29" s="32"/>
      <c r="T29" s="32"/>
      <c r="U29" s="32"/>
      <c r="AC29" s="32"/>
      <c r="AD29" s="32"/>
      <c r="AE29" s="32"/>
      <c r="AF29" s="32"/>
      <c r="AG29" s="32"/>
      <c r="AH29" s="32"/>
      <c r="AN29" s="39"/>
      <c r="AO29" s="32"/>
      <c r="AT29" s="32"/>
      <c r="AW29" s="32"/>
      <c r="AX29" s="32"/>
      <c r="BC29" s="32"/>
      <c r="BJ29" s="738"/>
      <c r="BK29" s="738"/>
      <c r="BL29" s="32"/>
      <c r="BM29" s="32"/>
      <c r="BN29" s="32"/>
      <c r="BO29" s="32"/>
      <c r="BP29" s="32"/>
      <c r="BQ29" s="32"/>
      <c r="BR29" s="32"/>
      <c r="BS29" s="32"/>
      <c r="CA29" s="39"/>
    </row>
    <row r="30" spans="1:80" ht="21.75" thickBot="1" x14ac:dyDescent="0.3">
      <c r="A30" s="731"/>
      <c r="B30" s="719"/>
      <c r="C30" s="727"/>
      <c r="D30" s="727"/>
      <c r="E30" s="719"/>
      <c r="F30" s="32"/>
      <c r="G30" s="32"/>
      <c r="H30" s="32"/>
      <c r="K30" s="32"/>
      <c r="L30" s="32"/>
      <c r="M30" s="738"/>
      <c r="N30" s="738"/>
      <c r="O30" s="32"/>
      <c r="P30" s="32"/>
      <c r="Q30" s="42"/>
      <c r="T30" s="117"/>
      <c r="U30" s="32"/>
      <c r="AC30" s="32"/>
      <c r="AD30" s="32"/>
      <c r="AE30" s="32"/>
      <c r="AF30" s="32"/>
      <c r="AG30" s="32"/>
      <c r="AH30" s="32"/>
      <c r="AN30" s="39"/>
      <c r="AO30" s="32"/>
      <c r="AT30" s="32"/>
      <c r="AW30" s="32"/>
      <c r="BI30" s="32"/>
      <c r="BJ30" s="32"/>
      <c r="BK30" s="32"/>
      <c r="BL30" s="32"/>
      <c r="BM30" s="32"/>
      <c r="BN30" s="32"/>
      <c r="BO30" s="32"/>
      <c r="BP30" s="32"/>
      <c r="BQ30" s="32"/>
      <c r="BS30" s="32"/>
      <c r="BZ30" s="32"/>
      <c r="CA30" s="39"/>
    </row>
    <row r="31" spans="1:80" ht="18.75" x14ac:dyDescent="0.25">
      <c r="A31" s="731"/>
      <c r="B31" s="719"/>
      <c r="C31" s="735"/>
      <c r="D31" s="735"/>
      <c r="E31" s="721"/>
      <c r="F31" s="32"/>
      <c r="G31" s="32"/>
      <c r="H31" s="32"/>
      <c r="K31" s="32"/>
      <c r="M31" s="32"/>
      <c r="N31" s="32"/>
      <c r="O31" s="32"/>
      <c r="P31" s="32"/>
      <c r="Q31" s="118"/>
      <c r="T31" s="118"/>
      <c r="U31" s="32"/>
      <c r="AC31" s="32"/>
      <c r="AG31" s="32"/>
      <c r="AH31" s="32"/>
      <c r="AN31" s="39"/>
      <c r="AO31" s="32"/>
      <c r="AT31" s="32"/>
      <c r="AW31" s="32"/>
      <c r="BI31" s="32"/>
      <c r="BL31" s="32"/>
      <c r="BM31" s="32"/>
      <c r="BN31" s="32"/>
      <c r="BS31" s="32"/>
      <c r="BV31" s="119" t="s">
        <v>218</v>
      </c>
      <c r="BW31" s="120">
        <v>7</v>
      </c>
      <c r="BX31" s="120">
        <v>6</v>
      </c>
      <c r="BY31" s="120">
        <v>5</v>
      </c>
      <c r="BZ31" s="53" t="s">
        <v>208</v>
      </c>
      <c r="CA31" s="39"/>
    </row>
    <row r="32" spans="1:80" ht="21" x14ac:dyDescent="0.25">
      <c r="A32" s="731"/>
      <c r="B32" s="719"/>
      <c r="C32" s="32"/>
      <c r="D32" s="32"/>
      <c r="E32" s="32"/>
      <c r="F32" s="32"/>
      <c r="G32" s="32"/>
      <c r="H32" s="32"/>
      <c r="K32" s="32"/>
      <c r="L32" s="32"/>
      <c r="O32" s="32"/>
      <c r="P32" s="32"/>
      <c r="Q32" s="118"/>
      <c r="R32" s="118"/>
      <c r="S32" s="118"/>
      <c r="T32" s="32"/>
      <c r="U32" s="32"/>
      <c r="AC32" s="32"/>
      <c r="AG32" s="32"/>
      <c r="AH32" s="32"/>
      <c r="AN32" s="39"/>
      <c r="AO32" s="32"/>
      <c r="AT32" s="32"/>
      <c r="AU32" s="32"/>
      <c r="AV32" s="32"/>
      <c r="AW32" s="44"/>
      <c r="AZ32" s="115"/>
      <c r="BA32" s="115"/>
      <c r="BE32" s="670"/>
      <c r="BF32" s="670"/>
      <c r="BI32" s="63" t="s">
        <v>219</v>
      </c>
      <c r="BJ32" s="64"/>
      <c r="BK32" s="64"/>
      <c r="BM32" s="32"/>
      <c r="BO32" s="63" t="s">
        <v>187</v>
      </c>
      <c r="BP32" s="64"/>
      <c r="BQ32" s="64"/>
      <c r="BV32" s="121"/>
      <c r="BW32" s="92"/>
      <c r="BX32" s="92"/>
      <c r="BY32" s="92"/>
      <c r="BZ32" s="64"/>
      <c r="CA32" s="39"/>
    </row>
    <row r="33" spans="1:80" ht="21" x14ac:dyDescent="0.3">
      <c r="A33" s="731"/>
      <c r="B33" s="719"/>
      <c r="C33" s="32"/>
      <c r="D33" s="32"/>
      <c r="E33" s="32"/>
      <c r="F33" s="32"/>
      <c r="G33" s="32"/>
      <c r="H33" s="32"/>
      <c r="K33" s="32"/>
      <c r="Q33" s="118"/>
      <c r="R33" s="746"/>
      <c r="S33" s="746"/>
      <c r="AN33" s="39"/>
      <c r="AO33" s="667"/>
      <c r="AP33" s="667"/>
      <c r="AQ33" s="667"/>
      <c r="AR33" s="667"/>
      <c r="AS33" s="55"/>
      <c r="AT33" s="115"/>
      <c r="AU33" s="657"/>
      <c r="AV33" s="657"/>
      <c r="AW33" s="115"/>
      <c r="AX33" s="44"/>
      <c r="AY33" s="115"/>
      <c r="AZ33" s="657"/>
      <c r="BA33" s="657"/>
      <c r="BB33" s="115"/>
      <c r="BC33" s="44"/>
      <c r="BD33" s="670"/>
      <c r="BE33" s="657"/>
      <c r="BF33" s="657"/>
      <c r="BG33" s="670"/>
      <c r="BI33" s="121"/>
      <c r="BJ33" s="66"/>
      <c r="BK33" s="66"/>
      <c r="BL33" s="64"/>
      <c r="BM33" s="32"/>
      <c r="BO33" s="121"/>
      <c r="BP33" s="92"/>
      <c r="BQ33" s="92"/>
      <c r="BR33" s="64"/>
      <c r="BV33" s="92"/>
      <c r="BW33" s="10">
        <v>100</v>
      </c>
      <c r="BX33" s="10">
        <v>100</v>
      </c>
      <c r="BY33" s="10">
        <v>100</v>
      </c>
      <c r="BZ33" s="92"/>
      <c r="CA33" s="39"/>
    </row>
    <row r="34" spans="1:80" ht="21" x14ac:dyDescent="0.3">
      <c r="A34" s="731"/>
      <c r="B34" s="719"/>
      <c r="C34" s="32"/>
      <c r="D34" s="32"/>
      <c r="E34" s="32"/>
      <c r="F34" s="32"/>
      <c r="G34" s="32"/>
      <c r="H34" s="32"/>
      <c r="K34" s="32"/>
      <c r="Q34" s="118"/>
      <c r="R34" s="667"/>
      <c r="S34" s="667"/>
      <c r="Y34" s="661"/>
      <c r="Z34" s="661"/>
      <c r="AE34" s="739"/>
      <c r="AF34" s="739"/>
      <c r="AN34" s="39"/>
      <c r="AO34" s="667"/>
      <c r="AP34" s="667"/>
      <c r="AQ34" s="667"/>
      <c r="AR34" s="667"/>
      <c r="AS34" s="55"/>
      <c r="AT34" s="115"/>
      <c r="AU34" s="657"/>
      <c r="AV34" s="657"/>
      <c r="AW34" s="115"/>
      <c r="AX34" s="44"/>
      <c r="AY34" s="115"/>
      <c r="AZ34" s="657"/>
      <c r="BA34" s="657"/>
      <c r="BB34" s="115"/>
      <c r="BC34" s="44"/>
      <c r="BD34" s="670"/>
      <c r="BE34" s="657"/>
      <c r="BF34" s="657"/>
      <c r="BG34" s="670"/>
      <c r="BI34" s="66" t="s">
        <v>181</v>
      </c>
      <c r="BJ34" s="10">
        <v>100</v>
      </c>
      <c r="BK34" s="10">
        <v>100</v>
      </c>
      <c r="BL34" s="66" t="s">
        <v>181</v>
      </c>
      <c r="BM34" s="32"/>
      <c r="BN34" s="64"/>
      <c r="BO34" s="92"/>
      <c r="BP34" s="10">
        <v>100</v>
      </c>
      <c r="BQ34" s="10">
        <v>100</v>
      </c>
      <c r="BR34" s="92"/>
      <c r="BS34" s="64"/>
      <c r="BV34" s="92"/>
      <c r="BW34" s="10">
        <v>100</v>
      </c>
      <c r="BX34" s="10">
        <v>100</v>
      </c>
      <c r="BY34" s="10">
        <v>100</v>
      </c>
      <c r="BZ34" s="92"/>
      <c r="CA34" s="39"/>
    </row>
    <row r="35" spans="1:80" ht="21" x14ac:dyDescent="0.3">
      <c r="A35" s="732"/>
      <c r="B35" s="721"/>
      <c r="C35" s="32"/>
      <c r="D35" s="32"/>
      <c r="E35" s="32"/>
      <c r="F35" s="32"/>
      <c r="G35" s="32"/>
      <c r="H35" s="32"/>
      <c r="I35" s="216"/>
      <c r="J35" s="216"/>
      <c r="K35" s="32"/>
      <c r="M35" s="661"/>
      <c r="N35" s="661"/>
      <c r="R35" s="667"/>
      <c r="S35" s="667"/>
      <c r="Y35" s="661"/>
      <c r="Z35" s="661"/>
      <c r="AE35" s="660"/>
      <c r="AF35" s="660"/>
      <c r="AN35" s="39"/>
      <c r="AO35" s="32"/>
      <c r="AP35" s="32"/>
      <c r="AQ35" s="32"/>
      <c r="AR35" s="32"/>
      <c r="AS35" s="32"/>
      <c r="AT35" s="44"/>
      <c r="AU35" s="32"/>
      <c r="AV35" s="32"/>
      <c r="AW35" s="44"/>
      <c r="AZ35" s="115"/>
      <c r="BA35" s="115"/>
      <c r="BE35" s="670"/>
      <c r="BF35" s="670"/>
      <c r="BI35" s="66" t="s">
        <v>181</v>
      </c>
      <c r="BJ35" s="10">
        <v>100</v>
      </c>
      <c r="BK35" s="10">
        <v>100</v>
      </c>
      <c r="BL35" s="66" t="s">
        <v>181</v>
      </c>
      <c r="BM35" s="32"/>
      <c r="BN35" s="64"/>
      <c r="BO35" s="92"/>
      <c r="BP35" s="10">
        <v>100</v>
      </c>
      <c r="BQ35" s="10">
        <v>100</v>
      </c>
      <c r="BR35" s="92"/>
      <c r="BS35" s="64"/>
      <c r="BT35" s="32"/>
      <c r="BU35" s="32"/>
      <c r="BV35" s="64"/>
      <c r="BW35" s="92"/>
      <c r="BX35" s="92"/>
      <c r="BY35" s="92"/>
      <c r="BZ35" s="64"/>
      <c r="CA35" s="39"/>
    </row>
    <row r="36" spans="1:80" ht="18.75" x14ac:dyDescent="0.3">
      <c r="A36" s="125"/>
      <c r="B36" s="32"/>
      <c r="C36" s="32"/>
      <c r="D36" s="32"/>
      <c r="E36" s="32"/>
      <c r="F36" s="32"/>
      <c r="G36" s="32"/>
      <c r="H36" s="32"/>
      <c r="I36" s="216"/>
      <c r="J36" s="216"/>
      <c r="K36" s="32"/>
      <c r="M36" s="661"/>
      <c r="N36" s="661"/>
      <c r="R36" s="667"/>
      <c r="S36" s="667"/>
      <c r="Y36" s="661"/>
      <c r="Z36" s="661"/>
      <c r="AE36" s="660"/>
      <c r="AF36" s="660"/>
      <c r="AN36" s="39"/>
      <c r="AO36" s="32"/>
      <c r="AP36" s="32"/>
      <c r="AQ36" s="32"/>
      <c r="AR36" s="32"/>
      <c r="AS36" s="32"/>
      <c r="AT36" s="725"/>
      <c r="AU36" s="747"/>
      <c r="AV36" s="747"/>
      <c r="AW36" s="747"/>
      <c r="AY36" s="725"/>
      <c r="AZ36" s="747"/>
      <c r="BA36" s="747"/>
      <c r="BB36" s="747"/>
      <c r="BD36" s="725"/>
      <c r="BE36" s="725"/>
      <c r="BF36" s="725"/>
      <c r="BG36" s="725"/>
      <c r="BI36" s="64"/>
      <c r="BJ36" s="66"/>
      <c r="BK36" s="66"/>
      <c r="BL36" s="64"/>
      <c r="BM36" s="32"/>
      <c r="BN36" s="32"/>
      <c r="BO36" s="64"/>
      <c r="BP36" s="92"/>
      <c r="BQ36" s="92"/>
      <c r="BR36" s="64"/>
      <c r="BS36" s="32"/>
      <c r="BT36" s="32"/>
      <c r="BU36" s="32"/>
      <c r="BW36" s="120">
        <v>2</v>
      </c>
      <c r="BX36" s="120">
        <v>3</v>
      </c>
      <c r="BY36" s="120">
        <v>4</v>
      </c>
      <c r="CA36" s="39"/>
    </row>
    <row r="37" spans="1:80" ht="15.75" x14ac:dyDescent="0.25">
      <c r="A37" s="125"/>
      <c r="B37" s="32"/>
      <c r="C37" s="32"/>
      <c r="D37" s="32"/>
      <c r="E37" s="32"/>
      <c r="F37" s="32"/>
      <c r="G37" s="32"/>
      <c r="H37" s="32"/>
      <c r="I37" s="216"/>
      <c r="J37" s="216"/>
      <c r="K37" s="32"/>
      <c r="AN37" s="39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64"/>
      <c r="BK37" s="64"/>
      <c r="BL37" s="32"/>
      <c r="BM37" s="32"/>
      <c r="BN37" s="32"/>
      <c r="BO37" s="32"/>
      <c r="BP37" s="64"/>
      <c r="BQ37" s="64"/>
      <c r="BR37" s="32"/>
      <c r="BS37" s="32"/>
      <c r="BT37" s="32"/>
      <c r="BU37" s="32"/>
      <c r="BV37" s="32"/>
      <c r="BW37" s="32"/>
      <c r="BX37" s="32"/>
      <c r="BY37" s="32"/>
      <c r="BZ37" s="32"/>
      <c r="CA37" s="39"/>
    </row>
    <row r="38" spans="1:80" x14ac:dyDescent="0.25">
      <c r="A38" s="125"/>
      <c r="B38" s="32"/>
      <c r="C38" s="32"/>
      <c r="D38" s="32"/>
      <c r="E38" s="32"/>
      <c r="F38" s="32"/>
      <c r="G38" s="32"/>
      <c r="H38" s="32"/>
      <c r="K38" s="32"/>
      <c r="AN38" s="39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9"/>
    </row>
    <row r="39" spans="1:80" ht="18.75" x14ac:dyDescent="0.25">
      <c r="A39" s="125"/>
      <c r="B39" s="32"/>
      <c r="C39" s="32"/>
      <c r="D39" s="32"/>
      <c r="E39" s="32"/>
      <c r="F39" s="32"/>
      <c r="G39" s="32"/>
      <c r="H39" s="32"/>
      <c r="K39" s="32"/>
      <c r="M39" s="748"/>
      <c r="N39" s="748"/>
      <c r="Q39" s="32"/>
      <c r="R39" s="668"/>
      <c r="S39" s="104"/>
      <c r="U39" s="126"/>
      <c r="W39" s="32"/>
      <c r="X39" s="32"/>
      <c r="Y39" s="668"/>
      <c r="Z39" s="668"/>
      <c r="AA39" s="32"/>
      <c r="AB39" s="32"/>
      <c r="AN39" s="39"/>
      <c r="AO39" s="32"/>
      <c r="AP39" s="32"/>
      <c r="AQ39" s="32"/>
      <c r="AR39" s="32"/>
      <c r="AS39" s="32"/>
      <c r="AT39" s="32"/>
      <c r="AX39" s="722"/>
      <c r="AY39" s="722"/>
      <c r="AZ39" s="722"/>
      <c r="BA39" s="722"/>
      <c r="BB39" s="722"/>
      <c r="BC39" s="32"/>
      <c r="BD39" s="32"/>
      <c r="BE39" s="722"/>
      <c r="BF39" s="722"/>
      <c r="BG39" s="722"/>
      <c r="BH39" s="722"/>
      <c r="BI39" s="72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9"/>
    </row>
    <row r="40" spans="1:80" ht="21" x14ac:dyDescent="0.25">
      <c r="A40" s="125"/>
      <c r="H40" s="32"/>
      <c r="K40" s="32"/>
      <c r="M40" s="115"/>
      <c r="N40" s="115"/>
      <c r="O40" s="42"/>
      <c r="P40" s="32"/>
      <c r="Q40" s="42"/>
      <c r="R40" s="669"/>
      <c r="S40" s="669"/>
      <c r="T40" s="63"/>
      <c r="U40" s="127"/>
      <c r="W40" s="32"/>
      <c r="X40" s="42"/>
      <c r="Y40" s="670"/>
      <c r="Z40" s="670"/>
      <c r="AA40" s="63"/>
      <c r="AB40" s="32"/>
      <c r="AN40" s="39"/>
      <c r="AO40" s="32"/>
      <c r="AP40" s="32"/>
      <c r="AQ40" s="32"/>
      <c r="AR40" s="32"/>
      <c r="AS40" s="32"/>
      <c r="AU40" s="32"/>
      <c r="AX40" s="44"/>
      <c r="AZ40" s="44"/>
      <c r="BB40" s="44"/>
      <c r="BD40" s="32"/>
      <c r="BE40" s="32"/>
      <c r="BF40" s="32"/>
      <c r="BG40" s="32"/>
      <c r="BH40" s="32"/>
      <c r="BI40" s="32"/>
      <c r="BN40" s="32"/>
      <c r="BP40" s="32"/>
      <c r="BQ40" s="32"/>
      <c r="BR40" s="32"/>
      <c r="BS40" s="32"/>
      <c r="BT40" s="32"/>
      <c r="BU40" s="32"/>
      <c r="BV40" s="32"/>
      <c r="BW40" s="119" t="s">
        <v>206</v>
      </c>
      <c r="BX40" s="128">
        <v>4</v>
      </c>
      <c r="BY40" s="128">
        <v>3</v>
      </c>
      <c r="BZ40" s="128">
        <v>2</v>
      </c>
      <c r="CA40" s="129">
        <v>1</v>
      </c>
    </row>
    <row r="41" spans="1:80" ht="23.25" x14ac:dyDescent="0.25">
      <c r="A41" s="125"/>
      <c r="E41" s="32"/>
      <c r="F41" s="32"/>
      <c r="G41" s="32"/>
      <c r="H41" s="32"/>
      <c r="I41" s="662"/>
      <c r="J41" s="662"/>
      <c r="K41" s="32"/>
      <c r="L41" s="115"/>
      <c r="M41" s="657"/>
      <c r="N41" s="657"/>
      <c r="O41" s="115"/>
      <c r="P41" s="55"/>
      <c r="Q41" s="669"/>
      <c r="R41" s="657"/>
      <c r="S41" s="657"/>
      <c r="T41" s="669"/>
      <c r="U41" s="130"/>
      <c r="W41" s="55"/>
      <c r="X41" s="670"/>
      <c r="Y41" s="657"/>
      <c r="Z41" s="657"/>
      <c r="AA41" s="670"/>
      <c r="AB41" s="57"/>
      <c r="AE41" s="676"/>
      <c r="AF41" s="676"/>
      <c r="AN41" s="39"/>
      <c r="AO41" s="749"/>
      <c r="AP41" s="750"/>
      <c r="AQ41" s="750"/>
      <c r="AR41" s="750"/>
      <c r="AS41" s="750"/>
      <c r="AT41" s="750"/>
      <c r="AU41" s="32"/>
      <c r="AV41" s="32"/>
      <c r="AW41" s="32"/>
      <c r="AX41" s="658"/>
      <c r="AZ41" s="658"/>
      <c r="BB41" s="658"/>
      <c r="BC41" s="32"/>
      <c r="BD41" s="656"/>
      <c r="BF41" s="656"/>
      <c r="BH41" s="656"/>
      <c r="BJ41" s="656"/>
      <c r="BM41" s="740"/>
      <c r="BN41" s="740"/>
      <c r="BO41" s="740"/>
      <c r="BP41" s="740"/>
      <c r="BW41" s="64"/>
      <c r="BX41" s="92"/>
      <c r="BY41" s="92"/>
      <c r="BZ41" s="92"/>
      <c r="CA41" s="132"/>
      <c r="CB41" s="111"/>
    </row>
    <row r="42" spans="1:80" ht="24" thickBot="1" x14ac:dyDescent="0.3">
      <c r="A42" s="125"/>
      <c r="I42" s="663"/>
      <c r="J42" s="663"/>
      <c r="L42" s="115"/>
      <c r="M42" s="657"/>
      <c r="N42" s="657"/>
      <c r="O42" s="115"/>
      <c r="P42" s="55"/>
      <c r="Q42" s="669"/>
      <c r="R42" s="657"/>
      <c r="S42" s="657"/>
      <c r="T42" s="669"/>
      <c r="U42" s="130"/>
      <c r="W42" s="55"/>
      <c r="X42" s="670"/>
      <c r="Y42" s="657"/>
      <c r="Z42" s="657"/>
      <c r="AA42" s="670"/>
      <c r="AB42" s="57"/>
      <c r="AE42" s="676"/>
      <c r="AF42" s="676"/>
      <c r="AK42" s="659"/>
      <c r="AL42" s="678"/>
      <c r="AN42" s="39"/>
      <c r="AO42" s="667"/>
      <c r="AP42" s="667"/>
      <c r="AQ42" s="667"/>
      <c r="AR42" s="685"/>
      <c r="AS42" s="685"/>
      <c r="AT42" s="685"/>
      <c r="AU42" s="136"/>
      <c r="AV42" s="136"/>
      <c r="AW42" s="658"/>
      <c r="AX42" s="657"/>
      <c r="AY42" s="658"/>
      <c r="AZ42" s="657"/>
      <c r="BA42" s="658"/>
      <c r="BB42" s="657"/>
      <c r="BC42" s="43"/>
      <c r="BD42" s="657"/>
      <c r="BE42" s="656"/>
      <c r="BF42" s="657"/>
      <c r="BG42" s="656"/>
      <c r="BH42" s="657"/>
      <c r="BI42" s="656"/>
      <c r="BJ42" s="657"/>
      <c r="BK42" s="656"/>
      <c r="BM42" s="660"/>
      <c r="BN42" s="660"/>
      <c r="BO42" s="660"/>
      <c r="BP42" s="660"/>
      <c r="BW42" s="92"/>
      <c r="BX42" s="10">
        <v>100</v>
      </c>
      <c r="BY42" s="10">
        <v>100</v>
      </c>
      <c r="BZ42" s="10">
        <v>100</v>
      </c>
      <c r="CA42" s="10">
        <v>100</v>
      </c>
      <c r="CB42" s="111"/>
    </row>
    <row r="43" spans="1:80" ht="21" x14ac:dyDescent="0.25">
      <c r="A43" s="125"/>
      <c r="E43" s="32"/>
      <c r="F43" s="32"/>
      <c r="G43" s="32"/>
      <c r="I43" s="664"/>
      <c r="J43" s="664"/>
      <c r="L43" s="115"/>
      <c r="M43" s="657"/>
      <c r="N43" s="657"/>
      <c r="O43" s="115"/>
      <c r="P43" s="55"/>
      <c r="Q43" s="669"/>
      <c r="R43" s="657"/>
      <c r="S43" s="657"/>
      <c r="T43" s="669"/>
      <c r="U43" s="130"/>
      <c r="W43" s="55"/>
      <c r="X43" s="670"/>
      <c r="Y43" s="657"/>
      <c r="Z43" s="657"/>
      <c r="AA43" s="670"/>
      <c r="AB43" s="57"/>
      <c r="AE43" s="676"/>
      <c r="AF43" s="676"/>
      <c r="AK43" s="659"/>
      <c r="AL43" s="659"/>
      <c r="AN43" s="32"/>
      <c r="AR43" s="140"/>
      <c r="AS43" s="141"/>
      <c r="AT43" s="142"/>
      <c r="AU43" s="751"/>
      <c r="AV43" s="751"/>
      <c r="AW43" s="752"/>
      <c r="BB43" s="141"/>
      <c r="BC43" s="141"/>
      <c r="BD43" s="143"/>
      <c r="BE43" s="143"/>
      <c r="BF43" s="143"/>
      <c r="BG43" s="143"/>
      <c r="BH43" s="143"/>
      <c r="BI43" s="143"/>
      <c r="BJ43" s="143"/>
      <c r="BK43" s="143"/>
      <c r="BL43" s="143"/>
      <c r="BM43" s="143"/>
      <c r="BN43" s="143"/>
      <c r="BO43" s="143"/>
      <c r="BP43" s="143"/>
      <c r="BQ43" s="143"/>
      <c r="BR43" s="143"/>
      <c r="BS43" s="143"/>
      <c r="BT43" s="143"/>
      <c r="BU43" s="143"/>
      <c r="BV43" s="143"/>
      <c r="BW43" s="143"/>
      <c r="BX43" s="143"/>
      <c r="BY43" s="143"/>
      <c r="BZ43" s="143"/>
      <c r="CA43" s="143"/>
      <c r="CB43" s="111"/>
    </row>
    <row r="44" spans="1:80" ht="21" x14ac:dyDescent="0.25">
      <c r="A44" s="125"/>
      <c r="M44" s="115"/>
      <c r="N44" s="115"/>
      <c r="O44" s="63"/>
      <c r="R44" s="669"/>
      <c r="S44" s="669"/>
      <c r="W44" s="126"/>
      <c r="X44" s="32"/>
      <c r="Y44" s="670"/>
      <c r="Z44" s="670"/>
      <c r="AB44" s="32"/>
      <c r="AE44" s="755"/>
      <c r="AF44" s="755"/>
      <c r="AN44" s="32"/>
      <c r="AR44" s="111"/>
      <c r="AT44" s="144"/>
      <c r="AU44" s="751"/>
      <c r="AV44" s="751"/>
      <c r="AW44" s="75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9"/>
      <c r="CB44" s="111"/>
    </row>
    <row r="45" spans="1:80" x14ac:dyDescent="0.25">
      <c r="A45" s="125"/>
      <c r="C45" s="32"/>
      <c r="D45" s="32"/>
      <c r="E45" s="32"/>
      <c r="F45" s="32"/>
      <c r="G45" s="32"/>
      <c r="H45" s="32"/>
      <c r="AN45" s="32"/>
      <c r="AR45" s="111"/>
      <c r="AT45" s="144"/>
      <c r="AU45" s="751"/>
      <c r="AV45" s="751"/>
      <c r="AW45" s="75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9"/>
      <c r="CB45" s="111"/>
    </row>
    <row r="46" spans="1:80" ht="19.5" thickBot="1" x14ac:dyDescent="0.3">
      <c r="A46" s="125"/>
      <c r="H46" s="32"/>
      <c r="K46" s="32"/>
      <c r="L46" s="32"/>
      <c r="M46" s="112"/>
      <c r="N46" s="112"/>
      <c r="O46" s="50"/>
      <c r="P46" s="145"/>
      <c r="Q46" s="32"/>
      <c r="R46" s="118"/>
      <c r="S46" s="118"/>
      <c r="U46" s="32"/>
      <c r="AN46" s="32"/>
      <c r="AR46" s="111"/>
      <c r="AT46" s="144"/>
      <c r="AU46" s="751"/>
      <c r="AV46" s="751"/>
      <c r="AW46" s="75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W46" s="32"/>
      <c r="BX46" s="32"/>
      <c r="BY46" s="32"/>
      <c r="BZ46" s="32"/>
      <c r="CA46" s="39"/>
      <c r="CB46" s="111"/>
    </row>
    <row r="47" spans="1:80" x14ac:dyDescent="0.25">
      <c r="A47" s="125"/>
      <c r="B47" s="32"/>
      <c r="C47" s="32"/>
      <c r="D47" s="32"/>
      <c r="E47" s="32"/>
      <c r="F47" s="32"/>
      <c r="G47" s="32"/>
      <c r="M47" s="737"/>
      <c r="N47" s="737"/>
      <c r="R47" s="756" t="s">
        <v>232</v>
      </c>
      <c r="S47" s="756"/>
      <c r="AN47" s="32"/>
      <c r="AR47" s="111"/>
      <c r="AT47" s="144"/>
      <c r="AU47" s="751"/>
      <c r="AV47" s="751"/>
      <c r="AW47" s="752"/>
      <c r="BC47" s="32"/>
      <c r="BH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W47" s="32"/>
      <c r="BX47" s="32"/>
      <c r="BY47" s="32"/>
      <c r="BZ47" s="32"/>
      <c r="CA47" s="39"/>
      <c r="CB47" s="111"/>
    </row>
    <row r="48" spans="1:80" ht="16.5" thickBot="1" x14ac:dyDescent="0.3">
      <c r="A48" s="125"/>
      <c r="B48" s="32"/>
      <c r="C48" s="32"/>
      <c r="D48" s="32"/>
      <c r="E48" s="32"/>
      <c r="F48" s="32"/>
      <c r="M48" s="738"/>
      <c r="N48" s="738"/>
      <c r="Q48" s="119" t="s">
        <v>210</v>
      </c>
      <c r="R48" s="128"/>
      <c r="S48" s="128"/>
      <c r="Y48" s="756" t="s">
        <v>232</v>
      </c>
      <c r="Z48" s="756"/>
      <c r="AK48" s="294"/>
      <c r="AL48" s="294"/>
      <c r="AR48" s="111"/>
      <c r="AT48" s="144"/>
      <c r="AU48" s="751"/>
      <c r="AV48" s="751"/>
      <c r="AW48" s="752"/>
      <c r="BH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W48" s="32"/>
      <c r="BX48" s="32"/>
      <c r="BY48" s="32"/>
      <c r="BZ48" s="32"/>
      <c r="CA48" s="39"/>
    </row>
    <row r="49" spans="1:79" ht="18.75" x14ac:dyDescent="0.3">
      <c r="A49" s="125"/>
      <c r="B49" s="32"/>
      <c r="C49" s="32"/>
      <c r="D49" s="32"/>
      <c r="E49" s="32"/>
      <c r="F49" s="32"/>
      <c r="M49" s="32"/>
      <c r="N49" s="32"/>
      <c r="O49" s="32"/>
      <c r="Q49" s="121"/>
      <c r="R49" s="66"/>
      <c r="S49" s="66"/>
      <c r="T49" s="64"/>
      <c r="X49" s="119" t="s">
        <v>233</v>
      </c>
      <c r="Y49" s="128"/>
      <c r="Z49" s="128"/>
      <c r="AK49" s="294"/>
      <c r="AL49" s="294"/>
      <c r="AR49" s="111"/>
      <c r="AT49" s="144"/>
      <c r="AU49" s="751"/>
      <c r="AV49" s="751"/>
      <c r="AW49" s="752"/>
      <c r="BH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W49" s="32"/>
      <c r="BX49" s="32"/>
      <c r="BY49" s="32"/>
      <c r="BZ49" s="32"/>
      <c r="CA49" s="39"/>
    </row>
    <row r="50" spans="1:79" ht="18.75" x14ac:dyDescent="0.3">
      <c r="A50" s="146"/>
      <c r="B50" s="147"/>
      <c r="C50" s="147"/>
      <c r="D50" s="147"/>
      <c r="E50" s="147"/>
      <c r="F50" s="32"/>
      <c r="I50" s="665"/>
      <c r="J50" s="665"/>
      <c r="L50" s="119" t="s">
        <v>234</v>
      </c>
      <c r="M50" s="149"/>
      <c r="N50" s="149"/>
      <c r="O50" s="150" t="s">
        <v>235</v>
      </c>
      <c r="Q50" s="66"/>
      <c r="R50" s="10">
        <v>400</v>
      </c>
      <c r="S50" s="10">
        <v>400</v>
      </c>
      <c r="T50" s="66"/>
      <c r="X50" s="121"/>
      <c r="Y50" s="92"/>
      <c r="Z50" s="92"/>
      <c r="AA50" s="64"/>
      <c r="AD50" s="151" t="s">
        <v>236</v>
      </c>
      <c r="AE50" s="97" t="s">
        <v>237</v>
      </c>
      <c r="AF50" s="97"/>
      <c r="AR50" s="111"/>
      <c r="AT50" s="144"/>
      <c r="AU50" s="751"/>
      <c r="AV50" s="751"/>
      <c r="AW50" s="752"/>
      <c r="BH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W50" s="32"/>
      <c r="BX50" s="32"/>
      <c r="BY50" s="32"/>
      <c r="BZ50" s="32"/>
      <c r="CA50" s="39"/>
    </row>
    <row r="51" spans="1:79" ht="18.75" x14ac:dyDescent="0.3">
      <c r="A51" s="146"/>
      <c r="B51" s="147"/>
      <c r="C51" s="147"/>
      <c r="D51" s="147"/>
      <c r="E51" s="147"/>
      <c r="F51" s="32"/>
      <c r="I51" s="665"/>
      <c r="J51" s="665"/>
      <c r="L51" s="149"/>
      <c r="M51" s="91"/>
      <c r="N51" s="91"/>
      <c r="O51" s="64"/>
      <c r="Q51" s="66"/>
      <c r="R51" s="10">
        <v>400</v>
      </c>
      <c r="S51" s="10">
        <v>400</v>
      </c>
      <c r="T51" s="66"/>
      <c r="W51" s="128">
        <v>1</v>
      </c>
      <c r="X51" s="92"/>
      <c r="Y51" s="10">
        <v>400</v>
      </c>
      <c r="Z51" s="10">
        <v>400</v>
      </c>
      <c r="AA51" s="92"/>
      <c r="AB51" s="128">
        <v>5</v>
      </c>
      <c r="AD51" s="119" t="s">
        <v>238</v>
      </c>
      <c r="AE51" s="153">
        <v>4</v>
      </c>
      <c r="AF51" s="153">
        <v>3</v>
      </c>
      <c r="AR51" s="111"/>
      <c r="AT51" s="144"/>
      <c r="AU51" s="751"/>
      <c r="AV51" s="751"/>
      <c r="AW51" s="752"/>
      <c r="BH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W51" s="32"/>
      <c r="BX51" s="32"/>
      <c r="BY51" s="32"/>
      <c r="BZ51" s="32"/>
      <c r="CA51" s="39"/>
    </row>
    <row r="52" spans="1:79" ht="18.75" x14ac:dyDescent="0.3">
      <c r="A52" s="146"/>
      <c r="B52" s="147"/>
      <c r="C52" s="147"/>
      <c r="D52" s="147"/>
      <c r="E52" s="147"/>
      <c r="F52" s="32"/>
      <c r="I52" s="665"/>
      <c r="J52" s="665"/>
      <c r="K52" s="149"/>
      <c r="L52" s="92"/>
      <c r="M52" s="10">
        <v>100</v>
      </c>
      <c r="N52" s="10">
        <v>100</v>
      </c>
      <c r="O52" s="91" t="s">
        <v>181</v>
      </c>
      <c r="P52" s="156">
        <v>6</v>
      </c>
      <c r="Q52" s="66"/>
      <c r="R52" s="10">
        <v>400</v>
      </c>
      <c r="S52" s="10">
        <v>400</v>
      </c>
      <c r="T52" s="66"/>
      <c r="W52" s="128">
        <v>2</v>
      </c>
      <c r="X52" s="92"/>
      <c r="Y52" s="10">
        <v>400</v>
      </c>
      <c r="Z52" s="10">
        <v>400</v>
      </c>
      <c r="AA52" s="92"/>
      <c r="AB52" s="128">
        <v>6</v>
      </c>
      <c r="AD52" s="121"/>
      <c r="AE52" s="91"/>
      <c r="AF52" s="91"/>
      <c r="AG52" s="64"/>
      <c r="AR52" s="111"/>
      <c r="AT52" s="144"/>
      <c r="AU52" s="751"/>
      <c r="AV52" s="751"/>
      <c r="AW52" s="752"/>
      <c r="BH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W52" s="32"/>
      <c r="BX52" s="32"/>
      <c r="BY52" s="32"/>
      <c r="BZ52" s="32"/>
      <c r="CA52" s="39"/>
    </row>
    <row r="53" spans="1:79" ht="18.75" x14ac:dyDescent="0.3">
      <c r="A53" s="757" t="s">
        <v>239</v>
      </c>
      <c r="B53" s="758"/>
      <c r="C53" s="758"/>
      <c r="D53" s="758"/>
      <c r="E53" s="759"/>
      <c r="F53" s="32"/>
      <c r="I53" s="665"/>
      <c r="J53" s="665"/>
      <c r="K53" s="149"/>
      <c r="L53" s="91" t="s">
        <v>181</v>
      </c>
      <c r="M53" s="10">
        <v>100</v>
      </c>
      <c r="N53" s="10">
        <v>100</v>
      </c>
      <c r="O53" s="91" t="s">
        <v>181</v>
      </c>
      <c r="P53" s="156">
        <v>3</v>
      </c>
      <c r="Q53" s="66"/>
      <c r="R53" s="10">
        <v>400</v>
      </c>
      <c r="S53" s="10">
        <v>400</v>
      </c>
      <c r="T53" s="66"/>
      <c r="V53" s="32"/>
      <c r="W53" s="128">
        <v>3</v>
      </c>
      <c r="X53" s="92"/>
      <c r="Y53" s="10">
        <v>400</v>
      </c>
      <c r="Z53" s="10">
        <v>400</v>
      </c>
      <c r="AA53" s="92"/>
      <c r="AB53" s="128">
        <v>7</v>
      </c>
      <c r="AD53" s="91"/>
      <c r="AE53" s="10">
        <v>200</v>
      </c>
      <c r="AF53" s="10">
        <v>200</v>
      </c>
      <c r="AG53" s="91"/>
      <c r="AJ53" s="151" t="s">
        <v>236</v>
      </c>
      <c r="AK53" s="765" t="s">
        <v>237</v>
      </c>
      <c r="AL53" s="765"/>
      <c r="AR53" s="111"/>
      <c r="AT53" s="144"/>
      <c r="AU53" s="751"/>
      <c r="AV53" s="751"/>
      <c r="AW53" s="75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W53" s="32"/>
      <c r="BX53" s="32"/>
      <c r="BY53" s="32"/>
      <c r="BZ53" s="32"/>
      <c r="CA53" s="39"/>
    </row>
    <row r="54" spans="1:79" ht="18.75" x14ac:dyDescent="0.3">
      <c r="A54" s="760"/>
      <c r="B54" s="761"/>
      <c r="C54" s="761"/>
      <c r="D54" s="761"/>
      <c r="E54" s="762"/>
      <c r="F54" s="158"/>
      <c r="I54" s="766"/>
      <c r="J54" s="766"/>
      <c r="L54" s="64"/>
      <c r="M54" s="91"/>
      <c r="N54" s="91"/>
      <c r="O54" s="64"/>
      <c r="P54" s="159"/>
      <c r="Q54" s="64"/>
      <c r="R54" s="66"/>
      <c r="S54" s="66"/>
      <c r="T54" s="64"/>
      <c r="V54" s="44"/>
      <c r="W54" s="128">
        <v>4</v>
      </c>
      <c r="X54" s="92"/>
      <c r="Y54" s="10">
        <v>400</v>
      </c>
      <c r="Z54" s="10">
        <v>400</v>
      </c>
      <c r="AA54" s="92"/>
      <c r="AB54" s="128">
        <v>8</v>
      </c>
      <c r="AD54" s="91"/>
      <c r="AE54" s="10">
        <v>200</v>
      </c>
      <c r="AF54" s="10">
        <v>200</v>
      </c>
      <c r="AG54" s="91"/>
      <c r="AJ54" s="119" t="s">
        <v>160</v>
      </c>
      <c r="AK54" s="153">
        <v>4</v>
      </c>
      <c r="AL54" s="153">
        <v>3</v>
      </c>
      <c r="AR54" s="111"/>
      <c r="AT54" s="144"/>
      <c r="AU54" s="751"/>
      <c r="AV54" s="751"/>
      <c r="AW54" s="752"/>
      <c r="BC54" s="160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9"/>
    </row>
    <row r="55" spans="1:79" ht="15.75" x14ac:dyDescent="0.25">
      <c r="A55" s="760"/>
      <c r="B55" s="761"/>
      <c r="C55" s="761"/>
      <c r="D55" s="761"/>
      <c r="E55" s="762"/>
      <c r="F55" s="158"/>
      <c r="M55" s="149"/>
      <c r="N55" s="149"/>
      <c r="R55" s="64"/>
      <c r="S55" s="64"/>
      <c r="V55" s="44"/>
      <c r="X55" s="64"/>
      <c r="Y55" s="92"/>
      <c r="Z55" s="92"/>
      <c r="AA55" s="64"/>
      <c r="AD55" s="64"/>
      <c r="AE55" s="91"/>
      <c r="AF55" s="91"/>
      <c r="AG55" s="64"/>
      <c r="AJ55" s="121"/>
      <c r="AK55" s="91"/>
      <c r="AL55" s="91"/>
      <c r="AM55" s="64"/>
      <c r="AR55" s="111"/>
      <c r="AT55" s="144"/>
      <c r="AU55" s="751"/>
      <c r="AV55" s="751"/>
      <c r="AW55" s="752"/>
      <c r="BC55" s="160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9"/>
    </row>
    <row r="56" spans="1:79" ht="18" x14ac:dyDescent="0.25">
      <c r="A56" s="760"/>
      <c r="B56" s="761"/>
      <c r="C56" s="761"/>
      <c r="D56" s="761"/>
      <c r="E56" s="762"/>
      <c r="F56" s="158"/>
      <c r="Y56" s="64"/>
      <c r="Z56" s="64"/>
      <c r="AE56" s="161">
        <v>1</v>
      </c>
      <c r="AF56" s="161">
        <v>2</v>
      </c>
      <c r="AJ56" s="91" t="s">
        <v>241</v>
      </c>
      <c r="AK56" s="10">
        <v>200</v>
      </c>
      <c r="AL56" s="10">
        <v>200</v>
      </c>
      <c r="AM56" s="91" t="s">
        <v>241</v>
      </c>
      <c r="AR56" s="111"/>
      <c r="AT56" s="144"/>
      <c r="AU56" s="751"/>
      <c r="AV56" s="751"/>
      <c r="AW56" s="752"/>
      <c r="BC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9"/>
    </row>
    <row r="57" spans="1:79" ht="18" x14ac:dyDescent="0.25">
      <c r="A57" s="760"/>
      <c r="B57" s="761"/>
      <c r="C57" s="761"/>
      <c r="D57" s="761"/>
      <c r="E57" s="762"/>
      <c r="F57" s="158"/>
      <c r="V57" s="44"/>
      <c r="W57" s="32"/>
      <c r="X57" s="32"/>
      <c r="AA57" s="32"/>
      <c r="AJ57" s="91" t="s">
        <v>241</v>
      </c>
      <c r="AK57" s="10">
        <v>200</v>
      </c>
      <c r="AL57" s="10">
        <v>200</v>
      </c>
      <c r="AM57" s="91" t="s">
        <v>241</v>
      </c>
      <c r="AR57" s="111"/>
      <c r="AT57" s="144"/>
      <c r="AU57" s="751"/>
      <c r="AV57" s="751"/>
      <c r="AW57" s="752"/>
      <c r="BC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9"/>
    </row>
    <row r="58" spans="1:79" ht="15.75" x14ac:dyDescent="0.25">
      <c r="A58" s="760"/>
      <c r="B58" s="761"/>
      <c r="C58" s="761"/>
      <c r="D58" s="761"/>
      <c r="E58" s="762"/>
      <c r="F58" s="665"/>
      <c r="I58" s="653"/>
      <c r="J58" s="653"/>
      <c r="L58" s="767"/>
      <c r="M58" s="767"/>
      <c r="N58" s="767"/>
      <c r="O58" s="767"/>
      <c r="P58" s="47"/>
      <c r="Q58" s="767"/>
      <c r="R58" s="767"/>
      <c r="S58" s="767"/>
      <c r="T58" s="767"/>
      <c r="U58" s="32"/>
      <c r="V58" s="32"/>
      <c r="W58" s="32"/>
      <c r="X58" s="32"/>
      <c r="Y58" s="32"/>
      <c r="Z58" s="32"/>
      <c r="AA58" s="32"/>
      <c r="AJ58" s="64"/>
      <c r="AK58" s="91"/>
      <c r="AL58" s="91"/>
      <c r="AM58" s="64"/>
      <c r="AR58" s="111"/>
      <c r="AT58" s="144"/>
      <c r="AU58" s="751"/>
      <c r="AV58" s="751"/>
      <c r="AW58" s="75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9"/>
    </row>
    <row r="59" spans="1:79" ht="21" x14ac:dyDescent="0.25">
      <c r="A59" s="760"/>
      <c r="B59" s="761"/>
      <c r="C59" s="761"/>
      <c r="D59" s="761"/>
      <c r="E59" s="762"/>
      <c r="F59" s="665"/>
      <c r="I59" s="653"/>
      <c r="J59" s="653"/>
      <c r="M59" s="670"/>
      <c r="N59" s="85"/>
      <c r="R59" s="671"/>
      <c r="S59" s="671"/>
      <c r="U59" s="32"/>
      <c r="V59" s="32"/>
      <c r="X59" s="119" t="s">
        <v>197</v>
      </c>
      <c r="Y59" s="149"/>
      <c r="Z59" s="149"/>
      <c r="AA59" s="150" t="s">
        <v>235</v>
      </c>
      <c r="AK59" s="161">
        <v>1</v>
      </c>
      <c r="AL59" s="161">
        <v>2</v>
      </c>
      <c r="AR59" s="111"/>
      <c r="AT59" s="144"/>
      <c r="AU59" s="751"/>
      <c r="AV59" s="751"/>
      <c r="AW59" s="75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9"/>
    </row>
    <row r="60" spans="1:79" ht="21" x14ac:dyDescent="0.25">
      <c r="A60" s="760"/>
      <c r="B60" s="761"/>
      <c r="C60" s="761"/>
      <c r="D60" s="761"/>
      <c r="E60" s="762"/>
      <c r="F60" s="665"/>
      <c r="I60" s="653"/>
      <c r="J60" s="653"/>
      <c r="L60" s="670"/>
      <c r="M60" s="657"/>
      <c r="N60" s="657"/>
      <c r="O60" s="85"/>
      <c r="P60" s="55"/>
      <c r="Q60" s="671"/>
      <c r="R60" s="657"/>
      <c r="S60" s="657"/>
      <c r="T60" s="671"/>
      <c r="U60" s="57"/>
      <c r="V60" s="32"/>
      <c r="X60" s="149"/>
      <c r="Y60" s="91"/>
      <c r="Z60" s="91"/>
      <c r="AA60" s="64"/>
      <c r="AR60" s="111"/>
      <c r="AT60" s="144"/>
      <c r="AU60" s="751"/>
      <c r="AV60" s="751"/>
      <c r="AW60" s="75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9"/>
    </row>
    <row r="61" spans="1:79" ht="21" x14ac:dyDescent="0.25">
      <c r="A61" s="760"/>
      <c r="B61" s="761"/>
      <c r="C61" s="761"/>
      <c r="D61" s="761"/>
      <c r="E61" s="762"/>
      <c r="F61" s="665"/>
      <c r="I61" s="768"/>
      <c r="J61" s="768"/>
      <c r="L61" s="670"/>
      <c r="M61" s="657"/>
      <c r="N61" s="657"/>
      <c r="O61" s="85"/>
      <c r="P61" s="55"/>
      <c r="Q61" s="671"/>
      <c r="R61" s="657"/>
      <c r="S61" s="657"/>
      <c r="T61" s="671"/>
      <c r="U61" s="57"/>
      <c r="V61" s="32"/>
      <c r="W61" s="149"/>
      <c r="X61" s="91" t="s">
        <v>245</v>
      </c>
      <c r="Y61" s="10">
        <v>100</v>
      </c>
      <c r="Z61" s="10">
        <v>100</v>
      </c>
      <c r="AA61" s="91" t="s">
        <v>245</v>
      </c>
      <c r="AB61" s="156">
        <v>6</v>
      </c>
      <c r="AE61" s="679"/>
      <c r="AF61" s="679"/>
      <c r="AR61" s="111"/>
      <c r="AT61" s="144"/>
      <c r="AU61" s="751"/>
      <c r="AV61" s="751"/>
      <c r="AW61" s="75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  <c r="BU61" s="32"/>
      <c r="BV61" s="32"/>
      <c r="BW61" s="32"/>
      <c r="BX61" s="32"/>
      <c r="BY61" s="32"/>
      <c r="BZ61" s="32"/>
      <c r="CA61" s="39"/>
    </row>
    <row r="62" spans="1:79" ht="21" x14ac:dyDescent="0.25">
      <c r="A62" s="760"/>
      <c r="B62" s="761"/>
      <c r="C62" s="761"/>
      <c r="D62" s="761"/>
      <c r="E62" s="762"/>
      <c r="F62" s="158"/>
      <c r="L62" s="670"/>
      <c r="M62" s="657"/>
      <c r="N62" s="657"/>
      <c r="O62" s="85"/>
      <c r="P62" s="55"/>
      <c r="Q62" s="671"/>
      <c r="R62" s="657"/>
      <c r="S62" s="657"/>
      <c r="T62" s="671"/>
      <c r="U62" s="57"/>
      <c r="V62" s="32"/>
      <c r="W62" s="149"/>
      <c r="X62" s="91" t="s">
        <v>245</v>
      </c>
      <c r="Y62" s="10">
        <v>100</v>
      </c>
      <c r="Z62" s="10">
        <v>100</v>
      </c>
      <c r="AA62" s="91" t="s">
        <v>245</v>
      </c>
      <c r="AB62" s="156">
        <v>3</v>
      </c>
      <c r="AE62" s="679"/>
      <c r="AF62" s="679"/>
      <c r="AK62" s="679"/>
      <c r="AL62" s="679"/>
      <c r="AR62" s="111"/>
      <c r="AT62" s="144"/>
      <c r="AU62" s="751"/>
      <c r="AV62" s="751"/>
      <c r="AW62" s="75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9"/>
    </row>
    <row r="63" spans="1:79" ht="21" x14ac:dyDescent="0.25">
      <c r="A63" s="760"/>
      <c r="B63" s="761"/>
      <c r="C63" s="761"/>
      <c r="D63" s="761"/>
      <c r="E63" s="762"/>
      <c r="F63" s="158"/>
      <c r="M63" s="670"/>
      <c r="N63" s="85"/>
      <c r="P63" s="126"/>
      <c r="R63" s="671"/>
      <c r="S63" s="671"/>
      <c r="U63" s="32"/>
      <c r="V63" s="32"/>
      <c r="X63" s="91" t="s">
        <v>245</v>
      </c>
      <c r="Y63" s="10">
        <v>100</v>
      </c>
      <c r="Z63" s="10">
        <v>100</v>
      </c>
      <c r="AA63" s="91" t="s">
        <v>245</v>
      </c>
      <c r="AB63" s="32"/>
      <c r="AC63" s="32"/>
      <c r="AE63" s="679"/>
      <c r="AF63" s="679"/>
      <c r="AK63" s="679"/>
      <c r="AL63" s="679"/>
      <c r="AR63" s="111"/>
      <c r="AT63" s="144"/>
      <c r="AU63" s="751"/>
      <c r="AV63" s="751"/>
      <c r="AW63" s="75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  <c r="BU63" s="32"/>
      <c r="BV63" s="32"/>
      <c r="BW63" s="32"/>
      <c r="BX63" s="32"/>
      <c r="BY63" s="32"/>
      <c r="BZ63" s="32"/>
      <c r="CA63" s="39"/>
    </row>
    <row r="64" spans="1:79" ht="15.75" x14ac:dyDescent="0.25">
      <c r="A64" s="760"/>
      <c r="B64" s="761"/>
      <c r="C64" s="761"/>
      <c r="D64" s="761"/>
      <c r="E64" s="762"/>
      <c r="F64" s="158"/>
      <c r="G64" s="165"/>
      <c r="P64" s="32"/>
      <c r="Q64" s="32"/>
      <c r="U64" s="32"/>
      <c r="V64" s="32"/>
      <c r="X64" s="149"/>
      <c r="Y64" s="91"/>
      <c r="Z64" s="91"/>
      <c r="AA64" s="149"/>
      <c r="AC64" s="32"/>
      <c r="AI64" s="32"/>
      <c r="AR64" s="111"/>
      <c r="AT64" s="144"/>
      <c r="AU64" s="751"/>
      <c r="AV64" s="751"/>
      <c r="AW64" s="75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9"/>
    </row>
    <row r="65" spans="1:79" ht="15.75" x14ac:dyDescent="0.25">
      <c r="A65" s="760"/>
      <c r="B65" s="761"/>
      <c r="C65" s="761"/>
      <c r="D65" s="761"/>
      <c r="E65" s="762"/>
      <c r="F65" s="158"/>
      <c r="G65" s="165"/>
      <c r="H65" s="165"/>
      <c r="I65" s="165"/>
      <c r="J65" s="165"/>
      <c r="K65" s="165"/>
      <c r="M65" s="32"/>
      <c r="N65" s="32"/>
      <c r="P65" s="32"/>
      <c r="Q65" s="32"/>
      <c r="U65" s="32"/>
      <c r="V65" s="32"/>
      <c r="W65" s="32"/>
      <c r="X65" s="32"/>
      <c r="Y65" s="149"/>
      <c r="Z65" s="149"/>
      <c r="AA65" s="32"/>
      <c r="AB65" s="32"/>
      <c r="AC65" s="32"/>
      <c r="AD65" s="32"/>
      <c r="AH65" s="32"/>
      <c r="AI65" s="32"/>
      <c r="AR65" s="111"/>
      <c r="AT65" s="144"/>
      <c r="AU65" s="751"/>
      <c r="AV65" s="751"/>
      <c r="AW65" s="75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9"/>
    </row>
    <row r="66" spans="1:79" ht="15.75" x14ac:dyDescent="0.25">
      <c r="A66" s="760"/>
      <c r="B66" s="761"/>
      <c r="C66" s="761"/>
      <c r="D66" s="761"/>
      <c r="E66" s="762"/>
      <c r="F66" s="158"/>
      <c r="G66" s="32"/>
      <c r="H66" s="32"/>
      <c r="I66" s="32"/>
      <c r="J66" s="32"/>
      <c r="K66" s="32"/>
      <c r="L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H66" s="32"/>
      <c r="AI66" s="32"/>
      <c r="AJ66" s="32"/>
      <c r="AK66" s="32"/>
      <c r="AR66" s="111"/>
      <c r="AT66" s="144"/>
      <c r="AU66" s="751"/>
      <c r="AV66" s="751"/>
      <c r="AW66" s="75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9"/>
    </row>
    <row r="67" spans="1:79" ht="15.75" x14ac:dyDescent="0.25">
      <c r="A67" s="760"/>
      <c r="B67" s="761"/>
      <c r="C67" s="761"/>
      <c r="D67" s="761"/>
      <c r="E67" s="762"/>
      <c r="F67" s="158"/>
      <c r="J67" s="32"/>
      <c r="L67" s="32"/>
      <c r="M67" s="769"/>
      <c r="N67" s="769"/>
      <c r="O67" s="769"/>
      <c r="P67" s="769"/>
      <c r="Q67" s="769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R67" s="111"/>
      <c r="AT67" s="144"/>
      <c r="AU67" s="751"/>
      <c r="AV67" s="751"/>
      <c r="AW67" s="75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9"/>
    </row>
    <row r="68" spans="1:79" x14ac:dyDescent="0.25">
      <c r="A68" s="760"/>
      <c r="B68" s="761"/>
      <c r="C68" s="761"/>
      <c r="D68" s="761"/>
      <c r="E68" s="762"/>
      <c r="F68" s="32"/>
      <c r="J68" s="1"/>
      <c r="M68" s="44"/>
      <c r="N68" s="44"/>
      <c r="O68" s="44"/>
      <c r="P68" s="44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R68" s="111"/>
      <c r="AT68" s="144"/>
      <c r="AU68" s="751"/>
      <c r="AV68" s="751"/>
      <c r="AW68" s="75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9"/>
    </row>
    <row r="69" spans="1:79" ht="23.25" x14ac:dyDescent="0.25">
      <c r="A69" s="760"/>
      <c r="B69" s="761"/>
      <c r="C69" s="761"/>
      <c r="D69" s="761"/>
      <c r="E69" s="762"/>
      <c r="F69" s="770"/>
      <c r="G69" s="771"/>
      <c r="H69" s="771"/>
      <c r="I69" s="771"/>
      <c r="J69" s="771"/>
      <c r="K69" s="771"/>
      <c r="L69" s="42"/>
      <c r="M69" s="658"/>
      <c r="N69" s="658"/>
      <c r="O69" s="658"/>
      <c r="P69" s="658"/>
      <c r="Q69" s="658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656"/>
      <c r="AH69" s="656"/>
      <c r="AI69" s="656"/>
      <c r="AJ69" s="656"/>
      <c r="AK69" s="32"/>
      <c r="AL69" s="32"/>
      <c r="AM69" s="32"/>
      <c r="AN69" s="32"/>
      <c r="AR69" s="111"/>
      <c r="AT69" s="144"/>
      <c r="AU69" s="751"/>
      <c r="AV69" s="751"/>
      <c r="AW69" s="75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9"/>
    </row>
    <row r="70" spans="1:79" ht="24" thickBot="1" x14ac:dyDescent="0.3">
      <c r="A70" s="763"/>
      <c r="B70" s="764"/>
      <c r="C70" s="764"/>
      <c r="D70" s="764"/>
      <c r="E70" s="762"/>
      <c r="F70" s="666"/>
      <c r="G70" s="666"/>
      <c r="H70" s="666"/>
      <c r="I70" s="666"/>
      <c r="J70" s="666"/>
      <c r="K70" s="666"/>
      <c r="L70" s="672"/>
      <c r="M70" s="673"/>
      <c r="N70" s="673"/>
      <c r="O70" s="673"/>
      <c r="P70" s="673"/>
      <c r="Q70" s="673"/>
      <c r="R70" s="658"/>
      <c r="S70" s="665"/>
      <c r="T70" s="665"/>
      <c r="U70" s="665"/>
      <c r="V70" s="665"/>
      <c r="W70" s="40"/>
      <c r="X70" s="32"/>
      <c r="Y70" s="32"/>
      <c r="Z70" s="32"/>
      <c r="AA70" s="32"/>
      <c r="AB70" s="32"/>
      <c r="AC70" s="32"/>
      <c r="AD70" s="32"/>
      <c r="AE70" s="32"/>
      <c r="AF70" s="656"/>
      <c r="AG70" s="673"/>
      <c r="AH70" s="673"/>
      <c r="AI70" s="673"/>
      <c r="AJ70" s="673"/>
      <c r="AK70" s="656"/>
      <c r="AL70" s="32"/>
      <c r="AM70" s="32"/>
      <c r="AN70" s="32"/>
      <c r="AO70" s="32"/>
      <c r="AP70" s="32"/>
      <c r="AQ70" s="32"/>
      <c r="AR70" s="170"/>
      <c r="AS70" s="32"/>
      <c r="AT70" s="144"/>
      <c r="AU70" s="751"/>
      <c r="AV70" s="753"/>
      <c r="AW70" s="754"/>
      <c r="AX70" s="171"/>
      <c r="AY70" s="171"/>
      <c r="AZ70" s="171"/>
      <c r="BA70" s="171"/>
      <c r="BB70" s="171"/>
      <c r="BC70" s="171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3"/>
    </row>
    <row r="71" spans="1:79" x14ac:dyDescent="0.25"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  <c r="AK71" s="141"/>
      <c r="AL71" s="141"/>
      <c r="AM71" s="141"/>
      <c r="AN71" s="141"/>
      <c r="AO71" s="141"/>
      <c r="AP71" s="141"/>
      <c r="AQ71" s="141"/>
      <c r="AR71" s="141"/>
      <c r="AS71" s="141"/>
      <c r="AT71" s="141"/>
      <c r="AU71" s="141"/>
    </row>
    <row r="74" spans="1:79" x14ac:dyDescent="0.25">
      <c r="M74" s="174"/>
    </row>
    <row r="75" spans="1:79" x14ac:dyDescent="0.25">
      <c r="M75" s="174"/>
    </row>
    <row r="76" spans="1:79" x14ac:dyDescent="0.25">
      <c r="M76" s="174"/>
    </row>
    <row r="81" spans="13:13" x14ac:dyDescent="0.25">
      <c r="M81" s="174"/>
    </row>
    <row r="82" spans="13:13" x14ac:dyDescent="0.25">
      <c r="M82" s="174"/>
    </row>
    <row r="83" spans="13:13" x14ac:dyDescent="0.25">
      <c r="M83" s="174"/>
    </row>
  </sheetData>
  <mergeCells count="56">
    <mergeCell ref="A53:E70"/>
    <mergeCell ref="AK53:AL53"/>
    <mergeCell ref="I54:J54"/>
    <mergeCell ref="L58:O58"/>
    <mergeCell ref="Q58:T58"/>
    <mergeCell ref="I61:J61"/>
    <mergeCell ref="M67:O67"/>
    <mergeCell ref="P67:Q67"/>
    <mergeCell ref="F69:K69"/>
    <mergeCell ref="AO41:AT41"/>
    <mergeCell ref="BM41:BP41"/>
    <mergeCell ref="AU43:AW70"/>
    <mergeCell ref="AE44:AF44"/>
    <mergeCell ref="M47:M48"/>
    <mergeCell ref="N47:N48"/>
    <mergeCell ref="R47:S47"/>
    <mergeCell ref="Y48:Z48"/>
    <mergeCell ref="R33:S33"/>
    <mergeCell ref="AT36:AW36"/>
    <mergeCell ref="AY36:BB36"/>
    <mergeCell ref="BD36:BG36"/>
    <mergeCell ref="M39:N39"/>
    <mergeCell ref="AX39:BB39"/>
    <mergeCell ref="BE39:BI39"/>
    <mergeCell ref="BW8:BY8"/>
    <mergeCell ref="BP21:BQ21"/>
    <mergeCell ref="A23:E23"/>
    <mergeCell ref="A24:B35"/>
    <mergeCell ref="C24:E31"/>
    <mergeCell ref="AE27:AF27"/>
    <mergeCell ref="BJ28:BJ29"/>
    <mergeCell ref="AE34:AF34"/>
    <mergeCell ref="Y16:Z16"/>
    <mergeCell ref="AJ17:AK17"/>
    <mergeCell ref="I19:J19"/>
    <mergeCell ref="AN20:AN26"/>
    <mergeCell ref="BK28:BK29"/>
    <mergeCell ref="BW28:BY28"/>
    <mergeCell ref="M29:M30"/>
    <mergeCell ref="N29:N30"/>
    <mergeCell ref="Y14:Z14"/>
    <mergeCell ref="BK14:BL14"/>
    <mergeCell ref="A1:CA1"/>
    <mergeCell ref="A2:CA2"/>
    <mergeCell ref="V3:AG5"/>
    <mergeCell ref="BA3:BB3"/>
    <mergeCell ref="BJ3:BK3"/>
    <mergeCell ref="AO4:AR4"/>
    <mergeCell ref="BN4:BQ4"/>
    <mergeCell ref="A5:B13"/>
    <mergeCell ref="L6:P6"/>
    <mergeCell ref="AJ6:AK8"/>
    <mergeCell ref="BS6:BW6"/>
    <mergeCell ref="AP7:AR7"/>
    <mergeCell ref="AZ7:BA7"/>
    <mergeCell ref="E8:G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2025-10-28T19:22:31Z</dcterms:modified>
</cp:coreProperties>
</file>