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1984806A-6F80-4F0D-87BD-CBE34B787920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5" i="51" l="1"/>
  <c r="E475" i="5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N476" i="51" s="1"/>
  <c r="E466" i="51"/>
  <c r="E476" i="51" s="1"/>
  <c r="N463" i="51"/>
  <c r="N464" i="51" s="1"/>
  <c r="E463" i="51"/>
  <c r="E464" i="51" s="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E452" i="51"/>
  <c r="N449" i="51"/>
  <c r="E449" i="51"/>
  <c r="N448" i="51"/>
  <c r="E448" i="51"/>
  <c r="N447" i="51"/>
  <c r="E447" i="51"/>
  <c r="N446" i="51"/>
  <c r="N450" i="51" s="1"/>
  <c r="E446" i="51"/>
  <c r="E450" i="51" s="1"/>
  <c r="N443" i="51"/>
  <c r="E443" i="51"/>
  <c r="N442" i="51"/>
  <c r="E442" i="51"/>
  <c r="N441" i="51"/>
  <c r="E441" i="51"/>
  <c r="N440" i="51"/>
  <c r="E440" i="51"/>
  <c r="N439" i="51"/>
  <c r="E439" i="51"/>
  <c r="N438" i="51"/>
  <c r="N444" i="51" s="1"/>
  <c r="E438" i="51"/>
  <c r="E444" i="51" s="1"/>
  <c r="N435" i="51"/>
  <c r="E435" i="51"/>
  <c r="N434" i="51"/>
  <c r="E434" i="51"/>
  <c r="N433" i="51"/>
  <c r="E433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N436" i="51" s="1"/>
  <c r="E413" i="51"/>
  <c r="E436" i="51" s="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N411" i="51" s="1"/>
  <c r="E334" i="51"/>
  <c r="E411" i="51" s="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N320" i="51"/>
  <c r="E320" i="51"/>
  <c r="N319" i="51"/>
  <c r="E319" i="51"/>
  <c r="N318" i="51"/>
  <c r="E318" i="51"/>
  <c r="N317" i="51"/>
  <c r="E317" i="51"/>
  <c r="N316" i="51"/>
  <c r="E316" i="51"/>
  <c r="N315" i="51"/>
  <c r="E315" i="51"/>
  <c r="N314" i="51"/>
  <c r="E314" i="51"/>
  <c r="N313" i="51"/>
  <c r="E313" i="51"/>
  <c r="N312" i="51"/>
  <c r="E312" i="51"/>
  <c r="N311" i="51"/>
  <c r="E311" i="51"/>
  <c r="N310" i="51"/>
  <c r="E310" i="51"/>
  <c r="N309" i="51"/>
  <c r="E309" i="51"/>
  <c r="N308" i="51"/>
  <c r="E308" i="51"/>
  <c r="N307" i="51"/>
  <c r="E307" i="51"/>
  <c r="N306" i="51"/>
  <c r="E306" i="51"/>
  <c r="N305" i="51"/>
  <c r="E305" i="51"/>
  <c r="N304" i="51"/>
  <c r="N332" i="51" s="1"/>
  <c r="E304" i="51"/>
  <c r="E332" i="51" s="1"/>
  <c r="M290" i="51"/>
  <c r="D290" i="51"/>
  <c r="P290" i="51" s="1"/>
  <c r="Q290" i="51" s="1"/>
  <c r="M289" i="51"/>
  <c r="D289" i="51"/>
  <c r="P289" i="51" s="1"/>
  <c r="Q289" i="51" s="1"/>
  <c r="M288" i="51"/>
  <c r="P288" i="51" s="1"/>
  <c r="Q288" i="51" s="1"/>
  <c r="D288" i="51"/>
  <c r="M287" i="51"/>
  <c r="D287" i="51"/>
  <c r="P287" i="51" s="1"/>
  <c r="Q287" i="51" s="1"/>
  <c r="M286" i="51"/>
  <c r="D286" i="51"/>
  <c r="P286" i="51" s="1"/>
  <c r="Q286" i="51" s="1"/>
  <c r="M285" i="51"/>
  <c r="D285" i="51"/>
  <c r="P285" i="51" s="1"/>
  <c r="Q285" i="51" s="1"/>
  <c r="M284" i="51"/>
  <c r="D284" i="51"/>
  <c r="P284" i="51" s="1"/>
  <c r="Q284" i="51" s="1"/>
  <c r="M283" i="51"/>
  <c r="D283" i="51"/>
  <c r="P283" i="51" s="1"/>
  <c r="Q283" i="51" s="1"/>
  <c r="M282" i="51"/>
  <c r="D282" i="51"/>
  <c r="P282" i="51" s="1"/>
  <c r="Q282" i="51" s="1"/>
  <c r="M281" i="51"/>
  <c r="D281" i="51"/>
  <c r="P281" i="51" s="1"/>
  <c r="Q281" i="51" s="1"/>
  <c r="M280" i="51"/>
  <c r="D280" i="51"/>
  <c r="P280" i="51" s="1"/>
  <c r="Q280" i="51" s="1"/>
  <c r="M279" i="51"/>
  <c r="D279" i="51"/>
  <c r="P279" i="51" s="1"/>
  <c r="Q279" i="51" s="1"/>
  <c r="M278" i="51"/>
  <c r="D278" i="51"/>
  <c r="P278" i="51" s="1"/>
  <c r="Q278" i="51" s="1"/>
  <c r="M277" i="51"/>
  <c r="D277" i="51"/>
  <c r="P277" i="51" s="1"/>
  <c r="Q277" i="51" s="1"/>
  <c r="M276" i="51"/>
  <c r="D276" i="51"/>
  <c r="P276" i="51" s="1"/>
  <c r="Q276" i="51" s="1"/>
  <c r="M275" i="51"/>
  <c r="D275" i="51"/>
  <c r="P275" i="51" s="1"/>
  <c r="Q275" i="51" s="1"/>
  <c r="M274" i="51"/>
  <c r="D274" i="51"/>
  <c r="P274" i="51" s="1"/>
  <c r="Q274" i="51" s="1"/>
  <c r="M273" i="51"/>
  <c r="D273" i="51"/>
  <c r="P273" i="51" s="1"/>
  <c r="Q273" i="51" s="1"/>
  <c r="M272" i="51"/>
  <c r="D272" i="51"/>
  <c r="P272" i="51" s="1"/>
  <c r="Q272" i="51" s="1"/>
  <c r="M271" i="51"/>
  <c r="D271" i="51"/>
  <c r="P271" i="51" s="1"/>
  <c r="Q271" i="51" s="1"/>
  <c r="M270" i="51"/>
  <c r="D270" i="51"/>
  <c r="P270" i="51" s="1"/>
  <c r="Q270" i="51" s="1"/>
  <c r="M269" i="51"/>
  <c r="D269" i="51"/>
  <c r="P269" i="51" s="1"/>
  <c r="Q269" i="51" s="1"/>
  <c r="M268" i="51"/>
  <c r="D268" i="51"/>
  <c r="P268" i="51" s="1"/>
  <c r="Q268" i="51" s="1"/>
  <c r="M267" i="51"/>
  <c r="D267" i="51"/>
  <c r="P267" i="51" s="1"/>
  <c r="Q267" i="51" s="1"/>
  <c r="M266" i="51"/>
  <c r="D266" i="51"/>
  <c r="P266" i="51" s="1"/>
  <c r="Q266" i="51" s="1"/>
  <c r="M265" i="51"/>
  <c r="D265" i="51"/>
  <c r="P265" i="51" s="1"/>
  <c r="Q265" i="51" s="1"/>
  <c r="M264" i="51"/>
  <c r="D264" i="51"/>
  <c r="P264" i="51" s="1"/>
  <c r="Q264" i="51" s="1"/>
  <c r="M263" i="51"/>
  <c r="D263" i="51"/>
  <c r="P263" i="51" s="1"/>
  <c r="Q263" i="51" s="1"/>
  <c r="M262" i="51"/>
  <c r="D262" i="51"/>
  <c r="P262" i="51" s="1"/>
  <c r="Q262" i="51" s="1"/>
  <c r="M261" i="51"/>
  <c r="D261" i="51"/>
  <c r="P261" i="51" s="1"/>
  <c r="Q261" i="51" s="1"/>
  <c r="M260" i="51"/>
  <c r="D260" i="51"/>
  <c r="P260" i="51" s="1"/>
  <c r="Q260" i="51" s="1"/>
  <c r="M259" i="51"/>
  <c r="D259" i="51"/>
  <c r="P259" i="51" s="1"/>
  <c r="Q259" i="51" s="1"/>
  <c r="M258" i="51"/>
  <c r="D258" i="51"/>
  <c r="P258" i="51" s="1"/>
  <c r="Q258" i="51" s="1"/>
  <c r="M257" i="51"/>
  <c r="D257" i="51"/>
  <c r="P257" i="51" s="1"/>
  <c r="Q257" i="51" s="1"/>
  <c r="M256" i="51"/>
  <c r="D256" i="51"/>
  <c r="P256" i="51" s="1"/>
  <c r="Q256" i="51" s="1"/>
  <c r="M255" i="51"/>
  <c r="D255" i="51"/>
  <c r="P255" i="51" s="1"/>
  <c r="Q255" i="51" s="1"/>
  <c r="M254" i="51"/>
  <c r="D254" i="51"/>
  <c r="P254" i="51" s="1"/>
  <c r="Q254" i="51" s="1"/>
  <c r="M253" i="51"/>
  <c r="D253" i="51"/>
  <c r="P253" i="51" s="1"/>
  <c r="Q253" i="51" s="1"/>
  <c r="M252" i="51"/>
  <c r="D252" i="51"/>
  <c r="P252" i="51" s="1"/>
  <c r="Q252" i="51" s="1"/>
  <c r="M251" i="51"/>
  <c r="D251" i="51"/>
  <c r="P251" i="51" s="1"/>
  <c r="Q251" i="51" s="1"/>
  <c r="M250" i="51"/>
  <c r="D250" i="51"/>
  <c r="P250" i="51" s="1"/>
  <c r="Q250" i="51" s="1"/>
  <c r="M249" i="51"/>
  <c r="D249" i="51"/>
  <c r="P249" i="51" s="1"/>
  <c r="Q249" i="51" s="1"/>
  <c r="M248" i="51"/>
  <c r="D248" i="51"/>
  <c r="P248" i="51" s="1"/>
  <c r="Q248" i="51" s="1"/>
  <c r="M247" i="51"/>
  <c r="D247" i="51"/>
  <c r="P247" i="51" s="1"/>
  <c r="Q247" i="51" s="1"/>
  <c r="M246" i="51"/>
  <c r="D246" i="51"/>
  <c r="P246" i="51" s="1"/>
  <c r="Q246" i="51" s="1"/>
  <c r="M245" i="51"/>
  <c r="D245" i="51"/>
  <c r="P245" i="51" s="1"/>
  <c r="Q245" i="51" s="1"/>
  <c r="P244" i="51"/>
  <c r="M244" i="51"/>
  <c r="D244" i="51"/>
  <c r="P243" i="51"/>
  <c r="Q243" i="51" s="1"/>
  <c r="M243" i="51"/>
  <c r="D243" i="51"/>
  <c r="P242" i="51"/>
  <c r="Q242" i="51" s="1"/>
  <c r="M242" i="51"/>
  <c r="D242" i="51"/>
  <c r="P241" i="51"/>
  <c r="Q241" i="51" s="1"/>
  <c r="M241" i="51"/>
  <c r="D241" i="51"/>
  <c r="P240" i="51"/>
  <c r="Q240" i="51" s="1"/>
  <c r="M240" i="51"/>
  <c r="D240" i="51"/>
  <c r="P239" i="51"/>
  <c r="Q239" i="51" s="1"/>
  <c r="M239" i="51"/>
  <c r="D239" i="51"/>
  <c r="P238" i="51"/>
  <c r="Q238" i="51" s="1"/>
  <c r="M238" i="51"/>
  <c r="D238" i="51"/>
  <c r="P237" i="51"/>
  <c r="Q237" i="51" s="1"/>
  <c r="M237" i="51"/>
  <c r="D237" i="51"/>
  <c r="P236" i="51"/>
  <c r="Q236" i="51" s="1"/>
  <c r="M236" i="51"/>
  <c r="D236" i="51"/>
  <c r="P235" i="51"/>
  <c r="Q235" i="51" s="1"/>
  <c r="M235" i="51"/>
  <c r="D235" i="51"/>
  <c r="P234" i="51"/>
  <c r="Q234" i="51" s="1"/>
  <c r="M234" i="51"/>
  <c r="D234" i="51"/>
  <c r="P233" i="51"/>
  <c r="Q233" i="51" s="1"/>
  <c r="M233" i="51"/>
  <c r="D233" i="51"/>
  <c r="E218" i="51" s="1"/>
  <c r="M232" i="51"/>
  <c r="P232" i="51" s="1"/>
  <c r="D232" i="51"/>
  <c r="M231" i="51"/>
  <c r="P231" i="51" s="1"/>
  <c r="Q231" i="51" s="1"/>
  <c r="D231" i="51"/>
  <c r="M230" i="51"/>
  <c r="P230" i="51" s="1"/>
  <c r="Q230" i="51" s="1"/>
  <c r="D230" i="51"/>
  <c r="M229" i="51"/>
  <c r="P229" i="51" s="1"/>
  <c r="Q229" i="51" s="1"/>
  <c r="D229" i="51"/>
  <c r="M228" i="51"/>
  <c r="P228" i="51" s="1"/>
  <c r="Q228" i="51" s="1"/>
  <c r="D228" i="51"/>
  <c r="M227" i="51"/>
  <c r="P227" i="51" s="1"/>
  <c r="Q227" i="51" s="1"/>
  <c r="D227" i="51"/>
  <c r="M226" i="51"/>
  <c r="P226" i="51" s="1"/>
  <c r="Q226" i="51" s="1"/>
  <c r="D226" i="51"/>
  <c r="M225" i="51"/>
  <c r="P225" i="51" s="1"/>
  <c r="Q225" i="51" s="1"/>
  <c r="D225" i="51"/>
  <c r="M224" i="51"/>
  <c r="P224" i="51" s="1"/>
  <c r="Q224" i="51" s="1"/>
  <c r="D224" i="51"/>
  <c r="M223" i="51"/>
  <c r="P223" i="51" s="1"/>
  <c r="Q223" i="51" s="1"/>
  <c r="D223" i="51"/>
  <c r="M222" i="51"/>
  <c r="P222" i="51" s="1"/>
  <c r="Q222" i="51" s="1"/>
  <c r="D222" i="51"/>
  <c r="M221" i="51"/>
  <c r="P221" i="51" s="1"/>
  <c r="Q221" i="51" s="1"/>
  <c r="D221" i="51"/>
  <c r="M220" i="51"/>
  <c r="P220" i="51" s="1"/>
  <c r="Q220" i="51" s="1"/>
  <c r="D220" i="51"/>
  <c r="M219" i="51"/>
  <c r="O188" i="51" s="1"/>
  <c r="D219" i="51"/>
  <c r="M217" i="51"/>
  <c r="D217" i="51"/>
  <c r="P217" i="51" s="1"/>
  <c r="Q217" i="51" s="1"/>
  <c r="M216" i="51"/>
  <c r="D216" i="51"/>
  <c r="P216" i="51" s="1"/>
  <c r="Q216" i="51" s="1"/>
  <c r="M215" i="51"/>
  <c r="D215" i="51"/>
  <c r="P215" i="51" s="1"/>
  <c r="Q215" i="51" s="1"/>
  <c r="M214" i="51"/>
  <c r="D214" i="51"/>
  <c r="P214" i="51" s="1"/>
  <c r="Q214" i="51" s="1"/>
  <c r="M213" i="51"/>
  <c r="D213" i="51"/>
  <c r="P213" i="51" s="1"/>
  <c r="Q213" i="51" s="1"/>
  <c r="M212" i="51"/>
  <c r="D212" i="51"/>
  <c r="P212" i="51" s="1"/>
  <c r="Q212" i="51" s="1"/>
  <c r="M211" i="51"/>
  <c r="D211" i="51"/>
  <c r="P211" i="51" s="1"/>
  <c r="Q211" i="51" s="1"/>
  <c r="M210" i="51"/>
  <c r="D210" i="51"/>
  <c r="P210" i="51" s="1"/>
  <c r="Q210" i="51" s="1"/>
  <c r="M209" i="51"/>
  <c r="D209" i="51"/>
  <c r="P209" i="51" s="1"/>
  <c r="Q209" i="51" s="1"/>
  <c r="M208" i="51"/>
  <c r="D208" i="51"/>
  <c r="P208" i="51" s="1"/>
  <c r="Q208" i="51" s="1"/>
  <c r="M207" i="51"/>
  <c r="D207" i="51"/>
  <c r="P207" i="51" s="1"/>
  <c r="Q207" i="51" s="1"/>
  <c r="M206" i="51"/>
  <c r="D206" i="51"/>
  <c r="P206" i="51" s="1"/>
  <c r="Q206" i="51" s="1"/>
  <c r="M205" i="51"/>
  <c r="D205" i="51"/>
  <c r="P205" i="51" s="1"/>
  <c r="Q205" i="51" s="1"/>
  <c r="M204" i="51"/>
  <c r="D204" i="51"/>
  <c r="P204" i="51" s="1"/>
  <c r="Q204" i="51" s="1"/>
  <c r="M203" i="51"/>
  <c r="D203" i="51"/>
  <c r="P203" i="51" s="1"/>
  <c r="Q203" i="51" s="1"/>
  <c r="M202" i="51"/>
  <c r="D202" i="51"/>
  <c r="P202" i="51" s="1"/>
  <c r="Q202" i="51" s="1"/>
  <c r="M201" i="51"/>
  <c r="D201" i="51"/>
  <c r="P201" i="51" s="1"/>
  <c r="Q201" i="51" s="1"/>
  <c r="M200" i="51"/>
  <c r="D200" i="51"/>
  <c r="P200" i="51" s="1"/>
  <c r="Q200" i="51" s="1"/>
  <c r="M199" i="51"/>
  <c r="D199" i="51"/>
  <c r="P199" i="51" s="1"/>
  <c r="Q199" i="51" s="1"/>
  <c r="M198" i="51"/>
  <c r="D198" i="51"/>
  <c r="P198" i="51" s="1"/>
  <c r="Q198" i="51" s="1"/>
  <c r="M197" i="51"/>
  <c r="D197" i="51"/>
  <c r="P197" i="51" s="1"/>
  <c r="Q197" i="51" s="1"/>
  <c r="M196" i="51"/>
  <c r="D196" i="51"/>
  <c r="P196" i="51" s="1"/>
  <c r="Q196" i="51" s="1"/>
  <c r="M195" i="51"/>
  <c r="D195" i="51"/>
  <c r="P195" i="51" s="1"/>
  <c r="Q195" i="51" s="1"/>
  <c r="M194" i="51"/>
  <c r="D194" i="51"/>
  <c r="E193" i="51" s="1"/>
  <c r="N193" i="51"/>
  <c r="O186" i="51"/>
  <c r="O184" i="51" s="1"/>
  <c r="P172" i="51"/>
  <c r="Q172" i="51" s="1"/>
  <c r="G172" i="51"/>
  <c r="P171" i="51"/>
  <c r="G171" i="51"/>
  <c r="Q171" i="51" s="1"/>
  <c r="P170" i="51"/>
  <c r="G170" i="51"/>
  <c r="Q170" i="51" s="1"/>
  <c r="Q169" i="51"/>
  <c r="P169" i="51"/>
  <c r="G169" i="51"/>
  <c r="P168" i="51"/>
  <c r="Q168" i="51" s="1"/>
  <c r="G168" i="51"/>
  <c r="P167" i="51"/>
  <c r="G167" i="51"/>
  <c r="Q167" i="51" s="1"/>
  <c r="P166" i="51"/>
  <c r="G166" i="51"/>
  <c r="Q166" i="51" s="1"/>
  <c r="Q165" i="51"/>
  <c r="P165" i="51"/>
  <c r="G165" i="51"/>
  <c r="P164" i="51"/>
  <c r="Q164" i="51" s="1"/>
  <c r="G164" i="51"/>
  <c r="P163" i="51"/>
  <c r="G163" i="51"/>
  <c r="Q163" i="51" s="1"/>
  <c r="P162" i="51"/>
  <c r="G162" i="51"/>
  <c r="Q162" i="51" s="1"/>
  <c r="P161" i="51"/>
  <c r="G161" i="51"/>
  <c r="Q161" i="51" s="1"/>
  <c r="P160" i="51"/>
  <c r="Q160" i="51" s="1"/>
  <c r="G160" i="51"/>
  <c r="P159" i="51"/>
  <c r="G159" i="51"/>
  <c r="Q159" i="51" s="1"/>
  <c r="P158" i="51"/>
  <c r="G158" i="51"/>
  <c r="Q158" i="51" s="1"/>
  <c r="Q157" i="51"/>
  <c r="P157" i="51"/>
  <c r="G157" i="51"/>
  <c r="P156" i="51"/>
  <c r="Q156" i="51" s="1"/>
  <c r="G156" i="51"/>
  <c r="P155" i="51"/>
  <c r="G155" i="51"/>
  <c r="Q155" i="51" s="1"/>
  <c r="P154" i="51"/>
  <c r="G154" i="51"/>
  <c r="Q154" i="51" s="1"/>
  <c r="Q153" i="51"/>
  <c r="P153" i="51"/>
  <c r="G153" i="51"/>
  <c r="P152" i="51"/>
  <c r="Q152" i="51" s="1"/>
  <c r="G152" i="51"/>
  <c r="P151" i="51"/>
  <c r="G151" i="51"/>
  <c r="Q151" i="51" s="1"/>
  <c r="P150" i="51"/>
  <c r="G150" i="51"/>
  <c r="Q150" i="51" s="1"/>
  <c r="Q149" i="51"/>
  <c r="P149" i="51"/>
  <c r="G149" i="51"/>
  <c r="P148" i="51"/>
  <c r="Q148" i="51" s="1"/>
  <c r="G148" i="51"/>
  <c r="P147" i="51"/>
  <c r="G147" i="51"/>
  <c r="Q147" i="51" s="1"/>
  <c r="P146" i="51"/>
  <c r="G146" i="51"/>
  <c r="Q146" i="51" s="1"/>
  <c r="Q145" i="51"/>
  <c r="P145" i="51"/>
  <c r="G145" i="51"/>
  <c r="P144" i="51"/>
  <c r="Q144" i="51" s="1"/>
  <c r="G144" i="51"/>
  <c r="P143" i="51"/>
  <c r="G143" i="51"/>
  <c r="Q143" i="51" s="1"/>
  <c r="P142" i="51"/>
  <c r="G142" i="51"/>
  <c r="Q142" i="51" s="1"/>
  <c r="Q141" i="51"/>
  <c r="P141" i="51"/>
  <c r="G141" i="51"/>
  <c r="P140" i="51"/>
  <c r="Q140" i="51" s="1"/>
  <c r="G140" i="51"/>
  <c r="P139" i="51"/>
  <c r="G139" i="51"/>
  <c r="Q139" i="51" s="1"/>
  <c r="P138" i="51"/>
  <c r="G138" i="51"/>
  <c r="Q138" i="51" s="1"/>
  <c r="Q137" i="51"/>
  <c r="P137" i="51"/>
  <c r="G137" i="51"/>
  <c r="P136" i="51"/>
  <c r="G136" i="51"/>
  <c r="Q136" i="51" s="1"/>
  <c r="P135" i="51"/>
  <c r="G135" i="51"/>
  <c r="Q135" i="51" s="1"/>
  <c r="P134" i="51"/>
  <c r="G134" i="51"/>
  <c r="Q134" i="51" s="1"/>
  <c r="P132" i="51"/>
  <c r="G132" i="51"/>
  <c r="Q132" i="51" s="1"/>
  <c r="P131" i="51"/>
  <c r="G131" i="51"/>
  <c r="Q131" i="51" s="1"/>
  <c r="P130" i="51"/>
  <c r="G130" i="51"/>
  <c r="Q130" i="51" s="1"/>
  <c r="P129" i="51"/>
  <c r="G129" i="51"/>
  <c r="Q129" i="51" s="1"/>
  <c r="P128" i="51"/>
  <c r="G128" i="51"/>
  <c r="Q128" i="51" s="1"/>
  <c r="P126" i="51"/>
  <c r="G126" i="51"/>
  <c r="Q126" i="51" s="1"/>
  <c r="P125" i="51"/>
  <c r="G125" i="51"/>
  <c r="Q125" i="51" s="1"/>
  <c r="P124" i="51"/>
  <c r="G124" i="51"/>
  <c r="Q124" i="51" s="1"/>
  <c r="P123" i="51"/>
  <c r="G123" i="51"/>
  <c r="Q123" i="51" s="1"/>
  <c r="P122" i="51"/>
  <c r="G122" i="51"/>
  <c r="Q122" i="51" s="1"/>
  <c r="P121" i="51"/>
  <c r="G121" i="51"/>
  <c r="Q121" i="51" s="1"/>
  <c r="P120" i="51"/>
  <c r="G120" i="51"/>
  <c r="Q120" i="51" s="1"/>
  <c r="P119" i="51"/>
  <c r="G119" i="51"/>
  <c r="Q119" i="51" s="1"/>
  <c r="P118" i="51"/>
  <c r="G118" i="51"/>
  <c r="Q118" i="51" s="1"/>
  <c r="P117" i="51"/>
  <c r="G117" i="51"/>
  <c r="Q117" i="51" s="1"/>
  <c r="P115" i="51"/>
  <c r="G115" i="51"/>
  <c r="Q115" i="51" s="1"/>
  <c r="P114" i="51"/>
  <c r="G114" i="51"/>
  <c r="Q114" i="51" s="1"/>
  <c r="P112" i="51"/>
  <c r="G112" i="51"/>
  <c r="Q112" i="51" s="1"/>
  <c r="P111" i="51"/>
  <c r="G111" i="51"/>
  <c r="Q111" i="51" s="1"/>
  <c r="P110" i="51"/>
  <c r="G110" i="51"/>
  <c r="Q110" i="51" s="1"/>
  <c r="P109" i="51"/>
  <c r="G109" i="51"/>
  <c r="Q109" i="51" s="1"/>
  <c r="P108" i="51"/>
  <c r="G108" i="51"/>
  <c r="Q108" i="51" s="1"/>
  <c r="P107" i="51"/>
  <c r="G107" i="51"/>
  <c r="Q107" i="51" s="1"/>
  <c r="P106" i="51"/>
  <c r="G106" i="51"/>
  <c r="Q106" i="51" s="1"/>
  <c r="P105" i="51"/>
  <c r="G105" i="51"/>
  <c r="Q105" i="51" s="1"/>
  <c r="P104" i="51"/>
  <c r="G104" i="51"/>
  <c r="Q104" i="51" s="1"/>
  <c r="P103" i="51"/>
  <c r="G103" i="51"/>
  <c r="Q103" i="51" s="1"/>
  <c r="P102" i="51"/>
  <c r="G102" i="51"/>
  <c r="Q102" i="51" s="1"/>
  <c r="P101" i="51"/>
  <c r="G101" i="51"/>
  <c r="Q101" i="51" s="1"/>
  <c r="P100" i="51"/>
  <c r="G100" i="51"/>
  <c r="Q100" i="51" s="1"/>
  <c r="P99" i="51"/>
  <c r="G99" i="51"/>
  <c r="Q99" i="51" s="1"/>
  <c r="P97" i="51"/>
  <c r="G97" i="51"/>
  <c r="Q97" i="51" s="1"/>
  <c r="P96" i="51"/>
  <c r="G96" i="51"/>
  <c r="Q96" i="51" s="1"/>
  <c r="P95" i="51"/>
  <c r="G95" i="51"/>
  <c r="Q95" i="51" s="1"/>
  <c r="P94" i="51"/>
  <c r="G94" i="51"/>
  <c r="Q94" i="51" s="1"/>
  <c r="P92" i="51"/>
  <c r="G92" i="51"/>
  <c r="Q92" i="51" s="1"/>
  <c r="P91" i="51"/>
  <c r="G91" i="51"/>
  <c r="Q91" i="51" s="1"/>
  <c r="P90" i="51"/>
  <c r="G90" i="51"/>
  <c r="Q90" i="51" s="1"/>
  <c r="P88" i="51"/>
  <c r="G88" i="51"/>
  <c r="Q88" i="51" s="1"/>
  <c r="P87" i="51"/>
  <c r="G87" i="51"/>
  <c r="Q87" i="51" s="1"/>
  <c r="P86" i="51"/>
  <c r="P173" i="51" s="1"/>
  <c r="O81" i="51" s="1"/>
  <c r="G86" i="51"/>
  <c r="Q86" i="51" s="1"/>
  <c r="Q173" i="51" s="1"/>
  <c r="AA83" i="51"/>
  <c r="U83" i="51"/>
  <c r="AA82" i="51"/>
  <c r="U82" i="51"/>
  <c r="AA81" i="51"/>
  <c r="U81" i="51"/>
  <c r="AA80" i="51"/>
  <c r="U80" i="51"/>
  <c r="AA79" i="51"/>
  <c r="U79" i="51"/>
  <c r="AA78" i="51"/>
  <c r="U78" i="51"/>
  <c r="AA77" i="51"/>
  <c r="U77" i="51"/>
  <c r="F301" i="51" l="1"/>
  <c r="O301" i="51"/>
  <c r="N218" i="51"/>
  <c r="G173" i="51"/>
  <c r="F81" i="51" s="1"/>
  <c r="P194" i="51"/>
  <c r="Q194" i="51" s="1"/>
  <c r="P219" i="51"/>
  <c r="Q219" i="51" s="1"/>
  <c r="F186" i="51"/>
  <c r="F184" i="51" s="1"/>
  <c r="F188" i="51"/>
  <c r="J79" i="51" l="1"/>
  <c r="J73" i="51"/>
  <c r="E299" i="51"/>
</calcChain>
</file>

<file path=xl/sharedStrings.xml><?xml version="1.0" encoding="utf-8"?>
<sst xmlns="http://schemas.openxmlformats.org/spreadsheetml/2006/main" count="1932" uniqueCount="722">
  <si>
    <t>PICK&amp;WIN3</t>
  </si>
  <si>
    <t>PICK AND WIN 3</t>
  </si>
  <si>
    <t>BRYKE</t>
  </si>
  <si>
    <t>SLEIC</t>
  </si>
  <si>
    <t>88 LINK LUCKY CHARMS</t>
  </si>
  <si>
    <t>88LKLCH</t>
  </si>
  <si>
    <t>88 LINK MULTIPLIER</t>
  </si>
  <si>
    <t>88LKMULTI</t>
  </si>
  <si>
    <t>88 LINK WILD DUELS</t>
  </si>
  <si>
    <t>88LKWDLS</t>
  </si>
  <si>
    <t>BASHIBA</t>
  </si>
  <si>
    <t>BSHIBA</t>
  </si>
  <si>
    <t>BASHIBA ALLURE</t>
  </si>
  <si>
    <t>BSHIBAAALL</t>
  </si>
  <si>
    <t>BASHIBA EGYPTIAN</t>
  </si>
  <si>
    <t>BSHIBAEGYP</t>
  </si>
  <si>
    <t>88 LINK SHOCK</t>
  </si>
  <si>
    <t>88LKSHK</t>
  </si>
  <si>
    <t>88 MULTI SHOCK</t>
  </si>
  <si>
    <t>88MULTISHK</t>
  </si>
  <si>
    <t>LINK ME SHOCK</t>
  </si>
  <si>
    <t>LKMSHK</t>
  </si>
  <si>
    <t>LINK SHOCK</t>
  </si>
  <si>
    <t>LSHK</t>
  </si>
  <si>
    <t>LINK SHOCK II</t>
  </si>
  <si>
    <t>LSHKII</t>
  </si>
  <si>
    <t>5 TO WIN</t>
  </si>
  <si>
    <t>5WIN</t>
  </si>
  <si>
    <t>88 MULTI</t>
  </si>
  <si>
    <t>88MULTI</t>
  </si>
  <si>
    <t>BLAZING PEARLS</t>
  </si>
  <si>
    <t>BLZPRLS</t>
  </si>
  <si>
    <t>BLAZING PEARLS II</t>
  </si>
  <si>
    <t>BLZPRLSII</t>
  </si>
  <si>
    <t>DOUBLE LINK</t>
  </si>
  <si>
    <t>DBLK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</si>
  <si>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</si>
  <si>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</si>
  <si>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</si>
  <si>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</si>
  <si>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</si>
  <si>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</si>
  <si>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</si>
  <si>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</si>
  <si>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HOT DEAL</t>
  </si>
  <si>
    <t>HDEAL</t>
  </si>
  <si>
    <t>HOT DEAL II</t>
  </si>
  <si>
    <t>HDEALII</t>
  </si>
  <si>
    <t>LIKE IT</t>
  </si>
  <si>
    <t>LKIT</t>
  </si>
  <si>
    <t>LINK KING</t>
  </si>
  <si>
    <t>KING</t>
  </si>
  <si>
    <t>LINK KING II</t>
  </si>
  <si>
    <t>KINGII</t>
  </si>
  <si>
    <t>LINK ME</t>
  </si>
  <si>
    <t>LKM</t>
  </si>
  <si>
    <t>LINK ME II</t>
  </si>
  <si>
    <t>LKMII</t>
  </si>
  <si>
    <t>LINK UP</t>
  </si>
  <si>
    <t>LKUP</t>
  </si>
  <si>
    <t>PICK AND WIN 1</t>
  </si>
  <si>
    <t>PICK&amp;WIN1</t>
  </si>
  <si>
    <t>PICK AND WIN 2</t>
  </si>
  <si>
    <t>PICK&amp;WIN2</t>
  </si>
  <si>
    <t>PICK AND WIN 24</t>
  </si>
  <si>
    <t>P&amp;W24</t>
  </si>
  <si>
    <t>24HDEAL</t>
  </si>
  <si>
    <t>24HIT</t>
  </si>
  <si>
    <t>PICK AND WIN SE</t>
  </si>
  <si>
    <t>PICK&amp;WINSE</t>
  </si>
  <si>
    <t>SMART SPINS</t>
  </si>
  <si>
    <t>SSPINS</t>
  </si>
  <si>
    <t>SMART SPINS II</t>
  </si>
  <si>
    <t>SSPINSII</t>
  </si>
  <si>
    <t>SPIN HIT</t>
  </si>
  <si>
    <t>HIT</t>
  </si>
  <si>
    <t>F10HL</t>
  </si>
  <si>
    <t>LONG WANG DRAGON</t>
  </si>
  <si>
    <t>F10LWDR</t>
  </si>
  <si>
    <t>BLAST DYNASTY</t>
  </si>
  <si>
    <t>BLSTD</t>
  </si>
  <si>
    <t>MEI SHI MEI KE</t>
  </si>
  <si>
    <t>MEISHK</t>
  </si>
  <si>
    <t>WHEEL OF LEGENDS</t>
  </si>
  <si>
    <t>WLEG</t>
  </si>
  <si>
    <t>DOUBLE LINK MULTIPLIER WARRIORS</t>
  </si>
  <si>
    <t>DBLKMW</t>
  </si>
  <si>
    <t>88 LINK MS</t>
  </si>
  <si>
    <t>88LKMS</t>
  </si>
  <si>
    <t>BASHIBA LUXOR MS</t>
  </si>
  <si>
    <t>BSHIBALUXMS</t>
  </si>
  <si>
    <t>LINK KING 2 MS</t>
  </si>
  <si>
    <t>KING2MS</t>
  </si>
  <si>
    <t>LINK KING 3 MS</t>
  </si>
  <si>
    <t>KING3MS</t>
  </si>
  <si>
    <t>LINK KING 4 MS</t>
  </si>
  <si>
    <t>KING4MS</t>
  </si>
  <si>
    <t>LINK ME 2 MS</t>
  </si>
  <si>
    <t>LKM2MS</t>
  </si>
  <si>
    <t>PICK AND WIN 24 / HOT DEAL</t>
  </si>
  <si>
    <t>PICK AND WIN 24 / SPIN HIT</t>
  </si>
  <si>
    <t>DOUBLE LINK MULTIPLIER WARRIOS MS</t>
  </si>
  <si>
    <t>DLMWMS</t>
  </si>
  <si>
    <t>MEGA KING</t>
  </si>
  <si>
    <t>MKING</t>
  </si>
  <si>
    <t>MAGIC ROOTS</t>
  </si>
  <si>
    <t>MROOTS</t>
  </si>
  <si>
    <t>LIGHT TEMPLE</t>
  </si>
  <si>
    <t>LTMPL</t>
  </si>
  <si>
    <t>ROYAL TWIST</t>
  </si>
  <si>
    <t>RTWIST</t>
  </si>
  <si>
    <t>MIGHTY HAMMER</t>
  </si>
  <si>
    <t>MHAM</t>
  </si>
  <si>
    <t>FUSHOU</t>
  </si>
  <si>
    <t>CHSTS</t>
  </si>
  <si>
    <t>COLOSSUS FIRE</t>
  </si>
  <si>
    <t>COLFIRE</t>
  </si>
  <si>
    <t>LINK KING BOOST</t>
  </si>
  <si>
    <t>KINGB</t>
  </si>
  <si>
    <t>LINK ME BOOST</t>
  </si>
  <si>
    <t>LKMB</t>
  </si>
  <si>
    <t>EPIC KINGDOM</t>
  </si>
  <si>
    <t>EPKNG</t>
  </si>
  <si>
    <t>MAGIC ROOTS v2</t>
  </si>
  <si>
    <t>MROOTSv2</t>
  </si>
  <si>
    <t>BISMUS</t>
  </si>
  <si>
    <t>LKWLD</t>
  </si>
  <si>
    <t>F10MG</t>
  </si>
  <si>
    <t>FRWLK</t>
  </si>
  <si>
    <t>FRWLKWM</t>
  </si>
  <si>
    <t>SPIGUA</t>
  </si>
  <si>
    <t>BKWLD</t>
  </si>
  <si>
    <t>LTMPLv2</t>
  </si>
  <si>
    <t>HIGH LIFE</t>
  </si>
  <si>
    <t>FORTUNE 10 MULTIGAME</t>
  </si>
  <si>
    <t>BISON MUSTANG</t>
  </si>
  <si>
    <t>FAR WEST LINK</t>
  </si>
  <si>
    <t>FAR WEST LINK WOLF MUSTANG</t>
  </si>
  <si>
    <t>WILD LINK</t>
  </si>
  <si>
    <t>BACK TO THE WILD</t>
  </si>
  <si>
    <t>MHAMU</t>
  </si>
  <si>
    <t>FUPTS</t>
  </si>
  <si>
    <t>FUSHLK</t>
  </si>
  <si>
    <t>SPIN GUARDIANS</t>
  </si>
  <si>
    <t>ETERNITY GONG</t>
  </si>
  <si>
    <t>EGONG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</si>
  <si>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</si>
  <si>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</si>
  <si>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</si>
  <si>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</si>
  <si>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</si>
  <si>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</si>
  <si>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</si>
  <si>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</si>
  <si>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</si>
  <si>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</si>
  <si>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</si>
  <si>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</si>
  <si>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</si>
  <si>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</si>
  <si>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</si>
  <si>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</si>
  <si>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</si>
  <si>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I D 6 5 0 5 - F O L I A T T I   S A T É L I T E</t>
  </si>
  <si>
    <t>SANITARIOS</t>
  </si>
  <si>
    <t>CAJAS</t>
  </si>
  <si>
    <t>RESTAURANTE</t>
  </si>
  <si>
    <t>AW</t>
  </si>
  <si>
    <t>SUPER WHEEL MANIA LINK</t>
  </si>
  <si>
    <t>KN</t>
  </si>
  <si>
    <t>IGT</t>
  </si>
  <si>
    <t>JACKPOT LINK</t>
  </si>
  <si>
    <t>quad shot</t>
  </si>
  <si>
    <t>Mega choice</t>
  </si>
  <si>
    <t>JVL</t>
  </si>
  <si>
    <t>NOV</t>
  </si>
  <si>
    <t>AGS</t>
  </si>
  <si>
    <t>MODULO</t>
  </si>
  <si>
    <t>multi win</t>
  </si>
  <si>
    <t>MUKTI WIN</t>
  </si>
  <si>
    <t>EGT</t>
  </si>
  <si>
    <t>MIN JUG $3.40</t>
  </si>
  <si>
    <t>WS</t>
  </si>
  <si>
    <t>ISLA 2</t>
  </si>
  <si>
    <t>MER</t>
  </si>
  <si>
    <t>5C</t>
  </si>
  <si>
    <t>FBM</t>
  </si>
  <si>
    <t>Invaders Attack from the Planet Moolah</t>
  </si>
  <si>
    <t>MEGA CHOICE</t>
  </si>
  <si>
    <t>SCIGA</t>
  </si>
  <si>
    <t>BTS</t>
  </si>
  <si>
    <t>MET</t>
  </si>
  <si>
    <t>Tarzan</t>
  </si>
  <si>
    <t>AR</t>
  </si>
  <si>
    <t>Buffalo Grand</t>
  </si>
  <si>
    <t>ENTRADA NO FUMAR</t>
  </si>
  <si>
    <t>ISLA 1</t>
  </si>
  <si>
    <t>25c</t>
  </si>
  <si>
    <t>MIN JUG $2.50</t>
  </si>
  <si>
    <t>Zi</t>
  </si>
  <si>
    <t>SIGN LM/LMB-2</t>
  </si>
  <si>
    <t>LIGHTNING LINK</t>
  </si>
  <si>
    <t>COIN FU</t>
  </si>
  <si>
    <t>daji dali</t>
  </si>
  <si>
    <t>WINPOTSL</t>
  </si>
  <si>
    <t>ISLA 3</t>
  </si>
  <si>
    <t>EIBE</t>
  </si>
  <si>
    <t>Stampede Power</t>
  </si>
  <si>
    <t xml:space="preserve">MESAS DE JUEGO EN VIVO </t>
  </si>
  <si>
    <t>JIN JI BAO XI</t>
  </si>
  <si>
    <t xml:space="preserve">cluck cluck cash </t>
  </si>
  <si>
    <t>meow meow madness</t>
  </si>
  <si>
    <t>ACCESO</t>
  </si>
  <si>
    <t>TOTAL SALA</t>
  </si>
  <si>
    <t>ANTERIOR THERMO ENTREGADO</t>
  </si>
  <si>
    <t>THERMO ACTUAL</t>
  </si>
  <si>
    <t>2307-17</t>
  </si>
  <si>
    <t>FECHA</t>
  </si>
  <si>
    <t>SEMANA</t>
  </si>
  <si>
    <t>S7 a S8</t>
  </si>
  <si>
    <t>S22 a S33</t>
  </si>
  <si>
    <t>24 MAQ.</t>
  </si>
  <si>
    <t>TOTAL</t>
  </si>
  <si>
    <t>VS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</si>
  <si>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</si>
  <si>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</si>
  <si>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</si>
  <si>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</si>
  <si>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</si>
  <si>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</si>
  <si>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</si>
  <si>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</si>
  <si>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</si>
  <si>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</si>
  <si>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</si>
  <si>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</si>
  <si>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</si>
  <si>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</si>
  <si>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</si>
  <si>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</si>
  <si>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</si>
  <si>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</si>
  <si>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</si>
  <si>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</si>
  <si>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</si>
  <si>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</si>
  <si>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</si>
  <si>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</si>
  <si>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</si>
  <si>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</si>
  <si>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</si>
  <si>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</si>
  <si>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</si>
  <si>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</si>
  <si>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</si>
  <si>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</si>
  <si>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</si>
  <si>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</si>
  <si>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AMBRA GAMING</t>
  </si>
  <si>
    <t>AMBRA</t>
  </si>
  <si>
    <t>METRONIA / BEMEX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</si>
  <si>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</si>
  <si>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</si>
  <si>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</si>
  <si>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</si>
  <si>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</si>
  <si>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</si>
  <si>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</si>
  <si>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</si>
  <si>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</si>
  <si>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</si>
  <si>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</si>
  <si>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</si>
  <si>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</si>
  <si>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</si>
  <si>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</si>
  <si>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</si>
  <si>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</si>
  <si>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</si>
  <si>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</si>
  <si>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</si>
  <si>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</si>
  <si>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</si>
  <si>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</si>
  <si>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</si>
  <si>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</si>
  <si>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</si>
  <si>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</si>
  <si>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</si>
  <si>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</si>
  <si>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</si>
  <si>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</si>
  <si>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</si>
  <si>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</si>
  <si>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</si>
  <si>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</si>
  <si>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</si>
  <si>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</si>
  <si>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</si>
  <si>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</si>
  <si>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</si>
  <si>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</si>
  <si>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</si>
  <si>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</si>
  <si>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</si>
  <si>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</si>
  <si>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</si>
  <si>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</si>
  <si>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</si>
  <si>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</si>
  <si>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</si>
  <si>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</si>
  <si>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ARUZE</t>
  </si>
  <si>
    <t>ARU</t>
  </si>
  <si>
    <t>ASTRO</t>
  </si>
  <si>
    <t>ATRONIC</t>
  </si>
  <si>
    <t>AT</t>
  </si>
  <si>
    <t>AURIFY</t>
  </si>
  <si>
    <t>AFI</t>
  </si>
  <si>
    <t>AVANTIME</t>
  </si>
  <si>
    <t>AV</t>
  </si>
  <si>
    <t>BELATRA (MULTIVISION)</t>
  </si>
  <si>
    <t>BEL</t>
  </si>
  <si>
    <t>BETSTONE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</si>
  <si>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</si>
  <si>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</si>
  <si>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</si>
  <si>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</si>
  <si>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</si>
  <si>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</si>
  <si>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</si>
  <si>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</si>
  <si>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</si>
  <si>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</si>
  <si>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</si>
  <si>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</si>
  <si>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</si>
  <si>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</si>
  <si>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</si>
  <si>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</si>
  <si>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</si>
  <si>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</si>
  <si>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</si>
  <si>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</si>
  <si>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</si>
  <si>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</si>
  <si>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</si>
  <si>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</si>
  <si>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</si>
  <si>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</si>
  <si>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</si>
  <si>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</si>
  <si>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</si>
  <si>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</si>
  <si>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</si>
  <si>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</si>
  <si>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</si>
  <si>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</si>
  <si>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</si>
  <si>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</si>
  <si>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</si>
  <si>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</si>
  <si>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</si>
  <si>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</si>
  <si>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</si>
  <si>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</si>
  <si>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</si>
  <si>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</si>
  <si>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</si>
  <si>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</si>
  <si>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</si>
  <si>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</si>
  <si>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</si>
  <si>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</si>
  <si>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</si>
  <si>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</si>
  <si>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</si>
  <si>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</si>
  <si>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</si>
  <si>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</si>
  <si>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</si>
  <si>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</si>
  <si>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</si>
  <si>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</si>
  <si>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</si>
  <si>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</si>
  <si>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</si>
  <si>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</si>
  <si>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</si>
  <si>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</si>
  <si>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</si>
  <si>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</si>
  <si>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</si>
  <si>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</si>
  <si>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</si>
  <si>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</si>
  <si>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</si>
  <si>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</si>
  <si>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</si>
  <si>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</si>
  <si>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</si>
  <si>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</si>
  <si>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</si>
  <si>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</si>
  <si>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</si>
  <si>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</si>
  <si>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</si>
  <si>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</si>
  <si>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</si>
  <si>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</si>
  <si>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</si>
  <si>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</si>
  <si>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</si>
  <si>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</si>
  <si>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</si>
  <si>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</si>
  <si>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</si>
  <si>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</si>
  <si>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</si>
  <si>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</si>
  <si>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</si>
  <si>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</si>
  <si>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</si>
  <si>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</si>
  <si>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</si>
  <si>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</si>
  <si>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</si>
  <si>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</si>
  <si>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</si>
  <si>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</si>
  <si>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</si>
  <si>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</si>
  <si>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</si>
  <si>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</si>
  <si>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</si>
  <si>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</si>
  <si>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</si>
  <si>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</si>
  <si>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</si>
  <si>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</si>
  <si>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</si>
  <si>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</si>
  <si>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</si>
  <si>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</si>
  <si>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</si>
  <si>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</si>
  <si>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</si>
  <si>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</si>
  <si>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</si>
  <si>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</si>
  <si>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</si>
  <si>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</si>
  <si>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</si>
  <si>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</si>
  <si>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</si>
  <si>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</si>
  <si>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</si>
  <si>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</si>
  <si>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</si>
  <si>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</si>
  <si>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</si>
  <si>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</si>
  <si>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</si>
  <si>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</si>
  <si>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</si>
  <si>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</si>
  <si>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</si>
  <si>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</si>
  <si>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</si>
  <si>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</si>
  <si>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</si>
  <si>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</si>
  <si>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</si>
  <si>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</si>
  <si>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</si>
  <si>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</si>
  <si>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</si>
  <si>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</si>
  <si>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</si>
  <si>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</si>
  <si>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</si>
  <si>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</si>
  <si>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</si>
  <si>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</si>
  <si>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</si>
  <si>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</si>
  <si>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</si>
  <si>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</si>
  <si>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</si>
  <si>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</si>
  <si>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</si>
  <si>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</si>
  <si>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</si>
  <si>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</si>
  <si>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</si>
  <si>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</si>
  <si>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</si>
  <si>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</si>
  <si>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</si>
  <si>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</si>
  <si>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</si>
  <si>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</si>
  <si>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</si>
  <si>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</si>
  <si>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</si>
  <si>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</si>
  <si>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</si>
  <si>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</si>
  <si>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</si>
  <si>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</si>
  <si>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</si>
  <si>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</si>
  <si>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</si>
  <si>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</si>
  <si>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</si>
  <si>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</si>
  <si>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</si>
  <si>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</si>
  <si>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</si>
  <si>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</si>
  <si>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</si>
  <si>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</si>
  <si>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</si>
  <si>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</si>
  <si>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</si>
  <si>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</si>
  <si>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</si>
  <si>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</si>
  <si>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</si>
  <si>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</si>
  <si>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</si>
  <si>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</si>
  <si>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</si>
  <si>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</si>
  <si>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</si>
  <si>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</si>
  <si>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</si>
  <si>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</si>
  <si>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</si>
  <si>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</si>
  <si>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</si>
  <si>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</si>
  <si>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</si>
  <si>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</si>
  <si>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</si>
  <si>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</si>
  <si>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</si>
  <si>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</si>
  <si>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</si>
  <si>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</si>
  <si>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</si>
  <si>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</si>
  <si>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</si>
  <si>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</si>
  <si>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</si>
  <si>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</si>
  <si>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</si>
  <si>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</si>
  <si>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</si>
  <si>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</si>
  <si>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</si>
  <si>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</si>
  <si>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</si>
  <si>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</si>
  <si>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</si>
  <si>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</si>
  <si>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</si>
  <si>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</si>
  <si>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</si>
  <si>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</si>
  <si>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</si>
  <si>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</si>
  <si>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</si>
  <si>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</si>
  <si>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</si>
  <si>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</si>
  <si>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</si>
  <si>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</si>
  <si>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</si>
  <si>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</si>
  <si>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</si>
  <si>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</si>
  <si>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</si>
  <si>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</si>
  <si>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</si>
  <si>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</si>
  <si>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</si>
  <si>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</si>
  <si>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</si>
  <si>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</si>
  <si>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</si>
  <si>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</si>
  <si>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SIGN MKING-2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</si>
  <si>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</si>
  <si>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</si>
  <si>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</si>
  <si>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</si>
  <si>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</si>
  <si>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</si>
  <si>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</si>
  <si>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</si>
  <si>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</si>
  <si>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</si>
  <si>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</si>
  <si>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</si>
  <si>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</si>
  <si>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</si>
  <si>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</si>
  <si>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</si>
  <si>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</si>
  <si>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SIGN MHAM-2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</si>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</sst>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(* #,##0_);_(* \(#,##0\);_(* &quot;-&quot;_);_(@_)"/>
    <numFmt numFmtId="171" formatCode="h:mm;@"/>
    <numFmt numFmtId="172" formatCode="_-* #,##0\ _€_-;\-* #,##0\ _€_-;_-* &quot;-&quot;\ _€_-;_-@_-"/>
    <numFmt numFmtId="173" formatCode="0000000"/>
  </numFmts>
  <fonts count="10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sz val="12"/>
      <name val="Arial"/>
      <family val="2"/>
    </font>
    <font>
      <b/>
      <sz val="14"/>
      <color rgb="FF00B0F0"/>
      <name val="Arial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Arial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1"/>
      <color indexed="8"/>
      <name val="Calibri"/>
      <family val="2"/>
    </font>
    <font>
      <b/>
      <sz val="18"/>
      <color rgb="FF1F4A7E"/>
      <name val="Calibri"/>
      <family val="2"/>
    </font>
    <font>
      <b/>
      <sz val="18"/>
      <color rgb="FFFFFF00"/>
      <name val="Calibri"/>
      <family val="2"/>
    </font>
    <font>
      <b/>
      <sz val="18"/>
      <color rgb="FFE36B09"/>
      <name val="Calibri"/>
      <family val="2"/>
    </font>
    <font>
      <b/>
      <sz val="18"/>
      <color rgb="FFFF0000"/>
      <name val="Calibri"/>
      <family val="2"/>
    </font>
    <font>
      <b/>
      <sz val="18"/>
      <color rgb="FFFFFFFF"/>
      <name val="Calibri"/>
      <family val="2"/>
    </font>
    <font>
      <b/>
      <sz val="28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4A4529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ABF8F"/>
      <name val="Calibri"/>
      <family val="2"/>
    </font>
    <font>
      <b/>
      <sz val="18"/>
      <color rgb="FF000000"/>
      <name val="Calibri"/>
      <family val="2"/>
    </font>
    <font>
      <b/>
      <sz val="12"/>
      <color rgb="FF568FD4"/>
      <name val="Calibri"/>
      <family val="2"/>
    </font>
    <font>
      <b/>
      <sz val="12"/>
      <color rgb="FF568FD4"/>
      <name val="Arial"/>
      <family val="2"/>
    </font>
    <font>
      <b/>
      <sz val="14"/>
      <color rgb="FFFFFFFF"/>
      <name val="Calibri"/>
      <family val="2"/>
    </font>
    <font>
      <b/>
      <sz val="18"/>
      <color indexed="8"/>
      <name val="Calibri"/>
      <family val="2"/>
    </font>
    <font>
      <b/>
      <sz val="13"/>
      <color rgb="FFFFFFFF"/>
      <name val="Calibri"/>
      <family val="2"/>
    </font>
    <font>
      <b/>
      <sz val="13"/>
      <color rgb="FF000000"/>
      <name val="Calibri"/>
      <family val="2"/>
    </font>
    <font>
      <sz val="9"/>
      <name val="Calibri"/>
      <family val="2"/>
    </font>
    <font>
      <b/>
      <sz val="2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b/>
      <sz val="24"/>
      <color rgb="FFFFFFFF"/>
      <name val="Calibri"/>
      <family val="2"/>
    </font>
    <font>
      <b/>
      <sz val="22"/>
      <color rgb="FFFF0000"/>
      <name val="Calibri"/>
      <family val="2"/>
    </font>
    <font>
      <b/>
      <sz val="18"/>
      <color rgb="FF3F3051"/>
      <name val="Calibri"/>
      <family val="2"/>
    </font>
    <font>
      <b/>
      <sz val="18"/>
      <color rgb="FF974706"/>
      <name val="Calibri"/>
      <family val="2"/>
    </font>
    <font>
      <b/>
      <sz val="18"/>
      <color rgb="FFC00000"/>
      <name val="Calibri"/>
      <family val="2"/>
    </font>
    <font>
      <b/>
      <sz val="18"/>
      <color rgb="FF7030A0"/>
      <name val="Calibri"/>
      <family val="2"/>
    </font>
    <font>
      <b/>
      <sz val="18"/>
      <color rgb="FFFDE9D9"/>
      <name val="Calibri"/>
      <family val="2"/>
    </font>
    <font>
      <b/>
      <sz val="18"/>
      <color rgb="FF17375E"/>
      <name val="Calibri"/>
      <family val="2"/>
    </font>
    <font>
      <b/>
      <sz val="18"/>
      <color rgb="FF0070C0"/>
      <name val="Calibri"/>
      <family val="2"/>
    </font>
    <font>
      <b/>
      <sz val="18"/>
      <color rgb="FFFF3399"/>
      <name val="Calibri"/>
      <family val="2"/>
    </font>
    <font>
      <b/>
      <sz val="18"/>
      <color rgb="FF00B050"/>
      <name val="Calibri"/>
      <family val="2"/>
    </font>
    <font>
      <b/>
      <sz val="18"/>
      <color rgb="FFF2DCDB"/>
      <name val="Calibri"/>
      <family val="2"/>
    </font>
    <font>
      <b/>
      <sz val="18"/>
      <color rgb="FFFFC000"/>
      <name val="Calibri"/>
      <family val="2"/>
    </font>
    <font>
      <b/>
      <sz val="18"/>
      <color rgb="FFEEECE1"/>
      <name val="Calibri"/>
      <family val="2"/>
    </font>
    <font>
      <b/>
      <sz val="18"/>
      <color rgb="FF5F4979"/>
      <name val="Calibri"/>
      <family val="2"/>
    </font>
    <font>
      <b/>
      <sz val="18"/>
      <color rgb="FFF79544"/>
      <name val="Calibri"/>
      <family val="2"/>
    </font>
    <font>
      <b/>
      <sz val="18"/>
      <color rgb="FFDDDDDD"/>
      <name val="Calibri"/>
      <family val="2"/>
    </font>
    <font>
      <b/>
      <sz val="18"/>
      <color rgb="FFD99694"/>
      <name val="Calibri"/>
      <family val="2"/>
    </font>
    <font>
      <b/>
      <sz val="24"/>
      <name val="Calibri"/>
      <family val="2"/>
    </font>
    <font>
      <b/>
      <sz val="14"/>
      <color rgb="FF000000"/>
      <name val="Calibri"/>
      <family val="2"/>
    </font>
    <font>
      <b/>
      <sz val="12"/>
      <color rgb="FFFFFFFF"/>
      <name val="Arial"/>
      <family val="2"/>
    </font>
    <font>
      <b/>
      <sz val="12"/>
      <name val="Calibri"/>
      <family val="2"/>
    </font>
    <font>
      <b/>
      <sz val="12"/>
      <color rgb="FF1F4A7E"/>
      <name val="Calibri"/>
      <family val="2"/>
    </font>
    <font>
      <b/>
      <sz val="12"/>
      <color rgb="FFFFFF00"/>
      <name val="Calibri"/>
      <family val="2"/>
    </font>
    <font>
      <b/>
      <sz val="12"/>
      <color rgb="FF75923B"/>
      <name val="Calibri"/>
      <family val="2"/>
    </font>
    <font>
      <b/>
      <sz val="12"/>
      <color rgb="FFF79544"/>
      <name val="Arial"/>
      <family val="2"/>
    </font>
    <font>
      <b/>
      <sz val="12"/>
      <color rgb="FFDBEEF3"/>
      <name val="Arial"/>
      <family val="2"/>
    </font>
    <font>
      <b/>
      <sz val="36"/>
      <color rgb="FF000000"/>
      <name val="Calibri"/>
      <family val="2"/>
    </font>
    <font>
      <b/>
      <sz val="20"/>
      <color rgb="FF000000"/>
      <name val="Calibri"/>
      <family val="2"/>
    </font>
    <font>
      <sz val="12"/>
      <name val="Calibri"/>
      <family val="2"/>
    </font>
    <font>
      <sz val="11"/>
      <color rgb="FFFFFFFF"/>
      <name val="Calibri"/>
      <family val="2"/>
    </font>
  </fonts>
  <fills count="16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rgb="FF92D050"/>
      </patternFill>
    </fill>
    <fill>
      <patternFill patternType="solid">
        <fgColor rgb="FFFFFFFF"/>
        <bgColor rgb="FFFFFFFF"/>
      </patternFill>
    </fill>
    <fill>
      <patternFill patternType="gray0625">
        <fgColor auto="1"/>
        <bgColor theme="3" tint="0.39997558519241921"/>
      </patternFill>
    </fill>
    <fill>
      <patternFill patternType="solid">
        <fgColor rgb="FFFDE9D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rgb="FF00B0F0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rgb="FF3366FF"/>
        <bgColor rgb="FF0066CC"/>
      </patternFill>
    </fill>
    <fill>
      <patternFill patternType="solid">
        <fgColor rgb="FF0070C0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rgb="FFFFC000"/>
      </patternFill>
    </fill>
    <fill>
      <patternFill patternType="solid">
        <fgColor rgb="FFE36B09"/>
        <bgColor indexed="64"/>
      </patternFill>
    </fill>
    <fill>
      <patternFill patternType="solid">
        <fgColor rgb="FF000000"/>
      </patternFill>
    </fill>
    <fill>
      <patternFill patternType="gray125">
        <bgColor rgb="FF974706"/>
      </patternFill>
    </fill>
    <fill>
      <patternFill patternType="gray0625">
        <bgColor rgb="FF92D050"/>
      </patternFill>
    </fill>
    <fill>
      <patternFill patternType="gray0625">
        <bgColor rgb="FF568FD4"/>
      </patternFill>
    </fill>
    <fill>
      <patternFill patternType="solid">
        <fgColor rgb="FF96373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4A4529"/>
        <bgColor indexed="64"/>
      </patternFill>
    </fill>
    <fill>
      <patternFill patternType="solid">
        <fgColor rgb="FF9ABA58"/>
        <bgColor rgb="FF0066CC"/>
      </patternFill>
    </fill>
    <fill>
      <patternFill patternType="solid">
        <fgColor rgb="FF568FD4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rgb="FF64252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0000"/>
        <bgColor rgb="FFFF0000"/>
      </patternFill>
    </fill>
    <fill>
      <patternFill patternType="solid">
        <fgColor rgb="FFCBC0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6D9F0"/>
        <bgColor indexed="64"/>
      </patternFill>
    </fill>
    <fill>
      <patternFill patternType="gray125">
        <fgColor rgb="FFFFFFFF"/>
        <bgColor rgb="FF9ABA58"/>
      </patternFill>
    </fill>
    <fill>
      <patternFill patternType="solid">
        <fgColor rgb="FFF61EA9"/>
      </patternFill>
    </fill>
    <fill>
      <patternFill patternType="gray125">
        <fgColor rgb="FFFFFFFF"/>
        <bgColor rgb="FFEEF321"/>
      </patternFill>
    </fill>
    <fill>
      <patternFill patternType="lightGray">
        <bgColor rgb="FFDCE5F1"/>
      </patternFill>
    </fill>
    <fill>
      <patternFill patternType="lightGray">
        <bgColor rgb="FFE36B09"/>
      </patternFill>
    </fill>
    <fill>
      <patternFill patternType="gray125">
        <fgColor rgb="FFFFFFFF"/>
        <bgColor rgb="FFCBC0D9"/>
      </patternFill>
    </fill>
    <fill>
      <patternFill patternType="gray125">
        <fgColor rgb="FFFFFFFF"/>
        <bgColor rgb="FF00B0F0"/>
      </patternFill>
    </fill>
    <fill>
      <patternFill patternType="solid">
        <fgColor rgb="FFC0514D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92D050"/>
      </patternFill>
    </fill>
    <fill>
      <patternFill patternType="solid">
        <fgColor rgb="FF4CACC6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00B0F0"/>
      </patternFill>
    </fill>
    <fill>
      <patternFill patternType="gray0625">
        <bgColor rgb="FF00B050"/>
      </patternFill>
    </fill>
    <fill>
      <patternFill patternType="gray0625">
        <bgColor rgb="FFAB1D05"/>
      </patternFill>
    </fill>
    <fill>
      <patternFill patternType="gray125">
        <fgColor rgb="FFFFFFFF"/>
        <bgColor rgb="FF96B3D7"/>
      </patternFill>
    </fill>
    <fill>
      <patternFill patternType="gray0625">
        <bgColor rgb="FFCBC0D9"/>
      </patternFill>
    </fill>
    <fill>
      <patternFill patternType="gray0625">
        <bgColor rgb="FFC2D69B"/>
      </patternFill>
    </fill>
    <fill>
      <patternFill patternType="solid">
        <fgColor rgb="FFC2D69B"/>
      </patternFill>
    </fill>
    <fill>
      <patternFill patternType="solid">
        <fgColor rgb="FF5F4979"/>
        <bgColor indexed="64"/>
      </patternFill>
    </fill>
    <fill>
      <patternFill patternType="solid">
        <fgColor rgb="FFE36B09"/>
        <bgColor rgb="FF568FD4"/>
      </patternFill>
    </fill>
    <fill>
      <patternFill patternType="solid">
        <fgColor rgb="FF9ABA58"/>
      </patternFill>
    </fill>
    <fill>
      <patternFill patternType="solid">
        <fgColor rgb="FF98EE26"/>
      </patternFill>
    </fill>
    <fill>
      <patternFill patternType="gray0625">
        <fgColor rgb="FF963734"/>
        <bgColor rgb="FF000000"/>
      </patternFill>
    </fill>
    <fill>
      <patternFill patternType="gray0625">
        <fgColor rgb="FF568FD4"/>
        <bgColor rgb="FF000000"/>
      </patternFill>
    </fill>
    <fill>
      <patternFill patternType="solid">
        <fgColor rgb="FF963734"/>
        <bgColor rgb="FFF2F2F2"/>
      </patternFill>
    </fill>
    <fill>
      <patternFill patternType="gray125">
        <fgColor rgb="FFFFFFFF"/>
        <bgColor rgb="FFF79544"/>
      </patternFill>
    </fill>
    <fill>
      <patternFill patternType="gray125">
        <fgColor rgb="FFFFFFFF"/>
        <bgColor rgb="FF974706"/>
      </patternFill>
    </fill>
    <fill>
      <patternFill patternType="gray0625">
        <bgColor rgb="FF94CDDD"/>
      </patternFill>
    </fill>
    <fill>
      <patternFill patternType="gray0625">
        <bgColor rgb="FFB9CCE4"/>
      </patternFill>
    </fill>
    <fill>
      <patternFill patternType="solid">
        <fgColor rgb="FFB9CCE4"/>
      </patternFill>
    </fill>
    <fill>
      <patternFill patternType="gray0625">
        <bgColor rgb="FFFFFF99"/>
      </patternFill>
    </fill>
    <fill>
      <patternFill patternType="gray0625">
        <fgColor rgb="FFC0514D"/>
        <bgColor rgb="FFE5DFEC"/>
      </patternFill>
    </fill>
    <fill>
      <patternFill patternType="gray0625">
        <bgColor rgb="FFCCFF99"/>
      </patternFill>
    </fill>
    <fill>
      <patternFill patternType="gray0625">
        <bgColor rgb="FFC4BD97"/>
      </patternFill>
    </fill>
    <fill>
      <patternFill patternType="darkVertical">
        <bgColor rgb="FFFF0000"/>
      </patternFill>
    </fill>
    <fill>
      <patternFill patternType="lightUp">
        <bgColor rgb="FF1F4A7E"/>
      </patternFill>
    </fill>
    <fill>
      <patternFill patternType="solid">
        <fgColor rgb="FFCBC0D9"/>
      </patternFill>
    </fill>
    <fill>
      <patternFill patternType="gray0625">
        <bgColor rgb="FFEAF1DD"/>
      </patternFill>
    </fill>
    <fill>
      <patternFill patternType="solid">
        <fgColor rgb="FF1F4A7E"/>
      </patternFill>
    </fill>
    <fill>
      <patternFill patternType="gray0625">
        <bgColor rgb="FF00B0F0"/>
      </patternFill>
    </fill>
    <fill>
      <patternFill patternType="gray0625">
        <bgColor rgb="FF40DA16"/>
      </patternFill>
    </fill>
    <fill>
      <patternFill patternType="gray0625">
        <fgColor rgb="FF568FD4"/>
        <bgColor rgb="FF254061"/>
      </patternFill>
    </fill>
    <fill>
      <patternFill patternType="gray0625">
        <fgColor rgb="FF568FD4"/>
        <bgColor rgb="FFFF0000"/>
      </patternFill>
    </fill>
    <fill>
      <patternFill patternType="gray125">
        <fgColor rgb="FFFFFFFF"/>
        <bgColor rgb="FF7030A0"/>
      </patternFill>
    </fill>
    <fill>
      <patternFill patternType="solid">
        <fgColor rgb="FFD99694"/>
        <bgColor indexed="64"/>
      </patternFill>
    </fill>
    <fill>
      <patternFill patternType="solid">
        <fgColor rgb="FF3F3051"/>
        <bgColor indexed="64"/>
      </patternFill>
    </fill>
    <fill>
      <patternFill patternType="gray0625">
        <bgColor rgb="FFFDE9D9"/>
      </patternFill>
    </fill>
    <fill>
      <patternFill patternType="solid">
        <fgColor rgb="FFF2F2F2"/>
        <bgColor rgb="FF0066CC"/>
      </patternFill>
    </fill>
    <fill>
      <patternFill patternType="solid">
        <fgColor rgb="FF948A53"/>
        <bgColor rgb="FF0066CC"/>
      </patternFill>
    </fill>
    <fill>
      <patternFill patternType="solid">
        <fgColor rgb="FF17375E"/>
        <bgColor rgb="FF0066CC"/>
      </patternFill>
    </fill>
    <fill>
      <patternFill patternType="solid">
        <fgColor rgb="FFD6E3BC"/>
        <bgColor rgb="FF0066CC"/>
      </patternFill>
    </fill>
    <fill>
      <patternFill patternType="solid">
        <fgColor rgb="FF568FD4"/>
        <bgColor rgb="FF0066CC"/>
      </patternFill>
    </fill>
    <fill>
      <patternFill patternType="solid">
        <fgColor rgb="FF9ABA58"/>
        <bgColor indexed="64"/>
      </patternFill>
    </fill>
    <fill>
      <patternFill patternType="solid">
        <fgColor rgb="FF1F4A7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94CDDD"/>
        <bgColor rgb="FF0066CC"/>
      </patternFill>
    </fill>
    <fill>
      <patternFill patternType="solid">
        <fgColor rgb="FF7F7F7F"/>
        <bgColor rgb="FF0066CC"/>
      </patternFill>
    </fill>
    <fill>
      <patternFill patternType="solid">
        <fgColor rgb="FFC4BD97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E6B9B8"/>
        <bgColor rgb="FF0066CC"/>
      </patternFill>
    </fill>
    <fill>
      <patternFill patternType="solid">
        <fgColor rgb="FF4E6127"/>
        <bgColor rgb="FF0066CC"/>
      </patternFill>
    </fill>
    <fill>
      <patternFill patternType="solid">
        <fgColor rgb="FF3F3F3F"/>
        <bgColor indexed="64"/>
      </patternFill>
    </fill>
    <fill>
      <patternFill patternType="solid">
        <fgColor rgb="FFE36B09"/>
        <bgColor rgb="FF0066CC"/>
      </patternFill>
    </fill>
    <fill>
      <patternFill patternType="solid">
        <fgColor rgb="FFE6B9B8"/>
        <bgColor indexed="64"/>
      </patternFill>
    </fill>
    <fill>
      <patternFill patternType="solid">
        <fgColor rgb="FFFDE9D9"/>
        <bgColor rgb="FF0066CC"/>
      </patternFill>
    </fill>
    <fill>
      <patternFill patternType="solid">
        <fgColor rgb="FF7E62A1"/>
        <bgColor rgb="FF0066CC"/>
      </patternFill>
    </fill>
    <fill>
      <patternFill patternType="solid">
        <fgColor rgb="FFB7DDE8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50505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/>
      <diagonal style="medium">
        <color indexed="64"/>
      </diagonal>
    </border>
    <border>
      <left/>
      <right style="medium">
        <color rgb="FF505050"/>
      </right>
      <top/>
      <bottom/>
      <diagonal/>
    </border>
    <border diagonalUp="1">
      <left/>
      <right/>
      <top style="thin">
        <color indexed="64"/>
      </top>
      <bottom/>
      <diagonal style="medium">
        <color indexed="64"/>
      </diagonal>
    </border>
    <border diagonalUp="1">
      <left/>
      <right/>
      <top/>
      <bottom/>
      <diagonal style="medium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</borders>
  <cellStyleXfs count="30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10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7">
    <xf numFmtId="0" fontId="0" fillId="0" borderId="0" xfId="0"/>
    <xf numFmtId="0" fontId="38" fillId="0" borderId="0" xfId="0" applyFont="1"/>
    <xf numFmtId="0" fontId="41" fillId="48" borderId="0" xfId="0" applyFont="1" applyFill="1" applyAlignment="1">
      <alignment horizontal="center" vertical="center"/>
    </xf>
    <xf numFmtId="0" fontId="42" fillId="0" borderId="0" xfId="0" applyFont="1" applyAlignment="1">
      <alignment horizontal="right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center"/>
    </xf>
    <xf numFmtId="0" fontId="32" fillId="0" borderId="0" xfId="250" applyFont="1" applyAlignment="1" applyProtection="1">
      <alignment horizontal="center" vertical="top" shrinkToFit="1"/>
      <protection locked="0"/>
    </xf>
    <xf numFmtId="0" fontId="46" fillId="0" borderId="0" xfId="250" applyFont="1" applyAlignment="1" applyProtection="1">
      <alignment horizontal="center" vertical="top" shrinkToFit="1"/>
      <protection locked="0"/>
    </xf>
    <xf numFmtId="0" fontId="0" fillId="0" borderId="0" xfId="0" applyAlignment="1">
      <alignment vertical="center"/>
    </xf>
    <xf numFmtId="1" fontId="44" fillId="46" borderId="0" xfId="0" applyNumberFormat="1" applyFont="1" applyFill="1" applyAlignment="1">
      <alignment horizontal="center" vertical="center"/>
    </xf>
    <xf numFmtId="0" fontId="43" fillId="46" borderId="0" xfId="0" applyFont="1" applyFill="1" applyAlignment="1">
      <alignment horizontal="center"/>
    </xf>
    <xf numFmtId="0" fontId="38" fillId="46" borderId="0" xfId="0" applyFont="1" applyFill="1"/>
    <xf numFmtId="0" fontId="42" fillId="46" borderId="0" xfId="0" applyFont="1" applyFill="1" applyAlignment="1">
      <alignment horizontal="left" vertical="center"/>
    </xf>
    <xf numFmtId="0" fontId="42" fillId="46" borderId="0" xfId="0" applyFont="1" applyFill="1" applyAlignment="1">
      <alignment horizontal="right"/>
    </xf>
    <xf numFmtId="0" fontId="50" fillId="39" borderId="30" xfId="142" applyFont="1" applyFill="1" applyBorder="1" applyAlignment="1" applyProtection="1">
      <alignment horizontal="center" vertical="center" shrinkToFit="1"/>
    </xf>
    <xf numFmtId="0" fontId="51" fillId="65" borderId="30" xfId="142" applyFont="1" applyFill="1" applyBorder="1" applyAlignment="1" applyProtection="1">
      <alignment horizontal="center" vertical="center" shrinkToFit="1"/>
    </xf>
    <xf numFmtId="0" fontId="52" fillId="35" borderId="30" xfId="142" applyFont="1" applyFill="1" applyBorder="1" applyAlignment="1" applyProtection="1">
      <alignment horizontal="center" vertical="center" shrinkToFit="1"/>
    </xf>
    <xf numFmtId="0" fontId="53" fillId="66" borderId="1" xfId="142" applyFont="1" applyFill="1" applyBorder="1" applyAlignment="1" applyProtection="1">
      <alignment horizontal="center" vertical="center" shrinkToFit="1"/>
    </xf>
    <xf numFmtId="0" fontId="51" fillId="67" borderId="30" xfId="142" applyFont="1" applyFill="1" applyBorder="1" applyAlignment="1" applyProtection="1">
      <alignment horizontal="center" vertical="center" shrinkToFit="1"/>
    </xf>
    <xf numFmtId="0" fontId="53" fillId="64" borderId="30" xfId="142" applyFont="1" applyFill="1" applyBorder="1" applyAlignment="1" applyProtection="1">
      <alignment horizontal="center" vertical="center" shrinkToFit="1"/>
    </xf>
    <xf numFmtId="0" fontId="54" fillId="68" borderId="30" xfId="142" applyFont="1" applyFill="1" applyBorder="1" applyAlignment="1" applyProtection="1">
      <alignment horizontal="center" vertical="center" shrinkToFit="1"/>
    </xf>
    <xf numFmtId="0" fontId="54" fillId="69" borderId="30" xfId="142" applyFont="1" applyFill="1" applyBorder="1" applyAlignment="1" applyProtection="1">
      <alignment horizontal="center" vertical="center" shrinkToFit="1"/>
    </xf>
    <xf numFmtId="0" fontId="22" fillId="0" borderId="18" xfId="0" applyFont="1" applyBorder="1"/>
    <xf numFmtId="0" fontId="22" fillId="0" borderId="22" xfId="0" applyFont="1" applyBorder="1"/>
    <xf numFmtId="0" fontId="22" fillId="0" borderId="24" xfId="0" applyFont="1" applyBorder="1"/>
    <xf numFmtId="0" fontId="22" fillId="0" borderId="25" xfId="0" applyFont="1" applyBorder="1"/>
    <xf numFmtId="0" fontId="56" fillId="52" borderId="23" xfId="0" applyFont="1" applyFill="1" applyBorder="1" applyAlignment="1">
      <alignment horizontal="center" vertical="center"/>
    </xf>
    <xf numFmtId="0" fontId="57" fillId="52" borderId="26" xfId="131" applyFont="1" applyFill="1" applyBorder="1" applyAlignment="1">
      <alignment horizontal="center"/>
    </xf>
    <xf numFmtId="0" fontId="22" fillId="52" borderId="26" xfId="0" applyFont="1" applyFill="1" applyBorder="1"/>
    <xf numFmtId="0" fontId="57" fillId="70" borderId="1" xfId="131" applyFont="1" applyFill="1" applyBorder="1" applyAlignment="1">
      <alignment horizontal="center"/>
    </xf>
    <xf numFmtId="0" fontId="58" fillId="41" borderId="1" xfId="131" applyFont="1" applyFill="1" applyBorder="1" applyAlignment="1">
      <alignment horizontal="center"/>
    </xf>
    <xf numFmtId="0" fontId="59" fillId="71" borderId="1" xfId="131" applyFont="1" applyFill="1" applyBorder="1" applyAlignment="1">
      <alignment horizontal="center"/>
    </xf>
    <xf numFmtId="0" fontId="22" fillId="35" borderId="0" xfId="0" applyFont="1" applyFill="1"/>
    <xf numFmtId="0" fontId="56" fillId="72" borderId="1" xfId="0" applyFont="1" applyFill="1" applyBorder="1" applyAlignment="1">
      <alignment horizontal="center" vertical="center"/>
    </xf>
    <xf numFmtId="0" fontId="60" fillId="73" borderId="1" xfId="142" applyFont="1" applyFill="1" applyBorder="1" applyAlignment="1" applyProtection="1">
      <alignment horizontal="center" vertical="center" shrinkToFit="1"/>
    </xf>
    <xf numFmtId="0" fontId="60" fillId="73" borderId="15" xfId="142" applyFont="1" applyFill="1" applyBorder="1" applyAlignment="1" applyProtection="1">
      <alignment horizontal="center" vertical="center" shrinkToFit="1"/>
    </xf>
    <xf numFmtId="0" fontId="57" fillId="52" borderId="0" xfId="131" applyFont="1" applyFill="1" applyAlignment="1">
      <alignment horizontal="center"/>
    </xf>
    <xf numFmtId="0" fontId="61" fillId="74" borderId="1" xfId="131" applyFont="1" applyFill="1" applyBorder="1" applyAlignment="1">
      <alignment horizontal="center"/>
    </xf>
    <xf numFmtId="0" fontId="61" fillId="52" borderId="28" xfId="131" applyFont="1" applyFill="1" applyBorder="1" applyAlignment="1">
      <alignment horizontal="center"/>
    </xf>
    <xf numFmtId="0" fontId="62" fillId="38" borderId="1" xfId="0" applyFont="1" applyFill="1" applyBorder="1" applyAlignment="1">
      <alignment horizontal="center"/>
    </xf>
    <xf numFmtId="0" fontId="56" fillId="52" borderId="0" xfId="0" applyFont="1" applyFill="1" applyAlignment="1">
      <alignment horizontal="center" vertical="center"/>
    </xf>
    <xf numFmtId="0" fontId="61" fillId="52" borderId="29" xfId="131" applyFont="1" applyFill="1" applyBorder="1" applyAlignment="1">
      <alignment horizontal="center"/>
    </xf>
    <xf numFmtId="0" fontId="57" fillId="75" borderId="1" xfId="0" applyFont="1" applyFill="1" applyBorder="1" applyAlignment="1">
      <alignment horizontal="center"/>
    </xf>
    <xf numFmtId="0" fontId="40" fillId="50" borderId="1" xfId="142" applyFont="1" applyFill="1" applyBorder="1" applyAlignment="1" applyProtection="1">
      <alignment horizontal="center" vertical="center" shrinkToFit="1"/>
    </xf>
    <xf numFmtId="0" fontId="31" fillId="53" borderId="0" xfId="0" applyFont="1" applyFill="1" applyAlignment="1">
      <alignment horizontal="center" vertical="center" shrinkToFit="1"/>
    </xf>
    <xf numFmtId="0" fontId="57" fillId="76" borderId="0" xfId="0" applyFont="1" applyFill="1" applyAlignment="1">
      <alignment horizontal="center" vertical="center"/>
    </xf>
    <xf numFmtId="0" fontId="61" fillId="77" borderId="30" xfId="131" applyFont="1" applyFill="1" applyBorder="1" applyAlignment="1">
      <alignment horizontal="center"/>
    </xf>
    <xf numFmtId="0" fontId="63" fillId="78" borderId="30" xfId="142" applyFont="1" applyFill="1" applyBorder="1" applyAlignment="1" applyProtection="1">
      <alignment horizontal="center" vertical="center" shrinkToFit="1"/>
    </xf>
    <xf numFmtId="0" fontId="58" fillId="50" borderId="1" xfId="131" applyFont="1" applyFill="1" applyBorder="1" applyAlignment="1">
      <alignment horizontal="center"/>
    </xf>
    <xf numFmtId="0" fontId="40" fillId="79" borderId="1" xfId="142" applyFont="1" applyFill="1" applyBorder="1" applyAlignment="1" applyProtection="1">
      <alignment horizontal="center" vertical="center" shrinkToFit="1"/>
    </xf>
    <xf numFmtId="0" fontId="61" fillId="80" borderId="1" xfId="131" applyFont="1" applyFill="1" applyBorder="1" applyAlignment="1">
      <alignment horizontal="center"/>
    </xf>
    <xf numFmtId="0" fontId="64" fillId="52" borderId="30" xfId="131" applyFont="1" applyFill="1" applyBorder="1" applyAlignment="1">
      <alignment horizontal="center"/>
    </xf>
    <xf numFmtId="0" fontId="57" fillId="36" borderId="1" xfId="131" applyFont="1" applyFill="1" applyBorder="1" applyAlignment="1">
      <alignment horizontal="center"/>
    </xf>
    <xf numFmtId="0" fontId="57" fillId="36" borderId="31" xfId="131" applyFont="1" applyFill="1" applyBorder="1" applyAlignment="1">
      <alignment horizontal="center"/>
    </xf>
    <xf numFmtId="0" fontId="22" fillId="0" borderId="19" xfId="0" applyFont="1" applyBorder="1"/>
    <xf numFmtId="0" fontId="22" fillId="0" borderId="20" xfId="0" applyFont="1" applyBorder="1"/>
    <xf numFmtId="0" fontId="61" fillId="52" borderId="26" xfId="131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49" fillId="45" borderId="0" xfId="0" applyFont="1" applyFill="1" applyAlignment="1">
      <alignment horizontal="center" vertical="center"/>
    </xf>
    <xf numFmtId="0" fontId="65" fillId="48" borderId="0" xfId="0" applyFont="1" applyFill="1" applyAlignment="1">
      <alignment horizontal="center" vertical="center"/>
    </xf>
    <xf numFmtId="0" fontId="22" fillId="45" borderId="0" xfId="0" applyFont="1" applyFill="1"/>
    <xf numFmtId="1" fontId="44" fillId="81" borderId="0" xfId="0" applyNumberFormat="1" applyFont="1" applyFill="1" applyAlignment="1">
      <alignment horizontal="center" vertical="center"/>
    </xf>
    <xf numFmtId="0" fontId="57" fillId="52" borderId="29" xfId="0" applyFont="1" applyFill="1" applyBorder="1" applyAlignment="1">
      <alignment horizontal="center"/>
    </xf>
    <xf numFmtId="0" fontId="22" fillId="52" borderId="0" xfId="0" applyFont="1" applyFill="1"/>
    <xf numFmtId="0" fontId="61" fillId="52" borderId="0" xfId="131" applyFont="1" applyFill="1" applyAlignment="1">
      <alignment horizontal="center"/>
    </xf>
    <xf numFmtId="0" fontId="22" fillId="0" borderId="32" xfId="0" applyFont="1" applyBorder="1"/>
    <xf numFmtId="0" fontId="33" fillId="82" borderId="57" xfId="152" applyFont="1" applyFill="1" applyBorder="1" applyAlignment="1" applyProtection="1">
      <alignment horizontal="center" vertical="center" shrinkToFit="1"/>
    </xf>
    <xf numFmtId="0" fontId="40" fillId="83" borderId="0" xfId="0" applyFont="1" applyFill="1" applyAlignment="1">
      <alignment horizontal="center" vertical="center" shrinkToFit="1"/>
    </xf>
    <xf numFmtId="0" fontId="38" fillId="35" borderId="0" xfId="0" applyFont="1" applyFill="1" applyAlignment="1">
      <alignment horizontal="center" vertical="center"/>
    </xf>
    <xf numFmtId="0" fontId="63" fillId="71" borderId="0" xfId="0" applyFont="1" applyFill="1" applyAlignment="1">
      <alignment horizontal="center" vertical="center"/>
    </xf>
    <xf numFmtId="0" fontId="22" fillId="0" borderId="23" xfId="0" applyFont="1" applyBorder="1"/>
    <xf numFmtId="0" fontId="61" fillId="37" borderId="30" xfId="131" applyFont="1" applyFill="1" applyBorder="1" applyAlignment="1">
      <alignment horizontal="center"/>
    </xf>
    <xf numFmtId="0" fontId="22" fillId="52" borderId="29" xfId="0" applyFont="1" applyFill="1" applyBorder="1"/>
    <xf numFmtId="0" fontId="56" fillId="52" borderId="29" xfId="0" applyFont="1" applyFill="1" applyBorder="1" applyAlignment="1">
      <alignment horizontal="center" vertical="center"/>
    </xf>
    <xf numFmtId="0" fontId="22" fillId="52" borderId="33" xfId="0" applyFont="1" applyFill="1" applyBorder="1"/>
    <xf numFmtId="0" fontId="22" fillId="0" borderId="34" xfId="0" applyFont="1" applyBorder="1"/>
    <xf numFmtId="0" fontId="61" fillId="41" borderId="30" xfId="131" applyFont="1" applyFill="1" applyBorder="1" applyAlignment="1">
      <alignment horizontal="center"/>
    </xf>
    <xf numFmtId="0" fontId="61" fillId="52" borderId="33" xfId="131" applyFont="1" applyFill="1" applyBorder="1" applyAlignment="1">
      <alignment horizontal="center"/>
    </xf>
    <xf numFmtId="0" fontId="57" fillId="75" borderId="30" xfId="0" applyFont="1" applyFill="1" applyBorder="1" applyAlignment="1">
      <alignment horizontal="center"/>
    </xf>
    <xf numFmtId="0" fontId="60" fillId="52" borderId="0" xfId="142" applyFont="1" applyFill="1" applyAlignment="1" applyProtection="1">
      <alignment horizontal="center" vertical="center" shrinkToFit="1"/>
    </xf>
    <xf numFmtId="0" fontId="58" fillId="52" borderId="0" xfId="131" applyFont="1" applyFill="1" applyAlignment="1">
      <alignment horizontal="center"/>
    </xf>
    <xf numFmtId="0" fontId="22" fillId="0" borderId="35" xfId="0" applyFont="1" applyBorder="1"/>
    <xf numFmtId="0" fontId="6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2" fillId="0" borderId="0" xfId="0" applyFont="1" applyProtection="1">
      <protection locked="0"/>
    </xf>
    <xf numFmtId="0" fontId="67" fillId="0" borderId="0" xfId="250" applyFont="1" applyAlignment="1">
      <alignment horizontal="center" vertical="center" shrinkToFit="1"/>
    </xf>
    <xf numFmtId="0" fontId="9" fillId="0" borderId="0" xfId="0" applyFont="1" applyProtection="1">
      <protection locked="0"/>
    </xf>
    <xf numFmtId="0" fontId="6" fillId="0" borderId="0" xfId="142" applyFont="1" applyAlignment="1">
      <alignment horizontal="center" vertical="center"/>
      <protection locked="0"/>
    </xf>
    <xf numFmtId="0" fontId="70" fillId="0" borderId="0" xfId="0" applyFont="1" applyProtection="1">
      <protection locked="0"/>
    </xf>
    <xf numFmtId="0" fontId="69" fillId="0" borderId="1" xfId="0" applyFont="1" applyBorder="1" applyAlignment="1">
      <alignment horizontal="center" vertical="center" wrapText="1"/>
    </xf>
    <xf numFmtId="14" fontId="68" fillId="70" borderId="1" xfId="0" applyNumberFormat="1" applyFont="1" applyFill="1" applyBorder="1" applyAlignment="1" applyProtection="1">
      <alignment horizontal="center" vertical="center" wrapText="1"/>
      <protection locked="0"/>
    </xf>
    <xf numFmtId="0" fontId="37" fillId="85" borderId="1" xfId="0" applyFont="1" applyFill="1" applyBorder="1" applyAlignment="1" applyProtection="1">
      <alignment horizontal="center" vertical="center" wrapText="1"/>
      <protection locked="0"/>
    </xf>
    <xf numFmtId="167" fontId="37" fillId="85" borderId="1" xfId="43" applyFont="1" applyFill="1" applyBorder="1" applyAlignment="1" applyProtection="1">
      <alignment horizontal="right" vertical="center"/>
    </xf>
    <xf numFmtId="0" fontId="37" fillId="86" borderId="1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37" fillId="87" borderId="1" xfId="0" applyFont="1" applyFill="1" applyBorder="1" applyAlignment="1" applyProtection="1">
      <alignment horizontal="center" vertical="center" wrapText="1"/>
      <protection locked="0"/>
    </xf>
    <xf numFmtId="167" fontId="37" fillId="87" borderId="1" xfId="43" applyFont="1" applyFill="1" applyBorder="1" applyAlignment="1" applyProtection="1">
      <alignment horizontal="right" vertical="center"/>
    </xf>
    <xf numFmtId="0" fontId="37" fillId="78" borderId="15" xfId="0" applyFont="1" applyFill="1" applyBorder="1" applyAlignment="1" applyProtection="1">
      <alignment horizontal="center" vertical="center" wrapText="1"/>
      <protection locked="0"/>
    </xf>
    <xf numFmtId="171" fontId="37" fillId="78" borderId="1" xfId="201" applyNumberFormat="1" applyFont="1" applyFill="1" applyBorder="1" applyAlignment="1" applyProtection="1">
      <alignment horizontal="right" vertical="center" wrapText="1"/>
      <protection locked="0"/>
    </xf>
    <xf numFmtId="0" fontId="74" fillId="0" borderId="0" xfId="0" applyFont="1" applyAlignment="1" applyProtection="1">
      <alignment horizontal="center" vertical="center"/>
      <protection locked="0"/>
    </xf>
    <xf numFmtId="0" fontId="37" fillId="51" borderId="1" xfId="0" applyFont="1" applyFill="1" applyBorder="1" applyAlignment="1" applyProtection="1">
      <alignment horizontal="center" vertical="center" wrapText="1"/>
      <protection locked="0"/>
    </xf>
    <xf numFmtId="10" fontId="37" fillId="51" borderId="1" xfId="201" applyNumberFormat="1" applyFont="1" applyFill="1" applyBorder="1" applyAlignment="1" applyProtection="1">
      <alignment horizontal="right" vertical="center"/>
    </xf>
    <xf numFmtId="0" fontId="37" fillId="54" borderId="1" xfId="0" applyFont="1" applyFill="1" applyBorder="1" applyAlignment="1" applyProtection="1">
      <alignment horizontal="center" vertical="center" wrapText="1"/>
      <protection locked="0"/>
    </xf>
    <xf numFmtId="1" fontId="37" fillId="54" borderId="2" xfId="201" applyNumberFormat="1" applyFont="1" applyFill="1" applyBorder="1" applyAlignment="1" applyProtection="1">
      <alignment horizontal="right" vertical="center"/>
    </xf>
    <xf numFmtId="0" fontId="37" fillId="89" borderId="1" xfId="0" applyFont="1" applyFill="1" applyBorder="1" applyAlignment="1" applyProtection="1">
      <alignment horizontal="center" vertical="center" wrapText="1"/>
      <protection locked="0"/>
    </xf>
    <xf numFmtId="1" fontId="37" fillId="89" borderId="1" xfId="201" applyNumberFormat="1" applyFont="1" applyFill="1" applyBorder="1" applyAlignment="1" applyProtection="1">
      <alignment horizontal="right" vertical="center"/>
    </xf>
    <xf numFmtId="0" fontId="69" fillId="0" borderId="0" xfId="0" applyFont="1" applyAlignment="1" applyProtection="1">
      <alignment horizontal="center" wrapText="1"/>
      <protection locked="0"/>
    </xf>
    <xf numFmtId="0" fontId="37" fillId="88" borderId="1" xfId="0" applyFont="1" applyFill="1" applyBorder="1" applyAlignment="1" applyProtection="1">
      <alignment horizontal="center" vertical="center" wrapText="1"/>
      <protection locked="0"/>
    </xf>
    <xf numFmtId="1" fontId="37" fillId="88" borderId="1" xfId="201" applyNumberFormat="1" applyFont="1" applyFill="1" applyBorder="1" applyAlignment="1" applyProtection="1">
      <alignment horizontal="right" vertical="center"/>
    </xf>
    <xf numFmtId="14" fontId="69" fillId="0" borderId="0" xfId="0" applyNumberFormat="1" applyFont="1" applyAlignment="1" applyProtection="1">
      <alignment horizontal="center" wrapText="1"/>
      <protection locked="0"/>
    </xf>
    <xf numFmtId="0" fontId="57" fillId="36" borderId="1" xfId="0" applyFont="1" applyFill="1" applyBorder="1" applyAlignment="1">
      <alignment horizontal="center" vertical="center"/>
    </xf>
    <xf numFmtId="0" fontId="61" fillId="90" borderId="5" xfId="0" applyFont="1" applyFill="1" applyBorder="1" applyAlignment="1">
      <alignment horizontal="center" vertical="center"/>
    </xf>
    <xf numFmtId="0" fontId="40" fillId="0" borderId="15" xfId="152" applyFont="1" applyBorder="1" applyAlignment="1">
      <alignment horizontal="left" vertical="center" shrinkToFit="1"/>
      <protection locked="0"/>
    </xf>
    <xf numFmtId="0" fontId="40" fillId="0" borderId="41" xfId="152" applyFont="1" applyBorder="1" applyAlignment="1">
      <alignment horizontal="left" vertical="center" shrinkToFit="1"/>
      <protection locked="0"/>
    </xf>
    <xf numFmtId="0" fontId="47" fillId="0" borderId="41" xfId="152" applyFont="1" applyBorder="1" applyAlignment="1">
      <alignment vertical="center" shrinkToFit="1"/>
      <protection locked="0"/>
    </xf>
    <xf numFmtId="0" fontId="47" fillId="0" borderId="30" xfId="152" applyFont="1" applyBorder="1" applyAlignment="1">
      <alignment vertical="center" shrinkToFit="1"/>
      <protection locked="0"/>
    </xf>
    <xf numFmtId="0" fontId="53" fillId="66" borderId="30" xfId="142" applyFont="1" applyFill="1" applyBorder="1" applyAlignment="1" applyProtection="1">
      <alignment horizontal="center" vertical="center" shrinkToFit="1"/>
    </xf>
    <xf numFmtId="170" fontId="22" fillId="0" borderId="30" xfId="0" applyNumberFormat="1" applyFont="1" applyBorder="1" applyAlignment="1">
      <alignment horizontal="center" vertical="center"/>
    </xf>
    <xf numFmtId="170" fontId="34" fillId="0" borderId="2" xfId="142" applyNumberFormat="1" applyFont="1" applyBorder="1" applyAlignment="1" applyProtection="1">
      <alignment horizontal="center" vertical="center" shrinkToFit="1"/>
    </xf>
    <xf numFmtId="170" fontId="34" fillId="0" borderId="1" xfId="142" applyNumberFormat="1" applyFont="1" applyBorder="1" applyAlignment="1" applyProtection="1">
      <alignment horizontal="center" vertical="center" shrinkToFit="1"/>
    </xf>
    <xf numFmtId="0" fontId="47" fillId="85" borderId="41" xfId="152" applyFont="1" applyFill="1" applyBorder="1" applyAlignment="1">
      <alignment vertical="center" shrinkToFit="1"/>
      <protection locked="0"/>
    </xf>
    <xf numFmtId="0" fontId="47" fillId="85" borderId="30" xfId="152" applyFont="1" applyFill="1" applyBorder="1" applyAlignment="1">
      <alignment vertical="center" shrinkToFit="1"/>
      <protection locked="0"/>
    </xf>
    <xf numFmtId="0" fontId="47" fillId="85" borderId="16" xfId="152" applyFont="1" applyFill="1" applyBorder="1" applyAlignment="1">
      <alignment vertical="center" shrinkToFit="1"/>
      <protection locked="0"/>
    </xf>
    <xf numFmtId="170" fontId="22" fillId="85" borderId="30" xfId="0" applyNumberFormat="1" applyFont="1" applyFill="1" applyBorder="1" applyAlignment="1">
      <alignment horizontal="center" vertical="center"/>
    </xf>
    <xf numFmtId="170" fontId="34" fillId="85" borderId="1" xfId="142" applyNumberFormat="1" applyFont="1" applyFill="1" applyBorder="1" applyAlignment="1" applyProtection="1">
      <alignment horizontal="center" vertical="center" shrinkToFit="1"/>
    </xf>
    <xf numFmtId="0" fontId="50" fillId="91" borderId="30" xfId="142" applyFont="1" applyFill="1" applyBorder="1" applyAlignment="1" applyProtection="1">
      <alignment horizontal="center" vertical="center" shrinkToFit="1"/>
    </xf>
    <xf numFmtId="0" fontId="50" fillId="92" borderId="30" xfId="142" applyFont="1" applyFill="1" applyBorder="1" applyAlignment="1" applyProtection="1">
      <alignment horizontal="center" vertical="center" shrinkToFit="1"/>
    </xf>
    <xf numFmtId="0" fontId="50" fillId="93" borderId="30" xfId="142" applyFont="1" applyFill="1" applyBorder="1" applyAlignment="1" applyProtection="1">
      <alignment horizontal="center" vertical="center" shrinkToFit="1"/>
    </xf>
    <xf numFmtId="0" fontId="76" fillId="94" borderId="30" xfId="142" applyFont="1" applyFill="1" applyBorder="1" applyAlignment="1" applyProtection="1">
      <alignment horizontal="center" vertical="center" shrinkToFit="1"/>
    </xf>
    <xf numFmtId="0" fontId="51" fillId="95" borderId="30" xfId="142" applyFont="1" applyFill="1" applyBorder="1" applyAlignment="1" applyProtection="1">
      <alignment horizontal="center" vertical="center" shrinkToFit="1"/>
    </xf>
    <xf numFmtId="0" fontId="77" fillId="96" borderId="30" xfId="142" applyFont="1" applyFill="1" applyBorder="1" applyAlignment="1" applyProtection="1">
      <alignment horizontal="center" vertical="center" shrinkToFit="1"/>
    </xf>
    <xf numFmtId="0" fontId="51" fillId="97" borderId="30" xfId="142" applyFont="1" applyFill="1" applyBorder="1" applyAlignment="1" applyProtection="1">
      <alignment horizontal="center" vertical="center" shrinkToFit="1"/>
    </xf>
    <xf numFmtId="0" fontId="77" fillId="35" borderId="30" xfId="142" applyFont="1" applyFill="1" applyBorder="1" applyAlignment="1" applyProtection="1">
      <alignment horizontal="center" vertical="center" shrinkToFit="1"/>
    </xf>
    <xf numFmtId="0" fontId="77" fillId="78" borderId="30" xfId="142" applyFont="1" applyFill="1" applyBorder="1" applyAlignment="1" applyProtection="1">
      <alignment horizontal="center" vertical="center" shrinkToFit="1"/>
    </xf>
    <xf numFmtId="0" fontId="51" fillId="34" borderId="30" xfId="142" applyFont="1" applyFill="1" applyBorder="1" applyAlignment="1" applyProtection="1">
      <alignment horizontal="center" vertical="center" shrinkToFit="1"/>
    </xf>
    <xf numFmtId="0" fontId="63" fillId="77" borderId="30" xfId="142" applyFont="1" applyFill="1" applyBorder="1" applyAlignment="1" applyProtection="1">
      <alignment horizontal="center" vertical="center" shrinkToFit="1"/>
    </xf>
    <xf numFmtId="0" fontId="63" fillId="74" borderId="30" xfId="142" applyFont="1" applyFill="1" applyBorder="1" applyAlignment="1" applyProtection="1">
      <alignment horizontal="center" vertical="center" shrinkToFit="1"/>
    </xf>
    <xf numFmtId="0" fontId="63" fillId="98" borderId="30" xfId="142" applyFont="1" applyFill="1" applyBorder="1" applyAlignment="1" applyProtection="1">
      <alignment horizontal="center" vertical="center" shrinkToFit="1"/>
    </xf>
    <xf numFmtId="0" fontId="78" fillId="37" borderId="30" xfId="142" applyFont="1" applyFill="1" applyBorder="1" applyAlignment="1" applyProtection="1">
      <alignment horizontal="center" vertical="center" shrinkToFit="1"/>
    </xf>
    <xf numFmtId="0" fontId="63" fillId="99" borderId="30" xfId="142" applyFont="1" applyFill="1" applyBorder="1" applyAlignment="1" applyProtection="1">
      <alignment horizontal="center" vertical="center" shrinkToFit="1"/>
    </xf>
    <xf numFmtId="170" fontId="22" fillId="0" borderId="1" xfId="0" applyNumberFormat="1" applyFont="1" applyBorder="1" applyAlignment="1">
      <alignment horizontal="center" vertical="center"/>
    </xf>
    <xf numFmtId="0" fontId="78" fillId="100" borderId="30" xfId="142" applyFont="1" applyFill="1" applyBorder="1" applyAlignment="1" applyProtection="1">
      <alignment horizontal="center" vertical="center" shrinkToFit="1"/>
    </xf>
    <xf numFmtId="0" fontId="63" fillId="101" borderId="30" xfId="142" applyFont="1" applyFill="1" applyBorder="1" applyAlignment="1" applyProtection="1">
      <alignment horizontal="center" vertical="center" shrinkToFit="1"/>
    </xf>
    <xf numFmtId="0" fontId="79" fillId="102" borderId="30" xfId="142" applyFont="1" applyFill="1" applyBorder="1" applyAlignment="1" applyProtection="1">
      <alignment horizontal="center" vertical="center" shrinkToFit="1"/>
    </xf>
    <xf numFmtId="0" fontId="63" fillId="52" borderId="30" xfId="142" applyFont="1" applyFill="1" applyBorder="1" applyAlignment="1" applyProtection="1">
      <alignment horizontal="center" vertical="center" shrinkToFit="1"/>
    </xf>
    <xf numFmtId="0" fontId="79" fillId="103" borderId="30" xfId="142" applyFont="1" applyFill="1" applyBorder="1" applyAlignment="1" applyProtection="1">
      <alignment horizontal="center" vertical="center" shrinkToFit="1"/>
    </xf>
    <xf numFmtId="0" fontId="47" fillId="85" borderId="1" xfId="152" applyFont="1" applyFill="1" applyBorder="1" applyAlignment="1">
      <alignment vertical="center" shrinkToFit="1"/>
      <protection locked="0"/>
    </xf>
    <xf numFmtId="170" fontId="22" fillId="85" borderId="1" xfId="0" applyNumberFormat="1" applyFont="1" applyFill="1" applyBorder="1" applyAlignment="1">
      <alignment horizontal="center" vertical="center"/>
    </xf>
    <xf numFmtId="0" fontId="22" fillId="0" borderId="41" xfId="0" applyFont="1" applyBorder="1" applyProtection="1">
      <protection locked="0"/>
    </xf>
    <xf numFmtId="0" fontId="22" fillId="0" borderId="30" xfId="0" applyFont="1" applyBorder="1" applyProtection="1">
      <protection locked="0"/>
    </xf>
    <xf numFmtId="0" fontId="50" fillId="104" borderId="30" xfId="142" applyFont="1" applyFill="1" applyBorder="1" applyAlignment="1" applyProtection="1">
      <alignment horizontal="center" vertical="center" shrinkToFit="1"/>
    </xf>
    <xf numFmtId="0" fontId="51" fillId="105" borderId="30" xfId="142" applyFont="1" applyFill="1" applyBorder="1" applyAlignment="1" applyProtection="1">
      <alignment horizontal="center" vertical="center" shrinkToFit="1"/>
    </xf>
    <xf numFmtId="0" fontId="80" fillId="67" borderId="30" xfId="142" applyFont="1" applyFill="1" applyBorder="1" applyAlignment="1" applyProtection="1">
      <alignment horizontal="center" vertical="center" shrinkToFit="1"/>
    </xf>
    <xf numFmtId="0" fontId="50" fillId="106" borderId="30" xfId="142" applyFont="1" applyFill="1" applyBorder="1" applyAlignment="1" applyProtection="1">
      <alignment horizontal="center" vertical="center" shrinkToFit="1"/>
    </xf>
    <xf numFmtId="0" fontId="81" fillId="107" borderId="30" xfId="142" applyFont="1" applyFill="1" applyBorder="1" applyAlignment="1" applyProtection="1">
      <alignment horizontal="center" vertical="center" shrinkToFit="1"/>
    </xf>
    <xf numFmtId="0" fontId="50" fillId="108" borderId="30" xfId="142" applyFont="1" applyFill="1" applyBorder="1" applyAlignment="1" applyProtection="1">
      <alignment horizontal="center" vertical="center" shrinkToFit="1"/>
    </xf>
    <xf numFmtId="0" fontId="82" fillId="109" borderId="30" xfId="142" applyFont="1" applyFill="1" applyBorder="1" applyAlignment="1" applyProtection="1">
      <alignment horizontal="center" vertical="center" shrinkToFit="1"/>
    </xf>
    <xf numFmtId="0" fontId="83" fillId="109" borderId="30" xfId="142" applyFont="1" applyFill="1" applyBorder="1" applyAlignment="1" applyProtection="1">
      <alignment horizontal="center" vertical="center" shrinkToFit="1"/>
    </xf>
    <xf numFmtId="0" fontId="84" fillId="109" borderId="30" xfId="142" applyFont="1" applyFill="1" applyBorder="1" applyAlignment="1" applyProtection="1">
      <alignment horizontal="center" vertical="center" shrinkToFit="1"/>
    </xf>
    <xf numFmtId="0" fontId="51" fillId="103" borderId="30" xfId="142" applyFont="1" applyFill="1" applyBorder="1" applyAlignment="1" applyProtection="1">
      <alignment horizontal="center" vertical="center" shrinkToFit="1"/>
    </xf>
    <xf numFmtId="0" fontId="85" fillId="110" borderId="30" xfId="142" applyFont="1" applyFill="1" applyBorder="1" applyAlignment="1" applyProtection="1">
      <alignment horizontal="center" vertical="center" shrinkToFit="1"/>
    </xf>
    <xf numFmtId="0" fontId="50" fillId="50" borderId="30" xfId="142" applyFont="1" applyFill="1" applyBorder="1" applyAlignment="1" applyProtection="1">
      <alignment horizontal="center" vertical="center" shrinkToFit="1"/>
    </xf>
    <xf numFmtId="0" fontId="50" fillId="111" borderId="30" xfId="142" applyFont="1" applyFill="1" applyBorder="1" applyAlignment="1" applyProtection="1">
      <alignment horizontal="center" vertical="center" shrinkToFit="1"/>
    </xf>
    <xf numFmtId="0" fontId="54" fillId="43" borderId="30" xfId="142" applyFont="1" applyFill="1" applyBorder="1" applyAlignment="1" applyProtection="1">
      <alignment horizontal="center" vertical="center" shrinkToFit="1"/>
    </xf>
    <xf numFmtId="0" fontId="54" fillId="112" borderId="30" xfId="142" applyFont="1" applyFill="1" applyBorder="1" applyAlignment="1" applyProtection="1">
      <alignment horizontal="center" vertical="center" shrinkToFit="1"/>
    </xf>
    <xf numFmtId="0" fontId="50" fillId="113" borderId="30" xfId="142" applyFont="1" applyFill="1" applyBorder="1" applyAlignment="1" applyProtection="1">
      <alignment horizontal="center" vertical="center" shrinkToFit="1"/>
    </xf>
    <xf numFmtId="0" fontId="86" fillId="114" borderId="30" xfId="142" applyFont="1" applyFill="1" applyBorder="1" applyAlignment="1" applyProtection="1">
      <alignment horizontal="center" vertical="center" shrinkToFit="1"/>
    </xf>
    <xf numFmtId="0" fontId="86" fillId="115" borderId="30" xfId="142" applyFont="1" applyFill="1" applyBorder="1" applyAlignment="1" applyProtection="1">
      <alignment horizontal="center" vertical="center" shrinkToFit="1"/>
    </xf>
    <xf numFmtId="0" fontId="51" fillId="116" borderId="30" xfId="142" applyFont="1" applyFill="1" applyBorder="1" applyAlignment="1" applyProtection="1">
      <alignment horizontal="center" vertical="center" shrinkToFit="1"/>
    </xf>
    <xf numFmtId="0" fontId="50" fillId="117" borderId="30" xfId="142" applyFont="1" applyFill="1" applyBorder="1" applyAlignment="1" applyProtection="1">
      <alignment horizontal="center" vertical="center" shrinkToFit="1"/>
    </xf>
    <xf numFmtId="0" fontId="87" fillId="118" borderId="30" xfId="142" applyFont="1" applyFill="1" applyBorder="1" applyAlignment="1" applyProtection="1">
      <alignment horizontal="center" vertical="center" shrinkToFit="1"/>
    </xf>
    <xf numFmtId="0" fontId="50" fillId="119" borderId="30" xfId="142" applyFont="1" applyFill="1" applyBorder="1" applyAlignment="1" applyProtection="1">
      <alignment horizontal="center" vertical="center" shrinkToFit="1"/>
    </xf>
    <xf numFmtId="0" fontId="63" fillId="120" borderId="30" xfId="142" applyFont="1" applyFill="1" applyBorder="1" applyAlignment="1" applyProtection="1">
      <alignment horizontal="center" vertical="center" shrinkToFit="1"/>
    </xf>
    <xf numFmtId="0" fontId="88" fillId="121" borderId="30" xfId="142" applyFont="1" applyFill="1" applyBorder="1" applyAlignment="1" applyProtection="1">
      <alignment horizontal="center" vertical="center" shrinkToFit="1"/>
    </xf>
    <xf numFmtId="0" fontId="50" fillId="122" borderId="30" xfId="142" applyFont="1" applyFill="1" applyBorder="1" applyAlignment="1" applyProtection="1">
      <alignment horizontal="center" vertical="center" shrinkToFit="1"/>
    </xf>
    <xf numFmtId="0" fontId="50" fillId="123" borderId="30" xfId="142" applyFont="1" applyFill="1" applyBorder="1" applyAlignment="1" applyProtection="1">
      <alignment horizontal="center" vertical="center" shrinkToFit="1"/>
    </xf>
    <xf numFmtId="0" fontId="50" fillId="124" borderId="30" xfId="142" applyFont="1" applyFill="1" applyBorder="1" applyAlignment="1" applyProtection="1">
      <alignment horizontal="center" vertical="center" shrinkToFit="1"/>
    </xf>
    <xf numFmtId="0" fontId="50" fillId="125" borderId="30" xfId="142" applyFont="1" applyFill="1" applyBorder="1" applyAlignment="1" applyProtection="1">
      <alignment horizontal="center" vertical="center" shrinkToFit="1"/>
    </xf>
    <xf numFmtId="0" fontId="54" fillId="126" borderId="30" xfId="142" applyFont="1" applyFill="1" applyBorder="1" applyAlignment="1" applyProtection="1">
      <alignment horizontal="center" vertical="center" shrinkToFit="1"/>
    </xf>
    <xf numFmtId="0" fontId="51" fillId="127" borderId="30" xfId="142" applyFont="1" applyFill="1" applyBorder="1" applyAlignment="1" applyProtection="1">
      <alignment horizontal="center" vertical="center" shrinkToFit="1"/>
    </xf>
    <xf numFmtId="0" fontId="89" fillId="128" borderId="30" xfId="142" applyFont="1" applyFill="1" applyBorder="1" applyAlignment="1" applyProtection="1">
      <alignment horizontal="center" vertical="center" shrinkToFit="1"/>
    </xf>
    <xf numFmtId="0" fontId="50" fillId="129" borderId="30" xfId="142" applyFont="1" applyFill="1" applyBorder="1" applyAlignment="1" applyProtection="1">
      <alignment horizontal="center" vertical="center" shrinkToFit="1"/>
    </xf>
    <xf numFmtId="0" fontId="87" fillId="130" borderId="30" xfId="142" applyFont="1" applyFill="1" applyBorder="1" applyAlignment="1" applyProtection="1">
      <alignment horizontal="center" vertical="center" shrinkToFit="1"/>
    </xf>
    <xf numFmtId="0" fontId="54" fillId="131" borderId="30" xfId="142" applyFont="1" applyFill="1" applyBorder="1" applyAlignment="1" applyProtection="1">
      <alignment horizontal="center" vertical="center" shrinkToFit="1"/>
    </xf>
    <xf numFmtId="0" fontId="54" fillId="132" borderId="30" xfId="142" applyFont="1" applyFill="1" applyBorder="1" applyAlignment="1" applyProtection="1">
      <alignment horizontal="center" vertical="center" shrinkToFit="1"/>
    </xf>
    <xf numFmtId="0" fontId="63" fillId="81" borderId="30" xfId="142" applyFont="1" applyFill="1" applyBorder="1" applyAlignment="1" applyProtection="1">
      <alignment horizontal="center" vertical="center" shrinkToFit="1"/>
    </xf>
    <xf numFmtId="0" fontId="90" fillId="133" borderId="30" xfId="142" applyFont="1" applyFill="1" applyBorder="1" applyAlignment="1" applyProtection="1">
      <alignment horizontal="center" vertical="center" shrinkToFit="1"/>
    </xf>
    <xf numFmtId="0" fontId="90" fillId="134" borderId="30" xfId="142" applyFont="1" applyFill="1" applyBorder="1" applyAlignment="1" applyProtection="1">
      <alignment horizontal="center" vertical="center" shrinkToFit="1"/>
    </xf>
    <xf numFmtId="0" fontId="51" fillId="118" borderId="30" xfId="142" applyFont="1" applyFill="1" applyBorder="1" applyAlignment="1" applyProtection="1">
      <alignment horizontal="center" vertical="center" shrinkToFit="1"/>
    </xf>
    <xf numFmtId="0" fontId="51" fillId="135" borderId="30" xfId="142" applyFont="1" applyFill="1" applyBorder="1" applyAlignment="1" applyProtection="1">
      <alignment horizontal="center" vertical="center" shrinkToFit="1"/>
    </xf>
    <xf numFmtId="0" fontId="76" fillId="136" borderId="30" xfId="142" applyFont="1" applyFill="1" applyBorder="1" applyAlignment="1" applyProtection="1">
      <alignment horizontal="center" vertical="center" shrinkToFit="1"/>
    </xf>
    <xf numFmtId="0" fontId="91" fillId="137" borderId="30" xfId="142" applyFont="1" applyFill="1" applyBorder="1" applyAlignment="1" applyProtection="1">
      <alignment horizontal="center" vertical="center" shrinkToFit="1"/>
    </xf>
    <xf numFmtId="0" fontId="51" fillId="136" borderId="30" xfId="142" applyFont="1" applyFill="1" applyBorder="1" applyAlignment="1" applyProtection="1">
      <alignment horizontal="center" vertical="center" shrinkToFit="1"/>
    </xf>
    <xf numFmtId="0" fontId="50" fillId="44" borderId="30" xfId="142" applyFont="1" applyFill="1" applyBorder="1" applyAlignment="1" applyProtection="1">
      <alignment horizontal="center" vertical="center" shrinkToFit="1"/>
    </xf>
    <xf numFmtId="0" fontId="50" fillId="45" borderId="30" xfId="142" applyFont="1" applyFill="1" applyBorder="1" applyAlignment="1" applyProtection="1">
      <alignment horizontal="center" vertical="center" shrinkToFit="1"/>
    </xf>
    <xf numFmtId="0" fontId="50" fillId="138" borderId="30" xfId="142" applyFont="1" applyFill="1" applyBorder="1" applyAlignment="1" applyProtection="1">
      <alignment horizontal="center" vertical="center" shrinkToFit="1"/>
    </xf>
    <xf numFmtId="0" fontId="47" fillId="0" borderId="15" xfId="152" applyFont="1" applyBorder="1" applyAlignment="1">
      <alignment vertical="center" shrinkToFit="1"/>
      <protection locked="0"/>
    </xf>
    <xf numFmtId="0" fontId="47" fillId="0" borderId="16" xfId="152" applyFont="1" applyBorder="1" applyAlignment="1">
      <alignment vertical="center" shrinkToFit="1"/>
      <protection locked="0"/>
    </xf>
    <xf numFmtId="0" fontId="47" fillId="0" borderId="1" xfId="152" applyFont="1" applyBorder="1" applyAlignment="1">
      <alignment vertical="center" shrinkToFit="1"/>
      <protection locked="0"/>
    </xf>
    <xf numFmtId="0" fontId="72" fillId="0" borderId="4" xfId="0" applyFont="1" applyBorder="1" applyAlignment="1" applyProtection="1">
      <alignment horizontal="center"/>
      <protection locked="0"/>
    </xf>
    <xf numFmtId="0" fontId="72" fillId="0" borderId="17" xfId="0" applyFont="1" applyBorder="1" applyAlignment="1" applyProtection="1">
      <alignment horizontal="center"/>
      <protection locked="0"/>
    </xf>
    <xf numFmtId="0" fontId="72" fillId="0" borderId="0" xfId="0" applyFont="1" applyAlignment="1" applyProtection="1">
      <alignment horizontal="center"/>
      <protection locked="0"/>
    </xf>
    <xf numFmtId="0" fontId="73" fillId="0" borderId="0" xfId="0" applyFont="1" applyAlignment="1">
      <alignment horizontal="center"/>
    </xf>
    <xf numFmtId="0" fontId="93" fillId="0" borderId="3" xfId="0" applyFont="1" applyBorder="1" applyAlignment="1" applyProtection="1">
      <alignment horizontal="center" vertical="center"/>
      <protection locked="0"/>
    </xf>
    <xf numFmtId="0" fontId="93" fillId="0" borderId="47" xfId="0" applyFont="1" applyBorder="1" applyAlignment="1" applyProtection="1">
      <alignment horizontal="center" vertical="center"/>
      <protection locked="0"/>
    </xf>
    <xf numFmtId="0" fontId="93" fillId="0" borderId="48" xfId="0" applyFont="1" applyBorder="1" applyAlignment="1" applyProtection="1">
      <alignment horizontal="center" vertical="center"/>
      <protection locked="0"/>
    </xf>
    <xf numFmtId="170" fontId="22" fillId="0" borderId="51" xfId="0" applyNumberFormat="1" applyFont="1" applyBorder="1" applyAlignment="1">
      <alignment horizontal="center" vertical="center"/>
    </xf>
    <xf numFmtId="170" fontId="22" fillId="0" borderId="52" xfId="224" applyNumberFormat="1" applyFont="1" applyBorder="1" applyAlignment="1" applyProtection="1">
      <alignment horizontal="center" vertical="center"/>
    </xf>
    <xf numFmtId="0" fontId="57" fillId="0" borderId="0" xfId="0" applyFont="1" applyAlignment="1">
      <alignment horizontal="center" vertical="center"/>
    </xf>
    <xf numFmtId="0" fontId="95" fillId="42" borderId="30" xfId="131" applyFont="1" applyFill="1" applyBorder="1" applyAlignment="1">
      <alignment horizontal="center"/>
    </xf>
    <xf numFmtId="0" fontId="57" fillId="43" borderId="30" xfId="131" applyFont="1" applyFill="1" applyBorder="1" applyAlignment="1">
      <alignment horizontal="center"/>
    </xf>
    <xf numFmtId="0" fontId="61" fillId="80" borderId="30" xfId="131" applyFont="1" applyFill="1" applyBorder="1" applyAlignment="1">
      <alignment horizontal="center"/>
    </xf>
    <xf numFmtId="0" fontId="61" fillId="55" borderId="30" xfId="131" applyFont="1" applyFill="1" applyBorder="1" applyAlignment="1">
      <alignment horizontal="center"/>
    </xf>
    <xf numFmtId="0" fontId="61" fillId="39" borderId="30" xfId="131" applyFont="1" applyFill="1" applyBorder="1" applyAlignment="1">
      <alignment horizontal="center"/>
    </xf>
    <xf numFmtId="0" fontId="60" fillId="139" borderId="30" xfId="142" applyFont="1" applyFill="1" applyBorder="1" applyAlignment="1" applyProtection="1">
      <alignment horizontal="center" vertical="center" shrinkToFit="1"/>
    </xf>
    <xf numFmtId="0" fontId="60" fillId="56" borderId="30" xfId="142" applyFont="1" applyFill="1" applyBorder="1" applyAlignment="1" applyProtection="1">
      <alignment horizontal="center" vertical="center" shrinkToFit="1"/>
    </xf>
    <xf numFmtId="0" fontId="60" fillId="140" borderId="30" xfId="142" applyFont="1" applyFill="1" applyBorder="1" applyAlignment="1" applyProtection="1">
      <alignment horizontal="center" vertical="center" shrinkToFit="1"/>
    </xf>
    <xf numFmtId="0" fontId="96" fillId="80" borderId="1" xfId="131" applyFont="1" applyFill="1" applyBorder="1" applyAlignment="1">
      <alignment horizontal="center"/>
    </xf>
    <xf numFmtId="0" fontId="94" fillId="141" borderId="30" xfId="142" applyFont="1" applyFill="1" applyBorder="1" applyAlignment="1" applyProtection="1">
      <alignment horizontal="center" vertical="center" shrinkToFit="1"/>
    </xf>
    <xf numFmtId="0" fontId="40" fillId="142" borderId="30" xfId="142" applyFont="1" applyFill="1" applyBorder="1" applyAlignment="1" applyProtection="1">
      <alignment horizontal="center" vertical="center" shrinkToFit="1"/>
    </xf>
    <xf numFmtId="0" fontId="94" fillId="57" borderId="30" xfId="142" applyFont="1" applyFill="1" applyBorder="1" applyAlignment="1" applyProtection="1">
      <alignment horizontal="center" vertical="center" shrinkToFit="1"/>
    </xf>
    <xf numFmtId="0" fontId="94" fillId="143" borderId="30" xfId="142" applyFont="1" applyFill="1" applyBorder="1" applyAlignment="1" applyProtection="1">
      <alignment horizontal="center" vertical="center" shrinkToFit="1"/>
    </xf>
    <xf numFmtId="0" fontId="61" fillId="71" borderId="1" xfId="0" applyFont="1" applyFill="1" applyBorder="1" applyAlignment="1">
      <alignment horizontal="center"/>
    </xf>
    <xf numFmtId="0" fontId="40" fillId="78" borderId="1" xfId="142" applyFont="1" applyFill="1" applyBorder="1" applyAlignment="1" applyProtection="1">
      <alignment horizontal="center" vertical="center" shrinkToFit="1"/>
    </xf>
    <xf numFmtId="0" fontId="97" fillId="72" borderId="1" xfId="0" applyFont="1" applyFill="1" applyBorder="1" applyAlignment="1">
      <alignment horizontal="center"/>
    </xf>
    <xf numFmtId="0" fontId="61" fillId="72" borderId="1" xfId="0" applyFont="1" applyFill="1" applyBorder="1" applyAlignment="1">
      <alignment horizontal="center"/>
    </xf>
    <xf numFmtId="0" fontId="61" fillId="45" borderId="1" xfId="0" applyFont="1" applyFill="1" applyBorder="1" applyAlignment="1">
      <alignment horizontal="center"/>
    </xf>
    <xf numFmtId="0" fontId="40" fillId="90" borderId="1" xfId="142" applyFont="1" applyFill="1" applyBorder="1" applyAlignment="1" applyProtection="1">
      <alignment horizontal="center" vertical="center" shrinkToFit="1"/>
    </xf>
    <xf numFmtId="0" fontId="61" fillId="144" borderId="1" xfId="0" applyFont="1" applyFill="1" applyBorder="1" applyAlignment="1">
      <alignment horizontal="center"/>
    </xf>
    <xf numFmtId="0" fontId="94" fillId="145" borderId="1" xfId="142" applyFont="1" applyFill="1" applyBorder="1" applyAlignment="1" applyProtection="1">
      <alignment horizontal="center" vertical="center" shrinkToFit="1"/>
    </xf>
    <xf numFmtId="0" fontId="95" fillId="88" borderId="1" xfId="0" applyFont="1" applyFill="1" applyBorder="1" applyAlignment="1">
      <alignment horizontal="center"/>
    </xf>
    <xf numFmtId="0" fontId="40" fillId="146" borderId="1" xfId="142" applyFont="1" applyFill="1" applyBorder="1" applyAlignment="1" applyProtection="1">
      <alignment horizontal="center" vertical="center" shrinkToFit="1"/>
    </xf>
    <xf numFmtId="0" fontId="94" fillId="147" borderId="1" xfId="142" applyFont="1" applyFill="1" applyBorder="1" applyAlignment="1" applyProtection="1">
      <alignment horizontal="center" vertical="center" shrinkToFit="1"/>
    </xf>
    <xf numFmtId="0" fontId="59" fillId="45" borderId="1" xfId="0" applyFont="1" applyFill="1" applyBorder="1" applyAlignment="1">
      <alignment horizontal="center"/>
    </xf>
    <xf numFmtId="0" fontId="60" fillId="139" borderId="1" xfId="142" applyFont="1" applyFill="1" applyBorder="1" applyAlignment="1" applyProtection="1">
      <alignment horizontal="center" vertical="center" shrinkToFit="1"/>
    </xf>
    <xf numFmtId="0" fontId="98" fillId="84" borderId="1" xfId="131" applyFont="1" applyFill="1" applyBorder="1" applyAlignment="1">
      <alignment horizontal="center"/>
    </xf>
    <xf numFmtId="0" fontId="94" fillId="58" borderId="1" xfId="142" applyFont="1" applyFill="1" applyBorder="1" applyAlignment="1" applyProtection="1">
      <alignment horizontal="center" vertical="center" shrinkToFit="1"/>
    </xf>
    <xf numFmtId="0" fontId="59" fillId="35" borderId="30" xfId="0" applyFont="1" applyFill="1" applyBorder="1" applyAlignment="1">
      <alignment horizontal="center"/>
    </xf>
    <xf numFmtId="0" fontId="97" fillId="0" borderId="1" xfId="0" applyFont="1" applyBorder="1" applyAlignment="1">
      <alignment horizontal="center"/>
    </xf>
    <xf numFmtId="0" fontId="61" fillId="148" borderId="1" xfId="0" applyFont="1" applyFill="1" applyBorder="1" applyAlignment="1">
      <alignment horizontal="center"/>
    </xf>
    <xf numFmtId="0" fontId="40" fillId="142" borderId="1" xfId="142" applyFont="1" applyFill="1" applyBorder="1" applyAlignment="1" applyProtection="1">
      <alignment horizontal="center" vertical="center" shrinkToFit="1"/>
    </xf>
    <xf numFmtId="0" fontId="61" fillId="35" borderId="1" xfId="0" applyFont="1" applyFill="1" applyBorder="1" applyAlignment="1">
      <alignment horizontal="center"/>
    </xf>
    <xf numFmtId="0" fontId="57" fillId="80" borderId="1" xfId="0" applyFont="1" applyFill="1" applyBorder="1" applyAlignment="1">
      <alignment horizontal="center"/>
    </xf>
    <xf numFmtId="0" fontId="94" fillId="59" borderId="1" xfId="142" applyFont="1" applyFill="1" applyBorder="1" applyAlignment="1" applyProtection="1">
      <alignment horizontal="center" vertical="center" shrinkToFit="1"/>
    </xf>
    <xf numFmtId="0" fontId="99" fillId="36" borderId="1" xfId="142" applyFont="1" applyFill="1" applyBorder="1" applyAlignment="1" applyProtection="1">
      <alignment horizontal="center" vertical="center" shrinkToFit="1"/>
    </xf>
    <xf numFmtId="0" fontId="48" fillId="36" borderId="1" xfId="142" applyFont="1" applyFill="1" applyBorder="1" applyAlignment="1" applyProtection="1">
      <alignment horizontal="center" vertical="center" shrinkToFit="1"/>
    </xf>
    <xf numFmtId="0" fontId="100" fillId="38" borderId="1" xfId="142" applyFont="1" applyFill="1" applyBorder="1" applyAlignment="1" applyProtection="1">
      <alignment horizontal="center" vertical="center" shrinkToFit="1"/>
    </xf>
    <xf numFmtId="0" fontId="60" fillId="149" borderId="1" xfId="142" applyFont="1" applyFill="1" applyBorder="1" applyAlignment="1">
      <alignment horizontal="center" vertical="center" shrinkToFit="1"/>
      <protection locked="0"/>
    </xf>
    <xf numFmtId="0" fontId="94" fillId="150" borderId="1" xfId="142" applyFont="1" applyFill="1" applyBorder="1" applyAlignment="1" applyProtection="1">
      <alignment horizontal="center" vertical="center" shrinkToFit="1"/>
    </xf>
    <xf numFmtId="0" fontId="61" fillId="43" borderId="1" xfId="0" applyFont="1" applyFill="1" applyBorder="1" applyAlignment="1">
      <alignment horizontal="center"/>
    </xf>
    <xf numFmtId="0" fontId="48" fillId="39" borderId="1" xfId="142" applyFont="1" applyFill="1" applyBorder="1" applyAlignment="1">
      <alignment horizontal="center" vertical="center" shrinkToFit="1"/>
      <protection locked="0"/>
    </xf>
    <xf numFmtId="0" fontId="60" fillId="151" borderId="1" xfId="142" applyFont="1" applyFill="1" applyBorder="1" applyAlignment="1" applyProtection="1">
      <alignment horizontal="center" vertical="center" shrinkToFit="1"/>
    </xf>
    <xf numFmtId="0" fontId="61" fillId="152" borderId="1" xfId="0" applyFont="1" applyFill="1" applyBorder="1" applyAlignment="1">
      <alignment horizontal="center"/>
    </xf>
    <xf numFmtId="0" fontId="61" fillId="38" borderId="1" xfId="0" applyFont="1" applyFill="1" applyBorder="1" applyAlignment="1">
      <alignment horizontal="center"/>
    </xf>
    <xf numFmtId="0" fontId="61" fillId="39" borderId="1" xfId="0" applyFont="1" applyFill="1" applyBorder="1" applyAlignment="1">
      <alignment horizontal="center"/>
    </xf>
    <xf numFmtId="0" fontId="61" fillId="145" borderId="1" xfId="0" applyFont="1" applyFill="1" applyBorder="1" applyAlignment="1">
      <alignment horizontal="center"/>
    </xf>
    <xf numFmtId="0" fontId="60" fillId="153" borderId="1" xfId="142" applyFont="1" applyFill="1" applyBorder="1" applyAlignment="1" applyProtection="1">
      <alignment horizontal="center" vertical="center" shrinkToFit="1"/>
    </xf>
    <xf numFmtId="0" fontId="94" fillId="154" borderId="1" xfId="142" applyFont="1" applyFill="1" applyBorder="1" applyAlignment="1" applyProtection="1">
      <alignment horizontal="center" vertical="center" shrinkToFit="1"/>
    </xf>
    <xf numFmtId="0" fontId="61" fillId="98" borderId="1" xfId="0" applyFont="1" applyFill="1" applyBorder="1" applyAlignment="1">
      <alignment horizontal="center"/>
    </xf>
    <xf numFmtId="0" fontId="61" fillId="155" borderId="1" xfId="0" applyFont="1" applyFill="1" applyBorder="1" applyAlignment="1">
      <alignment horizontal="center"/>
    </xf>
    <xf numFmtId="0" fontId="60" fillId="156" borderId="1" xfId="142" applyFont="1" applyFill="1" applyBorder="1" applyAlignment="1" applyProtection="1">
      <alignment horizontal="center" vertical="center" shrinkToFit="1"/>
    </xf>
    <xf numFmtId="0" fontId="94" fillId="60" borderId="1" xfId="142" applyFont="1" applyFill="1" applyBorder="1" applyAlignment="1" applyProtection="1">
      <alignment horizontal="center" vertical="center" shrinkToFit="1"/>
    </xf>
    <xf numFmtId="0" fontId="61" fillId="102" borderId="1" xfId="0" applyFont="1" applyFill="1" applyBorder="1" applyAlignment="1">
      <alignment horizontal="center"/>
    </xf>
    <xf numFmtId="0" fontId="61" fillId="157" borderId="1" xfId="0" applyFont="1" applyFill="1" applyBorder="1" applyAlignment="1">
      <alignment horizontal="center"/>
    </xf>
    <xf numFmtId="0" fontId="61" fillId="86" borderId="1" xfId="0" applyFont="1" applyFill="1" applyBorder="1" applyAlignment="1">
      <alignment horizontal="center"/>
    </xf>
    <xf numFmtId="0" fontId="94" fillId="56" borderId="1" xfId="142" applyFont="1" applyFill="1" applyBorder="1" applyAlignment="1" applyProtection="1">
      <alignment horizontal="center" vertical="center" shrinkToFit="1"/>
    </xf>
    <xf numFmtId="0" fontId="48" fillId="158" borderId="1" xfId="142" applyFont="1" applyFill="1" applyBorder="1" applyAlignment="1" applyProtection="1">
      <alignment horizontal="center" vertical="center" shrinkToFit="1"/>
    </xf>
    <xf numFmtId="0" fontId="94" fillId="159" borderId="1" xfId="142" applyFont="1" applyFill="1" applyBorder="1" applyAlignment="1" applyProtection="1">
      <alignment horizontal="center" vertical="center" shrinkToFit="1"/>
    </xf>
    <xf numFmtId="0" fontId="40" fillId="51" borderId="1" xfId="142" applyFont="1" applyFill="1" applyBorder="1" applyAlignment="1" applyProtection="1">
      <alignment horizontal="center" vertical="center" shrinkToFit="1"/>
    </xf>
    <xf numFmtId="0" fontId="61" fillId="84" borderId="1" xfId="0" applyFont="1" applyFill="1" applyBorder="1" applyAlignment="1">
      <alignment horizontal="center"/>
    </xf>
    <xf numFmtId="170" fontId="22" fillId="0" borderId="53" xfId="224" applyNumberFormat="1" applyFont="1" applyBorder="1" applyAlignment="1" applyProtection="1">
      <alignment horizontal="center" vertical="center"/>
    </xf>
    <xf numFmtId="172" fontId="102" fillId="0" borderId="3" xfId="0" applyNumberFormat="1" applyFont="1" applyBorder="1" applyAlignment="1">
      <alignment horizontal="center" vertical="center"/>
    </xf>
    <xf numFmtId="172" fontId="32" fillId="160" borderId="1" xfId="142" applyNumberFormat="1" applyFont="1" applyFill="1" applyBorder="1" applyAlignment="1" applyProtection="1">
      <alignment vertical="center" shrinkToFit="1"/>
    </xf>
    <xf numFmtId="0" fontId="22" fillId="0" borderId="0" xfId="0" applyFont="1" applyAlignment="1">
      <alignment vertical="center"/>
    </xf>
    <xf numFmtId="0" fontId="104" fillId="41" borderId="0" xfId="0" applyFont="1" applyFill="1" applyAlignment="1">
      <alignment horizontal="center" vertical="center"/>
    </xf>
    <xf numFmtId="0" fontId="0" fillId="46" borderId="0" xfId="0" applyFill="1" applyAlignment="1">
      <alignment vertical="center"/>
    </xf>
    <xf numFmtId="0" fontId="22" fillId="46" borderId="24" xfId="0" applyFont="1" applyFill="1" applyBorder="1"/>
    <xf numFmtId="0" fontId="22" fillId="46" borderId="18" xfId="0" applyFont="1" applyFill="1" applyBorder="1"/>
    <xf numFmtId="0" fontId="57" fillId="46" borderId="1" xfId="131" applyFont="1" applyFill="1" applyBorder="1" applyAlignment="1">
      <alignment horizontal="center"/>
    </xf>
    <xf numFmtId="0" fontId="58" fillId="46" borderId="1" xfId="131" applyFont="1" applyFill="1" applyBorder="1" applyAlignment="1">
      <alignment horizontal="center"/>
    </xf>
    <xf numFmtId="0" fontId="59" fillId="46" borderId="1" xfId="131" applyFont="1" applyFill="1" applyBorder="1" applyAlignment="1">
      <alignment horizontal="center"/>
    </xf>
    <xf numFmtId="0" fontId="22" fillId="46" borderId="0" xfId="0" applyFont="1" applyFill="1"/>
    <xf numFmtId="0" fontId="56" fillId="46" borderId="1" xfId="0" applyFont="1" applyFill="1" applyBorder="1" applyAlignment="1">
      <alignment horizontal="center" vertical="center"/>
    </xf>
    <xf numFmtId="0" fontId="60" fillId="61" borderId="1" xfId="142" applyFont="1" applyFill="1" applyBorder="1" applyAlignment="1" applyProtection="1">
      <alignment horizontal="center" vertical="center" shrinkToFit="1"/>
    </xf>
    <xf numFmtId="0" fontId="60" fillId="61" borderId="15" xfId="142" applyFont="1" applyFill="1" applyBorder="1" applyAlignment="1" applyProtection="1">
      <alignment horizontal="center" vertical="center" shrinkToFit="1"/>
    </xf>
    <xf numFmtId="0" fontId="57" fillId="46" borderId="0" xfId="131" applyFont="1" applyFill="1" applyAlignment="1">
      <alignment horizontal="center"/>
    </xf>
    <xf numFmtId="0" fontId="61" fillId="46" borderId="1" xfId="131" applyFont="1" applyFill="1" applyBorder="1" applyAlignment="1">
      <alignment horizontal="center"/>
    </xf>
    <xf numFmtId="0" fontId="61" fillId="46" borderId="28" xfId="131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/>
    </xf>
    <xf numFmtId="0" fontId="56" fillId="46" borderId="0" xfId="0" applyFont="1" applyFill="1" applyAlignment="1">
      <alignment horizontal="center" vertical="center"/>
    </xf>
    <xf numFmtId="0" fontId="61" fillId="46" borderId="29" xfId="131" applyFont="1" applyFill="1" applyBorder="1" applyAlignment="1">
      <alignment horizontal="center"/>
    </xf>
    <xf numFmtId="0" fontId="57" fillId="46" borderId="1" xfId="0" applyFont="1" applyFill="1" applyBorder="1" applyAlignment="1">
      <alignment horizontal="center"/>
    </xf>
    <xf numFmtId="0" fontId="40" fillId="46" borderId="1" xfId="142" applyFont="1" applyFill="1" applyBorder="1" applyAlignment="1" applyProtection="1">
      <alignment horizontal="center" vertical="center" shrinkToFit="1"/>
    </xf>
    <xf numFmtId="0" fontId="22" fillId="46" borderId="22" xfId="0" applyFont="1" applyFill="1" applyBorder="1"/>
    <xf numFmtId="0" fontId="61" fillId="46" borderId="30" xfId="131" applyFont="1" applyFill="1" applyBorder="1" applyAlignment="1">
      <alignment horizontal="center"/>
    </xf>
    <xf numFmtId="0" fontId="64" fillId="46" borderId="30" xfId="131" applyFont="1" applyFill="1" applyBorder="1" applyAlignment="1">
      <alignment horizontal="center"/>
    </xf>
    <xf numFmtId="0" fontId="57" fillId="46" borderId="31" xfId="131" applyFont="1" applyFill="1" applyBorder="1" applyAlignment="1">
      <alignment horizontal="center"/>
    </xf>
    <xf numFmtId="0" fontId="22" fillId="46" borderId="19" xfId="0" applyFont="1" applyFill="1" applyBorder="1"/>
    <xf numFmtId="0" fontId="22" fillId="46" borderId="20" xfId="0" applyFont="1" applyFill="1" applyBorder="1"/>
    <xf numFmtId="0" fontId="61" fillId="46" borderId="26" xfId="131" applyFont="1" applyFill="1" applyBorder="1" applyAlignment="1">
      <alignment horizontal="center"/>
    </xf>
    <xf numFmtId="0" fontId="38" fillId="46" borderId="0" xfId="0" applyFont="1" applyFill="1" applyAlignment="1">
      <alignment horizontal="center" vertical="center"/>
    </xf>
    <xf numFmtId="0" fontId="49" fillId="46" borderId="0" xfId="0" applyFont="1" applyFill="1" applyAlignment="1">
      <alignment horizontal="center" vertical="center"/>
    </xf>
    <xf numFmtId="0" fontId="65" fillId="62" borderId="0" xfId="0" applyFont="1" applyFill="1" applyAlignment="1">
      <alignment horizontal="center" vertical="center"/>
    </xf>
    <xf numFmtId="0" fontId="57" fillId="46" borderId="29" xfId="0" applyFont="1" applyFill="1" applyBorder="1" applyAlignment="1">
      <alignment horizontal="center"/>
    </xf>
    <xf numFmtId="0" fontId="61" fillId="46" borderId="0" xfId="131" applyFont="1" applyFill="1" applyAlignment="1">
      <alignment horizontal="center"/>
    </xf>
    <xf numFmtId="0" fontId="22" fillId="46" borderId="32" xfId="0" applyFont="1" applyFill="1" applyBorder="1"/>
    <xf numFmtId="0" fontId="33" fillId="63" borderId="57" xfId="152" applyFont="1" applyFill="1" applyBorder="1" applyAlignment="1" applyProtection="1">
      <alignment horizontal="center" vertical="center" shrinkToFit="1"/>
    </xf>
    <xf numFmtId="0" fontId="22" fillId="46" borderId="23" xfId="0" applyFont="1" applyFill="1" applyBorder="1"/>
    <xf numFmtId="0" fontId="22" fillId="46" borderId="29" xfId="0" applyFont="1" applyFill="1" applyBorder="1"/>
    <xf numFmtId="0" fontId="56" fillId="46" borderId="29" xfId="0" applyFont="1" applyFill="1" applyBorder="1" applyAlignment="1">
      <alignment horizontal="center" vertical="center"/>
    </xf>
    <xf numFmtId="0" fontId="22" fillId="46" borderId="33" xfId="0" applyFont="1" applyFill="1" applyBorder="1"/>
    <xf numFmtId="0" fontId="22" fillId="46" borderId="34" xfId="0" applyFont="1" applyFill="1" applyBorder="1"/>
    <xf numFmtId="0" fontId="61" fillId="46" borderId="33" xfId="131" applyFont="1" applyFill="1" applyBorder="1" applyAlignment="1">
      <alignment horizontal="center"/>
    </xf>
    <xf numFmtId="0" fontId="57" fillId="46" borderId="30" xfId="0" applyFont="1" applyFill="1" applyBorder="1" applyAlignment="1">
      <alignment horizontal="center"/>
    </xf>
    <xf numFmtId="0" fontId="60" fillId="46" borderId="0" xfId="142" applyFont="1" applyFill="1" applyAlignment="1" applyProtection="1">
      <alignment horizontal="center" vertical="center" shrinkToFit="1"/>
    </xf>
    <xf numFmtId="0" fontId="58" fillId="46" borderId="0" xfId="131" applyFont="1" applyFill="1" applyAlignment="1">
      <alignment horizontal="center"/>
    </xf>
    <xf numFmtId="0" fontId="22" fillId="46" borderId="35" xfId="0" applyFont="1" applyFill="1" applyBorder="1"/>
    <xf numFmtId="0" fontId="66" fillId="46" borderId="0" xfId="0" applyFont="1" applyFill="1" applyAlignment="1">
      <alignment horizontal="center" vertical="center"/>
    </xf>
    <xf numFmtId="0" fontId="37" fillId="46" borderId="0" xfId="0" applyFont="1" applyFill="1" applyAlignment="1">
      <alignment horizontal="center" vertical="center"/>
    </xf>
    <xf numFmtId="0" fontId="38" fillId="46" borderId="19" xfId="0" applyFont="1" applyFill="1" applyBorder="1" applyAlignment="1">
      <alignment horizontal="center" vertical="center" wrapText="1"/>
    </xf>
    <xf numFmtId="0" fontId="38" fillId="46" borderId="21" xfId="0" applyFont="1" applyFill="1" applyBorder="1" applyAlignment="1">
      <alignment horizontal="center" vertical="center" wrapText="1"/>
    </xf>
    <xf numFmtId="0" fontId="38" fillId="46" borderId="24" xfId="0" applyFont="1" applyFill="1" applyBorder="1" applyAlignment="1">
      <alignment horizontal="center" vertical="center" wrapText="1"/>
    </xf>
    <xf numFmtId="0" fontId="38" fillId="46" borderId="25" xfId="0" applyFont="1" applyFill="1" applyBorder="1" applyAlignment="1">
      <alignment horizontal="center" vertical="center" wrapText="1"/>
    </xf>
    <xf numFmtId="0" fontId="39" fillId="35" borderId="0" xfId="0" applyFont="1" applyFill="1" applyAlignment="1">
      <alignment horizontal="center"/>
    </xf>
    <xf numFmtId="0" fontId="38" fillId="46" borderId="19" xfId="0" applyFont="1" applyFill="1" applyBorder="1" applyAlignment="1">
      <alignment horizontal="center" vertical="center"/>
    </xf>
    <xf numFmtId="0" fontId="38" fillId="46" borderId="20" xfId="0" applyFont="1" applyFill="1" applyBorder="1" applyAlignment="1">
      <alignment horizontal="center" vertical="center"/>
    </xf>
    <xf numFmtId="0" fontId="38" fillId="46" borderId="21" xfId="0" applyFont="1" applyFill="1" applyBorder="1" applyAlignment="1">
      <alignment horizontal="center" vertical="center"/>
    </xf>
    <xf numFmtId="0" fontId="38" fillId="46" borderId="22" xfId="0" applyFont="1" applyFill="1" applyBorder="1" applyAlignment="1">
      <alignment horizontal="center" vertical="center"/>
    </xf>
    <xf numFmtId="0" fontId="38" fillId="46" borderId="0" xfId="0" applyFont="1" applyFill="1" applyAlignment="1">
      <alignment horizontal="center" vertical="center"/>
    </xf>
    <xf numFmtId="0" fontId="38" fillId="46" borderId="23" xfId="0" applyFont="1" applyFill="1" applyBorder="1" applyAlignment="1">
      <alignment horizontal="center" vertical="center"/>
    </xf>
    <xf numFmtId="0" fontId="38" fillId="46" borderId="24" xfId="0" applyFont="1" applyFill="1" applyBorder="1" applyAlignment="1">
      <alignment horizontal="center" vertical="center"/>
    </xf>
    <xf numFmtId="0" fontId="38" fillId="46" borderId="18" xfId="0" applyFont="1" applyFill="1" applyBorder="1" applyAlignment="1">
      <alignment horizontal="center" vertical="center"/>
    </xf>
    <xf numFmtId="0" fontId="38" fillId="46" borderId="25" xfId="0" applyFont="1" applyFill="1" applyBorder="1" applyAlignment="1">
      <alignment horizontal="center" vertical="center"/>
    </xf>
    <xf numFmtId="0" fontId="55" fillId="50" borderId="17" xfId="0" applyFont="1" applyFill="1" applyBorder="1" applyAlignment="1">
      <alignment horizontal="center" vertical="center"/>
    </xf>
    <xf numFmtId="0" fontId="55" fillId="50" borderId="5" xfId="0" applyFont="1" applyFill="1" applyBorder="1" applyAlignment="1">
      <alignment horizontal="center" vertical="center"/>
    </xf>
    <xf numFmtId="0" fontId="22" fillId="46" borderId="19" xfId="0" applyFont="1" applyFill="1" applyBorder="1" applyAlignment="1">
      <alignment horizontal="center" vertical="center"/>
    </xf>
    <xf numFmtId="0" fontId="22" fillId="46" borderId="20" xfId="0" applyFont="1" applyFill="1" applyBorder="1" applyAlignment="1">
      <alignment horizontal="center" vertical="center"/>
    </xf>
    <xf numFmtId="0" fontId="22" fillId="46" borderId="21" xfId="0" applyFont="1" applyFill="1" applyBorder="1" applyAlignment="1">
      <alignment horizontal="center" vertical="center"/>
    </xf>
    <xf numFmtId="0" fontId="22" fillId="46" borderId="22" xfId="0" applyFont="1" applyFill="1" applyBorder="1" applyAlignment="1">
      <alignment horizontal="center" vertical="center"/>
    </xf>
    <xf numFmtId="0" fontId="22" fillId="46" borderId="0" xfId="0" applyFont="1" applyFill="1" applyAlignment="1">
      <alignment horizontal="center" vertical="center"/>
    </xf>
    <xf numFmtId="0" fontId="22" fillId="46" borderId="23" xfId="0" applyFont="1" applyFill="1" applyBorder="1" applyAlignment="1">
      <alignment horizontal="center" vertical="center"/>
    </xf>
    <xf numFmtId="0" fontId="22" fillId="46" borderId="24" xfId="0" applyFont="1" applyFill="1" applyBorder="1" applyAlignment="1">
      <alignment horizontal="center" vertical="center"/>
    </xf>
    <xf numFmtId="0" fontId="22" fillId="46" borderId="18" xfId="0" applyFont="1" applyFill="1" applyBorder="1" applyAlignment="1">
      <alignment horizontal="center" vertical="center"/>
    </xf>
    <xf numFmtId="0" fontId="22" fillId="46" borderId="25" xfId="0" applyFont="1" applyFill="1" applyBorder="1" applyAlignment="1">
      <alignment horizontal="center" vertical="center"/>
    </xf>
    <xf numFmtId="0" fontId="22" fillId="46" borderId="27" xfId="0" applyFont="1" applyFill="1" applyBorder="1" applyAlignment="1">
      <alignment horizontal="center"/>
    </xf>
    <xf numFmtId="0" fontId="39" fillId="35" borderId="0" xfId="0" applyFont="1" applyFill="1" applyAlignment="1">
      <alignment horizontal="center" vertical="center"/>
    </xf>
    <xf numFmtId="0" fontId="103" fillId="0" borderId="15" xfId="152" applyFont="1" applyBorder="1" applyAlignment="1" applyProtection="1">
      <alignment horizontal="left" vertical="center" shrinkToFit="1"/>
    </xf>
    <xf numFmtId="0" fontId="103" fillId="0" borderId="41" xfId="152" applyFont="1" applyBorder="1" applyAlignment="1" applyProtection="1">
      <alignment horizontal="left" vertical="center" shrinkToFit="1"/>
    </xf>
    <xf numFmtId="0" fontId="103" fillId="0" borderId="30" xfId="152" applyFont="1" applyBorder="1" applyAlignment="1" applyProtection="1">
      <alignment horizontal="left" vertical="center" shrinkToFit="1"/>
    </xf>
    <xf numFmtId="0" fontId="40" fillId="0" borderId="1" xfId="0" applyFont="1" applyBorder="1" applyAlignment="1">
      <alignment horizontal="left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4" fillId="0" borderId="17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40" fillId="0" borderId="54" xfId="0" applyFont="1" applyBorder="1" applyAlignment="1">
      <alignment horizontal="left" vertical="center" wrapText="1" shrinkToFit="1"/>
    </xf>
    <xf numFmtId="0" fontId="40" fillId="0" borderId="55" xfId="0" applyFont="1" applyBorder="1" applyAlignment="1">
      <alignment horizontal="left" vertical="center" wrapText="1" shrinkToFit="1"/>
    </xf>
    <xf numFmtId="0" fontId="40" fillId="0" borderId="56" xfId="0" applyFont="1" applyBorder="1" applyAlignment="1">
      <alignment horizontal="left" vertical="center" wrapText="1" shrinkToFit="1"/>
    </xf>
    <xf numFmtId="0" fontId="72" fillId="0" borderId="4" xfId="0" applyFont="1" applyBorder="1" applyAlignment="1" applyProtection="1">
      <alignment horizontal="center"/>
      <protection locked="0"/>
    </xf>
    <xf numFmtId="0" fontId="72" fillId="0" borderId="17" xfId="0" applyFont="1" applyBorder="1" applyAlignment="1" applyProtection="1">
      <alignment horizontal="center"/>
      <protection locked="0"/>
    </xf>
    <xf numFmtId="0" fontId="72" fillId="0" borderId="5" xfId="0" applyFont="1" applyBorder="1" applyAlignment="1" applyProtection="1">
      <alignment horizontal="center"/>
      <protection locked="0"/>
    </xf>
    <xf numFmtId="170" fontId="73" fillId="36" borderId="4" xfId="0" applyNumberFormat="1" applyFont="1" applyFill="1" applyBorder="1" applyAlignment="1">
      <alignment horizontal="center" vertical="center"/>
    </xf>
    <xf numFmtId="170" fontId="73" fillId="36" borderId="5" xfId="0" applyNumberFormat="1" applyFont="1" applyFill="1" applyBorder="1" applyAlignment="1">
      <alignment horizontal="center" vertical="center"/>
    </xf>
    <xf numFmtId="0" fontId="95" fillId="0" borderId="15" xfId="126" applyFont="1" applyBorder="1" applyAlignment="1">
      <alignment horizontal="left" shrinkToFit="1"/>
    </xf>
    <xf numFmtId="0" fontId="95" fillId="0" borderId="30" xfId="126" applyFont="1" applyBorder="1" applyAlignment="1">
      <alignment horizontal="left" shrinkToFit="1"/>
    </xf>
    <xf numFmtId="0" fontId="101" fillId="35" borderId="0" xfId="0" applyFont="1" applyFill="1" applyAlignment="1" applyProtection="1">
      <alignment horizontal="center" vertical="center"/>
      <protection locked="0"/>
    </xf>
    <xf numFmtId="0" fontId="38" fillId="86" borderId="4" xfId="0" applyFont="1" applyFill="1" applyBorder="1" applyAlignment="1">
      <alignment horizontal="center" vertical="center"/>
    </xf>
    <xf numFmtId="0" fontId="38" fillId="86" borderId="17" xfId="0" applyFont="1" applyFill="1" applyBorder="1" applyAlignment="1">
      <alignment horizontal="center" vertical="center"/>
    </xf>
    <xf numFmtId="0" fontId="38" fillId="86" borderId="5" xfId="0" applyFont="1" applyFill="1" applyBorder="1" applyAlignment="1">
      <alignment horizontal="center" vertical="center"/>
    </xf>
    <xf numFmtId="0" fontId="94" fillId="36" borderId="41" xfId="142" applyFont="1" applyFill="1" applyBorder="1" applyAlignment="1">
      <alignment horizontal="center" vertical="center" shrinkToFit="1"/>
      <protection locked="0"/>
    </xf>
    <xf numFmtId="0" fontId="94" fillId="36" borderId="30" xfId="142" applyFont="1" applyFill="1" applyBorder="1" applyAlignment="1">
      <alignment horizontal="center" vertical="center" shrinkToFit="1"/>
      <protection locked="0"/>
    </xf>
    <xf numFmtId="0" fontId="94" fillId="36" borderId="49" xfId="142" applyFont="1" applyFill="1" applyBorder="1" applyAlignment="1">
      <alignment horizontal="center" vertical="center" shrinkToFit="1"/>
      <protection locked="0"/>
    </xf>
    <xf numFmtId="0" fontId="94" fillId="36" borderId="50" xfId="142" applyFont="1" applyFill="1" applyBorder="1" applyAlignment="1">
      <alignment horizontal="center" vertical="center" shrinkToFit="1"/>
      <protection locked="0"/>
    </xf>
    <xf numFmtId="0" fontId="95" fillId="0" borderId="15" xfId="126" applyFont="1" applyBorder="1" applyAlignment="1" applyProtection="1">
      <alignment horizontal="left" shrinkToFit="1"/>
      <protection locked="0"/>
    </xf>
    <xf numFmtId="0" fontId="95" fillId="0" borderId="58" xfId="126" applyFont="1" applyBorder="1" applyAlignment="1" applyProtection="1">
      <alignment horizontal="left" shrinkToFit="1"/>
      <protection locked="0"/>
    </xf>
    <xf numFmtId="0" fontId="66" fillId="36" borderId="45" xfId="0" applyFont="1" applyFill="1" applyBorder="1" applyAlignment="1">
      <alignment horizontal="center" vertical="center"/>
    </xf>
    <xf numFmtId="0" fontId="66" fillId="36" borderId="46" xfId="0" applyFont="1" applyFill="1" applyBorder="1" applyAlignment="1">
      <alignment horizontal="center" vertical="center"/>
    </xf>
    <xf numFmtId="0" fontId="93" fillId="0" borderId="4" xfId="0" applyFont="1" applyBorder="1" applyAlignment="1" applyProtection="1">
      <alignment horizontal="center"/>
      <protection locked="0"/>
    </xf>
    <xf numFmtId="0" fontId="93" fillId="0" borderId="17" xfId="0" applyFont="1" applyBorder="1" applyAlignment="1" applyProtection="1">
      <alignment horizontal="center"/>
      <protection locked="0"/>
    </xf>
    <xf numFmtId="0" fontId="93" fillId="0" borderId="4" xfId="0" applyFont="1" applyBorder="1" applyAlignment="1" applyProtection="1">
      <alignment horizontal="center" vertical="center"/>
      <protection locked="0"/>
    </xf>
    <xf numFmtId="0" fontId="93" fillId="0" borderId="5" xfId="0" applyFont="1" applyBorder="1" applyAlignment="1" applyProtection="1">
      <alignment horizontal="center" vertical="center"/>
      <protection locked="0"/>
    </xf>
    <xf numFmtId="0" fontId="94" fillId="36" borderId="27" xfId="142" applyFont="1" applyFill="1" applyBorder="1" applyAlignment="1">
      <alignment horizontal="center" vertical="center" shrinkToFit="1"/>
      <protection locked="0"/>
    </xf>
    <xf numFmtId="0" fontId="94" fillId="36" borderId="0" xfId="142" applyFont="1" applyFill="1" applyAlignment="1">
      <alignment horizontal="center" vertical="center" shrinkToFit="1"/>
      <protection locked="0"/>
    </xf>
    <xf numFmtId="0" fontId="40" fillId="0" borderId="42" xfId="152" applyFont="1" applyBorder="1" applyAlignment="1">
      <alignment horizontal="left" vertical="center" shrinkToFit="1"/>
      <protection locked="0"/>
    </xf>
    <xf numFmtId="0" fontId="40" fillId="0" borderId="43" xfId="152" applyFont="1" applyBorder="1" applyAlignment="1">
      <alignment horizontal="left" vertical="center" shrinkToFit="1"/>
      <protection locked="0"/>
    </xf>
    <xf numFmtId="0" fontId="40" fillId="0" borderId="44" xfId="152" applyFont="1" applyBorder="1" applyAlignment="1">
      <alignment horizontal="left" vertical="center" shrinkToFit="1"/>
      <protection locked="0"/>
    </xf>
    <xf numFmtId="0" fontId="74" fillId="36" borderId="0" xfId="0" applyFont="1" applyFill="1" applyAlignment="1" applyProtection="1">
      <alignment horizontal="center" vertical="center"/>
      <protection locked="0"/>
    </xf>
    <xf numFmtId="0" fontId="92" fillId="35" borderId="0" xfId="0" applyFont="1" applyFill="1" applyAlignment="1" applyProtection="1">
      <alignment horizontal="center" vertical="center"/>
      <protection locked="0"/>
    </xf>
    <xf numFmtId="0" fontId="40" fillId="0" borderId="15" xfId="152" applyFont="1" applyBorder="1" applyAlignment="1">
      <alignment horizontal="left" vertical="center" shrinkToFit="1"/>
      <protection locked="0"/>
    </xf>
    <xf numFmtId="0" fontId="40" fillId="0" borderId="41" xfId="152" applyFont="1" applyBorder="1" applyAlignment="1">
      <alignment horizontal="left" vertical="center" shrinkToFit="1"/>
      <protection locked="0"/>
    </xf>
    <xf numFmtId="0" fontId="40" fillId="85" borderId="15" xfId="152" applyFont="1" applyFill="1" applyBorder="1" applyAlignment="1">
      <alignment horizontal="left" vertical="center" shrinkToFit="1"/>
      <protection locked="0"/>
    </xf>
    <xf numFmtId="0" fontId="40" fillId="85" borderId="41" xfId="152" applyFont="1" applyFill="1" applyBorder="1" applyAlignment="1">
      <alignment horizontal="left" vertical="center" shrinkToFit="1"/>
      <protection locked="0"/>
    </xf>
    <xf numFmtId="0" fontId="22" fillId="0" borderId="41" xfId="0" applyFont="1" applyBorder="1" applyAlignment="1">
      <alignment horizontal="left" vertical="center" shrinkToFit="1"/>
    </xf>
    <xf numFmtId="0" fontId="40" fillId="85" borderId="38" xfId="142" applyFont="1" applyFill="1" applyBorder="1" applyAlignment="1">
      <alignment horizontal="center" vertical="center" shrinkToFit="1"/>
      <protection locked="0"/>
    </xf>
    <xf numFmtId="0" fontId="40" fillId="85" borderId="39" xfId="142" applyFont="1" applyFill="1" applyBorder="1" applyAlignment="1">
      <alignment horizontal="center" vertical="center" shrinkToFit="1"/>
      <protection locked="0"/>
    </xf>
    <xf numFmtId="0" fontId="40" fillId="85" borderId="40" xfId="142" applyFont="1" applyFill="1" applyBorder="1" applyAlignment="1">
      <alignment horizontal="center" vertical="center" shrinkToFit="1"/>
      <protection locked="0"/>
    </xf>
    <xf numFmtId="0" fontId="75" fillId="35" borderId="4" xfId="0" applyFont="1" applyFill="1" applyBorder="1" applyAlignment="1" applyProtection="1">
      <alignment horizontal="center" vertical="center"/>
      <protection locked="0"/>
    </xf>
    <xf numFmtId="0" fontId="75" fillId="35" borderId="17" xfId="0" applyFont="1" applyFill="1" applyBorder="1" applyAlignment="1" applyProtection="1">
      <alignment horizontal="center" vertical="center"/>
      <protection locked="0"/>
    </xf>
    <xf numFmtId="0" fontId="75" fillId="35" borderId="5" xfId="0" applyFont="1" applyFill="1" applyBorder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63" fillId="0" borderId="36" xfId="0" applyFont="1" applyBorder="1" applyAlignment="1" applyProtection="1">
      <alignment horizontal="center"/>
      <protection locked="0"/>
    </xf>
    <xf numFmtId="0" fontId="63" fillId="0" borderId="37" xfId="0" applyFont="1" applyBorder="1" applyAlignment="1" applyProtection="1">
      <alignment horizontal="center"/>
      <protection locked="0"/>
    </xf>
    <xf numFmtId="0" fontId="71" fillId="35" borderId="0" xfId="0" applyFont="1" applyFill="1" applyAlignment="1" applyProtection="1">
      <alignment horizontal="center" vertical="center"/>
      <protection locked="0"/>
    </xf>
    <xf numFmtId="0" fontId="72" fillId="88" borderId="4" xfId="0" applyFont="1" applyFill="1" applyBorder="1" applyAlignment="1" applyProtection="1">
      <alignment horizontal="center" vertical="center"/>
      <protection locked="0"/>
    </xf>
    <xf numFmtId="0" fontId="72" fillId="88" borderId="17" xfId="0" applyFont="1" applyFill="1" applyBorder="1" applyAlignment="1" applyProtection="1">
      <alignment horizontal="center" vertical="center"/>
      <protection locked="0"/>
    </xf>
    <xf numFmtId="0" fontId="72" fillId="88" borderId="5" xfId="0" applyFont="1" applyFill="1" applyBorder="1" applyAlignment="1" applyProtection="1">
      <alignment horizontal="center" vertical="center"/>
      <protection locked="0"/>
    </xf>
    <xf numFmtId="0" fontId="72" fillId="35" borderId="4" xfId="0" applyFont="1" applyFill="1" applyBorder="1" applyAlignment="1" applyProtection="1">
      <alignment horizontal="center"/>
      <protection locked="0"/>
    </xf>
    <xf numFmtId="0" fontId="72" fillId="35" borderId="17" xfId="0" applyFont="1" applyFill="1" applyBorder="1" applyAlignment="1" applyProtection="1">
      <alignment horizontal="center"/>
      <protection locked="0"/>
    </xf>
    <xf numFmtId="0" fontId="72" fillId="35" borderId="5" xfId="0" applyFont="1" applyFill="1" applyBorder="1" applyAlignment="1" applyProtection="1">
      <alignment horizontal="center"/>
      <protection locked="0"/>
    </xf>
    <xf numFmtId="0" fontId="69" fillId="84" borderId="1" xfId="0" applyFont="1" applyFill="1" applyBorder="1" applyAlignment="1" applyProtection="1">
      <alignment horizontal="center" wrapText="1"/>
      <protection locked="0"/>
    </xf>
    <xf numFmtId="14" fontId="69" fillId="0" borderId="1" xfId="0" applyNumberFormat="1" applyFont="1" applyBorder="1" applyAlignment="1">
      <alignment horizontal="center" wrapText="1"/>
    </xf>
    <xf numFmtId="0" fontId="69" fillId="0" borderId="1" xfId="0" applyFont="1" applyBorder="1" applyAlignment="1" applyProtection="1">
      <alignment horizontal="center" wrapText="1"/>
      <protection locked="0"/>
    </xf>
    <xf numFmtId="0" fontId="38" fillId="35" borderId="19" xfId="0" applyFont="1" applyFill="1" applyBorder="1" applyAlignment="1">
      <alignment horizontal="center" vertical="center" wrapText="1"/>
    </xf>
    <xf numFmtId="0" fontId="38" fillId="35" borderId="21" xfId="0" applyFont="1" applyFill="1" applyBorder="1" applyAlignment="1">
      <alignment horizontal="center" vertical="center" wrapText="1"/>
    </xf>
    <xf numFmtId="0" fontId="38" fillId="35" borderId="24" xfId="0" applyFont="1" applyFill="1" applyBorder="1" applyAlignment="1">
      <alignment horizontal="center" vertical="center" wrapText="1"/>
    </xf>
    <xf numFmtId="0" fontId="38" fillId="35" borderId="25" xfId="0" applyFont="1" applyFill="1" applyBorder="1" applyAlignment="1">
      <alignment horizontal="center" vertical="center" wrapText="1"/>
    </xf>
    <xf numFmtId="0" fontId="38" fillId="35" borderId="19" xfId="0" applyFont="1" applyFill="1" applyBorder="1" applyAlignment="1">
      <alignment horizontal="center" vertical="center"/>
    </xf>
    <xf numFmtId="0" fontId="38" fillId="35" borderId="20" xfId="0" applyFont="1" applyFill="1" applyBorder="1" applyAlignment="1">
      <alignment horizontal="center" vertical="center"/>
    </xf>
    <xf numFmtId="0" fontId="38" fillId="35" borderId="21" xfId="0" applyFont="1" applyFill="1" applyBorder="1" applyAlignment="1">
      <alignment horizontal="center" vertical="center"/>
    </xf>
    <xf numFmtId="0" fontId="38" fillId="35" borderId="22" xfId="0" applyFont="1" applyFill="1" applyBorder="1" applyAlignment="1">
      <alignment horizontal="center" vertical="center"/>
    </xf>
    <xf numFmtId="0" fontId="38" fillId="35" borderId="0" xfId="0" applyFont="1" applyFill="1" applyAlignment="1">
      <alignment horizontal="center" vertical="center"/>
    </xf>
    <xf numFmtId="0" fontId="38" fillId="35" borderId="23" xfId="0" applyFont="1" applyFill="1" applyBorder="1" applyAlignment="1">
      <alignment horizontal="center" vertical="center"/>
    </xf>
    <xf numFmtId="0" fontId="38" fillId="35" borderId="24" xfId="0" applyFont="1" applyFill="1" applyBorder="1" applyAlignment="1">
      <alignment horizontal="center" vertical="center"/>
    </xf>
    <xf numFmtId="0" fontId="38" fillId="35" borderId="18" xfId="0" applyFont="1" applyFill="1" applyBorder="1" applyAlignment="1">
      <alignment horizontal="center" vertical="center"/>
    </xf>
    <xf numFmtId="0" fontId="38" fillId="35" borderId="25" xfId="0" applyFont="1" applyFill="1" applyBorder="1" applyAlignment="1">
      <alignment horizontal="center" vertical="center"/>
    </xf>
    <xf numFmtId="0" fontId="45" fillId="0" borderId="4" xfId="250" applyFont="1" applyBorder="1" applyAlignment="1" applyProtection="1">
      <alignment horizontal="center" vertical="top" shrinkToFit="1"/>
      <protection locked="0"/>
    </xf>
    <xf numFmtId="0" fontId="46" fillId="0" borderId="17" xfId="250" applyFont="1" applyBorder="1" applyAlignment="1" applyProtection="1">
      <alignment horizontal="center" vertical="top" shrinkToFit="1"/>
      <protection locked="0"/>
    </xf>
    <xf numFmtId="0" fontId="46" fillId="0" borderId="5" xfId="250" applyFont="1" applyBorder="1" applyAlignment="1" applyProtection="1">
      <alignment horizontal="center" vertical="top" shrinkToFit="1"/>
      <protection locked="0"/>
    </xf>
    <xf numFmtId="170" fontId="67" fillId="0" borderId="4" xfId="250" applyNumberFormat="1" applyFont="1" applyBorder="1" applyAlignment="1">
      <alignment horizontal="center" vertical="center" shrinkToFit="1"/>
    </xf>
    <xf numFmtId="170" fontId="67" fillId="0" borderId="17" xfId="250" applyNumberFormat="1" applyFont="1" applyBorder="1" applyAlignment="1">
      <alignment horizontal="center" vertical="center" shrinkToFit="1"/>
    </xf>
    <xf numFmtId="170" fontId="67" fillId="0" borderId="5" xfId="250" applyNumberFormat="1" applyFont="1" applyBorder="1" applyAlignment="1">
      <alignment horizontal="center" vertical="center" shrinkToFit="1"/>
    </xf>
    <xf numFmtId="0" fontId="68" fillId="43" borderId="1" xfId="0" applyFont="1" applyFill="1" applyBorder="1" applyAlignment="1" applyProtection="1">
      <alignment horizontal="center" vertical="center" wrapText="1"/>
      <protection locked="0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35" borderId="27" xfId="0" applyFont="1" applyFill="1" applyBorder="1" applyAlignment="1">
      <alignment horizontal="center"/>
    </xf>
    <xf numFmtId="173" fontId="55" fillId="50" borderId="17" xfId="0" applyNumberFormat="1" applyFont="1" applyFill="1" applyBorder="1" applyAlignment="1">
      <alignment horizontal="center" vertical="center"/>
    </xf>
    <xf numFmtId="173" fontId="55" fillId="50" borderId="5" xfId="0" applyNumberFormat="1" applyFont="1" applyFill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173" fontId="22" fillId="0" borderId="18" xfId="0" applyNumberFormat="1" applyFont="1" applyBorder="1"/>
    <xf numFmtId="173" fontId="22" fillId="46" borderId="19" xfId="0" applyNumberFormat="1" applyFont="1" applyFill="1" applyBorder="1" applyAlignment="1">
      <alignment horizontal="center" vertical="center"/>
    </xf>
    <xf numFmtId="173" fontId="22" fillId="46" borderId="20" xfId="0" applyNumberFormat="1" applyFont="1" applyFill="1" applyBorder="1" applyAlignment="1">
      <alignment horizontal="center" vertical="center"/>
    </xf>
    <xf numFmtId="173" fontId="22" fillId="46" borderId="21" xfId="0" applyNumberFormat="1" applyFont="1" applyFill="1" applyBorder="1" applyAlignment="1">
      <alignment horizontal="center" vertical="center"/>
    </xf>
    <xf numFmtId="173" fontId="0" fillId="46" borderId="0" xfId="0" applyNumberFormat="1" applyFill="1" applyAlignment="1">
      <alignment vertical="center"/>
    </xf>
    <xf numFmtId="173" fontId="22" fillId="46" borderId="22" xfId="0" applyNumberFormat="1" applyFont="1" applyFill="1" applyBorder="1" applyAlignment="1">
      <alignment horizontal="center" vertical="center"/>
    </xf>
    <xf numFmtId="173" fontId="22" fillId="46" borderId="0" xfId="0" applyNumberFormat="1" applyFont="1" applyFill="1" applyAlignment="1">
      <alignment horizontal="center" vertical="center"/>
    </xf>
    <xf numFmtId="173" fontId="22" fillId="46" borderId="23" xfId="0" applyNumberFormat="1" applyFont="1" applyFill="1" applyBorder="1" applyAlignment="1">
      <alignment horizontal="center" vertical="center"/>
    </xf>
    <xf numFmtId="173" fontId="22" fillId="0" borderId="22" xfId="0" applyNumberFormat="1" applyFont="1" applyBorder="1"/>
    <xf numFmtId="173" fontId="22" fillId="46" borderId="24" xfId="0" applyNumberFormat="1" applyFont="1" applyFill="1" applyBorder="1" applyAlignment="1">
      <alignment horizontal="center" vertical="center"/>
    </xf>
    <xf numFmtId="173" fontId="22" fillId="46" borderId="18" xfId="0" applyNumberFormat="1" applyFont="1" applyFill="1" applyBorder="1" applyAlignment="1">
      <alignment horizontal="center" vertical="center"/>
    </xf>
    <xf numFmtId="173" fontId="22" fillId="46" borderId="25" xfId="0" applyNumberFormat="1" applyFont="1" applyFill="1" applyBorder="1" applyAlignment="1">
      <alignment horizontal="center" vertical="center"/>
    </xf>
    <xf numFmtId="173" fontId="22" fillId="46" borderId="24" xfId="0" applyNumberFormat="1" applyFont="1" applyFill="1" applyBorder="1"/>
    <xf numFmtId="173" fontId="22" fillId="46" borderId="18" xfId="0" applyNumberFormat="1" applyFont="1" applyFill="1" applyBorder="1"/>
    <xf numFmtId="173" fontId="22" fillId="0" borderId="25" xfId="0" applyNumberFormat="1" applyFont="1" applyBorder="1"/>
    <xf numFmtId="173" fontId="56" fillId="52" borderId="23" xfId="0" applyNumberFormat="1" applyFont="1" applyFill="1" applyBorder="1" applyAlignment="1">
      <alignment horizontal="center" vertical="center"/>
    </xf>
    <xf numFmtId="173" fontId="57" fillId="52" borderId="26" xfId="131" applyNumberFormat="1" applyFont="1" applyFill="1" applyBorder="1" applyAlignment="1">
      <alignment horizontal="center"/>
    </xf>
    <xf numFmtId="173" fontId="22" fillId="52" borderId="26" xfId="0" applyNumberFormat="1" applyFont="1" applyFill="1" applyBorder="1"/>
    <xf numFmtId="173" fontId="57" fillId="46" borderId="1" xfId="131" applyNumberFormat="1" applyFont="1" applyFill="1" applyBorder="1" applyAlignment="1">
      <alignment horizontal="center"/>
    </xf>
    <xf numFmtId="173" fontId="22" fillId="46" borderId="27" xfId="0" applyNumberFormat="1" applyFont="1" applyFill="1" applyBorder="1" applyAlignment="1">
      <alignment horizontal="center"/>
    </xf>
    <xf numFmtId="173" fontId="58" fillId="46" borderId="1" xfId="131" applyNumberFormat="1" applyFont="1" applyFill="1" applyBorder="1" applyAlignment="1">
      <alignment horizontal="center"/>
    </xf>
    <xf numFmtId="173" fontId="59" fillId="46" borderId="1" xfId="131" applyNumberFormat="1" applyFont="1" applyFill="1" applyBorder="1" applyAlignment="1">
      <alignment horizontal="center"/>
    </xf>
    <xf numFmtId="173" fontId="22" fillId="46" borderId="0" xfId="0" applyNumberFormat="1" applyFont="1" applyFill="1"/>
    <xf numFmtId="173" fontId="56" fillId="46" borderId="1" xfId="0" applyNumberFormat="1" applyFont="1" applyFill="1" applyBorder="1" applyAlignment="1">
      <alignment horizontal="center" vertical="center"/>
    </xf>
    <xf numFmtId="173" fontId="60" fillId="61" borderId="1" xfId="142" applyNumberFormat="1" applyFont="1" applyFill="1" applyBorder="1" applyAlignment="1" applyProtection="1">
      <alignment horizontal="center" vertical="center" shrinkToFit="1"/>
    </xf>
    <xf numFmtId="173" fontId="60" fillId="61" borderId="15" xfId="142" applyNumberFormat="1" applyFont="1" applyFill="1" applyBorder="1" applyAlignment="1" applyProtection="1">
      <alignment horizontal="center" vertical="center" shrinkToFit="1"/>
    </xf>
    <xf numFmtId="173" fontId="57" fillId="46" borderId="0" xfId="131" applyNumberFormat="1" applyFont="1" applyFill="1" applyAlignment="1">
      <alignment horizontal="center"/>
    </xf>
    <xf numFmtId="173" fontId="61" fillId="46" borderId="1" xfId="131" applyNumberFormat="1" applyFont="1" applyFill="1" applyBorder="1" applyAlignment="1">
      <alignment horizontal="center"/>
    </xf>
    <xf numFmtId="173" fontId="61" fillId="46" borderId="28" xfId="131" applyNumberFormat="1" applyFont="1" applyFill="1" applyBorder="1" applyAlignment="1">
      <alignment horizontal="center"/>
    </xf>
    <xf numFmtId="173" fontId="62" fillId="46" borderId="1" xfId="0" applyNumberFormat="1" applyFont="1" applyFill="1" applyBorder="1" applyAlignment="1">
      <alignment horizontal="center"/>
    </xf>
    <xf numFmtId="173" fontId="56" fillId="46" borderId="0" xfId="0" applyNumberFormat="1" applyFont="1" applyFill="1" applyAlignment="1">
      <alignment horizontal="center" vertical="center"/>
    </xf>
    <xf numFmtId="173" fontId="61" fillId="46" borderId="29" xfId="131" applyNumberFormat="1" applyFont="1" applyFill="1" applyBorder="1" applyAlignment="1">
      <alignment horizontal="center"/>
    </xf>
    <xf numFmtId="173" fontId="57" fillId="46" borderId="1" xfId="0" applyNumberFormat="1" applyFont="1" applyFill="1" applyBorder="1" applyAlignment="1">
      <alignment horizontal="center"/>
    </xf>
    <xf numFmtId="173" fontId="38" fillId="0" borderId="0" xfId="0" applyNumberFormat="1" applyFont="1"/>
    <xf numFmtId="173" fontId="39" fillId="35" borderId="0" xfId="0" applyNumberFormat="1" applyFont="1" applyFill="1" applyAlignment="1">
      <alignment horizontal="center" vertical="center"/>
    </xf>
    <xf numFmtId="173" fontId="39" fillId="35" borderId="0" xfId="0" applyNumberFormat="1" applyFont="1" applyFill="1" applyAlignment="1">
      <alignment horizontal="center"/>
    </xf>
    <xf numFmtId="173" fontId="40" fillId="46" borderId="1" xfId="142" applyNumberFormat="1" applyFont="1" applyFill="1" applyBorder="1" applyAlignment="1" applyProtection="1">
      <alignment horizontal="center" vertical="center" shrinkToFit="1"/>
    </xf>
    <xf numFmtId="173" fontId="22" fillId="46" borderId="22" xfId="0" applyNumberFormat="1" applyFont="1" applyFill="1" applyBorder="1"/>
    <xf numFmtId="173" fontId="43" fillId="46" borderId="0" xfId="0" applyNumberFormat="1" applyFont="1" applyFill="1" applyAlignment="1">
      <alignment horizontal="center"/>
    </xf>
    <xf numFmtId="173" fontId="31" fillId="53" borderId="0" xfId="0" applyNumberFormat="1" applyFont="1" applyFill="1" applyAlignment="1">
      <alignment horizontal="center" vertical="center" shrinkToFit="1"/>
    </xf>
    <xf numFmtId="173" fontId="41" fillId="48" borderId="0" xfId="0" applyNumberFormat="1" applyFont="1" applyFill="1" applyAlignment="1">
      <alignment horizontal="center" vertical="center"/>
    </xf>
    <xf numFmtId="173" fontId="57" fillId="76" borderId="0" xfId="0" applyNumberFormat="1" applyFont="1" applyFill="1" applyAlignment="1">
      <alignment horizontal="center" vertical="center"/>
    </xf>
    <xf numFmtId="173" fontId="42" fillId="46" borderId="0" xfId="0" applyNumberFormat="1" applyFont="1" applyFill="1" applyAlignment="1">
      <alignment horizontal="right"/>
    </xf>
    <xf numFmtId="173" fontId="50" fillId="39" borderId="30" xfId="142" applyNumberFormat="1" applyFont="1" applyFill="1" applyBorder="1" applyAlignment="1" applyProtection="1">
      <alignment horizontal="center" vertical="center" shrinkToFit="1"/>
    </xf>
    <xf numFmtId="173" fontId="53" fillId="64" borderId="30" xfId="142" applyNumberFormat="1" applyFont="1" applyFill="1" applyBorder="1" applyAlignment="1" applyProtection="1">
      <alignment horizontal="center" vertical="center" shrinkToFit="1"/>
    </xf>
    <xf numFmtId="173" fontId="42" fillId="46" borderId="0" xfId="0" applyNumberFormat="1" applyFont="1" applyFill="1" applyAlignment="1">
      <alignment horizontal="left" vertical="center"/>
    </xf>
    <xf numFmtId="173" fontId="61" fillId="46" borderId="30" xfId="131" applyNumberFormat="1" applyFont="1" applyFill="1" applyBorder="1" applyAlignment="1">
      <alignment horizontal="center"/>
    </xf>
    <xf numFmtId="173" fontId="36" fillId="40" borderId="30" xfId="142" applyNumberFormat="1" applyFont="1" applyFill="1" applyBorder="1" applyAlignment="1" applyProtection="1">
      <alignment horizontal="center" vertical="center" shrinkToFit="1"/>
    </xf>
    <xf numFmtId="173" fontId="53" fillId="66" borderId="1" xfId="142" applyNumberFormat="1" applyFont="1" applyFill="1" applyBorder="1" applyAlignment="1" applyProtection="1">
      <alignment horizontal="center" vertical="center" shrinkToFit="1"/>
    </xf>
    <xf numFmtId="173" fontId="64" fillId="46" borderId="30" xfId="131" applyNumberFormat="1" applyFont="1" applyFill="1" applyBorder="1" applyAlignment="1">
      <alignment horizontal="center"/>
    </xf>
    <xf numFmtId="173" fontId="57" fillId="46" borderId="31" xfId="131" applyNumberFormat="1" applyFont="1" applyFill="1" applyBorder="1" applyAlignment="1">
      <alignment horizontal="center"/>
    </xf>
    <xf numFmtId="173" fontId="22" fillId="46" borderId="19" xfId="0" applyNumberFormat="1" applyFont="1" applyFill="1" applyBorder="1"/>
    <xf numFmtId="173" fontId="22" fillId="46" borderId="20" xfId="0" applyNumberFormat="1" applyFont="1" applyFill="1" applyBorder="1"/>
    <xf numFmtId="173" fontId="38" fillId="46" borderId="19" xfId="0" applyNumberFormat="1" applyFont="1" applyFill="1" applyBorder="1" applyAlignment="1">
      <alignment horizontal="center" vertical="center" wrapText="1"/>
    </xf>
    <xf numFmtId="173" fontId="38" fillId="46" borderId="21" xfId="0" applyNumberFormat="1" applyFont="1" applyFill="1" applyBorder="1" applyAlignment="1">
      <alignment horizontal="center" vertical="center" wrapText="1"/>
    </xf>
    <xf numFmtId="173" fontId="61" fillId="46" borderId="26" xfId="131" applyNumberFormat="1" applyFont="1" applyFill="1" applyBorder="1" applyAlignment="1">
      <alignment horizontal="center"/>
    </xf>
    <xf numFmtId="173" fontId="38" fillId="46" borderId="24" xfId="0" applyNumberFormat="1" applyFont="1" applyFill="1" applyBorder="1" applyAlignment="1">
      <alignment horizontal="center" vertical="center" wrapText="1"/>
    </xf>
    <xf numFmtId="173" fontId="38" fillId="46" borderId="25" xfId="0" applyNumberFormat="1" applyFont="1" applyFill="1" applyBorder="1" applyAlignment="1">
      <alignment horizontal="center" vertical="center" wrapText="1"/>
    </xf>
    <xf numFmtId="173" fontId="38" fillId="46" borderId="0" xfId="0" applyNumberFormat="1" applyFont="1" applyFill="1" applyAlignment="1">
      <alignment horizontal="center" vertical="center"/>
    </xf>
    <xf numFmtId="173" fontId="49" fillId="46" borderId="0" xfId="0" applyNumberFormat="1" applyFont="1" applyFill="1" applyAlignment="1">
      <alignment horizontal="center" vertical="center"/>
    </xf>
    <xf numFmtId="173" fontId="65" fillId="62" borderId="0" xfId="0" applyNumberFormat="1" applyFont="1" applyFill="1" applyAlignment="1">
      <alignment horizontal="center" vertical="center"/>
    </xf>
    <xf numFmtId="173" fontId="44" fillId="46" borderId="0" xfId="0" applyNumberFormat="1" applyFont="1" applyFill="1" applyAlignment="1">
      <alignment horizontal="center" vertical="center"/>
    </xf>
    <xf numFmtId="173" fontId="56" fillId="52" borderId="0" xfId="0" applyNumberFormat="1" applyFont="1" applyFill="1" applyAlignment="1">
      <alignment horizontal="center" vertical="center"/>
    </xf>
    <xf numFmtId="173" fontId="57" fillId="46" borderId="29" xfId="0" applyNumberFormat="1" applyFont="1" applyFill="1" applyBorder="1" applyAlignment="1">
      <alignment horizontal="center"/>
    </xf>
    <xf numFmtId="173" fontId="61" fillId="46" borderId="0" xfId="131" applyNumberFormat="1" applyFont="1" applyFill="1" applyAlignment="1">
      <alignment horizontal="center"/>
    </xf>
    <xf numFmtId="173" fontId="22" fillId="46" borderId="32" xfId="0" applyNumberFormat="1" applyFont="1" applyFill="1" applyBorder="1"/>
    <xf numFmtId="173" fontId="33" fillId="63" borderId="57" xfId="152" applyNumberFormat="1" applyFont="1" applyFill="1" applyBorder="1" applyAlignment="1" applyProtection="1">
      <alignment horizontal="center" vertical="center" shrinkToFit="1"/>
    </xf>
    <xf numFmtId="173" fontId="40" fillId="83" borderId="0" xfId="0" applyNumberFormat="1" applyFont="1" applyFill="1" applyAlignment="1">
      <alignment horizontal="center" vertical="center" shrinkToFit="1"/>
    </xf>
    <xf numFmtId="173" fontId="38" fillId="35" borderId="0" xfId="0" applyNumberFormat="1" applyFont="1" applyFill="1" applyAlignment="1">
      <alignment horizontal="center" vertical="center"/>
    </xf>
    <xf numFmtId="173" fontId="63" fillId="71" borderId="0" xfId="0" applyNumberFormat="1" applyFont="1" applyFill="1" applyAlignment="1">
      <alignment horizontal="center" vertical="center"/>
    </xf>
    <xf numFmtId="173" fontId="35" fillId="49" borderId="30" xfId="142" applyNumberFormat="1" applyFont="1" applyFill="1" applyBorder="1" applyAlignment="1" applyProtection="1">
      <alignment horizontal="center" vertical="center" shrinkToFit="1"/>
    </xf>
    <xf numFmtId="173" fontId="35" fillId="47" borderId="30" xfId="142" applyNumberFormat="1" applyFont="1" applyFill="1" applyBorder="1" applyAlignment="1" applyProtection="1">
      <alignment horizontal="center" vertical="center" shrinkToFit="1"/>
    </xf>
    <xf numFmtId="173" fontId="22" fillId="46" borderId="23" xfId="0" applyNumberFormat="1" applyFont="1" applyFill="1" applyBorder="1"/>
    <xf numFmtId="173" fontId="22" fillId="46" borderId="29" xfId="0" applyNumberFormat="1" applyFont="1" applyFill="1" applyBorder="1"/>
    <xf numFmtId="173" fontId="56" fillId="46" borderId="29" xfId="0" applyNumberFormat="1" applyFont="1" applyFill="1" applyBorder="1" applyAlignment="1">
      <alignment horizontal="center" vertical="center"/>
    </xf>
    <xf numFmtId="173" fontId="22" fillId="46" borderId="33" xfId="0" applyNumberFormat="1" applyFont="1" applyFill="1" applyBorder="1"/>
    <xf numFmtId="173" fontId="22" fillId="46" borderId="34" xfId="0" applyNumberFormat="1" applyFont="1" applyFill="1" applyBorder="1"/>
    <xf numFmtId="173" fontId="61" fillId="46" borderId="33" xfId="131" applyNumberFormat="1" applyFont="1" applyFill="1" applyBorder="1" applyAlignment="1">
      <alignment horizontal="center"/>
    </xf>
    <xf numFmtId="173" fontId="57" fillId="46" borderId="30" xfId="0" applyNumberFormat="1" applyFont="1" applyFill="1" applyBorder="1" applyAlignment="1">
      <alignment horizontal="center"/>
    </xf>
    <xf numFmtId="173" fontId="60" fillId="46" borderId="0" xfId="142" applyNumberFormat="1" applyFont="1" applyFill="1" applyAlignment="1" applyProtection="1">
      <alignment horizontal="center" vertical="center" shrinkToFit="1"/>
    </xf>
    <xf numFmtId="173" fontId="58" fillId="46" borderId="0" xfId="131" applyNumberFormat="1" applyFont="1" applyFill="1" applyAlignment="1">
      <alignment horizontal="center"/>
    </xf>
    <xf numFmtId="173" fontId="22" fillId="46" borderId="35" xfId="0" applyNumberFormat="1" applyFont="1" applyFill="1" applyBorder="1"/>
    <xf numFmtId="173" fontId="38" fillId="46" borderId="0" xfId="0" applyNumberFormat="1" applyFont="1" applyFill="1"/>
    <xf numFmtId="173" fontId="66" fillId="46" borderId="0" xfId="0" applyNumberFormat="1" applyFont="1" applyFill="1" applyAlignment="1">
      <alignment horizontal="center" vertical="center"/>
    </xf>
    <xf numFmtId="173" fontId="37" fillId="46" borderId="0" xfId="0" applyNumberFormat="1" applyFont="1" applyFill="1" applyAlignment="1">
      <alignment horizontal="center" vertical="center"/>
    </xf>
    <xf numFmtId="173" fontId="22" fillId="0" borderId="20" xfId="0" applyNumberFormat="1" applyFont="1" applyBorder="1"/>
    <xf numFmtId="173" fontId="38" fillId="46" borderId="19" xfId="0" applyNumberFormat="1" applyFont="1" applyFill="1" applyBorder="1" applyAlignment="1">
      <alignment horizontal="center" vertical="center"/>
    </xf>
    <xf numFmtId="173" fontId="38" fillId="46" borderId="20" xfId="0" applyNumberFormat="1" applyFont="1" applyFill="1" applyBorder="1" applyAlignment="1">
      <alignment horizontal="center" vertical="center"/>
    </xf>
    <xf numFmtId="173" fontId="38" fillId="46" borderId="21" xfId="0" applyNumberFormat="1" applyFont="1" applyFill="1" applyBorder="1" applyAlignment="1">
      <alignment horizontal="center" vertical="center"/>
    </xf>
    <xf numFmtId="173" fontId="38" fillId="46" borderId="22" xfId="0" applyNumberFormat="1" applyFont="1" applyFill="1" applyBorder="1" applyAlignment="1">
      <alignment horizontal="center" vertical="center"/>
    </xf>
    <xf numFmtId="173" fontId="38" fillId="46" borderId="0" xfId="0" applyNumberFormat="1" applyFont="1" applyFill="1" applyAlignment="1">
      <alignment horizontal="center" vertical="center"/>
    </xf>
    <xf numFmtId="173" fontId="38" fillId="46" borderId="23" xfId="0" applyNumberFormat="1" applyFont="1" applyFill="1" applyBorder="1" applyAlignment="1">
      <alignment horizontal="center" vertical="center"/>
    </xf>
    <xf numFmtId="173" fontId="38" fillId="46" borderId="24" xfId="0" applyNumberFormat="1" applyFont="1" applyFill="1" applyBorder="1" applyAlignment="1">
      <alignment horizontal="center" vertical="center"/>
    </xf>
    <xf numFmtId="173" fontId="38" fillId="46" borderId="18" xfId="0" applyNumberFormat="1" applyFont="1" applyFill="1" applyBorder="1" applyAlignment="1">
      <alignment horizontal="center" vertical="center"/>
    </xf>
    <xf numFmtId="173" fontId="38" fillId="46" borderId="25" xfId="0" applyNumberFormat="1" applyFont="1" applyFill="1" applyBorder="1" applyAlignment="1">
      <alignment horizontal="center" vertical="center"/>
    </xf>
  </cellXfs>
  <cellStyles count="30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2 2 2 2" xfId="252" xr:uid="{2898F06F-6F80-4BC5-9FC3-E8749FE2E763}"/>
    <cellStyle name="Millares 2 2 3" xfId="251" xr:uid="{1F042CDD-3541-4AA5-AB30-6E8C8ADCC6B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2 2 2" xfId="255" xr:uid="{0A03FF1B-8E6B-479A-B606-D2D37622752F}"/>
    <cellStyle name="Millares 3 2 3" xfId="254" xr:uid="{6B9E915A-CB02-471C-8B33-79D519FE182D}"/>
    <cellStyle name="Millares 3 3" xfId="44" xr:uid="{00000000-0005-0000-0000-00002B000000}"/>
    <cellStyle name="Millares 3 3 2" xfId="45" xr:uid="{00000000-0005-0000-0000-00002C000000}"/>
    <cellStyle name="Millares 3 3 2 2" xfId="257" xr:uid="{18283BA4-5F30-41D4-92FD-EF0CC8556425}"/>
    <cellStyle name="Millares 3 3 3" xfId="256" xr:uid="{A6044D43-F79D-4746-BA7E-109D666887EF}"/>
    <cellStyle name="Millares 3 4" xfId="46" xr:uid="{00000000-0005-0000-0000-00002D000000}"/>
    <cellStyle name="Millares 3 4 2" xfId="258" xr:uid="{71F11E6D-963C-4757-9C63-8550D3E2166C}"/>
    <cellStyle name="Millares 3 5" xfId="47" xr:uid="{00000000-0005-0000-0000-00002E000000}"/>
    <cellStyle name="Millares 3 5 2" xfId="259" xr:uid="{2589424A-2D4C-4E0B-B81E-2926945F5FC0}"/>
    <cellStyle name="Millares 3 6" xfId="253" xr:uid="{794F2A80-9D84-47F4-BA52-774155E47F7A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2 2 2" xfId="262" xr:uid="{D1EB551B-BF9B-4FBE-8D92-2EA8756F6BC3}"/>
    <cellStyle name="Millares 4 2 3" xfId="261" xr:uid="{77B10F2C-1D6A-40F6-841D-B413BDD589F7}"/>
    <cellStyle name="Millares 4 3" xfId="51" xr:uid="{00000000-0005-0000-0000-000032000000}"/>
    <cellStyle name="Millares 4 3 2" xfId="52" xr:uid="{00000000-0005-0000-0000-000033000000}"/>
    <cellStyle name="Millares 4 3 2 2" xfId="264" xr:uid="{FA02CA6B-51A9-4C9E-B26B-B60E8EF2EF8E}"/>
    <cellStyle name="Millares 4 3 3" xfId="263" xr:uid="{06281D07-AF57-4BE1-B9EA-BBFD55ECEC17}"/>
    <cellStyle name="Millares 4 4" xfId="53" xr:uid="{00000000-0005-0000-0000-000034000000}"/>
    <cellStyle name="Millares 4 4 2" xfId="265" xr:uid="{13F8810F-B19C-460D-846F-E8B1EC7C1F8D}"/>
    <cellStyle name="Millares 4 5" xfId="260" xr:uid="{2B610136-7349-41A1-9DD9-BADED9B56D28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2 2" xfId="269" xr:uid="{0BEBB4E4-3ADA-4B93-B3D6-A5065F411386}"/>
    <cellStyle name="Millares 5 2 2 2 2 3" xfId="60" xr:uid="{00000000-0005-0000-0000-00003B000000}"/>
    <cellStyle name="Millares 5 2 2 2 2 3 2" xfId="270" xr:uid="{35A011B8-AA83-4E5B-A42B-ACFAA0B9C362}"/>
    <cellStyle name="Millares 5 2 2 2 2 4" xfId="61" xr:uid="{00000000-0005-0000-0000-00003C000000}"/>
    <cellStyle name="Millares 5 2 2 2 2 4 2" xfId="271" xr:uid="{57CEB9F6-5CC0-4220-BBED-DB279429A6E0}"/>
    <cellStyle name="Millares 5 2 2 2 2 5" xfId="268" xr:uid="{E82FDB47-239B-4854-BA24-BD5F9B694C7D}"/>
    <cellStyle name="Millares 5 2 2 2 3" xfId="62" xr:uid="{00000000-0005-0000-0000-00003D000000}"/>
    <cellStyle name="Millares 5 2 2 2 3 2" xfId="272" xr:uid="{3A5DBE8B-14FA-4300-9676-4A3F0E71018F}"/>
    <cellStyle name="Millares 5 2 2 2 4" xfId="63" xr:uid="{00000000-0005-0000-0000-00003E000000}"/>
    <cellStyle name="Millares 5 2 2 2 4 2" xfId="273" xr:uid="{65D3098F-9DFC-4CFD-974D-11C25DF8E811}"/>
    <cellStyle name="Millares 5 2 2 2 5" xfId="267" xr:uid="{F90C03D1-FBB4-4334-9296-E6C4AB0826DE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2 2" xfId="275" xr:uid="{7EC95322-A9A7-452D-9E86-AAE7BE876BDC}"/>
    <cellStyle name="Millares 5 2 2 4 3" xfId="73" xr:uid="{00000000-0005-0000-0000-000048000000}"/>
    <cellStyle name="Millares 5 2 2 4 3 2" xfId="276" xr:uid="{795CEB31-73F3-4CDF-8D98-54C004359CF6}"/>
    <cellStyle name="Millares 5 2 2 4 4" xfId="74" xr:uid="{00000000-0005-0000-0000-000049000000}"/>
    <cellStyle name="Millares 5 2 2 4 4 2" xfId="277" xr:uid="{B8F1AFC3-2047-4649-83BC-F71D8B0EFDE4}"/>
    <cellStyle name="Millares 5 2 2 4 5" xfId="274" xr:uid="{A304635B-E93B-417A-81F5-656939F03AE0}"/>
    <cellStyle name="Millares 5 2 2 5" xfId="75" xr:uid="{00000000-0005-0000-0000-00004A000000}"/>
    <cellStyle name="Millares 5 2 2 6" xfId="76" xr:uid="{00000000-0005-0000-0000-00004B000000}"/>
    <cellStyle name="Millares 5 2 2 6 2" xfId="278" xr:uid="{AEB05A53-5CD6-4BEC-8E96-74B2BC40569F}"/>
    <cellStyle name="Millares 5 2 3" xfId="77" xr:uid="{00000000-0005-0000-0000-00004C000000}"/>
    <cellStyle name="Millares 5 2 3 2" xfId="279" xr:uid="{2B18D4BB-A092-4274-B9AF-639F1DA54931}"/>
    <cellStyle name="Millares 5 2 4" xfId="266" xr:uid="{2C4C75C3-5559-4A8F-963E-16794123DC0D}"/>
    <cellStyle name="Millares 5 3" xfId="78" xr:uid="{00000000-0005-0000-0000-00004D000000}"/>
    <cellStyle name="Millares 5 3 2" xfId="280" xr:uid="{8E836807-B35B-42B6-A1F4-BC6EBFAB2223}"/>
    <cellStyle name="Millares 5 4" xfId="79" xr:uid="{00000000-0005-0000-0000-00004E000000}"/>
    <cellStyle name="Millares 5 4 2" xfId="281" xr:uid="{C702E666-DE57-4367-B870-7F11C7597008}"/>
    <cellStyle name="Millares 6" xfId="80" xr:uid="{00000000-0005-0000-0000-00004F000000}"/>
    <cellStyle name="Millares 6 2" xfId="81" xr:uid="{00000000-0005-0000-0000-000050000000}"/>
    <cellStyle name="Millares 6 2 2" xfId="283" xr:uid="{A7FA85B0-D14B-4037-AAD0-BB18C2444637}"/>
    <cellStyle name="Millares 6 3" xfId="282" xr:uid="{5BE6A8F3-8A30-4F99-8E05-7A759FE5705F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2 2" xfId="287" xr:uid="{6D360F54-A484-48DB-B99C-2E8D661B0C9A}"/>
    <cellStyle name="Moneda 2 2 2 3" xfId="86" xr:uid="{00000000-0005-0000-0000-000055000000}"/>
    <cellStyle name="Moneda 2 2 2 3 2" xfId="288" xr:uid="{132FBA0A-C3A6-48CD-8DE7-C4A3E7E0BA20}"/>
    <cellStyle name="Moneda 2 2 2 4" xfId="87" xr:uid="{00000000-0005-0000-0000-000056000000}"/>
    <cellStyle name="Moneda 2 2 2 4 2" xfId="289" xr:uid="{698DD3D3-488D-4BE8-A4D5-8A6566AB7B31}"/>
    <cellStyle name="Moneda 2 2 2 5" xfId="286" xr:uid="{00B4C101-30A5-46CD-A8A6-FF5C6505DB86}"/>
    <cellStyle name="Moneda 2 2 3" xfId="88" xr:uid="{00000000-0005-0000-0000-000057000000}"/>
    <cellStyle name="Moneda 2 2 3 2" xfId="290" xr:uid="{25D4DB8D-895D-4DC3-B95A-76FABA9EEC52}"/>
    <cellStyle name="Moneda 2 2 4" xfId="89" xr:uid="{00000000-0005-0000-0000-000058000000}"/>
    <cellStyle name="Moneda 2 2 4 2" xfId="291" xr:uid="{E5DD3920-B6FF-47D9-A420-C324C175C0D5}"/>
    <cellStyle name="Moneda 2 2 5" xfId="285" xr:uid="{6786AB93-143E-41FB-8CD2-492DD11A78CB}"/>
    <cellStyle name="Moneda 2 3" xfId="90" xr:uid="{00000000-0005-0000-0000-000059000000}"/>
    <cellStyle name="Moneda 2 3 2" xfId="292" xr:uid="{C2CA2DA0-B86C-4807-BDEE-BC345A2A2BB0}"/>
    <cellStyle name="Moneda 2 4" xfId="91" xr:uid="{00000000-0005-0000-0000-00005A000000}"/>
    <cellStyle name="Moneda 2 4 2" xfId="92" xr:uid="{00000000-0005-0000-0000-00005B000000}"/>
    <cellStyle name="Moneda 2 4 2 2" xfId="294" xr:uid="{0B189762-5910-4DAA-AD73-64A8F7D70ED4}"/>
    <cellStyle name="Moneda 2 4 3" xfId="93" xr:uid="{00000000-0005-0000-0000-00005C000000}"/>
    <cellStyle name="Moneda 2 4 3 2" xfId="295" xr:uid="{382AFDF3-3D64-452B-8113-18FF347611B3}"/>
    <cellStyle name="Moneda 2 4 4" xfId="94" xr:uid="{00000000-0005-0000-0000-00005D000000}"/>
    <cellStyle name="Moneda 2 4 4 2" xfId="296" xr:uid="{7A6092D6-18D1-4992-9064-ABC6052FE7F3}"/>
    <cellStyle name="Moneda 2 4 5" xfId="293" xr:uid="{770093ED-8BB8-43BC-A6B6-CBBAAC6EAC36}"/>
    <cellStyle name="Moneda 2 5" xfId="95" xr:uid="{00000000-0005-0000-0000-00005E000000}"/>
    <cellStyle name="Moneda 2 5 2" xfId="297" xr:uid="{069B42C6-0D26-469C-9004-3EFA8EA167FC}"/>
    <cellStyle name="Moneda 2 6" xfId="96" xr:uid="{00000000-0005-0000-0000-00005F000000}"/>
    <cellStyle name="Moneda 2 6 2" xfId="298" xr:uid="{1A2C7727-35C2-4484-A3C5-2DC03CC5983D}"/>
    <cellStyle name="Moneda 2 7" xfId="284" xr:uid="{18160AEF-9990-493E-88DE-F6D4C3BDF57C}"/>
    <cellStyle name="Moneda 3" xfId="97" xr:uid="{00000000-0005-0000-0000-000060000000}"/>
    <cellStyle name="Moneda 3 2" xfId="98" xr:uid="{00000000-0005-0000-0000-000061000000}"/>
    <cellStyle name="Moneda 3 2 2" xfId="300" xr:uid="{9B88B3F3-900E-476F-BBCB-6023B9AB729A}"/>
    <cellStyle name="Moneda 3 3" xfId="99" xr:uid="{00000000-0005-0000-0000-000062000000}"/>
    <cellStyle name="Moneda 3 3 2" xfId="301" xr:uid="{42AA868E-9842-4C3A-969E-DC9D0F30DF4E}"/>
    <cellStyle name="Moneda 3 4" xfId="100" xr:uid="{00000000-0005-0000-0000-000063000000}"/>
    <cellStyle name="Moneda 3 4 2" xfId="302" xr:uid="{6BF39C75-7BA9-46D1-A268-DD30BF5D5734}"/>
    <cellStyle name="Moneda 3 5" xfId="299" xr:uid="{9AE2A840-48CD-44B1-9C15-17B57C34551A}"/>
    <cellStyle name="Moneda 4" xfId="101" xr:uid="{00000000-0005-0000-0000-000064000000}"/>
    <cellStyle name="Moneda 4 2" xfId="303" xr:uid="{670FA7D1-413F-4743-88E1-B0DC352A45D5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0" xr:uid="{7B094651-2B7E-422D-A120-71DFD5DD7599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56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559252</xdr:colOff>
      <xdr:row>43</xdr:row>
      <xdr:rowOff>170089</xdr:rowOff>
    </xdr:from>
    <xdr:to>
      <xdr:col>47</xdr:col>
      <xdr:colOff>219075</xdr:colOff>
      <xdr:row>51</xdr:row>
      <xdr:rowOff>116351</xdr:rowOff>
    </xdr:to>
    <xdr:pic>
      <xdr:nvPicPr>
        <xdr:cNvPr id="2" name="10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3952" y="10266589"/>
          <a:ext cx="1460048" cy="1470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71437</xdr:colOff>
      <xdr:row>41</xdr:row>
      <xdr:rowOff>71439</xdr:rowOff>
    </xdr:from>
    <xdr:to>
      <xdr:col>46</xdr:col>
      <xdr:colOff>471488</xdr:colOff>
      <xdr:row>43</xdr:row>
      <xdr:rowOff>114301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9106137" y="9767889"/>
          <a:ext cx="2628901" cy="44291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5</xdr:col>
      <xdr:colOff>207508</xdr:colOff>
      <xdr:row>34</xdr:row>
      <xdr:rowOff>6802</xdr:rowOff>
    </xdr:from>
    <xdr:to>
      <xdr:col>9</xdr:col>
      <xdr:colOff>755195</xdr:colOff>
      <xdr:row>35</xdr:row>
      <xdr:rowOff>210909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5779633" y="7950652"/>
          <a:ext cx="5005387" cy="49938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 editAs="oneCell">
    <xdr:from>
      <xdr:col>6</xdr:col>
      <xdr:colOff>581212</xdr:colOff>
      <xdr:row>36</xdr:row>
      <xdr:rowOff>88034</xdr:rowOff>
    </xdr:from>
    <xdr:to>
      <xdr:col>10</xdr:col>
      <xdr:colOff>42861</xdr:colOff>
      <xdr:row>47</xdr:row>
      <xdr:rowOff>153080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267762" y="8622434"/>
          <a:ext cx="1861949" cy="2160547"/>
        </a:xfrm>
        <a:prstGeom prst="rect">
          <a:avLst/>
        </a:prstGeom>
      </xdr:spPr>
    </xdr:pic>
    <xdr:clientData/>
  </xdr:twoCellAnchor>
  <xdr:twoCellAnchor>
    <xdr:from>
      <xdr:col>44</xdr:col>
      <xdr:colOff>558800</xdr:colOff>
      <xdr:row>43</xdr:row>
      <xdr:rowOff>164864</xdr:rowOff>
    </xdr:from>
    <xdr:to>
      <xdr:col>45</xdr:col>
      <xdr:colOff>903767</xdr:colOff>
      <xdr:row>51</xdr:row>
      <xdr:rowOff>0</xdr:rowOff>
    </xdr:to>
    <xdr:pic>
      <xdr:nvPicPr>
        <xdr:cNvPr id="6" name="10 Imagen" descr=" ">
          <a:extLst>
            <a:ext uri="{FF2B5EF4-FFF2-40B4-BE49-F238E27FC236}">
              <a16:creationId xmlns:a16="http://schemas.microsoft.com/office/drawing/2014/main" id="{5D90AF4D-3598-4E2B-820D-F67B0FECA9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7498000" y="10032764"/>
          <a:ext cx="1411767" cy="144486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44</xdr:col>
      <xdr:colOff>70883</xdr:colOff>
      <xdr:row>41</xdr:row>
      <xdr:rowOff>63289</xdr:rowOff>
    </xdr:from>
    <xdr:to>
      <xdr:col>46</xdr:col>
      <xdr:colOff>471376</xdr:colOff>
      <xdr:row>43</xdr:row>
      <xdr:rowOff>114076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CCF34B91-9416-4B8A-B338-210C113EE3CF}"/>
            </a:ext>
          </a:extLst>
        </xdr:cNvPr>
        <xdr:cNvSpPr/>
      </xdr:nvSpPr>
      <xdr:spPr>
        <a:xfrm>
          <a:off x="47010083" y="9531139"/>
          <a:ext cx="2534093" cy="4508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5</xdr:col>
      <xdr:colOff>206744</xdr:colOff>
      <xdr:row>34</xdr:row>
      <xdr:rowOff>0</xdr:rowOff>
    </xdr:from>
    <xdr:to>
      <xdr:col>9</xdr:col>
      <xdr:colOff>754911</xdr:colOff>
      <xdr:row>35</xdr:row>
      <xdr:rowOff>203001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D7750F38-66A3-4FD0-A0F8-B58EAA71A3A5}"/>
            </a:ext>
          </a:extLst>
        </xdr:cNvPr>
        <xdr:cNvSpPr/>
      </xdr:nvSpPr>
      <xdr:spPr>
        <a:xfrm>
          <a:off x="5540744" y="7715250"/>
          <a:ext cx="4815367" cy="4982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6</xdr:col>
      <xdr:colOff>580065</xdr:colOff>
      <xdr:row>36</xdr:row>
      <xdr:rowOff>76125</xdr:rowOff>
    </xdr:from>
    <xdr:to>
      <xdr:col>8</xdr:col>
      <xdr:colOff>213832</xdr:colOff>
      <xdr:row>46</xdr:row>
      <xdr:rowOff>76125</xdr:rowOff>
    </xdr:to>
    <xdr:pic>
      <xdr:nvPicPr>
        <xdr:cNvPr id="9" name="Imagen 8" descr=" ">
          <a:extLst>
            <a:ext uri="{FF2B5EF4-FFF2-40B4-BE49-F238E27FC236}">
              <a16:creationId xmlns:a16="http://schemas.microsoft.com/office/drawing/2014/main" id="{F4D7D322-0DBF-4FE0-8E15-2BCC26F7BF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6980865" y="8381925"/>
          <a:ext cx="1767367" cy="21621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C55"/>
  <sheetViews>
    <sheetView tabSelected="1" zoomScale="60" zoomScaleNormal="60" workbookViewId="0">
      <selection sqref="A1:XFD1048576"/>
    </sheetView>
  </sheetViews>
  <sheetFormatPr baseColWidth="10" defaultColWidth="16" defaultRowHeight="15" x14ac:dyDescent="0.25"/>
  <cols>
    <col min="1" max="26" width="0.5703125" style="451" customWidth="1"/>
    <col min="27" max="38" width="1.28515625" style="451" customWidth="1"/>
    <col min="39" max="16384" width="16" style="451"/>
  </cols>
  <sheetData>
    <row r="1" spans="1:55" ht="36.75" thickBot="1" x14ac:dyDescent="0.3">
      <c r="A1" s="44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50"/>
    </row>
    <row r="2" spans="1:55" ht="15.75" thickBot="1" x14ac:dyDescent="0.3"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</row>
    <row r="3" spans="1:55" ht="15" customHeight="1" x14ac:dyDescent="0.25">
      <c r="B3" s="453"/>
      <c r="C3" s="454"/>
      <c r="D3" s="454"/>
      <c r="E3" s="454"/>
      <c r="F3" s="455"/>
      <c r="G3" s="456"/>
      <c r="H3" s="456"/>
      <c r="I3" s="456"/>
      <c r="AB3" s="453"/>
      <c r="AC3" s="454"/>
      <c r="AD3" s="454"/>
      <c r="AE3" s="454"/>
      <c r="AF3" s="455"/>
      <c r="AL3" s="453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5"/>
    </row>
    <row r="4" spans="1:55" x14ac:dyDescent="0.25">
      <c r="B4" s="457"/>
      <c r="C4" s="458"/>
      <c r="D4" s="458"/>
      <c r="E4" s="458"/>
      <c r="F4" s="459"/>
      <c r="G4" s="456"/>
      <c r="H4" s="456"/>
      <c r="I4" s="456"/>
      <c r="AB4" s="457"/>
      <c r="AC4" s="458"/>
      <c r="AD4" s="458"/>
      <c r="AE4" s="458"/>
      <c r="AF4" s="459"/>
      <c r="AL4" s="457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  <c r="BB4" s="459"/>
    </row>
    <row r="5" spans="1:55" x14ac:dyDescent="0.25">
      <c r="B5" s="457"/>
      <c r="C5" s="458"/>
      <c r="D5" s="458"/>
      <c r="E5" s="458"/>
      <c r="F5" s="459"/>
      <c r="G5" s="456"/>
      <c r="H5" s="456"/>
      <c r="I5" s="456"/>
      <c r="AB5" s="457"/>
      <c r="AC5" s="458"/>
      <c r="AD5" s="458"/>
      <c r="AE5" s="458"/>
      <c r="AF5" s="459"/>
      <c r="AL5" s="457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9"/>
      <c r="BC5" s="460"/>
    </row>
    <row r="6" spans="1:55" ht="15.75" thickBot="1" x14ac:dyDescent="0.3">
      <c r="B6" s="461"/>
      <c r="C6" s="462"/>
      <c r="D6" s="462"/>
      <c r="E6" s="462"/>
      <c r="F6" s="463"/>
      <c r="G6" s="464"/>
      <c r="H6" s="465"/>
      <c r="I6" s="465"/>
      <c r="J6" s="452"/>
      <c r="K6" s="452"/>
      <c r="L6" s="452"/>
      <c r="M6" s="452"/>
      <c r="N6" s="452"/>
      <c r="O6" s="452"/>
      <c r="P6" s="452"/>
      <c r="Q6" s="452"/>
      <c r="U6" s="452"/>
      <c r="V6" s="452"/>
      <c r="W6" s="452"/>
      <c r="X6" s="452"/>
      <c r="Y6" s="452"/>
      <c r="Z6" s="452"/>
      <c r="AA6" s="466"/>
      <c r="AB6" s="461"/>
      <c r="AC6" s="462"/>
      <c r="AD6" s="462"/>
      <c r="AE6" s="462"/>
      <c r="AF6" s="463"/>
      <c r="AL6" s="457"/>
      <c r="AM6" s="458"/>
      <c r="AN6" s="458"/>
      <c r="AO6" s="458"/>
      <c r="AP6" s="458"/>
      <c r="AQ6" s="458"/>
      <c r="AR6" s="458"/>
      <c r="AS6" s="458"/>
      <c r="AT6" s="458"/>
      <c r="AU6" s="458"/>
      <c r="AV6" s="458"/>
      <c r="AW6" s="458"/>
      <c r="AX6" s="458"/>
      <c r="AY6" s="458"/>
      <c r="AZ6" s="458"/>
      <c r="BA6" s="458"/>
      <c r="BB6" s="459"/>
      <c r="BC6" s="460"/>
    </row>
    <row r="7" spans="1:55" ht="15.75" x14ac:dyDescent="0.25">
      <c r="A7" s="467"/>
      <c r="B7" s="456"/>
      <c r="C7" s="456"/>
      <c r="D7" s="456"/>
      <c r="E7" s="456"/>
      <c r="F7" s="456"/>
      <c r="G7" s="456"/>
      <c r="H7" s="456"/>
      <c r="I7" s="456"/>
      <c r="R7" s="468"/>
      <c r="S7" s="469"/>
      <c r="T7" s="468"/>
      <c r="AL7" s="457"/>
      <c r="AM7" s="458"/>
      <c r="AN7" s="458"/>
      <c r="AO7" s="458"/>
      <c r="AP7" s="458"/>
      <c r="AQ7" s="458"/>
      <c r="AR7" s="458"/>
      <c r="AS7" s="458"/>
      <c r="AT7" s="458"/>
      <c r="AU7" s="458"/>
      <c r="AV7" s="458"/>
      <c r="AW7" s="458"/>
      <c r="AX7" s="458"/>
      <c r="AY7" s="458"/>
      <c r="AZ7" s="458"/>
      <c r="BA7" s="458"/>
      <c r="BB7" s="459"/>
      <c r="BC7" s="460"/>
    </row>
    <row r="8" spans="1:55" ht="15.75" thickBot="1" x14ac:dyDescent="0.3">
      <c r="A8" s="467"/>
      <c r="B8" s="456"/>
      <c r="C8" s="456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L8" s="461"/>
      <c r="AM8" s="462"/>
      <c r="AN8" s="462"/>
      <c r="AO8" s="462"/>
      <c r="AP8" s="462"/>
      <c r="AQ8" s="462"/>
      <c r="AR8" s="462"/>
      <c r="AS8" s="462"/>
      <c r="AT8" s="462"/>
      <c r="AU8" s="462"/>
      <c r="AV8" s="462"/>
      <c r="AW8" s="462"/>
      <c r="AX8" s="462"/>
      <c r="AY8" s="462"/>
      <c r="AZ8" s="462"/>
      <c r="BA8" s="462"/>
      <c r="BB8" s="463"/>
      <c r="BC8" s="460"/>
    </row>
    <row r="9" spans="1:55" ht="15.75" x14ac:dyDescent="0.25">
      <c r="A9" s="467"/>
      <c r="B9" s="470"/>
      <c r="C9" s="456"/>
      <c r="D9" s="456"/>
      <c r="E9" s="471"/>
      <c r="F9" s="471"/>
      <c r="G9" s="456"/>
      <c r="H9" s="456"/>
      <c r="I9" s="456"/>
      <c r="J9" s="456"/>
      <c r="K9" s="456"/>
      <c r="L9" s="456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72"/>
      <c r="AE9" s="472"/>
      <c r="AF9" s="456"/>
      <c r="AL9" s="460"/>
      <c r="BC9" s="460"/>
    </row>
    <row r="10" spans="1:55" ht="15.75" x14ac:dyDescent="0.25">
      <c r="A10" s="467"/>
      <c r="B10" s="470"/>
      <c r="C10" s="456"/>
      <c r="D10" s="456"/>
      <c r="E10" s="473"/>
      <c r="F10" s="473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L10" s="460"/>
      <c r="BC10" s="460"/>
    </row>
    <row r="11" spans="1:55" ht="15.75" x14ac:dyDescent="0.25">
      <c r="A11" s="467"/>
      <c r="B11" s="470"/>
      <c r="C11" s="456"/>
      <c r="D11" s="456"/>
      <c r="E11" s="473"/>
      <c r="F11" s="473"/>
      <c r="G11" s="456"/>
      <c r="H11" s="456"/>
      <c r="I11" s="456"/>
      <c r="J11" s="474"/>
      <c r="K11" s="456"/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6"/>
      <c r="AB11" s="456"/>
      <c r="AC11" s="456"/>
      <c r="AD11" s="456"/>
      <c r="AE11" s="456"/>
      <c r="AF11" s="456"/>
      <c r="AL11" s="460"/>
      <c r="AM11" s="456"/>
      <c r="AN11" s="456"/>
      <c r="AO11" s="456"/>
      <c r="AP11" s="456"/>
      <c r="AQ11" s="456"/>
      <c r="AR11" s="456"/>
      <c r="AS11" s="456"/>
      <c r="AT11" s="456"/>
      <c r="AU11" s="456"/>
      <c r="AV11" s="456"/>
      <c r="AW11" s="456"/>
      <c r="AX11" s="456"/>
      <c r="AY11" s="456"/>
      <c r="AZ11" s="456"/>
      <c r="BA11" s="456"/>
      <c r="BC11" s="460"/>
    </row>
    <row r="12" spans="1:55" ht="15.75" x14ac:dyDescent="0.25">
      <c r="A12" s="467"/>
      <c r="B12" s="475"/>
      <c r="C12" s="456"/>
      <c r="D12" s="456"/>
      <c r="E12" s="473"/>
      <c r="F12" s="473"/>
      <c r="G12" s="456"/>
      <c r="H12" s="456"/>
      <c r="I12" s="456"/>
      <c r="J12" s="476"/>
      <c r="K12" s="476"/>
      <c r="L12" s="477"/>
      <c r="M12" s="478"/>
      <c r="N12" s="456"/>
      <c r="O12" s="456"/>
      <c r="P12" s="456"/>
      <c r="Q12" s="470"/>
      <c r="R12" s="470"/>
      <c r="S12" s="470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56"/>
      <c r="AL12" s="460"/>
      <c r="AM12" s="456"/>
      <c r="AN12" s="470"/>
      <c r="AO12" s="470"/>
      <c r="AP12" s="456"/>
      <c r="AQ12" s="456"/>
      <c r="AR12" s="456"/>
      <c r="AS12" s="456"/>
      <c r="AT12" s="456"/>
      <c r="AU12" s="456"/>
      <c r="AV12" s="456"/>
      <c r="AW12" s="456"/>
      <c r="AX12" s="479"/>
      <c r="AY12" s="479"/>
      <c r="AZ12" s="456"/>
      <c r="BA12" s="456"/>
      <c r="BB12" s="456"/>
      <c r="BC12" s="460"/>
    </row>
    <row r="13" spans="1:55" ht="16.5" thickBot="1" x14ac:dyDescent="0.3">
      <c r="A13" s="467"/>
      <c r="B13" s="470"/>
      <c r="C13" s="456"/>
      <c r="D13" s="456"/>
      <c r="E13" s="473"/>
      <c r="F13" s="473"/>
      <c r="G13" s="456"/>
      <c r="H13" s="456"/>
      <c r="I13" s="456"/>
      <c r="J13" s="476"/>
      <c r="K13" s="476"/>
      <c r="L13" s="477"/>
      <c r="M13" s="478"/>
      <c r="N13" s="456"/>
      <c r="O13" s="456"/>
      <c r="P13" s="456"/>
      <c r="Q13" s="470"/>
      <c r="R13" s="470"/>
      <c r="S13" s="470"/>
      <c r="T13" s="456"/>
      <c r="U13" s="456"/>
      <c r="V13" s="456"/>
      <c r="W13" s="456"/>
      <c r="X13" s="480"/>
      <c r="Y13" s="480"/>
      <c r="Z13" s="456"/>
      <c r="AA13" s="456"/>
      <c r="AB13" s="456"/>
      <c r="AC13" s="456"/>
      <c r="AD13" s="456"/>
      <c r="AE13" s="456"/>
      <c r="AF13" s="456"/>
      <c r="AL13" s="460"/>
      <c r="AM13" s="456"/>
      <c r="AN13" s="456"/>
      <c r="AO13" s="470"/>
      <c r="AP13" s="470"/>
      <c r="AQ13" s="456"/>
      <c r="AR13" s="456"/>
      <c r="AS13" s="456"/>
      <c r="AT13" s="456"/>
      <c r="AU13" s="456"/>
      <c r="AV13" s="456"/>
      <c r="AW13" s="479"/>
      <c r="AX13" s="479"/>
      <c r="AY13" s="456"/>
      <c r="AZ13" s="456"/>
      <c r="BA13" s="456"/>
      <c r="BB13" s="481"/>
      <c r="BC13" s="460"/>
    </row>
    <row r="14" spans="1:55" ht="15.75" x14ac:dyDescent="0.25">
      <c r="A14" s="467"/>
      <c r="B14" s="470"/>
      <c r="C14" s="456"/>
      <c r="D14" s="456"/>
      <c r="E14" s="456"/>
      <c r="F14" s="482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3"/>
      <c r="X14" s="458"/>
      <c r="Y14" s="458"/>
      <c r="Z14" s="483"/>
      <c r="AA14" s="456"/>
      <c r="AB14" s="456"/>
      <c r="AC14" s="456"/>
      <c r="AD14" s="456"/>
      <c r="AE14" s="456"/>
      <c r="AF14" s="456"/>
      <c r="AL14" s="460"/>
      <c r="AM14" s="456"/>
      <c r="AN14" s="456"/>
      <c r="AO14" s="456"/>
      <c r="AP14" s="470"/>
      <c r="AQ14" s="470"/>
      <c r="AR14" s="456"/>
      <c r="AS14" s="456"/>
      <c r="AT14" s="456"/>
      <c r="AU14" s="456"/>
      <c r="AV14" s="479"/>
      <c r="AW14" s="479"/>
      <c r="AX14" s="456"/>
      <c r="AY14" s="456"/>
      <c r="AZ14" s="456"/>
      <c r="BA14" s="456"/>
      <c r="BB14" s="481"/>
      <c r="BC14" s="460"/>
    </row>
    <row r="15" spans="1:55" ht="15.75" x14ac:dyDescent="0.25">
      <c r="A15" s="467"/>
      <c r="B15" s="470"/>
      <c r="C15" s="456"/>
      <c r="D15" s="456"/>
      <c r="E15" s="456"/>
      <c r="F15" s="482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7"/>
      <c r="X15" s="458"/>
      <c r="Y15" s="458"/>
      <c r="Z15" s="483"/>
      <c r="AA15" s="456"/>
      <c r="AB15" s="456"/>
      <c r="AC15" s="456"/>
      <c r="AD15" s="456"/>
      <c r="AE15" s="456"/>
      <c r="AF15" s="456"/>
      <c r="AL15" s="460"/>
      <c r="AM15" s="456"/>
      <c r="AN15" s="456"/>
      <c r="AO15" s="456"/>
      <c r="AP15" s="456"/>
      <c r="AQ15" s="470"/>
      <c r="AR15" s="470"/>
      <c r="AS15" s="456"/>
      <c r="AT15" s="456"/>
      <c r="AU15" s="479"/>
      <c r="AV15" s="479"/>
      <c r="AW15" s="456"/>
      <c r="AX15" s="456"/>
      <c r="AY15" s="456"/>
      <c r="AZ15" s="456"/>
      <c r="BA15" s="456"/>
      <c r="BB15" s="481"/>
      <c r="BC15" s="460"/>
    </row>
    <row r="16" spans="1:55" ht="15.75" x14ac:dyDescent="0.25">
      <c r="A16" s="467"/>
      <c r="B16" s="470"/>
      <c r="C16" s="456"/>
      <c r="D16" s="456"/>
      <c r="E16" s="473"/>
      <c r="F16" s="473"/>
      <c r="G16" s="456"/>
      <c r="H16" s="456"/>
      <c r="I16" s="456"/>
      <c r="J16" s="456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7"/>
      <c r="X16" s="458"/>
      <c r="Y16" s="459"/>
      <c r="Z16" s="472"/>
      <c r="AA16" s="456"/>
      <c r="AB16" s="456"/>
      <c r="AC16" s="456"/>
      <c r="AD16" s="456"/>
      <c r="AE16" s="456"/>
      <c r="AF16" s="456"/>
      <c r="AL16" s="460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6"/>
      <c r="AY16" s="456"/>
      <c r="AZ16" s="456"/>
      <c r="BA16" s="456"/>
      <c r="BB16" s="481"/>
      <c r="BC16" s="460"/>
    </row>
    <row r="17" spans="1:55" ht="15.75" x14ac:dyDescent="0.25">
      <c r="A17" s="467"/>
      <c r="B17" s="470"/>
      <c r="C17" s="456"/>
      <c r="D17" s="456"/>
      <c r="E17" s="473"/>
      <c r="F17" s="473"/>
      <c r="G17" s="456"/>
      <c r="H17" s="456"/>
      <c r="I17" s="456"/>
      <c r="J17" s="484"/>
      <c r="K17" s="484"/>
      <c r="L17" s="484"/>
      <c r="M17" s="484"/>
      <c r="N17" s="456"/>
      <c r="O17" s="456"/>
      <c r="P17" s="470"/>
      <c r="Q17" s="470"/>
      <c r="R17" s="470"/>
      <c r="S17" s="470"/>
      <c r="T17" s="456"/>
      <c r="U17" s="456"/>
      <c r="V17" s="456"/>
      <c r="W17" s="457"/>
      <c r="X17" s="458"/>
      <c r="Y17" s="459"/>
      <c r="Z17" s="472"/>
      <c r="AA17" s="456"/>
      <c r="AB17" s="456"/>
      <c r="AC17" s="456"/>
      <c r="AD17" s="456"/>
      <c r="AE17" s="456"/>
      <c r="AF17" s="456"/>
      <c r="AL17" s="460"/>
      <c r="AW17" s="485"/>
      <c r="AX17" s="485"/>
      <c r="AY17" s="485"/>
      <c r="BB17" s="481"/>
      <c r="BC17" s="460"/>
    </row>
    <row r="18" spans="1:55" ht="21" x14ac:dyDescent="0.35">
      <c r="A18" s="467"/>
      <c r="B18" s="475"/>
      <c r="C18" s="456"/>
      <c r="D18" s="456"/>
      <c r="E18" s="473"/>
      <c r="F18" s="473"/>
      <c r="G18" s="456"/>
      <c r="H18" s="456"/>
      <c r="I18" s="456"/>
      <c r="J18" s="484"/>
      <c r="K18" s="484"/>
      <c r="L18" s="484"/>
      <c r="M18" s="484"/>
      <c r="N18" s="456"/>
      <c r="O18" s="456"/>
      <c r="P18" s="470"/>
      <c r="Q18" s="470"/>
      <c r="R18" s="470"/>
      <c r="S18" s="470"/>
      <c r="T18" s="456"/>
      <c r="U18" s="456"/>
      <c r="V18" s="456"/>
      <c r="W18" s="457"/>
      <c r="X18" s="458"/>
      <c r="Y18" s="459"/>
      <c r="Z18" s="472"/>
      <c r="AA18" s="456"/>
      <c r="AB18" s="456"/>
      <c r="AC18" s="456"/>
      <c r="AD18" s="456"/>
      <c r="AE18" s="456"/>
      <c r="AF18" s="456"/>
      <c r="AL18" s="460"/>
      <c r="AN18" s="486"/>
      <c r="AO18" s="486"/>
      <c r="AP18" s="486"/>
      <c r="AQ18" s="486"/>
      <c r="AU18" s="487"/>
      <c r="AV18" s="487"/>
      <c r="BB18" s="481"/>
      <c r="BC18" s="460"/>
    </row>
    <row r="19" spans="1:55" ht="18.75" x14ac:dyDescent="0.3">
      <c r="A19" s="467"/>
      <c r="B19" s="488"/>
      <c r="C19" s="456"/>
      <c r="D19" s="456"/>
      <c r="E19" s="473"/>
      <c r="F19" s="473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7"/>
      <c r="X19" s="458"/>
      <c r="Y19" s="459"/>
      <c r="Z19" s="472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89"/>
      <c r="AM19" s="456"/>
      <c r="AN19" s="490"/>
      <c r="AO19" s="490"/>
      <c r="AP19" s="490"/>
      <c r="AQ19" s="490"/>
      <c r="AR19" s="456"/>
      <c r="AS19" s="456"/>
      <c r="AU19" s="491"/>
      <c r="AV19" s="491"/>
      <c r="AW19" s="492"/>
      <c r="AX19" s="456"/>
      <c r="BB19" s="481"/>
      <c r="BC19" s="460"/>
    </row>
    <row r="20" spans="1:55" ht="24" thickBot="1" x14ac:dyDescent="0.4">
      <c r="A20" s="467"/>
      <c r="B20" s="488"/>
      <c r="C20" s="456"/>
      <c r="D20" s="456"/>
      <c r="E20" s="456"/>
      <c r="F20" s="456"/>
      <c r="G20" s="456"/>
      <c r="H20" s="456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61"/>
      <c r="X20" s="462"/>
      <c r="Y20" s="463"/>
      <c r="Z20" s="456"/>
      <c r="AA20" s="456"/>
      <c r="AB20" s="456"/>
      <c r="AC20" s="456"/>
      <c r="AD20" s="456"/>
      <c r="AE20" s="456"/>
      <c r="AF20" s="456"/>
      <c r="AG20" s="456"/>
      <c r="AH20" s="456"/>
      <c r="AI20" s="456"/>
      <c r="AJ20" s="456"/>
      <c r="AK20" s="456"/>
      <c r="AL20" s="460"/>
      <c r="AM20" s="492"/>
      <c r="AN20" s="493"/>
      <c r="AO20" s="493"/>
      <c r="AP20" s="493"/>
      <c r="AQ20" s="493"/>
      <c r="AS20" s="494"/>
      <c r="AT20" s="491"/>
      <c r="AU20" s="495">
        <v>3846948</v>
      </c>
      <c r="AV20" s="496">
        <v>3846944</v>
      </c>
      <c r="AW20" s="491"/>
      <c r="AX20" s="497"/>
      <c r="BB20" s="481"/>
      <c r="BC20" s="460"/>
    </row>
    <row r="21" spans="1:55" ht="23.25" x14ac:dyDescent="0.35">
      <c r="A21" s="467"/>
      <c r="B21" s="488"/>
      <c r="C21" s="456"/>
      <c r="D21" s="456"/>
      <c r="E21" s="456"/>
      <c r="F21" s="456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98"/>
      <c r="AH21" s="498"/>
      <c r="AI21" s="498"/>
      <c r="AJ21" s="498"/>
      <c r="AK21" s="456"/>
      <c r="AL21" s="460"/>
      <c r="AM21" s="493"/>
      <c r="AN21" s="499">
        <v>3647166</v>
      </c>
      <c r="AO21" s="499">
        <v>3647167</v>
      </c>
      <c r="AP21" s="499">
        <v>3647165</v>
      </c>
      <c r="AQ21" s="499">
        <v>3647174</v>
      </c>
      <c r="AR21" s="493"/>
      <c r="AS21" s="494"/>
      <c r="AT21" s="491"/>
      <c r="AU21" s="495">
        <v>3846946</v>
      </c>
      <c r="AV21" s="496">
        <v>3846980</v>
      </c>
      <c r="AW21" s="491"/>
      <c r="AX21" s="497"/>
      <c r="BB21" s="481"/>
      <c r="BC21" s="460"/>
    </row>
    <row r="22" spans="1:55" ht="23.25" x14ac:dyDescent="0.35">
      <c r="A22" s="467"/>
      <c r="B22" s="488"/>
      <c r="C22" s="456"/>
      <c r="D22" s="456"/>
      <c r="E22" s="472"/>
      <c r="F22" s="472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98"/>
      <c r="AH22" s="498"/>
      <c r="AI22" s="498"/>
      <c r="AJ22" s="498"/>
      <c r="AK22" s="456"/>
      <c r="AL22" s="460"/>
      <c r="AM22" s="493"/>
      <c r="AN22" s="499">
        <v>3647171</v>
      </c>
      <c r="AO22" s="499">
        <v>3647179</v>
      </c>
      <c r="AP22" s="499">
        <v>3647189</v>
      </c>
      <c r="AQ22" s="499">
        <v>3647187</v>
      </c>
      <c r="AR22" s="493"/>
      <c r="AS22" s="494"/>
      <c r="AT22" s="491"/>
      <c r="AU22" s="495">
        <v>3846959</v>
      </c>
      <c r="AV22" s="500">
        <v>3846954</v>
      </c>
      <c r="AW22" s="491"/>
      <c r="AX22" s="497"/>
      <c r="BB22" s="481"/>
      <c r="BC22" s="460"/>
    </row>
    <row r="23" spans="1:55" ht="23.25" x14ac:dyDescent="0.35">
      <c r="A23" s="467"/>
      <c r="B23" s="488"/>
      <c r="C23" s="456"/>
      <c r="D23" s="456"/>
      <c r="E23" s="472"/>
      <c r="F23" s="472"/>
      <c r="G23" s="456"/>
      <c r="H23" s="456"/>
      <c r="I23" s="456"/>
      <c r="J23" s="488"/>
      <c r="K23" s="488"/>
      <c r="L23" s="488"/>
      <c r="M23" s="488"/>
      <c r="N23" s="456"/>
      <c r="O23" s="456"/>
      <c r="P23" s="470"/>
      <c r="Q23" s="470"/>
      <c r="R23" s="470"/>
      <c r="S23" s="470"/>
      <c r="T23" s="456"/>
      <c r="U23" s="456"/>
      <c r="V23" s="456"/>
      <c r="W23" s="456"/>
      <c r="X23" s="456"/>
      <c r="Y23" s="456"/>
      <c r="Z23" s="456"/>
      <c r="AA23" s="456"/>
      <c r="AB23" s="456"/>
      <c r="AC23" s="456"/>
      <c r="AD23" s="456"/>
      <c r="AE23" s="456"/>
      <c r="AF23" s="456"/>
      <c r="AG23" s="456"/>
      <c r="AH23" s="456"/>
      <c r="AI23" s="456"/>
      <c r="AJ23" s="456"/>
      <c r="AK23" s="456"/>
      <c r="AL23" s="460"/>
      <c r="AN23" s="493"/>
      <c r="AO23" s="493"/>
      <c r="AP23" s="493"/>
      <c r="AQ23" s="493"/>
      <c r="AS23" s="494"/>
      <c r="AT23" s="491"/>
      <c r="AU23" s="495">
        <v>3846960</v>
      </c>
      <c r="AV23" s="500">
        <v>3846929</v>
      </c>
      <c r="AW23" s="491"/>
      <c r="AX23" s="497"/>
      <c r="BB23" s="481"/>
      <c r="BC23" s="460"/>
    </row>
    <row r="24" spans="1:55" ht="18.75" x14ac:dyDescent="0.3">
      <c r="A24" s="467"/>
      <c r="B24" s="488"/>
      <c r="C24" s="456"/>
      <c r="D24" s="456"/>
      <c r="E24" s="472"/>
      <c r="F24" s="472"/>
      <c r="G24" s="456"/>
      <c r="H24" s="456"/>
      <c r="I24" s="456"/>
      <c r="J24" s="488"/>
      <c r="K24" s="488"/>
      <c r="L24" s="488"/>
      <c r="M24" s="488"/>
      <c r="N24" s="456"/>
      <c r="O24" s="456"/>
      <c r="P24" s="470"/>
      <c r="Q24" s="470"/>
      <c r="R24" s="470"/>
      <c r="S24" s="470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60"/>
      <c r="AN24" s="490"/>
      <c r="AO24" s="490"/>
      <c r="AP24" s="490"/>
      <c r="AQ24" s="490"/>
      <c r="AR24" s="456"/>
      <c r="AS24" s="456"/>
      <c r="AU24" s="491"/>
      <c r="AV24" s="491"/>
      <c r="AX24" s="456"/>
      <c r="BB24" s="481"/>
      <c r="BC24" s="460"/>
    </row>
    <row r="25" spans="1:55" ht="15.75" x14ac:dyDescent="0.25">
      <c r="A25" s="467"/>
      <c r="B25" s="456"/>
      <c r="C25" s="456"/>
      <c r="D25" s="456"/>
      <c r="E25" s="472"/>
      <c r="F25" s="472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60"/>
      <c r="AN25" s="456"/>
      <c r="AO25" s="456"/>
      <c r="AP25" s="456"/>
      <c r="AQ25" s="456"/>
      <c r="AR25" s="456"/>
      <c r="AS25" s="456"/>
      <c r="AX25" s="456"/>
      <c r="BB25" s="479"/>
      <c r="BC25" s="460"/>
    </row>
    <row r="26" spans="1:55" ht="15.75" x14ac:dyDescent="0.25">
      <c r="A26" s="467"/>
      <c r="B26" s="456"/>
      <c r="C26" s="456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60"/>
      <c r="AS26" s="456"/>
      <c r="AX26" s="456"/>
      <c r="BB26" s="479"/>
      <c r="BC26" s="460"/>
    </row>
    <row r="27" spans="1:55" ht="15.75" x14ac:dyDescent="0.25">
      <c r="A27" s="467"/>
      <c r="B27" s="456"/>
      <c r="C27" s="456"/>
      <c r="D27" s="456"/>
      <c r="E27" s="456"/>
      <c r="F27" s="456"/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501"/>
      <c r="AH27" s="501"/>
      <c r="AI27" s="501"/>
      <c r="AJ27" s="501"/>
      <c r="AK27" s="456"/>
      <c r="AL27" s="460"/>
      <c r="AQ27" s="456"/>
      <c r="AR27" s="456"/>
      <c r="AS27" s="456"/>
      <c r="AT27" s="456"/>
      <c r="AU27" s="456"/>
      <c r="BB27" s="479"/>
      <c r="BC27" s="460"/>
    </row>
    <row r="28" spans="1:55" ht="15.75" x14ac:dyDescent="0.25">
      <c r="A28" s="467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501"/>
      <c r="AH28" s="501"/>
      <c r="AI28" s="501"/>
      <c r="AJ28" s="501"/>
      <c r="AK28" s="456"/>
      <c r="AL28" s="460"/>
      <c r="AQ28" s="456"/>
      <c r="AR28" s="456"/>
      <c r="AS28" s="470"/>
      <c r="AT28" s="470"/>
      <c r="AU28" s="456"/>
      <c r="BB28" s="479"/>
      <c r="BC28" s="460"/>
    </row>
    <row r="29" spans="1:55" ht="16.5" thickBot="1" x14ac:dyDescent="0.3">
      <c r="A29" s="467"/>
      <c r="B29" s="456"/>
      <c r="C29" s="456"/>
      <c r="D29" s="456"/>
      <c r="E29" s="456"/>
      <c r="F29" s="456"/>
      <c r="G29" s="456"/>
      <c r="H29" s="456"/>
      <c r="I29" s="456"/>
      <c r="J29" s="470"/>
      <c r="K29" s="502"/>
      <c r="L29" s="502"/>
      <c r="M29" s="502"/>
      <c r="N29" s="502"/>
      <c r="O29" s="470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60"/>
      <c r="AQ29" s="456"/>
      <c r="AR29" s="456"/>
      <c r="AS29" s="470"/>
      <c r="AT29" s="470"/>
      <c r="AU29" s="456"/>
      <c r="BB29" s="479"/>
      <c r="BC29" s="460"/>
    </row>
    <row r="30" spans="1:55" ht="15.75" x14ac:dyDescent="0.25">
      <c r="A30" s="467"/>
      <c r="B30" s="503"/>
      <c r="C30" s="504"/>
      <c r="D30" s="504"/>
      <c r="E30" s="504"/>
      <c r="F30" s="504"/>
      <c r="G30" s="504"/>
      <c r="H30" s="505"/>
      <c r="I30" s="506"/>
      <c r="J30" s="504"/>
      <c r="K30" s="507"/>
      <c r="L30" s="507"/>
      <c r="M30" s="507"/>
      <c r="N30" s="507"/>
      <c r="O30" s="504"/>
      <c r="P30" s="504"/>
      <c r="Q30" s="504"/>
      <c r="R30" s="489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60"/>
      <c r="AQ30" s="456"/>
      <c r="AR30" s="456"/>
      <c r="AS30" s="456"/>
      <c r="AT30" s="456"/>
      <c r="AU30" s="456"/>
      <c r="BB30" s="479"/>
      <c r="BC30" s="460"/>
    </row>
    <row r="31" spans="1:55" ht="16.5" thickBot="1" x14ac:dyDescent="0.3">
      <c r="A31" s="467"/>
      <c r="B31" s="489"/>
      <c r="C31" s="456"/>
      <c r="D31" s="456"/>
      <c r="E31" s="456"/>
      <c r="F31" s="456"/>
      <c r="G31" s="456"/>
      <c r="H31" s="508"/>
      <c r="I31" s="509"/>
      <c r="J31" s="456"/>
      <c r="K31" s="456"/>
      <c r="L31" s="456"/>
      <c r="M31" s="456"/>
      <c r="N31" s="456"/>
      <c r="O31" s="456"/>
      <c r="P31" s="456"/>
      <c r="Q31" s="456"/>
      <c r="R31" s="489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510"/>
      <c r="AG31" s="511"/>
      <c r="AH31" s="511"/>
      <c r="AI31" s="511"/>
      <c r="AJ31" s="511"/>
      <c r="AK31" s="512"/>
      <c r="AL31" s="460"/>
      <c r="AQ31" s="456"/>
      <c r="AR31" s="456"/>
      <c r="AS31" s="456"/>
      <c r="AT31" s="456"/>
      <c r="AU31" s="456"/>
      <c r="BB31" s="479"/>
      <c r="BC31" s="460"/>
    </row>
    <row r="32" spans="1:55" ht="21" x14ac:dyDescent="0.35">
      <c r="A32" s="467"/>
      <c r="B32" s="489"/>
      <c r="C32" s="456"/>
      <c r="D32" s="456"/>
      <c r="E32" s="456"/>
      <c r="F32" s="456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89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74"/>
      <c r="AG32" s="513"/>
      <c r="AH32" s="513"/>
      <c r="AI32" s="513"/>
      <c r="AJ32" s="513"/>
      <c r="AK32" s="474"/>
      <c r="AL32" s="460"/>
      <c r="AO32" s="487"/>
      <c r="AP32" s="487"/>
      <c r="AQ32" s="485"/>
      <c r="AR32" s="485"/>
      <c r="AU32" s="456"/>
      <c r="AV32" s="456"/>
      <c r="AW32" s="456"/>
      <c r="AX32" s="456"/>
      <c r="AY32" s="456"/>
      <c r="BB32" s="479"/>
      <c r="BC32" s="460"/>
    </row>
    <row r="33" spans="1:55" ht="18" x14ac:dyDescent="0.25">
      <c r="A33" s="514"/>
      <c r="B33" s="515"/>
      <c r="C33" s="474"/>
      <c r="D33" s="474"/>
      <c r="E33" s="516"/>
      <c r="F33" s="516"/>
      <c r="G33" s="474"/>
      <c r="H33" s="456"/>
      <c r="I33" s="456"/>
      <c r="J33" s="456"/>
      <c r="K33" s="456"/>
      <c r="L33" s="456"/>
      <c r="M33" s="456"/>
      <c r="N33" s="456"/>
      <c r="O33" s="456"/>
      <c r="P33" s="456"/>
      <c r="Q33" s="517"/>
      <c r="R33" s="484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513"/>
      <c r="AG33" s="518"/>
      <c r="AH33" s="518"/>
      <c r="AI33" s="518"/>
      <c r="AJ33" s="518"/>
      <c r="AK33" s="513"/>
      <c r="AL33" s="460"/>
      <c r="AM33" s="456"/>
      <c r="AO33" s="519"/>
      <c r="AP33" s="519"/>
      <c r="AQ33" s="520"/>
      <c r="AU33" s="474"/>
      <c r="AV33" s="456"/>
      <c r="AW33" s="456"/>
      <c r="AX33" s="456"/>
      <c r="AY33" s="456"/>
      <c r="BB33" s="479"/>
      <c r="BC33" s="460"/>
    </row>
    <row r="34" spans="1:55" ht="23.25" x14ac:dyDescent="0.35">
      <c r="A34" s="514"/>
      <c r="B34" s="515"/>
      <c r="C34" s="474"/>
      <c r="D34" s="474"/>
      <c r="E34" s="516"/>
      <c r="F34" s="516"/>
      <c r="G34" s="474"/>
      <c r="H34" s="456"/>
      <c r="I34" s="456"/>
      <c r="J34" s="456"/>
      <c r="K34" s="456"/>
      <c r="L34" s="456"/>
      <c r="M34" s="456"/>
      <c r="N34" s="456"/>
      <c r="O34" s="456"/>
      <c r="P34" s="517"/>
      <c r="Q34" s="484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513"/>
      <c r="AG34" s="518"/>
      <c r="AH34" s="518"/>
      <c r="AI34" s="518"/>
      <c r="AJ34" s="518"/>
      <c r="AK34" s="513"/>
      <c r="AL34" s="460"/>
      <c r="AM34" s="494"/>
      <c r="AN34" s="521"/>
      <c r="AO34" s="522">
        <v>5038450</v>
      </c>
      <c r="AP34" s="523">
        <v>5038451</v>
      </c>
      <c r="AQ34" s="521"/>
      <c r="AR34" s="497"/>
      <c r="AU34" s="470"/>
      <c r="AV34" s="470"/>
      <c r="AW34" s="456"/>
      <c r="AX34" s="456"/>
      <c r="AY34" s="456"/>
      <c r="BB34" s="479"/>
      <c r="BC34" s="460"/>
    </row>
    <row r="35" spans="1:55" ht="23.25" x14ac:dyDescent="0.35">
      <c r="A35" s="514"/>
      <c r="B35" s="515"/>
      <c r="C35" s="474"/>
      <c r="D35" s="474"/>
      <c r="E35" s="516"/>
      <c r="F35" s="516"/>
      <c r="G35" s="474"/>
      <c r="H35" s="456"/>
      <c r="I35" s="456"/>
      <c r="J35" s="456"/>
      <c r="K35" s="456"/>
      <c r="L35" s="456"/>
      <c r="M35" s="456"/>
      <c r="N35" s="456"/>
      <c r="O35" s="517"/>
      <c r="P35" s="484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74"/>
      <c r="AG35" s="513"/>
      <c r="AH35" s="513"/>
      <c r="AI35" s="513"/>
      <c r="AJ35" s="513"/>
      <c r="AK35" s="474"/>
      <c r="AL35" s="460"/>
      <c r="AM35" s="494"/>
      <c r="AN35" s="521"/>
      <c r="AO35" s="522">
        <v>5038452</v>
      </c>
      <c r="AP35" s="523">
        <v>5038453</v>
      </c>
      <c r="AQ35" s="521"/>
      <c r="AR35" s="497"/>
      <c r="AS35" s="456"/>
      <c r="AT35" s="456"/>
      <c r="AU35" s="456"/>
      <c r="AV35" s="470"/>
      <c r="AW35" s="470"/>
      <c r="AX35" s="456"/>
      <c r="AY35" s="456"/>
      <c r="BB35" s="479"/>
      <c r="BC35" s="460"/>
    </row>
    <row r="36" spans="1:55" ht="23.25" x14ac:dyDescent="0.35">
      <c r="A36" s="514"/>
      <c r="B36" s="515"/>
      <c r="C36" s="474"/>
      <c r="D36" s="474"/>
      <c r="E36" s="474"/>
      <c r="F36" s="474"/>
      <c r="G36" s="474"/>
      <c r="H36" s="456"/>
      <c r="I36" s="456"/>
      <c r="J36" s="456"/>
      <c r="K36" s="456"/>
      <c r="L36" s="456"/>
      <c r="M36" s="456"/>
      <c r="N36" s="517"/>
      <c r="O36" s="484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511"/>
      <c r="AH36" s="511"/>
      <c r="AI36" s="511"/>
      <c r="AJ36" s="511"/>
      <c r="AK36" s="456"/>
      <c r="AL36" s="460"/>
      <c r="AM36" s="494"/>
      <c r="AN36" s="521"/>
      <c r="AO36" s="522">
        <v>5038454</v>
      </c>
      <c r="AP36" s="523">
        <v>5038455</v>
      </c>
      <c r="AQ36" s="521"/>
      <c r="AR36" s="497"/>
      <c r="AS36" s="456"/>
      <c r="AT36" s="474"/>
      <c r="AU36" s="456"/>
      <c r="AV36" s="456"/>
      <c r="AW36" s="470"/>
      <c r="AX36" s="470"/>
      <c r="AY36" s="456"/>
      <c r="BB36" s="479"/>
      <c r="BC36" s="460"/>
    </row>
    <row r="37" spans="1:55" ht="23.25" x14ac:dyDescent="0.35">
      <c r="A37" s="514"/>
      <c r="B37" s="515"/>
      <c r="C37" s="474"/>
      <c r="D37" s="474"/>
      <c r="E37" s="474"/>
      <c r="F37" s="474"/>
      <c r="G37" s="474"/>
      <c r="H37" s="456"/>
      <c r="I37" s="456"/>
      <c r="J37" s="456"/>
      <c r="K37" s="456"/>
      <c r="L37" s="456"/>
      <c r="M37" s="517"/>
      <c r="N37" s="484"/>
      <c r="O37" s="456"/>
      <c r="P37" s="456"/>
      <c r="Q37" s="456"/>
      <c r="R37" s="456"/>
      <c r="S37" s="456"/>
      <c r="T37" s="456"/>
      <c r="U37" s="474"/>
      <c r="V37" s="474"/>
      <c r="W37" s="474"/>
      <c r="X37" s="474"/>
      <c r="Y37" s="474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524"/>
      <c r="AM37" s="494"/>
      <c r="AN37" s="521"/>
      <c r="AO37" s="522">
        <v>5038456</v>
      </c>
      <c r="AP37" s="523">
        <v>5038457</v>
      </c>
      <c r="AQ37" s="521"/>
      <c r="AR37" s="497"/>
      <c r="AS37" s="498"/>
      <c r="AT37" s="498"/>
      <c r="AU37" s="456"/>
      <c r="AV37" s="456"/>
      <c r="AW37" s="456"/>
      <c r="AX37" s="470"/>
      <c r="AY37" s="470"/>
      <c r="BB37" s="470"/>
      <c r="BC37" s="460"/>
    </row>
    <row r="38" spans="1:55" ht="21" x14ac:dyDescent="0.25">
      <c r="A38" s="514"/>
      <c r="B38" s="525"/>
      <c r="C38" s="474"/>
      <c r="D38" s="474"/>
      <c r="E38" s="478"/>
      <c r="F38" s="478"/>
      <c r="G38" s="474"/>
      <c r="H38" s="456"/>
      <c r="I38" s="456"/>
      <c r="J38" s="456"/>
      <c r="K38" s="456"/>
      <c r="L38" s="517"/>
      <c r="M38" s="484"/>
      <c r="N38" s="456"/>
      <c r="O38" s="456"/>
      <c r="P38" s="456"/>
      <c r="Q38" s="472"/>
      <c r="R38" s="472"/>
      <c r="S38" s="472"/>
      <c r="T38" s="456"/>
      <c r="U38" s="478"/>
      <c r="V38" s="481"/>
      <c r="W38" s="481"/>
      <c r="X38" s="481"/>
      <c r="Y38" s="481"/>
      <c r="Z38" s="456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60"/>
      <c r="AN38" s="492"/>
      <c r="AO38" s="519"/>
      <c r="AP38" s="519"/>
      <c r="AR38" s="497"/>
      <c r="AS38" s="498"/>
      <c r="AT38" s="498"/>
      <c r="AU38" s="456"/>
      <c r="AV38" s="456"/>
      <c r="AW38" s="456"/>
      <c r="AX38" s="456"/>
      <c r="AY38" s="456"/>
      <c r="BB38" s="470"/>
      <c r="BC38" s="460"/>
    </row>
    <row r="39" spans="1:55" ht="15.75" x14ac:dyDescent="0.25">
      <c r="A39" s="514"/>
      <c r="B39" s="526"/>
      <c r="C39" s="474"/>
      <c r="D39" s="474"/>
      <c r="E39" s="478"/>
      <c r="F39" s="478"/>
      <c r="G39" s="474"/>
      <c r="H39" s="456"/>
      <c r="I39" s="456"/>
      <c r="J39" s="527"/>
      <c r="K39" s="528"/>
      <c r="L39" s="484"/>
      <c r="M39" s="456"/>
      <c r="N39" s="456"/>
      <c r="O39" s="456"/>
      <c r="P39" s="474"/>
      <c r="Q39" s="472"/>
      <c r="R39" s="472"/>
      <c r="S39" s="472"/>
      <c r="T39" s="456"/>
      <c r="U39" s="474"/>
      <c r="V39" s="481"/>
      <c r="W39" s="481"/>
      <c r="X39" s="481"/>
      <c r="Y39" s="481"/>
      <c r="Z39" s="456"/>
      <c r="AA39" s="456"/>
      <c r="AB39" s="456"/>
      <c r="AC39" s="456"/>
      <c r="AD39" s="456"/>
      <c r="AE39" s="456"/>
      <c r="AF39" s="456"/>
      <c r="AG39" s="498"/>
      <c r="AH39" s="498"/>
      <c r="AI39" s="498"/>
      <c r="AJ39" s="498"/>
      <c r="AK39" s="498"/>
      <c r="AL39" s="460"/>
      <c r="AR39" s="456"/>
      <c r="AS39" s="456"/>
      <c r="AT39" s="456"/>
      <c r="AU39" s="456"/>
      <c r="AV39" s="456"/>
      <c r="AW39" s="456"/>
      <c r="AX39" s="456"/>
      <c r="AY39" s="456"/>
      <c r="BB39" s="470"/>
      <c r="BC39" s="460"/>
    </row>
    <row r="40" spans="1:55" ht="15.75" x14ac:dyDescent="0.25">
      <c r="A40" s="514"/>
      <c r="B40" s="525"/>
      <c r="C40" s="474"/>
      <c r="D40" s="474"/>
      <c r="E40" s="478"/>
      <c r="F40" s="478"/>
      <c r="G40" s="474"/>
      <c r="H40" s="456"/>
      <c r="I40" s="456"/>
      <c r="J40" s="529"/>
      <c r="K40" s="530"/>
      <c r="L40" s="456"/>
      <c r="M40" s="456"/>
      <c r="N40" s="456"/>
      <c r="O40" s="456"/>
      <c r="P40" s="474"/>
      <c r="Q40" s="531"/>
      <c r="R40" s="531"/>
      <c r="S40" s="474"/>
      <c r="T40" s="456"/>
      <c r="U40" s="474"/>
      <c r="V40" s="474"/>
      <c r="W40" s="478"/>
      <c r="X40" s="478"/>
      <c r="Y40" s="474"/>
      <c r="Z40" s="456"/>
      <c r="AA40" s="456"/>
      <c r="AB40" s="456"/>
      <c r="AC40" s="456"/>
      <c r="AD40" s="456"/>
      <c r="AE40" s="456"/>
      <c r="AF40" s="456"/>
      <c r="AG40" s="498"/>
      <c r="AH40" s="498"/>
      <c r="AI40" s="498"/>
      <c r="AJ40" s="498"/>
      <c r="AK40" s="498"/>
      <c r="AL40" s="460"/>
      <c r="AS40" s="456"/>
      <c r="AT40" s="456"/>
      <c r="AU40" s="456"/>
      <c r="AV40" s="456"/>
      <c r="AW40" s="456"/>
      <c r="AX40" s="456"/>
      <c r="AY40" s="456"/>
      <c r="BB40" s="470"/>
      <c r="BC40" s="460"/>
    </row>
    <row r="41" spans="1:55" ht="15.75" x14ac:dyDescent="0.25">
      <c r="A41" s="514"/>
      <c r="B41" s="515"/>
      <c r="C41" s="474"/>
      <c r="D41" s="474"/>
      <c r="E41" s="478"/>
      <c r="F41" s="478"/>
      <c r="G41" s="474"/>
      <c r="H41" s="456"/>
      <c r="I41" s="456"/>
      <c r="J41" s="527"/>
      <c r="K41" s="456"/>
      <c r="L41" s="456"/>
      <c r="M41" s="456"/>
      <c r="N41" s="456"/>
      <c r="O41" s="456"/>
      <c r="P41" s="531"/>
      <c r="Q41" s="531"/>
      <c r="R41" s="474"/>
      <c r="S41" s="474"/>
      <c r="T41" s="456"/>
      <c r="U41" s="474"/>
      <c r="V41" s="474"/>
      <c r="W41" s="474"/>
      <c r="X41" s="478"/>
      <c r="Y41" s="478"/>
      <c r="Z41" s="456"/>
      <c r="AA41" s="456"/>
      <c r="AB41" s="456"/>
      <c r="AC41" s="456"/>
      <c r="AD41" s="456"/>
      <c r="AE41" s="456"/>
      <c r="AF41" s="456"/>
      <c r="AG41" s="456"/>
      <c r="AH41" s="456"/>
      <c r="AI41" s="456"/>
      <c r="AJ41" s="456"/>
      <c r="AK41" s="456"/>
      <c r="AL41" s="460"/>
      <c r="AM41" s="456"/>
      <c r="AN41" s="456"/>
      <c r="AO41" s="456"/>
      <c r="AP41" s="456"/>
      <c r="AQ41" s="488"/>
      <c r="AR41" s="488"/>
      <c r="AS41" s="456"/>
      <c r="AT41" s="456"/>
      <c r="AU41" s="456"/>
      <c r="AV41" s="470"/>
      <c r="AW41" s="456"/>
      <c r="AX41" s="456"/>
      <c r="AY41" s="456"/>
      <c r="BB41" s="456"/>
      <c r="BC41" s="460"/>
    </row>
    <row r="42" spans="1:55" ht="15.75" x14ac:dyDescent="0.25">
      <c r="A42" s="514"/>
      <c r="B42" s="525"/>
      <c r="C42" s="474"/>
      <c r="D42" s="474"/>
      <c r="E42" s="474"/>
      <c r="F42" s="474"/>
      <c r="G42" s="474"/>
      <c r="H42" s="456"/>
      <c r="I42" s="456"/>
      <c r="J42" s="527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74"/>
      <c r="V42" s="474"/>
      <c r="W42" s="474"/>
      <c r="X42" s="474"/>
      <c r="Y42" s="474"/>
      <c r="Z42" s="456"/>
      <c r="AA42" s="456"/>
      <c r="AB42" s="456"/>
      <c r="AC42" s="456"/>
      <c r="AD42" s="456"/>
      <c r="AE42" s="456"/>
      <c r="AF42" s="456"/>
      <c r="AG42" s="456"/>
      <c r="AH42" s="456"/>
      <c r="AI42" s="456"/>
      <c r="AJ42" s="456"/>
      <c r="AK42" s="456"/>
      <c r="AL42" s="460"/>
      <c r="AM42" s="456"/>
      <c r="AN42" s="456"/>
      <c r="AO42" s="456"/>
      <c r="AP42" s="488"/>
      <c r="AQ42" s="488"/>
      <c r="AR42" s="456"/>
      <c r="AS42" s="456"/>
      <c r="AU42" s="456"/>
      <c r="AV42" s="470"/>
      <c r="AW42" s="470"/>
      <c r="AX42" s="456"/>
      <c r="AY42" s="456"/>
      <c r="BB42" s="456"/>
      <c r="BC42" s="460"/>
    </row>
    <row r="43" spans="1:55" ht="15.75" x14ac:dyDescent="0.25">
      <c r="A43" s="514"/>
      <c r="B43" s="515"/>
      <c r="C43" s="474"/>
      <c r="D43" s="474"/>
      <c r="E43" s="474"/>
      <c r="F43" s="474"/>
      <c r="G43" s="474"/>
      <c r="H43" s="456"/>
      <c r="I43" s="456"/>
      <c r="J43" s="529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  <c r="Z43" s="456"/>
      <c r="AA43" s="456"/>
      <c r="AB43" s="456"/>
      <c r="AC43" s="456"/>
      <c r="AD43" s="456"/>
      <c r="AE43" s="456"/>
      <c r="AF43" s="456"/>
      <c r="AG43" s="456"/>
      <c r="AH43" s="456"/>
      <c r="AI43" s="456"/>
      <c r="AJ43" s="456"/>
      <c r="AK43" s="456"/>
      <c r="AL43" s="460"/>
      <c r="AM43" s="456"/>
      <c r="AN43" s="456"/>
      <c r="AO43" s="488"/>
      <c r="AP43" s="488"/>
      <c r="AQ43" s="456"/>
      <c r="AR43" s="456"/>
      <c r="AS43" s="456"/>
      <c r="AU43" s="456"/>
      <c r="AV43" s="456"/>
      <c r="AW43" s="470"/>
      <c r="AX43" s="470"/>
      <c r="AY43" s="456"/>
      <c r="BB43" s="456"/>
      <c r="BC43" s="460"/>
    </row>
    <row r="44" spans="1:55" ht="15.75" x14ac:dyDescent="0.25">
      <c r="A44" s="514"/>
      <c r="B44" s="525"/>
      <c r="C44" s="474"/>
      <c r="D44" s="474"/>
      <c r="E44" s="532"/>
      <c r="F44" s="532"/>
      <c r="G44" s="474"/>
      <c r="H44" s="456"/>
      <c r="I44" s="456"/>
      <c r="J44" s="527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  <c r="Z44" s="456"/>
      <c r="AA44" s="456"/>
      <c r="AB44" s="456"/>
      <c r="AC44" s="456"/>
      <c r="AD44" s="456"/>
      <c r="AE44" s="456"/>
      <c r="AF44" s="456"/>
      <c r="AG44" s="456"/>
      <c r="AH44" s="456"/>
      <c r="AI44" s="456"/>
      <c r="AJ44" s="456"/>
      <c r="AK44" s="456"/>
      <c r="AL44" s="460"/>
      <c r="AM44" s="456"/>
      <c r="AN44" s="488"/>
      <c r="AO44" s="488"/>
      <c r="AP44" s="456"/>
      <c r="AQ44" s="456"/>
      <c r="AR44" s="456"/>
      <c r="AS44" s="456"/>
      <c r="AU44" s="456"/>
      <c r="AV44" s="456"/>
      <c r="AW44" s="456"/>
      <c r="AX44" s="470"/>
      <c r="AY44" s="470"/>
      <c r="BB44" s="456"/>
      <c r="BC44" s="460"/>
    </row>
    <row r="45" spans="1:55" ht="15.75" x14ac:dyDescent="0.25">
      <c r="A45" s="514"/>
      <c r="B45" s="515"/>
      <c r="C45" s="474"/>
      <c r="D45" s="474"/>
      <c r="E45" s="532"/>
      <c r="F45" s="532"/>
      <c r="G45" s="474"/>
      <c r="H45" s="456"/>
      <c r="I45" s="456"/>
      <c r="J45" s="527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533"/>
      <c r="Z45" s="456"/>
      <c r="AA45" s="456"/>
      <c r="AB45" s="456"/>
      <c r="AC45" s="456"/>
      <c r="AD45" s="456"/>
      <c r="AE45" s="456"/>
      <c r="AF45" s="456"/>
      <c r="AG45" s="456"/>
      <c r="AH45" s="456"/>
      <c r="AI45" s="456"/>
      <c r="AJ45" s="456"/>
      <c r="AK45" s="456"/>
      <c r="AM45" s="456"/>
      <c r="AN45" s="474"/>
      <c r="AO45" s="456"/>
      <c r="AP45" s="456"/>
      <c r="AQ45" s="456"/>
      <c r="AR45" s="456"/>
      <c r="AS45" s="456"/>
      <c r="AU45" s="456"/>
      <c r="AV45" s="456"/>
      <c r="AW45" s="456"/>
      <c r="AX45" s="456"/>
      <c r="AY45" s="470"/>
      <c r="BB45" s="456"/>
      <c r="BC45" s="460"/>
    </row>
    <row r="46" spans="1:55" ht="15.75" x14ac:dyDescent="0.25">
      <c r="A46" s="514"/>
      <c r="B46" s="525"/>
      <c r="C46" s="474"/>
      <c r="D46" s="474"/>
      <c r="E46" s="532"/>
      <c r="F46" s="532"/>
      <c r="G46" s="474"/>
      <c r="H46" s="456"/>
      <c r="I46" s="456"/>
      <c r="J46" s="529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533"/>
      <c r="Y46" s="456"/>
      <c r="Z46" s="456"/>
      <c r="AA46" s="456"/>
      <c r="AB46" s="456"/>
      <c r="AC46" s="456"/>
      <c r="AD46" s="456"/>
      <c r="AE46" s="456"/>
      <c r="AF46" s="456"/>
      <c r="AG46" s="456"/>
      <c r="AH46" s="456"/>
      <c r="AI46" s="456"/>
      <c r="AJ46" s="456"/>
      <c r="AK46" s="456"/>
      <c r="AM46" s="456"/>
      <c r="AN46" s="456"/>
      <c r="AO46" s="456"/>
      <c r="AP46" s="456"/>
      <c r="AQ46" s="456"/>
      <c r="AR46" s="456"/>
      <c r="AS46" s="456"/>
      <c r="AU46" s="456"/>
      <c r="AV46" s="456"/>
      <c r="AW46" s="456"/>
      <c r="AX46" s="456"/>
      <c r="AY46" s="456"/>
      <c r="BC46" s="460"/>
    </row>
    <row r="47" spans="1:55" ht="16.5" thickBot="1" x14ac:dyDescent="0.3">
      <c r="A47" s="514"/>
      <c r="B47" s="525"/>
      <c r="C47" s="474"/>
      <c r="D47" s="474"/>
      <c r="E47" s="474"/>
      <c r="F47" s="474"/>
      <c r="G47" s="474"/>
      <c r="H47" s="456"/>
      <c r="I47" s="456"/>
      <c r="J47" s="527"/>
      <c r="K47" s="456"/>
      <c r="L47" s="481"/>
      <c r="M47" s="481"/>
      <c r="N47" s="481"/>
      <c r="O47" s="481"/>
      <c r="P47" s="481"/>
      <c r="Q47" s="481"/>
      <c r="R47" s="481"/>
      <c r="S47" s="481"/>
      <c r="T47" s="456"/>
      <c r="U47" s="456"/>
      <c r="V47" s="456"/>
      <c r="W47" s="533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6"/>
      <c r="AI47" s="456"/>
      <c r="AJ47" s="456"/>
      <c r="AK47" s="456"/>
      <c r="AM47" s="456"/>
      <c r="AN47" s="456"/>
      <c r="AO47" s="456"/>
      <c r="AP47" s="456"/>
      <c r="AQ47" s="456"/>
      <c r="AR47" s="456"/>
      <c r="AS47" s="456"/>
      <c r="AU47" s="456"/>
      <c r="AV47" s="456"/>
      <c r="AW47" s="456"/>
      <c r="AX47" s="456"/>
      <c r="AY47" s="456"/>
      <c r="BC47" s="460"/>
    </row>
    <row r="48" spans="1:55" x14ac:dyDescent="0.25">
      <c r="A48" s="467"/>
      <c r="B48" s="456"/>
      <c r="C48" s="534"/>
      <c r="D48" s="456"/>
      <c r="E48" s="456"/>
      <c r="F48" s="456"/>
      <c r="G48" s="456"/>
      <c r="H48" s="456"/>
      <c r="I48" s="456"/>
      <c r="J48" s="527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456"/>
      <c r="X48" s="456"/>
      <c r="Y48" s="456"/>
      <c r="Z48" s="456"/>
      <c r="AA48" s="456"/>
      <c r="AB48" s="456"/>
      <c r="AC48" s="456"/>
      <c r="AD48" s="456"/>
      <c r="AE48" s="456"/>
      <c r="AF48" s="456"/>
      <c r="AG48" s="456"/>
      <c r="AH48" s="456"/>
      <c r="AI48" s="456"/>
      <c r="AJ48" s="456"/>
      <c r="AK48" s="456"/>
      <c r="AM48" s="456"/>
      <c r="AN48" s="456"/>
      <c r="AO48" s="456"/>
      <c r="AP48" s="456"/>
      <c r="AQ48" s="456"/>
      <c r="AR48" s="456"/>
      <c r="AS48" s="456"/>
      <c r="BC48" s="460"/>
    </row>
    <row r="49" spans="1:55" ht="18.75" x14ac:dyDescent="0.25">
      <c r="A49" s="467"/>
      <c r="B49" s="456"/>
      <c r="C49" s="535"/>
      <c r="D49" s="536"/>
      <c r="E49" s="456"/>
      <c r="F49" s="456"/>
      <c r="G49" s="456"/>
      <c r="H49" s="456"/>
      <c r="I49" s="456"/>
      <c r="J49" s="529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456"/>
      <c r="AD49" s="456"/>
      <c r="AE49" s="456"/>
      <c r="AF49" s="456"/>
      <c r="AG49" s="456"/>
      <c r="AH49" s="456"/>
      <c r="AI49" s="456"/>
      <c r="AJ49" s="456"/>
      <c r="AK49" s="456"/>
      <c r="AM49" s="456"/>
      <c r="AN49" s="456"/>
      <c r="AO49" s="456"/>
      <c r="AP49" s="456"/>
      <c r="AQ49" s="456"/>
      <c r="AR49" s="456"/>
      <c r="AS49" s="456"/>
      <c r="BC49" s="460"/>
    </row>
    <row r="50" spans="1:55" ht="15.75" thickBot="1" x14ac:dyDescent="0.3">
      <c r="A50" s="467"/>
      <c r="J50" s="456"/>
      <c r="K50" s="489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  <c r="AE50" s="456"/>
      <c r="AF50" s="456"/>
      <c r="BC50" s="460"/>
    </row>
    <row r="51" spans="1:55" x14ac:dyDescent="0.25">
      <c r="A51" s="467"/>
      <c r="B51" s="537"/>
      <c r="C51" s="537"/>
      <c r="D51" s="537"/>
      <c r="E51" s="537"/>
      <c r="F51" s="537"/>
      <c r="G51" s="537"/>
      <c r="H51" s="537"/>
      <c r="I51" s="537"/>
      <c r="J51" s="504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533"/>
      <c r="Z51" s="538"/>
      <c r="AA51" s="539"/>
      <c r="AB51" s="539"/>
      <c r="AC51" s="539"/>
      <c r="AD51" s="539"/>
      <c r="AE51" s="539"/>
      <c r="AF51" s="540"/>
      <c r="BC51" s="460"/>
    </row>
    <row r="52" spans="1:55" x14ac:dyDescent="0.25">
      <c r="A52" s="467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533"/>
      <c r="Y52" s="456"/>
      <c r="Z52" s="541"/>
      <c r="AA52" s="542"/>
      <c r="AB52" s="542"/>
      <c r="AC52" s="542"/>
      <c r="AD52" s="542"/>
      <c r="AE52" s="542"/>
      <c r="AF52" s="543"/>
      <c r="AH52" s="456"/>
      <c r="AI52" s="456"/>
      <c r="AJ52" s="456"/>
      <c r="AK52" s="456"/>
      <c r="AL52" s="456"/>
      <c r="BC52" s="460"/>
    </row>
    <row r="53" spans="1:55" ht="16.5" thickBot="1" x14ac:dyDescent="0.3">
      <c r="A53" s="467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533"/>
      <c r="X53" s="456"/>
      <c r="Y53" s="456"/>
      <c r="Z53" s="544"/>
      <c r="AA53" s="545"/>
      <c r="AB53" s="545"/>
      <c r="AC53" s="545"/>
      <c r="AD53" s="545"/>
      <c r="AE53" s="545"/>
      <c r="AF53" s="546"/>
      <c r="AH53" s="501"/>
      <c r="AI53" s="501"/>
      <c r="AJ53" s="501"/>
      <c r="AK53" s="501"/>
      <c r="AL53" s="456"/>
      <c r="BC53" s="460"/>
    </row>
    <row r="54" spans="1:55" x14ac:dyDescent="0.25">
      <c r="B54" s="537"/>
      <c r="C54" s="537"/>
      <c r="D54" s="537"/>
      <c r="E54" s="537"/>
      <c r="F54" s="537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  <c r="Z54" s="537"/>
      <c r="AA54" s="537"/>
      <c r="AB54" s="537"/>
      <c r="AC54" s="537"/>
      <c r="AD54" s="537"/>
      <c r="AE54" s="537"/>
      <c r="AF54" s="537"/>
      <c r="AG54" s="537"/>
      <c r="AH54" s="504"/>
      <c r="AI54" s="504"/>
      <c r="AJ54" s="504"/>
      <c r="AK54" s="504"/>
      <c r="AL54" s="504"/>
      <c r="AM54" s="537"/>
      <c r="AN54" s="537"/>
      <c r="AO54" s="537"/>
      <c r="AP54" s="537"/>
      <c r="AQ54" s="537"/>
      <c r="AR54" s="537"/>
      <c r="AS54" s="537"/>
      <c r="AT54" s="537"/>
      <c r="AU54" s="537"/>
      <c r="AV54" s="537"/>
      <c r="AW54" s="537"/>
      <c r="AX54" s="537"/>
      <c r="AY54" s="537"/>
      <c r="AZ54" s="537"/>
      <c r="BA54" s="537"/>
      <c r="BB54" s="537"/>
    </row>
    <row r="55" spans="1:55" x14ac:dyDescent="0.25">
      <c r="AH55" s="456"/>
      <c r="AI55" s="456"/>
      <c r="AJ55" s="456"/>
      <c r="AK55" s="456"/>
      <c r="AL55" s="456"/>
    </row>
  </sheetData>
  <mergeCells count="11">
    <mergeCell ref="H30:I31"/>
    <mergeCell ref="AO32:AP32"/>
    <mergeCell ref="Z51:AF53"/>
    <mergeCell ref="A1:BC1"/>
    <mergeCell ref="B3:F6"/>
    <mergeCell ref="AB3:AF6"/>
    <mergeCell ref="AL3:BB8"/>
    <mergeCell ref="E9:F9"/>
    <mergeCell ref="W14:Y20"/>
    <mergeCell ref="AU18:AV18"/>
    <mergeCell ref="AN18:AQ18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C480"/>
  <sheetViews>
    <sheetView topLeftCell="X1" zoomScale="55" zoomScaleNormal="55" workbookViewId="0">
      <selection activeCell="AL1" sqref="A1:XFD1048576"/>
    </sheetView>
  </sheetViews>
  <sheetFormatPr baseColWidth="10" defaultColWidth="16" defaultRowHeight="15" x14ac:dyDescent="0.25"/>
  <cols>
    <col min="1" max="16384" width="16" style="8"/>
  </cols>
  <sheetData>
    <row r="1" spans="1:55" ht="36.75" thickBot="1" x14ac:dyDescent="0.3">
      <c r="A1" s="334" t="s">
        <v>163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5"/>
    </row>
    <row r="2" spans="1:55" ht="15.75" thickBo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55" ht="15" customHeight="1" x14ac:dyDescent="0.25">
      <c r="B3" s="439" t="s">
        <v>164</v>
      </c>
      <c r="C3" s="440"/>
      <c r="D3" s="440"/>
      <c r="E3" s="440"/>
      <c r="F3" s="441"/>
      <c r="AB3" s="439" t="s">
        <v>165</v>
      </c>
      <c r="AC3" s="440"/>
      <c r="AD3" s="440"/>
      <c r="AE3" s="440"/>
      <c r="AF3" s="441"/>
      <c r="AL3" s="439" t="s">
        <v>166</v>
      </c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1"/>
    </row>
    <row r="4" spans="1:55" x14ac:dyDescent="0.25">
      <c r="B4" s="442"/>
      <c r="C4" s="443"/>
      <c r="D4" s="443"/>
      <c r="E4" s="443"/>
      <c r="F4" s="444"/>
      <c r="AB4" s="442"/>
      <c r="AC4" s="443"/>
      <c r="AD4" s="443"/>
      <c r="AE4" s="443"/>
      <c r="AF4" s="444"/>
      <c r="AL4" s="442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4"/>
    </row>
    <row r="5" spans="1:55" x14ac:dyDescent="0.25">
      <c r="B5" s="442"/>
      <c r="C5" s="443"/>
      <c r="D5" s="443"/>
      <c r="E5" s="443"/>
      <c r="F5" s="444"/>
      <c r="AB5" s="442"/>
      <c r="AC5" s="443"/>
      <c r="AD5" s="443"/>
      <c r="AE5" s="443"/>
      <c r="AF5" s="444"/>
      <c r="AL5" s="442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3"/>
      <c r="AZ5" s="443"/>
      <c r="BA5" s="443"/>
      <c r="BB5" s="444"/>
      <c r="BC5" s="23"/>
    </row>
    <row r="6" spans="1:55" ht="15.75" thickBot="1" x14ac:dyDescent="0.3">
      <c r="B6" s="445"/>
      <c r="C6" s="446"/>
      <c r="D6" s="446"/>
      <c r="E6" s="446"/>
      <c r="F6" s="447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U6" s="22"/>
      <c r="V6" s="22"/>
      <c r="W6" s="22"/>
      <c r="X6" s="22"/>
      <c r="Y6" s="22"/>
      <c r="Z6" s="22"/>
      <c r="AA6" s="25"/>
      <c r="AB6" s="445"/>
      <c r="AC6" s="446"/>
      <c r="AD6" s="446"/>
      <c r="AE6" s="446"/>
      <c r="AF6" s="447"/>
      <c r="AL6" s="442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3"/>
      <c r="AY6" s="443"/>
      <c r="AZ6" s="443"/>
      <c r="BA6" s="443"/>
      <c r="BB6" s="444"/>
      <c r="BC6" s="23"/>
    </row>
    <row r="7" spans="1:55" ht="15.75" x14ac:dyDescent="0.25">
      <c r="A7" s="26"/>
      <c r="R7" s="27"/>
      <c r="S7" s="28"/>
      <c r="T7" s="27"/>
      <c r="AL7" s="442"/>
      <c r="AM7" s="443"/>
      <c r="AN7" s="443"/>
      <c r="AO7" s="443"/>
      <c r="AP7" s="443"/>
      <c r="AQ7" s="443"/>
      <c r="AR7" s="443"/>
      <c r="AS7" s="443"/>
      <c r="AT7" s="443"/>
      <c r="AU7" s="443"/>
      <c r="AV7" s="443"/>
      <c r="AW7" s="443"/>
      <c r="AX7" s="443"/>
      <c r="AY7" s="443"/>
      <c r="AZ7" s="443"/>
      <c r="BA7" s="443"/>
      <c r="BB7" s="444"/>
      <c r="BC7" s="23"/>
    </row>
    <row r="8" spans="1:55" ht="15.75" thickBot="1" x14ac:dyDescent="0.3">
      <c r="A8" s="26"/>
      <c r="AL8" s="445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7"/>
      <c r="BC8" s="23"/>
    </row>
    <row r="9" spans="1:55" ht="15.75" x14ac:dyDescent="0.25">
      <c r="A9" s="26"/>
      <c r="B9" s="29" t="s">
        <v>167</v>
      </c>
      <c r="E9" s="448" t="s">
        <v>168</v>
      </c>
      <c r="F9" s="448"/>
      <c r="AD9" s="30" t="s">
        <v>169</v>
      </c>
      <c r="AE9" s="30" t="s">
        <v>169</v>
      </c>
      <c r="AL9" s="23"/>
      <c r="BC9" s="23"/>
    </row>
    <row r="10" spans="1:55" ht="15.75" x14ac:dyDescent="0.25">
      <c r="A10" s="26"/>
      <c r="B10" s="29" t="s">
        <v>167</v>
      </c>
      <c r="E10" s="31" t="s">
        <v>170</v>
      </c>
      <c r="F10" s="31" t="s">
        <v>170</v>
      </c>
      <c r="AL10" s="23"/>
      <c r="BC10" s="23"/>
    </row>
    <row r="11" spans="1:55" ht="15.75" x14ac:dyDescent="0.25">
      <c r="A11" s="26"/>
      <c r="B11" s="29" t="s">
        <v>167</v>
      </c>
      <c r="E11" s="31" t="s">
        <v>170</v>
      </c>
      <c r="F11" s="31" t="s">
        <v>170</v>
      </c>
      <c r="J11" s="32" t="s">
        <v>171</v>
      </c>
      <c r="Q11" s="8" t="s">
        <v>172</v>
      </c>
      <c r="AL11" s="23"/>
      <c r="AN11" s="8" t="s">
        <v>173</v>
      </c>
      <c r="BC11" s="23"/>
    </row>
    <row r="12" spans="1:55" ht="15.75" x14ac:dyDescent="0.25">
      <c r="A12" s="26"/>
      <c r="B12" s="33"/>
      <c r="E12" s="31" t="s">
        <v>170</v>
      </c>
      <c r="F12" s="31" t="s">
        <v>170</v>
      </c>
      <c r="J12" s="34" t="s">
        <v>174</v>
      </c>
      <c r="K12" s="34" t="s">
        <v>174</v>
      </c>
      <c r="L12" s="35" t="s">
        <v>174</v>
      </c>
      <c r="M12" s="36"/>
      <c r="Q12" s="29" t="s">
        <v>167</v>
      </c>
      <c r="R12" s="29" t="s">
        <v>167</v>
      </c>
      <c r="S12" s="29" t="s">
        <v>167</v>
      </c>
      <c r="AL12" s="23"/>
      <c r="AN12" s="29" t="s">
        <v>167</v>
      </c>
      <c r="AO12" s="29" t="s">
        <v>167</v>
      </c>
      <c r="AX12" s="37" t="s">
        <v>175</v>
      </c>
      <c r="AY12" s="37" t="s">
        <v>175</v>
      </c>
      <c r="BC12" s="23"/>
    </row>
    <row r="13" spans="1:55" ht="16.5" thickBot="1" x14ac:dyDescent="0.3">
      <c r="A13" s="26"/>
      <c r="B13" s="29" t="s">
        <v>167</v>
      </c>
      <c r="E13" s="31" t="s">
        <v>170</v>
      </c>
      <c r="F13" s="31" t="s">
        <v>170</v>
      </c>
      <c r="J13" s="34" t="s">
        <v>174</v>
      </c>
      <c r="K13" s="34" t="s">
        <v>174</v>
      </c>
      <c r="L13" s="35" t="s">
        <v>174</v>
      </c>
      <c r="M13" s="36"/>
      <c r="Q13" s="29" t="s">
        <v>167</v>
      </c>
      <c r="R13" s="29" t="s">
        <v>167</v>
      </c>
      <c r="S13" s="29" t="s">
        <v>167</v>
      </c>
      <c r="X13" s="38"/>
      <c r="Y13" s="38"/>
      <c r="AL13" s="23"/>
      <c r="AO13" s="29" t="s">
        <v>167</v>
      </c>
      <c r="AP13" s="29" t="s">
        <v>167</v>
      </c>
      <c r="AW13" s="37" t="s">
        <v>175</v>
      </c>
      <c r="AX13" s="37" t="s">
        <v>175</v>
      </c>
      <c r="BB13" s="39" t="s">
        <v>176</v>
      </c>
      <c r="BC13" s="23"/>
    </row>
    <row r="14" spans="1:55" ht="15.75" x14ac:dyDescent="0.25">
      <c r="A14" s="26"/>
      <c r="B14" s="29" t="s">
        <v>167</v>
      </c>
      <c r="F14" s="40"/>
      <c r="W14" s="439" t="s">
        <v>177</v>
      </c>
      <c r="X14" s="443"/>
      <c r="Y14" s="443"/>
      <c r="Z14" s="41"/>
      <c r="AL14" s="23"/>
      <c r="AP14" s="29" t="s">
        <v>167</v>
      </c>
      <c r="AQ14" s="29" t="s">
        <v>167</v>
      </c>
      <c r="AV14" s="37" t="s">
        <v>175</v>
      </c>
      <c r="AW14" s="37" t="s">
        <v>175</v>
      </c>
      <c r="BB14" s="39" t="s">
        <v>176</v>
      </c>
      <c r="BC14" s="23"/>
    </row>
    <row r="15" spans="1:55" ht="15.75" x14ac:dyDescent="0.25">
      <c r="A15" s="26"/>
      <c r="B15" s="29" t="s">
        <v>167</v>
      </c>
      <c r="F15" s="40"/>
      <c r="W15" s="442"/>
      <c r="X15" s="443"/>
      <c r="Y15" s="443"/>
      <c r="Z15" s="41"/>
      <c r="AL15" s="23"/>
      <c r="AQ15" s="29" t="s">
        <v>167</v>
      </c>
      <c r="AR15" s="29" t="s">
        <v>167</v>
      </c>
      <c r="AU15" s="37" t="s">
        <v>175</v>
      </c>
      <c r="AV15" s="37" t="s">
        <v>175</v>
      </c>
      <c r="BB15" s="39" t="s">
        <v>176</v>
      </c>
      <c r="BC15" s="23"/>
    </row>
    <row r="16" spans="1:55" ht="15.75" x14ac:dyDescent="0.25">
      <c r="A16" s="26"/>
      <c r="B16" s="29" t="s">
        <v>167</v>
      </c>
      <c r="E16" s="31" t="s">
        <v>170</v>
      </c>
      <c r="F16" s="31" t="s">
        <v>170</v>
      </c>
      <c r="P16" s="8" t="s">
        <v>178</v>
      </c>
      <c r="W16" s="442"/>
      <c r="X16" s="443"/>
      <c r="Y16" s="444"/>
      <c r="Z16" s="30" t="s">
        <v>169</v>
      </c>
      <c r="AL16" s="23"/>
      <c r="BB16" s="39" t="s">
        <v>176</v>
      </c>
      <c r="BC16" s="23"/>
    </row>
    <row r="17" spans="1:55" ht="15.75" x14ac:dyDescent="0.25">
      <c r="A17" s="26"/>
      <c r="B17" s="29" t="s">
        <v>167</v>
      </c>
      <c r="C17" s="8" t="s">
        <v>179</v>
      </c>
      <c r="E17" s="31" t="s">
        <v>170</v>
      </c>
      <c r="F17" s="31" t="s">
        <v>170</v>
      </c>
      <c r="J17" s="42" t="s">
        <v>180</v>
      </c>
      <c r="K17" s="42" t="s">
        <v>180</v>
      </c>
      <c r="L17" s="42" t="s">
        <v>180</v>
      </c>
      <c r="M17" s="42" t="s">
        <v>180</v>
      </c>
      <c r="P17" s="29" t="s">
        <v>167</v>
      </c>
      <c r="Q17" s="29" t="s">
        <v>167</v>
      </c>
      <c r="R17" s="29" t="s">
        <v>167</v>
      </c>
      <c r="S17" s="29" t="s">
        <v>167</v>
      </c>
      <c r="W17" s="442"/>
      <c r="X17" s="443"/>
      <c r="Y17" s="444"/>
      <c r="Z17" s="30" t="s">
        <v>169</v>
      </c>
      <c r="AL17" s="23"/>
      <c r="AW17" s="1"/>
      <c r="AX17" s="1"/>
      <c r="AY17" s="1"/>
      <c r="BB17" s="39" t="s">
        <v>176</v>
      </c>
      <c r="BC17" s="23"/>
    </row>
    <row r="18" spans="1:55" ht="21" x14ac:dyDescent="0.35">
      <c r="A18" s="26"/>
      <c r="B18" s="33"/>
      <c r="E18" s="31" t="s">
        <v>170</v>
      </c>
      <c r="F18" s="31" t="s">
        <v>170</v>
      </c>
      <c r="J18" s="42" t="s">
        <v>180</v>
      </c>
      <c r="K18" s="42" t="s">
        <v>180</v>
      </c>
      <c r="L18" s="42" t="s">
        <v>180</v>
      </c>
      <c r="M18" s="42" t="s">
        <v>180</v>
      </c>
      <c r="P18" s="29" t="s">
        <v>167</v>
      </c>
      <c r="Q18" s="29" t="s">
        <v>167</v>
      </c>
      <c r="R18" s="29" t="s">
        <v>167</v>
      </c>
      <c r="S18" s="29" t="s">
        <v>167</v>
      </c>
      <c r="W18" s="442"/>
      <c r="X18" s="443"/>
      <c r="Y18" s="444"/>
      <c r="Z18" s="30" t="s">
        <v>169</v>
      </c>
      <c r="AL18" s="23"/>
      <c r="AN18" s="346" t="s">
        <v>181</v>
      </c>
      <c r="AO18" s="346"/>
      <c r="AP18" s="346"/>
      <c r="AQ18" s="346"/>
      <c r="AU18" s="324" t="s">
        <v>181</v>
      </c>
      <c r="AV18" s="324"/>
      <c r="BB18" s="39" t="s">
        <v>176</v>
      </c>
      <c r="BC18" s="23"/>
    </row>
    <row r="19" spans="1:55" ht="18.75" x14ac:dyDescent="0.3">
      <c r="A19" s="26"/>
      <c r="B19" s="43" t="s">
        <v>182</v>
      </c>
      <c r="E19" s="31" t="s">
        <v>170</v>
      </c>
      <c r="F19" s="31" t="s">
        <v>170</v>
      </c>
      <c r="W19" s="442"/>
      <c r="X19" s="443"/>
      <c r="Y19" s="444"/>
      <c r="Z19" s="30" t="s">
        <v>169</v>
      </c>
      <c r="AL19" s="23"/>
      <c r="AN19" s="5">
        <v>1</v>
      </c>
      <c r="AO19" s="5">
        <v>2</v>
      </c>
      <c r="AP19" s="5">
        <v>3</v>
      </c>
      <c r="AQ19" s="5">
        <v>4</v>
      </c>
      <c r="AU19" s="44"/>
      <c r="AV19" s="44"/>
      <c r="AW19" s="2" t="s">
        <v>183</v>
      </c>
      <c r="BB19" s="39" t="s">
        <v>176</v>
      </c>
      <c r="BC19" s="23"/>
    </row>
    <row r="20" spans="1:55" ht="24" thickBot="1" x14ac:dyDescent="0.4">
      <c r="A20" s="26"/>
      <c r="B20" s="43" t="s">
        <v>182</v>
      </c>
      <c r="W20" s="445"/>
      <c r="X20" s="446"/>
      <c r="Y20" s="447"/>
      <c r="AL20" s="23"/>
      <c r="AM20" s="2" t="s">
        <v>196</v>
      </c>
      <c r="AN20" s="45" t="s">
        <v>185</v>
      </c>
      <c r="AO20" s="45" t="s">
        <v>185</v>
      </c>
      <c r="AP20" s="45" t="s">
        <v>185</v>
      </c>
      <c r="AQ20" s="45" t="s">
        <v>185</v>
      </c>
      <c r="AS20" s="3">
        <v>1</v>
      </c>
      <c r="AT20" s="44" t="s">
        <v>185</v>
      </c>
      <c r="AU20" s="14" t="s">
        <v>112</v>
      </c>
      <c r="AV20" s="19" t="s">
        <v>7</v>
      </c>
      <c r="AW20" s="44" t="s">
        <v>185</v>
      </c>
      <c r="AX20" s="4">
        <v>8</v>
      </c>
      <c r="BB20" s="39" t="s">
        <v>176</v>
      </c>
      <c r="BC20" s="23"/>
    </row>
    <row r="21" spans="1:55" ht="23.25" x14ac:dyDescent="0.35">
      <c r="A21" s="26"/>
      <c r="B21" s="43" t="s">
        <v>182</v>
      </c>
      <c r="AG21" s="46" t="s">
        <v>186</v>
      </c>
      <c r="AH21" s="46" t="s">
        <v>186</v>
      </c>
      <c r="AI21" s="46" t="s">
        <v>186</v>
      </c>
      <c r="AJ21" s="46" t="s">
        <v>186</v>
      </c>
      <c r="AL21" s="23"/>
      <c r="AM21" s="45"/>
      <c r="AN21" s="47" t="s">
        <v>149</v>
      </c>
      <c r="AO21" s="47" t="s">
        <v>149</v>
      </c>
      <c r="AP21" s="47" t="s">
        <v>149</v>
      </c>
      <c r="AQ21" s="47" t="s">
        <v>149</v>
      </c>
      <c r="AR21" s="45"/>
      <c r="AS21" s="3">
        <v>2</v>
      </c>
      <c r="AT21" s="44" t="s">
        <v>185</v>
      </c>
      <c r="AU21" s="14" t="s">
        <v>112</v>
      </c>
      <c r="AV21" s="19" t="s">
        <v>7</v>
      </c>
      <c r="AW21" s="44" t="s">
        <v>185</v>
      </c>
      <c r="AX21" s="4">
        <v>7</v>
      </c>
      <c r="BB21" s="39" t="s">
        <v>176</v>
      </c>
      <c r="BC21" s="23"/>
    </row>
    <row r="22" spans="1:55" ht="23.25" x14ac:dyDescent="0.35">
      <c r="A22" s="26"/>
      <c r="B22" s="43" t="s">
        <v>182</v>
      </c>
      <c r="E22" s="48" t="s">
        <v>184</v>
      </c>
      <c r="F22" s="48" t="s">
        <v>184</v>
      </c>
      <c r="J22" s="8" t="s">
        <v>187</v>
      </c>
      <c r="P22" s="8" t="s">
        <v>188</v>
      </c>
      <c r="AG22" s="46" t="s">
        <v>186</v>
      </c>
      <c r="AH22" s="46" t="s">
        <v>186</v>
      </c>
      <c r="AI22" s="46" t="s">
        <v>186</v>
      </c>
      <c r="AJ22" s="46" t="s">
        <v>186</v>
      </c>
      <c r="AL22" s="23"/>
      <c r="AM22" s="45"/>
      <c r="AN22" s="47" t="s">
        <v>149</v>
      </c>
      <c r="AO22" s="47" t="s">
        <v>149</v>
      </c>
      <c r="AP22" s="47" t="s">
        <v>149</v>
      </c>
      <c r="AQ22" s="47" t="s">
        <v>149</v>
      </c>
      <c r="AR22" s="45"/>
      <c r="AS22" s="3">
        <v>3</v>
      </c>
      <c r="AT22" s="44" t="s">
        <v>185</v>
      </c>
      <c r="AU22" s="14" t="s">
        <v>112</v>
      </c>
      <c r="AV22" s="17" t="s">
        <v>5</v>
      </c>
      <c r="AW22" s="44" t="s">
        <v>185</v>
      </c>
      <c r="AX22" s="4">
        <v>6</v>
      </c>
      <c r="BB22" s="39" t="s">
        <v>176</v>
      </c>
      <c r="BC22" s="23"/>
    </row>
    <row r="23" spans="1:55" ht="23.25" x14ac:dyDescent="0.35">
      <c r="A23" s="26"/>
      <c r="B23" s="43" t="s">
        <v>182</v>
      </c>
      <c r="E23" s="48" t="s">
        <v>184</v>
      </c>
      <c r="F23" s="48" t="s">
        <v>184</v>
      </c>
      <c r="J23" s="49" t="s">
        <v>189</v>
      </c>
      <c r="K23" s="49" t="s">
        <v>189</v>
      </c>
      <c r="L23" s="49" t="s">
        <v>189</v>
      </c>
      <c r="M23" s="49" t="s">
        <v>189</v>
      </c>
      <c r="P23" s="29" t="s">
        <v>167</v>
      </c>
      <c r="Q23" s="29" t="s">
        <v>167</v>
      </c>
      <c r="R23" s="29" t="s">
        <v>167</v>
      </c>
      <c r="S23" s="29" t="s">
        <v>167</v>
      </c>
      <c r="AL23" s="23"/>
      <c r="AN23" s="45" t="s">
        <v>185</v>
      </c>
      <c r="AO23" s="45" t="s">
        <v>185</v>
      </c>
      <c r="AP23" s="45" t="s">
        <v>185</v>
      </c>
      <c r="AQ23" s="45" t="s">
        <v>185</v>
      </c>
      <c r="AS23" s="3">
        <v>4</v>
      </c>
      <c r="AT23" s="44" t="s">
        <v>185</v>
      </c>
      <c r="AU23" s="14" t="s">
        <v>112</v>
      </c>
      <c r="AV23" s="17" t="s">
        <v>5</v>
      </c>
      <c r="AW23" s="44" t="s">
        <v>185</v>
      </c>
      <c r="AX23" s="4">
        <v>5</v>
      </c>
      <c r="BB23" s="39" t="s">
        <v>176</v>
      </c>
      <c r="BC23" s="23"/>
    </row>
    <row r="24" spans="1:55" ht="18.75" x14ac:dyDescent="0.3">
      <c r="A24" s="26"/>
      <c r="B24" s="43" t="s">
        <v>182</v>
      </c>
      <c r="E24" s="48" t="s">
        <v>184</v>
      </c>
      <c r="F24" s="48" t="s">
        <v>184</v>
      </c>
      <c r="J24" s="49" t="s">
        <v>189</v>
      </c>
      <c r="K24" s="49" t="s">
        <v>189</v>
      </c>
      <c r="L24" s="49" t="s">
        <v>189</v>
      </c>
      <c r="M24" s="49" t="s">
        <v>189</v>
      </c>
      <c r="P24" s="29" t="s">
        <v>167</v>
      </c>
      <c r="Q24" s="29" t="s">
        <v>167</v>
      </c>
      <c r="R24" s="29" t="s">
        <v>167</v>
      </c>
      <c r="S24" s="29" t="s">
        <v>167</v>
      </c>
      <c r="AL24" s="23"/>
      <c r="AN24" s="5">
        <v>8</v>
      </c>
      <c r="AO24" s="5">
        <v>4</v>
      </c>
      <c r="AP24" s="5">
        <v>6</v>
      </c>
      <c r="AQ24" s="5">
        <v>5</v>
      </c>
      <c r="AU24" s="44"/>
      <c r="AV24" s="44"/>
      <c r="BB24" s="39" t="s">
        <v>176</v>
      </c>
      <c r="BC24" s="23"/>
    </row>
    <row r="25" spans="1:55" ht="15.75" x14ac:dyDescent="0.25">
      <c r="A25" s="26"/>
      <c r="E25" s="48" t="s">
        <v>184</v>
      </c>
      <c r="F25" s="48" t="s">
        <v>184</v>
      </c>
      <c r="J25" s="8" t="s">
        <v>187</v>
      </c>
      <c r="AL25" s="23"/>
      <c r="BB25" s="50" t="s">
        <v>190</v>
      </c>
      <c r="BC25" s="23"/>
    </row>
    <row r="26" spans="1:55" ht="15.75" x14ac:dyDescent="0.25">
      <c r="A26" s="26"/>
      <c r="AL26" s="23"/>
      <c r="BB26" s="50" t="s">
        <v>190</v>
      </c>
      <c r="BC26" s="23"/>
    </row>
    <row r="27" spans="1:55" ht="15.75" x14ac:dyDescent="0.25">
      <c r="A27" s="26"/>
      <c r="AG27" s="51" t="s">
        <v>191</v>
      </c>
      <c r="AH27" s="51" t="s">
        <v>191</v>
      </c>
      <c r="AI27" s="51" t="s">
        <v>191</v>
      </c>
      <c r="AJ27" s="51" t="s">
        <v>191</v>
      </c>
      <c r="AL27" s="23"/>
      <c r="BB27" s="50" t="s">
        <v>190</v>
      </c>
      <c r="BC27" s="23"/>
    </row>
    <row r="28" spans="1:55" ht="15.75" x14ac:dyDescent="0.25">
      <c r="A28" s="26"/>
      <c r="AG28" s="51" t="s">
        <v>191</v>
      </c>
      <c r="AH28" s="51" t="s">
        <v>191</v>
      </c>
      <c r="AI28" s="51" t="s">
        <v>191</v>
      </c>
      <c r="AJ28" s="51" t="s">
        <v>191</v>
      </c>
      <c r="AL28" s="23"/>
      <c r="AR28" s="8" t="s">
        <v>192</v>
      </c>
      <c r="AS28" s="52" t="s">
        <v>193</v>
      </c>
      <c r="AT28" s="52" t="s">
        <v>193</v>
      </c>
      <c r="AU28" s="8" t="s">
        <v>194</v>
      </c>
      <c r="BB28" s="50" t="s">
        <v>190</v>
      </c>
      <c r="BC28" s="23"/>
    </row>
    <row r="29" spans="1:55" ht="16.5" thickBot="1" x14ac:dyDescent="0.3">
      <c r="A29" s="26"/>
      <c r="J29" s="52" t="s">
        <v>193</v>
      </c>
      <c r="K29" s="53" t="s">
        <v>193</v>
      </c>
      <c r="L29" s="53" t="s">
        <v>193</v>
      </c>
      <c r="M29" s="53" t="s">
        <v>193</v>
      </c>
      <c r="N29" s="53" t="s">
        <v>193</v>
      </c>
      <c r="O29" s="52" t="s">
        <v>193</v>
      </c>
      <c r="AL29" s="23"/>
      <c r="AR29" s="8" t="s">
        <v>192</v>
      </c>
      <c r="AS29" s="52" t="s">
        <v>193</v>
      </c>
      <c r="AT29" s="52" t="s">
        <v>193</v>
      </c>
      <c r="AU29" s="8" t="s">
        <v>194</v>
      </c>
      <c r="BB29" s="50" t="s">
        <v>190</v>
      </c>
      <c r="BC29" s="23"/>
    </row>
    <row r="30" spans="1:55" ht="15.75" x14ac:dyDescent="0.25">
      <c r="A30" s="26"/>
      <c r="B30" s="54"/>
      <c r="C30" s="55"/>
      <c r="D30" s="55"/>
      <c r="E30" s="55"/>
      <c r="F30" s="55"/>
      <c r="G30" s="55"/>
      <c r="H30" s="419" t="s">
        <v>195</v>
      </c>
      <c r="I30" s="420"/>
      <c r="J30" s="55"/>
      <c r="K30" s="56"/>
      <c r="L30" s="56"/>
      <c r="M30" s="56"/>
      <c r="N30" s="56"/>
      <c r="O30" s="55"/>
      <c r="P30" s="55"/>
      <c r="Q30" s="55"/>
      <c r="R30" s="23"/>
      <c r="AL30" s="23"/>
      <c r="BB30" s="50" t="s">
        <v>190</v>
      </c>
      <c r="BC30" s="23"/>
    </row>
    <row r="31" spans="1:55" ht="16.5" thickBot="1" x14ac:dyDescent="0.3">
      <c r="A31" s="26"/>
      <c r="B31" s="23"/>
      <c r="H31" s="421"/>
      <c r="I31" s="422"/>
      <c r="R31" s="23"/>
      <c r="AF31" s="57"/>
      <c r="AG31" s="58">
        <v>8</v>
      </c>
      <c r="AH31" s="58">
        <v>7</v>
      </c>
      <c r="AI31" s="58">
        <v>6</v>
      </c>
      <c r="AJ31" s="58">
        <v>5</v>
      </c>
      <c r="AK31" s="59" t="s">
        <v>196</v>
      </c>
      <c r="AL31" s="23"/>
      <c r="BB31" s="50" t="s">
        <v>190</v>
      </c>
      <c r="BC31" s="23"/>
    </row>
    <row r="32" spans="1:55" ht="21" x14ac:dyDescent="0.35">
      <c r="A32" s="26"/>
      <c r="B32" s="23"/>
      <c r="R32" s="23"/>
      <c r="AF32" s="60"/>
      <c r="AG32" s="61" t="s">
        <v>197</v>
      </c>
      <c r="AH32" s="61" t="s">
        <v>197</v>
      </c>
      <c r="AI32" s="61" t="s">
        <v>197</v>
      </c>
      <c r="AJ32" s="61" t="s">
        <v>197</v>
      </c>
      <c r="AK32" s="60"/>
      <c r="AL32" s="23"/>
      <c r="AO32" s="324" t="s">
        <v>198</v>
      </c>
      <c r="AP32" s="324"/>
      <c r="AQ32" s="1"/>
      <c r="AR32" s="1"/>
      <c r="BB32" s="50" t="s">
        <v>190</v>
      </c>
      <c r="BC32" s="23"/>
    </row>
    <row r="33" spans="1:55" ht="18" x14ac:dyDescent="0.25">
      <c r="A33" s="40"/>
      <c r="B33" s="62"/>
      <c r="C33" s="63"/>
      <c r="D33" s="63"/>
      <c r="E33" s="64"/>
      <c r="F33" s="64"/>
      <c r="G33" s="63"/>
      <c r="Q33" s="65"/>
      <c r="R33" s="42" t="s">
        <v>180</v>
      </c>
      <c r="AF33" s="61"/>
      <c r="AG33" s="66" t="s">
        <v>199</v>
      </c>
      <c r="AH33" s="66" t="s">
        <v>199</v>
      </c>
      <c r="AI33" s="66" t="s">
        <v>199</v>
      </c>
      <c r="AJ33" s="66" t="s">
        <v>199</v>
      </c>
      <c r="AK33" s="61"/>
      <c r="AL33" s="23"/>
      <c r="AO33" s="67"/>
      <c r="AP33" s="67"/>
      <c r="AQ33" s="68" t="s">
        <v>200</v>
      </c>
      <c r="AU33" s="32" t="s">
        <v>201</v>
      </c>
      <c r="BB33" s="50" t="s">
        <v>190</v>
      </c>
      <c r="BC33" s="23"/>
    </row>
    <row r="34" spans="1:55" ht="23.25" x14ac:dyDescent="0.35">
      <c r="A34" s="40"/>
      <c r="B34" s="62"/>
      <c r="C34" s="63"/>
      <c r="D34" s="63"/>
      <c r="E34" s="64"/>
      <c r="F34" s="64"/>
      <c r="G34" s="63"/>
      <c r="P34" s="65"/>
      <c r="Q34" s="42" t="s">
        <v>180</v>
      </c>
      <c r="AF34" s="61"/>
      <c r="AG34" s="66" t="s">
        <v>199</v>
      </c>
      <c r="AH34" s="66" t="s">
        <v>199</v>
      </c>
      <c r="AI34" s="66" t="s">
        <v>199</v>
      </c>
      <c r="AJ34" s="66" t="s">
        <v>199</v>
      </c>
      <c r="AK34" s="61"/>
      <c r="AL34" s="23"/>
      <c r="AM34" s="3">
        <v>1</v>
      </c>
      <c r="AN34" s="69" t="s">
        <v>185</v>
      </c>
      <c r="AO34" s="21" t="s">
        <v>55</v>
      </c>
      <c r="AP34" s="20" t="s">
        <v>120</v>
      </c>
      <c r="AQ34" s="69" t="s">
        <v>185</v>
      </c>
      <c r="AR34" s="4">
        <v>5</v>
      </c>
      <c r="AU34" s="52" t="s">
        <v>193</v>
      </c>
      <c r="AV34" s="52" t="s">
        <v>193</v>
      </c>
      <c r="BB34" s="50" t="s">
        <v>190</v>
      </c>
      <c r="BC34" s="23"/>
    </row>
    <row r="35" spans="1:55" ht="23.25" x14ac:dyDescent="0.35">
      <c r="A35" s="40"/>
      <c r="B35" s="62"/>
      <c r="C35" s="63"/>
      <c r="D35" s="63"/>
      <c r="E35" s="64"/>
      <c r="F35" s="64"/>
      <c r="G35" s="63"/>
      <c r="O35" s="65"/>
      <c r="P35" s="42" t="s">
        <v>180</v>
      </c>
      <c r="AF35" s="60"/>
      <c r="AG35" s="61" t="s">
        <v>197</v>
      </c>
      <c r="AH35" s="61" t="s">
        <v>197</v>
      </c>
      <c r="AI35" s="61" t="s">
        <v>197</v>
      </c>
      <c r="AJ35" s="61" t="s">
        <v>197</v>
      </c>
      <c r="AK35" s="60"/>
      <c r="AL35" s="23"/>
      <c r="AM35" s="3">
        <v>2</v>
      </c>
      <c r="AN35" s="69" t="s">
        <v>185</v>
      </c>
      <c r="AO35" s="21" t="s">
        <v>55</v>
      </c>
      <c r="AP35" s="20" t="s">
        <v>120</v>
      </c>
      <c r="AQ35" s="69" t="s">
        <v>185</v>
      </c>
      <c r="AR35" s="4">
        <v>6</v>
      </c>
      <c r="AV35" s="52" t="s">
        <v>193</v>
      </c>
      <c r="AW35" s="52" t="s">
        <v>193</v>
      </c>
      <c r="BB35" s="50" t="s">
        <v>190</v>
      </c>
      <c r="BC35" s="23"/>
    </row>
    <row r="36" spans="1:55" ht="23.25" x14ac:dyDescent="0.35">
      <c r="A36" s="40"/>
      <c r="B36" s="62"/>
      <c r="C36" s="63"/>
      <c r="D36" s="63"/>
      <c r="E36" s="63"/>
      <c r="F36" s="63"/>
      <c r="G36" s="63"/>
      <c r="N36" s="65"/>
      <c r="O36" s="42" t="s">
        <v>180</v>
      </c>
      <c r="AG36" s="58">
        <v>1</v>
      </c>
      <c r="AH36" s="58">
        <v>2</v>
      </c>
      <c r="AI36" s="58">
        <v>3</v>
      </c>
      <c r="AJ36" s="58">
        <v>4</v>
      </c>
      <c r="AL36" s="23"/>
      <c r="AM36" s="3">
        <v>3</v>
      </c>
      <c r="AN36" s="69" t="s">
        <v>185</v>
      </c>
      <c r="AO36" s="21" t="s">
        <v>55</v>
      </c>
      <c r="AP36" s="20" t="s">
        <v>120</v>
      </c>
      <c r="AQ36" s="69" t="s">
        <v>185</v>
      </c>
      <c r="AR36" s="4">
        <v>7</v>
      </c>
      <c r="AT36" s="32" t="s">
        <v>202</v>
      </c>
      <c r="AW36" s="52" t="s">
        <v>193</v>
      </c>
      <c r="AX36" s="52" t="s">
        <v>193</v>
      </c>
      <c r="BB36" s="50" t="s">
        <v>190</v>
      </c>
      <c r="BC36" s="23"/>
    </row>
    <row r="37" spans="1:55" ht="23.25" x14ac:dyDescent="0.35">
      <c r="A37" s="40"/>
      <c r="B37" s="62"/>
      <c r="C37" s="63"/>
      <c r="D37" s="63"/>
      <c r="E37" s="63"/>
      <c r="F37" s="63"/>
      <c r="G37" s="63"/>
      <c r="M37" s="65"/>
      <c r="N37" s="42" t="s">
        <v>180</v>
      </c>
      <c r="U37" s="63"/>
      <c r="V37" s="63" t="s">
        <v>203</v>
      </c>
      <c r="W37" s="63"/>
      <c r="X37" s="63"/>
      <c r="Y37" s="63"/>
      <c r="AK37" s="70"/>
      <c r="AM37" s="3">
        <v>4</v>
      </c>
      <c r="AN37" s="69" t="s">
        <v>185</v>
      </c>
      <c r="AO37" s="21" t="s">
        <v>55</v>
      </c>
      <c r="AP37" s="20" t="s">
        <v>120</v>
      </c>
      <c r="AQ37" s="69" t="s">
        <v>185</v>
      </c>
      <c r="AR37" s="4">
        <v>8</v>
      </c>
      <c r="AS37" s="71" t="s">
        <v>204</v>
      </c>
      <c r="AT37" s="71" t="s">
        <v>204</v>
      </c>
      <c r="AX37" s="52" t="s">
        <v>193</v>
      </c>
      <c r="AY37" s="52" t="s">
        <v>193</v>
      </c>
      <c r="BB37" s="52" t="s">
        <v>193</v>
      </c>
      <c r="BC37" s="23"/>
    </row>
    <row r="38" spans="1:55" ht="21" x14ac:dyDescent="0.25">
      <c r="A38" s="40"/>
      <c r="B38" s="72"/>
      <c r="C38" s="63"/>
      <c r="D38" s="63"/>
      <c r="E38" s="36"/>
      <c r="F38" s="36"/>
      <c r="G38" s="63"/>
      <c r="L38" s="65"/>
      <c r="M38" s="42" t="s">
        <v>180</v>
      </c>
      <c r="Q38" s="48" t="s">
        <v>184</v>
      </c>
      <c r="R38" s="48" t="s">
        <v>184</v>
      </c>
      <c r="S38" s="48" t="s">
        <v>184</v>
      </c>
      <c r="U38" s="36"/>
      <c r="V38" s="39" t="s">
        <v>176</v>
      </c>
      <c r="W38" s="39" t="s">
        <v>176</v>
      </c>
      <c r="X38" s="39" t="s">
        <v>176</v>
      </c>
      <c r="Y38" s="39" t="s">
        <v>176</v>
      </c>
      <c r="AL38" s="23"/>
      <c r="AN38" s="2" t="s">
        <v>205</v>
      </c>
      <c r="AO38" s="67"/>
      <c r="AP38" s="67"/>
      <c r="AR38" s="4"/>
      <c r="AS38" s="71" t="s">
        <v>204</v>
      </c>
      <c r="AT38" s="71" t="s">
        <v>204</v>
      </c>
      <c r="BB38" s="52" t="s">
        <v>193</v>
      </c>
      <c r="BC38" s="23"/>
    </row>
    <row r="39" spans="1:55" ht="15.75" x14ac:dyDescent="0.25">
      <c r="A39" s="40"/>
      <c r="B39" s="73"/>
      <c r="C39" s="63"/>
      <c r="D39" s="63"/>
      <c r="E39" s="36"/>
      <c r="F39" s="36"/>
      <c r="G39" s="63"/>
      <c r="J39" s="74"/>
      <c r="K39" s="75"/>
      <c r="L39" s="42" t="s">
        <v>180</v>
      </c>
      <c r="P39" s="63"/>
      <c r="Q39" s="48" t="s">
        <v>184</v>
      </c>
      <c r="R39" s="48" t="s">
        <v>184</v>
      </c>
      <c r="S39" s="48" t="s">
        <v>184</v>
      </c>
      <c r="U39" s="63"/>
      <c r="V39" s="39" t="s">
        <v>176</v>
      </c>
      <c r="W39" s="39" t="s">
        <v>176</v>
      </c>
      <c r="X39" s="39" t="s">
        <v>176</v>
      </c>
      <c r="Y39" s="39" t="s">
        <v>176</v>
      </c>
      <c r="AG39" s="76" t="s">
        <v>206</v>
      </c>
      <c r="AH39" s="76" t="s">
        <v>206</v>
      </c>
      <c r="AI39" s="76" t="s">
        <v>206</v>
      </c>
      <c r="AJ39" s="76" t="s">
        <v>206</v>
      </c>
      <c r="AK39" s="76" t="s">
        <v>206</v>
      </c>
      <c r="AL39" s="23"/>
      <c r="BB39" s="52" t="s">
        <v>193</v>
      </c>
      <c r="BC39" s="23"/>
    </row>
    <row r="40" spans="1:55" ht="15.75" x14ac:dyDescent="0.25">
      <c r="A40" s="40"/>
      <c r="B40" s="72"/>
      <c r="C40" s="63"/>
      <c r="D40" s="63"/>
      <c r="E40" s="36"/>
      <c r="F40" s="36"/>
      <c r="G40" s="63"/>
      <c r="J40" s="77"/>
      <c r="K40" s="78" t="s">
        <v>180</v>
      </c>
      <c r="P40" s="63"/>
      <c r="Q40" s="79"/>
      <c r="R40" s="79"/>
      <c r="S40" s="63"/>
      <c r="U40" s="63"/>
      <c r="V40" s="63" t="s">
        <v>207</v>
      </c>
      <c r="W40" s="36"/>
      <c r="X40" s="36"/>
      <c r="Y40" s="63"/>
      <c r="AG40" s="76" t="s">
        <v>206</v>
      </c>
      <c r="AH40" s="76" t="s">
        <v>206</v>
      </c>
      <c r="AI40" s="76" t="s">
        <v>206</v>
      </c>
      <c r="AJ40" s="76" t="s">
        <v>206</v>
      </c>
      <c r="AK40" s="76" t="s">
        <v>206</v>
      </c>
      <c r="AL40" s="23"/>
      <c r="BB40" s="52" t="s">
        <v>193</v>
      </c>
      <c r="BC40" s="23"/>
    </row>
    <row r="41" spans="1:55" ht="15.75" x14ac:dyDescent="0.25">
      <c r="A41" s="40"/>
      <c r="B41" s="62"/>
      <c r="C41" s="63"/>
      <c r="D41" s="63"/>
      <c r="E41" s="36"/>
      <c r="F41" s="36"/>
      <c r="G41" s="63"/>
      <c r="J41" s="74"/>
      <c r="P41" s="79"/>
      <c r="Q41" s="79"/>
      <c r="R41" s="63"/>
      <c r="S41" s="63"/>
      <c r="U41" s="63"/>
      <c r="V41" s="63"/>
      <c r="W41" s="63"/>
      <c r="X41" s="36"/>
      <c r="Y41" s="36"/>
      <c r="AL41" s="23"/>
      <c r="AQ41" s="49" t="s">
        <v>189</v>
      </c>
      <c r="AR41" s="49" t="s">
        <v>189</v>
      </c>
      <c r="AV41" s="29" t="s">
        <v>167</v>
      </c>
      <c r="BC41" s="23"/>
    </row>
    <row r="42" spans="1:55" ht="15.75" x14ac:dyDescent="0.25">
      <c r="A42" s="40"/>
      <c r="B42" s="72"/>
      <c r="C42" s="63"/>
      <c r="D42" s="63" t="s">
        <v>208</v>
      </c>
      <c r="E42" s="63"/>
      <c r="F42" s="63"/>
      <c r="G42" s="63"/>
      <c r="J42" s="74"/>
      <c r="U42" s="63"/>
      <c r="V42" s="63"/>
      <c r="W42" s="63"/>
      <c r="X42" s="63"/>
      <c r="Y42" s="63"/>
      <c r="AL42" s="23"/>
      <c r="AP42" s="49" t="s">
        <v>189</v>
      </c>
      <c r="AQ42" s="49" t="s">
        <v>189</v>
      </c>
      <c r="AV42" s="29" t="s">
        <v>167</v>
      </c>
      <c r="AW42" s="29" t="s">
        <v>167</v>
      </c>
      <c r="BC42" s="23"/>
    </row>
    <row r="43" spans="1:55" ht="15.75" x14ac:dyDescent="0.25">
      <c r="A43" s="40"/>
      <c r="B43" s="62"/>
      <c r="C43" s="63"/>
      <c r="D43" s="63"/>
      <c r="E43" s="63"/>
      <c r="F43" s="63"/>
      <c r="G43" s="63"/>
      <c r="J43" s="77"/>
      <c r="AL43" s="23"/>
      <c r="AO43" s="49" t="s">
        <v>189</v>
      </c>
      <c r="AP43" s="49" t="s">
        <v>189</v>
      </c>
      <c r="AW43" s="29" t="s">
        <v>167</v>
      </c>
      <c r="AX43" s="29" t="s">
        <v>167</v>
      </c>
      <c r="BC43" s="23"/>
    </row>
    <row r="44" spans="1:55" ht="15.75" x14ac:dyDescent="0.25">
      <c r="A44" s="40"/>
      <c r="B44" s="72"/>
      <c r="C44" s="63"/>
      <c r="D44" s="63"/>
      <c r="E44" s="80"/>
      <c r="F44" s="80"/>
      <c r="G44" s="63"/>
      <c r="J44" s="74"/>
      <c r="AL44" s="23"/>
      <c r="AN44" s="49" t="s">
        <v>189</v>
      </c>
      <c r="AO44" s="49" t="s">
        <v>189</v>
      </c>
      <c r="AX44" s="29" t="s">
        <v>167</v>
      </c>
      <c r="AY44" s="29" t="s">
        <v>167</v>
      </c>
      <c r="BC44" s="23"/>
    </row>
    <row r="45" spans="1:55" ht="15.75" x14ac:dyDescent="0.25">
      <c r="A45" s="40"/>
      <c r="B45" s="62"/>
      <c r="C45" s="63"/>
      <c r="D45" s="63"/>
      <c r="E45" s="80"/>
      <c r="F45" s="80"/>
      <c r="G45" s="63"/>
      <c r="J45" s="74"/>
      <c r="Y45" s="81"/>
      <c r="AN45" s="32" t="s">
        <v>209</v>
      </c>
      <c r="AY45" s="29" t="s">
        <v>167</v>
      </c>
      <c r="BC45" s="23"/>
    </row>
    <row r="46" spans="1:55" ht="15.75" x14ac:dyDescent="0.25">
      <c r="A46" s="40"/>
      <c r="B46" s="72"/>
      <c r="C46" s="63"/>
      <c r="D46" s="63"/>
      <c r="E46" s="80"/>
      <c r="F46" s="80"/>
      <c r="G46" s="63"/>
      <c r="J46" s="77"/>
      <c r="L46" s="8" t="s">
        <v>210</v>
      </c>
      <c r="M46" s="8" t="s">
        <v>210</v>
      </c>
      <c r="N46" s="8" t="s">
        <v>210</v>
      </c>
      <c r="O46" s="8" t="s">
        <v>210</v>
      </c>
      <c r="P46" s="8" t="s">
        <v>211</v>
      </c>
      <c r="Q46" s="8" t="s">
        <v>211</v>
      </c>
      <c r="R46" s="8" t="s">
        <v>211</v>
      </c>
      <c r="S46" s="8" t="s">
        <v>211</v>
      </c>
      <c r="X46" s="81"/>
      <c r="BC46" s="23"/>
    </row>
    <row r="47" spans="1:55" ht="16.5" thickBot="1" x14ac:dyDescent="0.3">
      <c r="A47" s="40"/>
      <c r="B47" s="72"/>
      <c r="C47" s="63"/>
      <c r="D47" s="63"/>
      <c r="E47" s="63"/>
      <c r="F47" s="63"/>
      <c r="G47" s="63"/>
      <c r="J47" s="74"/>
      <c r="L47" s="39" t="s">
        <v>176</v>
      </c>
      <c r="M47" s="39" t="s">
        <v>176</v>
      </c>
      <c r="N47" s="39" t="s">
        <v>176</v>
      </c>
      <c r="O47" s="39" t="s">
        <v>176</v>
      </c>
      <c r="P47" s="39" t="s">
        <v>176</v>
      </c>
      <c r="Q47" s="39" t="s">
        <v>176</v>
      </c>
      <c r="R47" s="39" t="s">
        <v>176</v>
      </c>
      <c r="S47" s="39" t="s">
        <v>176</v>
      </c>
      <c r="W47" s="81"/>
      <c r="BC47" s="23"/>
    </row>
    <row r="48" spans="1:55" x14ac:dyDescent="0.25">
      <c r="A48" s="26"/>
      <c r="C48" s="1"/>
      <c r="J48" s="74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BC48" s="23"/>
    </row>
    <row r="49" spans="1:55" ht="18.75" x14ac:dyDescent="0.25">
      <c r="A49" s="26"/>
      <c r="C49" s="82"/>
      <c r="D49" s="83"/>
      <c r="J49" s="77"/>
      <c r="BC49" s="23"/>
    </row>
    <row r="50" spans="1:55" ht="15.75" thickBot="1" x14ac:dyDescent="0.3">
      <c r="A50" s="26"/>
      <c r="K50" s="23"/>
      <c r="BC50" s="23"/>
    </row>
    <row r="51" spans="1:55" x14ac:dyDescent="0.25">
      <c r="A51" s="26"/>
      <c r="B51" s="55"/>
      <c r="C51" s="55"/>
      <c r="D51" s="55"/>
      <c r="E51" s="55"/>
      <c r="F51" s="55"/>
      <c r="G51" s="55"/>
      <c r="H51" s="55"/>
      <c r="I51" s="55"/>
      <c r="J51" s="55"/>
      <c r="Y51" s="81"/>
      <c r="Z51" s="423" t="s">
        <v>212</v>
      </c>
      <c r="AA51" s="424"/>
      <c r="AB51" s="424"/>
      <c r="AC51" s="424"/>
      <c r="AD51" s="424"/>
      <c r="AE51" s="424"/>
      <c r="AF51" s="425"/>
      <c r="BC51" s="23"/>
    </row>
    <row r="52" spans="1:55" x14ac:dyDescent="0.25">
      <c r="A52" s="26"/>
      <c r="X52" s="81"/>
      <c r="Z52" s="426"/>
      <c r="AA52" s="427"/>
      <c r="AB52" s="427"/>
      <c r="AC52" s="427"/>
      <c r="AD52" s="427"/>
      <c r="AE52" s="427"/>
      <c r="AF52" s="428"/>
      <c r="BC52" s="23"/>
    </row>
    <row r="53" spans="1:55" ht="16.5" thickBot="1" x14ac:dyDescent="0.3">
      <c r="A53" s="26"/>
      <c r="W53" s="81"/>
      <c r="Z53" s="429"/>
      <c r="AA53" s="430"/>
      <c r="AB53" s="430"/>
      <c r="AC53" s="430"/>
      <c r="AD53" s="430"/>
      <c r="AE53" s="430"/>
      <c r="AF53" s="431"/>
      <c r="AH53" s="51" t="s">
        <v>191</v>
      </c>
      <c r="AI53" s="51" t="s">
        <v>191</v>
      </c>
      <c r="AJ53" s="51" t="s">
        <v>191</v>
      </c>
      <c r="AK53" s="51" t="s">
        <v>191</v>
      </c>
      <c r="BC53" s="23"/>
    </row>
    <row r="54" spans="1:55" x14ac:dyDescent="0.25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</row>
    <row r="72" spans="1:29" ht="15.75" thickBot="1" x14ac:dyDescent="0.3"/>
    <row r="73" spans="1:29" ht="24" thickBot="1" x14ac:dyDescent="0.3">
      <c r="A73" s="432" t="s">
        <v>213</v>
      </c>
      <c r="B73" s="433"/>
      <c r="C73" s="433"/>
      <c r="D73" s="433"/>
      <c r="E73" s="433"/>
      <c r="F73" s="433"/>
      <c r="G73" s="433"/>
      <c r="H73" s="433"/>
      <c r="I73" s="434"/>
      <c r="J73" s="435">
        <f>SUM(F81,O81,F184,O184)</f>
        <v>262</v>
      </c>
      <c r="K73" s="436"/>
      <c r="L73" s="436"/>
      <c r="M73" s="437"/>
      <c r="N73" s="84"/>
      <c r="O73" s="84"/>
      <c r="P73" s="84"/>
      <c r="Q73" s="84"/>
      <c r="R73" s="84"/>
      <c r="S73" s="84"/>
      <c r="T73" s="438" t="s">
        <v>214</v>
      </c>
      <c r="U73" s="438"/>
      <c r="V73" s="438"/>
      <c r="W73" s="438"/>
      <c r="X73" s="84"/>
      <c r="Y73" s="84"/>
      <c r="Z73" s="438" t="s">
        <v>215</v>
      </c>
      <c r="AA73" s="438"/>
      <c r="AB73" s="438"/>
      <c r="AC73" s="438"/>
    </row>
    <row r="74" spans="1:29" ht="23.25" x14ac:dyDescent="0.3">
      <c r="A74" s="6" t="s">
        <v>216</v>
      </c>
      <c r="B74" s="7"/>
      <c r="C74" s="7"/>
      <c r="D74" s="7"/>
      <c r="E74" s="7"/>
      <c r="F74" s="7"/>
      <c r="G74" s="7"/>
      <c r="H74" s="7"/>
      <c r="I74" s="7"/>
      <c r="J74" s="85"/>
      <c r="K74" s="85"/>
      <c r="L74" s="85"/>
      <c r="M74" s="85"/>
      <c r="N74" s="84"/>
      <c r="O74" s="84"/>
      <c r="P74" s="84"/>
      <c r="Q74" s="84"/>
      <c r="R74" s="84"/>
      <c r="S74" s="84"/>
      <c r="T74" s="416" t="s">
        <v>217</v>
      </c>
      <c r="U74" s="416"/>
      <c r="V74" s="416" t="s">
        <v>218</v>
      </c>
      <c r="W74" s="416"/>
      <c r="X74" s="84"/>
      <c r="Y74" s="84"/>
      <c r="Z74" s="416" t="s">
        <v>217</v>
      </c>
      <c r="AA74" s="416"/>
      <c r="AB74" s="416" t="s">
        <v>218</v>
      </c>
      <c r="AC74" s="416"/>
    </row>
    <row r="75" spans="1:29" ht="17.25" x14ac:dyDescent="0.3">
      <c r="A75" s="84"/>
      <c r="B75" s="84"/>
      <c r="C75" s="84"/>
      <c r="D75" s="84"/>
      <c r="E75" s="84"/>
      <c r="F75" s="84"/>
      <c r="G75" s="84"/>
      <c r="H75" s="84"/>
      <c r="I75" s="84"/>
      <c r="K75" s="84"/>
      <c r="L75" s="84"/>
      <c r="M75" s="86"/>
      <c r="N75" s="84"/>
      <c r="O75" s="84"/>
      <c r="P75" s="84"/>
      <c r="Q75" s="84"/>
      <c r="R75" s="84"/>
      <c r="S75" s="84"/>
      <c r="T75" s="417">
        <v>44985</v>
      </c>
      <c r="U75" s="417"/>
      <c r="V75" s="418" t="s">
        <v>219</v>
      </c>
      <c r="W75" s="418"/>
      <c r="X75" s="84"/>
      <c r="Y75" s="84"/>
      <c r="Z75" s="417">
        <v>45159</v>
      </c>
      <c r="AA75" s="417"/>
      <c r="AB75" s="418" t="s">
        <v>220</v>
      </c>
      <c r="AC75" s="418"/>
    </row>
    <row r="76" spans="1:29" ht="23.25" x14ac:dyDescent="0.35">
      <c r="K76" s="84"/>
      <c r="L76" s="87"/>
      <c r="M76" s="88"/>
      <c r="N76" s="84"/>
      <c r="O76" s="84"/>
      <c r="P76" s="84"/>
      <c r="Q76" s="84"/>
      <c r="R76" s="84"/>
      <c r="S76" s="84"/>
      <c r="T76" s="89" t="s">
        <v>221</v>
      </c>
      <c r="U76" s="90" t="s">
        <v>222</v>
      </c>
      <c r="X76" s="407" t="s">
        <v>223</v>
      </c>
      <c r="Y76" s="408"/>
      <c r="Z76" s="89" t="s">
        <v>221</v>
      </c>
      <c r="AA76" s="90" t="s">
        <v>222</v>
      </c>
    </row>
    <row r="77" spans="1:29" ht="33.75" x14ac:dyDescent="0.25">
      <c r="A77" s="409" t="s">
        <v>224</v>
      </c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84"/>
      <c r="S77" s="84"/>
      <c r="T77" s="91" t="s">
        <v>225</v>
      </c>
      <c r="U77" s="92" t="str">
        <f>IF(ISBLANK(U76)," ",IFERROR(VLOOKUP(U76,#REF!,13,0),""))</f>
        <v/>
      </c>
      <c r="V77" s="84"/>
      <c r="W77" s="84"/>
      <c r="X77" s="84"/>
      <c r="Y77" s="84"/>
      <c r="Z77" s="93" t="s">
        <v>225</v>
      </c>
      <c r="AA77" s="92" t="str">
        <f>IF(ISBLANK(AA76)," ",IFERROR(VLOOKUP(AA76,#REF!,13,0),""))</f>
        <v/>
      </c>
      <c r="AB77" s="94"/>
      <c r="AC77" s="94"/>
    </row>
    <row r="78" spans="1:29" ht="34.5" thickBot="1" x14ac:dyDescent="0.3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84"/>
      <c r="S78" s="84"/>
      <c r="T78" s="96" t="s">
        <v>226</v>
      </c>
      <c r="U78" s="97" t="str">
        <f>IF(ISBLANK(U76)," ",IFERROR(VLOOKUP(U76,#REF!,4,0),""))</f>
        <v/>
      </c>
      <c r="V78" s="84"/>
      <c r="W78" s="84"/>
      <c r="X78" s="84"/>
      <c r="Y78" s="84"/>
      <c r="Z78" s="96" t="s">
        <v>226</v>
      </c>
      <c r="AA78" s="97" t="str">
        <f>IF(ISBLANK(AA76)," ",IFERROR(VLOOKUP(AA76,#REF!,4,0),""))</f>
        <v/>
      </c>
      <c r="AB78" s="94"/>
      <c r="AC78" s="94"/>
    </row>
    <row r="79" spans="1:29" ht="34.5" thickBot="1" x14ac:dyDescent="0.3">
      <c r="A79" s="95"/>
      <c r="B79" s="95"/>
      <c r="C79" s="95"/>
      <c r="D79" s="95"/>
      <c r="E79" s="410" t="s">
        <v>227</v>
      </c>
      <c r="F79" s="411"/>
      <c r="G79" s="411"/>
      <c r="H79" s="411"/>
      <c r="I79" s="412"/>
      <c r="J79" s="360">
        <f>SUM(F81,O81)</f>
        <v>24</v>
      </c>
      <c r="K79" s="361"/>
      <c r="L79" s="95"/>
      <c r="M79" s="95"/>
      <c r="N79" s="95"/>
      <c r="O79" s="95"/>
      <c r="P79" s="95"/>
      <c r="Q79" s="95"/>
      <c r="R79" s="84"/>
      <c r="S79" s="84"/>
      <c r="T79" s="98" t="s">
        <v>228</v>
      </c>
      <c r="U79" s="99" t="str">
        <f>IF(ISBLANK(U76)," ",IFERROR(VLOOKUP(U76,#REF!,14,0),""))</f>
        <v/>
      </c>
      <c r="X79" s="84"/>
      <c r="Y79" s="84"/>
      <c r="Z79" s="98" t="s">
        <v>228</v>
      </c>
      <c r="AA79" s="99" t="str">
        <f>IF(ISBLANK(AA76)," ",IFERROR(VLOOKUP(AA76,#REF!,14,0),""))</f>
        <v/>
      </c>
    </row>
    <row r="80" spans="1:29" ht="32.25" thickBot="1" x14ac:dyDescent="0.3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84"/>
      <c r="S80" s="84"/>
      <c r="T80" s="101" t="s">
        <v>229</v>
      </c>
      <c r="U80" s="102" t="str">
        <f>IF(ISBLANK(U76)," ",IFERROR(VLOOKUP(U76,#REF!,11,0),""))</f>
        <v/>
      </c>
      <c r="Z80" s="101" t="s">
        <v>229</v>
      </c>
      <c r="AA80" s="102" t="str">
        <f>IF(ISBLANK(AA76)," ",IFERROR(VLOOKUP(AA76,#REF!,11,0),""))</f>
        <v/>
      </c>
    </row>
    <row r="81" spans="1:29" ht="21.75" thickBot="1" x14ac:dyDescent="0.4">
      <c r="A81" s="413" t="s">
        <v>230</v>
      </c>
      <c r="B81" s="414"/>
      <c r="C81" s="414"/>
      <c r="D81" s="414"/>
      <c r="E81" s="415"/>
      <c r="F81" s="360">
        <f>G173</f>
        <v>24</v>
      </c>
      <c r="G81" s="361"/>
      <c r="H81" s="84"/>
      <c r="I81" s="84"/>
      <c r="J81" s="413" t="s">
        <v>231</v>
      </c>
      <c r="K81" s="414"/>
      <c r="L81" s="414"/>
      <c r="M81" s="414"/>
      <c r="N81" s="415"/>
      <c r="O81" s="360">
        <f>P173</f>
        <v>0</v>
      </c>
      <c r="P81" s="361"/>
      <c r="Q81" s="84"/>
      <c r="R81" s="84"/>
      <c r="S81" s="84"/>
      <c r="T81" s="103" t="s">
        <v>232</v>
      </c>
      <c r="U81" s="104" t="str">
        <f>IF(ISBLANK(U76)," ",IFERROR(VLOOKUP(U76,#REF!,15,0),""))</f>
        <v/>
      </c>
      <c r="Z81" s="103" t="s">
        <v>232</v>
      </c>
      <c r="AA81" s="104" t="str">
        <f>IF(ISBLANK(AA76)," ",IFERROR(VLOOKUP(AA76,#REF!,15,0),""))</f>
        <v/>
      </c>
    </row>
    <row r="82" spans="1:29" ht="30" x14ac:dyDescent="0.3">
      <c r="R82" s="84"/>
      <c r="S82" s="84"/>
      <c r="T82" s="105" t="s">
        <v>233</v>
      </c>
      <c r="U82" s="106" t="str">
        <f>IF(ISBLANK(U76)," ",IFERROR(VLOOKUP(U76,#REF!,16,0),""))</f>
        <v/>
      </c>
      <c r="V82" s="107"/>
      <c r="W82" s="84"/>
      <c r="X82" s="84"/>
      <c r="Y82" s="86"/>
      <c r="Z82" s="105" t="s">
        <v>233</v>
      </c>
      <c r="AA82" s="106" t="str">
        <f>IF(ISBLANK(AA76)," ",IFERROR(VLOOKUP(AA76,#REF!,16,0),""))</f>
        <v/>
      </c>
      <c r="AB82" s="94"/>
      <c r="AC82" s="94"/>
    </row>
    <row r="83" spans="1:29" ht="17.25" x14ac:dyDescent="0.3">
      <c r="R83" s="84"/>
      <c r="S83" s="84"/>
      <c r="T83" s="108" t="s">
        <v>234</v>
      </c>
      <c r="U83" s="109" t="str">
        <f>IF(ISBLANK(U76)," ",IFERROR(VLOOKUP(U76,#REF!,17,0),""))</f>
        <v/>
      </c>
      <c r="V83" s="107"/>
      <c r="W83" s="84"/>
      <c r="X83" s="84"/>
      <c r="Y83" s="86"/>
      <c r="Z83" s="108" t="s">
        <v>234</v>
      </c>
      <c r="AA83" s="109" t="str">
        <f>IF(ISBLANK(AA76)," ",IFERROR(VLOOKUP(AA76,#REF!,17,0),""))</f>
        <v/>
      </c>
      <c r="AB83" s="94"/>
      <c r="AC83" s="94"/>
    </row>
    <row r="84" spans="1:29" ht="18" thickBot="1" x14ac:dyDescent="0.35">
      <c r="R84" s="84"/>
      <c r="S84" s="84"/>
      <c r="T84" s="110"/>
      <c r="U84" s="107"/>
      <c r="V84" s="107"/>
      <c r="W84" s="84"/>
      <c r="X84" s="84"/>
      <c r="Y84" s="86"/>
      <c r="Z84" s="87"/>
      <c r="AA84" s="88"/>
      <c r="AB84" s="94"/>
      <c r="AC84" s="94"/>
    </row>
    <row r="85" spans="1:29" ht="29.25" thickBot="1" x14ac:dyDescent="0.3">
      <c r="A85" s="392" t="s">
        <v>2</v>
      </c>
      <c r="B85" s="393"/>
      <c r="C85" s="393"/>
      <c r="D85" s="393"/>
      <c r="E85" s="393"/>
      <c r="F85" s="394"/>
      <c r="G85" s="111" t="s">
        <v>222</v>
      </c>
      <c r="J85" s="392" t="s">
        <v>2</v>
      </c>
      <c r="K85" s="393"/>
      <c r="L85" s="393"/>
      <c r="M85" s="393"/>
      <c r="N85" s="393"/>
      <c r="O85" s="394"/>
      <c r="P85" s="111" t="s">
        <v>222</v>
      </c>
      <c r="Q85" s="112" t="s">
        <v>235</v>
      </c>
      <c r="R85" s="84"/>
      <c r="S85" s="84"/>
      <c r="T85" s="395" t="s">
        <v>236</v>
      </c>
      <c r="U85" s="396"/>
      <c r="V85" s="396"/>
      <c r="W85" s="396"/>
      <c r="X85" s="396"/>
      <c r="Y85" s="396"/>
      <c r="Z85" s="396"/>
      <c r="AA85" s="396"/>
      <c r="AB85" s="396"/>
      <c r="AC85" s="397"/>
    </row>
    <row r="86" spans="1:29" ht="23.25" x14ac:dyDescent="0.25">
      <c r="A86" s="387" t="s">
        <v>4</v>
      </c>
      <c r="B86" s="388"/>
      <c r="C86" s="388"/>
      <c r="D86" s="115" t="s">
        <v>237</v>
      </c>
      <c r="E86" s="116"/>
      <c r="F86" s="117" t="s">
        <v>5</v>
      </c>
      <c r="G86" s="118">
        <f>COUNTIF($B$7:$Q$29,F86)+COUNTIF($K$30:$Q$53,F86)+COUNTIF($R$7:$BB$53,F86)</f>
        <v>2</v>
      </c>
      <c r="J86" s="387" t="s">
        <v>4</v>
      </c>
      <c r="K86" s="388"/>
      <c r="L86" s="388"/>
      <c r="M86" s="115" t="s">
        <v>237</v>
      </c>
      <c r="N86" s="116"/>
      <c r="O86" s="117" t="s">
        <v>5</v>
      </c>
      <c r="P86" s="118">
        <f>COUNTIF($B$30:$J$50,O86)</f>
        <v>0</v>
      </c>
      <c r="Q86" s="119">
        <f t="shared" ref="Q86:Q172" si="0">G86+P86</f>
        <v>2</v>
      </c>
      <c r="R86" s="84"/>
      <c r="S86" s="84"/>
      <c r="T86" s="398"/>
      <c r="U86" s="399"/>
      <c r="V86" s="399"/>
      <c r="W86" s="399"/>
      <c r="X86" s="399"/>
      <c r="Y86" s="399"/>
      <c r="Z86" s="399"/>
      <c r="AA86" s="399"/>
      <c r="AB86" s="399"/>
      <c r="AC86" s="400"/>
    </row>
    <row r="87" spans="1:29" ht="23.25" x14ac:dyDescent="0.25">
      <c r="A87" s="387" t="s">
        <v>6</v>
      </c>
      <c r="B87" s="388"/>
      <c r="C87" s="388"/>
      <c r="D87" s="115" t="s">
        <v>237</v>
      </c>
      <c r="E87" s="116"/>
      <c r="F87" s="19" t="s">
        <v>7</v>
      </c>
      <c r="G87" s="118">
        <f>COUNTIF($B$7:$Q$29,F87)+COUNTIF($K$30:$Q$53,F87)+COUNTIF($R$7:$BB$53,F87)</f>
        <v>2</v>
      </c>
      <c r="J87" s="387" t="s">
        <v>6</v>
      </c>
      <c r="K87" s="388"/>
      <c r="L87" s="388"/>
      <c r="M87" s="115" t="s">
        <v>237</v>
      </c>
      <c r="N87" s="116"/>
      <c r="O87" s="19" t="s">
        <v>7</v>
      </c>
      <c r="P87" s="118">
        <f>COUNTIF($B$30:$J$50,O87)</f>
        <v>0</v>
      </c>
      <c r="Q87" s="120">
        <f t="shared" si="0"/>
        <v>2</v>
      </c>
      <c r="R87" s="84"/>
      <c r="S87" s="84"/>
      <c r="T87" s="401"/>
      <c r="U87" s="402"/>
      <c r="V87" s="402"/>
      <c r="W87" s="402"/>
      <c r="X87" s="402"/>
      <c r="Y87" s="402"/>
      <c r="Z87" s="402"/>
      <c r="AA87" s="402"/>
      <c r="AB87" s="402"/>
      <c r="AC87" s="403"/>
    </row>
    <row r="88" spans="1:29" ht="23.25" x14ac:dyDescent="0.25">
      <c r="A88" s="387" t="s">
        <v>8</v>
      </c>
      <c r="B88" s="388"/>
      <c r="C88" s="388"/>
      <c r="D88" s="115" t="s">
        <v>237</v>
      </c>
      <c r="E88" s="116"/>
      <c r="F88" s="18" t="s">
        <v>9</v>
      </c>
      <c r="G88" s="118">
        <f>COUNTIF($B$7:$Q$29,F88)+COUNTIF($K$30:$Q$53,F88)+COUNTIF($R$7:$BB$53,F88)</f>
        <v>0</v>
      </c>
      <c r="J88" s="387" t="s">
        <v>8</v>
      </c>
      <c r="K88" s="388"/>
      <c r="L88" s="388"/>
      <c r="M88" s="115" t="s">
        <v>237</v>
      </c>
      <c r="N88" s="116"/>
      <c r="O88" s="18" t="s">
        <v>9</v>
      </c>
      <c r="P88" s="118">
        <f>COUNTIF($B$30:$J$50,O88)</f>
        <v>0</v>
      </c>
      <c r="Q88" s="120">
        <f t="shared" si="0"/>
        <v>0</v>
      </c>
      <c r="R88" s="84"/>
      <c r="S88" s="84"/>
      <c r="T88" s="401"/>
      <c r="U88" s="402"/>
      <c r="V88" s="402"/>
      <c r="W88" s="402"/>
      <c r="X88" s="402"/>
      <c r="Y88" s="402"/>
      <c r="Z88" s="402"/>
      <c r="AA88" s="402"/>
      <c r="AB88" s="402"/>
      <c r="AC88" s="403"/>
    </row>
    <row r="89" spans="1:29" ht="18" x14ac:dyDescent="0.25">
      <c r="A89" s="389"/>
      <c r="B89" s="390"/>
      <c r="C89" s="390"/>
      <c r="D89" s="121"/>
      <c r="E89" s="122"/>
      <c r="F89" s="123"/>
      <c r="G89" s="124"/>
      <c r="J89" s="389"/>
      <c r="K89" s="390"/>
      <c r="L89" s="390"/>
      <c r="M89" s="121"/>
      <c r="N89" s="122"/>
      <c r="O89" s="123"/>
      <c r="P89" s="124"/>
      <c r="Q89" s="125"/>
      <c r="R89" s="84"/>
      <c r="S89" s="84"/>
      <c r="T89" s="401"/>
      <c r="U89" s="402"/>
      <c r="V89" s="402"/>
      <c r="W89" s="402"/>
      <c r="X89" s="402"/>
      <c r="Y89" s="402"/>
      <c r="Z89" s="402"/>
      <c r="AA89" s="402"/>
      <c r="AB89" s="402"/>
      <c r="AC89" s="403"/>
    </row>
    <row r="90" spans="1:29" ht="23.25" x14ac:dyDescent="0.25">
      <c r="A90" s="387" t="s">
        <v>10</v>
      </c>
      <c r="B90" s="388"/>
      <c r="C90" s="388"/>
      <c r="D90" s="115" t="s">
        <v>238</v>
      </c>
      <c r="E90" s="116"/>
      <c r="F90" s="126" t="s">
        <v>11</v>
      </c>
      <c r="G90" s="118">
        <f>COUNTIF($B$7:$Q$29,F90)+COUNTIF($K$30:$Q$53,F90)+COUNTIF($R$7:$BB$53,F90)</f>
        <v>0</v>
      </c>
      <c r="J90" s="387" t="s">
        <v>10</v>
      </c>
      <c r="K90" s="388"/>
      <c r="L90" s="388"/>
      <c r="M90" s="115" t="s">
        <v>238</v>
      </c>
      <c r="N90" s="116"/>
      <c r="O90" s="126" t="s">
        <v>11</v>
      </c>
      <c r="P90" s="118">
        <f>COUNTIF($B$30:$J$50,O90)</f>
        <v>0</v>
      </c>
      <c r="Q90" s="120">
        <f t="shared" ref="Q90:Q92" si="1">G90+P90</f>
        <v>0</v>
      </c>
      <c r="R90" s="84"/>
      <c r="S90" s="84"/>
      <c r="T90" s="401"/>
      <c r="U90" s="402"/>
      <c r="V90" s="402"/>
      <c r="W90" s="402"/>
      <c r="X90" s="402"/>
      <c r="Y90" s="402"/>
      <c r="Z90" s="402"/>
      <c r="AA90" s="402"/>
      <c r="AB90" s="402"/>
      <c r="AC90" s="403"/>
    </row>
    <row r="91" spans="1:29" ht="23.25" x14ac:dyDescent="0.25">
      <c r="A91" s="387" t="s">
        <v>12</v>
      </c>
      <c r="B91" s="388"/>
      <c r="C91" s="388"/>
      <c r="D91" s="115" t="s">
        <v>239</v>
      </c>
      <c r="E91" s="116"/>
      <c r="F91" s="127" t="s">
        <v>13</v>
      </c>
      <c r="G91" s="118">
        <f>COUNTIF($B$7:$Q$29,F91)+COUNTIF($K$30:$Q$53,F91)+COUNTIF($R$7:$BB$53,F91)</f>
        <v>0</v>
      </c>
      <c r="J91" s="387" t="s">
        <v>12</v>
      </c>
      <c r="K91" s="388"/>
      <c r="L91" s="388"/>
      <c r="M91" s="115" t="s">
        <v>239</v>
      </c>
      <c r="N91" s="116"/>
      <c r="O91" s="127" t="s">
        <v>13</v>
      </c>
      <c r="P91" s="118">
        <f>COUNTIF($B$30:$J$50,O91)</f>
        <v>0</v>
      </c>
      <c r="Q91" s="120">
        <f t="shared" si="1"/>
        <v>0</v>
      </c>
      <c r="R91" s="84"/>
      <c r="S91" s="84"/>
      <c r="T91" s="401"/>
      <c r="U91" s="402"/>
      <c r="V91" s="402"/>
      <c r="W91" s="402"/>
      <c r="X91" s="402"/>
      <c r="Y91" s="402"/>
      <c r="Z91" s="402"/>
      <c r="AA91" s="402"/>
      <c r="AB91" s="402"/>
      <c r="AC91" s="403"/>
    </row>
    <row r="92" spans="1:29" ht="23.25" x14ac:dyDescent="0.25">
      <c r="A92" s="387" t="s">
        <v>14</v>
      </c>
      <c r="B92" s="388"/>
      <c r="C92" s="388"/>
      <c r="D92" s="115" t="s">
        <v>237</v>
      </c>
      <c r="E92" s="116"/>
      <c r="F92" s="128" t="s">
        <v>15</v>
      </c>
      <c r="G92" s="118">
        <f>COUNTIF($B$7:$Q$29,F92)+COUNTIF($K$30:$Q$53,F92)+COUNTIF($R$7:$BB$53,F92)</f>
        <v>0</v>
      </c>
      <c r="J92" s="387" t="s">
        <v>14</v>
      </c>
      <c r="K92" s="388"/>
      <c r="L92" s="388"/>
      <c r="M92" s="115" t="s">
        <v>237</v>
      </c>
      <c r="N92" s="116"/>
      <c r="O92" s="128" t="s">
        <v>15</v>
      </c>
      <c r="P92" s="118">
        <f>COUNTIF($B$30:$J$50,O92)</f>
        <v>0</v>
      </c>
      <c r="Q92" s="120">
        <f t="shared" si="1"/>
        <v>0</v>
      </c>
      <c r="R92" s="84"/>
      <c r="S92" s="84"/>
      <c r="T92" s="401"/>
      <c r="U92" s="402"/>
      <c r="V92" s="402"/>
      <c r="W92" s="402"/>
      <c r="X92" s="402"/>
      <c r="Y92" s="402"/>
      <c r="Z92" s="402"/>
      <c r="AA92" s="402"/>
      <c r="AB92" s="402"/>
      <c r="AC92" s="403"/>
    </row>
    <row r="93" spans="1:29" ht="18" x14ac:dyDescent="0.25">
      <c r="A93" s="389"/>
      <c r="B93" s="390"/>
      <c r="C93" s="390"/>
      <c r="D93" s="121"/>
      <c r="E93" s="122"/>
      <c r="F93" s="123"/>
      <c r="G93" s="124"/>
      <c r="J93" s="389"/>
      <c r="K93" s="390"/>
      <c r="L93" s="390"/>
      <c r="M93" s="121"/>
      <c r="N93" s="122"/>
      <c r="O93" s="123"/>
      <c r="P93" s="124"/>
      <c r="Q93" s="125"/>
      <c r="R93" s="84"/>
      <c r="S93" s="84"/>
      <c r="T93" s="401"/>
      <c r="U93" s="402"/>
      <c r="V93" s="402"/>
      <c r="W93" s="402"/>
      <c r="X93" s="402"/>
      <c r="Y93" s="402"/>
      <c r="Z93" s="402"/>
      <c r="AA93" s="402"/>
      <c r="AB93" s="402"/>
      <c r="AC93" s="403"/>
    </row>
    <row r="94" spans="1:29" ht="23.25" x14ac:dyDescent="0.25">
      <c r="A94" s="387" t="s">
        <v>134</v>
      </c>
      <c r="B94" s="388"/>
      <c r="C94" s="388"/>
      <c r="D94" s="115" t="s">
        <v>240</v>
      </c>
      <c r="E94" s="116"/>
      <c r="F94" s="129" t="s">
        <v>127</v>
      </c>
      <c r="G94" s="118">
        <f>COUNTIF($B$7:$Q$29,F94)+COUNTIF($K$30:$Q$53,F94)+COUNTIF($R$7:$BB$53,F94)</f>
        <v>0</v>
      </c>
      <c r="J94" s="387" t="s">
        <v>134</v>
      </c>
      <c r="K94" s="388"/>
      <c r="L94" s="388"/>
      <c r="M94" s="115" t="s">
        <v>240</v>
      </c>
      <c r="N94" s="116"/>
      <c r="O94" s="129" t="s">
        <v>127</v>
      </c>
      <c r="P94" s="118">
        <f>COUNTIF($B$30:$J$50,O94)</f>
        <v>0</v>
      </c>
      <c r="Q94" s="120">
        <f t="shared" ref="Q94:Q97" si="2">G94+P94</f>
        <v>0</v>
      </c>
      <c r="R94" s="84"/>
      <c r="S94" s="84"/>
      <c r="T94" s="401"/>
      <c r="U94" s="402"/>
      <c r="V94" s="402"/>
      <c r="W94" s="402"/>
      <c r="X94" s="402"/>
      <c r="Y94" s="402"/>
      <c r="Z94" s="402"/>
      <c r="AA94" s="402"/>
      <c r="AB94" s="402"/>
      <c r="AC94" s="403"/>
    </row>
    <row r="95" spans="1:29" ht="23.25" x14ac:dyDescent="0.25">
      <c r="A95" s="387" t="s">
        <v>133</v>
      </c>
      <c r="B95" s="388"/>
      <c r="C95" s="388"/>
      <c r="D95" s="115" t="s">
        <v>240</v>
      </c>
      <c r="E95" s="116"/>
      <c r="F95" s="130" t="s">
        <v>76</v>
      </c>
      <c r="G95" s="118">
        <f>COUNTIF($B$7:$Q$29,F95)+COUNTIF($K$30:$Q$53,F95)+COUNTIF($R$7:$BB$53,F95)</f>
        <v>0</v>
      </c>
      <c r="J95" s="387" t="s">
        <v>133</v>
      </c>
      <c r="K95" s="388"/>
      <c r="L95" s="388"/>
      <c r="M95" s="115" t="s">
        <v>240</v>
      </c>
      <c r="N95" s="116"/>
      <c r="O95" s="130" t="s">
        <v>76</v>
      </c>
      <c r="P95" s="118">
        <f>COUNTIF($B$30:$J$50,O95)</f>
        <v>0</v>
      </c>
      <c r="Q95" s="120">
        <f t="shared" si="2"/>
        <v>0</v>
      </c>
      <c r="R95" s="84"/>
      <c r="S95" s="84"/>
      <c r="T95" s="401"/>
      <c r="U95" s="402"/>
      <c r="V95" s="402"/>
      <c r="W95" s="402"/>
      <c r="X95" s="402"/>
      <c r="Y95" s="402"/>
      <c r="Z95" s="402"/>
      <c r="AA95" s="402"/>
      <c r="AB95" s="402"/>
      <c r="AC95" s="403"/>
    </row>
    <row r="96" spans="1:29" ht="23.25" x14ac:dyDescent="0.25">
      <c r="A96" s="387" t="s">
        <v>77</v>
      </c>
      <c r="B96" s="388"/>
      <c r="C96" s="388"/>
      <c r="D96" s="115" t="s">
        <v>240</v>
      </c>
      <c r="E96" s="116"/>
      <c r="F96" s="131" t="s">
        <v>78</v>
      </c>
      <c r="G96" s="118">
        <f>COUNTIF($B$7:$Q$29,F96)+COUNTIF($K$30:$Q$53,F96)+COUNTIF($R$7:$BB$53,F96)</f>
        <v>0</v>
      </c>
      <c r="J96" s="387" t="s">
        <v>77</v>
      </c>
      <c r="K96" s="388"/>
      <c r="L96" s="388"/>
      <c r="M96" s="115" t="s">
        <v>240</v>
      </c>
      <c r="N96" s="116"/>
      <c r="O96" s="131" t="s">
        <v>78</v>
      </c>
      <c r="P96" s="118">
        <f>COUNTIF($B$30:$J$50,O96)</f>
        <v>0</v>
      </c>
      <c r="Q96" s="120">
        <f t="shared" si="2"/>
        <v>0</v>
      </c>
      <c r="R96" s="84"/>
      <c r="S96" s="84"/>
      <c r="T96" s="401"/>
      <c r="U96" s="402"/>
      <c r="V96" s="402"/>
      <c r="W96" s="402"/>
      <c r="X96" s="402"/>
      <c r="Y96" s="402"/>
      <c r="Z96" s="402"/>
      <c r="AA96" s="402"/>
      <c r="AB96" s="402"/>
      <c r="AC96" s="403"/>
    </row>
    <row r="97" spans="1:29" ht="23.25" x14ac:dyDescent="0.25">
      <c r="A97" s="387" t="s">
        <v>143</v>
      </c>
      <c r="B97" s="388"/>
      <c r="C97" s="388"/>
      <c r="D97" s="115" t="s">
        <v>240</v>
      </c>
      <c r="E97" s="116"/>
      <c r="F97" s="132" t="s">
        <v>130</v>
      </c>
      <c r="G97" s="118">
        <f>COUNTIF($B$7:$Q$29,F97)+COUNTIF($K$30:$Q$53,F97)+COUNTIF($R$7:$BB$53,F97)</f>
        <v>0</v>
      </c>
      <c r="J97" s="387" t="s">
        <v>143</v>
      </c>
      <c r="K97" s="388"/>
      <c r="L97" s="388"/>
      <c r="M97" s="115" t="s">
        <v>240</v>
      </c>
      <c r="N97" s="116"/>
      <c r="O97" s="132" t="s">
        <v>130</v>
      </c>
      <c r="P97" s="118">
        <f>COUNTIF($B$30:$J$50,O97)</f>
        <v>0</v>
      </c>
      <c r="Q97" s="120">
        <f t="shared" si="2"/>
        <v>0</v>
      </c>
      <c r="R97" s="84"/>
      <c r="S97" s="84"/>
      <c r="T97" s="401"/>
      <c r="U97" s="402"/>
      <c r="V97" s="402"/>
      <c r="W97" s="402"/>
      <c r="X97" s="402"/>
      <c r="Y97" s="402"/>
      <c r="Z97" s="402"/>
      <c r="AA97" s="402"/>
      <c r="AB97" s="402"/>
      <c r="AC97" s="403"/>
    </row>
    <row r="98" spans="1:29" ht="18" x14ac:dyDescent="0.25">
      <c r="A98" s="389"/>
      <c r="B98" s="390"/>
      <c r="C98" s="390"/>
      <c r="D98" s="121"/>
      <c r="E98" s="122"/>
      <c r="F98" s="123"/>
      <c r="G98" s="124"/>
      <c r="J98" s="389"/>
      <c r="K98" s="390"/>
      <c r="L98" s="390"/>
      <c r="M98" s="121"/>
      <c r="N98" s="122"/>
      <c r="O98" s="123"/>
      <c r="P98" s="124"/>
      <c r="Q98" s="125"/>
      <c r="R98" s="84"/>
      <c r="S98" s="84"/>
      <c r="T98" s="401"/>
      <c r="U98" s="402"/>
      <c r="V98" s="402"/>
      <c r="W98" s="402"/>
      <c r="X98" s="402"/>
      <c r="Y98" s="402"/>
      <c r="Z98" s="402"/>
      <c r="AA98" s="402"/>
      <c r="AB98" s="402"/>
      <c r="AC98" s="403"/>
    </row>
    <row r="99" spans="1:29" ht="24" thickBot="1" x14ac:dyDescent="0.3">
      <c r="A99" s="387" t="s">
        <v>135</v>
      </c>
      <c r="B99" s="388"/>
      <c r="C99" s="388"/>
      <c r="D99" s="115"/>
      <c r="E99" s="116"/>
      <c r="F99" s="133" t="s">
        <v>125</v>
      </c>
      <c r="G99" s="118">
        <f t="shared" ref="G99:G112" si="3">COUNTIF($B$7:$Q$29,F99)+COUNTIF($K$30:$Q$53,F99)+COUNTIF($R$7:$BB$53,F99)</f>
        <v>0</v>
      </c>
      <c r="J99" s="387" t="s">
        <v>135</v>
      </c>
      <c r="K99" s="388"/>
      <c r="L99" s="388"/>
      <c r="M99" s="115"/>
      <c r="N99" s="116"/>
      <c r="O99" s="133" t="s">
        <v>125</v>
      </c>
      <c r="P99" s="118">
        <f t="shared" ref="P99:P112" si="4">COUNTIF($B$30:$J$50,O99)</f>
        <v>0</v>
      </c>
      <c r="Q99" s="120">
        <f t="shared" ref="Q99:Q112" si="5">G99+P99</f>
        <v>0</v>
      </c>
      <c r="R99" s="84"/>
      <c r="S99" s="84"/>
      <c r="T99" s="404"/>
      <c r="U99" s="405"/>
      <c r="V99" s="405"/>
      <c r="W99" s="405"/>
      <c r="X99" s="405"/>
      <c r="Y99" s="405"/>
      <c r="Z99" s="405"/>
      <c r="AA99" s="405"/>
      <c r="AB99" s="405"/>
      <c r="AC99" s="406"/>
    </row>
    <row r="100" spans="1:29" ht="23.25" x14ac:dyDescent="0.25">
      <c r="A100" s="387" t="s">
        <v>79</v>
      </c>
      <c r="B100" s="391"/>
      <c r="C100" s="391"/>
      <c r="D100" s="115" t="s">
        <v>239</v>
      </c>
      <c r="E100" s="116"/>
      <c r="F100" s="134" t="s">
        <v>80</v>
      </c>
      <c r="G100" s="118">
        <f t="shared" si="3"/>
        <v>0</v>
      </c>
      <c r="J100" s="387" t="s">
        <v>79</v>
      </c>
      <c r="K100" s="391"/>
      <c r="L100" s="391"/>
      <c r="M100" s="115" t="s">
        <v>239</v>
      </c>
      <c r="N100" s="116"/>
      <c r="O100" s="134" t="s">
        <v>80</v>
      </c>
      <c r="P100" s="118">
        <f t="shared" si="4"/>
        <v>0</v>
      </c>
      <c r="Q100" s="120">
        <f t="shared" si="5"/>
        <v>0</v>
      </c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94"/>
      <c r="AC100" s="94"/>
    </row>
    <row r="101" spans="1:29" ht="23.25" x14ac:dyDescent="0.25">
      <c r="A101" s="387" t="s">
        <v>121</v>
      </c>
      <c r="B101" s="391"/>
      <c r="C101" s="391"/>
      <c r="D101" s="115" t="s">
        <v>241</v>
      </c>
      <c r="E101" s="116"/>
      <c r="F101" s="135" t="s">
        <v>122</v>
      </c>
      <c r="G101" s="118">
        <f t="shared" si="3"/>
        <v>0</v>
      </c>
      <c r="J101" s="387" t="s">
        <v>121</v>
      </c>
      <c r="K101" s="391"/>
      <c r="L101" s="391"/>
      <c r="M101" s="115" t="s">
        <v>241</v>
      </c>
      <c r="N101" s="116"/>
      <c r="O101" s="135" t="s">
        <v>122</v>
      </c>
      <c r="P101" s="118">
        <f t="shared" si="4"/>
        <v>0</v>
      </c>
      <c r="Q101" s="120">
        <f t="shared" si="5"/>
        <v>0</v>
      </c>
      <c r="R101" s="84"/>
      <c r="S101" s="84"/>
      <c r="U101" s="84"/>
      <c r="V101" s="84"/>
      <c r="AC101" s="84"/>
    </row>
    <row r="102" spans="1:29" ht="23.25" x14ac:dyDescent="0.25">
      <c r="A102" s="387" t="s">
        <v>144</v>
      </c>
      <c r="B102" s="391"/>
      <c r="C102" s="391"/>
      <c r="D102" s="115"/>
      <c r="E102" s="116"/>
      <c r="F102" s="136" t="s">
        <v>145</v>
      </c>
      <c r="G102" s="118">
        <f t="shared" si="3"/>
        <v>0</v>
      </c>
      <c r="J102" s="387" t="s">
        <v>144</v>
      </c>
      <c r="K102" s="391"/>
      <c r="L102" s="391"/>
      <c r="M102" s="115"/>
      <c r="N102" s="116"/>
      <c r="O102" s="136" t="s">
        <v>145</v>
      </c>
      <c r="P102" s="118">
        <f t="shared" si="4"/>
        <v>0</v>
      </c>
      <c r="Q102" s="120">
        <f t="shared" si="5"/>
        <v>0</v>
      </c>
      <c r="R102" s="84"/>
      <c r="S102" s="84"/>
      <c r="AC102" s="84"/>
    </row>
    <row r="103" spans="1:29" ht="23.25" x14ac:dyDescent="0.3">
      <c r="A103" s="387" t="s">
        <v>146</v>
      </c>
      <c r="B103" s="391"/>
      <c r="C103" s="391"/>
      <c r="D103" s="115"/>
      <c r="E103" s="116"/>
      <c r="F103" s="137" t="s">
        <v>147</v>
      </c>
      <c r="G103" s="118">
        <f t="shared" si="3"/>
        <v>0</v>
      </c>
      <c r="J103" s="387" t="s">
        <v>146</v>
      </c>
      <c r="K103" s="391"/>
      <c r="L103" s="391"/>
      <c r="M103" s="115"/>
      <c r="N103" s="116"/>
      <c r="O103" s="137" t="s">
        <v>147</v>
      </c>
      <c r="P103" s="118">
        <f t="shared" si="4"/>
        <v>0</v>
      </c>
      <c r="Q103" s="120">
        <f t="shared" si="5"/>
        <v>0</v>
      </c>
      <c r="R103" s="84"/>
      <c r="S103" s="110"/>
      <c r="AC103" s="84"/>
    </row>
    <row r="104" spans="1:29" ht="23.25" x14ac:dyDescent="0.3">
      <c r="A104" s="387" t="s">
        <v>148</v>
      </c>
      <c r="B104" s="391"/>
      <c r="C104" s="391"/>
      <c r="D104" s="115"/>
      <c r="E104" s="116"/>
      <c r="F104" s="47" t="s">
        <v>149</v>
      </c>
      <c r="G104" s="118">
        <f t="shared" si="3"/>
        <v>8</v>
      </c>
      <c r="J104" s="387" t="s">
        <v>148</v>
      </c>
      <c r="K104" s="391"/>
      <c r="L104" s="391"/>
      <c r="M104" s="115"/>
      <c r="N104" s="116"/>
      <c r="O104" s="47" t="s">
        <v>149</v>
      </c>
      <c r="P104" s="118">
        <f t="shared" si="4"/>
        <v>0</v>
      </c>
      <c r="Q104" s="120">
        <f t="shared" si="5"/>
        <v>8</v>
      </c>
      <c r="R104" s="84"/>
      <c r="S104" s="110"/>
      <c r="AC104" s="84"/>
    </row>
    <row r="105" spans="1:29" ht="23.25" x14ac:dyDescent="0.3">
      <c r="A105" s="387" t="s">
        <v>150</v>
      </c>
      <c r="B105" s="391"/>
      <c r="C105" s="391"/>
      <c r="D105" s="115"/>
      <c r="E105" s="116"/>
      <c r="F105" s="138" t="s">
        <v>141</v>
      </c>
      <c r="G105" s="118">
        <f t="shared" si="3"/>
        <v>0</v>
      </c>
      <c r="J105" s="387" t="s">
        <v>150</v>
      </c>
      <c r="K105" s="391"/>
      <c r="L105" s="391"/>
      <c r="M105" s="115"/>
      <c r="N105" s="116"/>
      <c r="O105" s="138" t="s">
        <v>141</v>
      </c>
      <c r="P105" s="118">
        <f t="shared" si="4"/>
        <v>0</v>
      </c>
      <c r="Q105" s="120">
        <f t="shared" si="5"/>
        <v>0</v>
      </c>
      <c r="R105" s="84"/>
      <c r="S105" s="110"/>
      <c r="AC105" s="84"/>
    </row>
    <row r="106" spans="1:29" ht="23.25" x14ac:dyDescent="0.3">
      <c r="A106" s="387" t="s">
        <v>151</v>
      </c>
      <c r="B106" s="391"/>
      <c r="C106" s="391"/>
      <c r="D106" s="115" t="s">
        <v>241</v>
      </c>
      <c r="E106" s="116"/>
      <c r="F106" s="139" t="s">
        <v>113</v>
      </c>
      <c r="G106" s="118">
        <f t="shared" si="3"/>
        <v>0</v>
      </c>
      <c r="J106" s="387" t="s">
        <v>151</v>
      </c>
      <c r="K106" s="391"/>
      <c r="L106" s="391"/>
      <c r="M106" s="115" t="s">
        <v>241</v>
      </c>
      <c r="N106" s="116"/>
      <c r="O106" s="139" t="s">
        <v>113</v>
      </c>
      <c r="P106" s="118">
        <f t="shared" si="4"/>
        <v>0</v>
      </c>
      <c r="Q106" s="120">
        <f t="shared" si="5"/>
        <v>0</v>
      </c>
      <c r="R106" s="84"/>
      <c r="S106" s="110"/>
      <c r="AC106" s="84"/>
    </row>
    <row r="107" spans="1:29" ht="23.25" x14ac:dyDescent="0.3">
      <c r="A107" s="387" t="s">
        <v>152</v>
      </c>
      <c r="B107" s="391"/>
      <c r="C107" s="391"/>
      <c r="D107" s="115"/>
      <c r="E107" s="116"/>
      <c r="F107" s="140" t="s">
        <v>142</v>
      </c>
      <c r="G107" s="118">
        <f t="shared" si="3"/>
        <v>0</v>
      </c>
      <c r="J107" s="387" t="s">
        <v>152</v>
      </c>
      <c r="K107" s="391"/>
      <c r="L107" s="391"/>
      <c r="M107" s="115"/>
      <c r="N107" s="116"/>
      <c r="O107" s="140" t="s">
        <v>142</v>
      </c>
      <c r="P107" s="141">
        <f t="shared" si="4"/>
        <v>0</v>
      </c>
      <c r="Q107" s="120">
        <f t="shared" si="5"/>
        <v>0</v>
      </c>
      <c r="R107" s="84"/>
      <c r="S107" s="110"/>
      <c r="AC107" s="84"/>
    </row>
    <row r="108" spans="1:29" ht="23.25" x14ac:dyDescent="0.3">
      <c r="A108" s="387" t="s">
        <v>81</v>
      </c>
      <c r="B108" s="391"/>
      <c r="C108" s="391"/>
      <c r="D108" s="115" t="s">
        <v>237</v>
      </c>
      <c r="E108" s="116"/>
      <c r="F108" s="142" t="s">
        <v>82</v>
      </c>
      <c r="G108" s="118">
        <f t="shared" si="3"/>
        <v>0</v>
      </c>
      <c r="J108" s="387" t="s">
        <v>81</v>
      </c>
      <c r="K108" s="391"/>
      <c r="L108" s="391"/>
      <c r="M108" s="115" t="s">
        <v>237</v>
      </c>
      <c r="N108" s="116"/>
      <c r="O108" s="142" t="s">
        <v>82</v>
      </c>
      <c r="P108" s="141">
        <f t="shared" si="4"/>
        <v>0</v>
      </c>
      <c r="Q108" s="120">
        <f t="shared" si="5"/>
        <v>0</v>
      </c>
      <c r="R108" s="84"/>
      <c r="S108" s="110"/>
      <c r="AC108" s="84"/>
    </row>
    <row r="109" spans="1:29" ht="23.25" x14ac:dyDescent="0.3">
      <c r="A109" s="387" t="s">
        <v>153</v>
      </c>
      <c r="B109" s="391"/>
      <c r="C109" s="391"/>
      <c r="D109" s="115"/>
      <c r="E109" s="116"/>
      <c r="F109" s="143" t="s">
        <v>154</v>
      </c>
      <c r="G109" s="118">
        <f t="shared" si="3"/>
        <v>0</v>
      </c>
      <c r="J109" s="387" t="s">
        <v>153</v>
      </c>
      <c r="K109" s="391"/>
      <c r="L109" s="391"/>
      <c r="M109" s="115"/>
      <c r="N109" s="116"/>
      <c r="O109" s="143" t="s">
        <v>154</v>
      </c>
      <c r="P109" s="141">
        <f t="shared" si="4"/>
        <v>0</v>
      </c>
      <c r="Q109" s="120">
        <f t="shared" si="5"/>
        <v>0</v>
      </c>
      <c r="R109" s="84"/>
      <c r="S109" s="110"/>
      <c r="AC109" s="84"/>
    </row>
    <row r="110" spans="1:29" ht="23.25" x14ac:dyDescent="0.3">
      <c r="A110" s="387" t="s">
        <v>109</v>
      </c>
      <c r="B110" s="391"/>
      <c r="C110" s="391"/>
      <c r="D110" s="115"/>
      <c r="E110" s="116"/>
      <c r="F110" s="144" t="s">
        <v>110</v>
      </c>
      <c r="G110" s="118">
        <f t="shared" si="3"/>
        <v>0</v>
      </c>
      <c r="J110" s="387" t="s">
        <v>109</v>
      </c>
      <c r="K110" s="391"/>
      <c r="L110" s="391"/>
      <c r="M110" s="115"/>
      <c r="N110" s="116"/>
      <c r="O110" s="144" t="s">
        <v>110</v>
      </c>
      <c r="P110" s="141">
        <f t="shared" si="4"/>
        <v>0</v>
      </c>
      <c r="Q110" s="120">
        <f t="shared" si="5"/>
        <v>0</v>
      </c>
      <c r="R110" s="84"/>
      <c r="S110" s="110"/>
      <c r="U110" s="84"/>
      <c r="V110" s="84"/>
      <c r="AC110" s="84"/>
    </row>
    <row r="111" spans="1:29" ht="23.25" x14ac:dyDescent="0.3">
      <c r="A111" s="387" t="s">
        <v>155</v>
      </c>
      <c r="B111" s="391"/>
      <c r="C111" s="391"/>
      <c r="D111" s="115" t="s">
        <v>241</v>
      </c>
      <c r="E111" s="116"/>
      <c r="F111" s="145" t="s">
        <v>114</v>
      </c>
      <c r="G111" s="118">
        <f t="shared" si="3"/>
        <v>0</v>
      </c>
      <c r="J111" s="387" t="s">
        <v>155</v>
      </c>
      <c r="K111" s="391"/>
      <c r="L111" s="391"/>
      <c r="M111" s="115" t="s">
        <v>241</v>
      </c>
      <c r="N111" s="116"/>
      <c r="O111" s="145" t="s">
        <v>114</v>
      </c>
      <c r="P111" s="141">
        <f t="shared" si="4"/>
        <v>0</v>
      </c>
      <c r="Q111" s="120">
        <f t="shared" si="5"/>
        <v>0</v>
      </c>
      <c r="R111" s="84"/>
      <c r="S111" s="110"/>
      <c r="U111" s="84"/>
      <c r="V111" s="84"/>
      <c r="AC111" s="84"/>
    </row>
    <row r="112" spans="1:29" ht="23.25" x14ac:dyDescent="0.3">
      <c r="A112" s="387" t="s">
        <v>83</v>
      </c>
      <c r="B112" s="391"/>
      <c r="C112" s="391"/>
      <c r="D112" s="115" t="s">
        <v>241</v>
      </c>
      <c r="E112" s="116"/>
      <c r="F112" s="146" t="s">
        <v>84</v>
      </c>
      <c r="G112" s="118">
        <f t="shared" si="3"/>
        <v>0</v>
      </c>
      <c r="J112" s="387" t="s">
        <v>83</v>
      </c>
      <c r="K112" s="391"/>
      <c r="L112" s="391"/>
      <c r="M112" s="115" t="s">
        <v>241</v>
      </c>
      <c r="N112" s="116"/>
      <c r="O112" s="146" t="s">
        <v>84</v>
      </c>
      <c r="P112" s="141">
        <f t="shared" si="4"/>
        <v>0</v>
      </c>
      <c r="Q112" s="120">
        <f t="shared" si="5"/>
        <v>0</v>
      </c>
      <c r="R112" s="84"/>
      <c r="S112" s="110"/>
      <c r="U112" s="84"/>
      <c r="V112" s="84"/>
      <c r="AC112" s="84"/>
    </row>
    <row r="113" spans="1:29" ht="18" x14ac:dyDescent="0.3">
      <c r="A113" s="389"/>
      <c r="B113" s="390"/>
      <c r="C113" s="390"/>
      <c r="D113" s="121"/>
      <c r="E113" s="122"/>
      <c r="F113" s="147"/>
      <c r="G113" s="124"/>
      <c r="J113" s="389"/>
      <c r="K113" s="390"/>
      <c r="L113" s="390"/>
      <c r="M113" s="121"/>
      <c r="N113" s="122"/>
      <c r="O113" s="123"/>
      <c r="P113" s="148"/>
      <c r="Q113" s="125"/>
      <c r="R113" s="84"/>
      <c r="S113" s="110"/>
      <c r="U113" s="84"/>
      <c r="V113" s="84"/>
      <c r="AC113" s="84"/>
    </row>
    <row r="114" spans="1:29" ht="23.25" x14ac:dyDescent="0.3">
      <c r="A114" s="387" t="s">
        <v>34</v>
      </c>
      <c r="B114" s="388"/>
      <c r="C114" s="388"/>
      <c r="D114" s="149"/>
      <c r="E114" s="150"/>
      <c r="F114" s="151" t="s">
        <v>35</v>
      </c>
      <c r="G114" s="118">
        <f>COUNTIF($B$7:$Q$29,F114)+COUNTIF($K$30:$Q$53,F114)+COUNTIF($R$7:$BB$53,F114)</f>
        <v>0</v>
      </c>
      <c r="J114" s="387" t="s">
        <v>34</v>
      </c>
      <c r="K114" s="388"/>
      <c r="L114" s="388"/>
      <c r="M114" s="149"/>
      <c r="N114" s="150"/>
      <c r="O114" s="151" t="s">
        <v>35</v>
      </c>
      <c r="P114" s="118">
        <f>COUNTIF($B$30:$J$50,O114)</f>
        <v>0</v>
      </c>
      <c r="Q114" s="120">
        <f t="shared" ref="Q114:Q115" si="6">G114+P114</f>
        <v>0</v>
      </c>
      <c r="R114" s="84"/>
      <c r="S114" s="110"/>
      <c r="U114" s="84"/>
      <c r="V114" s="84"/>
      <c r="AC114" s="84"/>
    </row>
    <row r="115" spans="1:29" ht="23.25" x14ac:dyDescent="0.25">
      <c r="A115" s="387" t="s">
        <v>85</v>
      </c>
      <c r="B115" s="388"/>
      <c r="C115" s="388"/>
      <c r="D115" s="149" t="s">
        <v>238</v>
      </c>
      <c r="E115" s="150"/>
      <c r="F115" s="152" t="s">
        <v>86</v>
      </c>
      <c r="G115" s="118">
        <f>COUNTIF($B$7:$Q$29,F115)+COUNTIF($K$30:$Q$53,F115)+COUNTIF($R$7:$BB$53,F115)</f>
        <v>0</v>
      </c>
      <c r="J115" s="387" t="s">
        <v>85</v>
      </c>
      <c r="K115" s="388"/>
      <c r="L115" s="388"/>
      <c r="M115" s="149" t="s">
        <v>238</v>
      </c>
      <c r="N115" s="150"/>
      <c r="O115" s="152" t="s">
        <v>86</v>
      </c>
      <c r="P115" s="118">
        <f>COUNTIF($B$30:$J$50,O115)</f>
        <v>0</v>
      </c>
      <c r="Q115" s="120">
        <f t="shared" si="6"/>
        <v>0</v>
      </c>
      <c r="U115" s="84"/>
      <c r="V115" s="84"/>
      <c r="AC115" s="84"/>
    </row>
    <row r="116" spans="1:29" ht="18" x14ac:dyDescent="0.25">
      <c r="A116" s="389"/>
      <c r="B116" s="390"/>
      <c r="C116" s="390"/>
      <c r="D116" s="121"/>
      <c r="E116" s="122"/>
      <c r="F116" s="123"/>
      <c r="G116" s="124"/>
      <c r="J116" s="389"/>
      <c r="K116" s="390"/>
      <c r="L116" s="390"/>
      <c r="M116" s="121"/>
      <c r="N116" s="122"/>
      <c r="O116" s="123"/>
      <c r="P116" s="124"/>
      <c r="Q116" s="125"/>
      <c r="U116" s="84"/>
      <c r="V116" s="84"/>
      <c r="AC116" s="84"/>
    </row>
    <row r="117" spans="1:29" ht="23.25" x14ac:dyDescent="0.25">
      <c r="A117" s="387" t="s">
        <v>87</v>
      </c>
      <c r="B117" s="388"/>
      <c r="C117" s="388"/>
      <c r="D117" s="115" t="s">
        <v>237</v>
      </c>
      <c r="E117" s="116"/>
      <c r="F117" s="153" t="s">
        <v>88</v>
      </c>
      <c r="G117" s="118">
        <f t="shared" ref="G117:G126" si="7">COUNTIF($B$7:$Q$29,F117)+COUNTIF($K$30:$Q$53,F117)+COUNTIF($R$7:$BB$53,F117)</f>
        <v>0</v>
      </c>
      <c r="J117" s="387" t="s">
        <v>87</v>
      </c>
      <c r="K117" s="388"/>
      <c r="L117" s="388"/>
      <c r="M117" s="115" t="s">
        <v>237</v>
      </c>
      <c r="N117" s="116"/>
      <c r="O117" s="153" t="s">
        <v>88</v>
      </c>
      <c r="P117" s="118">
        <f t="shared" ref="P117:P126" si="8">COUNTIF($B$30:$J$50,O117)</f>
        <v>0</v>
      </c>
      <c r="Q117" s="120">
        <f t="shared" ref="Q117:Q126" si="9">G117+P117</f>
        <v>0</v>
      </c>
      <c r="U117" s="84"/>
      <c r="V117" s="84"/>
      <c r="AC117" s="84"/>
    </row>
    <row r="118" spans="1:29" ht="23.25" x14ac:dyDescent="0.25">
      <c r="A118" s="387" t="s">
        <v>89</v>
      </c>
      <c r="B118" s="388"/>
      <c r="C118" s="388"/>
      <c r="D118" s="115" t="s">
        <v>238</v>
      </c>
      <c r="E118" s="116"/>
      <c r="F118" s="154" t="s">
        <v>90</v>
      </c>
      <c r="G118" s="118">
        <f t="shared" si="7"/>
        <v>0</v>
      </c>
      <c r="J118" s="387" t="s">
        <v>89</v>
      </c>
      <c r="K118" s="388"/>
      <c r="L118" s="388"/>
      <c r="M118" s="115" t="s">
        <v>238</v>
      </c>
      <c r="N118" s="116"/>
      <c r="O118" s="154" t="s">
        <v>90</v>
      </c>
      <c r="P118" s="118">
        <f t="shared" si="8"/>
        <v>0</v>
      </c>
      <c r="Q118" s="120">
        <f t="shared" si="9"/>
        <v>0</v>
      </c>
      <c r="U118" s="84"/>
      <c r="V118" s="84"/>
      <c r="AC118" s="84"/>
    </row>
    <row r="119" spans="1:29" ht="23.25" x14ac:dyDescent="0.25">
      <c r="A119" s="387" t="s">
        <v>115</v>
      </c>
      <c r="B119" s="388"/>
      <c r="C119" s="388"/>
      <c r="D119" s="115"/>
      <c r="E119" s="116"/>
      <c r="F119" s="155" t="s">
        <v>116</v>
      </c>
      <c r="G119" s="118">
        <f t="shared" si="7"/>
        <v>0</v>
      </c>
      <c r="J119" s="387" t="s">
        <v>115</v>
      </c>
      <c r="K119" s="388"/>
      <c r="L119" s="388"/>
      <c r="M119" s="115"/>
      <c r="N119" s="116"/>
      <c r="O119" s="155" t="s">
        <v>116</v>
      </c>
      <c r="P119" s="118">
        <f t="shared" si="8"/>
        <v>0</v>
      </c>
      <c r="Q119" s="120">
        <f t="shared" si="9"/>
        <v>0</v>
      </c>
      <c r="U119" s="84"/>
      <c r="V119" s="84"/>
      <c r="AC119" s="84"/>
    </row>
    <row r="120" spans="1:29" ht="23.25" x14ac:dyDescent="0.25">
      <c r="A120" s="387" t="s">
        <v>101</v>
      </c>
      <c r="B120" s="388"/>
      <c r="C120" s="388"/>
      <c r="D120" s="115"/>
      <c r="E120" s="116"/>
      <c r="F120" s="156" t="s">
        <v>102</v>
      </c>
      <c r="G120" s="118">
        <f t="shared" si="7"/>
        <v>0</v>
      </c>
      <c r="J120" s="387" t="s">
        <v>101</v>
      </c>
      <c r="K120" s="388"/>
      <c r="L120" s="388"/>
      <c r="M120" s="115"/>
      <c r="N120" s="116"/>
      <c r="O120" s="156" t="s">
        <v>102</v>
      </c>
      <c r="P120" s="118">
        <f t="shared" si="8"/>
        <v>0</v>
      </c>
      <c r="Q120" s="120">
        <f t="shared" si="9"/>
        <v>0</v>
      </c>
      <c r="R120" s="84"/>
      <c r="S120" s="84"/>
      <c r="U120" s="84"/>
      <c r="V120" s="84"/>
      <c r="AC120" s="84"/>
    </row>
    <row r="121" spans="1:29" ht="23.25" x14ac:dyDescent="0.25">
      <c r="A121" s="387" t="s">
        <v>91</v>
      </c>
      <c r="B121" s="388"/>
      <c r="C121" s="388"/>
      <c r="D121" s="115"/>
      <c r="E121" s="150"/>
      <c r="F121" s="157" t="s">
        <v>92</v>
      </c>
      <c r="G121" s="118">
        <f t="shared" si="7"/>
        <v>0</v>
      </c>
      <c r="J121" s="387" t="s">
        <v>91</v>
      </c>
      <c r="K121" s="388"/>
      <c r="L121" s="388"/>
      <c r="M121" s="115"/>
      <c r="N121" s="150"/>
      <c r="O121" s="157" t="s">
        <v>92</v>
      </c>
      <c r="P121" s="118">
        <f t="shared" si="8"/>
        <v>0</v>
      </c>
      <c r="Q121" s="120">
        <f t="shared" si="9"/>
        <v>0</v>
      </c>
      <c r="U121" s="84"/>
      <c r="V121" s="84"/>
      <c r="AC121" s="84"/>
    </row>
    <row r="122" spans="1:29" ht="23.25" x14ac:dyDescent="0.25">
      <c r="A122" s="387" t="s">
        <v>93</v>
      </c>
      <c r="B122" s="388"/>
      <c r="C122" s="388"/>
      <c r="D122" s="115"/>
      <c r="E122" s="150"/>
      <c r="F122" s="158" t="s">
        <v>94</v>
      </c>
      <c r="G122" s="118">
        <f t="shared" si="7"/>
        <v>0</v>
      </c>
      <c r="J122" s="387" t="s">
        <v>93</v>
      </c>
      <c r="K122" s="388"/>
      <c r="L122" s="388"/>
      <c r="M122" s="115"/>
      <c r="N122" s="150"/>
      <c r="O122" s="158" t="s">
        <v>94</v>
      </c>
      <c r="P122" s="118">
        <f t="shared" si="8"/>
        <v>0</v>
      </c>
      <c r="Q122" s="120">
        <f t="shared" si="9"/>
        <v>0</v>
      </c>
      <c r="U122" s="84"/>
      <c r="V122" s="84"/>
      <c r="AC122" s="84"/>
    </row>
    <row r="123" spans="1:29" ht="23.25" x14ac:dyDescent="0.25">
      <c r="A123" s="387" t="s">
        <v>95</v>
      </c>
      <c r="B123" s="388"/>
      <c r="C123" s="388"/>
      <c r="D123" s="115"/>
      <c r="E123" s="150"/>
      <c r="F123" s="159" t="s">
        <v>96</v>
      </c>
      <c r="G123" s="118">
        <f t="shared" si="7"/>
        <v>0</v>
      </c>
      <c r="J123" s="387" t="s">
        <v>95</v>
      </c>
      <c r="K123" s="388"/>
      <c r="L123" s="388"/>
      <c r="M123" s="115"/>
      <c r="N123" s="150"/>
      <c r="O123" s="159" t="s">
        <v>96</v>
      </c>
      <c r="P123" s="118">
        <f t="shared" si="8"/>
        <v>0</v>
      </c>
      <c r="Q123" s="120">
        <f t="shared" si="9"/>
        <v>0</v>
      </c>
      <c r="U123" s="84"/>
      <c r="V123" s="84"/>
      <c r="AC123" s="84"/>
    </row>
    <row r="124" spans="1:29" ht="23.25" x14ac:dyDescent="0.25">
      <c r="A124" s="387" t="s">
        <v>97</v>
      </c>
      <c r="B124" s="388"/>
      <c r="C124" s="388"/>
      <c r="D124" s="115"/>
      <c r="E124" s="150"/>
      <c r="F124" s="160" t="s">
        <v>98</v>
      </c>
      <c r="G124" s="118">
        <f t="shared" si="7"/>
        <v>0</v>
      </c>
      <c r="J124" s="387" t="s">
        <v>97</v>
      </c>
      <c r="K124" s="388"/>
      <c r="L124" s="388"/>
      <c r="M124" s="115"/>
      <c r="N124" s="150"/>
      <c r="O124" s="160" t="s">
        <v>98</v>
      </c>
      <c r="P124" s="118">
        <f t="shared" si="8"/>
        <v>0</v>
      </c>
      <c r="Q124" s="120">
        <f t="shared" si="9"/>
        <v>0</v>
      </c>
      <c r="U124" s="84"/>
      <c r="V124" s="84"/>
      <c r="AC124" s="84"/>
    </row>
    <row r="125" spans="1:29" ht="23.25" x14ac:dyDescent="0.25">
      <c r="A125" s="387" t="s">
        <v>156</v>
      </c>
      <c r="B125" s="388"/>
      <c r="C125" s="388"/>
      <c r="D125" s="115" t="s">
        <v>237</v>
      </c>
      <c r="E125" s="116"/>
      <c r="F125" s="14" t="s">
        <v>112</v>
      </c>
      <c r="G125" s="118">
        <f t="shared" si="7"/>
        <v>4</v>
      </c>
      <c r="J125" s="387" t="s">
        <v>156</v>
      </c>
      <c r="K125" s="388"/>
      <c r="L125" s="388"/>
      <c r="M125" s="115" t="s">
        <v>237</v>
      </c>
      <c r="N125" s="116"/>
      <c r="O125" s="14" t="s">
        <v>112</v>
      </c>
      <c r="P125" s="118">
        <f t="shared" si="8"/>
        <v>0</v>
      </c>
      <c r="Q125" s="120">
        <f t="shared" si="9"/>
        <v>4</v>
      </c>
      <c r="U125" s="84"/>
      <c r="V125" s="84"/>
      <c r="AC125" s="84"/>
    </row>
    <row r="126" spans="1:29" ht="23.25" x14ac:dyDescent="0.25">
      <c r="A126" s="387" t="s">
        <v>157</v>
      </c>
      <c r="B126" s="388"/>
      <c r="C126" s="388"/>
      <c r="D126" s="115" t="s">
        <v>237</v>
      </c>
      <c r="E126" s="150"/>
      <c r="F126" s="161" t="s">
        <v>140</v>
      </c>
      <c r="G126" s="118">
        <f t="shared" si="7"/>
        <v>0</v>
      </c>
      <c r="J126" s="387" t="s">
        <v>157</v>
      </c>
      <c r="K126" s="388"/>
      <c r="L126" s="388"/>
      <c r="M126" s="115" t="s">
        <v>237</v>
      </c>
      <c r="N126" s="150"/>
      <c r="O126" s="161" t="s">
        <v>140</v>
      </c>
      <c r="P126" s="118">
        <f t="shared" si="8"/>
        <v>0</v>
      </c>
      <c r="Q126" s="120">
        <f t="shared" si="9"/>
        <v>0</v>
      </c>
      <c r="U126" s="84"/>
      <c r="V126" s="84"/>
      <c r="AC126" s="84"/>
    </row>
    <row r="127" spans="1:29" ht="18" x14ac:dyDescent="0.25">
      <c r="A127" s="389"/>
      <c r="B127" s="390"/>
      <c r="C127" s="390"/>
      <c r="D127" s="121"/>
      <c r="E127" s="122"/>
      <c r="F127" s="123"/>
      <c r="G127" s="124"/>
      <c r="J127" s="389"/>
      <c r="K127" s="390"/>
      <c r="L127" s="390"/>
      <c r="M127" s="121"/>
      <c r="N127" s="122"/>
      <c r="O127" s="123"/>
      <c r="P127" s="124"/>
      <c r="Q127" s="125"/>
      <c r="U127" s="84"/>
      <c r="V127" s="84"/>
      <c r="AC127" s="84"/>
    </row>
    <row r="128" spans="1:29" ht="23.25" x14ac:dyDescent="0.25">
      <c r="A128" s="387" t="s">
        <v>16</v>
      </c>
      <c r="B128" s="388"/>
      <c r="C128" s="388"/>
      <c r="D128" s="115" t="s">
        <v>242</v>
      </c>
      <c r="E128" s="116"/>
      <c r="F128" s="162" t="s">
        <v>17</v>
      </c>
      <c r="G128" s="118">
        <f>COUNTIF($B$7:$Q$29,F128)+COUNTIF($K$30:$Q$53,F128)+COUNTIF($R$7:$BB$53,F128)</f>
        <v>0</v>
      </c>
      <c r="J128" s="387" t="s">
        <v>16</v>
      </c>
      <c r="K128" s="388"/>
      <c r="L128" s="388"/>
      <c r="M128" s="115" t="s">
        <v>242</v>
      </c>
      <c r="N128" s="116"/>
      <c r="O128" s="162" t="s">
        <v>17</v>
      </c>
      <c r="P128" s="118">
        <f>COUNTIF($B$30:$J$50,O128)</f>
        <v>0</v>
      </c>
      <c r="Q128" s="120">
        <f t="shared" ref="Q128" si="10">G128+P128</f>
        <v>0</v>
      </c>
      <c r="U128" s="84"/>
      <c r="V128" s="84"/>
      <c r="AC128" s="84"/>
    </row>
    <row r="129" spans="1:29" ht="23.25" x14ac:dyDescent="0.25">
      <c r="A129" s="387" t="s">
        <v>18</v>
      </c>
      <c r="B129" s="388"/>
      <c r="C129" s="388"/>
      <c r="D129" s="115" t="s">
        <v>242</v>
      </c>
      <c r="E129" s="150"/>
      <c r="F129" s="163" t="s">
        <v>19</v>
      </c>
      <c r="G129" s="118">
        <f>COUNTIF($B$7:$Q$29,F129)+COUNTIF($K$30:$Q$53,F129)+COUNTIF($R$7:$BB$53,F129)</f>
        <v>0</v>
      </c>
      <c r="J129" s="387" t="s">
        <v>18</v>
      </c>
      <c r="K129" s="388"/>
      <c r="L129" s="388"/>
      <c r="M129" s="115" t="s">
        <v>242</v>
      </c>
      <c r="N129" s="150"/>
      <c r="O129" s="163" t="s">
        <v>19</v>
      </c>
      <c r="P129" s="118">
        <f>COUNTIF($B$30:$J$50,O129)</f>
        <v>0</v>
      </c>
      <c r="Q129" s="120">
        <f t="shared" si="0"/>
        <v>0</v>
      </c>
      <c r="U129" s="84"/>
      <c r="V129" s="84"/>
      <c r="AC129" s="84"/>
    </row>
    <row r="130" spans="1:29" ht="23.25" x14ac:dyDescent="0.25">
      <c r="A130" s="387" t="s">
        <v>20</v>
      </c>
      <c r="B130" s="388"/>
      <c r="C130" s="388"/>
      <c r="D130" s="115" t="s">
        <v>242</v>
      </c>
      <c r="E130" s="150"/>
      <c r="F130" s="164" t="s">
        <v>21</v>
      </c>
      <c r="G130" s="118">
        <f>COUNTIF($B$7:$Q$29,F130)+COUNTIF($K$30:$Q$53,F130)+COUNTIF($R$7:$BB$53,F130)</f>
        <v>0</v>
      </c>
      <c r="J130" s="387" t="s">
        <v>20</v>
      </c>
      <c r="K130" s="388"/>
      <c r="L130" s="388"/>
      <c r="M130" s="115" t="s">
        <v>242</v>
      </c>
      <c r="N130" s="150"/>
      <c r="O130" s="164" t="s">
        <v>21</v>
      </c>
      <c r="P130" s="118">
        <f>COUNTIF($B$30:$J$50,O130)</f>
        <v>0</v>
      </c>
      <c r="Q130" s="120">
        <f t="shared" si="0"/>
        <v>0</v>
      </c>
      <c r="AC130" s="94"/>
    </row>
    <row r="131" spans="1:29" ht="23.25" x14ac:dyDescent="0.25">
      <c r="A131" s="387" t="s">
        <v>22</v>
      </c>
      <c r="B131" s="388"/>
      <c r="C131" s="388"/>
      <c r="D131" s="115" t="s">
        <v>242</v>
      </c>
      <c r="E131" s="150"/>
      <c r="F131" s="165" t="s">
        <v>23</v>
      </c>
      <c r="G131" s="118">
        <f>COUNTIF($B$7:$Q$29,F131)+COUNTIF($K$30:$Q$53,F131)+COUNTIF($R$7:$BB$53,F131)</f>
        <v>0</v>
      </c>
      <c r="J131" s="387" t="s">
        <v>22</v>
      </c>
      <c r="K131" s="388"/>
      <c r="L131" s="388"/>
      <c r="M131" s="115" t="s">
        <v>242</v>
      </c>
      <c r="N131" s="150"/>
      <c r="O131" s="165" t="s">
        <v>23</v>
      </c>
      <c r="P131" s="118">
        <f>COUNTIF($B$30:$J$50,O131)</f>
        <v>0</v>
      </c>
      <c r="Q131" s="120">
        <f t="shared" si="0"/>
        <v>0</v>
      </c>
      <c r="AC131" s="94"/>
    </row>
    <row r="132" spans="1:29" ht="23.25" x14ac:dyDescent="0.25">
      <c r="A132" s="387" t="s">
        <v>24</v>
      </c>
      <c r="B132" s="388"/>
      <c r="C132" s="388"/>
      <c r="D132" s="115" t="s">
        <v>242</v>
      </c>
      <c r="E132" s="150"/>
      <c r="F132" s="166" t="s">
        <v>25</v>
      </c>
      <c r="G132" s="118">
        <f>COUNTIF($B$7:$Q$29,F132)+COUNTIF($K$30:$Q$53,F132)+COUNTIF($R$7:$BB$53,F132)</f>
        <v>0</v>
      </c>
      <c r="J132" s="387" t="s">
        <v>24</v>
      </c>
      <c r="K132" s="388"/>
      <c r="L132" s="388"/>
      <c r="M132" s="115" t="s">
        <v>242</v>
      </c>
      <c r="N132" s="150"/>
      <c r="O132" s="166" t="s">
        <v>25</v>
      </c>
      <c r="P132" s="118">
        <f>COUNTIF($B$30:$J$50,O132)</f>
        <v>0</v>
      </c>
      <c r="Q132" s="120">
        <f t="shared" si="0"/>
        <v>0</v>
      </c>
      <c r="R132" s="84"/>
      <c r="AB132" s="94"/>
      <c r="AC132" s="94"/>
    </row>
    <row r="133" spans="1:29" ht="18" x14ac:dyDescent="0.25">
      <c r="A133" s="389"/>
      <c r="B133" s="390"/>
      <c r="C133" s="390"/>
      <c r="D133" s="121"/>
      <c r="E133" s="122"/>
      <c r="F133" s="123"/>
      <c r="G133" s="124"/>
      <c r="J133" s="389"/>
      <c r="K133" s="390"/>
      <c r="L133" s="390"/>
      <c r="M133" s="121"/>
      <c r="N133" s="122"/>
      <c r="O133" s="123"/>
      <c r="P133" s="124"/>
      <c r="Q133" s="125"/>
      <c r="R133" s="84"/>
      <c r="AB133" s="94"/>
      <c r="AC133" s="94"/>
    </row>
    <row r="134" spans="1:29" ht="23.25" x14ac:dyDescent="0.25">
      <c r="A134" s="387" t="s">
        <v>26</v>
      </c>
      <c r="B134" s="388"/>
      <c r="C134" s="388"/>
      <c r="D134" s="115"/>
      <c r="E134" s="116"/>
      <c r="F134" s="167" t="s">
        <v>27</v>
      </c>
      <c r="G134" s="118">
        <f t="shared" ref="G134:G172" si="11">COUNTIF($B$7:$Q$29,F134)+COUNTIF($K$30:$Q$53,F134)+COUNTIF($R$7:$BB$53,F134)</f>
        <v>0</v>
      </c>
      <c r="J134" s="387" t="s">
        <v>26</v>
      </c>
      <c r="K134" s="388"/>
      <c r="L134" s="388"/>
      <c r="M134" s="115"/>
      <c r="N134" s="116"/>
      <c r="O134" s="167" t="s">
        <v>27</v>
      </c>
      <c r="P134" s="118">
        <f t="shared" ref="P134:P172" si="12">COUNTIF($B$30:$J$50,O134)</f>
        <v>0</v>
      </c>
      <c r="Q134" s="120">
        <f t="shared" ref="Q134" si="13">G134+P134</f>
        <v>0</v>
      </c>
      <c r="R134" s="84"/>
      <c r="AB134" s="94"/>
      <c r="AC134" s="94"/>
    </row>
    <row r="135" spans="1:29" ht="23.25" x14ac:dyDescent="0.25">
      <c r="A135" s="387" t="s">
        <v>28</v>
      </c>
      <c r="B135" s="388"/>
      <c r="C135" s="388"/>
      <c r="D135" s="115"/>
      <c r="E135" s="116"/>
      <c r="F135" s="168" t="s">
        <v>29</v>
      </c>
      <c r="G135" s="118">
        <f t="shared" si="11"/>
        <v>0</v>
      </c>
      <c r="J135" s="387" t="s">
        <v>28</v>
      </c>
      <c r="K135" s="388"/>
      <c r="L135" s="388"/>
      <c r="M135" s="115"/>
      <c r="N135" s="116"/>
      <c r="O135" s="168" t="s">
        <v>29</v>
      </c>
      <c r="P135" s="141">
        <f t="shared" si="12"/>
        <v>0</v>
      </c>
      <c r="Q135" s="120">
        <f t="shared" si="0"/>
        <v>0</v>
      </c>
      <c r="R135" s="84"/>
      <c r="AB135" s="94"/>
      <c r="AC135" s="94"/>
    </row>
    <row r="136" spans="1:29" ht="23.25" x14ac:dyDescent="0.25">
      <c r="A136" s="387" t="s">
        <v>139</v>
      </c>
      <c r="B136" s="388"/>
      <c r="C136" s="388"/>
      <c r="D136" s="115"/>
      <c r="E136" s="116"/>
      <c r="F136" s="169" t="s">
        <v>131</v>
      </c>
      <c r="G136" s="118">
        <f t="shared" si="11"/>
        <v>0</v>
      </c>
      <c r="J136" s="387" t="s">
        <v>139</v>
      </c>
      <c r="K136" s="388"/>
      <c r="L136" s="388"/>
      <c r="M136" s="115"/>
      <c r="N136" s="116"/>
      <c r="O136" s="169" t="s">
        <v>131</v>
      </c>
      <c r="P136" s="118">
        <f t="shared" si="12"/>
        <v>0</v>
      </c>
      <c r="Q136" s="120">
        <f t="shared" si="0"/>
        <v>0</v>
      </c>
      <c r="R136" s="84"/>
      <c r="AB136" s="94"/>
      <c r="AC136" s="94"/>
    </row>
    <row r="137" spans="1:29" ht="23.25" x14ac:dyDescent="0.25">
      <c r="A137" s="387" t="s">
        <v>30</v>
      </c>
      <c r="B137" s="388"/>
      <c r="C137" s="388"/>
      <c r="D137" s="115"/>
      <c r="E137" s="116"/>
      <c r="F137" s="170" t="s">
        <v>31</v>
      </c>
      <c r="G137" s="118">
        <f t="shared" si="11"/>
        <v>0</v>
      </c>
      <c r="J137" s="387" t="s">
        <v>30</v>
      </c>
      <c r="K137" s="388"/>
      <c r="L137" s="388"/>
      <c r="M137" s="115"/>
      <c r="N137" s="116"/>
      <c r="O137" s="170" t="s">
        <v>31</v>
      </c>
      <c r="P137" s="118">
        <f t="shared" si="12"/>
        <v>0</v>
      </c>
      <c r="Q137" s="120">
        <f t="shared" si="0"/>
        <v>0</v>
      </c>
      <c r="R137" s="84"/>
      <c r="AB137" s="94"/>
      <c r="AC137" s="94"/>
    </row>
    <row r="138" spans="1:29" ht="23.25" x14ac:dyDescent="0.25">
      <c r="A138" s="387" t="s">
        <v>32</v>
      </c>
      <c r="B138" s="388"/>
      <c r="C138" s="388"/>
      <c r="D138" s="115"/>
      <c r="E138" s="116"/>
      <c r="F138" s="171" t="s">
        <v>33</v>
      </c>
      <c r="G138" s="118">
        <f t="shared" si="11"/>
        <v>0</v>
      </c>
      <c r="J138" s="387" t="s">
        <v>32</v>
      </c>
      <c r="K138" s="388"/>
      <c r="L138" s="388"/>
      <c r="M138" s="115"/>
      <c r="N138" s="116"/>
      <c r="O138" s="171" t="s">
        <v>33</v>
      </c>
      <c r="P138" s="118">
        <f t="shared" si="12"/>
        <v>0</v>
      </c>
      <c r="Q138" s="120">
        <f t="shared" si="0"/>
        <v>0</v>
      </c>
      <c r="R138" s="84"/>
      <c r="AB138" s="94"/>
      <c r="AC138" s="94"/>
    </row>
    <row r="139" spans="1:29" ht="23.25" x14ac:dyDescent="0.25">
      <c r="A139" s="387" t="s">
        <v>158</v>
      </c>
      <c r="B139" s="388"/>
      <c r="C139" s="388"/>
      <c r="D139" s="115"/>
      <c r="E139" s="116"/>
      <c r="F139" s="172" t="s">
        <v>159</v>
      </c>
      <c r="G139" s="118">
        <f t="shared" si="11"/>
        <v>0</v>
      </c>
      <c r="J139" s="387" t="s">
        <v>158</v>
      </c>
      <c r="K139" s="388"/>
      <c r="L139" s="388"/>
      <c r="M139" s="115"/>
      <c r="N139" s="116"/>
      <c r="O139" s="172" t="s">
        <v>159</v>
      </c>
      <c r="P139" s="118">
        <f t="shared" si="12"/>
        <v>0</v>
      </c>
      <c r="Q139" s="120">
        <f t="shared" si="0"/>
        <v>0</v>
      </c>
      <c r="R139" s="84"/>
      <c r="AB139" s="94"/>
      <c r="AC139" s="94"/>
    </row>
    <row r="140" spans="1:29" ht="23.25" x14ac:dyDescent="0.25">
      <c r="A140" s="113" t="s">
        <v>136</v>
      </c>
      <c r="B140" s="114"/>
      <c r="C140" s="114"/>
      <c r="D140" s="115"/>
      <c r="E140" s="116"/>
      <c r="F140" s="173" t="s">
        <v>128</v>
      </c>
      <c r="G140" s="118">
        <f t="shared" si="11"/>
        <v>0</v>
      </c>
      <c r="J140" s="113" t="s">
        <v>136</v>
      </c>
      <c r="K140" s="114"/>
      <c r="L140" s="114"/>
      <c r="M140" s="115"/>
      <c r="N140" s="116"/>
      <c r="O140" s="173" t="s">
        <v>128</v>
      </c>
      <c r="P140" s="118">
        <f t="shared" si="12"/>
        <v>0</v>
      </c>
      <c r="Q140" s="120">
        <f t="shared" si="0"/>
        <v>0</v>
      </c>
      <c r="R140" s="84"/>
      <c r="AB140" s="94"/>
      <c r="AC140" s="94"/>
    </row>
    <row r="141" spans="1:29" ht="23.25" x14ac:dyDescent="0.25">
      <c r="A141" s="387" t="s">
        <v>137</v>
      </c>
      <c r="B141" s="388"/>
      <c r="C141" s="388"/>
      <c r="D141" s="115"/>
      <c r="E141" s="116"/>
      <c r="F141" s="174" t="s">
        <v>129</v>
      </c>
      <c r="G141" s="118">
        <f t="shared" si="11"/>
        <v>0</v>
      </c>
      <c r="J141" s="387" t="s">
        <v>137</v>
      </c>
      <c r="K141" s="388"/>
      <c r="L141" s="388"/>
      <c r="M141" s="115"/>
      <c r="N141" s="116"/>
      <c r="O141" s="174" t="s">
        <v>129</v>
      </c>
      <c r="P141" s="118">
        <f t="shared" si="12"/>
        <v>0</v>
      </c>
      <c r="Q141" s="120">
        <f t="shared" si="0"/>
        <v>0</v>
      </c>
      <c r="R141" s="84"/>
      <c r="AB141" s="94"/>
      <c r="AC141" s="94"/>
    </row>
    <row r="142" spans="1:29" ht="23.25" x14ac:dyDescent="0.25">
      <c r="A142" s="387" t="s">
        <v>36</v>
      </c>
      <c r="B142" s="388"/>
      <c r="C142" s="388"/>
      <c r="D142" s="149"/>
      <c r="E142" s="150"/>
      <c r="F142" s="175" t="s">
        <v>37</v>
      </c>
      <c r="G142" s="118">
        <f t="shared" si="11"/>
        <v>0</v>
      </c>
      <c r="J142" s="387" t="s">
        <v>36</v>
      </c>
      <c r="K142" s="388"/>
      <c r="L142" s="388"/>
      <c r="M142" s="149"/>
      <c r="N142" s="150"/>
      <c r="O142" s="175" t="s">
        <v>37</v>
      </c>
      <c r="P142" s="118">
        <f t="shared" si="12"/>
        <v>0</v>
      </c>
      <c r="Q142" s="120">
        <f t="shared" si="0"/>
        <v>0</v>
      </c>
      <c r="R142" s="84"/>
      <c r="AB142" s="94"/>
      <c r="AC142" s="94"/>
    </row>
    <row r="143" spans="1:29" ht="23.25" x14ac:dyDescent="0.25">
      <c r="A143" s="387" t="s">
        <v>38</v>
      </c>
      <c r="B143" s="388"/>
      <c r="C143" s="388"/>
      <c r="D143" s="149"/>
      <c r="E143" s="150"/>
      <c r="F143" s="176" t="s">
        <v>39</v>
      </c>
      <c r="G143" s="118">
        <f t="shared" si="11"/>
        <v>0</v>
      </c>
      <c r="J143" s="387" t="s">
        <v>38</v>
      </c>
      <c r="K143" s="388"/>
      <c r="L143" s="388"/>
      <c r="M143" s="149"/>
      <c r="N143" s="150"/>
      <c r="O143" s="176" t="s">
        <v>39</v>
      </c>
      <c r="P143" s="118">
        <f t="shared" si="12"/>
        <v>0</v>
      </c>
      <c r="Q143" s="120">
        <f t="shared" si="0"/>
        <v>0</v>
      </c>
      <c r="R143" s="84"/>
      <c r="AB143" s="94"/>
      <c r="AC143" s="94"/>
    </row>
    <row r="144" spans="1:29" ht="23.25" x14ac:dyDescent="0.25">
      <c r="A144" s="387" t="s">
        <v>40</v>
      </c>
      <c r="B144" s="388"/>
      <c r="C144" s="388"/>
      <c r="D144" s="149"/>
      <c r="E144" s="150"/>
      <c r="F144" s="177" t="s">
        <v>41</v>
      </c>
      <c r="G144" s="118">
        <f t="shared" si="11"/>
        <v>0</v>
      </c>
      <c r="J144" s="387" t="s">
        <v>40</v>
      </c>
      <c r="K144" s="388"/>
      <c r="L144" s="388"/>
      <c r="M144" s="149"/>
      <c r="N144" s="150"/>
      <c r="O144" s="177" t="s">
        <v>41</v>
      </c>
      <c r="P144" s="118">
        <f t="shared" si="12"/>
        <v>0</v>
      </c>
      <c r="Q144" s="120">
        <f t="shared" si="0"/>
        <v>0</v>
      </c>
      <c r="R144" s="84"/>
      <c r="AB144" s="94"/>
      <c r="AC144" s="94"/>
    </row>
    <row r="145" spans="1:29" ht="23.25" x14ac:dyDescent="0.25">
      <c r="A145" s="387" t="s">
        <v>42</v>
      </c>
      <c r="B145" s="388"/>
      <c r="C145" s="388"/>
      <c r="D145" s="149"/>
      <c r="E145" s="150"/>
      <c r="F145" s="178" t="s">
        <v>43</v>
      </c>
      <c r="G145" s="118">
        <f t="shared" si="11"/>
        <v>0</v>
      </c>
      <c r="J145" s="387" t="s">
        <v>42</v>
      </c>
      <c r="K145" s="388"/>
      <c r="L145" s="388"/>
      <c r="M145" s="149"/>
      <c r="N145" s="150"/>
      <c r="O145" s="178" t="s">
        <v>43</v>
      </c>
      <c r="P145" s="141">
        <f t="shared" si="12"/>
        <v>0</v>
      </c>
      <c r="Q145" s="120">
        <f t="shared" si="0"/>
        <v>0</v>
      </c>
      <c r="R145" s="84"/>
      <c r="AB145" s="94"/>
      <c r="AC145" s="94"/>
    </row>
    <row r="146" spans="1:29" ht="23.25" x14ac:dyDescent="0.25">
      <c r="A146" s="387" t="s">
        <v>44</v>
      </c>
      <c r="B146" s="388"/>
      <c r="C146" s="388"/>
      <c r="D146" s="149"/>
      <c r="E146" s="150"/>
      <c r="F146" s="179" t="s">
        <v>45</v>
      </c>
      <c r="G146" s="118">
        <f t="shared" si="11"/>
        <v>0</v>
      </c>
      <c r="J146" s="387" t="s">
        <v>44</v>
      </c>
      <c r="K146" s="388"/>
      <c r="L146" s="388"/>
      <c r="M146" s="149"/>
      <c r="N146" s="150"/>
      <c r="O146" s="179" t="s">
        <v>45</v>
      </c>
      <c r="P146" s="141">
        <f t="shared" si="12"/>
        <v>0</v>
      </c>
      <c r="Q146" s="120">
        <f t="shared" si="0"/>
        <v>0</v>
      </c>
      <c r="R146" s="84"/>
      <c r="AB146" s="94"/>
      <c r="AC146" s="94"/>
    </row>
    <row r="147" spans="1:29" ht="23.25" x14ac:dyDescent="0.25">
      <c r="A147" s="387" t="s">
        <v>46</v>
      </c>
      <c r="B147" s="388"/>
      <c r="C147" s="388"/>
      <c r="D147" s="149"/>
      <c r="E147" s="150"/>
      <c r="F147" s="180" t="s">
        <v>47</v>
      </c>
      <c r="G147" s="118">
        <f t="shared" si="11"/>
        <v>0</v>
      </c>
      <c r="J147" s="387" t="s">
        <v>46</v>
      </c>
      <c r="K147" s="388"/>
      <c r="L147" s="388"/>
      <c r="M147" s="149"/>
      <c r="N147" s="150"/>
      <c r="O147" s="180" t="s">
        <v>47</v>
      </c>
      <c r="P147" s="141">
        <f t="shared" si="12"/>
        <v>0</v>
      </c>
      <c r="Q147" s="120">
        <f t="shared" si="0"/>
        <v>0</v>
      </c>
      <c r="R147" s="84"/>
      <c r="AB147" s="94"/>
      <c r="AC147" s="94"/>
    </row>
    <row r="148" spans="1:29" ht="23.25" x14ac:dyDescent="0.25">
      <c r="A148" s="387" t="s">
        <v>107</v>
      </c>
      <c r="B148" s="388"/>
      <c r="C148" s="388"/>
      <c r="D148" s="149"/>
      <c r="E148" s="150"/>
      <c r="F148" s="15" t="s">
        <v>108</v>
      </c>
      <c r="G148" s="118">
        <f t="shared" si="11"/>
        <v>0</v>
      </c>
      <c r="J148" s="387" t="s">
        <v>107</v>
      </c>
      <c r="K148" s="388"/>
      <c r="L148" s="388"/>
      <c r="M148" s="149"/>
      <c r="N148" s="150"/>
      <c r="O148" s="15" t="s">
        <v>108</v>
      </c>
      <c r="P148" s="141">
        <f t="shared" si="12"/>
        <v>0</v>
      </c>
      <c r="Q148" s="120">
        <f t="shared" si="0"/>
        <v>0</v>
      </c>
      <c r="R148" s="84"/>
      <c r="AB148" s="94"/>
      <c r="AC148" s="94"/>
    </row>
    <row r="149" spans="1:29" ht="23.25" x14ac:dyDescent="0.25">
      <c r="A149" s="387" t="s">
        <v>160</v>
      </c>
      <c r="B149" s="388"/>
      <c r="C149" s="388"/>
      <c r="D149" s="149"/>
      <c r="E149" s="150"/>
      <c r="F149" s="16" t="s">
        <v>132</v>
      </c>
      <c r="G149" s="118">
        <f t="shared" si="11"/>
        <v>0</v>
      </c>
      <c r="J149" s="387" t="s">
        <v>160</v>
      </c>
      <c r="K149" s="388"/>
      <c r="L149" s="388"/>
      <c r="M149" s="149"/>
      <c r="N149" s="150"/>
      <c r="O149" s="16" t="s">
        <v>132</v>
      </c>
      <c r="P149" s="141">
        <f t="shared" si="12"/>
        <v>0</v>
      </c>
      <c r="Q149" s="120">
        <f t="shared" si="0"/>
        <v>0</v>
      </c>
      <c r="R149" s="84"/>
      <c r="AB149" s="94"/>
      <c r="AC149" s="94"/>
    </row>
    <row r="150" spans="1:29" ht="23.25" x14ac:dyDescent="0.25">
      <c r="A150" s="387" t="s">
        <v>48</v>
      </c>
      <c r="B150" s="388"/>
      <c r="C150" s="388"/>
      <c r="D150" s="149"/>
      <c r="E150" s="150"/>
      <c r="F150" s="181" t="s">
        <v>49</v>
      </c>
      <c r="G150" s="118">
        <f t="shared" si="11"/>
        <v>0</v>
      </c>
      <c r="J150" s="387" t="s">
        <v>48</v>
      </c>
      <c r="K150" s="388"/>
      <c r="L150" s="388"/>
      <c r="M150" s="149"/>
      <c r="N150" s="150"/>
      <c r="O150" s="181" t="s">
        <v>49</v>
      </c>
      <c r="P150" s="141">
        <f t="shared" si="12"/>
        <v>0</v>
      </c>
      <c r="Q150" s="120">
        <f t="shared" si="0"/>
        <v>0</v>
      </c>
      <c r="R150" s="84"/>
      <c r="AB150" s="94"/>
      <c r="AC150" s="94"/>
    </row>
    <row r="151" spans="1:29" ht="23.25" x14ac:dyDescent="0.25">
      <c r="A151" s="387" t="s">
        <v>50</v>
      </c>
      <c r="B151" s="388"/>
      <c r="C151" s="388"/>
      <c r="D151" s="149"/>
      <c r="E151" s="150"/>
      <c r="F151" s="156" t="s">
        <v>51</v>
      </c>
      <c r="G151" s="118">
        <f t="shared" si="11"/>
        <v>0</v>
      </c>
      <c r="J151" s="387" t="s">
        <v>50</v>
      </c>
      <c r="K151" s="388"/>
      <c r="L151" s="388"/>
      <c r="M151" s="149"/>
      <c r="N151" s="150"/>
      <c r="O151" s="156" t="s">
        <v>51</v>
      </c>
      <c r="P151" s="118">
        <f t="shared" si="12"/>
        <v>0</v>
      </c>
      <c r="Q151" s="120">
        <f t="shared" si="0"/>
        <v>0</v>
      </c>
      <c r="R151" s="84"/>
      <c r="AB151" s="94"/>
      <c r="AC151" s="94"/>
    </row>
    <row r="152" spans="1:29" ht="23.25" x14ac:dyDescent="0.25">
      <c r="A152" s="387" t="s">
        <v>52</v>
      </c>
      <c r="B152" s="388"/>
      <c r="C152" s="388"/>
      <c r="D152" s="149"/>
      <c r="E152" s="150"/>
      <c r="F152" s="182" t="s">
        <v>53</v>
      </c>
      <c r="G152" s="118">
        <f t="shared" si="11"/>
        <v>0</v>
      </c>
      <c r="J152" s="387" t="s">
        <v>52</v>
      </c>
      <c r="K152" s="388"/>
      <c r="L152" s="388"/>
      <c r="M152" s="149"/>
      <c r="N152" s="150"/>
      <c r="O152" s="182" t="s">
        <v>53</v>
      </c>
      <c r="P152" s="118">
        <f t="shared" si="12"/>
        <v>0</v>
      </c>
      <c r="Q152" s="120">
        <f t="shared" si="0"/>
        <v>0</v>
      </c>
      <c r="R152" s="84"/>
      <c r="AB152" s="94"/>
      <c r="AC152" s="94"/>
    </row>
    <row r="153" spans="1:29" ht="23.25" x14ac:dyDescent="0.25">
      <c r="A153" s="387" t="s">
        <v>117</v>
      </c>
      <c r="B153" s="388"/>
      <c r="C153" s="388"/>
      <c r="D153" s="149"/>
      <c r="E153" s="150"/>
      <c r="F153" s="183" t="s">
        <v>118</v>
      </c>
      <c r="G153" s="118">
        <f t="shared" si="11"/>
        <v>0</v>
      </c>
      <c r="J153" s="387" t="s">
        <v>117</v>
      </c>
      <c r="K153" s="388"/>
      <c r="L153" s="388"/>
      <c r="M153" s="149"/>
      <c r="N153" s="150"/>
      <c r="O153" s="183" t="s">
        <v>118</v>
      </c>
      <c r="P153" s="118">
        <f t="shared" si="12"/>
        <v>0</v>
      </c>
      <c r="Q153" s="120">
        <f>G153+P153</f>
        <v>0</v>
      </c>
      <c r="R153" s="84"/>
      <c r="AB153" s="94"/>
      <c r="AC153" s="94"/>
    </row>
    <row r="154" spans="1:29" ht="23.25" x14ac:dyDescent="0.25">
      <c r="A154" s="387" t="s">
        <v>54</v>
      </c>
      <c r="B154" s="388"/>
      <c r="C154" s="388"/>
      <c r="D154" s="149"/>
      <c r="E154" s="150"/>
      <c r="F154" s="21" t="s">
        <v>55</v>
      </c>
      <c r="G154" s="118">
        <f t="shared" si="11"/>
        <v>4</v>
      </c>
      <c r="J154" s="387" t="s">
        <v>54</v>
      </c>
      <c r="K154" s="388"/>
      <c r="L154" s="388"/>
      <c r="M154" s="149"/>
      <c r="N154" s="150"/>
      <c r="O154" s="21" t="s">
        <v>55</v>
      </c>
      <c r="P154" s="118">
        <f t="shared" si="12"/>
        <v>0</v>
      </c>
      <c r="Q154" s="120">
        <f t="shared" si="0"/>
        <v>4</v>
      </c>
      <c r="R154" s="84"/>
      <c r="AB154" s="94"/>
      <c r="AC154" s="94"/>
    </row>
    <row r="155" spans="1:29" ht="23.25" x14ac:dyDescent="0.25">
      <c r="A155" s="387" t="s">
        <v>56</v>
      </c>
      <c r="B155" s="388"/>
      <c r="C155" s="388"/>
      <c r="D155" s="149"/>
      <c r="E155" s="150"/>
      <c r="F155" s="184" t="s">
        <v>57</v>
      </c>
      <c r="G155" s="118">
        <f t="shared" si="11"/>
        <v>0</v>
      </c>
      <c r="J155" s="387" t="s">
        <v>56</v>
      </c>
      <c r="K155" s="388"/>
      <c r="L155" s="388"/>
      <c r="M155" s="149"/>
      <c r="N155" s="150"/>
      <c r="O155" s="184" t="s">
        <v>57</v>
      </c>
      <c r="P155" s="118">
        <f t="shared" si="12"/>
        <v>0</v>
      </c>
      <c r="Q155" s="120">
        <f t="shared" si="0"/>
        <v>0</v>
      </c>
      <c r="R155" s="84"/>
      <c r="AB155" s="94"/>
      <c r="AC155" s="94"/>
    </row>
    <row r="156" spans="1:29" ht="23.25" x14ac:dyDescent="0.25">
      <c r="A156" s="387" t="s">
        <v>119</v>
      </c>
      <c r="B156" s="388"/>
      <c r="C156" s="388"/>
      <c r="D156" s="149"/>
      <c r="E156" s="150"/>
      <c r="F156" s="20" t="s">
        <v>120</v>
      </c>
      <c r="G156" s="118">
        <f t="shared" si="11"/>
        <v>4</v>
      </c>
      <c r="J156" s="387" t="s">
        <v>119</v>
      </c>
      <c r="K156" s="388"/>
      <c r="L156" s="388"/>
      <c r="M156" s="149"/>
      <c r="N156" s="150"/>
      <c r="O156" s="20" t="s">
        <v>120</v>
      </c>
      <c r="P156" s="118">
        <f t="shared" si="12"/>
        <v>0</v>
      </c>
      <c r="Q156" s="120">
        <f t="shared" si="0"/>
        <v>4</v>
      </c>
      <c r="R156" s="84"/>
      <c r="AB156" s="94"/>
      <c r="AC156" s="94"/>
    </row>
    <row r="157" spans="1:29" ht="23.25" x14ac:dyDescent="0.25">
      <c r="A157" s="387" t="s">
        <v>58</v>
      </c>
      <c r="B157" s="388"/>
      <c r="C157" s="388"/>
      <c r="D157" s="115"/>
      <c r="E157" s="116"/>
      <c r="F157" s="185" t="s">
        <v>59</v>
      </c>
      <c r="G157" s="118">
        <f t="shared" si="11"/>
        <v>0</v>
      </c>
      <c r="J157" s="387" t="s">
        <v>58</v>
      </c>
      <c r="K157" s="388"/>
      <c r="L157" s="388"/>
      <c r="M157" s="115"/>
      <c r="N157" s="116"/>
      <c r="O157" s="185" t="s">
        <v>59</v>
      </c>
      <c r="P157" s="141">
        <f t="shared" si="12"/>
        <v>0</v>
      </c>
      <c r="Q157" s="120">
        <f t="shared" si="0"/>
        <v>0</v>
      </c>
      <c r="R157" s="84"/>
      <c r="AB157" s="94"/>
      <c r="AC157" s="94"/>
    </row>
    <row r="158" spans="1:29" ht="23.25" x14ac:dyDescent="0.25">
      <c r="A158" s="387" t="s">
        <v>161</v>
      </c>
      <c r="B158" s="388"/>
      <c r="C158" s="388"/>
      <c r="D158" s="115"/>
      <c r="E158" s="150"/>
      <c r="F158" s="186" t="s">
        <v>162</v>
      </c>
      <c r="G158" s="118">
        <f t="shared" si="11"/>
        <v>0</v>
      </c>
      <c r="J158" s="387" t="s">
        <v>161</v>
      </c>
      <c r="K158" s="388"/>
      <c r="L158" s="388"/>
      <c r="M158" s="115"/>
      <c r="N158" s="150"/>
      <c r="O158" s="186" t="s">
        <v>162</v>
      </c>
      <c r="P158" s="118">
        <f t="shared" si="12"/>
        <v>0</v>
      </c>
      <c r="Q158" s="120">
        <f t="shared" si="0"/>
        <v>0</v>
      </c>
      <c r="R158" s="84"/>
      <c r="AB158" s="94"/>
      <c r="AC158" s="94"/>
    </row>
    <row r="159" spans="1:29" ht="23.25" x14ac:dyDescent="0.25">
      <c r="A159" s="387" t="s">
        <v>60</v>
      </c>
      <c r="B159" s="388"/>
      <c r="C159" s="388"/>
      <c r="D159" s="115"/>
      <c r="E159" s="116"/>
      <c r="F159" s="187" t="s">
        <v>61</v>
      </c>
      <c r="G159" s="118">
        <f t="shared" si="11"/>
        <v>0</v>
      </c>
      <c r="J159" s="387" t="s">
        <v>60</v>
      </c>
      <c r="K159" s="388"/>
      <c r="L159" s="388"/>
      <c r="M159" s="115"/>
      <c r="N159" s="116"/>
      <c r="O159" s="187" t="s">
        <v>61</v>
      </c>
      <c r="P159" s="141">
        <f t="shared" si="12"/>
        <v>0</v>
      </c>
      <c r="Q159" s="120">
        <f t="shared" si="0"/>
        <v>0</v>
      </c>
      <c r="R159" s="84"/>
      <c r="AB159" s="94"/>
      <c r="AC159" s="94"/>
    </row>
    <row r="160" spans="1:29" ht="23.25" x14ac:dyDescent="0.25">
      <c r="A160" s="387" t="s">
        <v>62</v>
      </c>
      <c r="B160" s="388"/>
      <c r="C160" s="388"/>
      <c r="D160" s="115"/>
      <c r="E160" s="116"/>
      <c r="F160" s="188" t="s">
        <v>63</v>
      </c>
      <c r="G160" s="118">
        <f t="shared" si="11"/>
        <v>0</v>
      </c>
      <c r="J160" s="387" t="s">
        <v>62</v>
      </c>
      <c r="K160" s="388"/>
      <c r="L160" s="388"/>
      <c r="M160" s="115"/>
      <c r="N160" s="116"/>
      <c r="O160" s="188" t="s">
        <v>63</v>
      </c>
      <c r="P160" s="141">
        <f t="shared" si="12"/>
        <v>0</v>
      </c>
      <c r="Q160" s="120">
        <f t="shared" si="0"/>
        <v>0</v>
      </c>
      <c r="R160" s="84"/>
      <c r="AB160" s="94"/>
      <c r="AC160" s="94"/>
    </row>
    <row r="161" spans="1:29" ht="23.25" x14ac:dyDescent="0.25">
      <c r="A161" s="387" t="s">
        <v>64</v>
      </c>
      <c r="B161" s="388"/>
      <c r="C161" s="388"/>
      <c r="D161" s="115"/>
      <c r="E161" s="116"/>
      <c r="F161" s="189" t="s">
        <v>65</v>
      </c>
      <c r="G161" s="118">
        <f t="shared" si="11"/>
        <v>0</v>
      </c>
      <c r="J161" s="387" t="s">
        <v>64</v>
      </c>
      <c r="K161" s="388"/>
      <c r="L161" s="388"/>
      <c r="M161" s="115"/>
      <c r="N161" s="116"/>
      <c r="O161" s="189" t="s">
        <v>65</v>
      </c>
      <c r="P161" s="118">
        <f t="shared" si="12"/>
        <v>0</v>
      </c>
      <c r="Q161" s="120">
        <f t="shared" si="0"/>
        <v>0</v>
      </c>
      <c r="R161" s="84"/>
      <c r="AB161" s="94"/>
      <c r="AC161" s="94"/>
    </row>
    <row r="162" spans="1:29" ht="23.25" x14ac:dyDescent="0.25">
      <c r="A162" s="387" t="s">
        <v>99</v>
      </c>
      <c r="B162" s="388"/>
      <c r="C162" s="388"/>
      <c r="D162" s="115"/>
      <c r="E162" s="116"/>
      <c r="F162" s="189" t="s">
        <v>66</v>
      </c>
      <c r="G162" s="118">
        <f t="shared" si="11"/>
        <v>0</v>
      </c>
      <c r="J162" s="387" t="s">
        <v>99</v>
      </c>
      <c r="K162" s="388"/>
      <c r="L162" s="388"/>
      <c r="M162" s="115"/>
      <c r="N162" s="116"/>
      <c r="O162" s="189" t="s">
        <v>66</v>
      </c>
      <c r="P162" s="141">
        <f t="shared" si="12"/>
        <v>0</v>
      </c>
      <c r="Q162" s="120">
        <f t="shared" si="0"/>
        <v>0</v>
      </c>
      <c r="R162" s="84"/>
      <c r="AB162" s="94"/>
      <c r="AC162" s="94"/>
    </row>
    <row r="163" spans="1:29" ht="23.25" x14ac:dyDescent="0.25">
      <c r="A163" s="387" t="s">
        <v>100</v>
      </c>
      <c r="B163" s="388"/>
      <c r="C163" s="388"/>
      <c r="D163" s="115"/>
      <c r="E163" s="116"/>
      <c r="F163" s="189" t="s">
        <v>67</v>
      </c>
      <c r="G163" s="118">
        <f t="shared" si="11"/>
        <v>0</v>
      </c>
      <c r="J163" s="387" t="s">
        <v>100</v>
      </c>
      <c r="K163" s="388"/>
      <c r="L163" s="388"/>
      <c r="M163" s="115"/>
      <c r="N163" s="116"/>
      <c r="O163" s="189" t="s">
        <v>67</v>
      </c>
      <c r="P163" s="118">
        <f t="shared" si="12"/>
        <v>0</v>
      </c>
      <c r="Q163" s="120">
        <f t="shared" si="0"/>
        <v>0</v>
      </c>
      <c r="R163" s="84"/>
      <c r="AB163" s="94"/>
      <c r="AC163" s="94"/>
    </row>
    <row r="164" spans="1:29" ht="23.25" x14ac:dyDescent="0.25">
      <c r="A164" s="387" t="s">
        <v>1</v>
      </c>
      <c r="B164" s="388"/>
      <c r="C164" s="388"/>
      <c r="D164" s="115"/>
      <c r="E164" s="116"/>
      <c r="F164" s="190" t="s">
        <v>0</v>
      </c>
      <c r="G164" s="118">
        <f t="shared" si="11"/>
        <v>0</v>
      </c>
      <c r="J164" s="387" t="s">
        <v>1</v>
      </c>
      <c r="K164" s="388"/>
      <c r="L164" s="388"/>
      <c r="M164" s="115"/>
      <c r="N164" s="116"/>
      <c r="O164" s="190" t="s">
        <v>0</v>
      </c>
      <c r="P164" s="141">
        <f t="shared" si="12"/>
        <v>0</v>
      </c>
      <c r="Q164" s="120">
        <f t="shared" si="0"/>
        <v>0</v>
      </c>
      <c r="R164" s="84"/>
      <c r="AB164" s="94"/>
      <c r="AC164" s="94"/>
    </row>
    <row r="165" spans="1:29" ht="23.25" x14ac:dyDescent="0.25">
      <c r="A165" s="387" t="s">
        <v>68</v>
      </c>
      <c r="B165" s="388"/>
      <c r="C165" s="388"/>
      <c r="D165" s="115"/>
      <c r="E165" s="116"/>
      <c r="F165" s="132" t="s">
        <v>69</v>
      </c>
      <c r="G165" s="118">
        <f t="shared" si="11"/>
        <v>0</v>
      </c>
      <c r="J165" s="387" t="s">
        <v>68</v>
      </c>
      <c r="K165" s="388"/>
      <c r="L165" s="388"/>
      <c r="M165" s="115"/>
      <c r="N165" s="116"/>
      <c r="O165" s="132" t="s">
        <v>69</v>
      </c>
      <c r="P165" s="141">
        <f t="shared" si="12"/>
        <v>0</v>
      </c>
      <c r="Q165" s="120">
        <f t="shared" si="0"/>
        <v>0</v>
      </c>
      <c r="R165" s="84"/>
      <c r="AB165" s="94"/>
      <c r="AC165" s="94"/>
    </row>
    <row r="166" spans="1:29" ht="23.25" x14ac:dyDescent="0.25">
      <c r="A166" s="113" t="s">
        <v>105</v>
      </c>
      <c r="B166" s="114"/>
      <c r="C166" s="114"/>
      <c r="D166" s="115"/>
      <c r="E166" s="150"/>
      <c r="F166" s="191" t="s">
        <v>106</v>
      </c>
      <c r="G166" s="118">
        <f t="shared" si="11"/>
        <v>0</v>
      </c>
      <c r="J166" s="113" t="s">
        <v>105</v>
      </c>
      <c r="K166" s="114"/>
      <c r="L166" s="114"/>
      <c r="M166" s="115"/>
      <c r="N166" s="150"/>
      <c r="O166" s="191" t="s">
        <v>106</v>
      </c>
      <c r="P166" s="141">
        <f t="shared" si="12"/>
        <v>0</v>
      </c>
      <c r="Q166" s="120">
        <f t="shared" si="0"/>
        <v>0</v>
      </c>
      <c r="R166" s="84"/>
      <c r="AB166" s="94"/>
      <c r="AC166" s="94"/>
    </row>
    <row r="167" spans="1:29" ht="23.25" x14ac:dyDescent="0.25">
      <c r="A167" s="387" t="s">
        <v>123</v>
      </c>
      <c r="B167" s="388"/>
      <c r="C167" s="388"/>
      <c r="D167" s="115"/>
      <c r="E167" s="116"/>
      <c r="F167" s="192" t="s">
        <v>124</v>
      </c>
      <c r="G167" s="118">
        <f t="shared" si="11"/>
        <v>0</v>
      </c>
      <c r="J167" s="387" t="s">
        <v>123</v>
      </c>
      <c r="K167" s="388"/>
      <c r="L167" s="388"/>
      <c r="M167" s="115"/>
      <c r="N167" s="116"/>
      <c r="O167" s="192" t="s">
        <v>124</v>
      </c>
      <c r="P167" s="141">
        <f t="shared" si="12"/>
        <v>0</v>
      </c>
      <c r="Q167" s="120">
        <f t="shared" si="0"/>
        <v>0</v>
      </c>
      <c r="R167" s="84"/>
      <c r="AB167" s="94"/>
      <c r="AC167" s="94"/>
    </row>
    <row r="168" spans="1:29" ht="23.25" x14ac:dyDescent="0.25">
      <c r="A168" s="113" t="s">
        <v>103</v>
      </c>
      <c r="B168" s="114"/>
      <c r="C168" s="114"/>
      <c r="D168" s="115"/>
      <c r="E168" s="150"/>
      <c r="F168" s="193" t="s">
        <v>104</v>
      </c>
      <c r="G168" s="118">
        <f t="shared" si="11"/>
        <v>0</v>
      </c>
      <c r="J168" s="113" t="s">
        <v>103</v>
      </c>
      <c r="K168" s="114"/>
      <c r="L168" s="114"/>
      <c r="M168" s="115"/>
      <c r="N168" s="150"/>
      <c r="O168" s="193" t="s">
        <v>104</v>
      </c>
      <c r="P168" s="141">
        <f t="shared" si="12"/>
        <v>0</v>
      </c>
      <c r="Q168" s="120">
        <f t="shared" si="0"/>
        <v>0</v>
      </c>
      <c r="R168" s="84"/>
      <c r="AB168" s="94"/>
      <c r="AC168" s="94"/>
    </row>
    <row r="169" spans="1:29" ht="23.25" x14ac:dyDescent="0.25">
      <c r="A169" s="387" t="s">
        <v>70</v>
      </c>
      <c r="B169" s="388"/>
      <c r="C169" s="388"/>
      <c r="D169" s="149"/>
      <c r="E169" s="150"/>
      <c r="F169" s="194" t="s">
        <v>71</v>
      </c>
      <c r="G169" s="118">
        <f t="shared" si="11"/>
        <v>0</v>
      </c>
      <c r="J169" s="387" t="s">
        <v>70</v>
      </c>
      <c r="K169" s="388"/>
      <c r="L169" s="388"/>
      <c r="M169" s="149"/>
      <c r="N169" s="150"/>
      <c r="O169" s="194" t="s">
        <v>71</v>
      </c>
      <c r="P169" s="141">
        <f t="shared" si="12"/>
        <v>0</v>
      </c>
      <c r="Q169" s="120">
        <f t="shared" si="0"/>
        <v>0</v>
      </c>
      <c r="R169" s="84"/>
      <c r="AB169" s="94"/>
      <c r="AC169" s="94"/>
    </row>
    <row r="170" spans="1:29" ht="23.25" x14ac:dyDescent="0.25">
      <c r="A170" s="387" t="s">
        <v>72</v>
      </c>
      <c r="B170" s="388"/>
      <c r="C170" s="388"/>
      <c r="D170" s="149"/>
      <c r="E170" s="150"/>
      <c r="F170" s="195" t="s">
        <v>73</v>
      </c>
      <c r="G170" s="118">
        <f t="shared" si="11"/>
        <v>0</v>
      </c>
      <c r="J170" s="387" t="s">
        <v>72</v>
      </c>
      <c r="K170" s="388"/>
      <c r="L170" s="388"/>
      <c r="M170" s="149"/>
      <c r="N170" s="150"/>
      <c r="O170" s="195" t="s">
        <v>73</v>
      </c>
      <c r="P170" s="141">
        <f t="shared" si="12"/>
        <v>0</v>
      </c>
      <c r="Q170" s="120">
        <f t="shared" si="0"/>
        <v>0</v>
      </c>
      <c r="R170" s="84"/>
      <c r="AB170" s="94"/>
      <c r="AC170" s="94"/>
    </row>
    <row r="171" spans="1:29" ht="23.25" x14ac:dyDescent="0.25">
      <c r="A171" s="387" t="s">
        <v>74</v>
      </c>
      <c r="B171" s="388"/>
      <c r="C171" s="388"/>
      <c r="D171" s="149"/>
      <c r="E171" s="150"/>
      <c r="F171" s="172" t="s">
        <v>75</v>
      </c>
      <c r="G171" s="118">
        <f t="shared" si="11"/>
        <v>0</v>
      </c>
      <c r="J171" s="387" t="s">
        <v>74</v>
      </c>
      <c r="K171" s="388"/>
      <c r="L171" s="388"/>
      <c r="M171" s="149"/>
      <c r="N171" s="150"/>
      <c r="O171" s="172" t="s">
        <v>75</v>
      </c>
      <c r="P171" s="141">
        <f t="shared" si="12"/>
        <v>0</v>
      </c>
      <c r="Q171" s="120">
        <f t="shared" si="0"/>
        <v>0</v>
      </c>
      <c r="R171" s="84"/>
      <c r="AB171" s="94"/>
      <c r="AC171" s="94"/>
    </row>
    <row r="172" spans="1:29" ht="23.25" x14ac:dyDescent="0.25">
      <c r="A172" s="387" t="s">
        <v>138</v>
      </c>
      <c r="B172" s="388"/>
      <c r="C172" s="388"/>
      <c r="D172" s="149"/>
      <c r="E172" s="150"/>
      <c r="F172" s="196" t="s">
        <v>126</v>
      </c>
      <c r="G172" s="118">
        <f t="shared" si="11"/>
        <v>0</v>
      </c>
      <c r="J172" s="387" t="s">
        <v>138</v>
      </c>
      <c r="K172" s="388"/>
      <c r="L172" s="388"/>
      <c r="M172" s="149"/>
      <c r="N172" s="150"/>
      <c r="O172" s="196" t="s">
        <v>126</v>
      </c>
      <c r="P172" s="141">
        <f t="shared" si="12"/>
        <v>0</v>
      </c>
      <c r="Q172" s="120">
        <f t="shared" si="0"/>
        <v>0</v>
      </c>
      <c r="R172" s="84"/>
      <c r="AB172" s="94"/>
      <c r="AC172" s="94"/>
    </row>
    <row r="173" spans="1:29" ht="18" x14ac:dyDescent="0.25">
      <c r="A173" s="382" t="s">
        <v>222</v>
      </c>
      <c r="B173" s="383"/>
      <c r="C173" s="384"/>
      <c r="D173" s="197"/>
      <c r="E173" s="116"/>
      <c r="F173" s="198"/>
      <c r="G173" s="120">
        <f>SUM(G86:G172)</f>
        <v>24</v>
      </c>
      <c r="J173" s="382" t="s">
        <v>222</v>
      </c>
      <c r="K173" s="383"/>
      <c r="L173" s="383"/>
      <c r="M173" s="197"/>
      <c r="N173" s="116"/>
      <c r="O173" s="199"/>
      <c r="P173" s="120">
        <f>SUM(P86:P172)</f>
        <v>0</v>
      </c>
      <c r="Q173" s="120">
        <f>SUM(Q86:Q172)</f>
        <v>24</v>
      </c>
      <c r="R173" s="84"/>
      <c r="AB173" s="94"/>
      <c r="AC173" s="94"/>
    </row>
    <row r="174" spans="1:29" x14ac:dyDescent="0.25">
      <c r="R174" s="84"/>
      <c r="AB174" s="94"/>
      <c r="AC174" s="94"/>
    </row>
    <row r="175" spans="1:29" x14ac:dyDescent="0.25">
      <c r="A175" s="385" t="s">
        <v>243</v>
      </c>
      <c r="B175" s="385"/>
      <c r="C175" s="385"/>
      <c r="D175" s="385"/>
      <c r="E175" s="385"/>
      <c r="F175" s="385"/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84"/>
      <c r="AB175" s="94"/>
      <c r="AC175" s="94"/>
    </row>
    <row r="176" spans="1:29" x14ac:dyDescent="0.25">
      <c r="A176" s="385"/>
      <c r="B176" s="385"/>
      <c r="C176" s="385"/>
      <c r="D176" s="385"/>
      <c r="E176" s="385"/>
      <c r="F176" s="385"/>
      <c r="G176" s="385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84"/>
      <c r="AB176" s="94"/>
      <c r="AC176" s="94"/>
    </row>
    <row r="177" spans="1:29" x14ac:dyDescent="0.25">
      <c r="R177" s="84"/>
      <c r="AB177" s="94"/>
      <c r="AC177" s="94"/>
    </row>
    <row r="178" spans="1:29" x14ac:dyDescent="0.25">
      <c r="R178" s="84"/>
      <c r="AB178" s="94"/>
      <c r="AC178" s="94"/>
    </row>
    <row r="179" spans="1:29" x14ac:dyDescent="0.25">
      <c r="A179" s="386" t="s">
        <v>244</v>
      </c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6"/>
      <c r="P179" s="386"/>
      <c r="Q179" s="386"/>
      <c r="R179" s="84"/>
      <c r="AB179" s="94"/>
      <c r="AC179" s="94"/>
    </row>
    <row r="180" spans="1:29" x14ac:dyDescent="0.25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6"/>
      <c r="P180" s="386"/>
      <c r="Q180" s="386"/>
      <c r="R180" s="84"/>
      <c r="AB180" s="94"/>
      <c r="AC180" s="94"/>
    </row>
    <row r="181" spans="1:29" x14ac:dyDescent="0.25">
      <c r="Q181" s="84"/>
      <c r="R181" s="84"/>
      <c r="AB181" s="94"/>
      <c r="AC181" s="94"/>
    </row>
    <row r="182" spans="1:29" x14ac:dyDescent="0.25">
      <c r="R182" s="84"/>
      <c r="AB182" s="94"/>
      <c r="AC182" s="94"/>
    </row>
    <row r="183" spans="1:29" ht="15.75" thickBot="1" x14ac:dyDescent="0.3">
      <c r="R183" s="84"/>
      <c r="AB183" s="94"/>
      <c r="AC183" s="94"/>
    </row>
    <row r="184" spans="1:29" ht="21.75" thickBot="1" x14ac:dyDescent="0.4">
      <c r="A184" s="357" t="s">
        <v>245</v>
      </c>
      <c r="B184" s="358"/>
      <c r="C184" s="358"/>
      <c r="D184" s="358"/>
      <c r="E184" s="359"/>
      <c r="F184" s="360">
        <f>SUM(F186,F188)</f>
        <v>238</v>
      </c>
      <c r="G184" s="361"/>
      <c r="J184" s="357" t="s">
        <v>246</v>
      </c>
      <c r="K184" s="358"/>
      <c r="L184" s="358"/>
      <c r="M184" s="358"/>
      <c r="N184" s="359"/>
      <c r="O184" s="360">
        <f>SUM(O186,O188)</f>
        <v>0</v>
      </c>
      <c r="P184" s="361"/>
      <c r="R184" s="84"/>
      <c r="AB184" s="94"/>
      <c r="AC184" s="94"/>
    </row>
    <row r="185" spans="1:29" ht="21.75" thickBot="1" x14ac:dyDescent="0.4">
      <c r="A185" s="202"/>
      <c r="B185" s="202"/>
      <c r="C185" s="202"/>
      <c r="D185" s="202"/>
      <c r="E185" s="202"/>
      <c r="F185" s="203"/>
      <c r="G185" s="203"/>
      <c r="J185" s="202"/>
      <c r="K185" s="202"/>
      <c r="L185" s="202"/>
      <c r="M185" s="202"/>
      <c r="N185" s="202"/>
      <c r="O185" s="203"/>
      <c r="P185" s="203"/>
      <c r="R185" s="84"/>
      <c r="AB185" s="94"/>
      <c r="AC185" s="94"/>
    </row>
    <row r="186" spans="1:29" ht="21.75" thickBot="1" x14ac:dyDescent="0.4">
      <c r="A186" s="357" t="s">
        <v>247</v>
      </c>
      <c r="B186" s="358"/>
      <c r="C186" s="358"/>
      <c r="D186" s="358"/>
      <c r="E186" s="359"/>
      <c r="F186" s="360">
        <f>SUM(D194:D217)</f>
        <v>38</v>
      </c>
      <c r="G186" s="361"/>
      <c r="J186" s="357" t="s">
        <v>248</v>
      </c>
      <c r="K186" s="358"/>
      <c r="L186" s="358"/>
      <c r="M186" s="358"/>
      <c r="N186" s="359"/>
      <c r="O186" s="360">
        <f>SUM(M194:M217)</f>
        <v>0</v>
      </c>
      <c r="P186" s="361"/>
      <c r="R186" s="84"/>
      <c r="AB186" s="94"/>
      <c r="AC186" s="94"/>
    </row>
    <row r="187" spans="1:29" ht="21.75" thickBot="1" x14ac:dyDescent="0.4">
      <c r="A187" s="202"/>
      <c r="B187" s="202"/>
      <c r="C187" s="202"/>
      <c r="D187" s="202"/>
      <c r="E187" s="202"/>
      <c r="F187" s="203"/>
      <c r="G187" s="203"/>
      <c r="J187" s="202"/>
      <c r="K187" s="202"/>
      <c r="L187" s="202"/>
      <c r="M187" s="202"/>
      <c r="N187" s="202"/>
      <c r="O187" s="203"/>
      <c r="P187" s="203"/>
      <c r="R187" s="84"/>
      <c r="AB187" s="94"/>
      <c r="AC187" s="94"/>
    </row>
    <row r="188" spans="1:29" ht="21.75" thickBot="1" x14ac:dyDescent="0.4">
      <c r="A188" s="357" t="s">
        <v>249</v>
      </c>
      <c r="B188" s="358"/>
      <c r="C188" s="358"/>
      <c r="D188" s="358"/>
      <c r="E188" s="359"/>
      <c r="F188" s="360">
        <f>SUM(D219:D290)</f>
        <v>200</v>
      </c>
      <c r="G188" s="361"/>
      <c r="J188" s="357" t="s">
        <v>250</v>
      </c>
      <c r="K188" s="358"/>
      <c r="L188" s="358"/>
      <c r="M188" s="358"/>
      <c r="N188" s="359"/>
      <c r="O188" s="360">
        <f>SUM(M219:M290)</f>
        <v>0</v>
      </c>
      <c r="P188" s="361"/>
      <c r="R188" s="84"/>
    </row>
    <row r="189" spans="1:29" x14ac:dyDescent="0.25">
      <c r="A189" s="84"/>
      <c r="B189" s="84"/>
      <c r="C189" s="84"/>
      <c r="D189" s="84"/>
      <c r="E189" s="84"/>
      <c r="F189" s="84"/>
      <c r="G189" s="84"/>
      <c r="I189" s="84"/>
      <c r="J189" s="84"/>
      <c r="K189" s="84"/>
      <c r="L189" s="84"/>
      <c r="M189" s="86"/>
      <c r="N189" s="84"/>
      <c r="O189" s="84"/>
      <c r="P189" s="84"/>
      <c r="Q189" s="84"/>
      <c r="R189" s="84"/>
    </row>
    <row r="190" spans="1:29" ht="21.75" thickBot="1" x14ac:dyDescent="0.4">
      <c r="A190" s="202"/>
      <c r="B190" s="202"/>
      <c r="C190" s="202"/>
      <c r="D190" s="202"/>
      <c r="E190" s="202"/>
      <c r="F190" s="203"/>
      <c r="G190" s="203"/>
      <c r="J190" s="202"/>
      <c r="K190" s="202"/>
      <c r="L190" s="202"/>
      <c r="M190" s="202"/>
      <c r="N190" s="202"/>
      <c r="O190" s="203"/>
      <c r="P190" s="203"/>
      <c r="R190" s="84"/>
    </row>
    <row r="191" spans="1:29" ht="20.25" thickTop="1" thickBot="1" x14ac:dyDescent="0.3">
      <c r="O191" s="84"/>
      <c r="P191" s="374" t="s">
        <v>251</v>
      </c>
      <c r="Q191" s="375"/>
      <c r="R191" s="84"/>
    </row>
    <row r="192" spans="1:29" ht="20.25" thickTop="1" thickBot="1" x14ac:dyDescent="0.35">
      <c r="A192" s="376" t="s">
        <v>252</v>
      </c>
      <c r="B192" s="377"/>
      <c r="C192" s="377"/>
      <c r="D192" s="204" t="s">
        <v>253</v>
      </c>
      <c r="E192" s="378" t="s">
        <v>222</v>
      </c>
      <c r="F192" s="379"/>
      <c r="J192" s="376" t="s">
        <v>252</v>
      </c>
      <c r="K192" s="377"/>
      <c r="L192" s="377"/>
      <c r="M192" s="204" t="s">
        <v>253</v>
      </c>
      <c r="N192" s="378" t="s">
        <v>222</v>
      </c>
      <c r="O192" s="379"/>
      <c r="P192" s="205" t="s">
        <v>253</v>
      </c>
      <c r="Q192" s="206" t="s">
        <v>254</v>
      </c>
    </row>
    <row r="193" spans="1:17" ht="21.75" thickBot="1" x14ac:dyDescent="0.3">
      <c r="A193" s="380" t="s">
        <v>255</v>
      </c>
      <c r="B193" s="380"/>
      <c r="C193" s="381"/>
      <c r="D193" s="380"/>
      <c r="E193" s="360">
        <f>SUM(D194:D217)</f>
        <v>38</v>
      </c>
      <c r="F193" s="361"/>
      <c r="J193" s="380" t="s">
        <v>255</v>
      </c>
      <c r="K193" s="380"/>
      <c r="L193" s="381"/>
      <c r="M193" s="380"/>
      <c r="N193" s="360">
        <f>SUM(M194:M217)</f>
        <v>0</v>
      </c>
      <c r="O193" s="361"/>
      <c r="P193" s="370" t="s">
        <v>256</v>
      </c>
      <c r="Q193" s="371"/>
    </row>
    <row r="194" spans="1:17" ht="18" x14ac:dyDescent="0.25">
      <c r="A194" s="372" t="s">
        <v>257</v>
      </c>
      <c r="B194" s="373"/>
      <c r="C194" s="66" t="s">
        <v>199</v>
      </c>
      <c r="D194" s="118">
        <f t="shared" ref="D194:D217" si="14">COUNTIF($B$7:$Q$29,C194)+COUNTIF($K$30:$Q$53,C194)+COUNTIF($R$7:$BB$53,C194)</f>
        <v>8</v>
      </c>
      <c r="J194" s="372" t="s">
        <v>257</v>
      </c>
      <c r="K194" s="373"/>
      <c r="L194" s="66" t="s">
        <v>199</v>
      </c>
      <c r="M194" s="118">
        <f t="shared" ref="M194:M217" si="15">COUNTIF($B$30:$J$50,L194)</f>
        <v>0</v>
      </c>
      <c r="N194" s="84"/>
      <c r="O194" s="84"/>
      <c r="P194" s="207">
        <f>D194+M194</f>
        <v>8</v>
      </c>
      <c r="Q194" s="208" t="str">
        <f>IFERROR(P194/$J$4,"")</f>
        <v/>
      </c>
    </row>
    <row r="195" spans="1:17" ht="15.75" x14ac:dyDescent="0.25">
      <c r="A195" s="362" t="s">
        <v>206</v>
      </c>
      <c r="B195" s="363"/>
      <c r="C195" s="76" t="s">
        <v>206</v>
      </c>
      <c r="D195" s="141">
        <f t="shared" si="14"/>
        <v>10</v>
      </c>
      <c r="J195" s="362" t="s">
        <v>206</v>
      </c>
      <c r="K195" s="363"/>
      <c r="L195" s="76" t="s">
        <v>206</v>
      </c>
      <c r="M195" s="141">
        <f t="shared" si="15"/>
        <v>0</v>
      </c>
      <c r="N195" s="84"/>
      <c r="O195" s="84"/>
      <c r="P195" s="207">
        <f t="shared" ref="P195:P217" si="16">D195+M195</f>
        <v>10</v>
      </c>
      <c r="Q195" s="208" t="str">
        <f t="shared" ref="Q195:Q262" si="17">IFERROR(P195/$J$4,"")</f>
        <v/>
      </c>
    </row>
    <row r="196" spans="1:17" ht="15.75" x14ac:dyDescent="0.25">
      <c r="A196" s="362" t="s">
        <v>258</v>
      </c>
      <c r="B196" s="363" t="s">
        <v>258</v>
      </c>
      <c r="C196" s="209" t="s">
        <v>259</v>
      </c>
      <c r="D196" s="141">
        <f t="shared" si="14"/>
        <v>0</v>
      </c>
      <c r="J196" s="362" t="s">
        <v>258</v>
      </c>
      <c r="K196" s="363" t="s">
        <v>258</v>
      </c>
      <c r="L196" s="209" t="s">
        <v>259</v>
      </c>
      <c r="M196" s="141">
        <f t="shared" si="15"/>
        <v>0</v>
      </c>
      <c r="N196" s="84"/>
      <c r="O196" s="84"/>
      <c r="P196" s="207">
        <f t="shared" si="16"/>
        <v>0</v>
      </c>
      <c r="Q196" s="208" t="str">
        <f t="shared" si="17"/>
        <v/>
      </c>
    </row>
    <row r="197" spans="1:17" ht="15.75" x14ac:dyDescent="0.25">
      <c r="A197" s="362" t="s">
        <v>260</v>
      </c>
      <c r="B197" s="363" t="s">
        <v>260</v>
      </c>
      <c r="C197" s="51" t="s">
        <v>191</v>
      </c>
      <c r="D197" s="141">
        <f t="shared" si="14"/>
        <v>12</v>
      </c>
      <c r="J197" s="362" t="s">
        <v>260</v>
      </c>
      <c r="K197" s="363" t="s">
        <v>260</v>
      </c>
      <c r="L197" s="51" t="s">
        <v>191</v>
      </c>
      <c r="M197" s="141">
        <f t="shared" si="15"/>
        <v>0</v>
      </c>
      <c r="N197" s="84"/>
      <c r="O197" s="84"/>
      <c r="P197" s="207">
        <f t="shared" si="16"/>
        <v>12</v>
      </c>
      <c r="Q197" s="208" t="str">
        <f t="shared" si="17"/>
        <v/>
      </c>
    </row>
    <row r="198" spans="1:17" ht="15.75" x14ac:dyDescent="0.25">
      <c r="A198" s="362" t="s">
        <v>261</v>
      </c>
      <c r="B198" s="363" t="s">
        <v>261</v>
      </c>
      <c r="C198" s="210" t="s">
        <v>262</v>
      </c>
      <c r="D198" s="141">
        <f t="shared" si="14"/>
        <v>0</v>
      </c>
      <c r="J198" s="362" t="s">
        <v>261</v>
      </c>
      <c r="K198" s="363" t="s">
        <v>261</v>
      </c>
      <c r="L198" s="210" t="s">
        <v>262</v>
      </c>
      <c r="M198" s="141">
        <f t="shared" si="15"/>
        <v>0</v>
      </c>
      <c r="N198" s="84"/>
      <c r="O198" s="84"/>
      <c r="P198" s="207">
        <f t="shared" si="16"/>
        <v>0</v>
      </c>
      <c r="Q198" s="208" t="str">
        <f t="shared" si="17"/>
        <v/>
      </c>
    </row>
    <row r="199" spans="1:17" ht="15.75" x14ac:dyDescent="0.25">
      <c r="A199" s="362" t="s">
        <v>186</v>
      </c>
      <c r="B199" s="363" t="s">
        <v>186</v>
      </c>
      <c r="C199" s="46" t="s">
        <v>186</v>
      </c>
      <c r="D199" s="141">
        <f t="shared" si="14"/>
        <v>8</v>
      </c>
      <c r="J199" s="362" t="s">
        <v>186</v>
      </c>
      <c r="K199" s="363" t="s">
        <v>186</v>
      </c>
      <c r="L199" s="46" t="s">
        <v>186</v>
      </c>
      <c r="M199" s="141">
        <f t="shared" si="15"/>
        <v>0</v>
      </c>
      <c r="N199" s="84"/>
      <c r="O199" s="84"/>
      <c r="P199" s="207">
        <f t="shared" si="16"/>
        <v>8</v>
      </c>
      <c r="Q199" s="208" t="str">
        <f t="shared" si="17"/>
        <v/>
      </c>
    </row>
    <row r="200" spans="1:17" ht="15.75" x14ac:dyDescent="0.25">
      <c r="A200" s="362" t="s">
        <v>263</v>
      </c>
      <c r="B200" s="363" t="s">
        <v>263</v>
      </c>
      <c r="C200" s="211" t="s">
        <v>263</v>
      </c>
      <c r="D200" s="141">
        <f t="shared" si="14"/>
        <v>0</v>
      </c>
      <c r="J200" s="362" t="s">
        <v>263</v>
      </c>
      <c r="K200" s="363" t="s">
        <v>263</v>
      </c>
      <c r="L200" s="211" t="s">
        <v>263</v>
      </c>
      <c r="M200" s="141">
        <f t="shared" si="15"/>
        <v>0</v>
      </c>
      <c r="N200" s="84"/>
      <c r="O200" s="84"/>
      <c r="P200" s="207">
        <f t="shared" si="16"/>
        <v>0</v>
      </c>
      <c r="Q200" s="208" t="str">
        <f t="shared" si="17"/>
        <v/>
      </c>
    </row>
    <row r="201" spans="1:17" ht="15.75" x14ac:dyDescent="0.25">
      <c r="A201" s="362" t="s">
        <v>264</v>
      </c>
      <c r="B201" s="363" t="s">
        <v>264</v>
      </c>
      <c r="C201" s="212" t="s">
        <v>265</v>
      </c>
      <c r="D201" s="141">
        <f t="shared" si="14"/>
        <v>0</v>
      </c>
      <c r="J201" s="362" t="s">
        <v>264</v>
      </c>
      <c r="K201" s="363" t="s">
        <v>264</v>
      </c>
      <c r="L201" s="212" t="s">
        <v>265</v>
      </c>
      <c r="M201" s="141">
        <f t="shared" si="15"/>
        <v>0</v>
      </c>
      <c r="N201" s="84"/>
      <c r="O201" s="84"/>
      <c r="P201" s="207">
        <f t="shared" si="16"/>
        <v>0</v>
      </c>
      <c r="Q201" s="208" t="str">
        <f t="shared" si="17"/>
        <v/>
      </c>
    </row>
    <row r="202" spans="1:17" ht="15.75" x14ac:dyDescent="0.25">
      <c r="A202" s="362" t="s">
        <v>266</v>
      </c>
      <c r="B202" s="363" t="s">
        <v>266</v>
      </c>
      <c r="C202" s="30" t="s">
        <v>267</v>
      </c>
      <c r="D202" s="141">
        <f t="shared" si="14"/>
        <v>0</v>
      </c>
      <c r="J202" s="362" t="s">
        <v>266</v>
      </c>
      <c r="K202" s="363" t="s">
        <v>266</v>
      </c>
      <c r="L202" s="30" t="s">
        <v>267</v>
      </c>
      <c r="M202" s="141">
        <f t="shared" si="15"/>
        <v>0</v>
      </c>
      <c r="N202" s="84"/>
      <c r="O202" s="84"/>
      <c r="P202" s="207">
        <f t="shared" si="16"/>
        <v>0</v>
      </c>
      <c r="Q202" s="208" t="str">
        <f t="shared" si="17"/>
        <v/>
      </c>
    </row>
    <row r="203" spans="1:17" ht="15.75" x14ac:dyDescent="0.25">
      <c r="A203" s="362" t="s">
        <v>268</v>
      </c>
      <c r="B203" s="363" t="s">
        <v>268</v>
      </c>
      <c r="C203" s="71" t="s">
        <v>269</v>
      </c>
      <c r="D203" s="141">
        <f t="shared" si="14"/>
        <v>0</v>
      </c>
      <c r="J203" s="362" t="s">
        <v>268</v>
      </c>
      <c r="K203" s="363" t="s">
        <v>268</v>
      </c>
      <c r="L203" s="71" t="s">
        <v>269</v>
      </c>
      <c r="M203" s="141">
        <f t="shared" si="15"/>
        <v>0</v>
      </c>
      <c r="N203" s="84"/>
      <c r="O203" s="84"/>
      <c r="P203" s="207">
        <f t="shared" si="16"/>
        <v>0</v>
      </c>
      <c r="Q203" s="208" t="str">
        <f t="shared" si="17"/>
        <v/>
      </c>
    </row>
    <row r="204" spans="1:17" ht="15.75" x14ac:dyDescent="0.25">
      <c r="A204" s="362" t="s">
        <v>270</v>
      </c>
      <c r="B204" s="363" t="s">
        <v>270</v>
      </c>
      <c r="C204" s="213" t="s">
        <v>3</v>
      </c>
      <c r="D204" s="141">
        <f t="shared" si="14"/>
        <v>0</v>
      </c>
      <c r="J204" s="362" t="s">
        <v>270</v>
      </c>
      <c r="K204" s="363" t="s">
        <v>270</v>
      </c>
      <c r="L204" s="213" t="s">
        <v>3</v>
      </c>
      <c r="M204" s="141">
        <f t="shared" si="15"/>
        <v>0</v>
      </c>
      <c r="N204" s="84"/>
      <c r="O204" s="84"/>
      <c r="P204" s="207">
        <f t="shared" si="16"/>
        <v>0</v>
      </c>
      <c r="Q204" s="208" t="str">
        <f t="shared" si="17"/>
        <v/>
      </c>
    </row>
    <row r="205" spans="1:17" ht="15.75" x14ac:dyDescent="0.25">
      <c r="A205" s="362" t="s">
        <v>271</v>
      </c>
      <c r="B205" s="363" t="s">
        <v>271</v>
      </c>
      <c r="C205" s="214" t="s">
        <v>271</v>
      </c>
      <c r="D205" s="141">
        <f t="shared" si="14"/>
        <v>0</v>
      </c>
      <c r="J205" s="362" t="s">
        <v>271</v>
      </c>
      <c r="K205" s="363" t="s">
        <v>271</v>
      </c>
      <c r="L205" s="214" t="s">
        <v>271</v>
      </c>
      <c r="M205" s="141">
        <f t="shared" si="15"/>
        <v>0</v>
      </c>
      <c r="N205" s="84"/>
      <c r="O205" s="84"/>
      <c r="P205" s="207">
        <f t="shared" si="16"/>
        <v>0</v>
      </c>
      <c r="Q205" s="208" t="str">
        <f t="shared" si="17"/>
        <v/>
      </c>
    </row>
    <row r="206" spans="1:17" ht="15.75" x14ac:dyDescent="0.25">
      <c r="A206" s="362" t="s">
        <v>272</v>
      </c>
      <c r="B206" s="363" t="s">
        <v>272</v>
      </c>
      <c r="C206" s="215" t="s">
        <v>273</v>
      </c>
      <c r="D206" s="141">
        <f t="shared" si="14"/>
        <v>0</v>
      </c>
      <c r="J206" s="362" t="s">
        <v>272</v>
      </c>
      <c r="K206" s="363" t="s">
        <v>272</v>
      </c>
      <c r="L206" s="215" t="s">
        <v>273</v>
      </c>
      <c r="M206" s="141">
        <f t="shared" si="15"/>
        <v>0</v>
      </c>
      <c r="N206" s="84"/>
      <c r="O206" s="84"/>
      <c r="P206" s="207">
        <f t="shared" si="16"/>
        <v>0</v>
      </c>
      <c r="Q206" s="208" t="str">
        <f t="shared" si="17"/>
        <v/>
      </c>
    </row>
    <row r="207" spans="1:17" ht="15.75" x14ac:dyDescent="0.25">
      <c r="A207" s="362" t="s">
        <v>274</v>
      </c>
      <c r="B207" s="363" t="s">
        <v>274</v>
      </c>
      <c r="C207" s="50" t="s">
        <v>275</v>
      </c>
      <c r="D207" s="141">
        <f t="shared" si="14"/>
        <v>0</v>
      </c>
      <c r="J207" s="362" t="s">
        <v>274</v>
      </c>
      <c r="K207" s="363" t="s">
        <v>274</v>
      </c>
      <c r="L207" s="50" t="s">
        <v>275</v>
      </c>
      <c r="M207" s="141">
        <f t="shared" si="15"/>
        <v>0</v>
      </c>
      <c r="N207" s="84"/>
      <c r="O207" s="84"/>
      <c r="P207" s="207">
        <f t="shared" si="16"/>
        <v>0</v>
      </c>
      <c r="Q207" s="208" t="str">
        <f t="shared" si="17"/>
        <v/>
      </c>
    </row>
    <row r="208" spans="1:17" ht="15.75" x14ac:dyDescent="0.25">
      <c r="A208" s="362" t="s">
        <v>276</v>
      </c>
      <c r="B208" s="363" t="s">
        <v>276</v>
      </c>
      <c r="C208" s="216" t="s">
        <v>277</v>
      </c>
      <c r="D208" s="141">
        <f t="shared" si="14"/>
        <v>0</v>
      </c>
      <c r="J208" s="362" t="s">
        <v>276</v>
      </c>
      <c r="K208" s="363" t="s">
        <v>276</v>
      </c>
      <c r="L208" s="216" t="s">
        <v>277</v>
      </c>
      <c r="M208" s="141">
        <f t="shared" si="15"/>
        <v>0</v>
      </c>
      <c r="N208" s="84"/>
      <c r="O208" s="84"/>
      <c r="P208" s="207">
        <f t="shared" si="16"/>
        <v>0</v>
      </c>
      <c r="Q208" s="208" t="str">
        <f t="shared" si="17"/>
        <v/>
      </c>
    </row>
    <row r="209" spans="1:17" ht="15.75" x14ac:dyDescent="0.25">
      <c r="A209" s="362" t="s">
        <v>278</v>
      </c>
      <c r="B209" s="363" t="s">
        <v>278</v>
      </c>
      <c r="C209" s="217" t="s">
        <v>279</v>
      </c>
      <c r="D209" s="141">
        <f t="shared" si="14"/>
        <v>0</v>
      </c>
      <c r="J209" s="362" t="s">
        <v>278</v>
      </c>
      <c r="K209" s="363" t="s">
        <v>278</v>
      </c>
      <c r="L209" s="217" t="s">
        <v>279</v>
      </c>
      <c r="M209" s="141">
        <f t="shared" si="15"/>
        <v>0</v>
      </c>
      <c r="N209" s="84"/>
      <c r="O209" s="84"/>
      <c r="P209" s="207">
        <f t="shared" si="16"/>
        <v>0</v>
      </c>
      <c r="Q209" s="208" t="str">
        <f t="shared" si="17"/>
        <v/>
      </c>
    </row>
    <row r="210" spans="1:17" ht="15.75" x14ac:dyDescent="0.25">
      <c r="A210" s="362" t="s">
        <v>280</v>
      </c>
      <c r="B210" s="363"/>
      <c r="C210" s="218" t="s">
        <v>281</v>
      </c>
      <c r="D210" s="141">
        <f t="shared" si="14"/>
        <v>0</v>
      </c>
      <c r="J210" s="362" t="s">
        <v>280</v>
      </c>
      <c r="K210" s="363"/>
      <c r="L210" s="218" t="s">
        <v>281</v>
      </c>
      <c r="M210" s="141">
        <f t="shared" si="15"/>
        <v>0</v>
      </c>
      <c r="N210" s="84"/>
      <c r="O210" s="84"/>
      <c r="P210" s="207">
        <f t="shared" si="16"/>
        <v>0</v>
      </c>
      <c r="Q210" s="208" t="str">
        <f t="shared" si="17"/>
        <v/>
      </c>
    </row>
    <row r="211" spans="1:17" ht="15.75" x14ac:dyDescent="0.25">
      <c r="A211" s="362" t="s">
        <v>176</v>
      </c>
      <c r="B211" s="363" t="s">
        <v>176</v>
      </c>
      <c r="C211" s="39" t="s">
        <v>282</v>
      </c>
      <c r="D211" s="141">
        <f t="shared" si="14"/>
        <v>0</v>
      </c>
      <c r="J211" s="362" t="s">
        <v>176</v>
      </c>
      <c r="K211" s="363" t="s">
        <v>176</v>
      </c>
      <c r="L211" s="39" t="s">
        <v>282</v>
      </c>
      <c r="M211" s="141">
        <f t="shared" si="15"/>
        <v>0</v>
      </c>
      <c r="N211" s="84"/>
      <c r="O211" s="84"/>
      <c r="P211" s="207">
        <f t="shared" si="16"/>
        <v>0</v>
      </c>
      <c r="Q211" s="208" t="str">
        <f t="shared" si="17"/>
        <v/>
      </c>
    </row>
    <row r="212" spans="1:17" ht="15.75" x14ac:dyDescent="0.25">
      <c r="A212" s="362" t="s">
        <v>283</v>
      </c>
      <c r="B212" s="363" t="s">
        <v>283</v>
      </c>
      <c r="C212" s="219" t="s">
        <v>284</v>
      </c>
      <c r="D212" s="141">
        <f t="shared" si="14"/>
        <v>0</v>
      </c>
      <c r="J212" s="362" t="s">
        <v>283</v>
      </c>
      <c r="K212" s="363" t="s">
        <v>283</v>
      </c>
      <c r="L212" s="219" t="s">
        <v>284</v>
      </c>
      <c r="M212" s="141">
        <f t="shared" si="15"/>
        <v>0</v>
      </c>
      <c r="N212" s="84"/>
      <c r="O212" s="84"/>
      <c r="P212" s="207">
        <f t="shared" si="16"/>
        <v>0</v>
      </c>
      <c r="Q212" s="208" t="str">
        <f t="shared" si="17"/>
        <v/>
      </c>
    </row>
    <row r="213" spans="1:17" ht="15.75" x14ac:dyDescent="0.25">
      <c r="A213" s="362" t="s">
        <v>285</v>
      </c>
      <c r="B213" s="363"/>
      <c r="C213" s="220" t="s">
        <v>286</v>
      </c>
      <c r="D213" s="141">
        <f t="shared" si="14"/>
        <v>0</v>
      </c>
      <c r="J213" s="362" t="s">
        <v>285</v>
      </c>
      <c r="K213" s="363"/>
      <c r="L213" s="220" t="s">
        <v>286</v>
      </c>
      <c r="M213" s="141">
        <f t="shared" si="15"/>
        <v>0</v>
      </c>
      <c r="N213" s="84"/>
      <c r="O213" s="84"/>
      <c r="P213" s="207">
        <f t="shared" si="16"/>
        <v>0</v>
      </c>
      <c r="Q213" s="208" t="str">
        <f t="shared" si="17"/>
        <v/>
      </c>
    </row>
    <row r="214" spans="1:17" ht="15.75" x14ac:dyDescent="0.25">
      <c r="A214" s="362" t="s">
        <v>287</v>
      </c>
      <c r="B214" s="363" t="s">
        <v>287</v>
      </c>
      <c r="C214" s="221" t="s">
        <v>288</v>
      </c>
      <c r="D214" s="141">
        <f t="shared" si="14"/>
        <v>0</v>
      </c>
      <c r="J214" s="362" t="s">
        <v>287</v>
      </c>
      <c r="K214" s="363" t="s">
        <v>287</v>
      </c>
      <c r="L214" s="221" t="s">
        <v>288</v>
      </c>
      <c r="M214" s="141">
        <f t="shared" si="15"/>
        <v>0</v>
      </c>
      <c r="N214" s="84"/>
      <c r="O214" s="84"/>
      <c r="P214" s="207">
        <f t="shared" si="16"/>
        <v>0</v>
      </c>
      <c r="Q214" s="208" t="str">
        <f t="shared" si="17"/>
        <v/>
      </c>
    </row>
    <row r="215" spans="1:17" ht="15.75" x14ac:dyDescent="0.25">
      <c r="A215" s="362" t="s">
        <v>289</v>
      </c>
      <c r="B215" s="363" t="s">
        <v>290</v>
      </c>
      <c r="C215" s="222" t="s">
        <v>291</v>
      </c>
      <c r="D215" s="141">
        <f t="shared" si="14"/>
        <v>0</v>
      </c>
      <c r="J215" s="362" t="s">
        <v>289</v>
      </c>
      <c r="K215" s="363" t="s">
        <v>290</v>
      </c>
      <c r="L215" s="222" t="s">
        <v>291</v>
      </c>
      <c r="M215" s="141">
        <f t="shared" si="15"/>
        <v>0</v>
      </c>
      <c r="N215" s="84"/>
      <c r="O215" s="84"/>
      <c r="P215" s="207">
        <f t="shared" si="16"/>
        <v>0</v>
      </c>
      <c r="Q215" s="208" t="str">
        <f t="shared" si="17"/>
        <v/>
      </c>
    </row>
    <row r="216" spans="1:17" ht="15.75" x14ac:dyDescent="0.25">
      <c r="A216" s="362" t="s">
        <v>292</v>
      </c>
      <c r="B216" s="363" t="s">
        <v>293</v>
      </c>
      <c r="C216" s="223" t="s">
        <v>294</v>
      </c>
      <c r="D216" s="141">
        <f t="shared" si="14"/>
        <v>0</v>
      </c>
      <c r="J216" s="362" t="s">
        <v>292</v>
      </c>
      <c r="K216" s="363"/>
      <c r="L216" s="223" t="s">
        <v>294</v>
      </c>
      <c r="M216" s="141">
        <f t="shared" si="15"/>
        <v>0</v>
      </c>
      <c r="N216" s="84"/>
      <c r="O216" s="84"/>
      <c r="P216" s="207">
        <f t="shared" si="16"/>
        <v>0</v>
      </c>
      <c r="Q216" s="208" t="str">
        <f t="shared" si="17"/>
        <v/>
      </c>
    </row>
    <row r="217" spans="1:17" ht="16.5" thickBot="1" x14ac:dyDescent="0.3">
      <c r="A217" s="362" t="s">
        <v>295</v>
      </c>
      <c r="B217" s="363" t="s">
        <v>293</v>
      </c>
      <c r="C217" s="222" t="s">
        <v>296</v>
      </c>
      <c r="D217" s="141">
        <f t="shared" si="14"/>
        <v>0</v>
      </c>
      <c r="J217" s="362" t="s">
        <v>295</v>
      </c>
      <c r="K217" s="363" t="s">
        <v>293</v>
      </c>
      <c r="L217" s="222" t="s">
        <v>296</v>
      </c>
      <c r="M217" s="141">
        <f t="shared" si="15"/>
        <v>0</v>
      </c>
      <c r="N217" s="84"/>
      <c r="O217" s="84"/>
      <c r="P217" s="207">
        <f t="shared" si="16"/>
        <v>0</v>
      </c>
      <c r="Q217" s="208" t="str">
        <f t="shared" si="17"/>
        <v/>
      </c>
    </row>
    <row r="218" spans="1:17" ht="21.75" thickBot="1" x14ac:dyDescent="0.3">
      <c r="A218" s="368" t="s">
        <v>297</v>
      </c>
      <c r="B218" s="368"/>
      <c r="C218" s="368"/>
      <c r="D218" s="368"/>
      <c r="E218" s="360">
        <f>SUM(D219:D286)</f>
        <v>190</v>
      </c>
      <c r="F218" s="361"/>
      <c r="J218" s="368" t="s">
        <v>297</v>
      </c>
      <c r="K218" s="368"/>
      <c r="L218" s="368"/>
      <c r="M218" s="369"/>
      <c r="N218" s="360">
        <f>SUM(M219:M286)</f>
        <v>0</v>
      </c>
      <c r="O218" s="361"/>
      <c r="P218" s="370" t="s">
        <v>298</v>
      </c>
      <c r="Q218" s="371"/>
    </row>
    <row r="219" spans="1:17" ht="15.75" x14ac:dyDescent="0.25">
      <c r="A219" s="362" t="s">
        <v>299</v>
      </c>
      <c r="B219" s="363"/>
      <c r="C219" s="29" t="s">
        <v>167</v>
      </c>
      <c r="D219" s="141">
        <f t="shared" ref="D219:D282" si="18">COUNTIF($B$7:$Q$29,C219)+COUNTIF($K$30:$Q$53,C219)+COUNTIF($R$7:$BB$53,C219)</f>
        <v>46</v>
      </c>
      <c r="J219" s="362" t="s">
        <v>299</v>
      </c>
      <c r="K219" s="363"/>
      <c r="L219" s="29" t="s">
        <v>167</v>
      </c>
      <c r="M219" s="141">
        <f t="shared" ref="M219:M282" si="19">COUNTIF($B$30:$J$50,L219)</f>
        <v>0</v>
      </c>
      <c r="N219" s="84"/>
      <c r="O219" s="84"/>
      <c r="P219" s="207">
        <f t="shared" ref="P219:P282" si="20">D219+M219</f>
        <v>46</v>
      </c>
      <c r="Q219" s="208" t="str">
        <f t="shared" si="17"/>
        <v/>
      </c>
    </row>
    <row r="220" spans="1:17" ht="15.75" x14ac:dyDescent="0.25">
      <c r="A220" s="362" t="s">
        <v>300</v>
      </c>
      <c r="B220" s="363"/>
      <c r="C220" s="224" t="s">
        <v>301</v>
      </c>
      <c r="D220" s="141">
        <f t="shared" si="18"/>
        <v>0</v>
      </c>
      <c r="J220" s="362" t="s">
        <v>300</v>
      </c>
      <c r="K220" s="363"/>
      <c r="L220" s="224" t="s">
        <v>301</v>
      </c>
      <c r="M220" s="141">
        <f t="shared" si="19"/>
        <v>0</v>
      </c>
      <c r="N220" s="84"/>
      <c r="O220" s="84"/>
      <c r="P220" s="207">
        <f t="shared" si="20"/>
        <v>0</v>
      </c>
      <c r="Q220" s="208" t="str">
        <f t="shared" si="17"/>
        <v/>
      </c>
    </row>
    <row r="221" spans="1:17" ht="15.75" x14ac:dyDescent="0.25">
      <c r="A221" s="362" t="s">
        <v>302</v>
      </c>
      <c r="B221" s="363"/>
      <c r="C221" s="225" t="s">
        <v>303</v>
      </c>
      <c r="D221" s="141">
        <f t="shared" si="18"/>
        <v>0</v>
      </c>
      <c r="J221" s="362" t="s">
        <v>302</v>
      </c>
      <c r="K221" s="363"/>
      <c r="L221" s="225" t="s">
        <v>303</v>
      </c>
      <c r="M221" s="141">
        <f t="shared" si="19"/>
        <v>0</v>
      </c>
      <c r="N221" s="84"/>
      <c r="O221" s="84"/>
      <c r="P221" s="207">
        <f t="shared" si="20"/>
        <v>0</v>
      </c>
      <c r="Q221" s="208" t="str">
        <f t="shared" si="17"/>
        <v/>
      </c>
    </row>
    <row r="222" spans="1:17" ht="15.75" x14ac:dyDescent="0.25">
      <c r="A222" s="362" t="s">
        <v>304</v>
      </c>
      <c r="B222" s="363"/>
      <c r="C222" s="226" t="s">
        <v>305</v>
      </c>
      <c r="D222" s="141">
        <f t="shared" si="18"/>
        <v>0</v>
      </c>
      <c r="J222" s="362" t="s">
        <v>304</v>
      </c>
      <c r="K222" s="363"/>
      <c r="L222" s="226" t="s">
        <v>305</v>
      </c>
      <c r="M222" s="141">
        <f t="shared" si="19"/>
        <v>0</v>
      </c>
      <c r="N222" s="84"/>
      <c r="O222" s="84"/>
      <c r="P222" s="207">
        <f t="shared" si="20"/>
        <v>0</v>
      </c>
      <c r="Q222" s="208" t="str">
        <f t="shared" si="17"/>
        <v/>
      </c>
    </row>
    <row r="223" spans="1:17" ht="15.75" x14ac:dyDescent="0.25">
      <c r="A223" s="362" t="s">
        <v>176</v>
      </c>
      <c r="B223" s="363"/>
      <c r="C223" s="39" t="s">
        <v>176</v>
      </c>
      <c r="D223" s="141">
        <f t="shared" si="18"/>
        <v>28</v>
      </c>
      <c r="J223" s="362" t="s">
        <v>176</v>
      </c>
      <c r="K223" s="363"/>
      <c r="L223" s="39" t="s">
        <v>176</v>
      </c>
      <c r="M223" s="141">
        <f t="shared" si="19"/>
        <v>0</v>
      </c>
      <c r="N223" s="84"/>
      <c r="O223" s="84"/>
      <c r="P223" s="207">
        <f t="shared" si="20"/>
        <v>28</v>
      </c>
      <c r="Q223" s="208" t="str">
        <f t="shared" si="17"/>
        <v/>
      </c>
    </row>
    <row r="224" spans="1:17" ht="15.75" x14ac:dyDescent="0.25">
      <c r="A224" s="362" t="s">
        <v>306</v>
      </c>
      <c r="B224" s="363"/>
      <c r="C224" s="227" t="s">
        <v>307</v>
      </c>
      <c r="D224" s="141">
        <f t="shared" si="18"/>
        <v>0</v>
      </c>
      <c r="J224" s="362" t="s">
        <v>306</v>
      </c>
      <c r="K224" s="363"/>
      <c r="L224" s="227" t="s">
        <v>307</v>
      </c>
      <c r="M224" s="141">
        <f t="shared" si="19"/>
        <v>0</v>
      </c>
      <c r="N224" s="84"/>
      <c r="O224" s="84"/>
      <c r="P224" s="207">
        <f t="shared" si="20"/>
        <v>0</v>
      </c>
      <c r="Q224" s="208" t="str">
        <f t="shared" si="17"/>
        <v/>
      </c>
    </row>
    <row r="225" spans="1:17" ht="15.75" x14ac:dyDescent="0.25">
      <c r="A225" s="362" t="s">
        <v>308</v>
      </c>
      <c r="B225" s="363"/>
      <c r="C225" s="228" t="s">
        <v>309</v>
      </c>
      <c r="D225" s="141">
        <f t="shared" si="18"/>
        <v>0</v>
      </c>
      <c r="J225" s="362" t="s">
        <v>308</v>
      </c>
      <c r="K225" s="363"/>
      <c r="L225" s="228" t="s">
        <v>309</v>
      </c>
      <c r="M225" s="141">
        <f t="shared" si="19"/>
        <v>0</v>
      </c>
      <c r="N225" s="84"/>
      <c r="O225" s="84"/>
      <c r="P225" s="207">
        <f t="shared" si="20"/>
        <v>0</v>
      </c>
      <c r="Q225" s="208" t="str">
        <f t="shared" si="17"/>
        <v/>
      </c>
    </row>
    <row r="226" spans="1:17" ht="15.75" x14ac:dyDescent="0.25">
      <c r="A226" s="362" t="s">
        <v>310</v>
      </c>
      <c r="B226" s="363"/>
      <c r="C226" s="229" t="s">
        <v>310</v>
      </c>
      <c r="D226" s="141">
        <f t="shared" si="18"/>
        <v>0</v>
      </c>
      <c r="J226" s="362" t="s">
        <v>310</v>
      </c>
      <c r="K226" s="363"/>
      <c r="L226" s="229" t="s">
        <v>310</v>
      </c>
      <c r="M226" s="141">
        <f t="shared" si="19"/>
        <v>0</v>
      </c>
      <c r="N226" s="84"/>
      <c r="O226" s="84"/>
      <c r="P226" s="207">
        <f t="shared" si="20"/>
        <v>0</v>
      </c>
      <c r="Q226" s="208" t="str">
        <f t="shared" si="17"/>
        <v/>
      </c>
    </row>
    <row r="227" spans="1:17" ht="15.75" x14ac:dyDescent="0.25">
      <c r="A227" s="362" t="s">
        <v>311</v>
      </c>
      <c r="B227" s="363"/>
      <c r="C227" s="52" t="s">
        <v>193</v>
      </c>
      <c r="D227" s="141">
        <f t="shared" si="18"/>
        <v>22</v>
      </c>
      <c r="J227" s="362" t="s">
        <v>311</v>
      </c>
      <c r="K227" s="363"/>
      <c r="L227" s="52" t="s">
        <v>193</v>
      </c>
      <c r="M227" s="141">
        <f t="shared" si="19"/>
        <v>0</v>
      </c>
      <c r="N227" s="84"/>
      <c r="O227" s="84"/>
      <c r="P227" s="207">
        <f t="shared" si="20"/>
        <v>22</v>
      </c>
      <c r="Q227" s="208" t="str">
        <f t="shared" si="17"/>
        <v/>
      </c>
    </row>
    <row r="228" spans="1:17" ht="15.75" x14ac:dyDescent="0.25">
      <c r="A228" s="362" t="s">
        <v>312</v>
      </c>
      <c r="B228" s="363"/>
      <c r="C228" s="230" t="s">
        <v>313</v>
      </c>
      <c r="D228" s="141">
        <f t="shared" si="18"/>
        <v>0</v>
      </c>
      <c r="J228" s="362" t="s">
        <v>312</v>
      </c>
      <c r="K228" s="363"/>
      <c r="L228" s="230" t="s">
        <v>313</v>
      </c>
      <c r="M228" s="141">
        <f t="shared" si="19"/>
        <v>0</v>
      </c>
      <c r="N228" s="84"/>
      <c r="O228" s="84"/>
      <c r="P228" s="207">
        <f t="shared" si="20"/>
        <v>0</v>
      </c>
      <c r="Q228" s="208" t="str">
        <f t="shared" si="17"/>
        <v/>
      </c>
    </row>
    <row r="229" spans="1:17" ht="15.75" x14ac:dyDescent="0.25">
      <c r="A229" s="362" t="s">
        <v>314</v>
      </c>
      <c r="B229" s="363"/>
      <c r="C229" s="231" t="s">
        <v>314</v>
      </c>
      <c r="D229" s="141">
        <f t="shared" si="18"/>
        <v>0</v>
      </c>
      <c r="J229" s="362" t="s">
        <v>314</v>
      </c>
      <c r="K229" s="363"/>
      <c r="L229" s="231" t="s">
        <v>314</v>
      </c>
      <c r="M229" s="141">
        <f t="shared" si="19"/>
        <v>0</v>
      </c>
      <c r="N229" s="84"/>
      <c r="O229" s="84"/>
      <c r="P229" s="207">
        <f t="shared" si="20"/>
        <v>0</v>
      </c>
      <c r="Q229" s="208" t="str">
        <f t="shared" si="17"/>
        <v/>
      </c>
    </row>
    <row r="230" spans="1:17" ht="15.75" x14ac:dyDescent="0.25">
      <c r="A230" s="362" t="s">
        <v>315</v>
      </c>
      <c r="B230" s="363"/>
      <c r="C230" s="232" t="s">
        <v>316</v>
      </c>
      <c r="D230" s="141">
        <f t="shared" si="18"/>
        <v>0</v>
      </c>
      <c r="J230" s="362" t="s">
        <v>315</v>
      </c>
      <c r="K230" s="363"/>
      <c r="L230" s="232" t="s">
        <v>316</v>
      </c>
      <c r="M230" s="141">
        <f t="shared" si="19"/>
        <v>0</v>
      </c>
      <c r="N230" s="84"/>
      <c r="O230" s="84"/>
      <c r="P230" s="207">
        <f t="shared" si="20"/>
        <v>0</v>
      </c>
      <c r="Q230" s="208" t="str">
        <f t="shared" si="17"/>
        <v/>
      </c>
    </row>
    <row r="231" spans="1:17" ht="15.75" x14ac:dyDescent="0.25">
      <c r="A231" s="362" t="s">
        <v>317</v>
      </c>
      <c r="B231" s="363"/>
      <c r="C231" s="233" t="s">
        <v>318</v>
      </c>
      <c r="D231" s="141">
        <f t="shared" si="18"/>
        <v>0</v>
      </c>
      <c r="J231" s="362" t="s">
        <v>317</v>
      </c>
      <c r="K231" s="363"/>
      <c r="L231" s="233" t="s">
        <v>318</v>
      </c>
      <c r="M231" s="141">
        <f t="shared" si="19"/>
        <v>0</v>
      </c>
      <c r="N231" s="84"/>
      <c r="O231" s="84"/>
      <c r="P231" s="207">
        <f t="shared" si="20"/>
        <v>0</v>
      </c>
      <c r="Q231" s="208" t="str">
        <f t="shared" si="17"/>
        <v/>
      </c>
    </row>
    <row r="232" spans="1:17" ht="15.75" x14ac:dyDescent="0.25">
      <c r="A232" s="362" t="s">
        <v>319</v>
      </c>
      <c r="B232" s="363"/>
      <c r="C232" s="224" t="s">
        <v>320</v>
      </c>
      <c r="D232" s="141">
        <f t="shared" si="18"/>
        <v>0</v>
      </c>
      <c r="J232" s="362" t="s">
        <v>319</v>
      </c>
      <c r="K232" s="363"/>
      <c r="L232" s="224" t="s">
        <v>320</v>
      </c>
      <c r="M232" s="141">
        <f t="shared" si="19"/>
        <v>0</v>
      </c>
      <c r="N232" s="84"/>
      <c r="O232" s="84"/>
      <c r="P232" s="207">
        <f t="shared" si="20"/>
        <v>0</v>
      </c>
      <c r="Q232" s="208"/>
    </row>
    <row r="233" spans="1:17" ht="15.75" x14ac:dyDescent="0.25">
      <c r="A233" s="362" t="s">
        <v>321</v>
      </c>
      <c r="B233" s="363"/>
      <c r="C233" s="234" t="s">
        <v>322</v>
      </c>
      <c r="D233" s="141">
        <f t="shared" si="18"/>
        <v>0</v>
      </c>
      <c r="J233" s="362" t="s">
        <v>321</v>
      </c>
      <c r="K233" s="363"/>
      <c r="L233" s="234" t="s">
        <v>322</v>
      </c>
      <c r="M233" s="141">
        <f t="shared" si="19"/>
        <v>0</v>
      </c>
      <c r="N233" s="84"/>
      <c r="O233" s="84"/>
      <c r="P233" s="207">
        <f t="shared" si="20"/>
        <v>0</v>
      </c>
      <c r="Q233" s="208" t="str">
        <f t="shared" si="17"/>
        <v/>
      </c>
    </row>
    <row r="234" spans="1:17" ht="15.75" x14ac:dyDescent="0.25">
      <c r="A234" s="362" t="s">
        <v>323</v>
      </c>
      <c r="B234" s="363"/>
      <c r="C234" s="50" t="s">
        <v>190</v>
      </c>
      <c r="D234" s="141">
        <f t="shared" si="18"/>
        <v>12</v>
      </c>
      <c r="J234" s="362" t="s">
        <v>323</v>
      </c>
      <c r="K234" s="363"/>
      <c r="L234" s="50" t="s">
        <v>190</v>
      </c>
      <c r="M234" s="141">
        <f t="shared" si="19"/>
        <v>0</v>
      </c>
      <c r="N234" s="84"/>
      <c r="O234" s="84"/>
      <c r="P234" s="207">
        <f t="shared" si="20"/>
        <v>12</v>
      </c>
      <c r="Q234" s="208" t="str">
        <f t="shared" si="17"/>
        <v/>
      </c>
    </row>
    <row r="235" spans="1:17" ht="15.75" x14ac:dyDescent="0.25">
      <c r="A235" s="362" t="s">
        <v>272</v>
      </c>
      <c r="B235" s="363"/>
      <c r="C235" s="235" t="s">
        <v>324</v>
      </c>
      <c r="D235" s="141">
        <f t="shared" si="18"/>
        <v>0</v>
      </c>
      <c r="J235" s="362" t="s">
        <v>272</v>
      </c>
      <c r="K235" s="363"/>
      <c r="L235" s="235" t="s">
        <v>324</v>
      </c>
      <c r="M235" s="141">
        <f t="shared" si="19"/>
        <v>0</v>
      </c>
      <c r="N235" s="84"/>
      <c r="O235" s="84"/>
      <c r="P235" s="207">
        <f t="shared" si="20"/>
        <v>0</v>
      </c>
      <c r="Q235" s="208" t="str">
        <f t="shared" si="17"/>
        <v/>
      </c>
    </row>
    <row r="236" spans="1:17" ht="15.75" x14ac:dyDescent="0.25">
      <c r="A236" s="362" t="s">
        <v>325</v>
      </c>
      <c r="B236" s="363"/>
      <c r="C236" s="236" t="s">
        <v>326</v>
      </c>
      <c r="D236" s="141">
        <f t="shared" si="18"/>
        <v>0</v>
      </c>
      <c r="J236" s="362" t="s">
        <v>325</v>
      </c>
      <c r="K236" s="363"/>
      <c r="L236" s="236" t="s">
        <v>326</v>
      </c>
      <c r="M236" s="141">
        <f t="shared" si="19"/>
        <v>0</v>
      </c>
      <c r="N236" s="84"/>
      <c r="O236" s="84"/>
      <c r="P236" s="207">
        <f t="shared" si="20"/>
        <v>0</v>
      </c>
      <c r="Q236" s="208" t="str">
        <f t="shared" si="17"/>
        <v/>
      </c>
    </row>
    <row r="237" spans="1:17" ht="15.75" x14ac:dyDescent="0.25">
      <c r="A237" s="362" t="s">
        <v>327</v>
      </c>
      <c r="B237" s="363"/>
      <c r="C237" s="237" t="s">
        <v>328</v>
      </c>
      <c r="D237" s="141">
        <f t="shared" si="18"/>
        <v>0</v>
      </c>
      <c r="J237" s="362" t="s">
        <v>327</v>
      </c>
      <c r="K237" s="363"/>
      <c r="L237" s="237" t="s">
        <v>328</v>
      </c>
      <c r="M237" s="141">
        <f t="shared" si="19"/>
        <v>0</v>
      </c>
      <c r="N237" s="84"/>
      <c r="O237" s="84"/>
      <c r="P237" s="207">
        <f t="shared" si="20"/>
        <v>0</v>
      </c>
      <c r="Q237" s="208" t="str">
        <f t="shared" si="17"/>
        <v/>
      </c>
    </row>
    <row r="238" spans="1:17" ht="15.75" x14ac:dyDescent="0.25">
      <c r="A238" s="362" t="s">
        <v>329</v>
      </c>
      <c r="B238" s="363"/>
      <c r="C238" s="238" t="s">
        <v>330</v>
      </c>
      <c r="D238" s="141">
        <f t="shared" si="18"/>
        <v>0</v>
      </c>
      <c r="J238" s="362" t="s">
        <v>329</v>
      </c>
      <c r="K238" s="363"/>
      <c r="L238" s="238" t="s">
        <v>330</v>
      </c>
      <c r="M238" s="141">
        <f t="shared" si="19"/>
        <v>0</v>
      </c>
      <c r="N238" s="84"/>
      <c r="O238" s="84"/>
      <c r="P238" s="207">
        <f t="shared" si="20"/>
        <v>0</v>
      </c>
      <c r="Q238" s="208" t="str">
        <f t="shared" si="17"/>
        <v/>
      </c>
    </row>
    <row r="239" spans="1:17" ht="15.75" x14ac:dyDescent="0.25">
      <c r="A239" s="362" t="s">
        <v>331</v>
      </c>
      <c r="B239" s="363"/>
      <c r="C239" s="239" t="s">
        <v>332</v>
      </c>
      <c r="D239" s="141">
        <f t="shared" si="18"/>
        <v>0</v>
      </c>
      <c r="J239" s="362" t="s">
        <v>331</v>
      </c>
      <c r="K239" s="363"/>
      <c r="L239" s="239" t="s">
        <v>332</v>
      </c>
      <c r="M239" s="141">
        <f t="shared" si="19"/>
        <v>0</v>
      </c>
      <c r="N239" s="84"/>
      <c r="O239" s="84"/>
      <c r="P239" s="207">
        <f t="shared" si="20"/>
        <v>0</v>
      </c>
      <c r="Q239" s="208" t="str">
        <f t="shared" si="17"/>
        <v/>
      </c>
    </row>
    <row r="240" spans="1:17" ht="15.75" x14ac:dyDescent="0.25">
      <c r="A240" s="362" t="s">
        <v>333</v>
      </c>
      <c r="B240" s="363"/>
      <c r="C240" s="240" t="s">
        <v>334</v>
      </c>
      <c r="D240" s="141">
        <f t="shared" si="18"/>
        <v>0</v>
      </c>
      <c r="J240" s="362" t="s">
        <v>333</v>
      </c>
      <c r="K240" s="363"/>
      <c r="L240" s="240" t="s">
        <v>334</v>
      </c>
      <c r="M240" s="141">
        <f t="shared" si="19"/>
        <v>0</v>
      </c>
      <c r="N240" s="84"/>
      <c r="O240" s="84"/>
      <c r="P240" s="207">
        <f t="shared" si="20"/>
        <v>0</v>
      </c>
      <c r="Q240" s="208" t="str">
        <f t="shared" si="17"/>
        <v/>
      </c>
    </row>
    <row r="241" spans="1:17" ht="15.75" x14ac:dyDescent="0.25">
      <c r="A241" s="362" t="s">
        <v>335</v>
      </c>
      <c r="B241" s="363"/>
      <c r="C241" s="241" t="s">
        <v>335</v>
      </c>
      <c r="D241" s="141">
        <f t="shared" si="18"/>
        <v>0</v>
      </c>
      <c r="J241" s="362" t="s">
        <v>335</v>
      </c>
      <c r="K241" s="363"/>
      <c r="L241" s="241" t="s">
        <v>335</v>
      </c>
      <c r="M241" s="141">
        <f t="shared" si="19"/>
        <v>0</v>
      </c>
      <c r="N241" s="84"/>
      <c r="O241" s="84"/>
      <c r="P241" s="207">
        <f t="shared" si="20"/>
        <v>0</v>
      </c>
      <c r="Q241" s="208" t="str">
        <f t="shared" si="17"/>
        <v/>
      </c>
    </row>
    <row r="242" spans="1:17" ht="15.75" x14ac:dyDescent="0.25">
      <c r="A242" s="362" t="s">
        <v>336</v>
      </c>
      <c r="B242" s="363"/>
      <c r="C242" s="242" t="s">
        <v>337</v>
      </c>
      <c r="D242" s="141">
        <f t="shared" si="18"/>
        <v>0</v>
      </c>
      <c r="J242" s="362" t="s">
        <v>336</v>
      </c>
      <c r="K242" s="363"/>
      <c r="L242" s="242" t="s">
        <v>337</v>
      </c>
      <c r="M242" s="141">
        <f t="shared" si="19"/>
        <v>0</v>
      </c>
      <c r="N242" s="84"/>
      <c r="O242" s="84"/>
      <c r="P242" s="207">
        <f t="shared" si="20"/>
        <v>0</v>
      </c>
      <c r="Q242" s="208" t="str">
        <f t="shared" si="17"/>
        <v/>
      </c>
    </row>
    <row r="243" spans="1:17" ht="15.75" x14ac:dyDescent="0.25">
      <c r="A243" s="362" t="s">
        <v>338</v>
      </c>
      <c r="B243" s="363"/>
      <c r="C243" s="243" t="s">
        <v>339</v>
      </c>
      <c r="D243" s="141">
        <f t="shared" si="18"/>
        <v>0</v>
      </c>
      <c r="J243" s="362" t="s">
        <v>338</v>
      </c>
      <c r="K243" s="363"/>
      <c r="L243" s="243" t="s">
        <v>339</v>
      </c>
      <c r="M243" s="141">
        <f t="shared" si="19"/>
        <v>0</v>
      </c>
      <c r="N243" s="84"/>
      <c r="O243" s="84"/>
      <c r="P243" s="207">
        <f t="shared" si="20"/>
        <v>0</v>
      </c>
      <c r="Q243" s="208" t="str">
        <f t="shared" si="17"/>
        <v/>
      </c>
    </row>
    <row r="244" spans="1:17" ht="15.75" x14ac:dyDescent="0.25">
      <c r="A244" s="362" t="s">
        <v>340</v>
      </c>
      <c r="B244" s="363"/>
      <c r="C244" s="244" t="s">
        <v>341</v>
      </c>
      <c r="D244" s="141">
        <f t="shared" si="18"/>
        <v>0</v>
      </c>
      <c r="J244" s="362" t="s">
        <v>340</v>
      </c>
      <c r="K244" s="363"/>
      <c r="L244" s="244" t="s">
        <v>341</v>
      </c>
      <c r="M244" s="141">
        <f t="shared" si="19"/>
        <v>0</v>
      </c>
      <c r="N244" s="84"/>
      <c r="O244" s="84"/>
      <c r="P244" s="207">
        <f t="shared" si="20"/>
        <v>0</v>
      </c>
      <c r="Q244" s="208"/>
    </row>
    <row r="245" spans="1:17" ht="15.75" x14ac:dyDescent="0.25">
      <c r="A245" s="362" t="s">
        <v>342</v>
      </c>
      <c r="B245" s="363"/>
      <c r="C245" s="245" t="s">
        <v>343</v>
      </c>
      <c r="D245" s="141">
        <f t="shared" si="18"/>
        <v>0</v>
      </c>
      <c r="J245" s="362" t="s">
        <v>342</v>
      </c>
      <c r="K245" s="363"/>
      <c r="L245" s="245" t="s">
        <v>343</v>
      </c>
      <c r="M245" s="141">
        <f t="shared" si="19"/>
        <v>0</v>
      </c>
      <c r="N245" s="84"/>
      <c r="O245" s="84"/>
      <c r="P245" s="207">
        <f t="shared" si="20"/>
        <v>0</v>
      </c>
      <c r="Q245" s="208" t="str">
        <f t="shared" ref="Q245" si="21">IFERROR(P245/$J$4,"")</f>
        <v/>
      </c>
    </row>
    <row r="246" spans="1:17" ht="15.75" x14ac:dyDescent="0.25">
      <c r="A246" s="362" t="s">
        <v>344</v>
      </c>
      <c r="B246" s="363"/>
      <c r="C246" s="246" t="s">
        <v>345</v>
      </c>
      <c r="D246" s="141">
        <f t="shared" si="18"/>
        <v>0</v>
      </c>
      <c r="J246" s="362" t="s">
        <v>344</v>
      </c>
      <c r="K246" s="363"/>
      <c r="L246" s="246" t="s">
        <v>345</v>
      </c>
      <c r="M246" s="141">
        <f t="shared" si="19"/>
        <v>0</v>
      </c>
      <c r="N246" s="84"/>
      <c r="O246" s="84"/>
      <c r="P246" s="207">
        <f t="shared" si="20"/>
        <v>0</v>
      </c>
      <c r="Q246" s="208" t="str">
        <f t="shared" si="17"/>
        <v/>
      </c>
    </row>
    <row r="247" spans="1:17" ht="15.75" x14ac:dyDescent="0.25">
      <c r="A247" s="362" t="s">
        <v>346</v>
      </c>
      <c r="B247" s="363"/>
      <c r="C247" s="247" t="s">
        <v>347</v>
      </c>
      <c r="D247" s="141">
        <f t="shared" si="18"/>
        <v>0</v>
      </c>
      <c r="J247" s="362" t="s">
        <v>346</v>
      </c>
      <c r="K247" s="363"/>
      <c r="L247" s="247" t="s">
        <v>347</v>
      </c>
      <c r="M247" s="141">
        <f t="shared" si="19"/>
        <v>0</v>
      </c>
      <c r="N247" s="84"/>
      <c r="O247" s="84"/>
      <c r="P247" s="207">
        <f t="shared" si="20"/>
        <v>0</v>
      </c>
      <c r="Q247" s="208" t="str">
        <f t="shared" si="17"/>
        <v/>
      </c>
    </row>
    <row r="248" spans="1:17" ht="15.75" x14ac:dyDescent="0.25">
      <c r="A248" s="362" t="s">
        <v>180</v>
      </c>
      <c r="B248" s="363"/>
      <c r="C248" s="42" t="s">
        <v>180</v>
      </c>
      <c r="D248" s="141">
        <f t="shared" si="18"/>
        <v>16</v>
      </c>
      <c r="J248" s="362" t="s">
        <v>180</v>
      </c>
      <c r="K248" s="363"/>
      <c r="L248" s="42" t="s">
        <v>180</v>
      </c>
      <c r="M248" s="141">
        <f t="shared" si="19"/>
        <v>0</v>
      </c>
      <c r="N248" s="84"/>
      <c r="O248" s="84"/>
      <c r="P248" s="207">
        <f t="shared" si="20"/>
        <v>16</v>
      </c>
      <c r="Q248" s="208" t="str">
        <f t="shared" si="17"/>
        <v/>
      </c>
    </row>
    <row r="249" spans="1:17" ht="15.75" x14ac:dyDescent="0.25">
      <c r="A249" s="362" t="s">
        <v>348</v>
      </c>
      <c r="B249" s="363"/>
      <c r="C249" s="248" t="s">
        <v>349</v>
      </c>
      <c r="D249" s="141">
        <f t="shared" si="18"/>
        <v>0</v>
      </c>
      <c r="J249" s="362" t="s">
        <v>348</v>
      </c>
      <c r="K249" s="363"/>
      <c r="L249" s="248" t="s">
        <v>349</v>
      </c>
      <c r="M249" s="141">
        <f t="shared" si="19"/>
        <v>0</v>
      </c>
      <c r="N249" s="84"/>
      <c r="O249" s="84"/>
      <c r="P249" s="207">
        <f t="shared" si="20"/>
        <v>0</v>
      </c>
      <c r="Q249" s="208" t="str">
        <f t="shared" si="17"/>
        <v/>
      </c>
    </row>
    <row r="250" spans="1:17" ht="15.75" x14ac:dyDescent="0.25">
      <c r="A250" s="362" t="s">
        <v>350</v>
      </c>
      <c r="B250" s="363"/>
      <c r="C250" s="249" t="s">
        <v>351</v>
      </c>
      <c r="D250" s="141">
        <f t="shared" si="18"/>
        <v>0</v>
      </c>
      <c r="J250" s="362" t="s">
        <v>350</v>
      </c>
      <c r="K250" s="363"/>
      <c r="L250" s="249" t="s">
        <v>351</v>
      </c>
      <c r="M250" s="141">
        <f t="shared" si="19"/>
        <v>0</v>
      </c>
      <c r="N250" s="84"/>
      <c r="O250" s="84"/>
      <c r="P250" s="207">
        <f t="shared" si="20"/>
        <v>0</v>
      </c>
      <c r="Q250" s="208" t="str">
        <f t="shared" si="17"/>
        <v/>
      </c>
    </row>
    <row r="251" spans="1:17" ht="15.75" x14ac:dyDescent="0.25">
      <c r="A251" s="362" t="s">
        <v>352</v>
      </c>
      <c r="B251" s="363"/>
      <c r="C251" s="250" t="s">
        <v>353</v>
      </c>
      <c r="D251" s="141">
        <f t="shared" si="18"/>
        <v>0</v>
      </c>
      <c r="J251" s="362" t="s">
        <v>352</v>
      </c>
      <c r="K251" s="363"/>
      <c r="L251" s="250" t="s">
        <v>353</v>
      </c>
      <c r="M251" s="141">
        <f t="shared" si="19"/>
        <v>0</v>
      </c>
      <c r="N251" s="84"/>
      <c r="O251" s="84"/>
      <c r="P251" s="207">
        <f t="shared" si="20"/>
        <v>0</v>
      </c>
      <c r="Q251" s="208" t="str">
        <f t="shared" si="17"/>
        <v/>
      </c>
    </row>
    <row r="252" spans="1:17" ht="15.75" x14ac:dyDescent="0.25">
      <c r="A252" s="362" t="s">
        <v>354</v>
      </c>
      <c r="B252" s="363"/>
      <c r="C252" s="250" t="s">
        <v>355</v>
      </c>
      <c r="D252" s="141">
        <f t="shared" si="18"/>
        <v>0</v>
      </c>
      <c r="J252" s="362" t="s">
        <v>354</v>
      </c>
      <c r="K252" s="363"/>
      <c r="L252" s="250" t="s">
        <v>355</v>
      </c>
      <c r="M252" s="141">
        <f t="shared" si="19"/>
        <v>0</v>
      </c>
      <c r="N252" s="84"/>
      <c r="O252" s="84"/>
      <c r="P252" s="207">
        <f t="shared" si="20"/>
        <v>0</v>
      </c>
      <c r="Q252" s="208" t="str">
        <f t="shared" si="17"/>
        <v/>
      </c>
    </row>
    <row r="253" spans="1:17" ht="15.75" x14ac:dyDescent="0.25">
      <c r="A253" s="362" t="s">
        <v>356</v>
      </c>
      <c r="B253" s="363"/>
      <c r="C253" s="43" t="s">
        <v>357</v>
      </c>
      <c r="D253" s="141">
        <f t="shared" si="18"/>
        <v>0</v>
      </c>
      <c r="J253" s="362" t="s">
        <v>356</v>
      </c>
      <c r="K253" s="363"/>
      <c r="L253" s="43" t="s">
        <v>357</v>
      </c>
      <c r="M253" s="141">
        <f t="shared" si="19"/>
        <v>0</v>
      </c>
      <c r="N253" s="84"/>
      <c r="O253" s="84"/>
      <c r="P253" s="207">
        <f t="shared" si="20"/>
        <v>0</v>
      </c>
      <c r="Q253" s="208" t="str">
        <f t="shared" si="17"/>
        <v/>
      </c>
    </row>
    <row r="254" spans="1:17" ht="15.75" x14ac:dyDescent="0.25">
      <c r="A254" s="362" t="s">
        <v>358</v>
      </c>
      <c r="B254" s="363"/>
      <c r="C254" s="251" t="s">
        <v>359</v>
      </c>
      <c r="D254" s="141">
        <f t="shared" si="18"/>
        <v>0</v>
      </c>
      <c r="J254" s="362" t="s">
        <v>358</v>
      </c>
      <c r="K254" s="363"/>
      <c r="L254" s="251" t="s">
        <v>359</v>
      </c>
      <c r="M254" s="141">
        <f t="shared" si="19"/>
        <v>0</v>
      </c>
      <c r="N254" s="84"/>
      <c r="O254" s="84"/>
      <c r="P254" s="207">
        <f t="shared" si="20"/>
        <v>0</v>
      </c>
      <c r="Q254" s="208" t="str">
        <f t="shared" si="17"/>
        <v/>
      </c>
    </row>
    <row r="255" spans="1:17" ht="15.75" x14ac:dyDescent="0.25">
      <c r="A255" s="362" t="s">
        <v>360</v>
      </c>
      <c r="B255" s="363"/>
      <c r="C255" s="251" t="s">
        <v>361</v>
      </c>
      <c r="D255" s="141">
        <f t="shared" si="18"/>
        <v>0</v>
      </c>
      <c r="J255" s="362" t="s">
        <v>360</v>
      </c>
      <c r="K255" s="363"/>
      <c r="L255" s="251" t="s">
        <v>361</v>
      </c>
      <c r="M255" s="141">
        <f t="shared" si="19"/>
        <v>0</v>
      </c>
      <c r="N255" s="84"/>
      <c r="O255" s="84"/>
      <c r="P255" s="207">
        <f t="shared" si="20"/>
        <v>0</v>
      </c>
      <c r="Q255" s="208" t="str">
        <f t="shared" si="17"/>
        <v/>
      </c>
    </row>
    <row r="256" spans="1:17" ht="15.75" x14ac:dyDescent="0.25">
      <c r="A256" s="362" t="s">
        <v>362</v>
      </c>
      <c r="B256" s="363"/>
      <c r="C256" s="252" t="s">
        <v>363</v>
      </c>
      <c r="D256" s="141">
        <f t="shared" si="18"/>
        <v>0</v>
      </c>
      <c r="J256" s="362" t="s">
        <v>362</v>
      </c>
      <c r="K256" s="363"/>
      <c r="L256" s="252" t="s">
        <v>363</v>
      </c>
      <c r="M256" s="141">
        <f t="shared" si="19"/>
        <v>0</v>
      </c>
      <c r="N256" s="84"/>
      <c r="O256" s="84"/>
      <c r="P256" s="207">
        <f t="shared" si="20"/>
        <v>0</v>
      </c>
      <c r="Q256" s="208" t="str">
        <f t="shared" si="17"/>
        <v/>
      </c>
    </row>
    <row r="257" spans="1:17" ht="15.75" x14ac:dyDescent="0.25">
      <c r="A257" s="362" t="s">
        <v>364</v>
      </c>
      <c r="B257" s="363"/>
      <c r="C257" s="253" t="s">
        <v>365</v>
      </c>
      <c r="D257" s="141">
        <f t="shared" si="18"/>
        <v>0</v>
      </c>
      <c r="J257" s="362" t="s">
        <v>364</v>
      </c>
      <c r="K257" s="363"/>
      <c r="L257" s="253" t="s">
        <v>365</v>
      </c>
      <c r="M257" s="141">
        <f t="shared" si="19"/>
        <v>0</v>
      </c>
      <c r="N257" s="84"/>
      <c r="O257" s="84"/>
      <c r="P257" s="207">
        <f t="shared" si="20"/>
        <v>0</v>
      </c>
      <c r="Q257" s="208" t="str">
        <f t="shared" si="17"/>
        <v/>
      </c>
    </row>
    <row r="258" spans="1:17" ht="15.75" x14ac:dyDescent="0.25">
      <c r="A258" s="362" t="s">
        <v>366</v>
      </c>
      <c r="B258" s="363"/>
      <c r="C258" s="254" t="s">
        <v>367</v>
      </c>
      <c r="D258" s="141">
        <f t="shared" si="18"/>
        <v>0</v>
      </c>
      <c r="J258" s="362" t="s">
        <v>366</v>
      </c>
      <c r="K258" s="363"/>
      <c r="L258" s="254" t="s">
        <v>367</v>
      </c>
      <c r="M258" s="141">
        <f t="shared" si="19"/>
        <v>0</v>
      </c>
      <c r="N258" s="84"/>
      <c r="O258" s="84"/>
      <c r="P258" s="207">
        <f t="shared" si="20"/>
        <v>0</v>
      </c>
      <c r="Q258" s="208" t="str">
        <f t="shared" si="17"/>
        <v/>
      </c>
    </row>
    <row r="259" spans="1:17" ht="15.75" x14ac:dyDescent="0.25">
      <c r="A259" s="362" t="s">
        <v>170</v>
      </c>
      <c r="B259" s="363"/>
      <c r="C259" s="31" t="s">
        <v>170</v>
      </c>
      <c r="D259" s="141">
        <f t="shared" si="18"/>
        <v>16</v>
      </c>
      <c r="J259" s="362" t="s">
        <v>170</v>
      </c>
      <c r="K259" s="363"/>
      <c r="L259" s="31" t="s">
        <v>170</v>
      </c>
      <c r="M259" s="141">
        <f t="shared" si="19"/>
        <v>0</v>
      </c>
      <c r="N259" s="84"/>
      <c r="O259" s="84"/>
      <c r="P259" s="207">
        <f t="shared" si="20"/>
        <v>16</v>
      </c>
      <c r="Q259" s="208" t="str">
        <f t="shared" si="17"/>
        <v/>
      </c>
    </row>
    <row r="260" spans="1:17" ht="15.75" x14ac:dyDescent="0.25">
      <c r="A260" s="362" t="s">
        <v>368</v>
      </c>
      <c r="B260" s="363"/>
      <c r="C260" s="255" t="s">
        <v>369</v>
      </c>
      <c r="D260" s="141">
        <f t="shared" si="18"/>
        <v>0</v>
      </c>
      <c r="J260" s="362" t="s">
        <v>368</v>
      </c>
      <c r="K260" s="363"/>
      <c r="L260" s="255" t="s">
        <v>369</v>
      </c>
      <c r="M260" s="141">
        <f t="shared" si="19"/>
        <v>0</v>
      </c>
      <c r="N260" s="84"/>
      <c r="O260" s="84"/>
      <c r="P260" s="207">
        <f t="shared" si="20"/>
        <v>0</v>
      </c>
      <c r="Q260" s="208" t="str">
        <f t="shared" si="17"/>
        <v/>
      </c>
    </row>
    <row r="261" spans="1:17" ht="15.75" x14ac:dyDescent="0.25">
      <c r="A261" s="362" t="s">
        <v>370</v>
      </c>
      <c r="B261" s="363"/>
      <c r="C261" s="256" t="s">
        <v>371</v>
      </c>
      <c r="D261" s="141">
        <f t="shared" si="18"/>
        <v>0</v>
      </c>
      <c r="J261" s="362" t="s">
        <v>370</v>
      </c>
      <c r="K261" s="363"/>
      <c r="L261" s="256" t="s">
        <v>371</v>
      </c>
      <c r="M261" s="141">
        <f t="shared" si="19"/>
        <v>0</v>
      </c>
      <c r="N261" s="84"/>
      <c r="O261" s="84"/>
      <c r="P261" s="207">
        <f t="shared" si="20"/>
        <v>0</v>
      </c>
      <c r="Q261" s="208" t="str">
        <f t="shared" si="17"/>
        <v/>
      </c>
    </row>
    <row r="262" spans="1:17" ht="15.75" x14ac:dyDescent="0.25">
      <c r="A262" s="362" t="s">
        <v>372</v>
      </c>
      <c r="B262" s="363"/>
      <c r="C262" s="223" t="s">
        <v>373</v>
      </c>
      <c r="D262" s="141">
        <f t="shared" si="18"/>
        <v>0</v>
      </c>
      <c r="J262" s="362" t="s">
        <v>372</v>
      </c>
      <c r="K262" s="363"/>
      <c r="L262" s="223" t="s">
        <v>373</v>
      </c>
      <c r="M262" s="141">
        <f t="shared" si="19"/>
        <v>0</v>
      </c>
      <c r="N262" s="84"/>
      <c r="O262" s="84"/>
      <c r="P262" s="207">
        <f t="shared" si="20"/>
        <v>0</v>
      </c>
      <c r="Q262" s="208" t="str">
        <f t="shared" si="17"/>
        <v/>
      </c>
    </row>
    <row r="263" spans="1:17" ht="15.75" x14ac:dyDescent="0.25">
      <c r="A263" s="362" t="s">
        <v>293</v>
      </c>
      <c r="B263" s="363"/>
      <c r="C263" s="223" t="s">
        <v>374</v>
      </c>
      <c r="D263" s="141">
        <f t="shared" si="18"/>
        <v>0</v>
      </c>
      <c r="J263" s="362" t="s">
        <v>293</v>
      </c>
      <c r="K263" s="363"/>
      <c r="L263" s="223" t="s">
        <v>374</v>
      </c>
      <c r="M263" s="141">
        <f t="shared" si="19"/>
        <v>0</v>
      </c>
      <c r="N263" s="84"/>
      <c r="O263" s="84"/>
      <c r="P263" s="207">
        <f t="shared" si="20"/>
        <v>0</v>
      </c>
      <c r="Q263" s="208" t="str">
        <f t="shared" ref="Q263:Q290" si="22">IFERROR(P263/$J$4,"")</f>
        <v/>
      </c>
    </row>
    <row r="264" spans="1:17" ht="15.75" x14ac:dyDescent="0.25">
      <c r="A264" s="362" t="s">
        <v>375</v>
      </c>
      <c r="B264" s="363"/>
      <c r="C264" s="223" t="s">
        <v>376</v>
      </c>
      <c r="D264" s="141">
        <f t="shared" si="18"/>
        <v>0</v>
      </c>
      <c r="J264" s="362" t="s">
        <v>375</v>
      </c>
      <c r="K264" s="363"/>
      <c r="L264" s="223" t="s">
        <v>376</v>
      </c>
      <c r="M264" s="141">
        <f t="shared" si="19"/>
        <v>0</v>
      </c>
      <c r="N264" s="84"/>
      <c r="O264" s="84"/>
      <c r="P264" s="207">
        <f t="shared" si="20"/>
        <v>0</v>
      </c>
      <c r="Q264" s="208" t="str">
        <f t="shared" si="22"/>
        <v/>
      </c>
    </row>
    <row r="265" spans="1:17" ht="15.75" x14ac:dyDescent="0.25">
      <c r="A265" s="362" t="s">
        <v>377</v>
      </c>
      <c r="B265" s="363"/>
      <c r="C265" s="257" t="s">
        <v>378</v>
      </c>
      <c r="D265" s="141">
        <f t="shared" si="18"/>
        <v>0</v>
      </c>
      <c r="J265" s="362" t="s">
        <v>377</v>
      </c>
      <c r="K265" s="363"/>
      <c r="L265" s="257" t="s">
        <v>378</v>
      </c>
      <c r="M265" s="141">
        <f t="shared" si="19"/>
        <v>0</v>
      </c>
      <c r="N265" s="84"/>
      <c r="O265" s="84"/>
      <c r="P265" s="207">
        <f t="shared" si="20"/>
        <v>0</v>
      </c>
      <c r="Q265" s="208" t="str">
        <f t="shared" si="22"/>
        <v/>
      </c>
    </row>
    <row r="266" spans="1:17" ht="15.75" x14ac:dyDescent="0.25">
      <c r="A266" s="362" t="s">
        <v>174</v>
      </c>
      <c r="B266" s="363"/>
      <c r="C266" s="34" t="s">
        <v>174</v>
      </c>
      <c r="D266" s="141">
        <f t="shared" si="18"/>
        <v>6</v>
      </c>
      <c r="J266" s="362" t="s">
        <v>174</v>
      </c>
      <c r="K266" s="363"/>
      <c r="L266" s="34" t="s">
        <v>174</v>
      </c>
      <c r="M266" s="141">
        <f t="shared" si="19"/>
        <v>0</v>
      </c>
      <c r="N266" s="84"/>
      <c r="O266" s="84"/>
      <c r="P266" s="207">
        <f t="shared" si="20"/>
        <v>6</v>
      </c>
      <c r="Q266" s="208" t="str">
        <f t="shared" si="22"/>
        <v/>
      </c>
    </row>
    <row r="267" spans="1:17" ht="15.75" x14ac:dyDescent="0.25">
      <c r="A267" s="362" t="s">
        <v>379</v>
      </c>
      <c r="B267" s="363"/>
      <c r="C267" s="30" t="s">
        <v>169</v>
      </c>
      <c r="D267" s="141">
        <f t="shared" si="18"/>
        <v>6</v>
      </c>
      <c r="J267" s="362" t="s">
        <v>379</v>
      </c>
      <c r="K267" s="363"/>
      <c r="L267" s="30" t="s">
        <v>169</v>
      </c>
      <c r="M267" s="141">
        <f t="shared" si="19"/>
        <v>0</v>
      </c>
      <c r="N267" s="84"/>
      <c r="O267" s="84"/>
      <c r="P267" s="207">
        <f t="shared" si="20"/>
        <v>6</v>
      </c>
      <c r="Q267" s="208" t="str">
        <f t="shared" si="22"/>
        <v/>
      </c>
    </row>
    <row r="268" spans="1:17" ht="15.75" x14ac:dyDescent="0.25">
      <c r="A268" s="362" t="s">
        <v>380</v>
      </c>
      <c r="B268" s="363"/>
      <c r="C268" s="258" t="s">
        <v>381</v>
      </c>
      <c r="D268" s="141">
        <f t="shared" si="18"/>
        <v>0</v>
      </c>
      <c r="J268" s="362" t="s">
        <v>380</v>
      </c>
      <c r="K268" s="363"/>
      <c r="L268" s="258" t="s">
        <v>381</v>
      </c>
      <c r="M268" s="141">
        <f t="shared" si="19"/>
        <v>0</v>
      </c>
      <c r="N268" s="84"/>
      <c r="O268" s="84"/>
      <c r="P268" s="207">
        <f t="shared" si="20"/>
        <v>0</v>
      </c>
      <c r="Q268" s="208" t="str">
        <f t="shared" si="22"/>
        <v/>
      </c>
    </row>
    <row r="269" spans="1:17" ht="15.75" x14ac:dyDescent="0.25">
      <c r="A269" s="362" t="s">
        <v>382</v>
      </c>
      <c r="B269" s="363"/>
      <c r="C269" s="48" t="s">
        <v>184</v>
      </c>
      <c r="D269" s="141">
        <f t="shared" si="18"/>
        <v>14</v>
      </c>
      <c r="J269" s="362" t="s">
        <v>382</v>
      </c>
      <c r="K269" s="363"/>
      <c r="L269" s="48" t="s">
        <v>184</v>
      </c>
      <c r="M269" s="141">
        <f t="shared" si="19"/>
        <v>0</v>
      </c>
      <c r="N269" s="84"/>
      <c r="O269" s="84"/>
      <c r="P269" s="207">
        <f t="shared" si="20"/>
        <v>14</v>
      </c>
      <c r="Q269" s="208" t="str">
        <f t="shared" si="22"/>
        <v/>
      </c>
    </row>
    <row r="270" spans="1:17" ht="15.75" x14ac:dyDescent="0.25">
      <c r="A270" s="362" t="s">
        <v>383</v>
      </c>
      <c r="B270" s="363"/>
      <c r="C270" s="259" t="s">
        <v>384</v>
      </c>
      <c r="D270" s="141">
        <f t="shared" si="18"/>
        <v>0</v>
      </c>
      <c r="J270" s="362" t="s">
        <v>383</v>
      </c>
      <c r="K270" s="363"/>
      <c r="L270" s="259" t="s">
        <v>384</v>
      </c>
      <c r="M270" s="141">
        <f t="shared" si="19"/>
        <v>0</v>
      </c>
      <c r="N270" s="84"/>
      <c r="O270" s="84"/>
      <c r="P270" s="207">
        <f t="shared" si="20"/>
        <v>0</v>
      </c>
      <c r="Q270" s="208" t="str">
        <f t="shared" si="22"/>
        <v/>
      </c>
    </row>
    <row r="271" spans="1:17" ht="15.75" x14ac:dyDescent="0.25">
      <c r="A271" s="362" t="s">
        <v>385</v>
      </c>
      <c r="B271" s="363"/>
      <c r="C271" s="37" t="s">
        <v>175</v>
      </c>
      <c r="D271" s="141">
        <f t="shared" si="18"/>
        <v>8</v>
      </c>
      <c r="J271" s="362" t="s">
        <v>385</v>
      </c>
      <c r="K271" s="363"/>
      <c r="L271" s="37" t="s">
        <v>175</v>
      </c>
      <c r="M271" s="141">
        <f t="shared" si="19"/>
        <v>0</v>
      </c>
      <c r="N271" s="84"/>
      <c r="O271" s="84"/>
      <c r="P271" s="207">
        <f t="shared" si="20"/>
        <v>8</v>
      </c>
      <c r="Q271" s="208" t="str">
        <f t="shared" si="22"/>
        <v/>
      </c>
    </row>
    <row r="272" spans="1:17" ht="15.75" x14ac:dyDescent="0.25">
      <c r="A272" s="362" t="s">
        <v>386</v>
      </c>
      <c r="B272" s="363"/>
      <c r="C272" s="258" t="s">
        <v>387</v>
      </c>
      <c r="D272" s="141">
        <f t="shared" si="18"/>
        <v>0</v>
      </c>
      <c r="J272" s="362" t="s">
        <v>386</v>
      </c>
      <c r="K272" s="363"/>
      <c r="L272" s="258" t="s">
        <v>387</v>
      </c>
      <c r="M272" s="141">
        <f t="shared" si="19"/>
        <v>0</v>
      </c>
      <c r="N272" s="84"/>
      <c r="O272" s="84"/>
      <c r="P272" s="207">
        <f t="shared" si="20"/>
        <v>0</v>
      </c>
      <c r="Q272" s="208" t="str">
        <f t="shared" si="22"/>
        <v/>
      </c>
    </row>
    <row r="273" spans="1:17" ht="15.75" x14ac:dyDescent="0.25">
      <c r="A273" s="362" t="s">
        <v>388</v>
      </c>
      <c r="B273" s="363"/>
      <c r="C273" s="260" t="s">
        <v>389</v>
      </c>
      <c r="D273" s="141">
        <f t="shared" si="18"/>
        <v>0</v>
      </c>
      <c r="J273" s="362" t="s">
        <v>388</v>
      </c>
      <c r="K273" s="363"/>
      <c r="L273" s="260" t="s">
        <v>389</v>
      </c>
      <c r="M273" s="141">
        <f t="shared" si="19"/>
        <v>0</v>
      </c>
      <c r="N273" s="84"/>
      <c r="O273" s="84"/>
      <c r="P273" s="207">
        <f t="shared" si="20"/>
        <v>0</v>
      </c>
      <c r="Q273" s="208" t="str">
        <f t="shared" si="22"/>
        <v/>
      </c>
    </row>
    <row r="274" spans="1:17" ht="15.75" x14ac:dyDescent="0.25">
      <c r="A274" s="362" t="s">
        <v>390</v>
      </c>
      <c r="B274" s="363"/>
      <c r="C274" s="261" t="s">
        <v>391</v>
      </c>
      <c r="D274" s="141">
        <f t="shared" si="18"/>
        <v>0</v>
      </c>
      <c r="J274" s="362" t="s">
        <v>390</v>
      </c>
      <c r="K274" s="363"/>
      <c r="L274" s="261" t="s">
        <v>391</v>
      </c>
      <c r="M274" s="141">
        <f t="shared" si="19"/>
        <v>0</v>
      </c>
      <c r="N274" s="84"/>
      <c r="O274" s="84"/>
      <c r="P274" s="207">
        <f t="shared" si="20"/>
        <v>0</v>
      </c>
      <c r="Q274" s="208" t="str">
        <f t="shared" si="22"/>
        <v/>
      </c>
    </row>
    <row r="275" spans="1:17" ht="15.75" x14ac:dyDescent="0.25">
      <c r="A275" s="362" t="s">
        <v>392</v>
      </c>
      <c r="B275" s="363"/>
      <c r="C275" s="262" t="s">
        <v>393</v>
      </c>
      <c r="D275" s="141">
        <f t="shared" si="18"/>
        <v>0</v>
      </c>
      <c r="J275" s="362" t="s">
        <v>392</v>
      </c>
      <c r="K275" s="363"/>
      <c r="L275" s="262" t="s">
        <v>393</v>
      </c>
      <c r="M275" s="141">
        <f t="shared" si="19"/>
        <v>0</v>
      </c>
      <c r="N275" s="84"/>
      <c r="O275" s="84"/>
      <c r="P275" s="207">
        <f t="shared" si="20"/>
        <v>0</v>
      </c>
      <c r="Q275" s="208" t="str">
        <f t="shared" si="22"/>
        <v/>
      </c>
    </row>
    <row r="276" spans="1:17" ht="15.75" x14ac:dyDescent="0.25">
      <c r="A276" s="362" t="s">
        <v>394</v>
      </c>
      <c r="B276" s="363"/>
      <c r="C276" s="263" t="s">
        <v>395</v>
      </c>
      <c r="D276" s="141">
        <f t="shared" si="18"/>
        <v>0</v>
      </c>
      <c r="J276" s="362" t="s">
        <v>394</v>
      </c>
      <c r="K276" s="363"/>
      <c r="L276" s="263" t="s">
        <v>395</v>
      </c>
      <c r="M276" s="141">
        <f t="shared" si="19"/>
        <v>0</v>
      </c>
      <c r="N276" s="84"/>
      <c r="O276" s="84"/>
      <c r="P276" s="207">
        <f t="shared" si="20"/>
        <v>0</v>
      </c>
      <c r="Q276" s="208" t="str">
        <f t="shared" si="22"/>
        <v/>
      </c>
    </row>
    <row r="277" spans="1:17" ht="15.75" x14ac:dyDescent="0.25">
      <c r="A277" s="362" t="s">
        <v>290</v>
      </c>
      <c r="B277" s="363"/>
      <c r="C277" s="263" t="s">
        <v>290</v>
      </c>
      <c r="D277" s="141">
        <f t="shared" si="18"/>
        <v>0</v>
      </c>
      <c r="J277" s="362" t="s">
        <v>290</v>
      </c>
      <c r="K277" s="363"/>
      <c r="L277" s="263" t="s">
        <v>290</v>
      </c>
      <c r="M277" s="141">
        <f t="shared" si="19"/>
        <v>0</v>
      </c>
      <c r="N277" s="84"/>
      <c r="O277" s="84"/>
      <c r="P277" s="207">
        <f t="shared" si="20"/>
        <v>0</v>
      </c>
      <c r="Q277" s="208" t="str">
        <f t="shared" si="22"/>
        <v/>
      </c>
    </row>
    <row r="278" spans="1:17" ht="15.75" x14ac:dyDescent="0.25">
      <c r="A278" s="362" t="s">
        <v>261</v>
      </c>
      <c r="B278" s="363"/>
      <c r="C278" s="264" t="s">
        <v>396</v>
      </c>
      <c r="D278" s="141">
        <f t="shared" si="18"/>
        <v>0</v>
      </c>
      <c r="J278" s="362" t="s">
        <v>261</v>
      </c>
      <c r="K278" s="363"/>
      <c r="L278" s="264" t="s">
        <v>396</v>
      </c>
      <c r="M278" s="141">
        <f t="shared" si="19"/>
        <v>0</v>
      </c>
      <c r="N278" s="84"/>
      <c r="O278" s="84"/>
      <c r="P278" s="207">
        <f t="shared" si="20"/>
        <v>0</v>
      </c>
      <c r="Q278" s="208" t="str">
        <f t="shared" si="22"/>
        <v/>
      </c>
    </row>
    <row r="279" spans="1:17" ht="15.75" x14ac:dyDescent="0.25">
      <c r="A279" s="362" t="s">
        <v>397</v>
      </c>
      <c r="B279" s="363"/>
      <c r="C279" s="49" t="s">
        <v>189</v>
      </c>
      <c r="D279" s="141">
        <f t="shared" si="18"/>
        <v>16</v>
      </c>
      <c r="J279" s="362" t="s">
        <v>397</v>
      </c>
      <c r="K279" s="363"/>
      <c r="L279" s="49" t="s">
        <v>189</v>
      </c>
      <c r="M279" s="141">
        <f t="shared" si="19"/>
        <v>0</v>
      </c>
      <c r="N279" s="84"/>
      <c r="O279" s="84"/>
      <c r="P279" s="207">
        <f t="shared" si="20"/>
        <v>16</v>
      </c>
      <c r="Q279" s="208" t="str">
        <f t="shared" si="22"/>
        <v/>
      </c>
    </row>
    <row r="280" spans="1:17" ht="15.75" x14ac:dyDescent="0.25">
      <c r="A280" s="362" t="s">
        <v>398</v>
      </c>
      <c r="B280" s="363"/>
      <c r="C280" s="265" t="s">
        <v>399</v>
      </c>
      <c r="D280" s="141">
        <f t="shared" si="18"/>
        <v>0</v>
      </c>
      <c r="J280" s="362" t="s">
        <v>398</v>
      </c>
      <c r="K280" s="363"/>
      <c r="L280" s="265" t="s">
        <v>399</v>
      </c>
      <c r="M280" s="141">
        <f t="shared" si="19"/>
        <v>0</v>
      </c>
      <c r="N280" s="84"/>
      <c r="O280" s="84"/>
      <c r="P280" s="207">
        <f t="shared" si="20"/>
        <v>0</v>
      </c>
      <c r="Q280" s="208" t="str">
        <f t="shared" si="22"/>
        <v/>
      </c>
    </row>
    <row r="281" spans="1:17" ht="15.75" x14ac:dyDescent="0.25">
      <c r="A281" s="362" t="s">
        <v>400</v>
      </c>
      <c r="B281" s="363"/>
      <c r="C281" s="266" t="s">
        <v>401</v>
      </c>
      <c r="D281" s="141">
        <f t="shared" si="18"/>
        <v>0</v>
      </c>
      <c r="J281" s="362" t="s">
        <v>400</v>
      </c>
      <c r="K281" s="363"/>
      <c r="L281" s="266" t="s">
        <v>401</v>
      </c>
      <c r="M281" s="141">
        <f t="shared" si="19"/>
        <v>0</v>
      </c>
      <c r="N281" s="84"/>
      <c r="O281" s="84"/>
      <c r="P281" s="207">
        <f t="shared" si="20"/>
        <v>0</v>
      </c>
      <c r="Q281" s="208" t="str">
        <f t="shared" si="22"/>
        <v/>
      </c>
    </row>
    <row r="282" spans="1:17" ht="15.75" x14ac:dyDescent="0.25">
      <c r="A282" s="362" t="s">
        <v>402</v>
      </c>
      <c r="B282" s="363"/>
      <c r="C282" s="266" t="s">
        <v>403</v>
      </c>
      <c r="D282" s="141">
        <f t="shared" si="18"/>
        <v>0</v>
      </c>
      <c r="J282" s="362" t="s">
        <v>402</v>
      </c>
      <c r="K282" s="363"/>
      <c r="L282" s="266" t="s">
        <v>403</v>
      </c>
      <c r="M282" s="141">
        <f t="shared" si="19"/>
        <v>0</v>
      </c>
      <c r="N282" s="84"/>
      <c r="O282" s="84"/>
      <c r="P282" s="207">
        <f t="shared" si="20"/>
        <v>0</v>
      </c>
      <c r="Q282" s="208" t="str">
        <f t="shared" si="22"/>
        <v/>
      </c>
    </row>
    <row r="283" spans="1:17" ht="15.75" x14ac:dyDescent="0.25">
      <c r="A283" s="362" t="s">
        <v>404</v>
      </c>
      <c r="B283" s="363"/>
      <c r="C283" s="267" t="s">
        <v>405</v>
      </c>
      <c r="D283" s="141">
        <f t="shared" ref="D283:D290" si="23">COUNTIF($B$7:$Q$29,C283)+COUNTIF($K$30:$Q$53,C283)+COUNTIF($R$7:$BB$53,C283)</f>
        <v>0</v>
      </c>
      <c r="J283" s="362" t="s">
        <v>404</v>
      </c>
      <c r="K283" s="363"/>
      <c r="L283" s="267" t="s">
        <v>405</v>
      </c>
      <c r="M283" s="141">
        <f t="shared" ref="M283:M290" si="24">COUNTIF($B$30:$J$50,L283)</f>
        <v>0</v>
      </c>
      <c r="N283" s="84"/>
      <c r="O283" s="84"/>
      <c r="P283" s="207">
        <f t="shared" ref="P283:P290" si="25">D283+M283</f>
        <v>0</v>
      </c>
      <c r="Q283" s="208" t="str">
        <f t="shared" si="22"/>
        <v/>
      </c>
    </row>
    <row r="284" spans="1:17" ht="15.75" x14ac:dyDescent="0.25">
      <c r="A284" s="362" t="s">
        <v>406</v>
      </c>
      <c r="B284" s="363"/>
      <c r="C284" s="37" t="s">
        <v>407</v>
      </c>
      <c r="D284" s="141">
        <f t="shared" si="23"/>
        <v>0</v>
      </c>
      <c r="J284" s="362" t="s">
        <v>406</v>
      </c>
      <c r="K284" s="363"/>
      <c r="L284" s="37" t="s">
        <v>407</v>
      </c>
      <c r="M284" s="141">
        <f t="shared" si="24"/>
        <v>0</v>
      </c>
      <c r="N284" s="84"/>
      <c r="O284" s="84"/>
      <c r="P284" s="207">
        <f t="shared" si="25"/>
        <v>0</v>
      </c>
      <c r="Q284" s="208" t="str">
        <f t="shared" si="22"/>
        <v/>
      </c>
    </row>
    <row r="285" spans="1:17" ht="15.75" x14ac:dyDescent="0.25">
      <c r="A285" s="362" t="s">
        <v>408</v>
      </c>
      <c r="B285" s="363"/>
      <c r="C285" s="265" t="s">
        <v>409</v>
      </c>
      <c r="D285" s="141">
        <f t="shared" si="23"/>
        <v>0</v>
      </c>
      <c r="J285" s="362" t="s">
        <v>408</v>
      </c>
      <c r="K285" s="363"/>
      <c r="L285" s="265" t="s">
        <v>409</v>
      </c>
      <c r="M285" s="141">
        <f t="shared" si="24"/>
        <v>0</v>
      </c>
      <c r="N285" s="84"/>
      <c r="O285" s="84"/>
      <c r="P285" s="207">
        <f t="shared" si="25"/>
        <v>0</v>
      </c>
      <c r="Q285" s="208" t="str">
        <f t="shared" si="22"/>
        <v/>
      </c>
    </row>
    <row r="286" spans="1:17" ht="15.75" x14ac:dyDescent="0.25">
      <c r="A286" s="362" t="s">
        <v>410</v>
      </c>
      <c r="B286" s="363"/>
      <c r="C286" s="268" t="s">
        <v>411</v>
      </c>
      <c r="D286" s="141">
        <f t="shared" si="23"/>
        <v>0</v>
      </c>
      <c r="J286" s="362" t="s">
        <v>410</v>
      </c>
      <c r="K286" s="363"/>
      <c r="L286" s="268" t="s">
        <v>411</v>
      </c>
      <c r="M286" s="141">
        <f t="shared" si="24"/>
        <v>0</v>
      </c>
      <c r="P286" s="207">
        <f t="shared" si="25"/>
        <v>0</v>
      </c>
      <c r="Q286" s="208" t="str">
        <f t="shared" si="22"/>
        <v/>
      </c>
    </row>
    <row r="287" spans="1:17" ht="15.75" x14ac:dyDescent="0.25">
      <c r="A287" s="362" t="s">
        <v>412</v>
      </c>
      <c r="B287" s="363"/>
      <c r="C287" s="269" t="s">
        <v>412</v>
      </c>
      <c r="D287" s="141">
        <f t="shared" si="23"/>
        <v>0</v>
      </c>
      <c r="J287" s="362" t="s">
        <v>412</v>
      </c>
      <c r="K287" s="363"/>
      <c r="L287" s="269" t="s">
        <v>412</v>
      </c>
      <c r="M287" s="141">
        <f t="shared" si="24"/>
        <v>0</v>
      </c>
      <c r="P287" s="207">
        <f t="shared" si="25"/>
        <v>0</v>
      </c>
      <c r="Q287" s="208" t="str">
        <f t="shared" si="22"/>
        <v/>
      </c>
    </row>
    <row r="288" spans="1:17" ht="15.75" x14ac:dyDescent="0.25">
      <c r="A288" s="362" t="s">
        <v>413</v>
      </c>
      <c r="B288" s="363"/>
      <c r="C288" s="71" t="s">
        <v>204</v>
      </c>
      <c r="D288" s="141">
        <f t="shared" si="23"/>
        <v>4</v>
      </c>
      <c r="J288" s="362" t="s">
        <v>413</v>
      </c>
      <c r="K288" s="363"/>
      <c r="L288" s="71" t="s">
        <v>204</v>
      </c>
      <c r="M288" s="141">
        <f t="shared" si="24"/>
        <v>0</v>
      </c>
      <c r="P288" s="207">
        <f t="shared" si="25"/>
        <v>4</v>
      </c>
      <c r="Q288" s="208" t="str">
        <f t="shared" si="22"/>
        <v/>
      </c>
    </row>
    <row r="289" spans="1:17" ht="15.75" x14ac:dyDescent="0.25">
      <c r="A289" s="362" t="s">
        <v>414</v>
      </c>
      <c r="B289" s="363"/>
      <c r="C289" s="43" t="s">
        <v>182</v>
      </c>
      <c r="D289" s="141">
        <f t="shared" si="23"/>
        <v>6</v>
      </c>
      <c r="J289" s="362" t="s">
        <v>414</v>
      </c>
      <c r="K289" s="363"/>
      <c r="L289" s="43" t="s">
        <v>182</v>
      </c>
      <c r="M289" s="141">
        <f t="shared" si="24"/>
        <v>0</v>
      </c>
      <c r="P289" s="207">
        <f t="shared" si="25"/>
        <v>6</v>
      </c>
      <c r="Q289" s="208" t="str">
        <f t="shared" si="22"/>
        <v/>
      </c>
    </row>
    <row r="290" spans="1:17" ht="16.5" thickBot="1" x14ac:dyDescent="0.3">
      <c r="A290" s="362" t="s">
        <v>415</v>
      </c>
      <c r="B290" s="363"/>
      <c r="C290" s="270" t="s">
        <v>416</v>
      </c>
      <c r="D290" s="141">
        <f t="shared" si="23"/>
        <v>0</v>
      </c>
      <c r="J290" s="362" t="s">
        <v>415</v>
      </c>
      <c r="K290" s="363"/>
      <c r="L290" s="270" t="s">
        <v>416</v>
      </c>
      <c r="M290" s="141">
        <f t="shared" si="24"/>
        <v>0</v>
      </c>
      <c r="P290" s="207">
        <f t="shared" si="25"/>
        <v>0</v>
      </c>
      <c r="Q290" s="271" t="str">
        <f t="shared" si="22"/>
        <v/>
      </c>
    </row>
    <row r="291" spans="1:17" ht="15.75" thickTop="1" x14ac:dyDescent="0.25"/>
    <row r="296" spans="1:17" x14ac:dyDescent="0.25">
      <c r="A296" s="364" t="s">
        <v>417</v>
      </c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</row>
    <row r="297" spans="1:17" x14ac:dyDescent="0.25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4"/>
      <c r="P297" s="364"/>
      <c r="Q297" s="364"/>
    </row>
    <row r="298" spans="1:17" ht="15.75" thickBot="1" x14ac:dyDescent="0.3"/>
    <row r="299" spans="1:17" ht="27" thickBot="1" x14ac:dyDescent="0.3">
      <c r="A299" s="365" t="s">
        <v>418</v>
      </c>
      <c r="B299" s="366"/>
      <c r="C299" s="366"/>
      <c r="D299" s="367"/>
      <c r="E299" s="272">
        <f>F301+O301</f>
        <v>1</v>
      </c>
    </row>
    <row r="300" spans="1:17" ht="15.75" thickBot="1" x14ac:dyDescent="0.3"/>
    <row r="301" spans="1:17" ht="21.75" thickBot="1" x14ac:dyDescent="0.4">
      <c r="A301" s="357" t="s">
        <v>419</v>
      </c>
      <c r="B301" s="358"/>
      <c r="C301" s="358"/>
      <c r="D301" s="358"/>
      <c r="E301" s="359"/>
      <c r="F301" s="360">
        <f>SUM(E411,E332,E436,E444,E450,E464,E476)</f>
        <v>1</v>
      </c>
      <c r="G301" s="361"/>
      <c r="J301" s="357" t="s">
        <v>420</v>
      </c>
      <c r="K301" s="358"/>
      <c r="L301" s="358"/>
      <c r="M301" s="358"/>
      <c r="N301" s="359"/>
      <c r="O301" s="360">
        <f>SUM(N332,N411,N436,N444,N450,N464,N476)</f>
        <v>0</v>
      </c>
      <c r="P301" s="361"/>
    </row>
    <row r="302" spans="1:17" ht="21.75" thickBot="1" x14ac:dyDescent="0.4">
      <c r="A302" s="200"/>
      <c r="B302" s="201"/>
      <c r="C302" s="201"/>
      <c r="D302" s="201"/>
      <c r="E302" s="202"/>
      <c r="F302" s="202"/>
      <c r="G302" s="202"/>
      <c r="J302" s="202"/>
      <c r="K302" s="202"/>
      <c r="L302" s="202"/>
      <c r="M302" s="202"/>
      <c r="N302" s="202"/>
      <c r="O302" s="202"/>
      <c r="P302" s="202"/>
      <c r="Q302" s="202"/>
    </row>
    <row r="303" spans="1:17" ht="18.75" thickBot="1" x14ac:dyDescent="0.3">
      <c r="A303" s="351" t="s">
        <v>421</v>
      </c>
      <c r="B303" s="352"/>
      <c r="C303" s="352"/>
      <c r="D303" s="353"/>
      <c r="J303" s="351" t="s">
        <v>421</v>
      </c>
      <c r="K303" s="352"/>
      <c r="L303" s="352"/>
      <c r="M303" s="353"/>
    </row>
    <row r="304" spans="1:17" ht="15.75" x14ac:dyDescent="0.25">
      <c r="A304" s="347" t="s">
        <v>422</v>
      </c>
      <c r="B304" s="348"/>
      <c r="C304" s="349"/>
      <c r="D304" s="68" t="s">
        <v>423</v>
      </c>
      <c r="E304" s="141">
        <f t="shared" ref="E304:E331" si="26">COUNTIF($B$7:$Q$29,D304)+COUNTIF($K$30:$Q$53,D304)+COUNTIF($R$7:$BB$53,D304)</f>
        <v>0</v>
      </c>
      <c r="J304" s="347" t="s">
        <v>422</v>
      </c>
      <c r="K304" s="348"/>
      <c r="L304" s="349"/>
      <c r="M304" s="68" t="s">
        <v>423</v>
      </c>
      <c r="N304" s="141">
        <f t="shared" ref="N304:N331" si="27">COUNTIF($B$30:$J$50,M304)</f>
        <v>0</v>
      </c>
    </row>
    <row r="305" spans="1:14" ht="15.75" x14ac:dyDescent="0.25">
      <c r="A305" s="347" t="s">
        <v>424</v>
      </c>
      <c r="B305" s="348"/>
      <c r="C305" s="349"/>
      <c r="D305" s="68" t="s">
        <v>425</v>
      </c>
      <c r="E305" s="141">
        <f t="shared" si="26"/>
        <v>0</v>
      </c>
      <c r="J305" s="347" t="s">
        <v>424</v>
      </c>
      <c r="K305" s="348"/>
      <c r="L305" s="349"/>
      <c r="M305" s="68" t="s">
        <v>425</v>
      </c>
      <c r="N305" s="141">
        <f t="shared" si="27"/>
        <v>0</v>
      </c>
    </row>
    <row r="306" spans="1:14" ht="15.75" x14ac:dyDescent="0.25">
      <c r="A306" s="347" t="s">
        <v>426</v>
      </c>
      <c r="B306" s="348"/>
      <c r="C306" s="349"/>
      <c r="D306" s="68" t="s">
        <v>427</v>
      </c>
      <c r="E306" s="141">
        <f t="shared" si="26"/>
        <v>0</v>
      </c>
      <c r="J306" s="347" t="s">
        <v>426</v>
      </c>
      <c r="K306" s="348"/>
      <c r="L306" s="349"/>
      <c r="M306" s="68" t="s">
        <v>427</v>
      </c>
      <c r="N306" s="141">
        <f t="shared" si="27"/>
        <v>0</v>
      </c>
    </row>
    <row r="307" spans="1:14" ht="15.75" x14ac:dyDescent="0.25">
      <c r="A307" s="347" t="s">
        <v>428</v>
      </c>
      <c r="B307" s="348"/>
      <c r="C307" s="349"/>
      <c r="D307" s="68" t="s">
        <v>429</v>
      </c>
      <c r="E307" s="141">
        <f t="shared" si="26"/>
        <v>0</v>
      </c>
      <c r="J307" s="347" t="s">
        <v>428</v>
      </c>
      <c r="K307" s="348"/>
      <c r="L307" s="349"/>
      <c r="M307" s="68" t="s">
        <v>429</v>
      </c>
      <c r="N307" s="141">
        <f t="shared" si="27"/>
        <v>0</v>
      </c>
    </row>
    <row r="308" spans="1:14" ht="15.75" x14ac:dyDescent="0.25">
      <c r="A308" s="347" t="s">
        <v>430</v>
      </c>
      <c r="B308" s="348"/>
      <c r="C308" s="349"/>
      <c r="D308" s="68" t="s">
        <v>431</v>
      </c>
      <c r="E308" s="141">
        <f t="shared" si="26"/>
        <v>0</v>
      </c>
      <c r="J308" s="347" t="s">
        <v>430</v>
      </c>
      <c r="K308" s="348"/>
      <c r="L308" s="349"/>
      <c r="M308" s="68" t="s">
        <v>431</v>
      </c>
      <c r="N308" s="141">
        <f t="shared" si="27"/>
        <v>0</v>
      </c>
    </row>
    <row r="309" spans="1:14" ht="15.75" x14ac:dyDescent="0.25">
      <c r="A309" s="347" t="s">
        <v>432</v>
      </c>
      <c r="B309" s="348"/>
      <c r="C309" s="349"/>
      <c r="D309" s="68" t="s">
        <v>433</v>
      </c>
      <c r="E309" s="141">
        <f t="shared" si="26"/>
        <v>0</v>
      </c>
      <c r="J309" s="347" t="s">
        <v>432</v>
      </c>
      <c r="K309" s="348"/>
      <c r="L309" s="349"/>
      <c r="M309" s="68" t="s">
        <v>433</v>
      </c>
      <c r="N309" s="141">
        <f t="shared" si="27"/>
        <v>0</v>
      </c>
    </row>
    <row r="310" spans="1:14" ht="15.75" x14ac:dyDescent="0.25">
      <c r="A310" s="347" t="s">
        <v>434</v>
      </c>
      <c r="B310" s="348"/>
      <c r="C310" s="349"/>
      <c r="D310" s="68" t="s">
        <v>435</v>
      </c>
      <c r="E310" s="141">
        <f t="shared" si="26"/>
        <v>0</v>
      </c>
      <c r="J310" s="347" t="s">
        <v>434</v>
      </c>
      <c r="K310" s="348"/>
      <c r="L310" s="349"/>
      <c r="M310" s="68" t="s">
        <v>435</v>
      </c>
      <c r="N310" s="141">
        <f t="shared" si="27"/>
        <v>0</v>
      </c>
    </row>
    <row r="311" spans="1:14" ht="15.75" x14ac:dyDescent="0.25">
      <c r="A311" s="347" t="s">
        <v>436</v>
      </c>
      <c r="B311" s="348"/>
      <c r="C311" s="349"/>
      <c r="D311" s="68" t="s">
        <v>437</v>
      </c>
      <c r="E311" s="141">
        <f t="shared" si="26"/>
        <v>0</v>
      </c>
      <c r="J311" s="347" t="s">
        <v>436</v>
      </c>
      <c r="K311" s="348"/>
      <c r="L311" s="349"/>
      <c r="M311" s="68" t="s">
        <v>437</v>
      </c>
      <c r="N311" s="141">
        <f t="shared" si="27"/>
        <v>0</v>
      </c>
    </row>
    <row r="312" spans="1:14" ht="15.75" x14ac:dyDescent="0.25">
      <c r="A312" s="347" t="s">
        <v>438</v>
      </c>
      <c r="B312" s="348"/>
      <c r="C312" s="349"/>
      <c r="D312" s="68" t="s">
        <v>439</v>
      </c>
      <c r="E312" s="141">
        <f t="shared" si="26"/>
        <v>0</v>
      </c>
      <c r="J312" s="347" t="s">
        <v>438</v>
      </c>
      <c r="K312" s="348"/>
      <c r="L312" s="349"/>
      <c r="M312" s="68" t="s">
        <v>439</v>
      </c>
      <c r="N312" s="141">
        <f t="shared" si="27"/>
        <v>0</v>
      </c>
    </row>
    <row r="313" spans="1:14" ht="15.75" x14ac:dyDescent="0.25">
      <c r="A313" s="347" t="s">
        <v>440</v>
      </c>
      <c r="B313" s="348"/>
      <c r="C313" s="349"/>
      <c r="D313" s="68" t="s">
        <v>441</v>
      </c>
      <c r="E313" s="141">
        <f t="shared" si="26"/>
        <v>0</v>
      </c>
      <c r="J313" s="347" t="s">
        <v>440</v>
      </c>
      <c r="K313" s="348"/>
      <c r="L313" s="349"/>
      <c r="M313" s="68" t="s">
        <v>441</v>
      </c>
      <c r="N313" s="141">
        <f t="shared" si="27"/>
        <v>0</v>
      </c>
    </row>
    <row r="314" spans="1:14" ht="15.75" x14ac:dyDescent="0.25">
      <c r="A314" s="347" t="s">
        <v>442</v>
      </c>
      <c r="B314" s="348"/>
      <c r="C314" s="349"/>
      <c r="D314" s="68" t="s">
        <v>443</v>
      </c>
      <c r="E314" s="141">
        <f t="shared" si="26"/>
        <v>0</v>
      </c>
      <c r="J314" s="347" t="s">
        <v>442</v>
      </c>
      <c r="K314" s="348"/>
      <c r="L314" s="349"/>
      <c r="M314" s="68" t="s">
        <v>443</v>
      </c>
      <c r="N314" s="141">
        <f t="shared" si="27"/>
        <v>0</v>
      </c>
    </row>
    <row r="315" spans="1:14" ht="15.75" x14ac:dyDescent="0.25">
      <c r="A315" s="347" t="s">
        <v>444</v>
      </c>
      <c r="B315" s="348"/>
      <c r="C315" s="349"/>
      <c r="D315" s="68" t="s">
        <v>445</v>
      </c>
      <c r="E315" s="141">
        <f t="shared" si="26"/>
        <v>0</v>
      </c>
      <c r="J315" s="347" t="s">
        <v>444</v>
      </c>
      <c r="K315" s="348"/>
      <c r="L315" s="349"/>
      <c r="M315" s="68" t="s">
        <v>445</v>
      </c>
      <c r="N315" s="141">
        <f t="shared" si="27"/>
        <v>0</v>
      </c>
    </row>
    <row r="316" spans="1:14" ht="15.75" x14ac:dyDescent="0.25">
      <c r="A316" s="347" t="s">
        <v>446</v>
      </c>
      <c r="B316" s="348"/>
      <c r="C316" s="349"/>
      <c r="D316" s="68" t="s">
        <v>447</v>
      </c>
      <c r="E316" s="141">
        <f t="shared" si="26"/>
        <v>0</v>
      </c>
      <c r="J316" s="347" t="s">
        <v>446</v>
      </c>
      <c r="K316" s="348"/>
      <c r="L316" s="349"/>
      <c r="M316" s="68" t="s">
        <v>447</v>
      </c>
      <c r="N316" s="141">
        <f t="shared" si="27"/>
        <v>0</v>
      </c>
    </row>
    <row r="317" spans="1:14" ht="15.75" x14ac:dyDescent="0.25">
      <c r="A317" s="347" t="s">
        <v>448</v>
      </c>
      <c r="B317" s="348"/>
      <c r="C317" s="349"/>
      <c r="D317" s="68" t="s">
        <v>449</v>
      </c>
      <c r="E317" s="141">
        <f t="shared" si="26"/>
        <v>0</v>
      </c>
      <c r="J317" s="347" t="s">
        <v>448</v>
      </c>
      <c r="K317" s="348"/>
      <c r="L317" s="349"/>
      <c r="M317" s="68" t="s">
        <v>449</v>
      </c>
      <c r="N317" s="141">
        <f t="shared" si="27"/>
        <v>0</v>
      </c>
    </row>
    <row r="318" spans="1:14" ht="15.75" x14ac:dyDescent="0.25">
      <c r="A318" s="347" t="s">
        <v>450</v>
      </c>
      <c r="B318" s="348"/>
      <c r="C318" s="349"/>
      <c r="D318" s="68" t="s">
        <v>451</v>
      </c>
      <c r="E318" s="141">
        <f t="shared" si="26"/>
        <v>0</v>
      </c>
      <c r="J318" s="347" t="s">
        <v>450</v>
      </c>
      <c r="K318" s="348"/>
      <c r="L318" s="349"/>
      <c r="M318" s="68" t="s">
        <v>451</v>
      </c>
      <c r="N318" s="141">
        <f t="shared" si="27"/>
        <v>0</v>
      </c>
    </row>
    <row r="319" spans="1:14" ht="15.75" x14ac:dyDescent="0.25">
      <c r="A319" s="347" t="s">
        <v>452</v>
      </c>
      <c r="B319" s="348"/>
      <c r="C319" s="349"/>
      <c r="D319" s="68" t="s">
        <v>453</v>
      </c>
      <c r="E319" s="141">
        <f t="shared" si="26"/>
        <v>0</v>
      </c>
      <c r="J319" s="347" t="s">
        <v>452</v>
      </c>
      <c r="K319" s="348"/>
      <c r="L319" s="349"/>
      <c r="M319" s="68" t="s">
        <v>453</v>
      </c>
      <c r="N319" s="141">
        <f t="shared" si="27"/>
        <v>0</v>
      </c>
    </row>
    <row r="320" spans="1:14" ht="15.75" x14ac:dyDescent="0.25">
      <c r="A320" s="347" t="s">
        <v>454</v>
      </c>
      <c r="B320" s="348"/>
      <c r="C320" s="349"/>
      <c r="D320" s="68" t="s">
        <v>455</v>
      </c>
      <c r="E320" s="141">
        <f t="shared" si="26"/>
        <v>0</v>
      </c>
      <c r="J320" s="347" t="s">
        <v>454</v>
      </c>
      <c r="K320" s="348"/>
      <c r="L320" s="349"/>
      <c r="M320" s="68" t="s">
        <v>455</v>
      </c>
      <c r="N320" s="141">
        <f t="shared" si="27"/>
        <v>0</v>
      </c>
    </row>
    <row r="321" spans="1:14" ht="15.75" x14ac:dyDescent="0.25">
      <c r="A321" s="347" t="s">
        <v>456</v>
      </c>
      <c r="B321" s="348"/>
      <c r="C321" s="349"/>
      <c r="D321" s="68" t="s">
        <v>457</v>
      </c>
      <c r="E321" s="141">
        <f t="shared" si="26"/>
        <v>0</v>
      </c>
      <c r="J321" s="347" t="s">
        <v>456</v>
      </c>
      <c r="K321" s="348"/>
      <c r="L321" s="349"/>
      <c r="M321" s="68" t="s">
        <v>457</v>
      </c>
      <c r="N321" s="141">
        <f t="shared" si="27"/>
        <v>0</v>
      </c>
    </row>
    <row r="322" spans="1:14" ht="15.75" x14ac:dyDescent="0.25">
      <c r="A322" s="347" t="s">
        <v>458</v>
      </c>
      <c r="B322" s="348"/>
      <c r="C322" s="349"/>
      <c r="D322" s="68" t="s">
        <v>459</v>
      </c>
      <c r="E322" s="141">
        <f t="shared" si="26"/>
        <v>0</v>
      </c>
      <c r="J322" s="347" t="s">
        <v>458</v>
      </c>
      <c r="K322" s="348"/>
      <c r="L322" s="349"/>
      <c r="M322" s="68" t="s">
        <v>459</v>
      </c>
      <c r="N322" s="141">
        <f t="shared" si="27"/>
        <v>0</v>
      </c>
    </row>
    <row r="323" spans="1:14" ht="15.75" x14ac:dyDescent="0.25">
      <c r="A323" s="347" t="s">
        <v>460</v>
      </c>
      <c r="B323" s="348"/>
      <c r="C323" s="349"/>
      <c r="D323" s="68" t="s">
        <v>461</v>
      </c>
      <c r="E323" s="141">
        <f t="shared" si="26"/>
        <v>0</v>
      </c>
      <c r="J323" s="347" t="s">
        <v>460</v>
      </c>
      <c r="K323" s="348"/>
      <c r="L323" s="349"/>
      <c r="M323" s="68" t="s">
        <v>461</v>
      </c>
      <c r="N323" s="141">
        <f t="shared" si="27"/>
        <v>0</v>
      </c>
    </row>
    <row r="324" spans="1:14" ht="15.75" x14ac:dyDescent="0.25">
      <c r="A324" s="347" t="s">
        <v>462</v>
      </c>
      <c r="B324" s="348"/>
      <c r="C324" s="349"/>
      <c r="D324" s="68" t="s">
        <v>463</v>
      </c>
      <c r="E324" s="141">
        <f t="shared" si="26"/>
        <v>0</v>
      </c>
      <c r="J324" s="347" t="s">
        <v>462</v>
      </c>
      <c r="K324" s="348"/>
      <c r="L324" s="349"/>
      <c r="M324" s="68" t="s">
        <v>463</v>
      </c>
      <c r="N324" s="141">
        <f t="shared" si="27"/>
        <v>0</v>
      </c>
    </row>
    <row r="325" spans="1:14" ht="15.75" x14ac:dyDescent="0.25">
      <c r="A325" s="347" t="s">
        <v>464</v>
      </c>
      <c r="B325" s="348"/>
      <c r="C325" s="349"/>
      <c r="D325" s="68" t="s">
        <v>465</v>
      </c>
      <c r="E325" s="141">
        <f t="shared" si="26"/>
        <v>0</v>
      </c>
      <c r="J325" s="347" t="s">
        <v>464</v>
      </c>
      <c r="K325" s="348"/>
      <c r="L325" s="349"/>
      <c r="M325" s="68" t="s">
        <v>465</v>
      </c>
      <c r="N325" s="141">
        <f t="shared" si="27"/>
        <v>0</v>
      </c>
    </row>
    <row r="326" spans="1:14" ht="15.75" x14ac:dyDescent="0.25">
      <c r="A326" s="347" t="s">
        <v>466</v>
      </c>
      <c r="B326" s="348"/>
      <c r="C326" s="349"/>
      <c r="D326" s="68" t="s">
        <v>467</v>
      </c>
      <c r="E326" s="141">
        <f t="shared" si="26"/>
        <v>0</v>
      </c>
      <c r="J326" s="347" t="s">
        <v>466</v>
      </c>
      <c r="K326" s="348"/>
      <c r="L326" s="349"/>
      <c r="M326" s="68" t="s">
        <v>467</v>
      </c>
      <c r="N326" s="141">
        <f t="shared" si="27"/>
        <v>0</v>
      </c>
    </row>
    <row r="327" spans="1:14" ht="15.75" x14ac:dyDescent="0.25">
      <c r="A327" s="347" t="s">
        <v>468</v>
      </c>
      <c r="B327" s="348"/>
      <c r="C327" s="349"/>
      <c r="D327" s="68" t="s">
        <v>469</v>
      </c>
      <c r="E327" s="141">
        <f t="shared" si="26"/>
        <v>0</v>
      </c>
      <c r="J327" s="347" t="s">
        <v>468</v>
      </c>
      <c r="K327" s="348"/>
      <c r="L327" s="349"/>
      <c r="M327" s="68" t="s">
        <v>469</v>
      </c>
      <c r="N327" s="141">
        <f t="shared" si="27"/>
        <v>0</v>
      </c>
    </row>
    <row r="328" spans="1:14" ht="15.75" x14ac:dyDescent="0.25">
      <c r="A328" s="347" t="s">
        <v>470</v>
      </c>
      <c r="B328" s="348"/>
      <c r="C328" s="349"/>
      <c r="D328" s="68" t="s">
        <v>471</v>
      </c>
      <c r="E328" s="141">
        <f t="shared" si="26"/>
        <v>0</v>
      </c>
      <c r="J328" s="347" t="s">
        <v>470</v>
      </c>
      <c r="K328" s="348"/>
      <c r="L328" s="349"/>
      <c r="M328" s="68" t="s">
        <v>471</v>
      </c>
      <c r="N328" s="141">
        <f t="shared" si="27"/>
        <v>0</v>
      </c>
    </row>
    <row r="329" spans="1:14" ht="15.75" x14ac:dyDescent="0.25">
      <c r="A329" s="347" t="s">
        <v>472</v>
      </c>
      <c r="B329" s="348"/>
      <c r="C329" s="349"/>
      <c r="D329" s="68" t="s">
        <v>473</v>
      </c>
      <c r="E329" s="141">
        <f t="shared" si="26"/>
        <v>0</v>
      </c>
      <c r="J329" s="347" t="s">
        <v>472</v>
      </c>
      <c r="K329" s="348"/>
      <c r="L329" s="349"/>
      <c r="M329" s="68" t="s">
        <v>473</v>
      </c>
      <c r="N329" s="141">
        <f t="shared" si="27"/>
        <v>0</v>
      </c>
    </row>
    <row r="330" spans="1:14" ht="15.75" x14ac:dyDescent="0.25">
      <c r="A330" s="347" t="s">
        <v>474</v>
      </c>
      <c r="B330" s="348"/>
      <c r="C330" s="349"/>
      <c r="D330" s="68" t="s">
        <v>475</v>
      </c>
      <c r="E330" s="141">
        <f t="shared" si="26"/>
        <v>0</v>
      </c>
      <c r="J330" s="347" t="s">
        <v>474</v>
      </c>
      <c r="K330" s="348"/>
      <c r="L330" s="349"/>
      <c r="M330" s="68" t="s">
        <v>475</v>
      </c>
      <c r="N330" s="141">
        <f t="shared" si="27"/>
        <v>0</v>
      </c>
    </row>
    <row r="331" spans="1:14" ht="15.75" x14ac:dyDescent="0.25">
      <c r="A331" s="347" t="s">
        <v>476</v>
      </c>
      <c r="B331" s="348"/>
      <c r="C331" s="349"/>
      <c r="D331" s="68" t="s">
        <v>477</v>
      </c>
      <c r="E331" s="141">
        <f t="shared" si="26"/>
        <v>0</v>
      </c>
      <c r="J331" s="347" t="s">
        <v>476</v>
      </c>
      <c r="K331" s="348"/>
      <c r="L331" s="349"/>
      <c r="M331" s="68" t="s">
        <v>477</v>
      </c>
      <c r="N331" s="141">
        <f t="shared" si="27"/>
        <v>0</v>
      </c>
    </row>
    <row r="332" spans="1:14" ht="18.75" thickBot="1" x14ac:dyDescent="0.3">
      <c r="A332" s="350" t="s">
        <v>222</v>
      </c>
      <c r="B332" s="350"/>
      <c r="C332" s="350"/>
      <c r="D332" s="350"/>
      <c r="E332" s="273">
        <f>SUM(E304:E331)</f>
        <v>0</v>
      </c>
      <c r="J332" s="350" t="s">
        <v>222</v>
      </c>
      <c r="K332" s="350"/>
      <c r="L332" s="350"/>
      <c r="M332" s="350"/>
      <c r="N332" s="273">
        <f>SUM(N304:N331)</f>
        <v>0</v>
      </c>
    </row>
    <row r="333" spans="1:14" ht="18.75" thickBot="1" x14ac:dyDescent="0.3">
      <c r="A333" s="351" t="s">
        <v>478</v>
      </c>
      <c r="B333" s="352"/>
      <c r="C333" s="352"/>
      <c r="D333" s="353"/>
      <c r="J333" s="351" t="s">
        <v>478</v>
      </c>
      <c r="K333" s="352"/>
      <c r="L333" s="352"/>
      <c r="M333" s="353"/>
    </row>
    <row r="334" spans="1:14" ht="15.75" x14ac:dyDescent="0.25">
      <c r="A334" s="347" t="s">
        <v>479</v>
      </c>
      <c r="B334" s="348"/>
      <c r="C334" s="349"/>
      <c r="D334" s="68" t="s">
        <v>480</v>
      </c>
      <c r="E334" s="141">
        <f t="shared" ref="E334:E397" si="28">COUNTIF($B$7:$Q$29,D334)+COUNTIF($K$30:$Q$53,D334)+COUNTIF($R$7:$BB$53,D334)</f>
        <v>0</v>
      </c>
      <c r="J334" s="347" t="s">
        <v>479</v>
      </c>
      <c r="K334" s="348"/>
      <c r="L334" s="349"/>
      <c r="M334" s="68" t="s">
        <v>480</v>
      </c>
      <c r="N334" s="141">
        <f t="shared" ref="N334:N397" si="29">COUNTIF($B$30:$J$50,M334)</f>
        <v>0</v>
      </c>
    </row>
    <row r="335" spans="1:14" ht="15.75" x14ac:dyDescent="0.25">
      <c r="A335" s="347" t="s">
        <v>481</v>
      </c>
      <c r="B335" s="348"/>
      <c r="C335" s="349"/>
      <c r="D335" s="68" t="s">
        <v>482</v>
      </c>
      <c r="E335" s="141">
        <f t="shared" si="28"/>
        <v>0</v>
      </c>
      <c r="J335" s="347" t="s">
        <v>481</v>
      </c>
      <c r="K335" s="348"/>
      <c r="L335" s="349"/>
      <c r="M335" s="68" t="s">
        <v>482</v>
      </c>
      <c r="N335" s="141">
        <f t="shared" si="29"/>
        <v>0</v>
      </c>
    </row>
    <row r="336" spans="1:14" ht="15.75" x14ac:dyDescent="0.25">
      <c r="A336" s="347" t="s">
        <v>483</v>
      </c>
      <c r="B336" s="348"/>
      <c r="C336" s="349"/>
      <c r="D336" s="68" t="s">
        <v>484</v>
      </c>
      <c r="E336" s="141">
        <f t="shared" si="28"/>
        <v>0</v>
      </c>
      <c r="J336" s="347" t="s">
        <v>483</v>
      </c>
      <c r="K336" s="348"/>
      <c r="L336" s="349"/>
      <c r="M336" s="68" t="s">
        <v>484</v>
      </c>
      <c r="N336" s="141">
        <f t="shared" si="29"/>
        <v>0</v>
      </c>
    </row>
    <row r="337" spans="1:17" ht="15.75" x14ac:dyDescent="0.25">
      <c r="A337" s="347" t="s">
        <v>485</v>
      </c>
      <c r="B337" s="348"/>
      <c r="C337" s="349"/>
      <c r="D337" s="68" t="s">
        <v>486</v>
      </c>
      <c r="E337" s="141">
        <f t="shared" si="28"/>
        <v>0</v>
      </c>
      <c r="J337" s="347" t="s">
        <v>485</v>
      </c>
      <c r="K337" s="348"/>
      <c r="L337" s="349"/>
      <c r="M337" s="68" t="s">
        <v>486</v>
      </c>
      <c r="N337" s="141">
        <f t="shared" si="29"/>
        <v>0</v>
      </c>
    </row>
    <row r="338" spans="1:17" ht="15.75" x14ac:dyDescent="0.25">
      <c r="A338" s="347" t="s">
        <v>487</v>
      </c>
      <c r="B338" s="348"/>
      <c r="C338" s="349"/>
      <c r="D338" s="68" t="s">
        <v>488</v>
      </c>
      <c r="E338" s="141">
        <f t="shared" si="28"/>
        <v>0</v>
      </c>
      <c r="J338" s="347" t="s">
        <v>487</v>
      </c>
      <c r="K338" s="348"/>
      <c r="L338" s="349"/>
      <c r="M338" s="68" t="s">
        <v>488</v>
      </c>
      <c r="N338" s="141">
        <f t="shared" si="29"/>
        <v>0</v>
      </c>
    </row>
    <row r="339" spans="1:17" ht="15.75" x14ac:dyDescent="0.25">
      <c r="A339" s="347" t="s">
        <v>489</v>
      </c>
      <c r="B339" s="348"/>
      <c r="C339" s="349"/>
      <c r="D339" s="68" t="s">
        <v>490</v>
      </c>
      <c r="E339" s="141">
        <f t="shared" si="28"/>
        <v>0</v>
      </c>
      <c r="J339" s="347" t="s">
        <v>489</v>
      </c>
      <c r="K339" s="348"/>
      <c r="L339" s="349"/>
      <c r="M339" s="68" t="s">
        <v>490</v>
      </c>
      <c r="N339" s="141">
        <f t="shared" si="29"/>
        <v>0</v>
      </c>
    </row>
    <row r="340" spans="1:17" ht="15.75" x14ac:dyDescent="0.25">
      <c r="A340" s="347" t="s">
        <v>491</v>
      </c>
      <c r="B340" s="348"/>
      <c r="C340" s="349"/>
      <c r="D340" s="68" t="s">
        <v>492</v>
      </c>
      <c r="E340" s="141">
        <f t="shared" si="28"/>
        <v>0</v>
      </c>
      <c r="J340" s="347" t="s">
        <v>491</v>
      </c>
      <c r="K340" s="348"/>
      <c r="L340" s="349"/>
      <c r="M340" s="68" t="s">
        <v>492</v>
      </c>
      <c r="N340" s="141">
        <f t="shared" si="29"/>
        <v>0</v>
      </c>
    </row>
    <row r="341" spans="1:17" ht="15.75" x14ac:dyDescent="0.25">
      <c r="A341" s="347" t="s">
        <v>493</v>
      </c>
      <c r="B341" s="348"/>
      <c r="C341" s="349"/>
      <c r="D341" s="68" t="s">
        <v>494</v>
      </c>
      <c r="E341" s="141">
        <f t="shared" si="28"/>
        <v>0</v>
      </c>
      <c r="J341" s="347" t="s">
        <v>493</v>
      </c>
      <c r="K341" s="348"/>
      <c r="L341" s="349"/>
      <c r="M341" s="68" t="s">
        <v>494</v>
      </c>
      <c r="N341" s="141">
        <f t="shared" si="29"/>
        <v>0</v>
      </c>
    </row>
    <row r="342" spans="1:17" ht="15.75" x14ac:dyDescent="0.25">
      <c r="A342" s="347" t="s">
        <v>495</v>
      </c>
      <c r="B342" s="348"/>
      <c r="C342" s="349"/>
      <c r="D342" s="68" t="s">
        <v>496</v>
      </c>
      <c r="E342" s="141">
        <f t="shared" si="28"/>
        <v>0</v>
      </c>
      <c r="J342" s="347" t="s">
        <v>495</v>
      </c>
      <c r="K342" s="348"/>
      <c r="L342" s="349"/>
      <c r="M342" s="68" t="s">
        <v>496</v>
      </c>
      <c r="N342" s="141">
        <f t="shared" si="29"/>
        <v>0</v>
      </c>
    </row>
    <row r="343" spans="1:17" ht="15.75" x14ac:dyDescent="0.25">
      <c r="A343" s="347" t="s">
        <v>497</v>
      </c>
      <c r="B343" s="348"/>
      <c r="C343" s="349"/>
      <c r="D343" s="68" t="s">
        <v>498</v>
      </c>
      <c r="E343" s="141">
        <f t="shared" si="28"/>
        <v>0</v>
      </c>
      <c r="J343" s="347" t="s">
        <v>497</v>
      </c>
      <c r="K343" s="348"/>
      <c r="L343" s="349"/>
      <c r="M343" s="68" t="s">
        <v>498</v>
      </c>
      <c r="N343" s="141">
        <f t="shared" si="29"/>
        <v>0</v>
      </c>
    </row>
    <row r="344" spans="1:17" ht="15.75" x14ac:dyDescent="0.25">
      <c r="A344" s="347" t="s">
        <v>499</v>
      </c>
      <c r="B344" s="348"/>
      <c r="C344" s="349"/>
      <c r="D344" s="68" t="s">
        <v>500</v>
      </c>
      <c r="E344" s="141">
        <f t="shared" si="28"/>
        <v>0</v>
      </c>
      <c r="J344" s="347" t="s">
        <v>499</v>
      </c>
      <c r="K344" s="348"/>
      <c r="L344" s="349"/>
      <c r="M344" s="68" t="s">
        <v>500</v>
      </c>
      <c r="N344" s="141">
        <f t="shared" si="29"/>
        <v>0</v>
      </c>
    </row>
    <row r="345" spans="1:17" ht="15.75" x14ac:dyDescent="0.25">
      <c r="A345" s="347" t="s">
        <v>501</v>
      </c>
      <c r="B345" s="348"/>
      <c r="C345" s="349"/>
      <c r="D345" s="68" t="s">
        <v>502</v>
      </c>
      <c r="E345" s="141">
        <f t="shared" si="28"/>
        <v>0</v>
      </c>
      <c r="J345" s="347" t="s">
        <v>501</v>
      </c>
      <c r="K345" s="348"/>
      <c r="L345" s="349"/>
      <c r="M345" s="68" t="s">
        <v>502</v>
      </c>
      <c r="N345" s="141">
        <f t="shared" si="29"/>
        <v>0</v>
      </c>
    </row>
    <row r="346" spans="1:17" ht="15.75" x14ac:dyDescent="0.25">
      <c r="A346" s="347" t="s">
        <v>503</v>
      </c>
      <c r="B346" s="348"/>
      <c r="C346" s="349"/>
      <c r="D346" s="68" t="s">
        <v>504</v>
      </c>
      <c r="E346" s="141">
        <f t="shared" si="28"/>
        <v>0</v>
      </c>
      <c r="J346" s="347" t="s">
        <v>503</v>
      </c>
      <c r="K346" s="348"/>
      <c r="L346" s="349"/>
      <c r="M346" s="68" t="s">
        <v>504</v>
      </c>
      <c r="N346" s="141">
        <f t="shared" si="29"/>
        <v>0</v>
      </c>
    </row>
    <row r="347" spans="1:17" ht="15.75" x14ac:dyDescent="0.25">
      <c r="A347" s="347" t="s">
        <v>505</v>
      </c>
      <c r="B347" s="348"/>
      <c r="C347" s="349"/>
      <c r="D347" s="68" t="s">
        <v>506</v>
      </c>
      <c r="E347" s="141">
        <f t="shared" si="28"/>
        <v>0</v>
      </c>
      <c r="J347" s="347" t="s">
        <v>505</v>
      </c>
      <c r="K347" s="348"/>
      <c r="L347" s="349"/>
      <c r="M347" s="68" t="s">
        <v>506</v>
      </c>
      <c r="N347" s="141">
        <f t="shared" si="29"/>
        <v>0</v>
      </c>
    </row>
    <row r="348" spans="1:17" ht="15.75" x14ac:dyDescent="0.25">
      <c r="A348" s="347" t="s">
        <v>507</v>
      </c>
      <c r="B348" s="348"/>
      <c r="C348" s="349"/>
      <c r="D348" s="68" t="s">
        <v>508</v>
      </c>
      <c r="E348" s="141">
        <f t="shared" si="28"/>
        <v>0</v>
      </c>
      <c r="J348" s="347" t="s">
        <v>507</v>
      </c>
      <c r="K348" s="348"/>
      <c r="L348" s="349"/>
      <c r="M348" s="68" t="s">
        <v>508</v>
      </c>
      <c r="N348" s="141">
        <f t="shared" si="29"/>
        <v>0</v>
      </c>
    </row>
    <row r="349" spans="1:17" ht="15.75" x14ac:dyDescent="0.25">
      <c r="A349" s="347" t="s">
        <v>509</v>
      </c>
      <c r="B349" s="348"/>
      <c r="C349" s="349"/>
      <c r="D349" s="68" t="s">
        <v>510</v>
      </c>
      <c r="E349" s="141">
        <f t="shared" si="28"/>
        <v>0</v>
      </c>
      <c r="J349" s="347" t="s">
        <v>509</v>
      </c>
      <c r="K349" s="348"/>
      <c r="L349" s="349"/>
      <c r="M349" s="68" t="s">
        <v>510</v>
      </c>
      <c r="N349" s="141">
        <f t="shared" si="29"/>
        <v>0</v>
      </c>
    </row>
    <row r="350" spans="1:17" ht="15.75" x14ac:dyDescent="0.25">
      <c r="A350" s="347" t="s">
        <v>511</v>
      </c>
      <c r="B350" s="348"/>
      <c r="C350" s="349"/>
      <c r="D350" s="68" t="s">
        <v>512</v>
      </c>
      <c r="E350" s="141">
        <f t="shared" si="28"/>
        <v>0</v>
      </c>
      <c r="J350" s="347" t="s">
        <v>511</v>
      </c>
      <c r="K350" s="348"/>
      <c r="L350" s="349"/>
      <c r="M350" s="68" t="s">
        <v>512</v>
      </c>
      <c r="N350" s="141">
        <f t="shared" si="29"/>
        <v>0</v>
      </c>
    </row>
    <row r="351" spans="1:17" ht="15.75" x14ac:dyDescent="0.25">
      <c r="A351" s="347" t="s">
        <v>513</v>
      </c>
      <c r="B351" s="348"/>
      <c r="C351" s="349"/>
      <c r="D351" s="68" t="s">
        <v>514</v>
      </c>
      <c r="E351" s="141">
        <f t="shared" si="28"/>
        <v>0</v>
      </c>
      <c r="J351" s="347" t="s">
        <v>513</v>
      </c>
      <c r="K351" s="348"/>
      <c r="L351" s="349"/>
      <c r="M351" s="68" t="s">
        <v>514</v>
      </c>
      <c r="N351" s="141">
        <f t="shared" si="29"/>
        <v>0</v>
      </c>
      <c r="O351" s="274"/>
      <c r="P351" s="274"/>
      <c r="Q351" s="274"/>
    </row>
    <row r="352" spans="1:17" ht="15.75" x14ac:dyDescent="0.25">
      <c r="A352" s="347" t="s">
        <v>515</v>
      </c>
      <c r="B352" s="348"/>
      <c r="C352" s="349"/>
      <c r="D352" s="68" t="s">
        <v>516</v>
      </c>
      <c r="E352" s="141">
        <f t="shared" si="28"/>
        <v>0</v>
      </c>
      <c r="J352" s="347" t="s">
        <v>515</v>
      </c>
      <c r="K352" s="348"/>
      <c r="L352" s="349"/>
      <c r="M352" s="68" t="s">
        <v>516</v>
      </c>
      <c r="N352" s="141">
        <f t="shared" si="29"/>
        <v>0</v>
      </c>
    </row>
    <row r="353" spans="1:14" ht="15.75" x14ac:dyDescent="0.25">
      <c r="A353" s="347" t="s">
        <v>517</v>
      </c>
      <c r="B353" s="348"/>
      <c r="C353" s="349"/>
      <c r="D353" s="68" t="s">
        <v>518</v>
      </c>
      <c r="E353" s="141">
        <f t="shared" si="28"/>
        <v>0</v>
      </c>
      <c r="J353" s="347" t="s">
        <v>517</v>
      </c>
      <c r="K353" s="348"/>
      <c r="L353" s="349"/>
      <c r="M353" s="68" t="s">
        <v>518</v>
      </c>
      <c r="N353" s="141">
        <f t="shared" si="29"/>
        <v>0</v>
      </c>
    </row>
    <row r="354" spans="1:14" ht="15.75" x14ac:dyDescent="0.25">
      <c r="A354" s="347" t="s">
        <v>519</v>
      </c>
      <c r="B354" s="348"/>
      <c r="C354" s="349"/>
      <c r="D354" s="68" t="s">
        <v>520</v>
      </c>
      <c r="E354" s="141">
        <f t="shared" si="28"/>
        <v>0</v>
      </c>
      <c r="J354" s="347" t="s">
        <v>519</v>
      </c>
      <c r="K354" s="348"/>
      <c r="L354" s="349"/>
      <c r="M354" s="68" t="s">
        <v>520</v>
      </c>
      <c r="N354" s="141">
        <f t="shared" si="29"/>
        <v>0</v>
      </c>
    </row>
    <row r="355" spans="1:14" ht="15.75" x14ac:dyDescent="0.25">
      <c r="A355" s="347" t="s">
        <v>521</v>
      </c>
      <c r="B355" s="348"/>
      <c r="C355" s="349"/>
      <c r="D355" s="68" t="s">
        <v>522</v>
      </c>
      <c r="E355" s="141">
        <f t="shared" si="28"/>
        <v>0</v>
      </c>
      <c r="J355" s="347" t="s">
        <v>521</v>
      </c>
      <c r="K355" s="348"/>
      <c r="L355" s="349"/>
      <c r="M355" s="68" t="s">
        <v>522</v>
      </c>
      <c r="N355" s="141">
        <f t="shared" si="29"/>
        <v>0</v>
      </c>
    </row>
    <row r="356" spans="1:14" ht="15.75" x14ac:dyDescent="0.25">
      <c r="A356" s="347" t="s">
        <v>523</v>
      </c>
      <c r="B356" s="348"/>
      <c r="C356" s="349"/>
      <c r="D356" s="68" t="s">
        <v>524</v>
      </c>
      <c r="E356" s="141">
        <f t="shared" si="28"/>
        <v>0</v>
      </c>
      <c r="J356" s="347" t="s">
        <v>523</v>
      </c>
      <c r="K356" s="348"/>
      <c r="L356" s="349"/>
      <c r="M356" s="68" t="s">
        <v>524</v>
      </c>
      <c r="N356" s="141">
        <f t="shared" si="29"/>
        <v>0</v>
      </c>
    </row>
    <row r="357" spans="1:14" ht="15.75" x14ac:dyDescent="0.25">
      <c r="A357" s="347" t="s">
        <v>525</v>
      </c>
      <c r="B357" s="348"/>
      <c r="C357" s="349"/>
      <c r="D357" s="68" t="s">
        <v>526</v>
      </c>
      <c r="E357" s="141">
        <f t="shared" si="28"/>
        <v>0</v>
      </c>
      <c r="J357" s="347" t="s">
        <v>525</v>
      </c>
      <c r="K357" s="348"/>
      <c r="L357" s="349"/>
      <c r="M357" s="68" t="s">
        <v>526</v>
      </c>
      <c r="N357" s="141">
        <f t="shared" si="29"/>
        <v>0</v>
      </c>
    </row>
    <row r="358" spans="1:14" ht="15.75" x14ac:dyDescent="0.25">
      <c r="A358" s="347" t="s">
        <v>527</v>
      </c>
      <c r="B358" s="348"/>
      <c r="C358" s="349"/>
      <c r="D358" s="68" t="s">
        <v>528</v>
      </c>
      <c r="E358" s="141">
        <f t="shared" si="28"/>
        <v>0</v>
      </c>
      <c r="J358" s="347" t="s">
        <v>527</v>
      </c>
      <c r="K358" s="348"/>
      <c r="L358" s="349"/>
      <c r="M358" s="68" t="s">
        <v>528</v>
      </c>
      <c r="N358" s="141">
        <f t="shared" si="29"/>
        <v>0</v>
      </c>
    </row>
    <row r="359" spans="1:14" ht="15.75" x14ac:dyDescent="0.25">
      <c r="A359" s="347" t="s">
        <v>529</v>
      </c>
      <c r="B359" s="348"/>
      <c r="C359" s="349"/>
      <c r="D359" s="68" t="s">
        <v>530</v>
      </c>
      <c r="E359" s="141">
        <f t="shared" si="28"/>
        <v>0</v>
      </c>
      <c r="J359" s="347" t="s">
        <v>529</v>
      </c>
      <c r="K359" s="348"/>
      <c r="L359" s="349"/>
      <c r="M359" s="68" t="s">
        <v>530</v>
      </c>
      <c r="N359" s="141">
        <f t="shared" si="29"/>
        <v>0</v>
      </c>
    </row>
    <row r="360" spans="1:14" ht="15.75" x14ac:dyDescent="0.25">
      <c r="A360" s="347" t="s">
        <v>531</v>
      </c>
      <c r="B360" s="348"/>
      <c r="C360" s="349"/>
      <c r="D360" s="68" t="s">
        <v>532</v>
      </c>
      <c r="E360" s="141">
        <f t="shared" si="28"/>
        <v>0</v>
      </c>
      <c r="J360" s="347" t="s">
        <v>531</v>
      </c>
      <c r="K360" s="348"/>
      <c r="L360" s="349"/>
      <c r="M360" s="68" t="s">
        <v>532</v>
      </c>
      <c r="N360" s="141">
        <f t="shared" si="29"/>
        <v>0</v>
      </c>
    </row>
    <row r="361" spans="1:14" ht="15.75" x14ac:dyDescent="0.25">
      <c r="A361" s="347" t="s">
        <v>533</v>
      </c>
      <c r="B361" s="348"/>
      <c r="C361" s="349"/>
      <c r="D361" s="68" t="s">
        <v>534</v>
      </c>
      <c r="E361" s="141">
        <f t="shared" si="28"/>
        <v>0</v>
      </c>
      <c r="J361" s="347" t="s">
        <v>533</v>
      </c>
      <c r="K361" s="348"/>
      <c r="L361" s="349"/>
      <c r="M361" s="68" t="s">
        <v>534</v>
      </c>
      <c r="N361" s="141">
        <f t="shared" si="29"/>
        <v>0</v>
      </c>
    </row>
    <row r="362" spans="1:14" ht="15.75" x14ac:dyDescent="0.25">
      <c r="A362" s="347" t="s">
        <v>535</v>
      </c>
      <c r="B362" s="348"/>
      <c r="C362" s="349"/>
      <c r="D362" s="68" t="s">
        <v>536</v>
      </c>
      <c r="E362" s="141">
        <f t="shared" si="28"/>
        <v>0</v>
      </c>
      <c r="J362" s="347" t="s">
        <v>535</v>
      </c>
      <c r="K362" s="348"/>
      <c r="L362" s="349"/>
      <c r="M362" s="68" t="s">
        <v>536</v>
      </c>
      <c r="N362" s="141">
        <f t="shared" si="29"/>
        <v>0</v>
      </c>
    </row>
    <row r="363" spans="1:14" ht="15.75" x14ac:dyDescent="0.25">
      <c r="A363" s="347" t="s">
        <v>537</v>
      </c>
      <c r="B363" s="348"/>
      <c r="C363" s="349"/>
      <c r="D363" s="68" t="s">
        <v>538</v>
      </c>
      <c r="E363" s="141">
        <f t="shared" si="28"/>
        <v>0</v>
      </c>
      <c r="J363" s="347" t="s">
        <v>537</v>
      </c>
      <c r="K363" s="348"/>
      <c r="L363" s="349"/>
      <c r="M363" s="68" t="s">
        <v>538</v>
      </c>
      <c r="N363" s="141">
        <f t="shared" si="29"/>
        <v>0</v>
      </c>
    </row>
    <row r="364" spans="1:14" ht="15.75" x14ac:dyDescent="0.25">
      <c r="A364" s="347" t="s">
        <v>539</v>
      </c>
      <c r="B364" s="348"/>
      <c r="C364" s="349"/>
      <c r="D364" s="68" t="s">
        <v>540</v>
      </c>
      <c r="E364" s="141">
        <f t="shared" si="28"/>
        <v>0</v>
      </c>
      <c r="J364" s="347" t="s">
        <v>539</v>
      </c>
      <c r="K364" s="348"/>
      <c r="L364" s="349"/>
      <c r="M364" s="68" t="s">
        <v>540</v>
      </c>
      <c r="N364" s="141">
        <f t="shared" si="29"/>
        <v>0</v>
      </c>
    </row>
    <row r="365" spans="1:14" ht="15.75" x14ac:dyDescent="0.25">
      <c r="A365" s="347" t="s">
        <v>541</v>
      </c>
      <c r="B365" s="348"/>
      <c r="C365" s="349"/>
      <c r="D365" s="68" t="s">
        <v>542</v>
      </c>
      <c r="E365" s="141">
        <f t="shared" si="28"/>
        <v>0</v>
      </c>
      <c r="J365" s="347" t="s">
        <v>541</v>
      </c>
      <c r="K365" s="348"/>
      <c r="L365" s="349"/>
      <c r="M365" s="68" t="s">
        <v>542</v>
      </c>
      <c r="N365" s="141">
        <f t="shared" si="29"/>
        <v>0</v>
      </c>
    </row>
    <row r="366" spans="1:14" ht="15.75" x14ac:dyDescent="0.25">
      <c r="A366" s="347" t="s">
        <v>543</v>
      </c>
      <c r="B366" s="348"/>
      <c r="C366" s="349"/>
      <c r="D366" s="68" t="s">
        <v>544</v>
      </c>
      <c r="E366" s="141">
        <f t="shared" si="28"/>
        <v>0</v>
      </c>
      <c r="J366" s="347" t="s">
        <v>543</v>
      </c>
      <c r="K366" s="348"/>
      <c r="L366" s="349"/>
      <c r="M366" s="68" t="s">
        <v>544</v>
      </c>
      <c r="N366" s="141">
        <f t="shared" si="29"/>
        <v>0</v>
      </c>
    </row>
    <row r="367" spans="1:14" ht="15.75" x14ac:dyDescent="0.25">
      <c r="A367" s="347" t="s">
        <v>545</v>
      </c>
      <c r="B367" s="348"/>
      <c r="C367" s="349"/>
      <c r="D367" s="68" t="s">
        <v>546</v>
      </c>
      <c r="E367" s="141">
        <f t="shared" si="28"/>
        <v>0</v>
      </c>
      <c r="J367" s="347" t="s">
        <v>545</v>
      </c>
      <c r="K367" s="348"/>
      <c r="L367" s="349"/>
      <c r="M367" s="68" t="s">
        <v>546</v>
      </c>
      <c r="N367" s="141">
        <f t="shared" si="29"/>
        <v>0</v>
      </c>
    </row>
    <row r="368" spans="1:14" ht="15.75" x14ac:dyDescent="0.25">
      <c r="A368" s="347" t="s">
        <v>547</v>
      </c>
      <c r="B368" s="348"/>
      <c r="C368" s="349"/>
      <c r="D368" s="68" t="s">
        <v>200</v>
      </c>
      <c r="E368" s="141">
        <f t="shared" si="28"/>
        <v>1</v>
      </c>
      <c r="J368" s="347" t="s">
        <v>547</v>
      </c>
      <c r="K368" s="348"/>
      <c r="L368" s="349"/>
      <c r="M368" s="68" t="s">
        <v>200</v>
      </c>
      <c r="N368" s="141">
        <f t="shared" si="29"/>
        <v>0</v>
      </c>
    </row>
    <row r="369" spans="1:14" ht="15.75" x14ac:dyDescent="0.25">
      <c r="A369" s="347" t="s">
        <v>548</v>
      </c>
      <c r="B369" s="348"/>
      <c r="C369" s="349"/>
      <c r="D369" s="68" t="s">
        <v>549</v>
      </c>
      <c r="E369" s="141">
        <f t="shared" si="28"/>
        <v>0</v>
      </c>
      <c r="J369" s="347" t="s">
        <v>548</v>
      </c>
      <c r="K369" s="348"/>
      <c r="L369" s="349"/>
      <c r="M369" s="68" t="s">
        <v>549</v>
      </c>
      <c r="N369" s="141">
        <f t="shared" si="29"/>
        <v>0</v>
      </c>
    </row>
    <row r="370" spans="1:14" ht="15.75" x14ac:dyDescent="0.25">
      <c r="A370" s="347" t="s">
        <v>550</v>
      </c>
      <c r="B370" s="348"/>
      <c r="C370" s="349"/>
      <c r="D370" s="68" t="s">
        <v>551</v>
      </c>
      <c r="E370" s="141">
        <f t="shared" si="28"/>
        <v>0</v>
      </c>
      <c r="J370" s="347" t="s">
        <v>550</v>
      </c>
      <c r="K370" s="348"/>
      <c r="L370" s="349"/>
      <c r="M370" s="68" t="s">
        <v>551</v>
      </c>
      <c r="N370" s="141">
        <f t="shared" si="29"/>
        <v>0</v>
      </c>
    </row>
    <row r="371" spans="1:14" ht="15.75" x14ac:dyDescent="0.25">
      <c r="A371" s="347" t="s">
        <v>552</v>
      </c>
      <c r="B371" s="348"/>
      <c r="C371" s="349"/>
      <c r="D371" s="68" t="s">
        <v>553</v>
      </c>
      <c r="E371" s="141">
        <f t="shared" si="28"/>
        <v>0</v>
      </c>
      <c r="J371" s="347" t="s">
        <v>552</v>
      </c>
      <c r="K371" s="348"/>
      <c r="L371" s="349"/>
      <c r="M371" s="68" t="s">
        <v>553</v>
      </c>
      <c r="N371" s="141">
        <f t="shared" si="29"/>
        <v>0</v>
      </c>
    </row>
    <row r="372" spans="1:14" ht="15.75" x14ac:dyDescent="0.25">
      <c r="A372" s="347" t="s">
        <v>554</v>
      </c>
      <c r="B372" s="348"/>
      <c r="C372" s="349"/>
      <c r="D372" s="68" t="s">
        <v>555</v>
      </c>
      <c r="E372" s="141">
        <f t="shared" si="28"/>
        <v>0</v>
      </c>
      <c r="J372" s="347" t="s">
        <v>554</v>
      </c>
      <c r="K372" s="348"/>
      <c r="L372" s="349"/>
      <c r="M372" s="68" t="s">
        <v>555</v>
      </c>
      <c r="N372" s="141">
        <f t="shared" si="29"/>
        <v>0</v>
      </c>
    </row>
    <row r="373" spans="1:14" ht="15.75" x14ac:dyDescent="0.25">
      <c r="A373" s="347" t="s">
        <v>556</v>
      </c>
      <c r="B373" s="348"/>
      <c r="C373" s="349"/>
      <c r="D373" s="68" t="s">
        <v>557</v>
      </c>
      <c r="E373" s="141">
        <f t="shared" si="28"/>
        <v>0</v>
      </c>
      <c r="J373" s="347" t="s">
        <v>556</v>
      </c>
      <c r="K373" s="348"/>
      <c r="L373" s="349"/>
      <c r="M373" s="68" t="s">
        <v>557</v>
      </c>
      <c r="N373" s="141">
        <f t="shared" si="29"/>
        <v>0</v>
      </c>
    </row>
    <row r="374" spans="1:14" ht="15.75" x14ac:dyDescent="0.25">
      <c r="A374" s="347" t="s">
        <v>558</v>
      </c>
      <c r="B374" s="348"/>
      <c r="C374" s="349"/>
      <c r="D374" s="68" t="s">
        <v>559</v>
      </c>
      <c r="E374" s="141">
        <f t="shared" si="28"/>
        <v>0</v>
      </c>
      <c r="J374" s="347" t="s">
        <v>558</v>
      </c>
      <c r="K374" s="348"/>
      <c r="L374" s="349"/>
      <c r="M374" s="68" t="s">
        <v>559</v>
      </c>
      <c r="N374" s="141">
        <f t="shared" si="29"/>
        <v>0</v>
      </c>
    </row>
    <row r="375" spans="1:14" ht="15.75" x14ac:dyDescent="0.25">
      <c r="A375" s="347" t="s">
        <v>560</v>
      </c>
      <c r="B375" s="348"/>
      <c r="C375" s="349"/>
      <c r="D375" s="68" t="s">
        <v>561</v>
      </c>
      <c r="E375" s="141">
        <f t="shared" si="28"/>
        <v>0</v>
      </c>
      <c r="F375" s="274"/>
      <c r="G375" s="274"/>
      <c r="H375" s="274"/>
      <c r="I375" s="274"/>
      <c r="J375" s="347" t="s">
        <v>560</v>
      </c>
      <c r="K375" s="348"/>
      <c r="L375" s="349"/>
      <c r="M375" s="68" t="s">
        <v>561</v>
      </c>
      <c r="N375" s="141">
        <f t="shared" si="29"/>
        <v>0</v>
      </c>
    </row>
    <row r="376" spans="1:14" ht="15.75" x14ac:dyDescent="0.25">
      <c r="A376" s="347" t="s">
        <v>562</v>
      </c>
      <c r="B376" s="348"/>
      <c r="C376" s="349"/>
      <c r="D376" s="68" t="s">
        <v>563</v>
      </c>
      <c r="E376" s="141">
        <f t="shared" si="28"/>
        <v>0</v>
      </c>
      <c r="J376" s="347" t="s">
        <v>562</v>
      </c>
      <c r="K376" s="348"/>
      <c r="L376" s="349"/>
      <c r="M376" s="68" t="s">
        <v>563</v>
      </c>
      <c r="N376" s="141">
        <f t="shared" si="29"/>
        <v>0</v>
      </c>
    </row>
    <row r="377" spans="1:14" ht="15.75" x14ac:dyDescent="0.25">
      <c r="A377" s="347" t="s">
        <v>564</v>
      </c>
      <c r="B377" s="348"/>
      <c r="C377" s="349"/>
      <c r="D377" s="68" t="s">
        <v>565</v>
      </c>
      <c r="E377" s="141">
        <f t="shared" si="28"/>
        <v>0</v>
      </c>
      <c r="J377" s="347" t="s">
        <v>564</v>
      </c>
      <c r="K377" s="348"/>
      <c r="L377" s="349"/>
      <c r="M377" s="68" t="s">
        <v>565</v>
      </c>
      <c r="N377" s="141">
        <f t="shared" si="29"/>
        <v>0</v>
      </c>
    </row>
    <row r="378" spans="1:14" ht="15.75" x14ac:dyDescent="0.25">
      <c r="A378" s="347" t="s">
        <v>566</v>
      </c>
      <c r="B378" s="348"/>
      <c r="C378" s="349"/>
      <c r="D378" s="68" t="s">
        <v>567</v>
      </c>
      <c r="E378" s="141">
        <f t="shared" si="28"/>
        <v>0</v>
      </c>
      <c r="J378" s="347" t="s">
        <v>566</v>
      </c>
      <c r="K378" s="348"/>
      <c r="L378" s="349"/>
      <c r="M378" s="68" t="s">
        <v>567</v>
      </c>
      <c r="N378" s="141">
        <f t="shared" si="29"/>
        <v>0</v>
      </c>
    </row>
    <row r="379" spans="1:14" ht="15.75" x14ac:dyDescent="0.25">
      <c r="A379" s="347" t="s">
        <v>568</v>
      </c>
      <c r="B379" s="348"/>
      <c r="C379" s="349"/>
      <c r="D379" s="68" t="s">
        <v>569</v>
      </c>
      <c r="E379" s="141">
        <f t="shared" si="28"/>
        <v>0</v>
      </c>
      <c r="F379" s="274"/>
      <c r="G379" s="274"/>
      <c r="H379" s="274"/>
      <c r="I379" s="274"/>
      <c r="J379" s="347" t="s">
        <v>568</v>
      </c>
      <c r="K379" s="348"/>
      <c r="L379" s="349"/>
      <c r="M379" s="68" t="s">
        <v>569</v>
      </c>
      <c r="N379" s="141">
        <f t="shared" si="29"/>
        <v>0</v>
      </c>
    </row>
    <row r="380" spans="1:14" ht="15.75" x14ac:dyDescent="0.25">
      <c r="A380" s="347" t="s">
        <v>570</v>
      </c>
      <c r="B380" s="348"/>
      <c r="C380" s="349"/>
      <c r="D380" s="68" t="s">
        <v>571</v>
      </c>
      <c r="E380" s="141">
        <f t="shared" si="28"/>
        <v>0</v>
      </c>
      <c r="J380" s="347" t="s">
        <v>570</v>
      </c>
      <c r="K380" s="348"/>
      <c r="L380" s="349"/>
      <c r="M380" s="68" t="s">
        <v>571</v>
      </c>
      <c r="N380" s="141">
        <f t="shared" si="29"/>
        <v>0</v>
      </c>
    </row>
    <row r="381" spans="1:14" ht="15.75" x14ac:dyDescent="0.25">
      <c r="A381" s="347" t="s">
        <v>572</v>
      </c>
      <c r="B381" s="348"/>
      <c r="C381" s="349"/>
      <c r="D381" s="68" t="s">
        <v>573</v>
      </c>
      <c r="E381" s="141">
        <f t="shared" si="28"/>
        <v>0</v>
      </c>
      <c r="J381" s="347" t="s">
        <v>572</v>
      </c>
      <c r="K381" s="348"/>
      <c r="L381" s="349"/>
      <c r="M381" s="68" t="s">
        <v>573</v>
      </c>
      <c r="N381" s="141">
        <f t="shared" si="29"/>
        <v>0</v>
      </c>
    </row>
    <row r="382" spans="1:14" ht="15.75" x14ac:dyDescent="0.25">
      <c r="A382" s="347" t="s">
        <v>572</v>
      </c>
      <c r="B382" s="348"/>
      <c r="C382" s="349"/>
      <c r="D382" s="68" t="s">
        <v>573</v>
      </c>
      <c r="E382" s="141">
        <f t="shared" si="28"/>
        <v>0</v>
      </c>
      <c r="J382" s="347" t="s">
        <v>572</v>
      </c>
      <c r="K382" s="348"/>
      <c r="L382" s="349"/>
      <c r="M382" s="68" t="s">
        <v>573</v>
      </c>
      <c r="N382" s="141">
        <f t="shared" si="29"/>
        <v>0</v>
      </c>
    </row>
    <row r="383" spans="1:14" ht="15.75" x14ac:dyDescent="0.25">
      <c r="A383" s="347" t="s">
        <v>574</v>
      </c>
      <c r="B383" s="348"/>
      <c r="C383" s="349"/>
      <c r="D383" s="68" t="s">
        <v>575</v>
      </c>
      <c r="E383" s="141">
        <f t="shared" si="28"/>
        <v>0</v>
      </c>
      <c r="J383" s="347" t="s">
        <v>574</v>
      </c>
      <c r="K383" s="348"/>
      <c r="L383" s="349"/>
      <c r="M383" s="68" t="s">
        <v>575</v>
      </c>
      <c r="N383" s="141">
        <f t="shared" si="29"/>
        <v>0</v>
      </c>
    </row>
    <row r="384" spans="1:14" ht="15.75" x14ac:dyDescent="0.25">
      <c r="A384" s="347" t="s">
        <v>576</v>
      </c>
      <c r="B384" s="348"/>
      <c r="C384" s="349"/>
      <c r="D384" s="68" t="s">
        <v>577</v>
      </c>
      <c r="E384" s="141">
        <f t="shared" si="28"/>
        <v>0</v>
      </c>
      <c r="J384" s="347" t="s">
        <v>576</v>
      </c>
      <c r="K384" s="348"/>
      <c r="L384" s="349"/>
      <c r="M384" s="68" t="s">
        <v>577</v>
      </c>
      <c r="N384" s="141">
        <f t="shared" si="29"/>
        <v>0</v>
      </c>
    </row>
    <row r="385" spans="1:14" ht="15.75" x14ac:dyDescent="0.25">
      <c r="A385" s="347" t="s">
        <v>578</v>
      </c>
      <c r="B385" s="348"/>
      <c r="C385" s="349"/>
      <c r="D385" s="68" t="s">
        <v>579</v>
      </c>
      <c r="E385" s="141">
        <f t="shared" si="28"/>
        <v>0</v>
      </c>
      <c r="J385" s="347" t="s">
        <v>578</v>
      </c>
      <c r="K385" s="348"/>
      <c r="L385" s="349"/>
      <c r="M385" s="68" t="s">
        <v>579</v>
      </c>
      <c r="N385" s="141">
        <f t="shared" si="29"/>
        <v>0</v>
      </c>
    </row>
    <row r="386" spans="1:14" ht="15.75" x14ac:dyDescent="0.25">
      <c r="A386" s="347" t="s">
        <v>580</v>
      </c>
      <c r="B386" s="348"/>
      <c r="C386" s="349"/>
      <c r="D386" s="68" t="s">
        <v>581</v>
      </c>
      <c r="E386" s="141">
        <f t="shared" si="28"/>
        <v>0</v>
      </c>
      <c r="J386" s="347" t="s">
        <v>580</v>
      </c>
      <c r="K386" s="348"/>
      <c r="L386" s="349"/>
      <c r="M386" s="68" t="s">
        <v>581</v>
      </c>
      <c r="N386" s="141">
        <f t="shared" si="29"/>
        <v>0</v>
      </c>
    </row>
    <row r="387" spans="1:14" ht="15.75" x14ac:dyDescent="0.25">
      <c r="A387" s="347" t="s">
        <v>582</v>
      </c>
      <c r="B387" s="348"/>
      <c r="C387" s="349"/>
      <c r="D387" s="68" t="s">
        <v>583</v>
      </c>
      <c r="E387" s="141">
        <f t="shared" si="28"/>
        <v>0</v>
      </c>
      <c r="J387" s="347" t="s">
        <v>582</v>
      </c>
      <c r="K387" s="348"/>
      <c r="L387" s="349"/>
      <c r="M387" s="68" t="s">
        <v>583</v>
      </c>
      <c r="N387" s="141">
        <f t="shared" si="29"/>
        <v>0</v>
      </c>
    </row>
    <row r="388" spans="1:14" ht="15.75" x14ac:dyDescent="0.25">
      <c r="A388" s="347" t="s">
        <v>584</v>
      </c>
      <c r="B388" s="348"/>
      <c r="C388" s="349"/>
      <c r="D388" s="68" t="s">
        <v>585</v>
      </c>
      <c r="E388" s="141">
        <f t="shared" si="28"/>
        <v>0</v>
      </c>
      <c r="J388" s="347" t="s">
        <v>584</v>
      </c>
      <c r="K388" s="348"/>
      <c r="L388" s="349"/>
      <c r="M388" s="68" t="s">
        <v>585</v>
      </c>
      <c r="N388" s="141">
        <f t="shared" si="29"/>
        <v>0</v>
      </c>
    </row>
    <row r="389" spans="1:14" ht="15.75" x14ac:dyDescent="0.25">
      <c r="A389" s="347" t="s">
        <v>586</v>
      </c>
      <c r="B389" s="348"/>
      <c r="C389" s="349"/>
      <c r="D389" s="68" t="s">
        <v>587</v>
      </c>
      <c r="E389" s="141">
        <f t="shared" si="28"/>
        <v>0</v>
      </c>
      <c r="J389" s="347" t="s">
        <v>586</v>
      </c>
      <c r="K389" s="348"/>
      <c r="L389" s="349"/>
      <c r="M389" s="68" t="s">
        <v>587</v>
      </c>
      <c r="N389" s="141">
        <f t="shared" si="29"/>
        <v>0</v>
      </c>
    </row>
    <row r="390" spans="1:14" ht="15.75" x14ac:dyDescent="0.25">
      <c r="A390" s="347" t="s">
        <v>588</v>
      </c>
      <c r="B390" s="348"/>
      <c r="C390" s="349"/>
      <c r="D390" s="68" t="s">
        <v>589</v>
      </c>
      <c r="E390" s="141">
        <f t="shared" si="28"/>
        <v>0</v>
      </c>
      <c r="J390" s="347" t="s">
        <v>588</v>
      </c>
      <c r="K390" s="348"/>
      <c r="L390" s="349"/>
      <c r="M390" s="68" t="s">
        <v>589</v>
      </c>
      <c r="N390" s="141">
        <f t="shared" si="29"/>
        <v>0</v>
      </c>
    </row>
    <row r="391" spans="1:14" ht="15.75" x14ac:dyDescent="0.25">
      <c r="A391" s="347" t="s">
        <v>590</v>
      </c>
      <c r="B391" s="348"/>
      <c r="C391" s="349"/>
      <c r="D391" s="68" t="s">
        <v>589</v>
      </c>
      <c r="E391" s="141">
        <f t="shared" si="28"/>
        <v>0</v>
      </c>
      <c r="J391" s="347" t="s">
        <v>590</v>
      </c>
      <c r="K391" s="348"/>
      <c r="L391" s="349"/>
      <c r="M391" s="68" t="s">
        <v>589</v>
      </c>
      <c r="N391" s="141">
        <f t="shared" si="29"/>
        <v>0</v>
      </c>
    </row>
    <row r="392" spans="1:14" ht="15.75" x14ac:dyDescent="0.25">
      <c r="A392" s="347" t="s">
        <v>591</v>
      </c>
      <c r="B392" s="348"/>
      <c r="C392" s="349"/>
      <c r="D392" s="68" t="s">
        <v>592</v>
      </c>
      <c r="E392" s="141">
        <f t="shared" si="28"/>
        <v>0</v>
      </c>
      <c r="J392" s="347" t="s">
        <v>591</v>
      </c>
      <c r="K392" s="348"/>
      <c r="L392" s="349"/>
      <c r="M392" s="68" t="s">
        <v>592</v>
      </c>
      <c r="N392" s="141">
        <f t="shared" si="29"/>
        <v>0</v>
      </c>
    </row>
    <row r="393" spans="1:14" ht="15.75" x14ac:dyDescent="0.25">
      <c r="A393" s="347" t="s">
        <v>593</v>
      </c>
      <c r="B393" s="348"/>
      <c r="C393" s="349"/>
      <c r="D393" s="68" t="s">
        <v>594</v>
      </c>
      <c r="E393" s="141">
        <f t="shared" si="28"/>
        <v>0</v>
      </c>
      <c r="J393" s="347" t="s">
        <v>593</v>
      </c>
      <c r="K393" s="348"/>
      <c r="L393" s="349"/>
      <c r="M393" s="68" t="s">
        <v>594</v>
      </c>
      <c r="N393" s="141">
        <f t="shared" si="29"/>
        <v>0</v>
      </c>
    </row>
    <row r="394" spans="1:14" ht="15.75" x14ac:dyDescent="0.25">
      <c r="A394" s="347" t="s">
        <v>595</v>
      </c>
      <c r="B394" s="348"/>
      <c r="C394" s="349"/>
      <c r="D394" s="68" t="s">
        <v>596</v>
      </c>
      <c r="E394" s="141">
        <f t="shared" si="28"/>
        <v>0</v>
      </c>
      <c r="J394" s="347" t="s">
        <v>595</v>
      </c>
      <c r="K394" s="348"/>
      <c r="L394" s="349"/>
      <c r="M394" s="68" t="s">
        <v>596</v>
      </c>
      <c r="N394" s="141">
        <f t="shared" si="29"/>
        <v>0</v>
      </c>
    </row>
    <row r="395" spans="1:14" ht="15.75" x14ac:dyDescent="0.25">
      <c r="A395" s="347" t="s">
        <v>597</v>
      </c>
      <c r="B395" s="348"/>
      <c r="C395" s="349"/>
      <c r="D395" s="68" t="s">
        <v>598</v>
      </c>
      <c r="E395" s="141">
        <f t="shared" si="28"/>
        <v>0</v>
      </c>
      <c r="J395" s="347" t="s">
        <v>597</v>
      </c>
      <c r="K395" s="348"/>
      <c r="L395" s="349"/>
      <c r="M395" s="68" t="s">
        <v>598</v>
      </c>
      <c r="N395" s="141">
        <f t="shared" si="29"/>
        <v>0</v>
      </c>
    </row>
    <row r="396" spans="1:14" ht="15.75" x14ac:dyDescent="0.25">
      <c r="A396" s="347" t="s">
        <v>599</v>
      </c>
      <c r="B396" s="348"/>
      <c r="C396" s="349"/>
      <c r="D396" s="68" t="s">
        <v>600</v>
      </c>
      <c r="E396" s="141">
        <f t="shared" si="28"/>
        <v>0</v>
      </c>
      <c r="J396" s="347" t="s">
        <v>599</v>
      </c>
      <c r="K396" s="348"/>
      <c r="L396" s="349"/>
      <c r="M396" s="68" t="s">
        <v>600</v>
      </c>
      <c r="N396" s="141">
        <f t="shared" si="29"/>
        <v>0</v>
      </c>
    </row>
    <row r="397" spans="1:14" ht="15.75" x14ac:dyDescent="0.25">
      <c r="A397" s="347" t="s">
        <v>601</v>
      </c>
      <c r="B397" s="348"/>
      <c r="C397" s="349"/>
      <c r="D397" s="68" t="s">
        <v>602</v>
      </c>
      <c r="E397" s="141">
        <f t="shared" si="28"/>
        <v>0</v>
      </c>
      <c r="J397" s="347" t="s">
        <v>601</v>
      </c>
      <c r="K397" s="348"/>
      <c r="L397" s="349"/>
      <c r="M397" s="68" t="s">
        <v>602</v>
      </c>
      <c r="N397" s="141">
        <f t="shared" si="29"/>
        <v>0</v>
      </c>
    </row>
    <row r="398" spans="1:14" ht="15.75" x14ac:dyDescent="0.25">
      <c r="A398" s="347" t="s">
        <v>603</v>
      </c>
      <c r="B398" s="348"/>
      <c r="C398" s="349"/>
      <c r="D398" s="68" t="s">
        <v>604</v>
      </c>
      <c r="E398" s="141">
        <f t="shared" ref="E398:E410" si="30">COUNTIF($B$7:$Q$29,D398)+COUNTIF($K$30:$Q$53,D398)+COUNTIF($R$7:$BB$53,D398)</f>
        <v>0</v>
      </c>
      <c r="J398" s="347" t="s">
        <v>603</v>
      </c>
      <c r="K398" s="348"/>
      <c r="L398" s="349"/>
      <c r="M398" s="68" t="s">
        <v>604</v>
      </c>
      <c r="N398" s="141">
        <f t="shared" ref="N398:N410" si="31">COUNTIF($B$30:$J$50,M398)</f>
        <v>0</v>
      </c>
    </row>
    <row r="399" spans="1:14" ht="15.75" x14ac:dyDescent="0.25">
      <c r="A399" s="347" t="s">
        <v>605</v>
      </c>
      <c r="B399" s="348"/>
      <c r="C399" s="349"/>
      <c r="D399" s="68" t="s">
        <v>606</v>
      </c>
      <c r="E399" s="141">
        <f t="shared" si="30"/>
        <v>0</v>
      </c>
      <c r="J399" s="347" t="s">
        <v>605</v>
      </c>
      <c r="K399" s="348"/>
      <c r="L399" s="349"/>
      <c r="M399" s="68" t="s">
        <v>606</v>
      </c>
      <c r="N399" s="141">
        <f t="shared" si="31"/>
        <v>0</v>
      </c>
    </row>
    <row r="400" spans="1:14" ht="15.75" x14ac:dyDescent="0.25">
      <c r="A400" s="347" t="s">
        <v>607</v>
      </c>
      <c r="B400" s="348"/>
      <c r="C400" s="349"/>
      <c r="D400" s="68" t="s">
        <v>608</v>
      </c>
      <c r="E400" s="141">
        <f t="shared" si="30"/>
        <v>0</v>
      </c>
      <c r="J400" s="347" t="s">
        <v>607</v>
      </c>
      <c r="K400" s="348"/>
      <c r="L400" s="349"/>
      <c r="M400" s="68" t="s">
        <v>608</v>
      </c>
      <c r="N400" s="141">
        <f t="shared" si="31"/>
        <v>0</v>
      </c>
    </row>
    <row r="401" spans="1:17" ht="15.75" x14ac:dyDescent="0.25">
      <c r="A401" s="347" t="s">
        <v>609</v>
      </c>
      <c r="B401" s="348"/>
      <c r="C401" s="349"/>
      <c r="D401" s="68" t="s">
        <v>610</v>
      </c>
      <c r="E401" s="141">
        <f t="shared" si="30"/>
        <v>0</v>
      </c>
      <c r="J401" s="347" t="s">
        <v>609</v>
      </c>
      <c r="K401" s="348"/>
      <c r="L401" s="349"/>
      <c r="M401" s="68" t="s">
        <v>610</v>
      </c>
      <c r="N401" s="141">
        <f t="shared" si="31"/>
        <v>0</v>
      </c>
    </row>
    <row r="402" spans="1:17" ht="15.75" x14ac:dyDescent="0.25">
      <c r="A402" s="347" t="s">
        <v>611</v>
      </c>
      <c r="B402" s="348"/>
      <c r="C402" s="349"/>
      <c r="D402" s="68" t="s">
        <v>612</v>
      </c>
      <c r="E402" s="141">
        <f t="shared" si="30"/>
        <v>0</v>
      </c>
      <c r="J402" s="347" t="s">
        <v>611</v>
      </c>
      <c r="K402" s="348"/>
      <c r="L402" s="349"/>
      <c r="M402" s="68" t="s">
        <v>612</v>
      </c>
      <c r="N402" s="141">
        <f t="shared" si="31"/>
        <v>0</v>
      </c>
    </row>
    <row r="403" spans="1:17" ht="15.75" x14ac:dyDescent="0.25">
      <c r="A403" s="347" t="s">
        <v>613</v>
      </c>
      <c r="B403" s="348"/>
      <c r="C403" s="349"/>
      <c r="D403" s="68" t="s">
        <v>614</v>
      </c>
      <c r="E403" s="141">
        <f t="shared" si="30"/>
        <v>0</v>
      </c>
      <c r="J403" s="347" t="s">
        <v>613</v>
      </c>
      <c r="K403" s="348"/>
      <c r="L403" s="349"/>
      <c r="M403" s="68" t="s">
        <v>614</v>
      </c>
      <c r="N403" s="141">
        <f t="shared" si="31"/>
        <v>0</v>
      </c>
    </row>
    <row r="404" spans="1:17" ht="15.75" x14ac:dyDescent="0.25">
      <c r="A404" s="347" t="s">
        <v>615</v>
      </c>
      <c r="B404" s="348"/>
      <c r="C404" s="349"/>
      <c r="D404" s="68" t="s">
        <v>616</v>
      </c>
      <c r="E404" s="141">
        <f t="shared" si="30"/>
        <v>0</v>
      </c>
      <c r="J404" s="347" t="s">
        <v>615</v>
      </c>
      <c r="K404" s="348"/>
      <c r="L404" s="349"/>
      <c r="M404" s="68" t="s">
        <v>616</v>
      </c>
      <c r="N404" s="141">
        <f t="shared" si="31"/>
        <v>0</v>
      </c>
    </row>
    <row r="405" spans="1:17" ht="15.75" x14ac:dyDescent="0.25">
      <c r="A405" s="347" t="s">
        <v>617</v>
      </c>
      <c r="B405" s="348"/>
      <c r="C405" s="349"/>
      <c r="D405" s="68" t="s">
        <v>618</v>
      </c>
      <c r="E405" s="141">
        <f t="shared" si="30"/>
        <v>0</v>
      </c>
      <c r="J405" s="347" t="s">
        <v>617</v>
      </c>
      <c r="K405" s="348"/>
      <c r="L405" s="349"/>
      <c r="M405" s="68" t="s">
        <v>618</v>
      </c>
      <c r="N405" s="141">
        <f t="shared" si="31"/>
        <v>0</v>
      </c>
    </row>
    <row r="406" spans="1:17" ht="15.75" x14ac:dyDescent="0.25">
      <c r="A406" s="347" t="s">
        <v>619</v>
      </c>
      <c r="B406" s="348"/>
      <c r="C406" s="349"/>
      <c r="D406" s="68" t="s">
        <v>620</v>
      </c>
      <c r="E406" s="141">
        <f t="shared" si="30"/>
        <v>0</v>
      </c>
      <c r="J406" s="347" t="s">
        <v>619</v>
      </c>
      <c r="K406" s="348"/>
      <c r="L406" s="349"/>
      <c r="M406" s="68" t="s">
        <v>620</v>
      </c>
      <c r="N406" s="141">
        <f t="shared" si="31"/>
        <v>0</v>
      </c>
    </row>
    <row r="407" spans="1:17" ht="15.75" x14ac:dyDescent="0.25">
      <c r="A407" s="347" t="s">
        <v>621</v>
      </c>
      <c r="B407" s="348"/>
      <c r="C407" s="349"/>
      <c r="D407" s="68" t="s">
        <v>622</v>
      </c>
      <c r="E407" s="141">
        <f t="shared" si="30"/>
        <v>0</v>
      </c>
      <c r="J407" s="347" t="s">
        <v>621</v>
      </c>
      <c r="K407" s="348"/>
      <c r="L407" s="349"/>
      <c r="M407" s="68" t="s">
        <v>622</v>
      </c>
      <c r="N407" s="141">
        <f t="shared" si="31"/>
        <v>0</v>
      </c>
      <c r="O407" s="274"/>
      <c r="P407" s="274"/>
      <c r="Q407" s="274"/>
    </row>
    <row r="408" spans="1:17" ht="15.75" x14ac:dyDescent="0.25">
      <c r="A408" s="347" t="s">
        <v>623</v>
      </c>
      <c r="B408" s="348"/>
      <c r="C408" s="349"/>
      <c r="D408" s="68" t="s">
        <v>624</v>
      </c>
      <c r="E408" s="141">
        <f t="shared" si="30"/>
        <v>0</v>
      </c>
      <c r="J408" s="347" t="s">
        <v>623</v>
      </c>
      <c r="K408" s="348"/>
      <c r="L408" s="349"/>
      <c r="M408" s="68" t="s">
        <v>624</v>
      </c>
      <c r="N408" s="141">
        <f t="shared" si="31"/>
        <v>0</v>
      </c>
    </row>
    <row r="409" spans="1:17" ht="15.75" x14ac:dyDescent="0.25">
      <c r="A409" s="347" t="s">
        <v>625</v>
      </c>
      <c r="B409" s="348"/>
      <c r="C409" s="349"/>
      <c r="D409" s="68" t="s">
        <v>626</v>
      </c>
      <c r="E409" s="141">
        <f t="shared" si="30"/>
        <v>0</v>
      </c>
      <c r="J409" s="347" t="s">
        <v>625</v>
      </c>
      <c r="K409" s="348"/>
      <c r="L409" s="349"/>
      <c r="M409" s="68" t="s">
        <v>626</v>
      </c>
      <c r="N409" s="141">
        <f t="shared" si="31"/>
        <v>0</v>
      </c>
    </row>
    <row r="410" spans="1:17" ht="15.75" x14ac:dyDescent="0.25">
      <c r="A410" s="347" t="s">
        <v>627</v>
      </c>
      <c r="B410" s="348"/>
      <c r="C410" s="349"/>
      <c r="D410" s="68" t="s">
        <v>628</v>
      </c>
      <c r="E410" s="141">
        <f t="shared" si="30"/>
        <v>0</v>
      </c>
      <c r="J410" s="347" t="s">
        <v>627</v>
      </c>
      <c r="K410" s="348"/>
      <c r="L410" s="349"/>
      <c r="M410" s="68" t="s">
        <v>628</v>
      </c>
      <c r="N410" s="141">
        <f t="shared" si="31"/>
        <v>0</v>
      </c>
    </row>
    <row r="411" spans="1:17" ht="18.75" thickBot="1" x14ac:dyDescent="0.3">
      <c r="A411" s="354" t="s">
        <v>222</v>
      </c>
      <c r="B411" s="355"/>
      <c r="C411" s="355"/>
      <c r="D411" s="356"/>
      <c r="E411" s="273">
        <f>SUM(E334:E410)</f>
        <v>1</v>
      </c>
      <c r="J411" s="350" t="s">
        <v>222</v>
      </c>
      <c r="K411" s="350"/>
      <c r="L411" s="350"/>
      <c r="M411" s="350"/>
      <c r="N411" s="273">
        <f>SUM(N334:N410)</f>
        <v>0</v>
      </c>
    </row>
    <row r="412" spans="1:17" ht="18.75" thickBot="1" x14ac:dyDescent="0.3">
      <c r="A412" s="351" t="s">
        <v>629</v>
      </c>
      <c r="B412" s="352"/>
      <c r="C412" s="352"/>
      <c r="D412" s="353"/>
      <c r="J412" s="351" t="s">
        <v>629</v>
      </c>
      <c r="K412" s="352"/>
      <c r="L412" s="352"/>
      <c r="M412" s="353"/>
    </row>
    <row r="413" spans="1:17" ht="15.75" x14ac:dyDescent="0.25">
      <c r="A413" s="347" t="s">
        <v>630</v>
      </c>
      <c r="B413" s="348"/>
      <c r="C413" s="349"/>
      <c r="D413" s="68" t="s">
        <v>631</v>
      </c>
      <c r="E413" s="141">
        <f t="shared" ref="E413:E435" si="32">COUNTIF($B$7:$Q$29,D413)+COUNTIF($K$30:$Q$53,D413)+COUNTIF($R$7:$BB$53,D413)</f>
        <v>0</v>
      </c>
      <c r="J413" s="347" t="s">
        <v>630</v>
      </c>
      <c r="K413" s="348"/>
      <c r="L413" s="349"/>
      <c r="M413" s="68" t="s">
        <v>631</v>
      </c>
      <c r="N413" s="141">
        <f t="shared" ref="N413:N435" si="33">COUNTIF($B$30:$J$50,M413)</f>
        <v>0</v>
      </c>
    </row>
    <row r="414" spans="1:17" ht="15.75" x14ac:dyDescent="0.25">
      <c r="A414" s="347" t="s">
        <v>632</v>
      </c>
      <c r="B414" s="348"/>
      <c r="C414" s="349"/>
      <c r="D414" s="68" t="s">
        <v>633</v>
      </c>
      <c r="E414" s="141">
        <f t="shared" si="32"/>
        <v>0</v>
      </c>
      <c r="J414" s="347" t="s">
        <v>632</v>
      </c>
      <c r="K414" s="348"/>
      <c r="L414" s="349"/>
      <c r="M414" s="68" t="s">
        <v>633</v>
      </c>
      <c r="N414" s="141">
        <f t="shared" si="33"/>
        <v>0</v>
      </c>
    </row>
    <row r="415" spans="1:17" ht="15.75" x14ac:dyDescent="0.25">
      <c r="A415" s="347" t="s">
        <v>634</v>
      </c>
      <c r="B415" s="348"/>
      <c r="C415" s="349"/>
      <c r="D415" s="68" t="s">
        <v>635</v>
      </c>
      <c r="E415" s="141">
        <f t="shared" si="32"/>
        <v>0</v>
      </c>
      <c r="J415" s="347" t="s">
        <v>634</v>
      </c>
      <c r="K415" s="348"/>
      <c r="L415" s="349"/>
      <c r="M415" s="68" t="s">
        <v>635</v>
      </c>
      <c r="N415" s="141">
        <f t="shared" si="33"/>
        <v>0</v>
      </c>
      <c r="O415" s="274"/>
      <c r="P415" s="274"/>
      <c r="Q415" s="274"/>
    </row>
    <row r="416" spans="1:17" ht="15.75" x14ac:dyDescent="0.25">
      <c r="A416" s="347" t="s">
        <v>636</v>
      </c>
      <c r="B416" s="348"/>
      <c r="C416" s="349"/>
      <c r="D416" s="68" t="s">
        <v>637</v>
      </c>
      <c r="E416" s="141">
        <f t="shared" si="32"/>
        <v>0</v>
      </c>
      <c r="J416" s="347" t="s">
        <v>636</v>
      </c>
      <c r="K416" s="348"/>
      <c r="L416" s="349"/>
      <c r="M416" s="68" t="s">
        <v>637</v>
      </c>
      <c r="N416" s="141">
        <f t="shared" si="33"/>
        <v>0</v>
      </c>
    </row>
    <row r="417" spans="1:17" ht="15.75" x14ac:dyDescent="0.25">
      <c r="A417" s="347" t="s">
        <v>638</v>
      </c>
      <c r="B417" s="348"/>
      <c r="C417" s="349"/>
      <c r="D417" s="68" t="s">
        <v>639</v>
      </c>
      <c r="E417" s="141">
        <f t="shared" si="32"/>
        <v>0</v>
      </c>
      <c r="J417" s="347" t="s">
        <v>638</v>
      </c>
      <c r="K417" s="348"/>
      <c r="L417" s="349"/>
      <c r="M417" s="68" t="s">
        <v>639</v>
      </c>
      <c r="N417" s="141">
        <f t="shared" si="33"/>
        <v>0</v>
      </c>
    </row>
    <row r="418" spans="1:17" ht="15.75" x14ac:dyDescent="0.25">
      <c r="A418" s="347" t="s">
        <v>640</v>
      </c>
      <c r="B418" s="348"/>
      <c r="C418" s="349"/>
      <c r="D418" s="68" t="s">
        <v>641</v>
      </c>
      <c r="E418" s="141">
        <f t="shared" si="32"/>
        <v>0</v>
      </c>
      <c r="J418" s="347" t="s">
        <v>640</v>
      </c>
      <c r="K418" s="348"/>
      <c r="L418" s="349"/>
      <c r="M418" s="68" t="s">
        <v>641</v>
      </c>
      <c r="N418" s="141">
        <f t="shared" si="33"/>
        <v>0</v>
      </c>
    </row>
    <row r="419" spans="1:17" ht="15.75" x14ac:dyDescent="0.25">
      <c r="A419" s="347" t="s">
        <v>642</v>
      </c>
      <c r="B419" s="348"/>
      <c r="C419" s="349"/>
      <c r="D419" s="68" t="s">
        <v>643</v>
      </c>
      <c r="E419" s="141">
        <f t="shared" si="32"/>
        <v>0</v>
      </c>
      <c r="J419" s="347" t="s">
        <v>642</v>
      </c>
      <c r="K419" s="348"/>
      <c r="L419" s="349"/>
      <c r="M419" s="68" t="s">
        <v>643</v>
      </c>
      <c r="N419" s="141">
        <f t="shared" si="33"/>
        <v>0</v>
      </c>
      <c r="O419" s="274"/>
      <c r="P419" s="274"/>
      <c r="Q419" s="274"/>
    </row>
    <row r="420" spans="1:17" ht="15.75" x14ac:dyDescent="0.25">
      <c r="A420" s="347" t="s">
        <v>644</v>
      </c>
      <c r="B420" s="348"/>
      <c r="C420" s="349"/>
      <c r="D420" s="68" t="s">
        <v>645</v>
      </c>
      <c r="E420" s="141">
        <f t="shared" si="32"/>
        <v>0</v>
      </c>
      <c r="J420" s="347" t="s">
        <v>644</v>
      </c>
      <c r="K420" s="348"/>
      <c r="L420" s="349"/>
      <c r="M420" s="68" t="s">
        <v>645</v>
      </c>
      <c r="N420" s="141">
        <f t="shared" si="33"/>
        <v>0</v>
      </c>
    </row>
    <row r="421" spans="1:17" ht="15.75" x14ac:dyDescent="0.25">
      <c r="A421" s="347" t="s">
        <v>115</v>
      </c>
      <c r="B421" s="348"/>
      <c r="C421" s="349"/>
      <c r="D421" s="68" t="s">
        <v>646</v>
      </c>
      <c r="E421" s="141">
        <f t="shared" si="32"/>
        <v>0</v>
      </c>
      <c r="J421" s="347" t="s">
        <v>115</v>
      </c>
      <c r="K421" s="348"/>
      <c r="L421" s="349"/>
      <c r="M421" s="68" t="s">
        <v>646</v>
      </c>
      <c r="N421" s="141">
        <f t="shared" si="33"/>
        <v>0</v>
      </c>
    </row>
    <row r="422" spans="1:17" ht="15.75" x14ac:dyDescent="0.25">
      <c r="A422" s="347" t="s">
        <v>647</v>
      </c>
      <c r="B422" s="348"/>
      <c r="C422" s="349"/>
      <c r="D422" s="68" t="s">
        <v>648</v>
      </c>
      <c r="E422" s="141">
        <f t="shared" si="32"/>
        <v>0</v>
      </c>
      <c r="J422" s="347" t="s">
        <v>647</v>
      </c>
      <c r="K422" s="348"/>
      <c r="L422" s="349"/>
      <c r="M422" s="68" t="s">
        <v>648</v>
      </c>
      <c r="N422" s="141">
        <f t="shared" si="33"/>
        <v>0</v>
      </c>
      <c r="O422" s="274"/>
      <c r="P422" s="274"/>
      <c r="Q422" s="274"/>
    </row>
    <row r="423" spans="1:17" ht="15.75" x14ac:dyDescent="0.25">
      <c r="A423" s="347" t="s">
        <v>649</v>
      </c>
      <c r="B423" s="348"/>
      <c r="C423" s="349"/>
      <c r="D423" s="68" t="s">
        <v>650</v>
      </c>
      <c r="E423" s="141">
        <f t="shared" si="32"/>
        <v>0</v>
      </c>
      <c r="J423" s="347" t="s">
        <v>649</v>
      </c>
      <c r="K423" s="348"/>
      <c r="L423" s="349"/>
      <c r="M423" s="68" t="s">
        <v>650</v>
      </c>
      <c r="N423" s="141">
        <f t="shared" si="33"/>
        <v>0</v>
      </c>
    </row>
    <row r="424" spans="1:17" ht="15.75" x14ac:dyDescent="0.25">
      <c r="A424" s="347" t="s">
        <v>651</v>
      </c>
      <c r="B424" s="348"/>
      <c r="C424" s="349"/>
      <c r="D424" s="68" t="s">
        <v>652</v>
      </c>
      <c r="E424" s="141">
        <f t="shared" si="32"/>
        <v>0</v>
      </c>
      <c r="J424" s="347" t="s">
        <v>651</v>
      </c>
      <c r="K424" s="348"/>
      <c r="L424" s="349"/>
      <c r="M424" s="68" t="s">
        <v>652</v>
      </c>
      <c r="N424" s="141">
        <f t="shared" si="33"/>
        <v>0</v>
      </c>
    </row>
    <row r="425" spans="1:17" ht="15.75" x14ac:dyDescent="0.25">
      <c r="A425" s="347" t="s">
        <v>653</v>
      </c>
      <c r="B425" s="348"/>
      <c r="C425" s="349"/>
      <c r="D425" s="68" t="s">
        <v>654</v>
      </c>
      <c r="E425" s="141">
        <f t="shared" si="32"/>
        <v>0</v>
      </c>
      <c r="J425" s="347" t="s">
        <v>653</v>
      </c>
      <c r="K425" s="348"/>
      <c r="L425" s="349"/>
      <c r="M425" s="68" t="s">
        <v>654</v>
      </c>
      <c r="N425" s="141">
        <f t="shared" si="33"/>
        <v>0</v>
      </c>
    </row>
    <row r="426" spans="1:17" ht="15.75" x14ac:dyDescent="0.25">
      <c r="A426" s="347" t="s">
        <v>107</v>
      </c>
      <c r="B426" s="348"/>
      <c r="C426" s="349"/>
      <c r="D426" s="68" t="s">
        <v>655</v>
      </c>
      <c r="E426" s="141">
        <f t="shared" si="32"/>
        <v>0</v>
      </c>
      <c r="J426" s="347" t="s">
        <v>107</v>
      </c>
      <c r="K426" s="348"/>
      <c r="L426" s="349"/>
      <c r="M426" s="68" t="s">
        <v>655</v>
      </c>
      <c r="N426" s="141">
        <f t="shared" si="33"/>
        <v>0</v>
      </c>
    </row>
    <row r="427" spans="1:17" ht="15.75" x14ac:dyDescent="0.25">
      <c r="A427" s="347" t="s">
        <v>656</v>
      </c>
      <c r="B427" s="348"/>
      <c r="C427" s="349"/>
      <c r="D427" s="68" t="s">
        <v>657</v>
      </c>
      <c r="E427" s="141">
        <f t="shared" si="32"/>
        <v>0</v>
      </c>
      <c r="J427" s="347" t="s">
        <v>656</v>
      </c>
      <c r="K427" s="348"/>
      <c r="L427" s="349"/>
      <c r="M427" s="68" t="s">
        <v>657</v>
      </c>
      <c r="N427" s="141">
        <f t="shared" si="33"/>
        <v>0</v>
      </c>
    </row>
    <row r="428" spans="1:17" ht="15.75" x14ac:dyDescent="0.25">
      <c r="A428" s="347" t="s">
        <v>658</v>
      </c>
      <c r="B428" s="348"/>
      <c r="C428" s="349"/>
      <c r="D428" s="68" t="s">
        <v>659</v>
      </c>
      <c r="E428" s="141">
        <f t="shared" si="32"/>
        <v>0</v>
      </c>
      <c r="J428" s="347" t="s">
        <v>658</v>
      </c>
      <c r="K428" s="348"/>
      <c r="L428" s="349"/>
      <c r="M428" s="68" t="s">
        <v>659</v>
      </c>
      <c r="N428" s="141">
        <f t="shared" si="33"/>
        <v>0</v>
      </c>
    </row>
    <row r="429" spans="1:17" ht="15.75" x14ac:dyDescent="0.25">
      <c r="A429" s="347" t="s">
        <v>660</v>
      </c>
      <c r="B429" s="348"/>
      <c r="C429" s="349"/>
      <c r="D429" s="68" t="s">
        <v>661</v>
      </c>
      <c r="E429" s="141">
        <f t="shared" si="32"/>
        <v>0</v>
      </c>
      <c r="J429" s="347" t="s">
        <v>660</v>
      </c>
      <c r="K429" s="348"/>
      <c r="L429" s="349"/>
      <c r="M429" s="68" t="s">
        <v>661</v>
      </c>
      <c r="N429" s="141">
        <f t="shared" si="33"/>
        <v>0</v>
      </c>
    </row>
    <row r="430" spans="1:17" ht="15.75" x14ac:dyDescent="0.25">
      <c r="A430" s="347" t="s">
        <v>662</v>
      </c>
      <c r="B430" s="348"/>
      <c r="C430" s="349"/>
      <c r="D430" s="68" t="s">
        <v>663</v>
      </c>
      <c r="E430" s="141">
        <f t="shared" si="32"/>
        <v>0</v>
      </c>
      <c r="J430" s="347" t="s">
        <v>662</v>
      </c>
      <c r="K430" s="348"/>
      <c r="L430" s="349"/>
      <c r="M430" s="68" t="s">
        <v>663</v>
      </c>
      <c r="N430" s="141">
        <f t="shared" si="33"/>
        <v>0</v>
      </c>
    </row>
    <row r="431" spans="1:17" ht="15.75" x14ac:dyDescent="0.25">
      <c r="A431" s="347" t="s">
        <v>664</v>
      </c>
      <c r="B431" s="348"/>
      <c r="C431" s="349"/>
      <c r="D431" s="68" t="s">
        <v>665</v>
      </c>
      <c r="E431" s="141">
        <f t="shared" si="32"/>
        <v>0</v>
      </c>
      <c r="J431" s="347" t="s">
        <v>664</v>
      </c>
      <c r="K431" s="348"/>
      <c r="L431" s="349"/>
      <c r="M431" s="68" t="s">
        <v>665</v>
      </c>
      <c r="N431" s="141">
        <f t="shared" si="33"/>
        <v>0</v>
      </c>
    </row>
    <row r="432" spans="1:17" ht="15.75" x14ac:dyDescent="0.25">
      <c r="A432" s="347" t="s">
        <v>103</v>
      </c>
      <c r="B432" s="348"/>
      <c r="C432" s="349"/>
      <c r="D432" s="68" t="s">
        <v>666</v>
      </c>
      <c r="E432" s="141">
        <f t="shared" si="32"/>
        <v>0</v>
      </c>
      <c r="J432" s="347" t="s">
        <v>103</v>
      </c>
      <c r="K432" s="348"/>
      <c r="L432" s="349"/>
      <c r="M432" s="68" t="s">
        <v>666</v>
      </c>
      <c r="N432" s="141">
        <f t="shared" si="33"/>
        <v>0</v>
      </c>
    </row>
    <row r="433" spans="1:14" ht="15.75" x14ac:dyDescent="0.25">
      <c r="A433" s="347" t="s">
        <v>667</v>
      </c>
      <c r="B433" s="348"/>
      <c r="C433" s="349"/>
      <c r="D433" s="68" t="s">
        <v>668</v>
      </c>
      <c r="E433" s="141">
        <f t="shared" si="32"/>
        <v>0</v>
      </c>
      <c r="J433" s="347" t="s">
        <v>667</v>
      </c>
      <c r="K433" s="348"/>
      <c r="L433" s="349"/>
      <c r="M433" s="68" t="s">
        <v>668</v>
      </c>
      <c r="N433" s="141">
        <f t="shared" si="33"/>
        <v>0</v>
      </c>
    </row>
    <row r="434" spans="1:14" ht="15.75" x14ac:dyDescent="0.25">
      <c r="A434" s="347" t="s">
        <v>111</v>
      </c>
      <c r="B434" s="348"/>
      <c r="C434" s="349"/>
      <c r="D434" s="68" t="s">
        <v>669</v>
      </c>
      <c r="E434" s="141">
        <f t="shared" si="32"/>
        <v>0</v>
      </c>
      <c r="J434" s="347" t="s">
        <v>111</v>
      </c>
      <c r="K434" s="348"/>
      <c r="L434" s="349"/>
      <c r="M434" s="68" t="s">
        <v>669</v>
      </c>
      <c r="N434" s="141">
        <f t="shared" si="33"/>
        <v>0</v>
      </c>
    </row>
    <row r="435" spans="1:14" ht="15.75" x14ac:dyDescent="0.25">
      <c r="A435" s="347" t="s">
        <v>670</v>
      </c>
      <c r="B435" s="348"/>
      <c r="C435" s="349"/>
      <c r="D435" s="68" t="s">
        <v>671</v>
      </c>
      <c r="E435" s="141">
        <f t="shared" si="32"/>
        <v>0</v>
      </c>
      <c r="J435" s="347" t="s">
        <v>670</v>
      </c>
      <c r="K435" s="348"/>
      <c r="L435" s="349"/>
      <c r="M435" s="68" t="s">
        <v>671</v>
      </c>
      <c r="N435" s="141">
        <f t="shared" si="33"/>
        <v>0</v>
      </c>
    </row>
    <row r="436" spans="1:14" ht="18.75" thickBot="1" x14ac:dyDescent="0.3">
      <c r="A436" s="350" t="s">
        <v>222</v>
      </c>
      <c r="B436" s="350"/>
      <c r="C436" s="350"/>
      <c r="D436" s="350"/>
      <c r="E436" s="273">
        <f>SUM(E413:E435)</f>
        <v>0</v>
      </c>
      <c r="J436" s="350" t="s">
        <v>222</v>
      </c>
      <c r="K436" s="350"/>
      <c r="L436" s="350"/>
      <c r="M436" s="350"/>
      <c r="N436" s="273">
        <f>SUM(N413:N435)</f>
        <v>0</v>
      </c>
    </row>
    <row r="437" spans="1:14" ht="18.75" thickBot="1" x14ac:dyDescent="0.3">
      <c r="A437" s="351" t="s">
        <v>672</v>
      </c>
      <c r="B437" s="352"/>
      <c r="C437" s="352"/>
      <c r="D437" s="353"/>
      <c r="F437" s="274"/>
      <c r="G437" s="274"/>
      <c r="H437" s="274"/>
      <c r="I437" s="274"/>
      <c r="J437" s="351" t="s">
        <v>672</v>
      </c>
      <c r="K437" s="352"/>
      <c r="L437" s="352"/>
      <c r="M437" s="353"/>
    </row>
    <row r="438" spans="1:14" ht="15.75" x14ac:dyDescent="0.25">
      <c r="A438" s="347" t="s">
        <v>422</v>
      </c>
      <c r="B438" s="348"/>
      <c r="C438" s="349"/>
      <c r="D438" s="68" t="s">
        <v>673</v>
      </c>
      <c r="E438" s="141">
        <f t="shared" ref="E438:E443" si="34">COUNTIF($B$7:$Q$29,D438)+COUNTIF($K$30:$Q$53,D438)+COUNTIF($R$7:$BB$53,D438)</f>
        <v>0</v>
      </c>
      <c r="J438" s="347" t="s">
        <v>422</v>
      </c>
      <c r="K438" s="348"/>
      <c r="L438" s="349"/>
      <c r="M438" s="68" t="s">
        <v>673</v>
      </c>
      <c r="N438" s="141">
        <f t="shared" ref="N438:N443" si="35">COUNTIF($B$30:$J$50,M438)</f>
        <v>0</v>
      </c>
    </row>
    <row r="439" spans="1:14" ht="15.75" x14ac:dyDescent="0.25">
      <c r="A439" s="347" t="s">
        <v>479</v>
      </c>
      <c r="B439" s="348"/>
      <c r="C439" s="349"/>
      <c r="D439" s="68" t="s">
        <v>674</v>
      </c>
      <c r="E439" s="141">
        <f t="shared" si="34"/>
        <v>0</v>
      </c>
      <c r="J439" s="347" t="s">
        <v>479</v>
      </c>
      <c r="K439" s="348"/>
      <c r="L439" s="349"/>
      <c r="M439" s="68" t="s">
        <v>674</v>
      </c>
      <c r="N439" s="141">
        <f t="shared" si="35"/>
        <v>0</v>
      </c>
    </row>
    <row r="440" spans="1:14" ht="15.75" x14ac:dyDescent="0.25">
      <c r="A440" s="347" t="s">
        <v>446</v>
      </c>
      <c r="B440" s="348"/>
      <c r="C440" s="349"/>
      <c r="D440" s="68" t="s">
        <v>675</v>
      </c>
      <c r="E440" s="141">
        <f t="shared" si="34"/>
        <v>0</v>
      </c>
      <c r="J440" s="347" t="s">
        <v>446</v>
      </c>
      <c r="K440" s="348"/>
      <c r="L440" s="349"/>
      <c r="M440" s="68" t="s">
        <v>675</v>
      </c>
      <c r="N440" s="141">
        <f t="shared" si="35"/>
        <v>0</v>
      </c>
    </row>
    <row r="441" spans="1:14" ht="15.75" x14ac:dyDescent="0.25">
      <c r="A441" s="347" t="s">
        <v>511</v>
      </c>
      <c r="B441" s="348"/>
      <c r="C441" s="349"/>
      <c r="D441" s="68" t="s">
        <v>676</v>
      </c>
      <c r="E441" s="141">
        <f t="shared" si="34"/>
        <v>0</v>
      </c>
      <c r="J441" s="347" t="s">
        <v>511</v>
      </c>
      <c r="K441" s="348"/>
      <c r="L441" s="349"/>
      <c r="M441" s="68" t="s">
        <v>676</v>
      </c>
      <c r="N441" s="141">
        <f t="shared" si="35"/>
        <v>0</v>
      </c>
    </row>
    <row r="442" spans="1:14" ht="15.75" x14ac:dyDescent="0.25">
      <c r="A442" s="347" t="s">
        <v>454</v>
      </c>
      <c r="B442" s="348"/>
      <c r="C442" s="349"/>
      <c r="D442" s="68" t="s">
        <v>677</v>
      </c>
      <c r="E442" s="141">
        <f t="shared" si="34"/>
        <v>0</v>
      </c>
      <c r="J442" s="347" t="s">
        <v>454</v>
      </c>
      <c r="K442" s="348"/>
      <c r="L442" s="349"/>
      <c r="M442" s="68" t="s">
        <v>677</v>
      </c>
      <c r="N442" s="141">
        <f t="shared" si="35"/>
        <v>0</v>
      </c>
    </row>
    <row r="443" spans="1:14" ht="15.75" x14ac:dyDescent="0.25">
      <c r="A443" s="347" t="s">
        <v>517</v>
      </c>
      <c r="B443" s="348"/>
      <c r="C443" s="349"/>
      <c r="D443" s="68" t="s">
        <v>678</v>
      </c>
      <c r="E443" s="141">
        <f t="shared" si="34"/>
        <v>0</v>
      </c>
      <c r="J443" s="347" t="s">
        <v>517</v>
      </c>
      <c r="K443" s="348"/>
      <c r="L443" s="349"/>
      <c r="M443" s="68" t="s">
        <v>678</v>
      </c>
      <c r="N443" s="141">
        <f t="shared" si="35"/>
        <v>0</v>
      </c>
    </row>
    <row r="444" spans="1:14" ht="18.75" thickBot="1" x14ac:dyDescent="0.3">
      <c r="A444" s="350" t="s">
        <v>222</v>
      </c>
      <c r="B444" s="350"/>
      <c r="C444" s="350"/>
      <c r="D444" s="350"/>
      <c r="E444" s="273">
        <f>SUM(E438:E442)</f>
        <v>0</v>
      </c>
      <c r="J444" s="350" t="s">
        <v>222</v>
      </c>
      <c r="K444" s="350"/>
      <c r="L444" s="350"/>
      <c r="M444" s="350"/>
      <c r="N444" s="273">
        <f>SUM(N438:N442)</f>
        <v>0</v>
      </c>
    </row>
    <row r="445" spans="1:14" ht="18.75" thickBot="1" x14ac:dyDescent="0.3">
      <c r="A445" s="351" t="s">
        <v>30</v>
      </c>
      <c r="B445" s="352"/>
      <c r="C445" s="352"/>
      <c r="D445" s="353"/>
      <c r="F445" s="274"/>
      <c r="G445" s="274"/>
      <c r="H445" s="274"/>
      <c r="I445" s="274"/>
      <c r="J445" s="351" t="s">
        <v>30</v>
      </c>
      <c r="K445" s="352"/>
      <c r="L445" s="352"/>
      <c r="M445" s="353"/>
    </row>
    <row r="446" spans="1:14" ht="15.75" x14ac:dyDescent="0.25">
      <c r="A446" s="347" t="s">
        <v>422</v>
      </c>
      <c r="B446" s="348"/>
      <c r="C446" s="349"/>
      <c r="D446" s="68" t="s">
        <v>679</v>
      </c>
      <c r="E446" s="141">
        <f>COUNTIF($B$7:$Q$29,D446)+COUNTIF($K$30:$Q$53,D446)+COUNTIF($R$7:$BB$53,D446)</f>
        <v>0</v>
      </c>
      <c r="J446" s="347" t="s">
        <v>422</v>
      </c>
      <c r="K446" s="348"/>
      <c r="L446" s="349"/>
      <c r="M446" s="68" t="s">
        <v>679</v>
      </c>
      <c r="N446" s="141">
        <f>COUNTIF($B$30:$J$50,M446)</f>
        <v>0</v>
      </c>
    </row>
    <row r="447" spans="1:14" ht="15.75" x14ac:dyDescent="0.25">
      <c r="A447" s="347" t="s">
        <v>479</v>
      </c>
      <c r="B447" s="348"/>
      <c r="C447" s="349"/>
      <c r="D447" s="68" t="s">
        <v>680</v>
      </c>
      <c r="E447" s="141">
        <f>COUNTIF($B$7:$Q$29,D447)+COUNTIF($K$30:$Q$53,D447)+COUNTIF($R$7:$BB$53,D447)</f>
        <v>0</v>
      </c>
      <c r="J447" s="347" t="s">
        <v>479</v>
      </c>
      <c r="K447" s="348"/>
      <c r="L447" s="349"/>
      <c r="M447" s="68" t="s">
        <v>680</v>
      </c>
      <c r="N447" s="141">
        <f>COUNTIF($B$30:$J$50,M447)</f>
        <v>0</v>
      </c>
    </row>
    <row r="448" spans="1:14" ht="15.75" x14ac:dyDescent="0.25">
      <c r="A448" s="347" t="s">
        <v>681</v>
      </c>
      <c r="B448" s="348"/>
      <c r="C448" s="349"/>
      <c r="D448" s="68" t="s">
        <v>682</v>
      </c>
      <c r="E448" s="141">
        <f>COUNTIF($B$7:$Q$29,D448)+COUNTIF($K$30:$Q$53,D448)+COUNTIF($R$7:$BB$53,D448)</f>
        <v>0</v>
      </c>
      <c r="J448" s="347" t="s">
        <v>681</v>
      </c>
      <c r="K448" s="348"/>
      <c r="L448" s="349"/>
      <c r="M448" s="68" t="s">
        <v>682</v>
      </c>
      <c r="N448" s="141">
        <f>COUNTIF($B$30:$J$50,M448)</f>
        <v>0</v>
      </c>
    </row>
    <row r="449" spans="1:14" ht="15.75" x14ac:dyDescent="0.25">
      <c r="A449" s="347" t="s">
        <v>683</v>
      </c>
      <c r="B449" s="348"/>
      <c r="C449" s="349"/>
      <c r="D449" s="68" t="s">
        <v>684</v>
      </c>
      <c r="E449" s="141">
        <f>COUNTIF($B$7:$Q$29,D449)+COUNTIF($K$30:$Q$53,D449)+COUNTIF($R$7:$BB$53,D449)</f>
        <v>0</v>
      </c>
      <c r="J449" s="347" t="s">
        <v>683</v>
      </c>
      <c r="K449" s="348"/>
      <c r="L449" s="349"/>
      <c r="M449" s="68" t="s">
        <v>684</v>
      </c>
      <c r="N449" s="141">
        <f>COUNTIF($B$30:$J$50,M449)</f>
        <v>0</v>
      </c>
    </row>
    <row r="450" spans="1:14" ht="18.75" thickBot="1" x14ac:dyDescent="0.3">
      <c r="A450" s="350" t="s">
        <v>222</v>
      </c>
      <c r="B450" s="350"/>
      <c r="C450" s="350"/>
      <c r="D450" s="350"/>
      <c r="E450" s="273">
        <f>SUM(E446:E449)</f>
        <v>0</v>
      </c>
      <c r="J450" s="350" t="s">
        <v>222</v>
      </c>
      <c r="K450" s="350"/>
      <c r="L450" s="350"/>
      <c r="M450" s="350"/>
      <c r="N450" s="273">
        <f>SUM(N446:N449)</f>
        <v>0</v>
      </c>
    </row>
    <row r="451" spans="1:14" ht="18.75" thickBot="1" x14ac:dyDescent="0.3">
      <c r="A451" s="351" t="s">
        <v>685</v>
      </c>
      <c r="B451" s="352"/>
      <c r="C451" s="352"/>
      <c r="D451" s="353"/>
      <c r="F451" s="274"/>
      <c r="G451" s="274"/>
      <c r="H451" s="274"/>
      <c r="I451" s="274"/>
      <c r="J451" s="351" t="s">
        <v>685</v>
      </c>
      <c r="K451" s="352"/>
      <c r="L451" s="352"/>
      <c r="M451" s="353"/>
    </row>
    <row r="452" spans="1:14" ht="15.75" x14ac:dyDescent="0.25">
      <c r="A452" s="347" t="s">
        <v>16</v>
      </c>
      <c r="B452" s="348"/>
      <c r="C452" s="349"/>
      <c r="D452" s="68" t="s">
        <v>686</v>
      </c>
      <c r="E452" s="141">
        <f t="shared" ref="E452:E463" si="36">COUNTIF($B$7:$Q$29,D452)+COUNTIF($K$30:$Q$53,D452)+COUNTIF($R$7:$BB$53,D452)</f>
        <v>0</v>
      </c>
      <c r="J452" s="347" t="s">
        <v>16</v>
      </c>
      <c r="K452" s="348"/>
      <c r="L452" s="349"/>
      <c r="M452" s="68" t="s">
        <v>686</v>
      </c>
      <c r="N452" s="141">
        <f t="shared" ref="N452:N463" si="37">COUNTIF($B$30:$J$50,M452)</f>
        <v>0</v>
      </c>
    </row>
    <row r="453" spans="1:14" ht="15.75" x14ac:dyDescent="0.25">
      <c r="A453" s="347" t="s">
        <v>634</v>
      </c>
      <c r="B453" s="348"/>
      <c r="C453" s="349"/>
      <c r="D453" s="68" t="s">
        <v>687</v>
      </c>
      <c r="E453" s="141">
        <f t="shared" si="36"/>
        <v>0</v>
      </c>
      <c r="J453" s="347" t="s">
        <v>634</v>
      </c>
      <c r="K453" s="348"/>
      <c r="L453" s="349"/>
      <c r="M453" s="68" t="s">
        <v>687</v>
      </c>
      <c r="N453" s="141">
        <f t="shared" si="37"/>
        <v>0</v>
      </c>
    </row>
    <row r="454" spans="1:14" ht="15.75" x14ac:dyDescent="0.25">
      <c r="A454" s="347" t="s">
        <v>688</v>
      </c>
      <c r="B454" s="348"/>
      <c r="C454" s="349"/>
      <c r="D454" s="68" t="s">
        <v>689</v>
      </c>
      <c r="E454" s="141">
        <f t="shared" si="36"/>
        <v>0</v>
      </c>
      <c r="J454" s="347" t="s">
        <v>688</v>
      </c>
      <c r="K454" s="348"/>
      <c r="L454" s="349"/>
      <c r="M454" s="68" t="s">
        <v>689</v>
      </c>
      <c r="N454" s="141">
        <f t="shared" si="37"/>
        <v>0</v>
      </c>
    </row>
    <row r="455" spans="1:14" ht="15.75" x14ac:dyDescent="0.25">
      <c r="A455" s="347" t="s">
        <v>26</v>
      </c>
      <c r="B455" s="348"/>
      <c r="C455" s="349"/>
      <c r="D455" s="68" t="s">
        <v>690</v>
      </c>
      <c r="E455" s="141">
        <f t="shared" si="36"/>
        <v>0</v>
      </c>
      <c r="J455" s="347" t="s">
        <v>26</v>
      </c>
      <c r="K455" s="348"/>
      <c r="L455" s="349"/>
      <c r="M455" s="68" t="s">
        <v>690</v>
      </c>
      <c r="N455" s="141">
        <f t="shared" si="37"/>
        <v>0</v>
      </c>
    </row>
    <row r="456" spans="1:14" ht="15.75" x14ac:dyDescent="0.25">
      <c r="A456" s="347" t="s">
        <v>115</v>
      </c>
      <c r="B456" s="348"/>
      <c r="C456" s="349"/>
      <c r="D456" s="68" t="s">
        <v>691</v>
      </c>
      <c r="E456" s="141">
        <f t="shared" si="36"/>
        <v>0</v>
      </c>
      <c r="J456" s="347" t="s">
        <v>115</v>
      </c>
      <c r="K456" s="348"/>
      <c r="L456" s="349"/>
      <c r="M456" s="68" t="s">
        <v>691</v>
      </c>
      <c r="N456" s="141">
        <f t="shared" si="37"/>
        <v>0</v>
      </c>
    </row>
    <row r="457" spans="1:14" ht="15.75" x14ac:dyDescent="0.25">
      <c r="A457" s="347" t="s">
        <v>34</v>
      </c>
      <c r="B457" s="348"/>
      <c r="C457" s="349"/>
      <c r="D457" s="68" t="s">
        <v>692</v>
      </c>
      <c r="E457" s="141">
        <f t="shared" si="36"/>
        <v>0</v>
      </c>
      <c r="J457" s="347" t="s">
        <v>34</v>
      </c>
      <c r="K457" s="348"/>
      <c r="L457" s="349"/>
      <c r="M457" s="68" t="s">
        <v>692</v>
      </c>
      <c r="N457" s="141">
        <f t="shared" si="37"/>
        <v>0</v>
      </c>
    </row>
    <row r="458" spans="1:14" ht="15.75" x14ac:dyDescent="0.25">
      <c r="A458" s="347" t="s">
        <v>50</v>
      </c>
      <c r="B458" s="348"/>
      <c r="C458" s="349"/>
      <c r="D458" s="68" t="s">
        <v>693</v>
      </c>
      <c r="E458" s="141">
        <f t="shared" si="36"/>
        <v>0</v>
      </c>
      <c r="J458" s="347" t="s">
        <v>50</v>
      </c>
      <c r="K458" s="348"/>
      <c r="L458" s="349"/>
      <c r="M458" s="68" t="s">
        <v>693</v>
      </c>
      <c r="N458" s="141">
        <f t="shared" si="37"/>
        <v>0</v>
      </c>
    </row>
    <row r="459" spans="1:14" ht="15.75" x14ac:dyDescent="0.25">
      <c r="A459" s="347" t="s">
        <v>54</v>
      </c>
      <c r="B459" s="348"/>
      <c r="C459" s="349"/>
      <c r="D459" s="68" t="s">
        <v>694</v>
      </c>
      <c r="E459" s="141">
        <f t="shared" si="36"/>
        <v>0</v>
      </c>
      <c r="J459" s="347" t="s">
        <v>54</v>
      </c>
      <c r="K459" s="348"/>
      <c r="L459" s="349"/>
      <c r="M459" s="68" t="s">
        <v>694</v>
      </c>
      <c r="N459" s="141">
        <f t="shared" si="37"/>
        <v>0</v>
      </c>
    </row>
    <row r="460" spans="1:14" ht="15.75" x14ac:dyDescent="0.25">
      <c r="A460" s="347" t="s">
        <v>695</v>
      </c>
      <c r="B460" s="348"/>
      <c r="C460" s="349"/>
      <c r="D460" s="68" t="s">
        <v>696</v>
      </c>
      <c r="E460" s="141">
        <f t="shared" si="36"/>
        <v>0</v>
      </c>
      <c r="J460" s="347" t="s">
        <v>695</v>
      </c>
      <c r="K460" s="348"/>
      <c r="L460" s="349"/>
      <c r="M460" s="68" t="s">
        <v>696</v>
      </c>
      <c r="N460" s="141">
        <f t="shared" si="37"/>
        <v>0</v>
      </c>
    </row>
    <row r="461" spans="1:14" ht="15.75" x14ac:dyDescent="0.25">
      <c r="A461" s="347" t="s">
        <v>107</v>
      </c>
      <c r="B461" s="348"/>
      <c r="C461" s="349"/>
      <c r="D461" s="68" t="s">
        <v>697</v>
      </c>
      <c r="E461" s="141">
        <f t="shared" si="36"/>
        <v>0</v>
      </c>
      <c r="J461" s="347" t="s">
        <v>107</v>
      </c>
      <c r="K461" s="348"/>
      <c r="L461" s="349"/>
      <c r="M461" s="68" t="s">
        <v>697</v>
      </c>
      <c r="N461" s="141">
        <f t="shared" si="37"/>
        <v>0</v>
      </c>
    </row>
    <row r="462" spans="1:14" ht="15.75" x14ac:dyDescent="0.25">
      <c r="A462" s="347" t="s">
        <v>111</v>
      </c>
      <c r="B462" s="348"/>
      <c r="C462" s="349"/>
      <c r="D462" s="68" t="s">
        <v>698</v>
      </c>
      <c r="E462" s="141">
        <f t="shared" si="36"/>
        <v>0</v>
      </c>
      <c r="J462" s="347" t="s">
        <v>111</v>
      </c>
      <c r="K462" s="348"/>
      <c r="L462" s="349"/>
      <c r="M462" s="68" t="s">
        <v>698</v>
      </c>
      <c r="N462" s="141">
        <f t="shared" si="37"/>
        <v>0</v>
      </c>
    </row>
    <row r="463" spans="1:14" ht="15.75" x14ac:dyDescent="0.25">
      <c r="A463" s="347" t="s">
        <v>103</v>
      </c>
      <c r="B463" s="348"/>
      <c r="C463" s="349"/>
      <c r="D463" s="68" t="s">
        <v>699</v>
      </c>
      <c r="E463" s="141">
        <f t="shared" si="36"/>
        <v>0</v>
      </c>
      <c r="J463" s="347" t="s">
        <v>103</v>
      </c>
      <c r="K463" s="348"/>
      <c r="L463" s="349"/>
      <c r="M463" s="68" t="s">
        <v>699</v>
      </c>
      <c r="N463" s="141">
        <f t="shared" si="37"/>
        <v>0</v>
      </c>
    </row>
    <row r="464" spans="1:14" ht="18.75" thickBot="1" x14ac:dyDescent="0.3">
      <c r="A464" s="350" t="s">
        <v>222</v>
      </c>
      <c r="B464" s="350"/>
      <c r="C464" s="350"/>
      <c r="D464" s="350"/>
      <c r="E464" s="273">
        <f>SUM(E463:E463)</f>
        <v>0</v>
      </c>
      <c r="J464" s="350" t="s">
        <v>222</v>
      </c>
      <c r="K464" s="350"/>
      <c r="L464" s="350"/>
      <c r="M464" s="350"/>
      <c r="N464" s="273">
        <f>SUM(N463:N463)</f>
        <v>0</v>
      </c>
    </row>
    <row r="465" spans="1:31" ht="18.75" thickBot="1" x14ac:dyDescent="0.3">
      <c r="A465" s="351" t="s">
        <v>700</v>
      </c>
      <c r="B465" s="352"/>
      <c r="C465" s="352"/>
      <c r="D465" s="353"/>
      <c r="F465" s="274"/>
      <c r="G465" s="274"/>
      <c r="H465" s="274"/>
      <c r="I465" s="274"/>
      <c r="J465" s="351" t="s">
        <v>700</v>
      </c>
      <c r="K465" s="352"/>
      <c r="L465" s="352"/>
      <c r="M465" s="353"/>
    </row>
    <row r="466" spans="1:31" ht="15.75" x14ac:dyDescent="0.25">
      <c r="A466" s="347" t="s">
        <v>701</v>
      </c>
      <c r="B466" s="348"/>
      <c r="C466" s="349"/>
      <c r="D466" s="68" t="s">
        <v>702</v>
      </c>
      <c r="E466" s="141">
        <f t="shared" ref="E466:E475" si="38">COUNTIF($B$7:$Q$29,D466)+COUNTIF($K$30:$Q$53,D466)+COUNTIF($R$7:$BB$53,D466)</f>
        <v>0</v>
      </c>
      <c r="J466" s="347" t="s">
        <v>701</v>
      </c>
      <c r="K466" s="348"/>
      <c r="L466" s="349"/>
      <c r="M466" s="68" t="s">
        <v>702</v>
      </c>
      <c r="N466" s="141">
        <f t="shared" ref="N466:N475" si="39">COUNTIF($B$30:$J$50,M466)</f>
        <v>0</v>
      </c>
    </row>
    <row r="467" spans="1:31" ht="15.75" x14ac:dyDescent="0.25">
      <c r="A467" s="347" t="s">
        <v>703</v>
      </c>
      <c r="B467" s="348"/>
      <c r="C467" s="349"/>
      <c r="D467" s="68" t="s">
        <v>704</v>
      </c>
      <c r="E467" s="141">
        <f t="shared" si="38"/>
        <v>0</v>
      </c>
      <c r="J467" s="347" t="s">
        <v>703</v>
      </c>
      <c r="K467" s="348"/>
      <c r="L467" s="349"/>
      <c r="M467" s="68" t="s">
        <v>704</v>
      </c>
      <c r="N467" s="141">
        <f t="shared" si="39"/>
        <v>0</v>
      </c>
    </row>
    <row r="468" spans="1:31" ht="15.75" x14ac:dyDescent="0.25">
      <c r="A468" s="347" t="s">
        <v>705</v>
      </c>
      <c r="B468" s="348"/>
      <c r="C468" s="349"/>
      <c r="D468" s="68" t="s">
        <v>706</v>
      </c>
      <c r="E468" s="141">
        <f t="shared" si="38"/>
        <v>0</v>
      </c>
      <c r="J468" s="347" t="s">
        <v>705</v>
      </c>
      <c r="K468" s="348"/>
      <c r="L468" s="349"/>
      <c r="M468" s="68" t="s">
        <v>706</v>
      </c>
      <c r="N468" s="141">
        <f t="shared" si="39"/>
        <v>0</v>
      </c>
    </row>
    <row r="469" spans="1:31" ht="15.75" x14ac:dyDescent="0.25">
      <c r="A469" s="347" t="s">
        <v>707</v>
      </c>
      <c r="B469" s="348"/>
      <c r="C469" s="349"/>
      <c r="D469" s="68" t="s">
        <v>708</v>
      </c>
      <c r="E469" s="141">
        <f t="shared" si="38"/>
        <v>0</v>
      </c>
      <c r="J469" s="347" t="s">
        <v>707</v>
      </c>
      <c r="K469" s="348"/>
      <c r="L469" s="349"/>
      <c r="M469" s="68" t="s">
        <v>708</v>
      </c>
      <c r="N469" s="141">
        <f t="shared" si="39"/>
        <v>0</v>
      </c>
    </row>
    <row r="470" spans="1:31" ht="15.75" x14ac:dyDescent="0.25">
      <c r="A470" s="347" t="s">
        <v>709</v>
      </c>
      <c r="B470" s="348"/>
      <c r="C470" s="349"/>
      <c r="D470" s="68" t="s">
        <v>710</v>
      </c>
      <c r="E470" s="141">
        <f t="shared" si="38"/>
        <v>0</v>
      </c>
      <c r="J470" s="347" t="s">
        <v>709</v>
      </c>
      <c r="K470" s="348"/>
      <c r="L470" s="349"/>
      <c r="M470" s="68" t="s">
        <v>710</v>
      </c>
      <c r="N470" s="141">
        <f t="shared" si="39"/>
        <v>0</v>
      </c>
    </row>
    <row r="471" spans="1:31" ht="15.75" x14ac:dyDescent="0.25">
      <c r="A471" s="347" t="s">
        <v>711</v>
      </c>
      <c r="B471" s="348"/>
      <c r="C471" s="349"/>
      <c r="D471" s="68" t="s">
        <v>712</v>
      </c>
      <c r="E471" s="141">
        <f t="shared" si="38"/>
        <v>0</v>
      </c>
      <c r="J471" s="347" t="s">
        <v>711</v>
      </c>
      <c r="K471" s="348"/>
      <c r="L471" s="349"/>
      <c r="M471" s="68" t="s">
        <v>712</v>
      </c>
      <c r="N471" s="141">
        <f t="shared" si="39"/>
        <v>0</v>
      </c>
    </row>
    <row r="472" spans="1:31" ht="15.75" x14ac:dyDescent="0.25">
      <c r="A472" s="347" t="s">
        <v>713</v>
      </c>
      <c r="B472" s="348"/>
      <c r="C472" s="349"/>
      <c r="D472" s="68" t="s">
        <v>714</v>
      </c>
      <c r="E472" s="141">
        <f t="shared" si="38"/>
        <v>0</v>
      </c>
      <c r="J472" s="347" t="s">
        <v>713</v>
      </c>
      <c r="K472" s="348"/>
      <c r="L472" s="349"/>
      <c r="M472" s="68" t="s">
        <v>714</v>
      </c>
      <c r="N472" s="141">
        <f t="shared" si="39"/>
        <v>0</v>
      </c>
    </row>
    <row r="473" spans="1:31" ht="15.75" x14ac:dyDescent="0.25">
      <c r="A473" s="347" t="s">
        <v>715</v>
      </c>
      <c r="B473" s="348"/>
      <c r="C473" s="349"/>
      <c r="D473" s="68" t="s">
        <v>716</v>
      </c>
      <c r="E473" s="141">
        <f t="shared" si="38"/>
        <v>0</v>
      </c>
      <c r="J473" s="347" t="s">
        <v>715</v>
      </c>
      <c r="K473" s="348"/>
      <c r="L473" s="349"/>
      <c r="M473" s="68" t="s">
        <v>716</v>
      </c>
      <c r="N473" s="141">
        <f t="shared" si="39"/>
        <v>0</v>
      </c>
    </row>
    <row r="474" spans="1:31" ht="15.75" x14ac:dyDescent="0.25">
      <c r="A474" s="347" t="s">
        <v>717</v>
      </c>
      <c r="B474" s="348"/>
      <c r="C474" s="349"/>
      <c r="D474" s="68" t="s">
        <v>718</v>
      </c>
      <c r="E474" s="141">
        <f t="shared" si="38"/>
        <v>0</v>
      </c>
      <c r="J474" s="347" t="s">
        <v>717</v>
      </c>
      <c r="K474" s="348"/>
      <c r="L474" s="349"/>
      <c r="M474" s="68" t="s">
        <v>718</v>
      </c>
      <c r="N474" s="141">
        <f t="shared" si="39"/>
        <v>0</v>
      </c>
    </row>
    <row r="475" spans="1:31" ht="15.75" x14ac:dyDescent="0.25">
      <c r="A475" s="347" t="s">
        <v>719</v>
      </c>
      <c r="B475" s="348"/>
      <c r="C475" s="349"/>
      <c r="D475" s="68" t="s">
        <v>720</v>
      </c>
      <c r="E475" s="141">
        <f t="shared" si="38"/>
        <v>0</v>
      </c>
      <c r="J475" s="347" t="s">
        <v>719</v>
      </c>
      <c r="K475" s="348"/>
      <c r="L475" s="349"/>
      <c r="M475" s="68" t="s">
        <v>720</v>
      </c>
      <c r="N475" s="141">
        <f t="shared" si="39"/>
        <v>0</v>
      </c>
    </row>
    <row r="476" spans="1:31" ht="18" x14ac:dyDescent="0.25">
      <c r="A476" s="350" t="s">
        <v>222</v>
      </c>
      <c r="B476" s="350"/>
      <c r="C476" s="350"/>
      <c r="D476" s="350"/>
      <c r="E476" s="273">
        <f>SUM(E466:E475)</f>
        <v>0</v>
      </c>
      <c r="J476" s="350" t="s">
        <v>222</v>
      </c>
      <c r="K476" s="350"/>
      <c r="L476" s="350"/>
      <c r="M476" s="350"/>
      <c r="N476" s="273">
        <f>SUM(N466:N475)</f>
        <v>0</v>
      </c>
    </row>
    <row r="480" spans="1:31" x14ac:dyDescent="0.25">
      <c r="AE480" s="275" t="s">
        <v>721</v>
      </c>
    </row>
  </sheetData>
  <mergeCells count="780">
    <mergeCell ref="A1:BC1"/>
    <mergeCell ref="B3:F6"/>
    <mergeCell ref="AB3:AF6"/>
    <mergeCell ref="AL3:BB8"/>
    <mergeCell ref="E9:F9"/>
    <mergeCell ref="W14:Y20"/>
    <mergeCell ref="AU18:AV18"/>
    <mergeCell ref="AN18:AQ18"/>
    <mergeCell ref="Z74:AA74"/>
    <mergeCell ref="AB74:AC74"/>
    <mergeCell ref="Z75:AA75"/>
    <mergeCell ref="AB75:AC75"/>
    <mergeCell ref="H30:I31"/>
    <mergeCell ref="AO32:AP32"/>
    <mergeCell ref="Z51:AF53"/>
    <mergeCell ref="A73:I73"/>
    <mergeCell ref="J73:M73"/>
    <mergeCell ref="T73:W73"/>
    <mergeCell ref="Z73:AC73"/>
    <mergeCell ref="X76:Y76"/>
    <mergeCell ref="A77:Q77"/>
    <mergeCell ref="E79:I79"/>
    <mergeCell ref="J79:K79"/>
    <mergeCell ref="A81:E81"/>
    <mergeCell ref="F81:G81"/>
    <mergeCell ref="J81:N81"/>
    <mergeCell ref="O81:P81"/>
    <mergeCell ref="T74:U74"/>
    <mergeCell ref="V74:W74"/>
    <mergeCell ref="T75:U75"/>
    <mergeCell ref="V75:W75"/>
    <mergeCell ref="A89:C89"/>
    <mergeCell ref="J89:L89"/>
    <mergeCell ref="A90:C90"/>
    <mergeCell ref="J90:L90"/>
    <mergeCell ref="A91:C91"/>
    <mergeCell ref="J91:L91"/>
    <mergeCell ref="A85:F85"/>
    <mergeCell ref="J85:O85"/>
    <mergeCell ref="T85:AC85"/>
    <mergeCell ref="A86:C86"/>
    <mergeCell ref="J86:L86"/>
    <mergeCell ref="T86:AC99"/>
    <mergeCell ref="A87:C87"/>
    <mergeCell ref="J87:L87"/>
    <mergeCell ref="A88:C88"/>
    <mergeCell ref="J88:L88"/>
    <mergeCell ref="A95:C95"/>
    <mergeCell ref="J95:L95"/>
    <mergeCell ref="A96:C96"/>
    <mergeCell ref="J96:L96"/>
    <mergeCell ref="A97:C97"/>
    <mergeCell ref="J97:L97"/>
    <mergeCell ref="A92:C92"/>
    <mergeCell ref="J92:L92"/>
    <mergeCell ref="A93:C93"/>
    <mergeCell ref="J93:L93"/>
    <mergeCell ref="A94:C94"/>
    <mergeCell ref="J94:L94"/>
    <mergeCell ref="A101:C101"/>
    <mergeCell ref="J101:L101"/>
    <mergeCell ref="A102:C102"/>
    <mergeCell ref="J102:L102"/>
    <mergeCell ref="A103:C103"/>
    <mergeCell ref="J103:L103"/>
    <mergeCell ref="A98:C98"/>
    <mergeCell ref="J98:L98"/>
    <mergeCell ref="A99:C99"/>
    <mergeCell ref="J99:L99"/>
    <mergeCell ref="A100:C100"/>
    <mergeCell ref="J100:L100"/>
    <mergeCell ref="A107:C107"/>
    <mergeCell ref="J107:L107"/>
    <mergeCell ref="A108:C108"/>
    <mergeCell ref="J108:L108"/>
    <mergeCell ref="A109:C109"/>
    <mergeCell ref="J109:L109"/>
    <mergeCell ref="A104:C104"/>
    <mergeCell ref="J104:L104"/>
    <mergeCell ref="A105:C105"/>
    <mergeCell ref="J105:L105"/>
    <mergeCell ref="A106:C106"/>
    <mergeCell ref="J106:L106"/>
    <mergeCell ref="A113:C113"/>
    <mergeCell ref="J113:L113"/>
    <mergeCell ref="A114:C114"/>
    <mergeCell ref="J114:L114"/>
    <mergeCell ref="A115:C115"/>
    <mergeCell ref="J115:L115"/>
    <mergeCell ref="A110:C110"/>
    <mergeCell ref="J110:L110"/>
    <mergeCell ref="A111:C111"/>
    <mergeCell ref="J111:L111"/>
    <mergeCell ref="A112:C112"/>
    <mergeCell ref="J112:L112"/>
    <mergeCell ref="A119:C119"/>
    <mergeCell ref="J119:L119"/>
    <mergeCell ref="A120:C120"/>
    <mergeCell ref="J120:L120"/>
    <mergeCell ref="A121:C121"/>
    <mergeCell ref="J121:L121"/>
    <mergeCell ref="A116:C116"/>
    <mergeCell ref="J116:L116"/>
    <mergeCell ref="A117:C117"/>
    <mergeCell ref="J117:L117"/>
    <mergeCell ref="A118:C118"/>
    <mergeCell ref="J118:L118"/>
    <mergeCell ref="A125:C125"/>
    <mergeCell ref="J125:L125"/>
    <mergeCell ref="A126:C126"/>
    <mergeCell ref="J126:L126"/>
    <mergeCell ref="A127:C127"/>
    <mergeCell ref="J127:L127"/>
    <mergeCell ref="A122:C122"/>
    <mergeCell ref="J122:L122"/>
    <mergeCell ref="A123:C123"/>
    <mergeCell ref="J123:L123"/>
    <mergeCell ref="A124:C124"/>
    <mergeCell ref="J124:L124"/>
    <mergeCell ref="A131:C131"/>
    <mergeCell ref="J131:L131"/>
    <mergeCell ref="A132:C132"/>
    <mergeCell ref="J132:L132"/>
    <mergeCell ref="A133:C133"/>
    <mergeCell ref="J133:L133"/>
    <mergeCell ref="A128:C128"/>
    <mergeCell ref="J128:L128"/>
    <mergeCell ref="A129:C129"/>
    <mergeCell ref="J129:L129"/>
    <mergeCell ref="A130:C130"/>
    <mergeCell ref="J130:L130"/>
    <mergeCell ref="A137:C137"/>
    <mergeCell ref="J137:L137"/>
    <mergeCell ref="A138:C138"/>
    <mergeCell ref="J138:L138"/>
    <mergeCell ref="A139:C139"/>
    <mergeCell ref="J139:L139"/>
    <mergeCell ref="A134:C134"/>
    <mergeCell ref="J134:L134"/>
    <mergeCell ref="A135:C135"/>
    <mergeCell ref="J135:L135"/>
    <mergeCell ref="A136:C136"/>
    <mergeCell ref="J136:L136"/>
    <mergeCell ref="A144:C144"/>
    <mergeCell ref="J144:L144"/>
    <mergeCell ref="A145:C145"/>
    <mergeCell ref="J145:L145"/>
    <mergeCell ref="A146:C146"/>
    <mergeCell ref="J146:L146"/>
    <mergeCell ref="A141:C141"/>
    <mergeCell ref="J141:L141"/>
    <mergeCell ref="A142:C142"/>
    <mergeCell ref="J142:L142"/>
    <mergeCell ref="A143:C143"/>
    <mergeCell ref="J143:L143"/>
    <mergeCell ref="A150:C150"/>
    <mergeCell ref="J150:L150"/>
    <mergeCell ref="A151:C151"/>
    <mergeCell ref="J151:L151"/>
    <mergeCell ref="A152:C152"/>
    <mergeCell ref="J152:L152"/>
    <mergeCell ref="A147:C147"/>
    <mergeCell ref="J147:L147"/>
    <mergeCell ref="A148:C148"/>
    <mergeCell ref="J148:L148"/>
    <mergeCell ref="A149:C149"/>
    <mergeCell ref="J149:L149"/>
    <mergeCell ref="A156:C156"/>
    <mergeCell ref="J156:L156"/>
    <mergeCell ref="A157:C157"/>
    <mergeCell ref="J157:L157"/>
    <mergeCell ref="A158:C158"/>
    <mergeCell ref="J158:L158"/>
    <mergeCell ref="A153:C153"/>
    <mergeCell ref="J153:L153"/>
    <mergeCell ref="A154:C154"/>
    <mergeCell ref="J154:L154"/>
    <mergeCell ref="A155:C155"/>
    <mergeCell ref="J155:L155"/>
    <mergeCell ref="A162:C162"/>
    <mergeCell ref="J162:L162"/>
    <mergeCell ref="A163:C163"/>
    <mergeCell ref="J163:L163"/>
    <mergeCell ref="A164:C164"/>
    <mergeCell ref="J164:L164"/>
    <mergeCell ref="A159:C159"/>
    <mergeCell ref="J159:L159"/>
    <mergeCell ref="A160:C160"/>
    <mergeCell ref="J160:L160"/>
    <mergeCell ref="A161:C161"/>
    <mergeCell ref="J161:L161"/>
    <mergeCell ref="A170:C170"/>
    <mergeCell ref="J170:L170"/>
    <mergeCell ref="A171:C171"/>
    <mergeCell ref="J171:L171"/>
    <mergeCell ref="A172:C172"/>
    <mergeCell ref="J172:L172"/>
    <mergeCell ref="A165:C165"/>
    <mergeCell ref="J165:L165"/>
    <mergeCell ref="A167:C167"/>
    <mergeCell ref="J167:L167"/>
    <mergeCell ref="A169:C169"/>
    <mergeCell ref="J169:L169"/>
    <mergeCell ref="A186:E186"/>
    <mergeCell ref="F186:G186"/>
    <mergeCell ref="J186:N186"/>
    <mergeCell ref="O186:P186"/>
    <mergeCell ref="A188:E188"/>
    <mergeCell ref="F188:G188"/>
    <mergeCell ref="J188:N188"/>
    <mergeCell ref="O188:P188"/>
    <mergeCell ref="A173:C173"/>
    <mergeCell ref="J173:L173"/>
    <mergeCell ref="A175:Q176"/>
    <mergeCell ref="A179:Q180"/>
    <mergeCell ref="A184:E184"/>
    <mergeCell ref="F184:G184"/>
    <mergeCell ref="J184:N184"/>
    <mergeCell ref="O184:P184"/>
    <mergeCell ref="A194:B194"/>
    <mergeCell ref="J194:K194"/>
    <mergeCell ref="A195:B195"/>
    <mergeCell ref="J195:K195"/>
    <mergeCell ref="A196:B196"/>
    <mergeCell ref="J196:K196"/>
    <mergeCell ref="P191:Q191"/>
    <mergeCell ref="A192:C192"/>
    <mergeCell ref="E192:F192"/>
    <mergeCell ref="J192:L192"/>
    <mergeCell ref="N192:O192"/>
    <mergeCell ref="A193:D193"/>
    <mergeCell ref="E193:F193"/>
    <mergeCell ref="J193:M193"/>
    <mergeCell ref="N193:O193"/>
    <mergeCell ref="P193:Q193"/>
    <mergeCell ref="A200:B200"/>
    <mergeCell ref="J200:K200"/>
    <mergeCell ref="A201:B201"/>
    <mergeCell ref="J201:K201"/>
    <mergeCell ref="A202:B202"/>
    <mergeCell ref="J202:K202"/>
    <mergeCell ref="A197:B197"/>
    <mergeCell ref="J197:K197"/>
    <mergeCell ref="A198:B198"/>
    <mergeCell ref="J198:K198"/>
    <mergeCell ref="A199:B199"/>
    <mergeCell ref="J199:K199"/>
    <mergeCell ref="A206:B206"/>
    <mergeCell ref="J206:K206"/>
    <mergeCell ref="A207:B207"/>
    <mergeCell ref="J207:K207"/>
    <mergeCell ref="A208:B208"/>
    <mergeCell ref="J208:K208"/>
    <mergeCell ref="A203:B203"/>
    <mergeCell ref="J203:K203"/>
    <mergeCell ref="A204:B204"/>
    <mergeCell ref="J204:K204"/>
    <mergeCell ref="A205:B205"/>
    <mergeCell ref="J205:K205"/>
    <mergeCell ref="A212:B212"/>
    <mergeCell ref="J212:K212"/>
    <mergeCell ref="A213:B213"/>
    <mergeCell ref="J213:K213"/>
    <mergeCell ref="A214:B214"/>
    <mergeCell ref="J214:K214"/>
    <mergeCell ref="A209:B209"/>
    <mergeCell ref="J209:K209"/>
    <mergeCell ref="A210:B210"/>
    <mergeCell ref="J210:K210"/>
    <mergeCell ref="A211:B211"/>
    <mergeCell ref="J211:K211"/>
    <mergeCell ref="N218:O218"/>
    <mergeCell ref="P218:Q218"/>
    <mergeCell ref="A219:B219"/>
    <mergeCell ref="J219:K219"/>
    <mergeCell ref="A215:B215"/>
    <mergeCell ref="J215:K215"/>
    <mergeCell ref="A216:B216"/>
    <mergeCell ref="J216:K216"/>
    <mergeCell ref="A217:B217"/>
    <mergeCell ref="J217:K217"/>
    <mergeCell ref="A220:B220"/>
    <mergeCell ref="J220:K220"/>
    <mergeCell ref="A221:B221"/>
    <mergeCell ref="J221:K221"/>
    <mergeCell ref="A222:B222"/>
    <mergeCell ref="J222:K222"/>
    <mergeCell ref="A218:D218"/>
    <mergeCell ref="E218:F218"/>
    <mergeCell ref="J218:M218"/>
    <mergeCell ref="A226:B226"/>
    <mergeCell ref="J226:K226"/>
    <mergeCell ref="A227:B227"/>
    <mergeCell ref="J227:K227"/>
    <mergeCell ref="A228:B228"/>
    <mergeCell ref="J228:K228"/>
    <mergeCell ref="A223:B223"/>
    <mergeCell ref="J223:K223"/>
    <mergeCell ref="A224:B224"/>
    <mergeCell ref="J224:K224"/>
    <mergeCell ref="A225:B225"/>
    <mergeCell ref="J225:K225"/>
    <mergeCell ref="A232:B232"/>
    <mergeCell ref="J232:K232"/>
    <mergeCell ref="A233:B233"/>
    <mergeCell ref="J233:K233"/>
    <mergeCell ref="A234:B234"/>
    <mergeCell ref="J234:K234"/>
    <mergeCell ref="A229:B229"/>
    <mergeCell ref="J229:K229"/>
    <mergeCell ref="A230:B230"/>
    <mergeCell ref="J230:K230"/>
    <mergeCell ref="A231:B231"/>
    <mergeCell ref="J231:K231"/>
    <mergeCell ref="A238:B238"/>
    <mergeCell ref="J238:K238"/>
    <mergeCell ref="A239:B239"/>
    <mergeCell ref="J239:K239"/>
    <mergeCell ref="A240:B240"/>
    <mergeCell ref="J240:K240"/>
    <mergeCell ref="A235:B235"/>
    <mergeCell ref="J235:K235"/>
    <mergeCell ref="A236:B236"/>
    <mergeCell ref="J236:K236"/>
    <mergeCell ref="A237:B237"/>
    <mergeCell ref="J237:K237"/>
    <mergeCell ref="A244:B244"/>
    <mergeCell ref="J244:K244"/>
    <mergeCell ref="A245:B245"/>
    <mergeCell ref="J245:K245"/>
    <mergeCell ref="A246:B246"/>
    <mergeCell ref="J246:K246"/>
    <mergeCell ref="A241:B241"/>
    <mergeCell ref="J241:K241"/>
    <mergeCell ref="A242:B242"/>
    <mergeCell ref="J242:K242"/>
    <mergeCell ref="A243:B243"/>
    <mergeCell ref="J243:K243"/>
    <mergeCell ref="A250:B250"/>
    <mergeCell ref="J250:K250"/>
    <mergeCell ref="A251:B251"/>
    <mergeCell ref="J251:K251"/>
    <mergeCell ref="A252:B252"/>
    <mergeCell ref="J252:K252"/>
    <mergeCell ref="A247:B247"/>
    <mergeCell ref="J247:K247"/>
    <mergeCell ref="A248:B248"/>
    <mergeCell ref="J248:K248"/>
    <mergeCell ref="A249:B249"/>
    <mergeCell ref="J249:K249"/>
    <mergeCell ref="A256:B256"/>
    <mergeCell ref="J256:K256"/>
    <mergeCell ref="A257:B257"/>
    <mergeCell ref="J257:K257"/>
    <mergeCell ref="A258:B258"/>
    <mergeCell ref="J258:K258"/>
    <mergeCell ref="A253:B253"/>
    <mergeCell ref="J253:K253"/>
    <mergeCell ref="A254:B254"/>
    <mergeCell ref="J254:K254"/>
    <mergeCell ref="A255:B255"/>
    <mergeCell ref="J255:K255"/>
    <mergeCell ref="A262:B262"/>
    <mergeCell ref="J262:K262"/>
    <mergeCell ref="A263:B263"/>
    <mergeCell ref="J263:K263"/>
    <mergeCell ref="A264:B264"/>
    <mergeCell ref="J264:K264"/>
    <mergeCell ref="A259:B259"/>
    <mergeCell ref="J259:K259"/>
    <mergeCell ref="A260:B260"/>
    <mergeCell ref="J260:K260"/>
    <mergeCell ref="A261:B261"/>
    <mergeCell ref="J261:K261"/>
    <mergeCell ref="A268:B268"/>
    <mergeCell ref="J268:K268"/>
    <mergeCell ref="A269:B269"/>
    <mergeCell ref="J269:K269"/>
    <mergeCell ref="A270:B270"/>
    <mergeCell ref="J270:K270"/>
    <mergeCell ref="A265:B265"/>
    <mergeCell ref="J265:K265"/>
    <mergeCell ref="A266:B266"/>
    <mergeCell ref="J266:K266"/>
    <mergeCell ref="A267:B267"/>
    <mergeCell ref="J267:K267"/>
    <mergeCell ref="A274:B274"/>
    <mergeCell ref="J274:K274"/>
    <mergeCell ref="A275:B275"/>
    <mergeCell ref="J275:K275"/>
    <mergeCell ref="A276:B276"/>
    <mergeCell ref="J276:K276"/>
    <mergeCell ref="A271:B271"/>
    <mergeCell ref="J271:K271"/>
    <mergeCell ref="A272:B272"/>
    <mergeCell ref="J272:K272"/>
    <mergeCell ref="A273:B273"/>
    <mergeCell ref="J273:K273"/>
    <mergeCell ref="A280:B280"/>
    <mergeCell ref="J280:K280"/>
    <mergeCell ref="A281:B281"/>
    <mergeCell ref="J281:K281"/>
    <mergeCell ref="A282:B282"/>
    <mergeCell ref="J282:K282"/>
    <mergeCell ref="A277:B277"/>
    <mergeCell ref="J277:K277"/>
    <mergeCell ref="A278:B278"/>
    <mergeCell ref="J278:K278"/>
    <mergeCell ref="A279:B279"/>
    <mergeCell ref="J279:K279"/>
    <mergeCell ref="A286:B286"/>
    <mergeCell ref="J286:K286"/>
    <mergeCell ref="A287:B287"/>
    <mergeCell ref="J287:K287"/>
    <mergeCell ref="A288:B288"/>
    <mergeCell ref="J288:K288"/>
    <mergeCell ref="A283:B283"/>
    <mergeCell ref="J283:K283"/>
    <mergeCell ref="A284:B284"/>
    <mergeCell ref="J284:K284"/>
    <mergeCell ref="A285:B285"/>
    <mergeCell ref="J285:K285"/>
    <mergeCell ref="A301:E301"/>
    <mergeCell ref="F301:G301"/>
    <mergeCell ref="J301:N301"/>
    <mergeCell ref="O301:P301"/>
    <mergeCell ref="A303:D303"/>
    <mergeCell ref="J303:M303"/>
    <mergeCell ref="A289:B289"/>
    <mergeCell ref="J289:K289"/>
    <mergeCell ref="A290:B290"/>
    <mergeCell ref="J290:K290"/>
    <mergeCell ref="A296:Q297"/>
    <mergeCell ref="A299:D299"/>
    <mergeCell ref="A307:C307"/>
    <mergeCell ref="J307:L307"/>
    <mergeCell ref="A308:C308"/>
    <mergeCell ref="J308:L308"/>
    <mergeCell ref="A309:C309"/>
    <mergeCell ref="J309:L309"/>
    <mergeCell ref="A304:C304"/>
    <mergeCell ref="J304:L304"/>
    <mergeCell ref="A305:C305"/>
    <mergeCell ref="J305:L305"/>
    <mergeCell ref="A306:C306"/>
    <mergeCell ref="J306:L306"/>
    <mergeCell ref="A313:C313"/>
    <mergeCell ref="J313:L313"/>
    <mergeCell ref="A314:C314"/>
    <mergeCell ref="J314:L314"/>
    <mergeCell ref="A315:C315"/>
    <mergeCell ref="J315:L315"/>
    <mergeCell ref="A310:C310"/>
    <mergeCell ref="J310:L310"/>
    <mergeCell ref="A311:C311"/>
    <mergeCell ref="J311:L311"/>
    <mergeCell ref="A312:C312"/>
    <mergeCell ref="J312:L312"/>
    <mergeCell ref="A319:C319"/>
    <mergeCell ref="J319:L319"/>
    <mergeCell ref="A320:C320"/>
    <mergeCell ref="J320:L320"/>
    <mergeCell ref="A321:C321"/>
    <mergeCell ref="J321:L321"/>
    <mergeCell ref="A316:C316"/>
    <mergeCell ref="J316:L316"/>
    <mergeCell ref="A317:C317"/>
    <mergeCell ref="J317:L317"/>
    <mergeCell ref="A318:C318"/>
    <mergeCell ref="J318:L318"/>
    <mergeCell ref="A325:C325"/>
    <mergeCell ref="J325:L325"/>
    <mergeCell ref="A326:C326"/>
    <mergeCell ref="J326:L326"/>
    <mergeCell ref="A327:C327"/>
    <mergeCell ref="J327:L327"/>
    <mergeCell ref="A322:C322"/>
    <mergeCell ref="J322:L322"/>
    <mergeCell ref="A323:C323"/>
    <mergeCell ref="J323:L323"/>
    <mergeCell ref="A324:C324"/>
    <mergeCell ref="J324:L324"/>
    <mergeCell ref="A331:C331"/>
    <mergeCell ref="J331:L331"/>
    <mergeCell ref="A332:D332"/>
    <mergeCell ref="J332:M332"/>
    <mergeCell ref="A333:D333"/>
    <mergeCell ref="J333:M333"/>
    <mergeCell ref="A328:C328"/>
    <mergeCell ref="J328:L328"/>
    <mergeCell ref="A329:C329"/>
    <mergeCell ref="J329:L329"/>
    <mergeCell ref="A330:C330"/>
    <mergeCell ref="J330:L330"/>
    <mergeCell ref="A337:C337"/>
    <mergeCell ref="J337:L337"/>
    <mergeCell ref="A338:C338"/>
    <mergeCell ref="J338:L338"/>
    <mergeCell ref="A339:C339"/>
    <mergeCell ref="J339:L339"/>
    <mergeCell ref="A334:C334"/>
    <mergeCell ref="J334:L334"/>
    <mergeCell ref="A335:C335"/>
    <mergeCell ref="J335:L335"/>
    <mergeCell ref="A336:C336"/>
    <mergeCell ref="J336:L336"/>
    <mergeCell ref="A343:C343"/>
    <mergeCell ref="J343:L343"/>
    <mergeCell ref="A344:C344"/>
    <mergeCell ref="J344:L344"/>
    <mergeCell ref="A345:C345"/>
    <mergeCell ref="J345:L345"/>
    <mergeCell ref="A340:C340"/>
    <mergeCell ref="J340:L340"/>
    <mergeCell ref="A341:C341"/>
    <mergeCell ref="J341:L341"/>
    <mergeCell ref="A342:C342"/>
    <mergeCell ref="J342:L342"/>
    <mergeCell ref="A349:C349"/>
    <mergeCell ref="J349:L349"/>
    <mergeCell ref="A350:C350"/>
    <mergeCell ref="J350:L350"/>
    <mergeCell ref="A351:C351"/>
    <mergeCell ref="J351:L351"/>
    <mergeCell ref="A346:C346"/>
    <mergeCell ref="J346:L346"/>
    <mergeCell ref="A347:C347"/>
    <mergeCell ref="J347:L347"/>
    <mergeCell ref="A348:C348"/>
    <mergeCell ref="J348:L348"/>
    <mergeCell ref="A355:C355"/>
    <mergeCell ref="J355:L355"/>
    <mergeCell ref="A356:C356"/>
    <mergeCell ref="J356:L356"/>
    <mergeCell ref="A357:C357"/>
    <mergeCell ref="J357:L357"/>
    <mergeCell ref="A352:C352"/>
    <mergeCell ref="J352:L352"/>
    <mergeCell ref="A353:C353"/>
    <mergeCell ref="J353:L353"/>
    <mergeCell ref="A354:C354"/>
    <mergeCell ref="J354:L354"/>
    <mergeCell ref="A361:C361"/>
    <mergeCell ref="J361:L361"/>
    <mergeCell ref="A362:C362"/>
    <mergeCell ref="J362:L362"/>
    <mergeCell ref="A363:C363"/>
    <mergeCell ref="J363:L363"/>
    <mergeCell ref="A358:C358"/>
    <mergeCell ref="J358:L358"/>
    <mergeCell ref="A359:C359"/>
    <mergeCell ref="J359:L359"/>
    <mergeCell ref="A360:C360"/>
    <mergeCell ref="J360:L360"/>
    <mergeCell ref="A367:C367"/>
    <mergeCell ref="J367:L367"/>
    <mergeCell ref="A368:C368"/>
    <mergeCell ref="J368:L368"/>
    <mergeCell ref="A369:C369"/>
    <mergeCell ref="J369:L369"/>
    <mergeCell ref="A364:C364"/>
    <mergeCell ref="J364:L364"/>
    <mergeCell ref="A365:C365"/>
    <mergeCell ref="J365:L365"/>
    <mergeCell ref="A366:C366"/>
    <mergeCell ref="J366:L366"/>
    <mergeCell ref="A373:C373"/>
    <mergeCell ref="J373:L373"/>
    <mergeCell ref="A374:C374"/>
    <mergeCell ref="J374:L374"/>
    <mergeCell ref="A375:C375"/>
    <mergeCell ref="J375:L375"/>
    <mergeCell ref="A370:C370"/>
    <mergeCell ref="J370:L370"/>
    <mergeCell ref="A371:C371"/>
    <mergeCell ref="J371:L371"/>
    <mergeCell ref="A372:C372"/>
    <mergeCell ref="J372:L372"/>
    <mergeCell ref="A379:C379"/>
    <mergeCell ref="J379:L379"/>
    <mergeCell ref="A380:C380"/>
    <mergeCell ref="J380:L380"/>
    <mergeCell ref="A381:C381"/>
    <mergeCell ref="J381:L381"/>
    <mergeCell ref="A376:C376"/>
    <mergeCell ref="J376:L376"/>
    <mergeCell ref="A377:C377"/>
    <mergeCell ref="J377:L377"/>
    <mergeCell ref="A378:C378"/>
    <mergeCell ref="J378:L378"/>
    <mergeCell ref="A385:C385"/>
    <mergeCell ref="J385:L385"/>
    <mergeCell ref="A386:C386"/>
    <mergeCell ref="J386:L386"/>
    <mergeCell ref="A387:C387"/>
    <mergeCell ref="J387:L387"/>
    <mergeCell ref="A382:C382"/>
    <mergeCell ref="J382:L382"/>
    <mergeCell ref="A383:C383"/>
    <mergeCell ref="J383:L383"/>
    <mergeCell ref="A384:C384"/>
    <mergeCell ref="J384:L384"/>
    <mergeCell ref="A391:C391"/>
    <mergeCell ref="J391:L391"/>
    <mergeCell ref="A392:C392"/>
    <mergeCell ref="J392:L392"/>
    <mergeCell ref="A393:C393"/>
    <mergeCell ref="J393:L393"/>
    <mergeCell ref="A388:C388"/>
    <mergeCell ref="J388:L388"/>
    <mergeCell ref="A389:C389"/>
    <mergeCell ref="J389:L389"/>
    <mergeCell ref="A390:C390"/>
    <mergeCell ref="J390:L390"/>
    <mergeCell ref="A397:C397"/>
    <mergeCell ref="J397:L397"/>
    <mergeCell ref="A398:C398"/>
    <mergeCell ref="J398:L398"/>
    <mergeCell ref="A399:C399"/>
    <mergeCell ref="J399:L399"/>
    <mergeCell ref="A394:C394"/>
    <mergeCell ref="J394:L394"/>
    <mergeCell ref="A395:C395"/>
    <mergeCell ref="J395:L395"/>
    <mergeCell ref="A396:C396"/>
    <mergeCell ref="J396:L396"/>
    <mergeCell ref="A403:C403"/>
    <mergeCell ref="J403:L403"/>
    <mergeCell ref="A404:C404"/>
    <mergeCell ref="J404:L404"/>
    <mergeCell ref="A405:C405"/>
    <mergeCell ref="J405:L405"/>
    <mergeCell ref="A400:C400"/>
    <mergeCell ref="J400:L400"/>
    <mergeCell ref="A401:C401"/>
    <mergeCell ref="J401:L401"/>
    <mergeCell ref="A402:C402"/>
    <mergeCell ref="J402:L402"/>
    <mergeCell ref="A409:C409"/>
    <mergeCell ref="J409:L409"/>
    <mergeCell ref="A410:C410"/>
    <mergeCell ref="J410:L410"/>
    <mergeCell ref="A411:D411"/>
    <mergeCell ref="J411:M411"/>
    <mergeCell ref="A406:C406"/>
    <mergeCell ref="J406:L406"/>
    <mergeCell ref="A407:C407"/>
    <mergeCell ref="J407:L407"/>
    <mergeCell ref="A408:C408"/>
    <mergeCell ref="J408:L408"/>
    <mergeCell ref="A415:C415"/>
    <mergeCell ref="J415:L415"/>
    <mergeCell ref="A416:C416"/>
    <mergeCell ref="J416:L416"/>
    <mergeCell ref="A417:C417"/>
    <mergeCell ref="J417:L417"/>
    <mergeCell ref="A412:D412"/>
    <mergeCell ref="J412:M412"/>
    <mergeCell ref="A413:C413"/>
    <mergeCell ref="J413:L413"/>
    <mergeCell ref="A414:C414"/>
    <mergeCell ref="J414:L414"/>
    <mergeCell ref="A421:C421"/>
    <mergeCell ref="J421:L421"/>
    <mergeCell ref="A422:C422"/>
    <mergeCell ref="J422:L422"/>
    <mergeCell ref="A423:C423"/>
    <mergeCell ref="J423:L423"/>
    <mergeCell ref="A418:C418"/>
    <mergeCell ref="J418:L418"/>
    <mergeCell ref="A419:C419"/>
    <mergeCell ref="J419:L419"/>
    <mergeCell ref="A420:C420"/>
    <mergeCell ref="J420:L420"/>
    <mergeCell ref="A427:C427"/>
    <mergeCell ref="J427:L427"/>
    <mergeCell ref="A428:C428"/>
    <mergeCell ref="J428:L428"/>
    <mergeCell ref="A429:C429"/>
    <mergeCell ref="J429:L429"/>
    <mergeCell ref="A424:C424"/>
    <mergeCell ref="J424:L424"/>
    <mergeCell ref="A425:C425"/>
    <mergeCell ref="J425:L425"/>
    <mergeCell ref="A426:C426"/>
    <mergeCell ref="J426:L426"/>
    <mergeCell ref="A433:C433"/>
    <mergeCell ref="J433:L433"/>
    <mergeCell ref="A434:C434"/>
    <mergeCell ref="J434:L434"/>
    <mergeCell ref="A435:C435"/>
    <mergeCell ref="J435:L435"/>
    <mergeCell ref="A430:C430"/>
    <mergeCell ref="J430:L430"/>
    <mergeCell ref="A431:C431"/>
    <mergeCell ref="J431:L431"/>
    <mergeCell ref="A432:C432"/>
    <mergeCell ref="J432:L432"/>
    <mergeCell ref="A439:C439"/>
    <mergeCell ref="J439:L439"/>
    <mergeCell ref="A440:C440"/>
    <mergeCell ref="J440:L440"/>
    <mergeCell ref="A441:C441"/>
    <mergeCell ref="J441:L441"/>
    <mergeCell ref="A436:D436"/>
    <mergeCell ref="J436:M436"/>
    <mergeCell ref="A437:D437"/>
    <mergeCell ref="J437:M437"/>
    <mergeCell ref="A438:C438"/>
    <mergeCell ref="J438:L438"/>
    <mergeCell ref="A445:D445"/>
    <mergeCell ref="J445:M445"/>
    <mergeCell ref="A446:C446"/>
    <mergeCell ref="J446:L446"/>
    <mergeCell ref="A447:C447"/>
    <mergeCell ref="J447:L447"/>
    <mergeCell ref="A442:C442"/>
    <mergeCell ref="J442:L442"/>
    <mergeCell ref="A443:C443"/>
    <mergeCell ref="J443:L443"/>
    <mergeCell ref="A444:D444"/>
    <mergeCell ref="J444:M444"/>
    <mergeCell ref="A451:D451"/>
    <mergeCell ref="J451:M451"/>
    <mergeCell ref="A452:C452"/>
    <mergeCell ref="J452:L452"/>
    <mergeCell ref="A453:C453"/>
    <mergeCell ref="J453:L453"/>
    <mergeCell ref="A448:C448"/>
    <mergeCell ref="J448:L448"/>
    <mergeCell ref="A449:C449"/>
    <mergeCell ref="J449:L449"/>
    <mergeCell ref="A450:D450"/>
    <mergeCell ref="J450:M450"/>
    <mergeCell ref="A457:C457"/>
    <mergeCell ref="J457:L457"/>
    <mergeCell ref="A458:C458"/>
    <mergeCell ref="J458:L458"/>
    <mergeCell ref="A459:C459"/>
    <mergeCell ref="J459:L459"/>
    <mergeCell ref="A454:C454"/>
    <mergeCell ref="J454:L454"/>
    <mergeCell ref="A455:C455"/>
    <mergeCell ref="J455:L455"/>
    <mergeCell ref="A456:C456"/>
    <mergeCell ref="J456:L456"/>
    <mergeCell ref="A463:C463"/>
    <mergeCell ref="J463:L463"/>
    <mergeCell ref="A464:D464"/>
    <mergeCell ref="J464:M464"/>
    <mergeCell ref="A465:D465"/>
    <mergeCell ref="J465:M465"/>
    <mergeCell ref="A460:C460"/>
    <mergeCell ref="J460:L460"/>
    <mergeCell ref="A461:C461"/>
    <mergeCell ref="J461:L461"/>
    <mergeCell ref="A462:C462"/>
    <mergeCell ref="J462:L462"/>
    <mergeCell ref="A469:C469"/>
    <mergeCell ref="J469:L469"/>
    <mergeCell ref="A470:C470"/>
    <mergeCell ref="J470:L470"/>
    <mergeCell ref="A471:C471"/>
    <mergeCell ref="J471:L471"/>
    <mergeCell ref="A466:C466"/>
    <mergeCell ref="J466:L466"/>
    <mergeCell ref="A467:C467"/>
    <mergeCell ref="J467:L467"/>
    <mergeCell ref="A468:C468"/>
    <mergeCell ref="J468:L468"/>
    <mergeCell ref="A475:C475"/>
    <mergeCell ref="J475:L475"/>
    <mergeCell ref="A476:D476"/>
    <mergeCell ref="J476:M476"/>
    <mergeCell ref="A472:C472"/>
    <mergeCell ref="J472:L472"/>
    <mergeCell ref="A473:C473"/>
    <mergeCell ref="J473:L473"/>
    <mergeCell ref="A474:C474"/>
    <mergeCell ref="J474:L474"/>
  </mergeCells>
  <phoneticPr fontId="0" type="noConversion"/>
  <conditionalFormatting sqref="A304:A331">
    <cfRule type="expression" dxfId="55" priority="8">
      <formula>IF(#REF!="DESC",1,0)</formula>
    </cfRule>
  </conditionalFormatting>
  <conditionalFormatting sqref="A334:A410">
    <cfRule type="expression" dxfId="54" priority="4">
      <formula>IF(#REF!="DESC",1,0)</formula>
    </cfRule>
  </conditionalFormatting>
  <conditionalFormatting sqref="A413:A435">
    <cfRule type="expression" dxfId="53" priority="2">
      <formula>IF(#REF!="DESC",1,0)</formula>
    </cfRule>
  </conditionalFormatting>
  <conditionalFormatting sqref="A438:A443">
    <cfRule type="expression" dxfId="52" priority="14">
      <formula>IF(#REF!="DESC",1,0)</formula>
    </cfRule>
  </conditionalFormatting>
  <conditionalFormatting sqref="A446:A449">
    <cfRule type="expression" dxfId="51" priority="12">
      <formula>IF(#REF!="DESC",1,0)</formula>
    </cfRule>
  </conditionalFormatting>
  <conditionalFormatting sqref="A452:A463">
    <cfRule type="expression" dxfId="50" priority="10">
      <formula>IF(#REF!="DESC",1,0)</formula>
    </cfRule>
  </conditionalFormatting>
  <conditionalFormatting sqref="A466:A475">
    <cfRule type="expression" dxfId="49" priority="6">
      <formula>IF(#REF!="DESC",1,0)</formula>
    </cfRule>
  </conditionalFormatting>
  <conditionalFormatting sqref="C211">
    <cfRule type="duplicateValues" dxfId="48" priority="26"/>
  </conditionalFormatting>
  <conditionalFormatting sqref="C216">
    <cfRule type="duplicateValues" dxfId="47" priority="25"/>
  </conditionalFormatting>
  <conditionalFormatting sqref="C219:C220 C222 C224:C230 C232:C235">
    <cfRule type="duplicateValues" dxfId="46" priority="53"/>
  </conditionalFormatting>
  <conditionalFormatting sqref="C221">
    <cfRule type="duplicateValues" dxfId="45" priority="50"/>
  </conditionalFormatting>
  <conditionalFormatting sqref="C223">
    <cfRule type="duplicateValues" dxfId="44" priority="52"/>
  </conditionalFormatting>
  <conditionalFormatting sqref="C231">
    <cfRule type="duplicateValues" dxfId="43" priority="51"/>
  </conditionalFormatting>
  <conditionalFormatting sqref="C236">
    <cfRule type="duplicateValues" dxfId="42" priority="36"/>
  </conditionalFormatting>
  <conditionalFormatting sqref="C237 C239:C242 C244 C247:C250 C252:C258 C260:C261 C263:C271 C273:C275 C277:C279 C282:C287">
    <cfRule type="duplicateValues" dxfId="41" priority="55"/>
  </conditionalFormatting>
  <conditionalFormatting sqref="C238">
    <cfRule type="duplicateValues" dxfId="40" priority="38"/>
  </conditionalFormatting>
  <conditionalFormatting sqref="C243">
    <cfRule type="duplicateValues" dxfId="39" priority="49"/>
  </conditionalFormatting>
  <conditionalFormatting sqref="C245">
    <cfRule type="duplicateValues" dxfId="38" priority="22"/>
  </conditionalFormatting>
  <conditionalFormatting sqref="C246">
    <cfRule type="duplicateValues" dxfId="37" priority="20"/>
  </conditionalFormatting>
  <conditionalFormatting sqref="C251">
    <cfRule type="duplicateValues" dxfId="36" priority="32"/>
  </conditionalFormatting>
  <conditionalFormatting sqref="C259">
    <cfRule type="duplicateValues" dxfId="35" priority="48"/>
  </conditionalFormatting>
  <conditionalFormatting sqref="C262">
    <cfRule type="duplicateValues" dxfId="34" priority="18"/>
  </conditionalFormatting>
  <conditionalFormatting sqref="C272">
    <cfRule type="duplicateValues" dxfId="33" priority="34"/>
  </conditionalFormatting>
  <conditionalFormatting sqref="C276">
    <cfRule type="duplicateValues" dxfId="32" priority="47"/>
  </conditionalFormatting>
  <conditionalFormatting sqref="C280">
    <cfRule type="duplicateValues" dxfId="31" priority="40"/>
  </conditionalFormatting>
  <conditionalFormatting sqref="C281">
    <cfRule type="duplicateValues" dxfId="30" priority="16"/>
  </conditionalFormatting>
  <conditionalFormatting sqref="C289">
    <cfRule type="duplicateValues" dxfId="29" priority="30"/>
  </conditionalFormatting>
  <conditionalFormatting sqref="C290">
    <cfRule type="duplicateValues" dxfId="28" priority="28"/>
  </conditionalFormatting>
  <conditionalFormatting sqref="J304:J331">
    <cfRule type="expression" dxfId="27" priority="7">
      <formula>IF(#REF!="DESC",1,0)</formula>
    </cfRule>
  </conditionalFormatting>
  <conditionalFormatting sqref="J334:J410">
    <cfRule type="expression" dxfId="26" priority="3">
      <formula>IF(#REF!="DESC",1,0)</formula>
    </cfRule>
  </conditionalFormatting>
  <conditionalFormatting sqref="J413:J435">
    <cfRule type="expression" dxfId="25" priority="1">
      <formula>IF(#REF!="DESC",1,0)</formula>
    </cfRule>
  </conditionalFormatting>
  <conditionalFormatting sqref="J438:J443">
    <cfRule type="expression" dxfId="24" priority="13">
      <formula>IF(#REF!="DESC",1,0)</formula>
    </cfRule>
  </conditionalFormatting>
  <conditionalFormatting sqref="J446:J449">
    <cfRule type="expression" dxfId="23" priority="11">
      <formula>IF(#REF!="DESC",1,0)</formula>
    </cfRule>
  </conditionalFormatting>
  <conditionalFormatting sqref="J452:J463">
    <cfRule type="expression" dxfId="22" priority="9">
      <formula>IF(#REF!="DESC",1,0)</formula>
    </cfRule>
  </conditionalFormatting>
  <conditionalFormatting sqref="J466:J475">
    <cfRule type="expression" dxfId="21" priority="5">
      <formula>IF(#REF!="DESC",1,0)</formula>
    </cfRule>
  </conditionalFormatting>
  <conditionalFormatting sqref="L211">
    <cfRule type="duplicateValues" dxfId="20" priority="24"/>
  </conditionalFormatting>
  <conditionalFormatting sqref="L216">
    <cfRule type="duplicateValues" dxfId="19" priority="23"/>
  </conditionalFormatting>
  <conditionalFormatting sqref="L219:L220 L222 L224:L230 L232:L235">
    <cfRule type="duplicateValues" dxfId="18" priority="54"/>
  </conditionalFormatting>
  <conditionalFormatting sqref="L221">
    <cfRule type="duplicateValues" dxfId="17" priority="44"/>
  </conditionalFormatting>
  <conditionalFormatting sqref="L223">
    <cfRule type="duplicateValues" dxfId="16" priority="46"/>
  </conditionalFormatting>
  <conditionalFormatting sqref="L231">
    <cfRule type="duplicateValues" dxfId="15" priority="45"/>
  </conditionalFormatting>
  <conditionalFormatting sqref="L236">
    <cfRule type="duplicateValues" dxfId="14" priority="35"/>
  </conditionalFormatting>
  <conditionalFormatting sqref="L237 L239:L242 L244 L247:L250 L252:L258 L260:L261 L263:L271 L273:L275 L277:L279 L282:L287">
    <cfRule type="duplicateValues" dxfId="13" priority="56"/>
  </conditionalFormatting>
  <conditionalFormatting sqref="L238">
    <cfRule type="duplicateValues" dxfId="12" priority="37"/>
  </conditionalFormatting>
  <conditionalFormatting sqref="L243">
    <cfRule type="duplicateValues" dxfId="11" priority="43"/>
  </conditionalFormatting>
  <conditionalFormatting sqref="L245">
    <cfRule type="duplicateValues" dxfId="10" priority="21"/>
  </conditionalFormatting>
  <conditionalFormatting sqref="L246">
    <cfRule type="duplicateValues" dxfId="9" priority="19"/>
  </conditionalFormatting>
  <conditionalFormatting sqref="L251">
    <cfRule type="duplicateValues" dxfId="8" priority="31"/>
  </conditionalFormatting>
  <conditionalFormatting sqref="L259">
    <cfRule type="duplicateValues" dxfId="7" priority="42"/>
  </conditionalFormatting>
  <conditionalFormatting sqref="L262">
    <cfRule type="duplicateValues" dxfId="6" priority="17"/>
  </conditionalFormatting>
  <conditionalFormatting sqref="L272">
    <cfRule type="duplicateValues" dxfId="5" priority="33"/>
  </conditionalFormatting>
  <conditionalFormatting sqref="L276">
    <cfRule type="duplicateValues" dxfId="4" priority="41"/>
  </conditionalFormatting>
  <conditionalFormatting sqref="L280">
    <cfRule type="duplicateValues" dxfId="3" priority="39"/>
  </conditionalFormatting>
  <conditionalFormatting sqref="L281">
    <cfRule type="duplicateValues" dxfId="2" priority="15"/>
  </conditionalFormatting>
  <conditionalFormatting sqref="L289">
    <cfRule type="duplicateValues" dxfId="1" priority="29"/>
  </conditionalFormatting>
  <conditionalFormatting sqref="L290">
    <cfRule type="duplicateValues" dxfId="0" priority="2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C55"/>
  <sheetViews>
    <sheetView topLeftCell="U1" zoomScale="60" zoomScaleNormal="60" workbookViewId="0">
      <selection activeCell="AX27" sqref="AX27"/>
    </sheetView>
  </sheetViews>
  <sheetFormatPr baseColWidth="10" defaultColWidth="16" defaultRowHeight="15" x14ac:dyDescent="0.25"/>
  <cols>
    <col min="1" max="26" width="0.5703125" style="8" customWidth="1"/>
    <col min="27" max="38" width="1.28515625" style="8" customWidth="1"/>
    <col min="39" max="16384" width="16" style="8"/>
  </cols>
  <sheetData>
    <row r="1" spans="1:55" ht="36.75" thickBot="1" x14ac:dyDescent="0.3">
      <c r="A1" s="334" t="s">
        <v>163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5"/>
    </row>
    <row r="2" spans="1:55" ht="15.75" thickBo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55" ht="15" customHeight="1" x14ac:dyDescent="0.25">
      <c r="B3" s="336"/>
      <c r="C3" s="337"/>
      <c r="D3" s="337"/>
      <c r="E3" s="337"/>
      <c r="F3" s="338"/>
      <c r="G3" s="276"/>
      <c r="H3" s="276"/>
      <c r="I3" s="276"/>
      <c r="AB3" s="336"/>
      <c r="AC3" s="337"/>
      <c r="AD3" s="337"/>
      <c r="AE3" s="337"/>
      <c r="AF3" s="338"/>
      <c r="AL3" s="336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8"/>
    </row>
    <row r="4" spans="1:55" x14ac:dyDescent="0.25">
      <c r="B4" s="339"/>
      <c r="C4" s="340"/>
      <c r="D4" s="340"/>
      <c r="E4" s="340"/>
      <c r="F4" s="341"/>
      <c r="G4" s="276"/>
      <c r="H4" s="276"/>
      <c r="I4" s="276"/>
      <c r="AB4" s="339"/>
      <c r="AC4" s="340"/>
      <c r="AD4" s="340"/>
      <c r="AE4" s="340"/>
      <c r="AF4" s="341"/>
      <c r="AL4" s="339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1"/>
    </row>
    <row r="5" spans="1:55" x14ac:dyDescent="0.25">
      <c r="B5" s="339"/>
      <c r="C5" s="340"/>
      <c r="D5" s="340"/>
      <c r="E5" s="340"/>
      <c r="F5" s="341"/>
      <c r="G5" s="276"/>
      <c r="H5" s="276"/>
      <c r="I5" s="276"/>
      <c r="AB5" s="339"/>
      <c r="AC5" s="340"/>
      <c r="AD5" s="340"/>
      <c r="AE5" s="340"/>
      <c r="AF5" s="341"/>
      <c r="AL5" s="339"/>
      <c r="AM5" s="340"/>
      <c r="AN5" s="340"/>
      <c r="AO5" s="340"/>
      <c r="AP5" s="340"/>
      <c r="AQ5" s="340"/>
      <c r="AR5" s="340"/>
      <c r="AS5" s="340"/>
      <c r="AT5" s="340"/>
      <c r="AU5" s="340"/>
      <c r="AV5" s="340"/>
      <c r="AW5" s="340"/>
      <c r="AX5" s="340"/>
      <c r="AY5" s="340"/>
      <c r="AZ5" s="340"/>
      <c r="BA5" s="340"/>
      <c r="BB5" s="341"/>
      <c r="BC5" s="23"/>
    </row>
    <row r="6" spans="1:55" ht="15.75" thickBot="1" x14ac:dyDescent="0.3">
      <c r="B6" s="342"/>
      <c r="C6" s="343"/>
      <c r="D6" s="343"/>
      <c r="E6" s="343"/>
      <c r="F6" s="344"/>
      <c r="G6" s="277"/>
      <c r="H6" s="278"/>
      <c r="I6" s="278"/>
      <c r="J6" s="22"/>
      <c r="K6" s="22"/>
      <c r="L6" s="22"/>
      <c r="M6" s="22"/>
      <c r="N6" s="22"/>
      <c r="O6" s="22"/>
      <c r="P6" s="22"/>
      <c r="Q6" s="22"/>
      <c r="U6" s="22"/>
      <c r="V6" s="22"/>
      <c r="W6" s="22"/>
      <c r="X6" s="22"/>
      <c r="Y6" s="22"/>
      <c r="Z6" s="22"/>
      <c r="AA6" s="25"/>
      <c r="AB6" s="342"/>
      <c r="AC6" s="343"/>
      <c r="AD6" s="343"/>
      <c r="AE6" s="343"/>
      <c r="AF6" s="344"/>
      <c r="AL6" s="339"/>
      <c r="AM6" s="340"/>
      <c r="AN6" s="340"/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340"/>
      <c r="AZ6" s="340"/>
      <c r="BA6" s="340"/>
      <c r="BB6" s="341"/>
      <c r="BC6" s="23"/>
    </row>
    <row r="7" spans="1:55" ht="15.75" x14ac:dyDescent="0.25">
      <c r="A7" s="26"/>
      <c r="B7" s="276"/>
      <c r="C7" s="276"/>
      <c r="D7" s="276"/>
      <c r="E7" s="276"/>
      <c r="F7" s="276"/>
      <c r="G7" s="276"/>
      <c r="H7" s="276"/>
      <c r="I7" s="276"/>
      <c r="R7" s="27"/>
      <c r="S7" s="28"/>
      <c r="T7" s="27"/>
      <c r="AL7" s="339"/>
      <c r="AM7" s="340"/>
      <c r="AN7" s="340"/>
      <c r="AO7" s="340"/>
      <c r="AP7" s="340"/>
      <c r="AQ7" s="340"/>
      <c r="AR7" s="340"/>
      <c r="AS7" s="340"/>
      <c r="AT7" s="340"/>
      <c r="AU7" s="340"/>
      <c r="AV7" s="340"/>
      <c r="AW7" s="340"/>
      <c r="AX7" s="340"/>
      <c r="AY7" s="340"/>
      <c r="AZ7" s="340"/>
      <c r="BA7" s="340"/>
      <c r="BB7" s="341"/>
      <c r="BC7" s="23"/>
    </row>
    <row r="8" spans="1:55" ht="15.75" thickBot="1" x14ac:dyDescent="0.3">
      <c r="A8" s="26"/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L8" s="342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  <c r="AY8" s="343"/>
      <c r="AZ8" s="343"/>
      <c r="BA8" s="343"/>
      <c r="BB8" s="344"/>
      <c r="BC8" s="23"/>
    </row>
    <row r="9" spans="1:55" ht="15.75" x14ac:dyDescent="0.25">
      <c r="A9" s="26"/>
      <c r="B9" s="279"/>
      <c r="C9" s="276"/>
      <c r="D9" s="276"/>
      <c r="E9" s="345"/>
      <c r="F9" s="345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80"/>
      <c r="AE9" s="280"/>
      <c r="AF9" s="276"/>
      <c r="AL9" s="23"/>
      <c r="BC9" s="23"/>
    </row>
    <row r="10" spans="1:55" ht="15.75" x14ac:dyDescent="0.25">
      <c r="A10" s="26"/>
      <c r="B10" s="279"/>
      <c r="C10" s="276"/>
      <c r="D10" s="276"/>
      <c r="E10" s="281"/>
      <c r="F10" s="281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L10" s="23"/>
      <c r="BC10" s="23"/>
    </row>
    <row r="11" spans="1:55" ht="15.75" x14ac:dyDescent="0.25">
      <c r="A11" s="26"/>
      <c r="B11" s="279"/>
      <c r="C11" s="276"/>
      <c r="D11" s="276"/>
      <c r="E11" s="281"/>
      <c r="F11" s="281"/>
      <c r="G11" s="276"/>
      <c r="H11" s="276"/>
      <c r="I11" s="276"/>
      <c r="J11" s="282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L11" s="23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C11" s="23"/>
    </row>
    <row r="12" spans="1:55" ht="15.75" x14ac:dyDescent="0.25">
      <c r="A12" s="26"/>
      <c r="B12" s="283"/>
      <c r="C12" s="276"/>
      <c r="D12" s="276"/>
      <c r="E12" s="281"/>
      <c r="F12" s="281"/>
      <c r="G12" s="276"/>
      <c r="H12" s="276"/>
      <c r="I12" s="276"/>
      <c r="J12" s="284"/>
      <c r="K12" s="284"/>
      <c r="L12" s="285"/>
      <c r="M12" s="286"/>
      <c r="N12" s="276"/>
      <c r="O12" s="276"/>
      <c r="P12" s="276"/>
      <c r="Q12" s="279"/>
      <c r="R12" s="279"/>
      <c r="S12" s="279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L12" s="23"/>
      <c r="AM12" s="276"/>
      <c r="AN12" s="279"/>
      <c r="AO12" s="279"/>
      <c r="AP12" s="276"/>
      <c r="AQ12" s="276"/>
      <c r="AR12" s="276"/>
      <c r="AS12" s="276"/>
      <c r="AT12" s="276"/>
      <c r="AU12" s="276"/>
      <c r="AV12" s="276"/>
      <c r="AW12" s="276"/>
      <c r="AX12" s="287"/>
      <c r="AY12" s="287"/>
      <c r="AZ12" s="276"/>
      <c r="BA12" s="276"/>
      <c r="BB12" s="276"/>
      <c r="BC12" s="23"/>
    </row>
    <row r="13" spans="1:55" ht="16.5" thickBot="1" x14ac:dyDescent="0.3">
      <c r="A13" s="26"/>
      <c r="B13" s="279"/>
      <c r="C13" s="276"/>
      <c r="D13" s="276"/>
      <c r="E13" s="281"/>
      <c r="F13" s="281"/>
      <c r="G13" s="276"/>
      <c r="H13" s="276"/>
      <c r="I13" s="276"/>
      <c r="J13" s="284"/>
      <c r="K13" s="284"/>
      <c r="L13" s="285"/>
      <c r="M13" s="286"/>
      <c r="N13" s="276"/>
      <c r="O13" s="276"/>
      <c r="P13" s="276"/>
      <c r="Q13" s="279"/>
      <c r="R13" s="279"/>
      <c r="S13" s="279"/>
      <c r="T13" s="276"/>
      <c r="U13" s="276"/>
      <c r="V13" s="276"/>
      <c r="W13" s="276"/>
      <c r="X13" s="288"/>
      <c r="Y13" s="288"/>
      <c r="Z13" s="276"/>
      <c r="AA13" s="276"/>
      <c r="AB13" s="276"/>
      <c r="AC13" s="276"/>
      <c r="AD13" s="276"/>
      <c r="AE13" s="276"/>
      <c r="AF13" s="276"/>
      <c r="AL13" s="23"/>
      <c r="AM13" s="276"/>
      <c r="AN13" s="276"/>
      <c r="AO13" s="279"/>
      <c r="AP13" s="279"/>
      <c r="AQ13" s="276"/>
      <c r="AR13" s="276"/>
      <c r="AS13" s="276"/>
      <c r="AT13" s="276"/>
      <c r="AU13" s="276"/>
      <c r="AV13" s="276"/>
      <c r="AW13" s="287"/>
      <c r="AX13" s="287"/>
      <c r="AY13" s="276"/>
      <c r="AZ13" s="276"/>
      <c r="BA13" s="276"/>
      <c r="BB13" s="289"/>
      <c r="BC13" s="23"/>
    </row>
    <row r="14" spans="1:55" ht="15.75" x14ac:dyDescent="0.25">
      <c r="A14" s="26"/>
      <c r="B14" s="279"/>
      <c r="C14" s="276"/>
      <c r="D14" s="276"/>
      <c r="E14" s="276"/>
      <c r="F14" s="290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336"/>
      <c r="X14" s="340"/>
      <c r="Y14" s="340"/>
      <c r="Z14" s="291"/>
      <c r="AA14" s="276"/>
      <c r="AB14" s="276"/>
      <c r="AC14" s="276"/>
      <c r="AD14" s="276"/>
      <c r="AE14" s="276"/>
      <c r="AF14" s="276"/>
      <c r="AL14" s="23"/>
      <c r="AM14" s="276"/>
      <c r="AN14" s="276"/>
      <c r="AO14" s="276"/>
      <c r="AP14" s="279"/>
      <c r="AQ14" s="279"/>
      <c r="AR14" s="276"/>
      <c r="AS14" s="276"/>
      <c r="AT14" s="276"/>
      <c r="AU14" s="276"/>
      <c r="AV14" s="287"/>
      <c r="AW14" s="287"/>
      <c r="AX14" s="276"/>
      <c r="AY14" s="276"/>
      <c r="AZ14" s="276"/>
      <c r="BA14" s="276"/>
      <c r="BB14" s="289"/>
      <c r="BC14" s="23"/>
    </row>
    <row r="15" spans="1:55" ht="15.75" x14ac:dyDescent="0.25">
      <c r="A15" s="26"/>
      <c r="B15" s="279"/>
      <c r="C15" s="276"/>
      <c r="D15" s="276"/>
      <c r="E15" s="276"/>
      <c r="F15" s="290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339"/>
      <c r="X15" s="340"/>
      <c r="Y15" s="340"/>
      <c r="Z15" s="291"/>
      <c r="AA15" s="276"/>
      <c r="AB15" s="276"/>
      <c r="AC15" s="276"/>
      <c r="AD15" s="276"/>
      <c r="AE15" s="276"/>
      <c r="AF15" s="276"/>
      <c r="AL15" s="23"/>
      <c r="AM15" s="276"/>
      <c r="AN15" s="276"/>
      <c r="AO15" s="276"/>
      <c r="AP15" s="276"/>
      <c r="AQ15" s="279"/>
      <c r="AR15" s="279"/>
      <c r="AS15" s="276"/>
      <c r="AT15" s="276"/>
      <c r="AU15" s="287"/>
      <c r="AV15" s="287"/>
      <c r="AW15" s="276"/>
      <c r="AX15" s="276"/>
      <c r="AY15" s="276"/>
      <c r="AZ15" s="276"/>
      <c r="BA15" s="276"/>
      <c r="BB15" s="289"/>
      <c r="BC15" s="23"/>
    </row>
    <row r="16" spans="1:55" ht="15.75" x14ac:dyDescent="0.25">
      <c r="A16" s="26"/>
      <c r="B16" s="279"/>
      <c r="C16" s="276"/>
      <c r="D16" s="276"/>
      <c r="E16" s="281"/>
      <c r="F16" s="281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339"/>
      <c r="X16" s="340"/>
      <c r="Y16" s="341"/>
      <c r="Z16" s="280"/>
      <c r="AA16" s="276"/>
      <c r="AB16" s="276"/>
      <c r="AC16" s="276"/>
      <c r="AD16" s="276"/>
      <c r="AE16" s="276"/>
      <c r="AF16" s="276"/>
      <c r="AL16" s="23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89"/>
      <c r="BC16" s="23"/>
    </row>
    <row r="17" spans="1:55" ht="15.75" x14ac:dyDescent="0.25">
      <c r="A17" s="26"/>
      <c r="B17" s="279"/>
      <c r="C17" s="276"/>
      <c r="D17" s="276"/>
      <c r="E17" s="281"/>
      <c r="F17" s="281"/>
      <c r="G17" s="276"/>
      <c r="H17" s="276"/>
      <c r="I17" s="276"/>
      <c r="J17" s="292"/>
      <c r="K17" s="292"/>
      <c r="L17" s="292"/>
      <c r="M17" s="292"/>
      <c r="N17" s="276"/>
      <c r="O17" s="276"/>
      <c r="P17" s="279"/>
      <c r="Q17" s="279"/>
      <c r="R17" s="279"/>
      <c r="S17" s="279"/>
      <c r="T17" s="276"/>
      <c r="U17" s="276"/>
      <c r="V17" s="276"/>
      <c r="W17" s="339"/>
      <c r="X17" s="340"/>
      <c r="Y17" s="341"/>
      <c r="Z17" s="280"/>
      <c r="AA17" s="276"/>
      <c r="AB17" s="276"/>
      <c r="AC17" s="276"/>
      <c r="AD17" s="276"/>
      <c r="AE17" s="276"/>
      <c r="AF17" s="276"/>
      <c r="AL17" s="23"/>
      <c r="AW17" s="1"/>
      <c r="AX17" s="1"/>
      <c r="AY17" s="1"/>
      <c r="BB17" s="289"/>
      <c r="BC17" s="23"/>
    </row>
    <row r="18" spans="1:55" ht="21" x14ac:dyDescent="0.35">
      <c r="A18" s="26"/>
      <c r="B18" s="283"/>
      <c r="C18" s="276"/>
      <c r="D18" s="276"/>
      <c r="E18" s="281"/>
      <c r="F18" s="281"/>
      <c r="G18" s="276"/>
      <c r="H18" s="276"/>
      <c r="I18" s="276"/>
      <c r="J18" s="292"/>
      <c r="K18" s="292"/>
      <c r="L18" s="292"/>
      <c r="M18" s="292"/>
      <c r="N18" s="276"/>
      <c r="O18" s="276"/>
      <c r="P18" s="279"/>
      <c r="Q18" s="279"/>
      <c r="R18" s="279"/>
      <c r="S18" s="279"/>
      <c r="T18" s="276"/>
      <c r="U18" s="276"/>
      <c r="V18" s="276"/>
      <c r="W18" s="339"/>
      <c r="X18" s="340"/>
      <c r="Y18" s="341"/>
      <c r="Z18" s="280"/>
      <c r="AA18" s="276"/>
      <c r="AB18" s="276"/>
      <c r="AC18" s="276"/>
      <c r="AD18" s="276"/>
      <c r="AE18" s="276"/>
      <c r="AF18" s="276"/>
      <c r="AL18" s="23"/>
      <c r="AN18" s="346" t="s">
        <v>181</v>
      </c>
      <c r="AO18" s="346"/>
      <c r="AP18" s="346"/>
      <c r="AQ18" s="346"/>
      <c r="AU18" s="324" t="s">
        <v>181</v>
      </c>
      <c r="AV18" s="324"/>
      <c r="BB18" s="289"/>
      <c r="BC18" s="23"/>
    </row>
    <row r="19" spans="1:55" ht="18.75" x14ac:dyDescent="0.3">
      <c r="A19" s="26"/>
      <c r="B19" s="293"/>
      <c r="C19" s="276"/>
      <c r="D19" s="276"/>
      <c r="E19" s="281"/>
      <c r="F19" s="281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339"/>
      <c r="X19" s="340"/>
      <c r="Y19" s="341"/>
      <c r="Z19" s="280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94"/>
      <c r="AM19" s="276"/>
      <c r="AN19" s="10"/>
      <c r="AO19" s="10"/>
      <c r="AP19" s="10"/>
      <c r="AQ19" s="10"/>
      <c r="AR19" s="276"/>
      <c r="AS19" s="276"/>
      <c r="AU19" s="44"/>
      <c r="AV19" s="44"/>
      <c r="AW19" s="2" t="s">
        <v>183</v>
      </c>
      <c r="AX19" s="276"/>
      <c r="BB19" s="289"/>
      <c r="BC19" s="23"/>
    </row>
    <row r="20" spans="1:55" ht="24" thickBot="1" x14ac:dyDescent="0.4">
      <c r="A20" s="26"/>
      <c r="B20" s="293"/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342"/>
      <c r="X20" s="343"/>
      <c r="Y20" s="344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3"/>
      <c r="AM20" s="2" t="s">
        <v>196</v>
      </c>
      <c r="AN20" s="45" t="s">
        <v>185</v>
      </c>
      <c r="AO20" s="45" t="s">
        <v>185</v>
      </c>
      <c r="AP20" s="45" t="s">
        <v>185</v>
      </c>
      <c r="AQ20" s="45" t="s">
        <v>185</v>
      </c>
      <c r="AS20" s="13"/>
      <c r="AT20" s="44" t="s">
        <v>185</v>
      </c>
      <c r="AU20" s="14">
        <v>5</v>
      </c>
      <c r="AV20" s="19">
        <v>5</v>
      </c>
      <c r="AW20" s="44" t="s">
        <v>185</v>
      </c>
      <c r="AX20" s="12"/>
      <c r="BB20" s="289"/>
      <c r="BC20" s="23"/>
    </row>
    <row r="21" spans="1:55" ht="23.25" x14ac:dyDescent="0.35">
      <c r="A21" s="26"/>
      <c r="B21" s="29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95"/>
      <c r="AH21" s="295"/>
      <c r="AI21" s="295"/>
      <c r="AJ21" s="295"/>
      <c r="AK21" s="276"/>
      <c r="AL21" s="23"/>
      <c r="AM21" s="45"/>
      <c r="AN21" s="47">
        <v>5</v>
      </c>
      <c r="AO21" s="47">
        <v>5</v>
      </c>
      <c r="AP21" s="47">
        <v>5</v>
      </c>
      <c r="AQ21" s="47">
        <v>5</v>
      </c>
      <c r="AR21" s="45"/>
      <c r="AS21" s="13"/>
      <c r="AT21" s="44" t="s">
        <v>185</v>
      </c>
      <c r="AU21" s="14">
        <v>5</v>
      </c>
      <c r="AV21" s="19">
        <v>5</v>
      </c>
      <c r="AW21" s="44" t="s">
        <v>185</v>
      </c>
      <c r="AX21" s="12"/>
      <c r="BB21" s="289"/>
      <c r="BC21" s="23"/>
    </row>
    <row r="22" spans="1:55" ht="23.25" x14ac:dyDescent="0.35">
      <c r="A22" s="26"/>
      <c r="B22" s="293"/>
      <c r="C22" s="276"/>
      <c r="D22" s="276"/>
      <c r="E22" s="280"/>
      <c r="F22" s="280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95"/>
      <c r="AH22" s="295"/>
      <c r="AI22" s="295"/>
      <c r="AJ22" s="295"/>
      <c r="AK22" s="276"/>
      <c r="AL22" s="23"/>
      <c r="AM22" s="45"/>
      <c r="AN22" s="47">
        <v>5</v>
      </c>
      <c r="AO22" s="47">
        <v>5</v>
      </c>
      <c r="AP22" s="47">
        <v>5</v>
      </c>
      <c r="AQ22" s="47">
        <v>5</v>
      </c>
      <c r="AR22" s="45"/>
      <c r="AS22" s="13"/>
      <c r="AT22" s="44" t="s">
        <v>185</v>
      </c>
      <c r="AU22" s="14">
        <v>5</v>
      </c>
      <c r="AV22" s="17">
        <v>5</v>
      </c>
      <c r="AW22" s="44" t="s">
        <v>185</v>
      </c>
      <c r="AX22" s="12"/>
      <c r="BB22" s="289"/>
      <c r="BC22" s="23"/>
    </row>
    <row r="23" spans="1:55" ht="23.25" x14ac:dyDescent="0.35">
      <c r="A23" s="26"/>
      <c r="B23" s="293"/>
      <c r="C23" s="276"/>
      <c r="D23" s="276"/>
      <c r="E23" s="280"/>
      <c r="F23" s="280"/>
      <c r="G23" s="276"/>
      <c r="H23" s="276"/>
      <c r="I23" s="276"/>
      <c r="J23" s="293"/>
      <c r="K23" s="293"/>
      <c r="L23" s="293"/>
      <c r="M23" s="293"/>
      <c r="N23" s="276"/>
      <c r="O23" s="276"/>
      <c r="P23" s="279"/>
      <c r="Q23" s="279"/>
      <c r="R23" s="279"/>
      <c r="S23" s="279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3"/>
      <c r="AN23" s="45" t="s">
        <v>185</v>
      </c>
      <c r="AO23" s="45" t="s">
        <v>185</v>
      </c>
      <c r="AP23" s="45" t="s">
        <v>185</v>
      </c>
      <c r="AQ23" s="45" t="s">
        <v>185</v>
      </c>
      <c r="AS23" s="13"/>
      <c r="AT23" s="44" t="s">
        <v>185</v>
      </c>
      <c r="AU23" s="14">
        <v>5</v>
      </c>
      <c r="AV23" s="17">
        <v>5</v>
      </c>
      <c r="AW23" s="44" t="s">
        <v>185</v>
      </c>
      <c r="AX23" s="12"/>
      <c r="BB23" s="289"/>
      <c r="BC23" s="23"/>
    </row>
    <row r="24" spans="1:55" ht="18.75" x14ac:dyDescent="0.3">
      <c r="A24" s="26"/>
      <c r="B24" s="293"/>
      <c r="C24" s="276"/>
      <c r="D24" s="276"/>
      <c r="E24" s="280"/>
      <c r="F24" s="280"/>
      <c r="G24" s="276"/>
      <c r="H24" s="276"/>
      <c r="I24" s="276"/>
      <c r="J24" s="293"/>
      <c r="K24" s="293"/>
      <c r="L24" s="293"/>
      <c r="M24" s="293"/>
      <c r="N24" s="276"/>
      <c r="O24" s="276"/>
      <c r="P24" s="279"/>
      <c r="Q24" s="279"/>
      <c r="R24" s="279"/>
      <c r="S24" s="279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3"/>
      <c r="AN24" s="10"/>
      <c r="AO24" s="10"/>
      <c r="AP24" s="10"/>
      <c r="AQ24" s="10"/>
      <c r="AR24" s="276"/>
      <c r="AS24" s="276"/>
      <c r="AU24" s="44"/>
      <c r="AV24" s="44"/>
      <c r="AX24" s="276"/>
      <c r="BB24" s="289"/>
      <c r="BC24" s="23"/>
    </row>
    <row r="25" spans="1:55" ht="15.75" x14ac:dyDescent="0.25">
      <c r="A25" s="26"/>
      <c r="B25" s="276"/>
      <c r="C25" s="276"/>
      <c r="D25" s="276"/>
      <c r="E25" s="280"/>
      <c r="F25" s="280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3"/>
      <c r="AN25" s="276"/>
      <c r="AO25" s="276"/>
      <c r="AP25" s="276"/>
      <c r="AQ25" s="276"/>
      <c r="AR25" s="276"/>
      <c r="AS25" s="276"/>
      <c r="AX25" s="276"/>
      <c r="BB25" s="287"/>
      <c r="BC25" s="23"/>
    </row>
    <row r="26" spans="1:55" ht="15.75" x14ac:dyDescent="0.25">
      <c r="A26" s="26"/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3"/>
      <c r="AS26" s="276"/>
      <c r="AX26" s="276"/>
      <c r="BB26" s="287"/>
      <c r="BC26" s="23"/>
    </row>
    <row r="27" spans="1:55" ht="15.75" x14ac:dyDescent="0.25">
      <c r="A27" s="26"/>
      <c r="B27" s="276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96"/>
      <c r="AH27" s="296"/>
      <c r="AI27" s="296"/>
      <c r="AJ27" s="296"/>
      <c r="AK27" s="276"/>
      <c r="AL27" s="23"/>
      <c r="AQ27" s="276"/>
      <c r="AR27" s="276"/>
      <c r="AS27" s="276"/>
      <c r="AT27" s="276"/>
      <c r="AU27" s="276"/>
      <c r="BB27" s="287"/>
      <c r="BC27" s="23"/>
    </row>
    <row r="28" spans="1:55" ht="15.75" x14ac:dyDescent="0.25">
      <c r="A28" s="26"/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96"/>
      <c r="AH28" s="296"/>
      <c r="AI28" s="296"/>
      <c r="AJ28" s="296"/>
      <c r="AK28" s="276"/>
      <c r="AL28" s="23"/>
      <c r="AQ28" s="276"/>
      <c r="AR28" s="276"/>
      <c r="AS28" s="279"/>
      <c r="AT28" s="279"/>
      <c r="AU28" s="276"/>
      <c r="BB28" s="287"/>
      <c r="BC28" s="23"/>
    </row>
    <row r="29" spans="1:55" ht="16.5" thickBot="1" x14ac:dyDescent="0.3">
      <c r="A29" s="26"/>
      <c r="B29" s="276"/>
      <c r="C29" s="276"/>
      <c r="D29" s="276"/>
      <c r="E29" s="276"/>
      <c r="F29" s="276"/>
      <c r="G29" s="276"/>
      <c r="H29" s="276"/>
      <c r="I29" s="276"/>
      <c r="J29" s="279"/>
      <c r="K29" s="297"/>
      <c r="L29" s="297"/>
      <c r="M29" s="297"/>
      <c r="N29" s="297"/>
      <c r="O29" s="279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3"/>
      <c r="AQ29" s="276"/>
      <c r="AR29" s="276"/>
      <c r="AS29" s="279"/>
      <c r="AT29" s="279"/>
      <c r="AU29" s="276"/>
      <c r="BB29" s="287"/>
      <c r="BC29" s="23"/>
    </row>
    <row r="30" spans="1:55" ht="15.75" x14ac:dyDescent="0.25">
      <c r="A30" s="26"/>
      <c r="B30" s="298"/>
      <c r="C30" s="299"/>
      <c r="D30" s="299"/>
      <c r="E30" s="299"/>
      <c r="F30" s="299"/>
      <c r="G30" s="299"/>
      <c r="H30" s="320"/>
      <c r="I30" s="321"/>
      <c r="J30" s="299"/>
      <c r="K30" s="300"/>
      <c r="L30" s="300"/>
      <c r="M30" s="300"/>
      <c r="N30" s="300"/>
      <c r="O30" s="299"/>
      <c r="P30" s="299"/>
      <c r="Q30" s="299"/>
      <c r="R30" s="294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3"/>
      <c r="AQ30" s="276"/>
      <c r="AR30" s="276"/>
      <c r="AS30" s="276"/>
      <c r="AT30" s="276"/>
      <c r="AU30" s="276"/>
      <c r="BB30" s="287"/>
      <c r="BC30" s="23"/>
    </row>
    <row r="31" spans="1:55" ht="16.5" thickBot="1" x14ac:dyDescent="0.3">
      <c r="A31" s="26"/>
      <c r="B31" s="294"/>
      <c r="C31" s="276"/>
      <c r="D31" s="276"/>
      <c r="E31" s="276"/>
      <c r="F31" s="276"/>
      <c r="G31" s="276"/>
      <c r="H31" s="322"/>
      <c r="I31" s="323"/>
      <c r="J31" s="276"/>
      <c r="K31" s="276"/>
      <c r="L31" s="276"/>
      <c r="M31" s="276"/>
      <c r="N31" s="276"/>
      <c r="O31" s="276"/>
      <c r="P31" s="276"/>
      <c r="Q31" s="276"/>
      <c r="R31" s="294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301"/>
      <c r="AG31" s="302"/>
      <c r="AH31" s="302"/>
      <c r="AI31" s="302"/>
      <c r="AJ31" s="302"/>
      <c r="AK31" s="303"/>
      <c r="AL31" s="23"/>
      <c r="AQ31" s="276"/>
      <c r="AR31" s="276"/>
      <c r="AS31" s="276"/>
      <c r="AT31" s="276"/>
      <c r="AU31" s="276"/>
      <c r="BB31" s="287"/>
      <c r="BC31" s="23"/>
    </row>
    <row r="32" spans="1:55" ht="21" x14ac:dyDescent="0.35">
      <c r="A32" s="26"/>
      <c r="B32" s="294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94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82"/>
      <c r="AG32" s="9"/>
      <c r="AH32" s="9"/>
      <c r="AI32" s="9"/>
      <c r="AJ32" s="9"/>
      <c r="AK32" s="282"/>
      <c r="AL32" s="23"/>
      <c r="AO32" s="324" t="s">
        <v>198</v>
      </c>
      <c r="AP32" s="324"/>
      <c r="AQ32" s="1"/>
      <c r="AR32" s="1"/>
      <c r="AU32" s="276"/>
      <c r="AV32" s="276"/>
      <c r="AW32" s="276"/>
      <c r="AX32" s="276"/>
      <c r="AY32" s="276"/>
      <c r="BB32" s="287"/>
      <c r="BC32" s="23"/>
    </row>
    <row r="33" spans="1:55" ht="18" x14ac:dyDescent="0.25">
      <c r="A33" s="40"/>
      <c r="B33" s="304"/>
      <c r="C33" s="282"/>
      <c r="D33" s="282"/>
      <c r="E33" s="305"/>
      <c r="F33" s="305"/>
      <c r="G33" s="282"/>
      <c r="H33" s="276"/>
      <c r="I33" s="276"/>
      <c r="J33" s="276"/>
      <c r="K33" s="276"/>
      <c r="L33" s="276"/>
      <c r="M33" s="276"/>
      <c r="N33" s="276"/>
      <c r="O33" s="276"/>
      <c r="P33" s="276"/>
      <c r="Q33" s="306"/>
      <c r="R33" s="292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9"/>
      <c r="AG33" s="307"/>
      <c r="AH33" s="307"/>
      <c r="AI33" s="307"/>
      <c r="AJ33" s="307"/>
      <c r="AK33" s="9"/>
      <c r="AL33" s="23"/>
      <c r="AM33" s="276"/>
      <c r="AO33" s="67"/>
      <c r="AP33" s="67"/>
      <c r="AQ33" s="68" t="s">
        <v>200</v>
      </c>
      <c r="AU33" s="282"/>
      <c r="AV33" s="276"/>
      <c r="AW33" s="276"/>
      <c r="AX33" s="276"/>
      <c r="AY33" s="276"/>
      <c r="BB33" s="287"/>
      <c r="BC33" s="23"/>
    </row>
    <row r="34" spans="1:55" ht="23.25" x14ac:dyDescent="0.35">
      <c r="A34" s="40"/>
      <c r="B34" s="304"/>
      <c r="C34" s="282"/>
      <c r="D34" s="282"/>
      <c r="E34" s="305"/>
      <c r="F34" s="305"/>
      <c r="G34" s="282"/>
      <c r="H34" s="276"/>
      <c r="I34" s="276"/>
      <c r="J34" s="276"/>
      <c r="K34" s="276"/>
      <c r="L34" s="276"/>
      <c r="M34" s="276"/>
      <c r="N34" s="276"/>
      <c r="O34" s="276"/>
      <c r="P34" s="306"/>
      <c r="Q34" s="292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9"/>
      <c r="AG34" s="307"/>
      <c r="AH34" s="307"/>
      <c r="AI34" s="307"/>
      <c r="AJ34" s="307"/>
      <c r="AK34" s="9"/>
      <c r="AL34" s="23"/>
      <c r="AM34" s="13"/>
      <c r="AN34" s="69" t="s">
        <v>185</v>
      </c>
      <c r="AO34" s="21">
        <v>5</v>
      </c>
      <c r="AP34" s="20">
        <v>5</v>
      </c>
      <c r="AQ34" s="69" t="s">
        <v>185</v>
      </c>
      <c r="AR34" s="12"/>
      <c r="AU34" s="279"/>
      <c r="AV34" s="279"/>
      <c r="AW34" s="276"/>
      <c r="AX34" s="276"/>
      <c r="AY34" s="276"/>
      <c r="BB34" s="287"/>
      <c r="BC34" s="23"/>
    </row>
    <row r="35" spans="1:55" ht="23.25" x14ac:dyDescent="0.35">
      <c r="A35" s="40"/>
      <c r="B35" s="304"/>
      <c r="C35" s="282"/>
      <c r="D35" s="282"/>
      <c r="E35" s="305"/>
      <c r="F35" s="305"/>
      <c r="G35" s="282"/>
      <c r="H35" s="276"/>
      <c r="I35" s="276"/>
      <c r="J35" s="276"/>
      <c r="K35" s="276"/>
      <c r="L35" s="276"/>
      <c r="M35" s="276"/>
      <c r="N35" s="276"/>
      <c r="O35" s="306"/>
      <c r="P35" s="292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82"/>
      <c r="AG35" s="9"/>
      <c r="AH35" s="9"/>
      <c r="AI35" s="9"/>
      <c r="AJ35" s="9"/>
      <c r="AK35" s="282"/>
      <c r="AL35" s="23"/>
      <c r="AM35" s="13"/>
      <c r="AN35" s="69" t="s">
        <v>185</v>
      </c>
      <c r="AO35" s="21">
        <v>5</v>
      </c>
      <c r="AP35" s="20">
        <v>5</v>
      </c>
      <c r="AQ35" s="69" t="s">
        <v>185</v>
      </c>
      <c r="AR35" s="12"/>
      <c r="AS35" s="276"/>
      <c r="AT35" s="276"/>
      <c r="AU35" s="276"/>
      <c r="AV35" s="279"/>
      <c r="AW35" s="279"/>
      <c r="AX35" s="276"/>
      <c r="AY35" s="276"/>
      <c r="BB35" s="287"/>
      <c r="BC35" s="23"/>
    </row>
    <row r="36" spans="1:55" ht="23.25" x14ac:dyDescent="0.35">
      <c r="A36" s="40"/>
      <c r="B36" s="304"/>
      <c r="C36" s="282"/>
      <c r="D36" s="282"/>
      <c r="E36" s="282"/>
      <c r="F36" s="282"/>
      <c r="G36" s="282"/>
      <c r="H36" s="276"/>
      <c r="I36" s="276"/>
      <c r="J36" s="276"/>
      <c r="K36" s="276"/>
      <c r="L36" s="276"/>
      <c r="M36" s="276"/>
      <c r="N36" s="306"/>
      <c r="O36" s="292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302"/>
      <c r="AH36" s="302"/>
      <c r="AI36" s="302"/>
      <c r="AJ36" s="302"/>
      <c r="AK36" s="276"/>
      <c r="AL36" s="23"/>
      <c r="AM36" s="13"/>
      <c r="AN36" s="69" t="s">
        <v>185</v>
      </c>
      <c r="AO36" s="21">
        <v>5</v>
      </c>
      <c r="AP36" s="20">
        <v>5</v>
      </c>
      <c r="AQ36" s="69" t="s">
        <v>185</v>
      </c>
      <c r="AR36" s="12"/>
      <c r="AS36" s="276"/>
      <c r="AT36" s="282"/>
      <c r="AU36" s="276"/>
      <c r="AV36" s="276"/>
      <c r="AW36" s="279"/>
      <c r="AX36" s="279"/>
      <c r="AY36" s="276"/>
      <c r="BB36" s="287"/>
      <c r="BC36" s="23"/>
    </row>
    <row r="37" spans="1:55" ht="23.25" x14ac:dyDescent="0.35">
      <c r="A37" s="40"/>
      <c r="B37" s="304"/>
      <c r="C37" s="282"/>
      <c r="D37" s="282"/>
      <c r="E37" s="282"/>
      <c r="F37" s="282"/>
      <c r="G37" s="282"/>
      <c r="H37" s="276"/>
      <c r="I37" s="276"/>
      <c r="J37" s="276"/>
      <c r="K37" s="276"/>
      <c r="L37" s="276"/>
      <c r="M37" s="306"/>
      <c r="N37" s="292"/>
      <c r="O37" s="276"/>
      <c r="P37" s="276"/>
      <c r="Q37" s="276"/>
      <c r="R37" s="276"/>
      <c r="S37" s="276"/>
      <c r="T37" s="276"/>
      <c r="U37" s="282"/>
      <c r="V37" s="282"/>
      <c r="W37" s="282"/>
      <c r="X37" s="282"/>
      <c r="Y37" s="282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308"/>
      <c r="AM37" s="13"/>
      <c r="AN37" s="69" t="s">
        <v>185</v>
      </c>
      <c r="AO37" s="21">
        <v>5</v>
      </c>
      <c r="AP37" s="20">
        <v>5</v>
      </c>
      <c r="AQ37" s="69" t="s">
        <v>185</v>
      </c>
      <c r="AR37" s="12"/>
      <c r="AS37" s="295"/>
      <c r="AT37" s="295"/>
      <c r="AU37" s="276"/>
      <c r="AV37" s="276"/>
      <c r="AW37" s="276"/>
      <c r="AX37" s="279"/>
      <c r="AY37" s="279"/>
      <c r="BB37" s="279"/>
      <c r="BC37" s="23"/>
    </row>
    <row r="38" spans="1:55" ht="21" x14ac:dyDescent="0.25">
      <c r="A38" s="40"/>
      <c r="B38" s="309"/>
      <c r="C38" s="282"/>
      <c r="D38" s="282"/>
      <c r="E38" s="286"/>
      <c r="F38" s="286"/>
      <c r="G38" s="282"/>
      <c r="H38" s="276"/>
      <c r="I38" s="276"/>
      <c r="J38" s="276"/>
      <c r="K38" s="276"/>
      <c r="L38" s="306"/>
      <c r="M38" s="292"/>
      <c r="N38" s="276"/>
      <c r="O38" s="276"/>
      <c r="P38" s="276"/>
      <c r="Q38" s="280"/>
      <c r="R38" s="280"/>
      <c r="S38" s="280"/>
      <c r="T38" s="276"/>
      <c r="U38" s="286"/>
      <c r="V38" s="289"/>
      <c r="W38" s="289"/>
      <c r="X38" s="289"/>
      <c r="Y38" s="289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3"/>
      <c r="AN38" s="2" t="s">
        <v>205</v>
      </c>
      <c r="AO38" s="67"/>
      <c r="AP38" s="67"/>
      <c r="AR38" s="12"/>
      <c r="AS38" s="295"/>
      <c r="AT38" s="295"/>
      <c r="AU38" s="276"/>
      <c r="AV38" s="276"/>
      <c r="AW38" s="276"/>
      <c r="AX38" s="276"/>
      <c r="AY38" s="276"/>
      <c r="BB38" s="279"/>
      <c r="BC38" s="23"/>
    </row>
    <row r="39" spans="1:55" ht="15.75" x14ac:dyDescent="0.25">
      <c r="A39" s="40"/>
      <c r="B39" s="310"/>
      <c r="C39" s="282"/>
      <c r="D39" s="282"/>
      <c r="E39" s="286"/>
      <c r="F39" s="286"/>
      <c r="G39" s="282"/>
      <c r="H39" s="276"/>
      <c r="I39" s="276"/>
      <c r="J39" s="311"/>
      <c r="K39" s="312"/>
      <c r="L39" s="292"/>
      <c r="M39" s="276"/>
      <c r="N39" s="276"/>
      <c r="O39" s="276"/>
      <c r="P39" s="282"/>
      <c r="Q39" s="280"/>
      <c r="R39" s="280"/>
      <c r="S39" s="280"/>
      <c r="T39" s="276"/>
      <c r="U39" s="282"/>
      <c r="V39" s="289"/>
      <c r="W39" s="289"/>
      <c r="X39" s="289"/>
      <c r="Y39" s="289"/>
      <c r="Z39" s="276"/>
      <c r="AA39" s="276"/>
      <c r="AB39" s="276"/>
      <c r="AC39" s="276"/>
      <c r="AD39" s="276"/>
      <c r="AE39" s="276"/>
      <c r="AF39" s="276"/>
      <c r="AG39" s="295"/>
      <c r="AH39" s="295"/>
      <c r="AI39" s="295"/>
      <c r="AJ39" s="295"/>
      <c r="AK39" s="295"/>
      <c r="AL39" s="23"/>
      <c r="AR39" s="276"/>
      <c r="AS39" s="276"/>
      <c r="AT39" s="276"/>
      <c r="AU39" s="276"/>
      <c r="AV39" s="276"/>
      <c r="AW39" s="276"/>
      <c r="AX39" s="276"/>
      <c r="AY39" s="276"/>
      <c r="BB39" s="279"/>
      <c r="BC39" s="23"/>
    </row>
    <row r="40" spans="1:55" ht="15.75" x14ac:dyDescent="0.25">
      <c r="A40" s="40"/>
      <c r="B40" s="309"/>
      <c r="C40" s="282"/>
      <c r="D40" s="282"/>
      <c r="E40" s="286"/>
      <c r="F40" s="286"/>
      <c r="G40" s="282"/>
      <c r="H40" s="276"/>
      <c r="I40" s="276"/>
      <c r="J40" s="313"/>
      <c r="K40" s="314"/>
      <c r="L40" s="276"/>
      <c r="M40" s="276"/>
      <c r="N40" s="276"/>
      <c r="O40" s="276"/>
      <c r="P40" s="282"/>
      <c r="Q40" s="315"/>
      <c r="R40" s="315"/>
      <c r="S40" s="282"/>
      <c r="T40" s="276"/>
      <c r="U40" s="282"/>
      <c r="V40" s="282"/>
      <c r="W40" s="286"/>
      <c r="X40" s="286"/>
      <c r="Y40" s="282"/>
      <c r="Z40" s="276"/>
      <c r="AA40" s="276"/>
      <c r="AB40" s="276"/>
      <c r="AC40" s="276"/>
      <c r="AD40" s="276"/>
      <c r="AE40" s="276"/>
      <c r="AF40" s="276"/>
      <c r="AG40" s="295"/>
      <c r="AH40" s="295"/>
      <c r="AI40" s="295"/>
      <c r="AJ40" s="295"/>
      <c r="AK40" s="295"/>
      <c r="AL40" s="23"/>
      <c r="AS40" s="276"/>
      <c r="AT40" s="276"/>
      <c r="AU40" s="276"/>
      <c r="AV40" s="276"/>
      <c r="AW40" s="276"/>
      <c r="AX40" s="276"/>
      <c r="AY40" s="276"/>
      <c r="BB40" s="279"/>
      <c r="BC40" s="23"/>
    </row>
    <row r="41" spans="1:55" ht="15.75" x14ac:dyDescent="0.25">
      <c r="A41" s="40"/>
      <c r="B41" s="304"/>
      <c r="C41" s="282"/>
      <c r="D41" s="282"/>
      <c r="E41" s="286"/>
      <c r="F41" s="286"/>
      <c r="G41" s="282"/>
      <c r="H41" s="276"/>
      <c r="I41" s="276"/>
      <c r="J41" s="311"/>
      <c r="K41" s="276"/>
      <c r="L41" s="276"/>
      <c r="M41" s="276"/>
      <c r="N41" s="276"/>
      <c r="O41" s="276"/>
      <c r="P41" s="315"/>
      <c r="Q41" s="315"/>
      <c r="R41" s="282"/>
      <c r="S41" s="282"/>
      <c r="T41" s="276"/>
      <c r="U41" s="282"/>
      <c r="V41" s="282"/>
      <c r="W41" s="282"/>
      <c r="X41" s="286"/>
      <c r="Y41" s="28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3"/>
      <c r="AM41" s="276"/>
      <c r="AN41" s="276"/>
      <c r="AO41" s="276"/>
      <c r="AP41" s="276"/>
      <c r="AQ41" s="293"/>
      <c r="AR41" s="293"/>
      <c r="AS41" s="276"/>
      <c r="AT41" s="276"/>
      <c r="AU41" s="276"/>
      <c r="AV41" s="279"/>
      <c r="AW41" s="276"/>
      <c r="AX41" s="276"/>
      <c r="AY41" s="276"/>
      <c r="BB41" s="276"/>
      <c r="BC41" s="23"/>
    </row>
    <row r="42" spans="1:55" ht="15.75" x14ac:dyDescent="0.25">
      <c r="A42" s="40"/>
      <c r="B42" s="309"/>
      <c r="C42" s="282"/>
      <c r="D42" s="282"/>
      <c r="E42" s="282"/>
      <c r="F42" s="282"/>
      <c r="G42" s="282"/>
      <c r="H42" s="276"/>
      <c r="I42" s="276"/>
      <c r="J42" s="311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82"/>
      <c r="V42" s="282"/>
      <c r="W42" s="282"/>
      <c r="X42" s="282"/>
      <c r="Y42" s="282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3"/>
      <c r="AM42" s="276"/>
      <c r="AN42" s="276"/>
      <c r="AO42" s="276"/>
      <c r="AP42" s="293"/>
      <c r="AQ42" s="293"/>
      <c r="AR42" s="276"/>
      <c r="AS42" s="276"/>
      <c r="AU42" s="276"/>
      <c r="AV42" s="279"/>
      <c r="AW42" s="279"/>
      <c r="AX42" s="276"/>
      <c r="AY42" s="276"/>
      <c r="BB42" s="276"/>
      <c r="BC42" s="23"/>
    </row>
    <row r="43" spans="1:55" ht="15.75" x14ac:dyDescent="0.25">
      <c r="A43" s="40"/>
      <c r="B43" s="304"/>
      <c r="C43" s="282"/>
      <c r="D43" s="282"/>
      <c r="E43" s="282"/>
      <c r="F43" s="282"/>
      <c r="G43" s="282"/>
      <c r="H43" s="276"/>
      <c r="I43" s="276"/>
      <c r="J43" s="313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3"/>
      <c r="AM43" s="276"/>
      <c r="AN43" s="276"/>
      <c r="AO43" s="293"/>
      <c r="AP43" s="293"/>
      <c r="AQ43" s="276"/>
      <c r="AR43" s="276"/>
      <c r="AS43" s="276"/>
      <c r="AU43" s="276"/>
      <c r="AV43" s="276"/>
      <c r="AW43" s="279"/>
      <c r="AX43" s="279"/>
      <c r="AY43" s="276"/>
      <c r="BB43" s="276"/>
      <c r="BC43" s="23"/>
    </row>
    <row r="44" spans="1:55" ht="15.75" x14ac:dyDescent="0.25">
      <c r="A44" s="40"/>
      <c r="B44" s="309"/>
      <c r="C44" s="282"/>
      <c r="D44" s="282"/>
      <c r="E44" s="316"/>
      <c r="F44" s="316"/>
      <c r="G44" s="282"/>
      <c r="H44" s="276"/>
      <c r="I44" s="276"/>
      <c r="J44" s="311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3"/>
      <c r="AM44" s="276"/>
      <c r="AN44" s="293"/>
      <c r="AO44" s="293"/>
      <c r="AP44" s="276"/>
      <c r="AQ44" s="276"/>
      <c r="AR44" s="276"/>
      <c r="AS44" s="276"/>
      <c r="AU44" s="276"/>
      <c r="AV44" s="276"/>
      <c r="AW44" s="276"/>
      <c r="AX44" s="279"/>
      <c r="AY44" s="279"/>
      <c r="BB44" s="276"/>
      <c r="BC44" s="23"/>
    </row>
    <row r="45" spans="1:55" ht="15.75" x14ac:dyDescent="0.25">
      <c r="A45" s="40"/>
      <c r="B45" s="304"/>
      <c r="C45" s="282"/>
      <c r="D45" s="282"/>
      <c r="E45" s="316"/>
      <c r="F45" s="316"/>
      <c r="G45" s="282"/>
      <c r="H45" s="276"/>
      <c r="I45" s="276"/>
      <c r="J45" s="311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317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M45" s="276"/>
      <c r="AN45" s="282"/>
      <c r="AO45" s="276"/>
      <c r="AP45" s="276"/>
      <c r="AQ45" s="276"/>
      <c r="AR45" s="276"/>
      <c r="AS45" s="276"/>
      <c r="AU45" s="276"/>
      <c r="AV45" s="276"/>
      <c r="AW45" s="276"/>
      <c r="AX45" s="276"/>
      <c r="AY45" s="279"/>
      <c r="BB45" s="276"/>
      <c r="BC45" s="23"/>
    </row>
    <row r="46" spans="1:55" ht="15.75" x14ac:dyDescent="0.25">
      <c r="A46" s="40"/>
      <c r="B46" s="309"/>
      <c r="C46" s="282"/>
      <c r="D46" s="282"/>
      <c r="E46" s="316"/>
      <c r="F46" s="316"/>
      <c r="G46" s="282"/>
      <c r="H46" s="276"/>
      <c r="I46" s="276"/>
      <c r="J46" s="313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317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M46" s="276"/>
      <c r="AN46" s="276"/>
      <c r="AO46" s="276"/>
      <c r="AP46" s="276"/>
      <c r="AQ46" s="276"/>
      <c r="AR46" s="276"/>
      <c r="AS46" s="276"/>
      <c r="AU46" s="276"/>
      <c r="AV46" s="276"/>
      <c r="AW46" s="276"/>
      <c r="AX46" s="276"/>
      <c r="AY46" s="276"/>
      <c r="BC46" s="23"/>
    </row>
    <row r="47" spans="1:55" ht="16.5" thickBot="1" x14ac:dyDescent="0.3">
      <c r="A47" s="40"/>
      <c r="B47" s="309"/>
      <c r="C47" s="282"/>
      <c r="D47" s="282"/>
      <c r="E47" s="282"/>
      <c r="F47" s="282"/>
      <c r="G47" s="282"/>
      <c r="H47" s="276"/>
      <c r="I47" s="276"/>
      <c r="J47" s="311"/>
      <c r="K47" s="276"/>
      <c r="L47" s="289"/>
      <c r="M47" s="289"/>
      <c r="N47" s="289"/>
      <c r="O47" s="289"/>
      <c r="P47" s="289"/>
      <c r="Q47" s="289"/>
      <c r="R47" s="289"/>
      <c r="S47" s="289"/>
      <c r="T47" s="276"/>
      <c r="U47" s="276"/>
      <c r="V47" s="276"/>
      <c r="W47" s="317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M47" s="276"/>
      <c r="AN47" s="276"/>
      <c r="AO47" s="276"/>
      <c r="AP47" s="276"/>
      <c r="AQ47" s="276"/>
      <c r="AR47" s="276"/>
      <c r="AS47" s="276"/>
      <c r="AU47" s="276"/>
      <c r="AV47" s="276"/>
      <c r="AW47" s="276"/>
      <c r="AX47" s="276"/>
      <c r="AY47" s="276"/>
      <c r="BC47" s="23"/>
    </row>
    <row r="48" spans="1:55" x14ac:dyDescent="0.25">
      <c r="A48" s="26"/>
      <c r="B48" s="276"/>
      <c r="C48" s="11"/>
      <c r="D48" s="276"/>
      <c r="E48" s="276"/>
      <c r="F48" s="276"/>
      <c r="G48" s="276"/>
      <c r="H48" s="276"/>
      <c r="I48" s="276"/>
      <c r="J48" s="311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M48" s="276"/>
      <c r="AN48" s="276"/>
      <c r="AO48" s="276"/>
      <c r="AP48" s="276"/>
      <c r="AQ48" s="276"/>
      <c r="AR48" s="276"/>
      <c r="AS48" s="276"/>
      <c r="BC48" s="23"/>
    </row>
    <row r="49" spans="1:55" ht="18.75" x14ac:dyDescent="0.25">
      <c r="A49" s="26"/>
      <c r="B49" s="276"/>
      <c r="C49" s="318"/>
      <c r="D49" s="319"/>
      <c r="E49" s="276"/>
      <c r="F49" s="276"/>
      <c r="G49" s="276"/>
      <c r="H49" s="276"/>
      <c r="I49" s="276"/>
      <c r="J49" s="313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M49" s="276"/>
      <c r="AN49" s="276"/>
      <c r="AO49" s="276"/>
      <c r="AP49" s="276"/>
      <c r="AQ49" s="276"/>
      <c r="AR49" s="276"/>
      <c r="AS49" s="276"/>
      <c r="BC49" s="23"/>
    </row>
    <row r="50" spans="1:55" ht="15.75" thickBot="1" x14ac:dyDescent="0.3">
      <c r="A50" s="26"/>
      <c r="J50" s="276"/>
      <c r="K50" s="294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BC50" s="23"/>
    </row>
    <row r="51" spans="1:55" x14ac:dyDescent="0.25">
      <c r="A51" s="26"/>
      <c r="B51" s="55"/>
      <c r="C51" s="55"/>
      <c r="D51" s="55"/>
      <c r="E51" s="55"/>
      <c r="F51" s="55"/>
      <c r="G51" s="55"/>
      <c r="H51" s="55"/>
      <c r="I51" s="55"/>
      <c r="J51" s="299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317"/>
      <c r="Z51" s="325"/>
      <c r="AA51" s="326"/>
      <c r="AB51" s="326"/>
      <c r="AC51" s="326"/>
      <c r="AD51" s="326"/>
      <c r="AE51" s="326"/>
      <c r="AF51" s="327"/>
      <c r="BC51" s="23"/>
    </row>
    <row r="52" spans="1:55" x14ac:dyDescent="0.25">
      <c r="A52" s="2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317"/>
      <c r="Y52" s="276"/>
      <c r="Z52" s="328"/>
      <c r="AA52" s="329"/>
      <c r="AB52" s="329"/>
      <c r="AC52" s="329"/>
      <c r="AD52" s="329"/>
      <c r="AE52" s="329"/>
      <c r="AF52" s="330"/>
      <c r="AH52" s="276"/>
      <c r="AI52" s="276"/>
      <c r="AJ52" s="276"/>
      <c r="AK52" s="276"/>
      <c r="AL52" s="276"/>
      <c r="BC52" s="23"/>
    </row>
    <row r="53" spans="1:55" ht="16.5" thickBot="1" x14ac:dyDescent="0.3">
      <c r="A53" s="2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317"/>
      <c r="X53" s="276"/>
      <c r="Y53" s="276"/>
      <c r="Z53" s="331"/>
      <c r="AA53" s="332"/>
      <c r="AB53" s="332"/>
      <c r="AC53" s="332"/>
      <c r="AD53" s="332"/>
      <c r="AE53" s="332"/>
      <c r="AF53" s="333"/>
      <c r="AH53" s="296"/>
      <c r="AI53" s="296"/>
      <c r="AJ53" s="296"/>
      <c r="AK53" s="296"/>
      <c r="AL53" s="276"/>
      <c r="BC53" s="23"/>
    </row>
    <row r="54" spans="1:55" x14ac:dyDescent="0.25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299"/>
      <c r="AI54" s="299"/>
      <c r="AJ54" s="299"/>
      <c r="AK54" s="299"/>
      <c r="AL54" s="299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</row>
    <row r="55" spans="1:55" x14ac:dyDescent="0.25">
      <c r="AH55" s="276"/>
      <c r="AI55" s="276"/>
      <c r="AJ55" s="276"/>
      <c r="AK55" s="276"/>
      <c r="AL55" s="276"/>
    </row>
  </sheetData>
  <mergeCells count="11">
    <mergeCell ref="H30:I31"/>
    <mergeCell ref="AO32:AP32"/>
    <mergeCell ref="Z51:AF53"/>
    <mergeCell ref="A1:BC1"/>
    <mergeCell ref="B3:F6"/>
    <mergeCell ref="AB3:AF6"/>
    <mergeCell ref="AL3:BB8"/>
    <mergeCell ref="E9:F9"/>
    <mergeCell ref="W14:Y20"/>
    <mergeCell ref="AU18:AV18"/>
    <mergeCell ref="AN18:AQ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C55"/>
  <sheetViews>
    <sheetView topLeftCell="I1" zoomScale="60" zoomScaleNormal="60" workbookViewId="0">
      <selection activeCell="I1" sqref="A1:XFD1048576"/>
    </sheetView>
  </sheetViews>
  <sheetFormatPr baseColWidth="10" defaultColWidth="16" defaultRowHeight="15" x14ac:dyDescent="0.25"/>
  <cols>
    <col min="1" max="26" width="0.5703125" style="8" customWidth="1"/>
    <col min="27" max="38" width="1.28515625" style="8" customWidth="1"/>
    <col min="39" max="16384" width="16" style="8"/>
  </cols>
  <sheetData>
    <row r="1" spans="1:55" ht="36.75" thickBot="1" x14ac:dyDescent="0.3">
      <c r="A1" s="334" t="s">
        <v>163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5"/>
    </row>
    <row r="2" spans="1:55" ht="15.75" thickBo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55" ht="15" customHeight="1" x14ac:dyDescent="0.25">
      <c r="B3" s="336"/>
      <c r="C3" s="337"/>
      <c r="D3" s="337"/>
      <c r="E3" s="337"/>
      <c r="F3" s="338"/>
      <c r="G3" s="276"/>
      <c r="H3" s="276"/>
      <c r="I3" s="276"/>
      <c r="AB3" s="336"/>
      <c r="AC3" s="337"/>
      <c r="AD3" s="337"/>
      <c r="AE3" s="337"/>
      <c r="AF3" s="338"/>
      <c r="AL3" s="336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8"/>
    </row>
    <row r="4" spans="1:55" x14ac:dyDescent="0.25">
      <c r="B4" s="339"/>
      <c r="C4" s="340"/>
      <c r="D4" s="340"/>
      <c r="E4" s="340"/>
      <c r="F4" s="341"/>
      <c r="G4" s="276"/>
      <c r="H4" s="276"/>
      <c r="I4" s="276"/>
      <c r="AB4" s="339"/>
      <c r="AC4" s="340"/>
      <c r="AD4" s="340"/>
      <c r="AE4" s="340"/>
      <c r="AF4" s="341"/>
      <c r="AL4" s="339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1"/>
    </row>
    <row r="5" spans="1:55" x14ac:dyDescent="0.25">
      <c r="B5" s="339"/>
      <c r="C5" s="340"/>
      <c r="D5" s="340"/>
      <c r="E5" s="340"/>
      <c r="F5" s="341"/>
      <c r="G5" s="276"/>
      <c r="H5" s="276"/>
      <c r="I5" s="276"/>
      <c r="AB5" s="339"/>
      <c r="AC5" s="340"/>
      <c r="AD5" s="340"/>
      <c r="AE5" s="340"/>
      <c r="AF5" s="341"/>
      <c r="AL5" s="339"/>
      <c r="AM5" s="340"/>
      <c r="AN5" s="340"/>
      <c r="AO5" s="340"/>
      <c r="AP5" s="340"/>
      <c r="AQ5" s="340"/>
      <c r="AR5" s="340"/>
      <c r="AS5" s="340"/>
      <c r="AT5" s="340"/>
      <c r="AU5" s="340"/>
      <c r="AV5" s="340"/>
      <c r="AW5" s="340"/>
      <c r="AX5" s="340"/>
      <c r="AY5" s="340"/>
      <c r="AZ5" s="340"/>
      <c r="BA5" s="340"/>
      <c r="BB5" s="341"/>
      <c r="BC5" s="23"/>
    </row>
    <row r="6" spans="1:55" ht="15.75" thickBot="1" x14ac:dyDescent="0.3">
      <c r="B6" s="342"/>
      <c r="C6" s="343"/>
      <c r="D6" s="343"/>
      <c r="E6" s="343"/>
      <c r="F6" s="344"/>
      <c r="G6" s="277"/>
      <c r="H6" s="278"/>
      <c r="I6" s="278"/>
      <c r="J6" s="22"/>
      <c r="K6" s="22"/>
      <c r="L6" s="22"/>
      <c r="M6" s="22"/>
      <c r="N6" s="22"/>
      <c r="O6" s="22"/>
      <c r="P6" s="22"/>
      <c r="Q6" s="22"/>
      <c r="U6" s="22"/>
      <c r="V6" s="22"/>
      <c r="W6" s="22"/>
      <c r="X6" s="22"/>
      <c r="Y6" s="22"/>
      <c r="Z6" s="22"/>
      <c r="AA6" s="25"/>
      <c r="AB6" s="342"/>
      <c r="AC6" s="343"/>
      <c r="AD6" s="343"/>
      <c r="AE6" s="343"/>
      <c r="AF6" s="344"/>
      <c r="AL6" s="339"/>
      <c r="AM6" s="340"/>
      <c r="AN6" s="340"/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340"/>
      <c r="AZ6" s="340"/>
      <c r="BA6" s="340"/>
      <c r="BB6" s="341"/>
      <c r="BC6" s="23"/>
    </row>
    <row r="7" spans="1:55" ht="15.75" x14ac:dyDescent="0.25">
      <c r="A7" s="26"/>
      <c r="B7" s="276"/>
      <c r="C7" s="276"/>
      <c r="D7" s="276"/>
      <c r="E7" s="276"/>
      <c r="F7" s="276"/>
      <c r="G7" s="276"/>
      <c r="H7" s="276"/>
      <c r="I7" s="276"/>
      <c r="R7" s="27"/>
      <c r="S7" s="28"/>
      <c r="T7" s="27"/>
      <c r="AL7" s="339"/>
      <c r="AM7" s="340"/>
      <c r="AN7" s="340"/>
      <c r="AO7" s="340"/>
      <c r="AP7" s="340"/>
      <c r="AQ7" s="340"/>
      <c r="AR7" s="340"/>
      <c r="AS7" s="340"/>
      <c r="AT7" s="340"/>
      <c r="AU7" s="340"/>
      <c r="AV7" s="340"/>
      <c r="AW7" s="340"/>
      <c r="AX7" s="340"/>
      <c r="AY7" s="340"/>
      <c r="AZ7" s="340"/>
      <c r="BA7" s="340"/>
      <c r="BB7" s="341"/>
      <c r="BC7" s="23"/>
    </row>
    <row r="8" spans="1:55" ht="15.75" thickBot="1" x14ac:dyDescent="0.3">
      <c r="A8" s="26"/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L8" s="342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  <c r="AY8" s="343"/>
      <c r="AZ8" s="343"/>
      <c r="BA8" s="343"/>
      <c r="BB8" s="344"/>
      <c r="BC8" s="23"/>
    </row>
    <row r="9" spans="1:55" ht="15.75" x14ac:dyDescent="0.25">
      <c r="A9" s="26"/>
      <c r="B9" s="279"/>
      <c r="C9" s="276"/>
      <c r="D9" s="276"/>
      <c r="E9" s="345"/>
      <c r="F9" s="345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80"/>
      <c r="AE9" s="280"/>
      <c r="AF9" s="276"/>
      <c r="AL9" s="23"/>
      <c r="BC9" s="23"/>
    </row>
    <row r="10" spans="1:55" ht="15.75" x14ac:dyDescent="0.25">
      <c r="A10" s="26"/>
      <c r="B10" s="279"/>
      <c r="C10" s="276"/>
      <c r="D10" s="276"/>
      <c r="E10" s="281"/>
      <c r="F10" s="281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L10" s="23"/>
      <c r="BC10" s="23"/>
    </row>
    <row r="11" spans="1:55" ht="15.75" x14ac:dyDescent="0.25">
      <c r="A11" s="26"/>
      <c r="B11" s="279"/>
      <c r="C11" s="276"/>
      <c r="D11" s="276"/>
      <c r="E11" s="281"/>
      <c r="F11" s="281"/>
      <c r="G11" s="276"/>
      <c r="H11" s="276"/>
      <c r="I11" s="276"/>
      <c r="J11" s="282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L11" s="23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C11" s="23"/>
    </row>
    <row r="12" spans="1:55" ht="15.75" x14ac:dyDescent="0.25">
      <c r="A12" s="26"/>
      <c r="B12" s="283"/>
      <c r="C12" s="276"/>
      <c r="D12" s="276"/>
      <c r="E12" s="281"/>
      <c r="F12" s="281"/>
      <c r="G12" s="276"/>
      <c r="H12" s="276"/>
      <c r="I12" s="276"/>
      <c r="J12" s="284"/>
      <c r="K12" s="284"/>
      <c r="L12" s="285"/>
      <c r="M12" s="286"/>
      <c r="N12" s="276"/>
      <c r="O12" s="276"/>
      <c r="P12" s="276"/>
      <c r="Q12" s="279"/>
      <c r="R12" s="279"/>
      <c r="S12" s="279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L12" s="23"/>
      <c r="AM12" s="276"/>
      <c r="AN12" s="279"/>
      <c r="AO12" s="279"/>
      <c r="AP12" s="276"/>
      <c r="AQ12" s="276"/>
      <c r="AR12" s="276"/>
      <c r="AS12" s="276"/>
      <c r="AT12" s="276"/>
      <c r="AU12" s="276"/>
      <c r="AV12" s="276"/>
      <c r="AW12" s="276"/>
      <c r="AX12" s="287"/>
      <c r="AY12" s="287"/>
      <c r="AZ12" s="276"/>
      <c r="BA12" s="276"/>
      <c r="BB12" s="276"/>
      <c r="BC12" s="23"/>
    </row>
    <row r="13" spans="1:55" ht="16.5" thickBot="1" x14ac:dyDescent="0.3">
      <c r="A13" s="26"/>
      <c r="B13" s="279"/>
      <c r="C13" s="276"/>
      <c r="D13" s="276"/>
      <c r="E13" s="281"/>
      <c r="F13" s="281"/>
      <c r="G13" s="276"/>
      <c r="H13" s="276"/>
      <c r="I13" s="276"/>
      <c r="J13" s="284"/>
      <c r="K13" s="284"/>
      <c r="L13" s="285"/>
      <c r="M13" s="286"/>
      <c r="N13" s="276"/>
      <c r="O13" s="276"/>
      <c r="P13" s="276"/>
      <c r="Q13" s="279"/>
      <c r="R13" s="279"/>
      <c r="S13" s="279"/>
      <c r="T13" s="276"/>
      <c r="U13" s="276"/>
      <c r="V13" s="276"/>
      <c r="W13" s="276"/>
      <c r="X13" s="288"/>
      <c r="Y13" s="288"/>
      <c r="Z13" s="276"/>
      <c r="AA13" s="276"/>
      <c r="AB13" s="276"/>
      <c r="AC13" s="276"/>
      <c r="AD13" s="276"/>
      <c r="AE13" s="276"/>
      <c r="AF13" s="276"/>
      <c r="AL13" s="23"/>
      <c r="AM13" s="276"/>
      <c r="AN13" s="276"/>
      <c r="AO13" s="279"/>
      <c r="AP13" s="279"/>
      <c r="AQ13" s="276"/>
      <c r="AR13" s="276"/>
      <c r="AS13" s="276"/>
      <c r="AT13" s="276"/>
      <c r="AU13" s="276"/>
      <c r="AV13" s="276"/>
      <c r="AW13" s="287"/>
      <c r="AX13" s="287"/>
      <c r="AY13" s="276"/>
      <c r="AZ13" s="276"/>
      <c r="BA13" s="276"/>
      <c r="BB13" s="289"/>
      <c r="BC13" s="23"/>
    </row>
    <row r="14" spans="1:55" ht="15.75" x14ac:dyDescent="0.25">
      <c r="A14" s="26"/>
      <c r="B14" s="279"/>
      <c r="C14" s="276"/>
      <c r="D14" s="276"/>
      <c r="E14" s="276"/>
      <c r="F14" s="290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336"/>
      <c r="X14" s="340"/>
      <c r="Y14" s="340"/>
      <c r="Z14" s="291"/>
      <c r="AA14" s="276"/>
      <c r="AB14" s="276"/>
      <c r="AC14" s="276"/>
      <c r="AD14" s="276"/>
      <c r="AE14" s="276"/>
      <c r="AF14" s="276"/>
      <c r="AL14" s="23"/>
      <c r="AM14" s="276"/>
      <c r="AN14" s="276"/>
      <c r="AO14" s="276"/>
      <c r="AP14" s="279"/>
      <c r="AQ14" s="279"/>
      <c r="AR14" s="276"/>
      <c r="AS14" s="276"/>
      <c r="AT14" s="276"/>
      <c r="AU14" s="276"/>
      <c r="AV14" s="287"/>
      <c r="AW14" s="287"/>
      <c r="AX14" s="276"/>
      <c r="AY14" s="276"/>
      <c r="AZ14" s="276"/>
      <c r="BA14" s="276"/>
      <c r="BB14" s="289"/>
      <c r="BC14" s="23"/>
    </row>
    <row r="15" spans="1:55" ht="15.75" x14ac:dyDescent="0.25">
      <c r="A15" s="26"/>
      <c r="B15" s="279"/>
      <c r="C15" s="276"/>
      <c r="D15" s="276"/>
      <c r="E15" s="276"/>
      <c r="F15" s="290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339"/>
      <c r="X15" s="340"/>
      <c r="Y15" s="340"/>
      <c r="Z15" s="291"/>
      <c r="AA15" s="276"/>
      <c r="AB15" s="276"/>
      <c r="AC15" s="276"/>
      <c r="AD15" s="276"/>
      <c r="AE15" s="276"/>
      <c r="AF15" s="276"/>
      <c r="AL15" s="23"/>
      <c r="AM15" s="276"/>
      <c r="AN15" s="276"/>
      <c r="AO15" s="276"/>
      <c r="AP15" s="276"/>
      <c r="AQ15" s="279"/>
      <c r="AR15" s="279"/>
      <c r="AS15" s="276"/>
      <c r="AT15" s="276"/>
      <c r="AU15" s="287"/>
      <c r="AV15" s="287"/>
      <c r="AW15" s="276"/>
      <c r="AX15" s="276"/>
      <c r="AY15" s="276"/>
      <c r="AZ15" s="276"/>
      <c r="BA15" s="276"/>
      <c r="BB15" s="289"/>
      <c r="BC15" s="23"/>
    </row>
    <row r="16" spans="1:55" ht="15.75" x14ac:dyDescent="0.25">
      <c r="A16" s="26"/>
      <c r="B16" s="279"/>
      <c r="C16" s="276"/>
      <c r="D16" s="276"/>
      <c r="E16" s="281"/>
      <c r="F16" s="281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339"/>
      <c r="X16" s="340"/>
      <c r="Y16" s="341"/>
      <c r="Z16" s="280"/>
      <c r="AA16" s="276"/>
      <c r="AB16" s="276"/>
      <c r="AC16" s="276"/>
      <c r="AD16" s="276"/>
      <c r="AE16" s="276"/>
      <c r="AF16" s="276"/>
      <c r="AL16" s="23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89"/>
      <c r="BC16" s="23"/>
    </row>
    <row r="17" spans="1:55" ht="15.75" x14ac:dyDescent="0.25">
      <c r="A17" s="26"/>
      <c r="B17" s="279"/>
      <c r="C17" s="276"/>
      <c r="D17" s="276"/>
      <c r="E17" s="281"/>
      <c r="F17" s="281"/>
      <c r="G17" s="276"/>
      <c r="H17" s="276"/>
      <c r="I17" s="276"/>
      <c r="J17" s="292"/>
      <c r="K17" s="292"/>
      <c r="L17" s="292"/>
      <c r="M17" s="292"/>
      <c r="N17" s="276"/>
      <c r="O17" s="276"/>
      <c r="P17" s="279"/>
      <c r="Q17" s="279"/>
      <c r="R17" s="279"/>
      <c r="S17" s="279"/>
      <c r="T17" s="276"/>
      <c r="U17" s="276"/>
      <c r="V17" s="276"/>
      <c r="W17" s="339"/>
      <c r="X17" s="340"/>
      <c r="Y17" s="341"/>
      <c r="Z17" s="280"/>
      <c r="AA17" s="276"/>
      <c r="AB17" s="276"/>
      <c r="AC17" s="276"/>
      <c r="AD17" s="276"/>
      <c r="AE17" s="276"/>
      <c r="AF17" s="276"/>
      <c r="AL17" s="23"/>
      <c r="AW17" s="1"/>
      <c r="AX17" s="1"/>
      <c r="AY17" s="1"/>
      <c r="BB17" s="289"/>
      <c r="BC17" s="23"/>
    </row>
    <row r="18" spans="1:55" ht="21" x14ac:dyDescent="0.35">
      <c r="A18" s="26"/>
      <c r="B18" s="283"/>
      <c r="C18" s="276"/>
      <c r="D18" s="276"/>
      <c r="E18" s="281"/>
      <c r="F18" s="281"/>
      <c r="G18" s="276"/>
      <c r="H18" s="276"/>
      <c r="I18" s="276"/>
      <c r="J18" s="292"/>
      <c r="K18" s="292"/>
      <c r="L18" s="292"/>
      <c r="M18" s="292"/>
      <c r="N18" s="276"/>
      <c r="O18" s="276"/>
      <c r="P18" s="279"/>
      <c r="Q18" s="279"/>
      <c r="R18" s="279"/>
      <c r="S18" s="279"/>
      <c r="T18" s="276"/>
      <c r="U18" s="276"/>
      <c r="V18" s="276"/>
      <c r="W18" s="339"/>
      <c r="X18" s="340"/>
      <c r="Y18" s="341"/>
      <c r="Z18" s="280"/>
      <c r="AA18" s="276"/>
      <c r="AB18" s="276"/>
      <c r="AC18" s="276"/>
      <c r="AD18" s="276"/>
      <c r="AE18" s="276"/>
      <c r="AF18" s="276"/>
      <c r="AL18" s="23"/>
      <c r="AN18" s="346" t="s">
        <v>181</v>
      </c>
      <c r="AO18" s="346"/>
      <c r="AP18" s="346"/>
      <c r="AQ18" s="346"/>
      <c r="AU18" s="324" t="s">
        <v>181</v>
      </c>
      <c r="AV18" s="324"/>
      <c r="BB18" s="289"/>
      <c r="BC18" s="23"/>
    </row>
    <row r="19" spans="1:55" ht="18.75" x14ac:dyDescent="0.3">
      <c r="A19" s="26"/>
      <c r="B19" s="293"/>
      <c r="C19" s="276"/>
      <c r="D19" s="276"/>
      <c r="E19" s="281"/>
      <c r="F19" s="281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339"/>
      <c r="X19" s="340"/>
      <c r="Y19" s="341"/>
      <c r="Z19" s="280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94"/>
      <c r="AM19" s="276"/>
      <c r="AN19" s="10"/>
      <c r="AO19" s="10"/>
      <c r="AP19" s="10"/>
      <c r="AQ19" s="10"/>
      <c r="AR19" s="276"/>
      <c r="AS19" s="276"/>
      <c r="AU19" s="44"/>
      <c r="AV19" s="44"/>
      <c r="AW19" s="2" t="s">
        <v>183</v>
      </c>
      <c r="AX19" s="276"/>
      <c r="BB19" s="289"/>
      <c r="BC19" s="23"/>
    </row>
    <row r="20" spans="1:55" ht="24" thickBot="1" x14ac:dyDescent="0.4">
      <c r="A20" s="26"/>
      <c r="B20" s="293"/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342"/>
      <c r="X20" s="343"/>
      <c r="Y20" s="344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3"/>
      <c r="AM20" s="2" t="s">
        <v>196</v>
      </c>
      <c r="AN20" s="45" t="s">
        <v>185</v>
      </c>
      <c r="AO20" s="45" t="s">
        <v>185</v>
      </c>
      <c r="AP20" s="45" t="s">
        <v>185</v>
      </c>
      <c r="AQ20" s="45" t="s">
        <v>185</v>
      </c>
      <c r="AS20" s="13"/>
      <c r="AT20" s="44" t="s">
        <v>185</v>
      </c>
      <c r="AU20" s="14">
        <v>340</v>
      </c>
      <c r="AV20" s="19">
        <v>340</v>
      </c>
      <c r="AW20" s="44" t="s">
        <v>185</v>
      </c>
      <c r="AX20" s="12"/>
      <c r="BB20" s="289"/>
      <c r="BC20" s="23"/>
    </row>
    <row r="21" spans="1:55" ht="23.25" x14ac:dyDescent="0.35">
      <c r="A21" s="26"/>
      <c r="B21" s="29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95"/>
      <c r="AH21" s="295"/>
      <c r="AI21" s="295"/>
      <c r="AJ21" s="295"/>
      <c r="AK21" s="276"/>
      <c r="AL21" s="23"/>
      <c r="AM21" s="45"/>
      <c r="AN21" s="47">
        <v>340</v>
      </c>
      <c r="AO21" s="47">
        <v>340</v>
      </c>
      <c r="AP21" s="47">
        <v>340</v>
      </c>
      <c r="AQ21" s="47">
        <v>340</v>
      </c>
      <c r="AR21" s="45"/>
      <c r="AS21" s="13"/>
      <c r="AT21" s="44" t="s">
        <v>185</v>
      </c>
      <c r="AU21" s="14">
        <v>340</v>
      </c>
      <c r="AV21" s="19">
        <v>340</v>
      </c>
      <c r="AW21" s="44" t="s">
        <v>185</v>
      </c>
      <c r="AX21" s="12"/>
      <c r="BB21" s="289"/>
      <c r="BC21" s="23"/>
    </row>
    <row r="22" spans="1:55" ht="23.25" x14ac:dyDescent="0.35">
      <c r="A22" s="26"/>
      <c r="B22" s="293"/>
      <c r="C22" s="276"/>
      <c r="D22" s="276"/>
      <c r="E22" s="280"/>
      <c r="F22" s="280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95"/>
      <c r="AH22" s="295"/>
      <c r="AI22" s="295"/>
      <c r="AJ22" s="295"/>
      <c r="AK22" s="276"/>
      <c r="AL22" s="23"/>
      <c r="AM22" s="45"/>
      <c r="AN22" s="47">
        <v>340</v>
      </c>
      <c r="AO22" s="47">
        <v>340</v>
      </c>
      <c r="AP22" s="47">
        <v>340</v>
      </c>
      <c r="AQ22" s="47">
        <v>340</v>
      </c>
      <c r="AR22" s="45"/>
      <c r="AS22" s="13"/>
      <c r="AT22" s="44" t="s">
        <v>185</v>
      </c>
      <c r="AU22" s="14">
        <v>340</v>
      </c>
      <c r="AV22" s="17">
        <v>340</v>
      </c>
      <c r="AW22" s="44" t="s">
        <v>185</v>
      </c>
      <c r="AX22" s="12"/>
      <c r="BB22" s="289"/>
      <c r="BC22" s="23"/>
    </row>
    <row r="23" spans="1:55" ht="23.25" x14ac:dyDescent="0.35">
      <c r="A23" s="26"/>
      <c r="B23" s="293"/>
      <c r="C23" s="276"/>
      <c r="D23" s="276"/>
      <c r="E23" s="280"/>
      <c r="F23" s="280"/>
      <c r="G23" s="276"/>
      <c r="H23" s="276"/>
      <c r="I23" s="276"/>
      <c r="J23" s="293"/>
      <c r="K23" s="293"/>
      <c r="L23" s="293"/>
      <c r="M23" s="293"/>
      <c r="N23" s="276"/>
      <c r="O23" s="276"/>
      <c r="P23" s="279"/>
      <c r="Q23" s="279"/>
      <c r="R23" s="279"/>
      <c r="S23" s="279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3"/>
      <c r="AN23" s="45" t="s">
        <v>185</v>
      </c>
      <c r="AO23" s="45" t="s">
        <v>185</v>
      </c>
      <c r="AP23" s="45" t="s">
        <v>185</v>
      </c>
      <c r="AQ23" s="45" t="s">
        <v>185</v>
      </c>
      <c r="AS23" s="13"/>
      <c r="AT23" s="44" t="s">
        <v>185</v>
      </c>
      <c r="AU23" s="14">
        <v>340</v>
      </c>
      <c r="AV23" s="17">
        <v>340</v>
      </c>
      <c r="AW23" s="44" t="s">
        <v>185</v>
      </c>
      <c r="AX23" s="12"/>
      <c r="BB23" s="289"/>
      <c r="BC23" s="23"/>
    </row>
    <row r="24" spans="1:55" ht="18.75" x14ac:dyDescent="0.3">
      <c r="A24" s="26"/>
      <c r="B24" s="293"/>
      <c r="C24" s="276"/>
      <c r="D24" s="276"/>
      <c r="E24" s="280"/>
      <c r="F24" s="280"/>
      <c r="G24" s="276"/>
      <c r="H24" s="276"/>
      <c r="I24" s="276"/>
      <c r="J24" s="293"/>
      <c r="K24" s="293"/>
      <c r="L24" s="293"/>
      <c r="M24" s="293"/>
      <c r="N24" s="276"/>
      <c r="O24" s="276"/>
      <c r="P24" s="279"/>
      <c r="Q24" s="279"/>
      <c r="R24" s="279"/>
      <c r="S24" s="279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3"/>
      <c r="AN24" s="10"/>
      <c r="AO24" s="10"/>
      <c r="AP24" s="10"/>
      <c r="AQ24" s="10"/>
      <c r="AR24" s="276"/>
      <c r="AS24" s="276"/>
      <c r="AU24" s="44"/>
      <c r="AV24" s="44"/>
      <c r="AX24" s="276"/>
      <c r="BB24" s="289"/>
      <c r="BC24" s="23"/>
    </row>
    <row r="25" spans="1:55" ht="15.75" x14ac:dyDescent="0.25">
      <c r="A25" s="26"/>
      <c r="B25" s="276"/>
      <c r="C25" s="276"/>
      <c r="D25" s="276"/>
      <c r="E25" s="280"/>
      <c r="F25" s="280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3"/>
      <c r="AN25" s="276"/>
      <c r="AO25" s="276"/>
      <c r="AP25" s="276"/>
      <c r="AQ25" s="276"/>
      <c r="AR25" s="276"/>
      <c r="AS25" s="276"/>
      <c r="AX25" s="276"/>
      <c r="BB25" s="287"/>
      <c r="BC25" s="23"/>
    </row>
    <row r="26" spans="1:55" ht="15.75" x14ac:dyDescent="0.25">
      <c r="A26" s="26"/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3"/>
      <c r="AS26" s="276"/>
      <c r="AX26" s="276"/>
      <c r="BB26" s="287"/>
      <c r="BC26" s="23"/>
    </row>
    <row r="27" spans="1:55" ht="15.75" x14ac:dyDescent="0.25">
      <c r="A27" s="26"/>
      <c r="B27" s="276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96"/>
      <c r="AH27" s="296"/>
      <c r="AI27" s="296"/>
      <c r="AJ27" s="296"/>
      <c r="AK27" s="276"/>
      <c r="AL27" s="23"/>
      <c r="AQ27" s="276"/>
      <c r="AR27" s="276"/>
      <c r="AS27" s="276"/>
      <c r="AT27" s="276"/>
      <c r="AU27" s="276"/>
      <c r="BB27" s="287"/>
      <c r="BC27" s="23"/>
    </row>
    <row r="28" spans="1:55" ht="15.75" x14ac:dyDescent="0.25">
      <c r="A28" s="26"/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96"/>
      <c r="AH28" s="296"/>
      <c r="AI28" s="296"/>
      <c r="AJ28" s="296"/>
      <c r="AK28" s="276"/>
      <c r="AL28" s="23"/>
      <c r="AQ28" s="276"/>
      <c r="AR28" s="276"/>
      <c r="AS28" s="279"/>
      <c r="AT28" s="279"/>
      <c r="AU28" s="276"/>
      <c r="BB28" s="287"/>
      <c r="BC28" s="23"/>
    </row>
    <row r="29" spans="1:55" ht="16.5" thickBot="1" x14ac:dyDescent="0.3">
      <c r="A29" s="26"/>
      <c r="B29" s="276"/>
      <c r="C29" s="276"/>
      <c r="D29" s="276"/>
      <c r="E29" s="276"/>
      <c r="F29" s="276"/>
      <c r="G29" s="276"/>
      <c r="H29" s="276"/>
      <c r="I29" s="276"/>
      <c r="J29" s="279"/>
      <c r="K29" s="297"/>
      <c r="L29" s="297"/>
      <c r="M29" s="297"/>
      <c r="N29" s="297"/>
      <c r="O29" s="279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3"/>
      <c r="AQ29" s="276"/>
      <c r="AR29" s="276"/>
      <c r="AS29" s="279"/>
      <c r="AT29" s="279"/>
      <c r="AU29" s="276"/>
      <c r="BB29" s="287"/>
      <c r="BC29" s="23"/>
    </row>
    <row r="30" spans="1:55" ht="15.75" x14ac:dyDescent="0.25">
      <c r="A30" s="26"/>
      <c r="B30" s="298"/>
      <c r="C30" s="299"/>
      <c r="D30" s="299"/>
      <c r="E30" s="299"/>
      <c r="F30" s="299"/>
      <c r="G30" s="299"/>
      <c r="H30" s="320"/>
      <c r="I30" s="321"/>
      <c r="J30" s="299"/>
      <c r="K30" s="300"/>
      <c r="L30" s="300"/>
      <c r="M30" s="300"/>
      <c r="N30" s="300"/>
      <c r="O30" s="299"/>
      <c r="P30" s="299"/>
      <c r="Q30" s="299"/>
      <c r="R30" s="294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3"/>
      <c r="AQ30" s="276"/>
      <c r="AR30" s="276"/>
      <c r="AS30" s="276"/>
      <c r="AT30" s="276"/>
      <c r="AU30" s="276"/>
      <c r="BB30" s="287"/>
      <c r="BC30" s="23"/>
    </row>
    <row r="31" spans="1:55" ht="16.5" thickBot="1" x14ac:dyDescent="0.3">
      <c r="A31" s="26"/>
      <c r="B31" s="294"/>
      <c r="C31" s="276"/>
      <c r="D31" s="276"/>
      <c r="E31" s="276"/>
      <c r="F31" s="276"/>
      <c r="G31" s="276"/>
      <c r="H31" s="322"/>
      <c r="I31" s="323"/>
      <c r="J31" s="276"/>
      <c r="K31" s="276"/>
      <c r="L31" s="276"/>
      <c r="M31" s="276"/>
      <c r="N31" s="276"/>
      <c r="O31" s="276"/>
      <c r="P31" s="276"/>
      <c r="Q31" s="276"/>
      <c r="R31" s="294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301"/>
      <c r="AG31" s="302"/>
      <c r="AH31" s="302"/>
      <c r="AI31" s="302"/>
      <c r="AJ31" s="302"/>
      <c r="AK31" s="303"/>
      <c r="AL31" s="23"/>
      <c r="AQ31" s="276"/>
      <c r="AR31" s="276"/>
      <c r="AS31" s="276"/>
      <c r="AT31" s="276"/>
      <c r="AU31" s="276"/>
      <c r="BB31" s="287"/>
      <c r="BC31" s="23"/>
    </row>
    <row r="32" spans="1:55" ht="21" x14ac:dyDescent="0.35">
      <c r="A32" s="26"/>
      <c r="B32" s="294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94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82"/>
      <c r="AG32" s="9"/>
      <c r="AH32" s="9"/>
      <c r="AI32" s="9"/>
      <c r="AJ32" s="9"/>
      <c r="AK32" s="282"/>
      <c r="AL32" s="23"/>
      <c r="AO32" s="324" t="s">
        <v>198</v>
      </c>
      <c r="AP32" s="324"/>
      <c r="AQ32" s="1"/>
      <c r="AR32" s="1"/>
      <c r="AU32" s="276"/>
      <c r="AV32" s="276"/>
      <c r="AW32" s="276"/>
      <c r="AX32" s="276"/>
      <c r="AY32" s="276"/>
      <c r="BB32" s="287"/>
      <c r="BC32" s="23"/>
    </row>
    <row r="33" spans="1:55" ht="18" x14ac:dyDescent="0.25">
      <c r="A33" s="40"/>
      <c r="B33" s="304"/>
      <c r="C33" s="282"/>
      <c r="D33" s="282"/>
      <c r="E33" s="305"/>
      <c r="F33" s="305"/>
      <c r="G33" s="282"/>
      <c r="H33" s="276"/>
      <c r="I33" s="276"/>
      <c r="J33" s="276"/>
      <c r="K33" s="276"/>
      <c r="L33" s="276"/>
      <c r="M33" s="276"/>
      <c r="N33" s="276"/>
      <c r="O33" s="276"/>
      <c r="P33" s="276"/>
      <c r="Q33" s="306"/>
      <c r="R33" s="292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9"/>
      <c r="AG33" s="307"/>
      <c r="AH33" s="307"/>
      <c r="AI33" s="307"/>
      <c r="AJ33" s="307"/>
      <c r="AK33" s="9"/>
      <c r="AL33" s="23"/>
      <c r="AM33" s="276"/>
      <c r="AO33" s="67"/>
      <c r="AP33" s="67"/>
      <c r="AQ33" s="68" t="s">
        <v>200</v>
      </c>
      <c r="AU33" s="282"/>
      <c r="AV33" s="276"/>
      <c r="AW33" s="276"/>
      <c r="AX33" s="276"/>
      <c r="AY33" s="276"/>
      <c r="BB33" s="287"/>
      <c r="BC33" s="23"/>
    </row>
    <row r="34" spans="1:55" ht="23.25" x14ac:dyDescent="0.35">
      <c r="A34" s="40"/>
      <c r="B34" s="304"/>
      <c r="C34" s="282"/>
      <c r="D34" s="282"/>
      <c r="E34" s="305"/>
      <c r="F34" s="305"/>
      <c r="G34" s="282"/>
      <c r="H34" s="276"/>
      <c r="I34" s="276"/>
      <c r="J34" s="276"/>
      <c r="K34" s="276"/>
      <c r="L34" s="276"/>
      <c r="M34" s="276"/>
      <c r="N34" s="276"/>
      <c r="O34" s="276"/>
      <c r="P34" s="306"/>
      <c r="Q34" s="292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9"/>
      <c r="AG34" s="307"/>
      <c r="AH34" s="307"/>
      <c r="AI34" s="307"/>
      <c r="AJ34" s="307"/>
      <c r="AK34" s="9"/>
      <c r="AL34" s="23"/>
      <c r="AM34" s="13"/>
      <c r="AN34" s="69" t="s">
        <v>185</v>
      </c>
      <c r="AO34" s="21">
        <v>250</v>
      </c>
      <c r="AP34" s="20">
        <v>250</v>
      </c>
      <c r="AQ34" s="69" t="s">
        <v>185</v>
      </c>
      <c r="AR34" s="12"/>
      <c r="AU34" s="279"/>
      <c r="AV34" s="279"/>
      <c r="AW34" s="276"/>
      <c r="AX34" s="276"/>
      <c r="AY34" s="276"/>
      <c r="BB34" s="287"/>
      <c r="BC34" s="23"/>
    </row>
    <row r="35" spans="1:55" ht="23.25" x14ac:dyDescent="0.35">
      <c r="A35" s="40"/>
      <c r="B35" s="304"/>
      <c r="C35" s="282"/>
      <c r="D35" s="282"/>
      <c r="E35" s="305"/>
      <c r="F35" s="305"/>
      <c r="G35" s="282"/>
      <c r="H35" s="276"/>
      <c r="I35" s="276"/>
      <c r="J35" s="276"/>
      <c r="K35" s="276"/>
      <c r="L35" s="276"/>
      <c r="M35" s="276"/>
      <c r="N35" s="276"/>
      <c r="O35" s="306"/>
      <c r="P35" s="292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82"/>
      <c r="AG35" s="9"/>
      <c r="AH35" s="9"/>
      <c r="AI35" s="9"/>
      <c r="AJ35" s="9"/>
      <c r="AK35" s="282"/>
      <c r="AL35" s="23"/>
      <c r="AM35" s="13"/>
      <c r="AN35" s="69" t="s">
        <v>185</v>
      </c>
      <c r="AO35" s="21">
        <v>250</v>
      </c>
      <c r="AP35" s="20">
        <v>250</v>
      </c>
      <c r="AQ35" s="69" t="s">
        <v>185</v>
      </c>
      <c r="AR35" s="12"/>
      <c r="AS35" s="276"/>
      <c r="AT35" s="276"/>
      <c r="AU35" s="276"/>
      <c r="AV35" s="279"/>
      <c r="AW35" s="279"/>
      <c r="AX35" s="276"/>
      <c r="AY35" s="276"/>
      <c r="BB35" s="287"/>
      <c r="BC35" s="23"/>
    </row>
    <row r="36" spans="1:55" ht="23.25" x14ac:dyDescent="0.35">
      <c r="A36" s="40"/>
      <c r="B36" s="304"/>
      <c r="C36" s="282"/>
      <c r="D36" s="282"/>
      <c r="E36" s="282"/>
      <c r="F36" s="282"/>
      <c r="G36" s="282"/>
      <c r="H36" s="276"/>
      <c r="I36" s="276"/>
      <c r="J36" s="276"/>
      <c r="K36" s="276"/>
      <c r="L36" s="276"/>
      <c r="M36" s="276"/>
      <c r="N36" s="306"/>
      <c r="O36" s="292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302"/>
      <c r="AH36" s="302"/>
      <c r="AI36" s="302"/>
      <c r="AJ36" s="302"/>
      <c r="AK36" s="276"/>
      <c r="AL36" s="23"/>
      <c r="AM36" s="13"/>
      <c r="AN36" s="69" t="s">
        <v>185</v>
      </c>
      <c r="AO36" s="21">
        <v>250</v>
      </c>
      <c r="AP36" s="20">
        <v>250</v>
      </c>
      <c r="AQ36" s="69" t="s">
        <v>185</v>
      </c>
      <c r="AR36" s="12"/>
      <c r="AS36" s="276"/>
      <c r="AT36" s="282"/>
      <c r="AU36" s="276"/>
      <c r="AV36" s="276"/>
      <c r="AW36" s="279"/>
      <c r="AX36" s="279"/>
      <c r="AY36" s="276"/>
      <c r="BB36" s="287"/>
      <c r="BC36" s="23"/>
    </row>
    <row r="37" spans="1:55" ht="23.25" x14ac:dyDescent="0.35">
      <c r="A37" s="40"/>
      <c r="B37" s="304"/>
      <c r="C37" s="282"/>
      <c r="D37" s="282"/>
      <c r="E37" s="282"/>
      <c r="F37" s="282"/>
      <c r="G37" s="282"/>
      <c r="H37" s="276"/>
      <c r="I37" s="276"/>
      <c r="J37" s="276"/>
      <c r="K37" s="276"/>
      <c r="L37" s="276"/>
      <c r="M37" s="306"/>
      <c r="N37" s="292"/>
      <c r="O37" s="276"/>
      <c r="P37" s="276"/>
      <c r="Q37" s="276"/>
      <c r="R37" s="276"/>
      <c r="S37" s="276"/>
      <c r="T37" s="276"/>
      <c r="U37" s="282"/>
      <c r="V37" s="282"/>
      <c r="W37" s="282"/>
      <c r="X37" s="282"/>
      <c r="Y37" s="282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308"/>
      <c r="AM37" s="13"/>
      <c r="AN37" s="69" t="s">
        <v>185</v>
      </c>
      <c r="AO37" s="21">
        <v>250</v>
      </c>
      <c r="AP37" s="20">
        <v>250</v>
      </c>
      <c r="AQ37" s="69" t="s">
        <v>185</v>
      </c>
      <c r="AR37" s="12"/>
      <c r="AS37" s="295"/>
      <c r="AT37" s="295"/>
      <c r="AU37" s="276"/>
      <c r="AV37" s="276"/>
      <c r="AW37" s="276"/>
      <c r="AX37" s="279"/>
      <c r="AY37" s="279"/>
      <c r="BB37" s="279"/>
      <c r="BC37" s="23"/>
    </row>
    <row r="38" spans="1:55" ht="21" x14ac:dyDescent="0.25">
      <c r="A38" s="40"/>
      <c r="B38" s="309"/>
      <c r="C38" s="282"/>
      <c r="D38" s="282"/>
      <c r="E38" s="286"/>
      <c r="F38" s="286"/>
      <c r="G38" s="282"/>
      <c r="H38" s="276"/>
      <c r="I38" s="276"/>
      <c r="J38" s="276"/>
      <c r="K38" s="276"/>
      <c r="L38" s="306"/>
      <c r="M38" s="292"/>
      <c r="N38" s="276"/>
      <c r="O38" s="276"/>
      <c r="P38" s="276"/>
      <c r="Q38" s="280"/>
      <c r="R38" s="280"/>
      <c r="S38" s="280"/>
      <c r="T38" s="276"/>
      <c r="U38" s="286"/>
      <c r="V38" s="289"/>
      <c r="W38" s="289"/>
      <c r="X38" s="289"/>
      <c r="Y38" s="289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3"/>
      <c r="AN38" s="2" t="s">
        <v>205</v>
      </c>
      <c r="AO38" s="67"/>
      <c r="AP38" s="67"/>
      <c r="AR38" s="12"/>
      <c r="AS38" s="295"/>
      <c r="AT38" s="295"/>
      <c r="AU38" s="276"/>
      <c r="AV38" s="276"/>
      <c r="AW38" s="276"/>
      <c r="AX38" s="276"/>
      <c r="AY38" s="276"/>
      <c r="BB38" s="279"/>
      <c r="BC38" s="23"/>
    </row>
    <row r="39" spans="1:55" ht="15.75" x14ac:dyDescent="0.25">
      <c r="A39" s="40"/>
      <c r="B39" s="310"/>
      <c r="C39" s="282"/>
      <c r="D39" s="282"/>
      <c r="E39" s="286"/>
      <c r="F39" s="286"/>
      <c r="G39" s="282"/>
      <c r="H39" s="276"/>
      <c r="I39" s="276"/>
      <c r="J39" s="311"/>
      <c r="K39" s="312"/>
      <c r="L39" s="292"/>
      <c r="M39" s="276"/>
      <c r="N39" s="276"/>
      <c r="O39" s="276"/>
      <c r="P39" s="282"/>
      <c r="Q39" s="280"/>
      <c r="R39" s="280"/>
      <c r="S39" s="280"/>
      <c r="T39" s="276"/>
      <c r="U39" s="282"/>
      <c r="V39" s="289"/>
      <c r="W39" s="289"/>
      <c r="X39" s="289"/>
      <c r="Y39" s="289"/>
      <c r="Z39" s="276"/>
      <c r="AA39" s="276"/>
      <c r="AB39" s="276"/>
      <c r="AC39" s="276"/>
      <c r="AD39" s="276"/>
      <c r="AE39" s="276"/>
      <c r="AF39" s="276"/>
      <c r="AG39" s="295"/>
      <c r="AH39" s="295"/>
      <c r="AI39" s="295"/>
      <c r="AJ39" s="295"/>
      <c r="AK39" s="295"/>
      <c r="AL39" s="23"/>
      <c r="AR39" s="276"/>
      <c r="AS39" s="276"/>
      <c r="AT39" s="276"/>
      <c r="AU39" s="276"/>
      <c r="AV39" s="276"/>
      <c r="AW39" s="276"/>
      <c r="AX39" s="276"/>
      <c r="AY39" s="276"/>
      <c r="BB39" s="279"/>
      <c r="BC39" s="23"/>
    </row>
    <row r="40" spans="1:55" ht="15.75" x14ac:dyDescent="0.25">
      <c r="A40" s="40"/>
      <c r="B40" s="309"/>
      <c r="C40" s="282"/>
      <c r="D40" s="282"/>
      <c r="E40" s="286"/>
      <c r="F40" s="286"/>
      <c r="G40" s="282"/>
      <c r="H40" s="276"/>
      <c r="I40" s="276"/>
      <c r="J40" s="313"/>
      <c r="K40" s="314"/>
      <c r="L40" s="276"/>
      <c r="M40" s="276"/>
      <c r="N40" s="276"/>
      <c r="O40" s="276"/>
      <c r="P40" s="282"/>
      <c r="Q40" s="315"/>
      <c r="R40" s="315"/>
      <c r="S40" s="282"/>
      <c r="T40" s="276"/>
      <c r="U40" s="282"/>
      <c r="V40" s="282"/>
      <c r="W40" s="286"/>
      <c r="X40" s="286"/>
      <c r="Y40" s="282"/>
      <c r="Z40" s="276"/>
      <c r="AA40" s="276"/>
      <c r="AB40" s="276"/>
      <c r="AC40" s="276"/>
      <c r="AD40" s="276"/>
      <c r="AE40" s="276"/>
      <c r="AF40" s="276"/>
      <c r="AG40" s="295"/>
      <c r="AH40" s="295"/>
      <c r="AI40" s="295"/>
      <c r="AJ40" s="295"/>
      <c r="AK40" s="295"/>
      <c r="AL40" s="23"/>
      <c r="AS40" s="276"/>
      <c r="AT40" s="276"/>
      <c r="AU40" s="276"/>
      <c r="AV40" s="276"/>
      <c r="AW40" s="276"/>
      <c r="AX40" s="276"/>
      <c r="AY40" s="276"/>
      <c r="BB40" s="279"/>
      <c r="BC40" s="23"/>
    </row>
    <row r="41" spans="1:55" ht="15.75" x14ac:dyDescent="0.25">
      <c r="A41" s="40"/>
      <c r="B41" s="304"/>
      <c r="C41" s="282"/>
      <c r="D41" s="282"/>
      <c r="E41" s="286"/>
      <c r="F41" s="286"/>
      <c r="G41" s="282"/>
      <c r="H41" s="276"/>
      <c r="I41" s="276"/>
      <c r="J41" s="311"/>
      <c r="K41" s="276"/>
      <c r="L41" s="276"/>
      <c r="M41" s="276"/>
      <c r="N41" s="276"/>
      <c r="O41" s="276"/>
      <c r="P41" s="315"/>
      <c r="Q41" s="315"/>
      <c r="R41" s="282"/>
      <c r="S41" s="282"/>
      <c r="T41" s="276"/>
      <c r="U41" s="282"/>
      <c r="V41" s="282"/>
      <c r="W41" s="282"/>
      <c r="X41" s="286"/>
      <c r="Y41" s="28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3"/>
      <c r="AM41" s="276"/>
      <c r="AN41" s="276"/>
      <c r="AO41" s="276"/>
      <c r="AP41" s="276"/>
      <c r="AQ41" s="293"/>
      <c r="AR41" s="293"/>
      <c r="AS41" s="276"/>
      <c r="AT41" s="276"/>
      <c r="AU41" s="276"/>
      <c r="AV41" s="279"/>
      <c r="AW41" s="276"/>
      <c r="AX41" s="276"/>
      <c r="AY41" s="276"/>
      <c r="BB41" s="276"/>
      <c r="BC41" s="23"/>
    </row>
    <row r="42" spans="1:55" ht="15.75" x14ac:dyDescent="0.25">
      <c r="A42" s="40"/>
      <c r="B42" s="309"/>
      <c r="C42" s="282"/>
      <c r="D42" s="282"/>
      <c r="E42" s="282"/>
      <c r="F42" s="282"/>
      <c r="G42" s="282"/>
      <c r="H42" s="276"/>
      <c r="I42" s="276"/>
      <c r="J42" s="311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82"/>
      <c r="V42" s="282"/>
      <c r="W42" s="282"/>
      <c r="X42" s="282"/>
      <c r="Y42" s="282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3"/>
      <c r="AM42" s="276"/>
      <c r="AN42" s="276"/>
      <c r="AO42" s="276"/>
      <c r="AP42" s="293"/>
      <c r="AQ42" s="293"/>
      <c r="AR42" s="276"/>
      <c r="AS42" s="276"/>
      <c r="AU42" s="276"/>
      <c r="AV42" s="279"/>
      <c r="AW42" s="279"/>
      <c r="AX42" s="276"/>
      <c r="AY42" s="276"/>
      <c r="BB42" s="276"/>
      <c r="BC42" s="23"/>
    </row>
    <row r="43" spans="1:55" ht="15.75" x14ac:dyDescent="0.25">
      <c r="A43" s="40"/>
      <c r="B43" s="304"/>
      <c r="C43" s="282"/>
      <c r="D43" s="282"/>
      <c r="E43" s="282"/>
      <c r="F43" s="282"/>
      <c r="G43" s="282"/>
      <c r="H43" s="276"/>
      <c r="I43" s="276"/>
      <c r="J43" s="313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3"/>
      <c r="AM43" s="276"/>
      <c r="AN43" s="276"/>
      <c r="AO43" s="293"/>
      <c r="AP43" s="293"/>
      <c r="AQ43" s="276"/>
      <c r="AR43" s="276"/>
      <c r="AS43" s="276"/>
      <c r="AU43" s="276"/>
      <c r="AV43" s="276"/>
      <c r="AW43" s="279"/>
      <c r="AX43" s="279"/>
      <c r="AY43" s="276"/>
      <c r="BB43" s="276"/>
      <c r="BC43" s="23"/>
    </row>
    <row r="44" spans="1:55" ht="15.75" x14ac:dyDescent="0.25">
      <c r="A44" s="40"/>
      <c r="B44" s="309"/>
      <c r="C44" s="282"/>
      <c r="D44" s="282"/>
      <c r="E44" s="316"/>
      <c r="F44" s="316"/>
      <c r="G44" s="282"/>
      <c r="H44" s="276"/>
      <c r="I44" s="276"/>
      <c r="J44" s="311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3"/>
      <c r="AM44" s="276"/>
      <c r="AN44" s="293"/>
      <c r="AO44" s="293"/>
      <c r="AP44" s="276"/>
      <c r="AQ44" s="276"/>
      <c r="AR44" s="276"/>
      <c r="AS44" s="276"/>
      <c r="AU44" s="276"/>
      <c r="AV44" s="276"/>
      <c r="AW44" s="276"/>
      <c r="AX44" s="279"/>
      <c r="AY44" s="279"/>
      <c r="BB44" s="276"/>
      <c r="BC44" s="23"/>
    </row>
    <row r="45" spans="1:55" ht="15.75" x14ac:dyDescent="0.25">
      <c r="A45" s="40"/>
      <c r="B45" s="304"/>
      <c r="C45" s="282"/>
      <c r="D45" s="282"/>
      <c r="E45" s="316"/>
      <c r="F45" s="316"/>
      <c r="G45" s="282"/>
      <c r="H45" s="276"/>
      <c r="I45" s="276"/>
      <c r="J45" s="311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317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M45" s="276"/>
      <c r="AN45" s="282"/>
      <c r="AO45" s="276"/>
      <c r="AP45" s="276"/>
      <c r="AQ45" s="276"/>
      <c r="AR45" s="276"/>
      <c r="AS45" s="276"/>
      <c r="AU45" s="276"/>
      <c r="AV45" s="276"/>
      <c r="AW45" s="276"/>
      <c r="AX45" s="276"/>
      <c r="AY45" s="279"/>
      <c r="BB45" s="276"/>
      <c r="BC45" s="23"/>
    </row>
    <row r="46" spans="1:55" ht="15.75" x14ac:dyDescent="0.25">
      <c r="A46" s="40"/>
      <c r="B46" s="309"/>
      <c r="C46" s="282"/>
      <c r="D46" s="282"/>
      <c r="E46" s="316"/>
      <c r="F46" s="316"/>
      <c r="G46" s="282"/>
      <c r="H46" s="276"/>
      <c r="I46" s="276"/>
      <c r="J46" s="313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317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M46" s="276"/>
      <c r="AN46" s="276"/>
      <c r="AO46" s="276"/>
      <c r="AP46" s="276"/>
      <c r="AQ46" s="276"/>
      <c r="AR46" s="276"/>
      <c r="AS46" s="276"/>
      <c r="AU46" s="276"/>
      <c r="AV46" s="276"/>
      <c r="AW46" s="276"/>
      <c r="AX46" s="276"/>
      <c r="AY46" s="276"/>
      <c r="BC46" s="23"/>
    </row>
    <row r="47" spans="1:55" ht="16.5" thickBot="1" x14ac:dyDescent="0.3">
      <c r="A47" s="40"/>
      <c r="B47" s="309"/>
      <c r="C47" s="282"/>
      <c r="D47" s="282"/>
      <c r="E47" s="282"/>
      <c r="F47" s="282"/>
      <c r="G47" s="282"/>
      <c r="H47" s="276"/>
      <c r="I47" s="276"/>
      <c r="J47" s="311"/>
      <c r="K47" s="276"/>
      <c r="L47" s="289"/>
      <c r="M47" s="289"/>
      <c r="N47" s="289"/>
      <c r="O47" s="289"/>
      <c r="P47" s="289"/>
      <c r="Q47" s="289"/>
      <c r="R47" s="289"/>
      <c r="S47" s="289"/>
      <c r="T47" s="276"/>
      <c r="U47" s="276"/>
      <c r="V47" s="276"/>
      <c r="W47" s="317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M47" s="276"/>
      <c r="AN47" s="276"/>
      <c r="AO47" s="276"/>
      <c r="AP47" s="276"/>
      <c r="AQ47" s="276"/>
      <c r="AR47" s="276"/>
      <c r="AS47" s="276"/>
      <c r="AU47" s="276"/>
      <c r="AV47" s="276"/>
      <c r="AW47" s="276"/>
      <c r="AX47" s="276"/>
      <c r="AY47" s="276"/>
      <c r="BC47" s="23"/>
    </row>
    <row r="48" spans="1:55" x14ac:dyDescent="0.25">
      <c r="A48" s="26"/>
      <c r="B48" s="276"/>
      <c r="C48" s="11"/>
      <c r="D48" s="276"/>
      <c r="E48" s="276"/>
      <c r="F48" s="276"/>
      <c r="G48" s="276"/>
      <c r="H48" s="276"/>
      <c r="I48" s="276"/>
      <c r="J48" s="311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M48" s="276"/>
      <c r="AN48" s="276"/>
      <c r="AO48" s="276"/>
      <c r="AP48" s="276"/>
      <c r="AQ48" s="276"/>
      <c r="AR48" s="276"/>
      <c r="AS48" s="276"/>
      <c r="BC48" s="23"/>
    </row>
    <row r="49" spans="1:55" ht="18.75" x14ac:dyDescent="0.25">
      <c r="A49" s="26"/>
      <c r="B49" s="276"/>
      <c r="C49" s="318"/>
      <c r="D49" s="319"/>
      <c r="E49" s="276"/>
      <c r="F49" s="276"/>
      <c r="G49" s="276"/>
      <c r="H49" s="276"/>
      <c r="I49" s="276"/>
      <c r="J49" s="313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M49" s="276"/>
      <c r="AN49" s="276"/>
      <c r="AO49" s="276"/>
      <c r="AP49" s="276"/>
      <c r="AQ49" s="276"/>
      <c r="AR49" s="276"/>
      <c r="AS49" s="276"/>
      <c r="BC49" s="23"/>
    </row>
    <row r="50" spans="1:55" ht="15.75" thickBot="1" x14ac:dyDescent="0.3">
      <c r="A50" s="26"/>
      <c r="J50" s="276"/>
      <c r="K50" s="294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BC50" s="23"/>
    </row>
    <row r="51" spans="1:55" x14ac:dyDescent="0.25">
      <c r="A51" s="26"/>
      <c r="B51" s="55"/>
      <c r="C51" s="55"/>
      <c r="D51" s="55"/>
      <c r="E51" s="55"/>
      <c r="F51" s="55"/>
      <c r="G51" s="55"/>
      <c r="H51" s="55"/>
      <c r="I51" s="55"/>
      <c r="J51" s="299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317"/>
      <c r="Z51" s="325"/>
      <c r="AA51" s="326"/>
      <c r="AB51" s="326"/>
      <c r="AC51" s="326"/>
      <c r="AD51" s="326"/>
      <c r="AE51" s="326"/>
      <c r="AF51" s="327"/>
      <c r="BC51" s="23"/>
    </row>
    <row r="52" spans="1:55" x14ac:dyDescent="0.25">
      <c r="A52" s="2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317"/>
      <c r="Y52" s="276"/>
      <c r="Z52" s="328"/>
      <c r="AA52" s="329"/>
      <c r="AB52" s="329"/>
      <c r="AC52" s="329"/>
      <c r="AD52" s="329"/>
      <c r="AE52" s="329"/>
      <c r="AF52" s="330"/>
      <c r="AH52" s="276"/>
      <c r="AI52" s="276"/>
      <c r="AJ52" s="276"/>
      <c r="AK52" s="276"/>
      <c r="AL52" s="276"/>
      <c r="BC52" s="23"/>
    </row>
    <row r="53" spans="1:55" ht="16.5" thickBot="1" x14ac:dyDescent="0.3">
      <c r="A53" s="2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317"/>
      <c r="X53" s="276"/>
      <c r="Y53" s="276"/>
      <c r="Z53" s="331"/>
      <c r="AA53" s="332"/>
      <c r="AB53" s="332"/>
      <c r="AC53" s="332"/>
      <c r="AD53" s="332"/>
      <c r="AE53" s="332"/>
      <c r="AF53" s="333"/>
      <c r="AH53" s="296"/>
      <c r="AI53" s="296"/>
      <c r="AJ53" s="296"/>
      <c r="AK53" s="296"/>
      <c r="AL53" s="276"/>
      <c r="BC53" s="23"/>
    </row>
    <row r="54" spans="1:55" x14ac:dyDescent="0.25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299"/>
      <c r="AI54" s="299"/>
      <c r="AJ54" s="299"/>
      <c r="AK54" s="299"/>
      <c r="AL54" s="299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</row>
    <row r="55" spans="1:55" x14ac:dyDescent="0.25">
      <c r="AH55" s="276"/>
      <c r="AI55" s="276"/>
      <c r="AJ55" s="276"/>
      <c r="AK55" s="276"/>
      <c r="AL55" s="276"/>
    </row>
  </sheetData>
  <mergeCells count="11">
    <mergeCell ref="H30:I31"/>
    <mergeCell ref="AO32:AP32"/>
    <mergeCell ref="Z51:AF53"/>
    <mergeCell ref="A1:BC1"/>
    <mergeCell ref="B3:F6"/>
    <mergeCell ref="AB3:AF6"/>
    <mergeCell ref="AL3:BB8"/>
    <mergeCell ref="E9:F9"/>
    <mergeCell ref="W14:Y20"/>
    <mergeCell ref="AU18:AV18"/>
    <mergeCell ref="AN18:A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2025-10-28T19:22:39Z</dcterms:modified>
</cp:coreProperties>
</file>