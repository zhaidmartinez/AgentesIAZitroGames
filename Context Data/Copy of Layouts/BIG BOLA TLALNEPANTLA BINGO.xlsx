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454C90AB-B80C-4209-BAFD-DE2BCFFEDFB1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definedNames>
    <definedName name="_abb88">#REF!</definedName>
    <definedName name="FUMAR" localSheetId="1">'Layout actual'!#REF!</definedName>
    <definedName name="P" localSheetId="1">'Layout actual'!#REF!</definedName>
    <definedName name="P" localSheetId="0">'Licencias actual'!#REF!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68" i="51" l="1"/>
  <c r="AO270" i="51" s="1"/>
  <c r="AE97" i="51" s="1"/>
  <c r="AF97" i="51" s="1"/>
  <c r="AO264" i="51"/>
  <c r="AX263" i="51"/>
  <c r="AO263" i="51"/>
  <c r="AX262" i="51"/>
  <c r="AO262" i="51"/>
  <c r="AX261" i="51"/>
  <c r="AO261" i="51"/>
  <c r="AX260" i="51"/>
  <c r="AX264" i="51" s="1"/>
  <c r="AE91" i="51" s="1"/>
  <c r="AF91" i="51" s="1"/>
  <c r="AO260" i="51"/>
  <c r="AO259" i="51"/>
  <c r="AO258" i="51"/>
  <c r="AO257" i="51"/>
  <c r="AX256" i="51"/>
  <c r="AX257" i="51" s="1"/>
  <c r="AE109" i="51" s="1"/>
  <c r="AF109" i="51" s="1"/>
  <c r="AO256" i="51"/>
  <c r="AO255" i="51"/>
  <c r="AO265" i="51" s="1"/>
  <c r="AE108" i="51" s="1"/>
  <c r="AF108" i="51" s="1"/>
  <c r="AX252" i="51"/>
  <c r="AX253" i="51" s="1"/>
  <c r="AE111" i="51" s="1"/>
  <c r="AF111" i="51" s="1"/>
  <c r="AO251" i="51"/>
  <c r="AO250" i="51"/>
  <c r="AO252" i="51" s="1"/>
  <c r="AE104" i="51" s="1"/>
  <c r="AF104" i="51" s="1"/>
  <c r="AX248" i="51"/>
  <c r="AX249" i="51" s="1"/>
  <c r="AE103" i="51" s="1"/>
  <c r="AF103" i="51" s="1"/>
  <c r="AO246" i="51"/>
  <c r="AO245" i="51"/>
  <c r="AX244" i="51"/>
  <c r="AX245" i="51" s="1"/>
  <c r="AE101" i="51" s="1"/>
  <c r="AF101" i="51" s="1"/>
  <c r="AO244" i="51"/>
  <c r="AO243" i="51"/>
  <c r="AO242" i="51"/>
  <c r="AO247" i="51" s="1"/>
  <c r="AE110" i="51" s="1"/>
  <c r="AF110" i="51" s="1"/>
  <c r="AX240" i="51"/>
  <c r="AX239" i="51"/>
  <c r="AX238" i="51"/>
  <c r="T238" i="51"/>
  <c r="G238" i="51"/>
  <c r="AX237" i="51"/>
  <c r="T237" i="51"/>
  <c r="T239" i="51" s="1"/>
  <c r="G237" i="51"/>
  <c r="G239" i="51" s="1"/>
  <c r="AX236" i="51"/>
  <c r="AX235" i="51"/>
  <c r="AX241" i="51" s="1"/>
  <c r="AE93" i="51" s="1"/>
  <c r="AF93" i="51" s="1"/>
  <c r="T235" i="51"/>
  <c r="T234" i="51"/>
  <c r="G234" i="51"/>
  <c r="AO233" i="51"/>
  <c r="T233" i="51"/>
  <c r="G233" i="51"/>
  <c r="G235" i="51" s="1"/>
  <c r="AX232" i="51"/>
  <c r="AO232" i="51"/>
  <c r="AX231" i="51"/>
  <c r="AO231" i="51"/>
  <c r="T231" i="51"/>
  <c r="AX230" i="51"/>
  <c r="AO230" i="51"/>
  <c r="T230" i="51"/>
  <c r="G230" i="51"/>
  <c r="AO229" i="51"/>
  <c r="T229" i="51"/>
  <c r="G229" i="51"/>
  <c r="AO228" i="51"/>
  <c r="T228" i="51"/>
  <c r="G228" i="51"/>
  <c r="AO227" i="51"/>
  <c r="T227" i="51"/>
  <c r="G227" i="51"/>
  <c r="AX226" i="51"/>
  <c r="AO226" i="51"/>
  <c r="T226" i="51"/>
  <c r="G226" i="51"/>
  <c r="AX225" i="51"/>
  <c r="AO225" i="51"/>
  <c r="T225" i="51"/>
  <c r="G225" i="51"/>
  <c r="G231" i="51" s="1"/>
  <c r="AX224" i="51"/>
  <c r="AO224" i="51"/>
  <c r="AX223" i="51"/>
  <c r="AO223" i="51"/>
  <c r="AX222" i="51"/>
  <c r="AO222" i="51"/>
  <c r="T222" i="51"/>
  <c r="G222" i="51"/>
  <c r="AX221" i="51"/>
  <c r="AO221" i="51"/>
  <c r="T221" i="51"/>
  <c r="G221" i="51"/>
  <c r="AX220" i="51"/>
  <c r="AO220" i="51"/>
  <c r="T220" i="51"/>
  <c r="G220" i="51"/>
  <c r="AX219" i="51"/>
  <c r="AO219" i="51"/>
  <c r="T219" i="51"/>
  <c r="G219" i="51"/>
  <c r="AX218" i="51"/>
  <c r="AO218" i="51"/>
  <c r="AO234" i="51" s="1"/>
  <c r="AE98" i="51" s="1"/>
  <c r="AF98" i="51" s="1"/>
  <c r="T218" i="51"/>
  <c r="G218" i="51"/>
  <c r="AX217" i="51"/>
  <c r="T217" i="51"/>
  <c r="G217" i="51"/>
  <c r="AX216" i="51"/>
  <c r="T216" i="51"/>
  <c r="G216" i="51"/>
  <c r="AX215" i="51"/>
  <c r="T215" i="51"/>
  <c r="G215" i="51"/>
  <c r="AX214" i="51"/>
  <c r="T214" i="51"/>
  <c r="G214" i="51"/>
  <c r="AX213" i="51"/>
  <c r="AO213" i="51"/>
  <c r="T213" i="51"/>
  <c r="G213" i="51"/>
  <c r="AX212" i="51"/>
  <c r="AO212" i="51"/>
  <c r="T212" i="51"/>
  <c r="G212" i="51"/>
  <c r="AX211" i="51"/>
  <c r="AO211" i="51"/>
  <c r="T211" i="51"/>
  <c r="G211" i="51"/>
  <c r="AX210" i="51"/>
  <c r="AO210" i="51"/>
  <c r="T210" i="51"/>
  <c r="T223" i="51" s="1"/>
  <c r="G210" i="51"/>
  <c r="G223" i="51" s="1"/>
  <c r="AX209" i="51"/>
  <c r="AO209" i="51"/>
  <c r="AX208" i="51"/>
  <c r="AO208" i="51"/>
  <c r="AO214" i="51" s="1"/>
  <c r="AE96" i="51" s="1"/>
  <c r="AF96" i="51" s="1"/>
  <c r="AA208" i="51"/>
  <c r="AX207" i="51"/>
  <c r="AO207" i="51"/>
  <c r="T207" i="51"/>
  <c r="G207" i="51"/>
  <c r="AX206" i="51"/>
  <c r="T206" i="51"/>
  <c r="G206" i="51"/>
  <c r="AX205" i="51"/>
  <c r="T205" i="51"/>
  <c r="G205" i="51"/>
  <c r="AX204" i="51"/>
  <c r="AA204" i="51"/>
  <c r="T204" i="51"/>
  <c r="G204" i="51"/>
  <c r="AX203" i="51"/>
  <c r="AO203" i="51"/>
  <c r="AA203" i="51"/>
  <c r="T203" i="51"/>
  <c r="G203" i="51"/>
  <c r="AX202" i="51"/>
  <c r="AO202" i="51"/>
  <c r="T202" i="51"/>
  <c r="T208" i="51" s="1"/>
  <c r="S199" i="51" s="1"/>
  <c r="G202" i="51"/>
  <c r="G208" i="51" s="1"/>
  <c r="AX201" i="51"/>
  <c r="AO201" i="51"/>
  <c r="AX200" i="51"/>
  <c r="AX199" i="51"/>
  <c r="AX198" i="51"/>
  <c r="AX197" i="51"/>
  <c r="AX196" i="51"/>
  <c r="AO196" i="51"/>
  <c r="AA196" i="51"/>
  <c r="AX195" i="51"/>
  <c r="AO195" i="51"/>
  <c r="AA195" i="51"/>
  <c r="AX194" i="51"/>
  <c r="AO194" i="51"/>
  <c r="AX193" i="51"/>
  <c r="AO193" i="51"/>
  <c r="AX192" i="51"/>
  <c r="AO192" i="51"/>
  <c r="AX191" i="51"/>
  <c r="AO191" i="51"/>
  <c r="AX190" i="51"/>
  <c r="AO190" i="51"/>
  <c r="AX189" i="51"/>
  <c r="AX227" i="51" s="1"/>
  <c r="AE99" i="51" s="1"/>
  <c r="AF99" i="51" s="1"/>
  <c r="AO189" i="51"/>
  <c r="AO188" i="51"/>
  <c r="AO187" i="51"/>
  <c r="AO186" i="51"/>
  <c r="AF186" i="51"/>
  <c r="AE186" i="51"/>
  <c r="Y186" i="51"/>
  <c r="T186" i="51"/>
  <c r="T187" i="51" s="1"/>
  <c r="Z187" i="51" s="1"/>
  <c r="G186" i="51"/>
  <c r="Z186" i="51" s="1"/>
  <c r="AX185" i="51"/>
  <c r="AO185" i="51"/>
  <c r="AF185" i="51"/>
  <c r="AE185" i="51"/>
  <c r="T185" i="51"/>
  <c r="Y185" i="51" s="1"/>
  <c r="L185" i="51"/>
  <c r="G185" i="51"/>
  <c r="G187" i="51" s="1"/>
  <c r="AX184" i="51"/>
  <c r="AO184" i="51"/>
  <c r="AF184" i="51"/>
  <c r="AE184" i="51"/>
  <c r="Z184" i="51"/>
  <c r="Y184" i="51"/>
  <c r="T184" i="51"/>
  <c r="G184" i="51"/>
  <c r="L184" i="51" s="1"/>
  <c r="AX183" i="51"/>
  <c r="AO183" i="51"/>
  <c r="AF183" i="51"/>
  <c r="AE183" i="51"/>
  <c r="AX182" i="51"/>
  <c r="AO182" i="51"/>
  <c r="AE182" i="51"/>
  <c r="AF182" i="51" s="1"/>
  <c r="AX181" i="51"/>
  <c r="AO181" i="51"/>
  <c r="AE181" i="51"/>
  <c r="AF181" i="51" s="1"/>
  <c r="AX180" i="51"/>
  <c r="AO180" i="51"/>
  <c r="AF180" i="51"/>
  <c r="AE180" i="51"/>
  <c r="X180" i="51"/>
  <c r="W180" i="51"/>
  <c r="K180" i="51"/>
  <c r="J180" i="51"/>
  <c r="AX179" i="51"/>
  <c r="AO179" i="51"/>
  <c r="AF179" i="51"/>
  <c r="AE179" i="51"/>
  <c r="Z179" i="51"/>
  <c r="T179" i="51"/>
  <c r="Y179" i="51" s="1"/>
  <c r="L179" i="51"/>
  <c r="G179" i="51"/>
  <c r="AX178" i="51"/>
  <c r="AO178" i="51"/>
  <c r="AE178" i="51"/>
  <c r="AF178" i="51" s="1"/>
  <c r="Z178" i="51"/>
  <c r="Y178" i="51"/>
  <c r="T178" i="51"/>
  <c r="L178" i="51"/>
  <c r="G178" i="51"/>
  <c r="AX177" i="51"/>
  <c r="AO177" i="51"/>
  <c r="AE177" i="51"/>
  <c r="AF177" i="51" s="1"/>
  <c r="T177" i="51"/>
  <c r="T180" i="51" s="1"/>
  <c r="G177" i="51"/>
  <c r="L177" i="51" s="1"/>
  <c r="AX176" i="51"/>
  <c r="AO176" i="51"/>
  <c r="AO197" i="51" s="1"/>
  <c r="AE92" i="51" s="1"/>
  <c r="AF92" i="51" s="1"/>
  <c r="AE176" i="51"/>
  <c r="AF176" i="51" s="1"/>
  <c r="T176" i="51"/>
  <c r="Y176" i="51" s="1"/>
  <c r="G176" i="51"/>
  <c r="Z176" i="51" s="1"/>
  <c r="AX175" i="51"/>
  <c r="AO175" i="51"/>
  <c r="AF175" i="51"/>
  <c r="AE175" i="51"/>
  <c r="AX174" i="51"/>
  <c r="AO174" i="51"/>
  <c r="AF174" i="51"/>
  <c r="AE174" i="51"/>
  <c r="AX173" i="51"/>
  <c r="AO173" i="51"/>
  <c r="AE173" i="51"/>
  <c r="AF173" i="51" s="1"/>
  <c r="AX172" i="51"/>
  <c r="AO172" i="51"/>
  <c r="AF172" i="51"/>
  <c r="AE172" i="51"/>
  <c r="AA172" i="51"/>
  <c r="AX171" i="51"/>
  <c r="AO171" i="51"/>
  <c r="AF171" i="51"/>
  <c r="AE171" i="51"/>
  <c r="Z171" i="51"/>
  <c r="Y171" i="51"/>
  <c r="T171" i="51"/>
  <c r="G171" i="51"/>
  <c r="L171" i="51" s="1"/>
  <c r="AX170" i="51"/>
  <c r="AO170" i="51"/>
  <c r="AE170" i="51"/>
  <c r="AF170" i="51" s="1"/>
  <c r="Y170" i="51"/>
  <c r="T170" i="51"/>
  <c r="Z170" i="51" s="1"/>
  <c r="G170" i="51"/>
  <c r="L170" i="51" s="1"/>
  <c r="AX169" i="51"/>
  <c r="AO169" i="51"/>
  <c r="AE169" i="51"/>
  <c r="AF169" i="51" s="1"/>
  <c r="T169" i="51"/>
  <c r="T172" i="51" s="1"/>
  <c r="G169" i="51"/>
  <c r="Z169" i="51" s="1"/>
  <c r="AX168" i="51"/>
  <c r="AO168" i="51"/>
  <c r="AF168" i="51"/>
  <c r="AE168" i="51"/>
  <c r="AX167" i="51"/>
  <c r="AE167" i="51"/>
  <c r="AF167" i="51" s="1"/>
  <c r="AX166" i="51"/>
  <c r="AE166" i="51"/>
  <c r="AF166" i="51" s="1"/>
  <c r="AX165" i="51"/>
  <c r="AO165" i="51"/>
  <c r="AE165" i="51"/>
  <c r="AF165" i="51" s="1"/>
  <c r="X165" i="51"/>
  <c r="W165" i="51"/>
  <c r="K165" i="51"/>
  <c r="J165" i="51"/>
  <c r="AX164" i="51"/>
  <c r="AF164" i="51"/>
  <c r="AE164" i="51"/>
  <c r="Y164" i="51"/>
  <c r="T164" i="51"/>
  <c r="Z164" i="51" s="1"/>
  <c r="G164" i="51"/>
  <c r="L164" i="51" s="1"/>
  <c r="AX163" i="51"/>
  <c r="AO163" i="51"/>
  <c r="AE163" i="51"/>
  <c r="AF163" i="51" s="1"/>
  <c r="T163" i="51"/>
  <c r="Z163" i="51" s="1"/>
  <c r="G163" i="51"/>
  <c r="L163" i="51" s="1"/>
  <c r="AX162" i="51"/>
  <c r="AO162" i="51"/>
  <c r="AF162" i="51"/>
  <c r="AE162" i="51"/>
  <c r="T162" i="51"/>
  <c r="T165" i="51" s="1"/>
  <c r="G162" i="51"/>
  <c r="L162" i="51" s="1"/>
  <c r="AX161" i="51"/>
  <c r="AO161" i="51"/>
  <c r="AF161" i="51"/>
  <c r="AE161" i="51"/>
  <c r="Z161" i="51"/>
  <c r="Y161" i="51"/>
  <c r="T161" i="51"/>
  <c r="L161" i="51"/>
  <c r="G161" i="51"/>
  <c r="G165" i="51" s="1"/>
  <c r="AX160" i="51"/>
  <c r="AO160" i="51"/>
  <c r="AE160" i="51"/>
  <c r="AF160" i="51" s="1"/>
  <c r="AX159" i="51"/>
  <c r="AO159" i="51"/>
  <c r="AE159" i="51"/>
  <c r="AF159" i="51" s="1"/>
  <c r="AX158" i="51"/>
  <c r="AO158" i="51"/>
  <c r="AF158" i="51"/>
  <c r="AE158" i="51"/>
  <c r="AX157" i="51"/>
  <c r="AO157" i="51"/>
  <c r="AE157" i="51"/>
  <c r="AF157" i="51" s="1"/>
  <c r="X157" i="51"/>
  <c r="W157" i="51"/>
  <c r="K157" i="51"/>
  <c r="J157" i="51"/>
  <c r="AX156" i="51"/>
  <c r="AO156" i="51"/>
  <c r="AF156" i="51"/>
  <c r="AE156" i="51"/>
  <c r="T156" i="51"/>
  <c r="Z156" i="51" s="1"/>
  <c r="L156" i="51"/>
  <c r="G156" i="51"/>
  <c r="AX155" i="51"/>
  <c r="AO155" i="51"/>
  <c r="AF155" i="51"/>
  <c r="AE155" i="51"/>
  <c r="Z155" i="51"/>
  <c r="Y155" i="51"/>
  <c r="T155" i="51"/>
  <c r="G155" i="51"/>
  <c r="L155" i="51" s="1"/>
  <c r="AX154" i="51"/>
  <c r="AO154" i="51"/>
  <c r="AE154" i="51"/>
  <c r="AF154" i="51" s="1"/>
  <c r="Y154" i="51"/>
  <c r="T154" i="51"/>
  <c r="Z154" i="51" s="1"/>
  <c r="G154" i="51"/>
  <c r="L154" i="51" s="1"/>
  <c r="AX153" i="51"/>
  <c r="AO153" i="51"/>
  <c r="AE153" i="51"/>
  <c r="AF153" i="51" s="1"/>
  <c r="T153" i="51"/>
  <c r="Y153" i="51" s="1"/>
  <c r="G153" i="51"/>
  <c r="Z153" i="51" s="1"/>
  <c r="AX152" i="51"/>
  <c r="AO152" i="51"/>
  <c r="AF152" i="51"/>
  <c r="AE152" i="51"/>
  <c r="T152" i="51"/>
  <c r="Z152" i="51" s="1"/>
  <c r="L152" i="51"/>
  <c r="G152" i="51"/>
  <c r="AX151" i="51"/>
  <c r="AO151" i="51"/>
  <c r="AF151" i="51"/>
  <c r="AE151" i="51"/>
  <c r="Z151" i="51"/>
  <c r="Y151" i="51"/>
  <c r="T151" i="51"/>
  <c r="G151" i="51"/>
  <c r="L151" i="51" s="1"/>
  <c r="AX150" i="51"/>
  <c r="AO150" i="51"/>
  <c r="AE150" i="51"/>
  <c r="AF150" i="51" s="1"/>
  <c r="Y150" i="51"/>
  <c r="T150" i="51"/>
  <c r="Z150" i="51" s="1"/>
  <c r="G150" i="51"/>
  <c r="L150" i="51" s="1"/>
  <c r="AX149" i="51"/>
  <c r="AO149" i="51"/>
  <c r="AE149" i="51"/>
  <c r="AF149" i="51" s="1"/>
  <c r="T149" i="51"/>
  <c r="Y149" i="51" s="1"/>
  <c r="G149" i="51"/>
  <c r="Z149" i="51" s="1"/>
  <c r="AX148" i="51"/>
  <c r="AO148" i="51"/>
  <c r="AF148" i="51"/>
  <c r="AE148" i="51"/>
  <c r="T148" i="51"/>
  <c r="Z148" i="51" s="1"/>
  <c r="L148" i="51"/>
  <c r="G148" i="51"/>
  <c r="AX147" i="51"/>
  <c r="AO147" i="51"/>
  <c r="AF147" i="51"/>
  <c r="AE147" i="51"/>
  <c r="Y147" i="51"/>
  <c r="T147" i="51"/>
  <c r="Z147" i="51" s="1"/>
  <c r="G147" i="51"/>
  <c r="L147" i="51" s="1"/>
  <c r="AX146" i="51"/>
  <c r="AO146" i="51"/>
  <c r="AE146" i="51"/>
  <c r="AF146" i="51" s="1"/>
  <c r="Y146" i="51"/>
  <c r="T146" i="51"/>
  <c r="Z146" i="51" s="1"/>
  <c r="G146" i="51"/>
  <c r="L146" i="51" s="1"/>
  <c r="AX145" i="51"/>
  <c r="AO145" i="51"/>
  <c r="AE145" i="51"/>
  <c r="AF145" i="51" s="1"/>
  <c r="T145" i="51"/>
  <c r="Y145" i="51" s="1"/>
  <c r="G145" i="51"/>
  <c r="Z145" i="51" s="1"/>
  <c r="AX144" i="51"/>
  <c r="AO144" i="51"/>
  <c r="AE144" i="51"/>
  <c r="AF144" i="51" s="1"/>
  <c r="T144" i="51"/>
  <c r="Z144" i="51" s="1"/>
  <c r="L144" i="51"/>
  <c r="G144" i="51"/>
  <c r="AX143" i="51"/>
  <c r="AO143" i="51"/>
  <c r="AF143" i="51"/>
  <c r="AE143" i="51"/>
  <c r="T143" i="51"/>
  <c r="Y143" i="51" s="1"/>
  <c r="L143" i="51"/>
  <c r="G143" i="51"/>
  <c r="AX142" i="51"/>
  <c r="AO142" i="51"/>
  <c r="AE142" i="51"/>
  <c r="AF142" i="51" s="1"/>
  <c r="Y142" i="51"/>
  <c r="T142" i="51"/>
  <c r="Z142" i="51" s="1"/>
  <c r="G142" i="51"/>
  <c r="L142" i="51" s="1"/>
  <c r="AX141" i="51"/>
  <c r="AO141" i="51"/>
  <c r="AE141" i="51"/>
  <c r="AF141" i="51" s="1"/>
  <c r="T141" i="51"/>
  <c r="Y141" i="51" s="1"/>
  <c r="G141" i="51"/>
  <c r="Z141" i="51" s="1"/>
  <c r="AX140" i="51"/>
  <c r="AO140" i="51"/>
  <c r="AE140" i="51"/>
  <c r="AF140" i="51" s="1"/>
  <c r="AA140" i="51"/>
  <c r="T140" i="51"/>
  <c r="Z140" i="51" s="1"/>
  <c r="G140" i="51"/>
  <c r="L140" i="51" s="1"/>
  <c r="AX139" i="51"/>
  <c r="AO139" i="51"/>
  <c r="AF139" i="51"/>
  <c r="AE139" i="51"/>
  <c r="AX138" i="51"/>
  <c r="AO138" i="51"/>
  <c r="AF138" i="51"/>
  <c r="AE138" i="51"/>
  <c r="X138" i="51"/>
  <c r="W138" i="51"/>
  <c r="K138" i="51"/>
  <c r="J138" i="51"/>
  <c r="AX137" i="51"/>
  <c r="AO137" i="51"/>
  <c r="AE137" i="51"/>
  <c r="AF137" i="51" s="1"/>
  <c r="T137" i="51"/>
  <c r="Y137" i="51" s="1"/>
  <c r="G137" i="51"/>
  <c r="G138" i="51" s="1"/>
  <c r="I89" i="51" s="1"/>
  <c r="AX136" i="51"/>
  <c r="AO136" i="51"/>
  <c r="AE136" i="51"/>
  <c r="AF136" i="51" s="1"/>
  <c r="T136" i="51"/>
  <c r="Z136" i="51" s="1"/>
  <c r="L136" i="51"/>
  <c r="G136" i="51"/>
  <c r="AX135" i="51"/>
  <c r="AO135" i="51"/>
  <c r="AF135" i="51"/>
  <c r="AE135" i="51"/>
  <c r="AX134" i="51"/>
  <c r="AO134" i="51"/>
  <c r="AF134" i="51"/>
  <c r="AE134" i="51"/>
  <c r="X134" i="51"/>
  <c r="W134" i="51"/>
  <c r="K134" i="51"/>
  <c r="J134" i="51"/>
  <c r="AX133" i="51"/>
  <c r="AO133" i="51"/>
  <c r="AF133" i="51"/>
  <c r="AE133" i="51"/>
  <c r="Z133" i="51"/>
  <c r="Y133" i="51"/>
  <c r="T133" i="51"/>
  <c r="L133" i="51"/>
  <c r="G133" i="51"/>
  <c r="AX132" i="51"/>
  <c r="AX186" i="51" s="1"/>
  <c r="AE94" i="51" s="1"/>
  <c r="AF94" i="51" s="1"/>
  <c r="AO132" i="51"/>
  <c r="AE132" i="51"/>
  <c r="AF132" i="51" s="1"/>
  <c r="Y132" i="51"/>
  <c r="T132" i="51"/>
  <c r="G132" i="51"/>
  <c r="Z132" i="51" s="1"/>
  <c r="AO131" i="51"/>
  <c r="AF131" i="51"/>
  <c r="AE131" i="51"/>
  <c r="Z131" i="51"/>
  <c r="Y131" i="51"/>
  <c r="T131" i="51"/>
  <c r="G131" i="51"/>
  <c r="L131" i="51" s="1"/>
  <c r="AO130" i="51"/>
  <c r="AE130" i="51"/>
  <c r="AF130" i="51" s="1"/>
  <c r="T130" i="51"/>
  <c r="Y130" i="51" s="1"/>
  <c r="G130" i="51"/>
  <c r="Z130" i="51" s="1"/>
  <c r="AO129" i="51"/>
  <c r="AE129" i="51"/>
  <c r="AF129" i="51" s="1"/>
  <c r="T129" i="51"/>
  <c r="Z129" i="51" s="1"/>
  <c r="L129" i="51"/>
  <c r="G129" i="51"/>
  <c r="AX128" i="51"/>
  <c r="AO128" i="51"/>
  <c r="AF128" i="51"/>
  <c r="AE128" i="51"/>
  <c r="T128" i="51"/>
  <c r="Y128" i="51" s="1"/>
  <c r="L128" i="51"/>
  <c r="G128" i="51"/>
  <c r="AX127" i="51"/>
  <c r="AO127" i="51"/>
  <c r="AE127" i="51"/>
  <c r="AF127" i="51" s="1"/>
  <c r="Y127" i="51"/>
  <c r="T127" i="51"/>
  <c r="Z127" i="51" s="1"/>
  <c r="G127" i="51"/>
  <c r="L127" i="51" s="1"/>
  <c r="AX126" i="51"/>
  <c r="AO126" i="51"/>
  <c r="AE126" i="51"/>
  <c r="AF126" i="51" s="1"/>
  <c r="T126" i="51"/>
  <c r="Y126" i="51" s="1"/>
  <c r="G126" i="51"/>
  <c r="Z126" i="51" s="1"/>
  <c r="AX125" i="51"/>
  <c r="AO125" i="51"/>
  <c r="AE125" i="51"/>
  <c r="AF125" i="51" s="1"/>
  <c r="T125" i="51"/>
  <c r="Z125" i="51" s="1"/>
  <c r="L125" i="51"/>
  <c r="G125" i="51"/>
  <c r="AX124" i="51"/>
  <c r="AO124" i="51"/>
  <c r="AF124" i="51"/>
  <c r="AE124" i="51"/>
  <c r="T124" i="51"/>
  <c r="Y124" i="51" s="1"/>
  <c r="G124" i="51"/>
  <c r="AX123" i="51"/>
  <c r="AO123" i="51"/>
  <c r="AF123" i="51"/>
  <c r="AE123" i="51"/>
  <c r="T123" i="51"/>
  <c r="Z123" i="51" s="1"/>
  <c r="L123" i="51"/>
  <c r="G123" i="51"/>
  <c r="AX122" i="51"/>
  <c r="AO122" i="51"/>
  <c r="AF122" i="51"/>
  <c r="AE122" i="51"/>
  <c r="Z122" i="51"/>
  <c r="Y122" i="51"/>
  <c r="T122" i="51"/>
  <c r="L122" i="51"/>
  <c r="G122" i="51"/>
  <c r="AX121" i="51"/>
  <c r="AO121" i="51"/>
  <c r="AE121" i="51"/>
  <c r="AF121" i="51" s="1"/>
  <c r="Y121" i="51"/>
  <c r="T121" i="51"/>
  <c r="G121" i="51"/>
  <c r="Z121" i="51" s="1"/>
  <c r="AX120" i="51"/>
  <c r="AO120" i="51"/>
  <c r="AE120" i="51"/>
  <c r="AF120" i="51" s="1"/>
  <c r="Z120" i="51"/>
  <c r="T120" i="51"/>
  <c r="Y120" i="51" s="1"/>
  <c r="L120" i="51"/>
  <c r="G120" i="51"/>
  <c r="AX119" i="51"/>
  <c r="AO119" i="51"/>
  <c r="AF119" i="51"/>
  <c r="AE119" i="51"/>
  <c r="T119" i="51"/>
  <c r="Z119" i="51" s="1"/>
  <c r="L119" i="51"/>
  <c r="G119" i="51"/>
  <c r="AX118" i="51"/>
  <c r="AO118" i="51"/>
  <c r="AE118" i="51"/>
  <c r="AF118" i="51" s="1"/>
  <c r="Z118" i="51"/>
  <c r="Y118" i="51"/>
  <c r="T118" i="51"/>
  <c r="L118" i="51"/>
  <c r="G118" i="51"/>
  <c r="AX117" i="51"/>
  <c r="AO117" i="51"/>
  <c r="AE117" i="51"/>
  <c r="AF117" i="51" s="1"/>
  <c r="T117" i="51"/>
  <c r="Y117" i="51" s="1"/>
  <c r="G117" i="51"/>
  <c r="Z117" i="51" s="1"/>
  <c r="AX116" i="51"/>
  <c r="AO116" i="51"/>
  <c r="AE116" i="51"/>
  <c r="AF116" i="51" s="1"/>
  <c r="Z116" i="51"/>
  <c r="T116" i="51"/>
  <c r="T134" i="51" s="1"/>
  <c r="L116" i="51"/>
  <c r="G116" i="51"/>
  <c r="G134" i="51" s="1"/>
  <c r="AX115" i="51"/>
  <c r="AO115" i="51"/>
  <c r="AF115" i="51"/>
  <c r="AE115" i="51"/>
  <c r="AX114" i="51"/>
  <c r="AO114" i="51"/>
  <c r="AF114" i="51"/>
  <c r="AE114" i="51"/>
  <c r="X114" i="51"/>
  <c r="W114" i="51"/>
  <c r="K114" i="51"/>
  <c r="J114" i="51"/>
  <c r="AX113" i="51"/>
  <c r="AO113" i="51"/>
  <c r="Z113" i="51"/>
  <c r="T113" i="51"/>
  <c r="Y113" i="51" s="1"/>
  <c r="L113" i="51"/>
  <c r="G113" i="51"/>
  <c r="AX112" i="51"/>
  <c r="AO112" i="51"/>
  <c r="AF112" i="51"/>
  <c r="AE112" i="51"/>
  <c r="T112" i="51"/>
  <c r="Z112" i="51" s="1"/>
  <c r="L112" i="51"/>
  <c r="G112" i="51"/>
  <c r="AX111" i="51"/>
  <c r="AO111" i="51"/>
  <c r="Z111" i="51"/>
  <c r="Y111" i="51"/>
  <c r="T111" i="51"/>
  <c r="L111" i="51"/>
  <c r="G111" i="51"/>
  <c r="AX110" i="51"/>
  <c r="AO110" i="51"/>
  <c r="T110" i="51"/>
  <c r="Y110" i="51" s="1"/>
  <c r="G110" i="51"/>
  <c r="Z110" i="51" s="1"/>
  <c r="AX109" i="51"/>
  <c r="AO109" i="51"/>
  <c r="Z109" i="51"/>
  <c r="T109" i="51"/>
  <c r="Y109" i="51" s="1"/>
  <c r="L109" i="51"/>
  <c r="G109" i="51"/>
  <c r="AX108" i="51"/>
  <c r="AO108" i="51"/>
  <c r="T108" i="51"/>
  <c r="Z108" i="51" s="1"/>
  <c r="L108" i="51"/>
  <c r="G108" i="51"/>
  <c r="AX107" i="51"/>
  <c r="AO107" i="51"/>
  <c r="AE107" i="51"/>
  <c r="AF107" i="51" s="1"/>
  <c r="Z107" i="51"/>
  <c r="Y107" i="51"/>
  <c r="T107" i="51"/>
  <c r="L107" i="51"/>
  <c r="G107" i="51"/>
  <c r="AX106" i="51"/>
  <c r="AO106" i="51"/>
  <c r="AE106" i="51"/>
  <c r="AF106" i="51" s="1"/>
  <c r="T106" i="51"/>
  <c r="Y106" i="51" s="1"/>
  <c r="G106" i="51"/>
  <c r="L106" i="51" s="1"/>
  <c r="AX105" i="51"/>
  <c r="AO105" i="51"/>
  <c r="Z105" i="51"/>
  <c r="T105" i="51"/>
  <c r="Y105" i="51" s="1"/>
  <c r="L105" i="51"/>
  <c r="G105" i="51"/>
  <c r="AX104" i="51"/>
  <c r="AO104" i="51"/>
  <c r="T104" i="51"/>
  <c r="Z104" i="51" s="1"/>
  <c r="L104" i="51"/>
  <c r="G104" i="51"/>
  <c r="AX103" i="51"/>
  <c r="AO103" i="51"/>
  <c r="Z103" i="51"/>
  <c r="Y103" i="51"/>
  <c r="T103" i="51"/>
  <c r="L103" i="51"/>
  <c r="G103" i="51"/>
  <c r="AX102" i="51"/>
  <c r="AO102" i="51"/>
  <c r="AF102" i="51"/>
  <c r="Y102" i="51"/>
  <c r="T102" i="51"/>
  <c r="G102" i="51"/>
  <c r="Z102" i="51" s="1"/>
  <c r="AX101" i="51"/>
  <c r="AO101" i="51"/>
  <c r="Z101" i="51"/>
  <c r="Y101" i="51"/>
  <c r="T101" i="51"/>
  <c r="G101" i="51"/>
  <c r="L101" i="51" s="1"/>
  <c r="AX100" i="51"/>
  <c r="AO100" i="51"/>
  <c r="AE100" i="51"/>
  <c r="AF100" i="51" s="1"/>
  <c r="Y100" i="51"/>
  <c r="T100" i="51"/>
  <c r="L100" i="51"/>
  <c r="G100" i="51"/>
  <c r="Z100" i="51" s="1"/>
  <c r="AX99" i="51"/>
  <c r="AO99" i="51"/>
  <c r="T99" i="51"/>
  <c r="Y99" i="51" s="1"/>
  <c r="G99" i="51"/>
  <c r="L99" i="51" s="1"/>
  <c r="AX98" i="51"/>
  <c r="AO98" i="51"/>
  <c r="AA98" i="51"/>
  <c r="T98" i="51"/>
  <c r="Y98" i="51" s="1"/>
  <c r="G98" i="51"/>
  <c r="Z98" i="51" s="1"/>
  <c r="AX97" i="51"/>
  <c r="AO97" i="51"/>
  <c r="AA97" i="51"/>
  <c r="T97" i="51"/>
  <c r="Z97" i="51" s="1"/>
  <c r="G97" i="51"/>
  <c r="L97" i="51" s="1"/>
  <c r="AX96" i="51"/>
  <c r="AO96" i="51"/>
  <c r="Y96" i="51"/>
  <c r="T96" i="51"/>
  <c r="Z96" i="51" s="1"/>
  <c r="G96" i="51"/>
  <c r="L96" i="51" s="1"/>
  <c r="AX95" i="51"/>
  <c r="AO95" i="51"/>
  <c r="AE95" i="51"/>
  <c r="AF95" i="51" s="1"/>
  <c r="T95" i="51"/>
  <c r="Y95" i="51" s="1"/>
  <c r="G95" i="51"/>
  <c r="Z95" i="51" s="1"/>
  <c r="AX94" i="51"/>
  <c r="AO94" i="51"/>
  <c r="T94" i="51"/>
  <c r="Z94" i="51" s="1"/>
  <c r="L94" i="51"/>
  <c r="G94" i="51"/>
  <c r="AX93" i="51"/>
  <c r="AO93" i="51"/>
  <c r="T93" i="51"/>
  <c r="T114" i="51" s="1"/>
  <c r="G93" i="51"/>
  <c r="L93" i="51" s="1"/>
  <c r="AX92" i="51"/>
  <c r="AO92" i="51"/>
  <c r="AX91" i="51"/>
  <c r="AO91" i="51"/>
  <c r="AX90" i="51"/>
  <c r="AO90" i="51"/>
  <c r="AX89" i="51"/>
  <c r="AO89" i="51"/>
  <c r="AX88" i="51"/>
  <c r="AX129" i="51" s="1"/>
  <c r="AE105" i="51" s="1"/>
  <c r="AF105" i="51" s="1"/>
  <c r="AO88" i="51"/>
  <c r="AO164" i="51" s="1"/>
  <c r="AE90" i="51" s="1"/>
  <c r="AF90" i="51" s="1"/>
  <c r="V87" i="51"/>
  <c r="I87" i="51"/>
  <c r="E78" i="51" s="1"/>
  <c r="V86" i="51"/>
  <c r="I86" i="51"/>
  <c r="Z82" i="51"/>
  <c r="Y82" i="51"/>
  <c r="X82" i="51"/>
  <c r="T82" i="51"/>
  <c r="S82" i="51"/>
  <c r="R82" i="51"/>
  <c r="Z81" i="51"/>
  <c r="Y81" i="51"/>
  <c r="X81" i="51"/>
  <c r="T81" i="51"/>
  <c r="S81" i="51"/>
  <c r="R81" i="51"/>
  <c r="Z80" i="51"/>
  <c r="Y80" i="51"/>
  <c r="X80" i="51"/>
  <c r="T80" i="51"/>
  <c r="S80" i="51"/>
  <c r="R80" i="51"/>
  <c r="Z79" i="51"/>
  <c r="Y79" i="51"/>
  <c r="X79" i="51"/>
  <c r="T79" i="51"/>
  <c r="S79" i="51"/>
  <c r="R79" i="51"/>
  <c r="Z78" i="51"/>
  <c r="Y78" i="51"/>
  <c r="X78" i="51"/>
  <c r="T78" i="51"/>
  <c r="S78" i="51"/>
  <c r="R78" i="51"/>
  <c r="Z77" i="51"/>
  <c r="Y77" i="51"/>
  <c r="X77" i="51"/>
  <c r="T77" i="51"/>
  <c r="S77" i="51"/>
  <c r="R77" i="51"/>
  <c r="E77" i="51"/>
  <c r="V88" i="51" l="1"/>
  <c r="L157" i="51"/>
  <c r="L165" i="51"/>
  <c r="Z165" i="51"/>
  <c r="F199" i="51"/>
  <c r="H197" i="51" s="1"/>
  <c r="Z134" i="51"/>
  <c r="W187" i="51"/>
  <c r="Z106" i="51"/>
  <c r="Y93" i="51"/>
  <c r="Y97" i="51"/>
  <c r="Z93" i="51"/>
  <c r="Y116" i="51"/>
  <c r="Z124" i="51"/>
  <c r="Z128" i="51"/>
  <c r="Z143" i="51"/>
  <c r="Y163" i="51"/>
  <c r="L95" i="51"/>
  <c r="L114" i="51" s="1"/>
  <c r="Y104" i="51"/>
  <c r="Y108" i="51"/>
  <c r="Y112" i="51"/>
  <c r="Y119" i="51"/>
  <c r="Y123" i="51"/>
  <c r="L126" i="51"/>
  <c r="L130" i="51"/>
  <c r="L137" i="51"/>
  <c r="L138" i="51" s="1"/>
  <c r="T138" i="51"/>
  <c r="L141" i="51"/>
  <c r="L145" i="51"/>
  <c r="L149" i="51"/>
  <c r="L153" i="51"/>
  <c r="Y162" i="51"/>
  <c r="Y165" i="51" s="1"/>
  <c r="Y172" i="51" s="1"/>
  <c r="L169" i="51"/>
  <c r="L186" i="51"/>
  <c r="L187" i="51" s="1"/>
  <c r="G114" i="51"/>
  <c r="I88" i="51" s="1"/>
  <c r="Z162" i="51"/>
  <c r="G157" i="51"/>
  <c r="Y169" i="51"/>
  <c r="G172" i="51"/>
  <c r="Z172" i="51" s="1"/>
  <c r="Z137" i="51"/>
  <c r="T157" i="51"/>
  <c r="L117" i="51"/>
  <c r="L134" i="51" s="1"/>
  <c r="L121" i="51"/>
  <c r="L132" i="51"/>
  <c r="Y140" i="51"/>
  <c r="Y157" i="51" s="1"/>
  <c r="Y177" i="51"/>
  <c r="Y180" i="51" s="1"/>
  <c r="G180" i="51"/>
  <c r="Z180" i="51" s="1"/>
  <c r="Z99" i="51"/>
  <c r="L102" i="51"/>
  <c r="Y125" i="51"/>
  <c r="Y129" i="51"/>
  <c r="Y136" i="51"/>
  <c r="Y138" i="51" s="1"/>
  <c r="Y144" i="51"/>
  <c r="Y148" i="51"/>
  <c r="Y152" i="51"/>
  <c r="Y156" i="51"/>
  <c r="L176" i="51"/>
  <c r="L180" i="51" s="1"/>
  <c r="Z177" i="51"/>
  <c r="L98" i="51"/>
  <c r="L110" i="51"/>
  <c r="Y94" i="51"/>
  <c r="Z185" i="51"/>
  <c r="X187" i="51" s="1"/>
  <c r="Y187" i="51" l="1"/>
  <c r="Y114" i="51"/>
  <c r="Z157" i="51"/>
  <c r="T190" i="51"/>
  <c r="Z114" i="51"/>
  <c r="J187" i="51"/>
  <c r="J190" i="51" s="1"/>
  <c r="E82" i="51" s="1"/>
  <c r="Z138" i="51"/>
  <c r="V89" i="51"/>
  <c r="K187" i="51"/>
  <c r="K190" i="51" s="1"/>
  <c r="L172" i="51"/>
  <c r="L190" i="51" s="1"/>
  <c r="K172" i="51"/>
  <c r="J172" i="51"/>
  <c r="X172" i="51"/>
  <c r="X190" i="51" s="1"/>
  <c r="W172" i="51"/>
  <c r="W190" i="51" s="1"/>
  <c r="G190" i="51"/>
  <c r="I90" i="51" s="1"/>
  <c r="Y134" i="51"/>
  <c r="Y190" i="51" s="1"/>
  <c r="E81" i="51" l="1"/>
  <c r="E80" i="51"/>
  <c r="Z190" i="51"/>
  <c r="V90" i="51"/>
  <c r="G75" i="51" s="1"/>
  <c r="J73" i="51" s="1"/>
</calcChain>
</file>

<file path=xl/sharedStrings.xml><?xml version="1.0" encoding="utf-8"?>
<sst xmlns="http://schemas.openxmlformats.org/spreadsheetml/2006/main" count="2044" uniqueCount="1073">
  <si>
    <t>CALA</t>
  </si>
  <si>
    <t>BDR</t>
  </si>
  <si>
    <t>TCM</t>
  </si>
  <si>
    <t>UBP</t>
  </si>
  <si>
    <t>SPI</t>
  </si>
  <si>
    <t>IP</t>
  </si>
  <si>
    <t>BST</t>
  </si>
  <si>
    <t>PWF</t>
  </si>
  <si>
    <t>HOT DICE</t>
  </si>
  <si>
    <t>HOT</t>
  </si>
  <si>
    <t>LOTERIA BONUS</t>
  </si>
  <si>
    <t>P4</t>
  </si>
  <si>
    <t>REVOLUTION</t>
  </si>
  <si>
    <t>REV</t>
  </si>
  <si>
    <t>HOTM</t>
  </si>
  <si>
    <t>HOT DICE MULTI</t>
  </si>
  <si>
    <t>POWER FORCE</t>
  </si>
  <si>
    <t>BINGO STORY</t>
  </si>
  <si>
    <t>DREAM</t>
  </si>
  <si>
    <t>TACOMANIA</t>
  </si>
  <si>
    <t>ULTIMO BINGO EN PARIS</t>
  </si>
  <si>
    <t>POWER FOUR</t>
  </si>
  <si>
    <t>DOBLE BONUS</t>
  </si>
  <si>
    <t>SPIN BINGO</t>
  </si>
  <si>
    <t>HALLO</t>
  </si>
  <si>
    <t>TOP3</t>
  </si>
  <si>
    <t>BOBBY</t>
  </si>
  <si>
    <t>HALLO WIN</t>
  </si>
  <si>
    <t>BEST TOP 3 BONUS</t>
  </si>
  <si>
    <t>BOBBY DOGGIE</t>
  </si>
  <si>
    <t>GO DICE</t>
  </si>
  <si>
    <t>GDICE</t>
  </si>
  <si>
    <t>FISH DOUBLE</t>
  </si>
  <si>
    <t>ROYAL CRAPS</t>
  </si>
  <si>
    <t>RCRP</t>
  </si>
  <si>
    <t>PRWP</t>
  </si>
  <si>
    <t>PIM PAM PUM</t>
  </si>
  <si>
    <t>PPPUM</t>
  </si>
  <si>
    <t>MULTI SPIN BINGO</t>
  </si>
  <si>
    <t>SPIM</t>
  </si>
  <si>
    <t>TACOWAY</t>
  </si>
  <si>
    <t>TCWY</t>
  </si>
  <si>
    <t>KINGO</t>
  </si>
  <si>
    <t>POWER BONUS</t>
  </si>
  <si>
    <t>PWRB</t>
  </si>
  <si>
    <t>GO POWER</t>
  </si>
  <si>
    <t>GO PWR</t>
  </si>
  <si>
    <t>LOTB</t>
  </si>
  <si>
    <t>BRYKE</t>
  </si>
  <si>
    <t>ENERGY LINK WEST</t>
  </si>
  <si>
    <t>ELK WST</t>
  </si>
  <si>
    <t>ENERGY LINK MEX</t>
  </si>
  <si>
    <t>ELK MEX</t>
  </si>
  <si>
    <t>ENERGY LINK GREEN</t>
  </si>
  <si>
    <t>ELK GRN</t>
  </si>
  <si>
    <t>ELK BLU</t>
  </si>
  <si>
    <t>ENERGY LINK BLUE</t>
  </si>
  <si>
    <t>SLEIC</t>
  </si>
  <si>
    <t>ENERGY KING DOBLE BONUS</t>
  </si>
  <si>
    <t>EK DB</t>
  </si>
  <si>
    <t>ENERGY KING P4 BONUS</t>
  </si>
  <si>
    <t>EK P4</t>
  </si>
  <si>
    <t>ENERGY KING GO DICE</t>
  </si>
  <si>
    <t>EK GDICE</t>
  </si>
  <si>
    <t>ELK P4</t>
  </si>
  <si>
    <t>ELK DB</t>
  </si>
  <si>
    <t>ENERGY LINK GO DICE</t>
  </si>
  <si>
    <t>ELK GDICE</t>
  </si>
  <si>
    <t>FSHDB</t>
  </si>
  <si>
    <t>BEER</t>
  </si>
  <si>
    <t>BEER, CHEERS FEST</t>
  </si>
  <si>
    <t>DB</t>
  </si>
  <si>
    <t>DRAGONB</t>
  </si>
  <si>
    <t>DRAGON BINGO</t>
  </si>
  <si>
    <t>GSTORM</t>
  </si>
  <si>
    <t>GOD STORM</t>
  </si>
  <si>
    <t>LMP PWR</t>
  </si>
  <si>
    <t>LAMP POWER</t>
  </si>
  <si>
    <t>LMP MEX</t>
  </si>
  <si>
    <t>LAMP MEX</t>
  </si>
  <si>
    <t>Pi</t>
  </si>
  <si>
    <t>POWER PRIZE</t>
  </si>
  <si>
    <t>TCKKK</t>
  </si>
  <si>
    <t>THE COURSE OF KUKULKAN</t>
  </si>
  <si>
    <t>TB2</t>
  </si>
  <si>
    <t>TRIPLE BONUS 2</t>
  </si>
  <si>
    <t>WDICE</t>
  </si>
  <si>
    <t>WESTERN DICE</t>
  </si>
  <si>
    <t>BLOOTER</t>
  </si>
  <si>
    <t>BLACK LOOTER</t>
  </si>
  <si>
    <t>LMP BOBBY</t>
  </si>
  <si>
    <t>LAMP BOBBY</t>
  </si>
  <si>
    <t>LMP MUS</t>
  </si>
  <si>
    <t>LAMP MUSTANG</t>
  </si>
  <si>
    <t>RFU</t>
  </si>
  <si>
    <t>ROYAL FU</t>
  </si>
  <si>
    <t>RTROP</t>
  </si>
  <si>
    <t>ROYAL TROPICAL BINGO</t>
  </si>
  <si>
    <t>BE3</t>
  </si>
  <si>
    <t>BEETLE 3</t>
  </si>
  <si>
    <t>CALACA</t>
  </si>
  <si>
    <t>DWISH</t>
  </si>
  <si>
    <t>DIAMOND WISH</t>
  </si>
  <si>
    <t>SPELLS</t>
  </si>
  <si>
    <t>SPELLS AND POTIONS</t>
  </si>
  <si>
    <t>LMP TCWY</t>
  </si>
  <si>
    <t>LAMP TACOWAY</t>
  </si>
  <si>
    <t>WCLUB</t>
  </si>
  <si>
    <t>WEALTHY CLUB</t>
  </si>
  <si>
    <t>LMP SPI</t>
  </si>
  <si>
    <t>LAMP SPIN</t>
  </si>
  <si>
    <t>LMP HALLO</t>
  </si>
  <si>
    <t>LAMP HALLO WIN</t>
  </si>
  <si>
    <t>LMP STO</t>
  </si>
  <si>
    <t>LAMP BINGO STORY</t>
  </si>
  <si>
    <t>PI</t>
  </si>
  <si>
    <t>MAORIS LAND</t>
  </si>
  <si>
    <t>MAORIS</t>
  </si>
  <si>
    <t>BLAZING PEARLS</t>
  </si>
  <si>
    <t>I D 2 1 4 - B I G    B O L A - T L A L N E P A N T L A</t>
  </si>
  <si>
    <t>SPORT BOOK</t>
  </si>
  <si>
    <t>NOV</t>
  </si>
  <si>
    <t>IGT</t>
  </si>
  <si>
    <t>SCIGA</t>
  </si>
  <si>
    <t>P3</t>
  </si>
  <si>
    <t>MESA ELECTRONICA</t>
  </si>
  <si>
    <t>BPILI</t>
  </si>
  <si>
    <t>EGT</t>
  </si>
  <si>
    <t>ISLA 9</t>
  </si>
  <si>
    <t>25c</t>
  </si>
  <si>
    <t>ENCO</t>
  </si>
  <si>
    <t>CAJA</t>
  </si>
  <si>
    <t>FB</t>
  </si>
  <si>
    <t>GOLM</t>
  </si>
  <si>
    <t>PNDSH</t>
  </si>
  <si>
    <t>AGS</t>
  </si>
  <si>
    <t>ACCESO BINGO TRADICIONAL</t>
  </si>
  <si>
    <t>BINGO TRADICIONAL</t>
  </si>
  <si>
    <t>ISLA 10</t>
  </si>
  <si>
    <t>TOTI</t>
  </si>
  <si>
    <t>20G</t>
  </si>
  <si>
    <t>ACCESO FUMAR</t>
  </si>
  <si>
    <t>MUL</t>
  </si>
  <si>
    <t>RETIRO</t>
  </si>
  <si>
    <t>DORAD</t>
  </si>
  <si>
    <t>KATNA</t>
  </si>
  <si>
    <t>MYK</t>
  </si>
  <si>
    <t>MAGCELT</t>
  </si>
  <si>
    <t>MP</t>
  </si>
  <si>
    <t>ISLA 2</t>
  </si>
  <si>
    <t>ISLA 3</t>
  </si>
  <si>
    <t>50cts</t>
  </si>
  <si>
    <t>MB</t>
  </si>
  <si>
    <t>END CAP DIGITAL</t>
  </si>
  <si>
    <t>VM</t>
  </si>
  <si>
    <t>MIN JUG $4.00</t>
  </si>
  <si>
    <t>MM</t>
  </si>
  <si>
    <t>MER</t>
  </si>
  <si>
    <t>SIGN BLEK/BLEL-2</t>
  </si>
  <si>
    <t>ISLA 4</t>
  </si>
  <si>
    <t>ISLA 5</t>
  </si>
  <si>
    <t>SIGN BLDW-2</t>
  </si>
  <si>
    <t>GOLMP</t>
  </si>
  <si>
    <t>CHIT</t>
  </si>
  <si>
    <t>AFI</t>
  </si>
  <si>
    <t>SIGN DBLK</t>
  </si>
  <si>
    <t>TBP</t>
  </si>
  <si>
    <t>TMB</t>
  </si>
  <si>
    <t>MCH</t>
  </si>
  <si>
    <t>5c</t>
  </si>
  <si>
    <t>BIB</t>
  </si>
  <si>
    <t>ULTRA LUCKY LINK</t>
  </si>
  <si>
    <t>ISLA 6</t>
  </si>
  <si>
    <t>ISLA 7</t>
  </si>
  <si>
    <t>ISLA 8</t>
  </si>
  <si>
    <t>AW</t>
  </si>
  <si>
    <t>MIN JUG $3.40</t>
  </si>
  <si>
    <t>*servidor aparte para EK</t>
  </si>
  <si>
    <t>5C</t>
  </si>
  <si>
    <t>SIGN LK/LM-2</t>
  </si>
  <si>
    <t>WS</t>
  </si>
  <si>
    <t>SIGN LK/LM</t>
  </si>
  <si>
    <t>MMBM</t>
  </si>
  <si>
    <t>ENTRADA PRINCIPAL</t>
  </si>
  <si>
    <t>BRANCH</t>
  </si>
  <si>
    <t>BARRA</t>
  </si>
  <si>
    <t>Site</t>
  </si>
  <si>
    <t>SALIDA EMERGENCIA</t>
  </si>
  <si>
    <t>TOTAL SALA</t>
  </si>
  <si>
    <t>ANTERIOR THERMO ENTREGADO</t>
  </si>
  <si>
    <t>THERMO ACTUAL</t>
  </si>
  <si>
    <t>2308-12</t>
  </si>
  <si>
    <t>FECHA</t>
  </si>
  <si>
    <t>SEMANA</t>
  </si>
  <si>
    <t>TOTAL ZITRO</t>
  </si>
  <si>
    <t>S51 a S8</t>
  </si>
  <si>
    <t>S22 a S33</t>
  </si>
  <si>
    <t>63 MAQ.</t>
  </si>
  <si>
    <t>TOTAL</t>
  </si>
  <si>
    <t>F POWER</t>
  </si>
  <si>
    <t>SIN F POWER</t>
  </si>
  <si>
    <t>VS</t>
  </si>
  <si>
    <t>TOTAL MAQUINAS CON 25C</t>
  </si>
  <si>
    <t>COIN IN X MAQ</t>
  </si>
  <si>
    <t>TOTAL MAQUINAS CON 50C</t>
  </si>
  <si>
    <t>MEDIA</t>
  </si>
  <si>
    <t>OCUPACIÓN</t>
  </si>
  <si>
    <t>TOTAL BLACK</t>
  </si>
  <si>
    <t>% DEV</t>
  </si>
  <si>
    <t>TOTAL BLUE</t>
  </si>
  <si>
    <t>AP X PART</t>
  </si>
  <si>
    <t>TOTAL FUSION</t>
  </si>
  <si>
    <t>PART X MAQ X DIA</t>
  </si>
  <si>
    <t>TABLA DE JUEGOS ZITRO</t>
  </si>
  <si>
    <t>MAQUINAS CON 25C FUMAR</t>
  </si>
  <si>
    <t>MAQUINAS CON 25C NO FUMAR</t>
  </si>
  <si>
    <t>TABLA COMPETENCIA</t>
  </si>
  <si>
    <t>MAQUINAS CON 50C FUMAR</t>
  </si>
  <si>
    <t>MAQUINAS CON 50C NO FUMAR</t>
  </si>
  <si>
    <t>EIBE</t>
  </si>
  <si>
    <t>LUDICUS/IGT Bingo</t>
  </si>
  <si>
    <t>TOTAL FUMAR FAMILIA POWER</t>
  </si>
  <si>
    <t>TOTAL NO FUMAR FAMILIA POWER</t>
  </si>
  <si>
    <t>PROVEEDOR</t>
  </si>
  <si>
    <t>MAQUINAS</t>
  </si>
  <si>
    <t>% SALA</t>
  </si>
  <si>
    <t>ACE BONUS</t>
  </si>
  <si>
    <t>ACB</t>
  </si>
  <si>
    <t>BARON ROJO</t>
  </si>
  <si>
    <t>BR</t>
  </si>
  <si>
    <t>TOTAL FUMAR BISONTE / BINGO STORY</t>
  </si>
  <si>
    <t>TOTAL NO FUMAR BISONTE / BINGO STORY</t>
  </si>
  <si>
    <t>B I N G O</t>
  </si>
  <si>
    <t>ACE MANIA</t>
  </si>
  <si>
    <t>ACM</t>
  </si>
  <si>
    <t>BEE WILD</t>
  </si>
  <si>
    <t>BW</t>
  </si>
  <si>
    <t>TOTAL FUMAR SALA</t>
  </si>
  <si>
    <t>TOTAL NO FUMAR SALA</t>
  </si>
  <si>
    <t>ALL STAR</t>
  </si>
  <si>
    <t>ALLSTR</t>
  </si>
  <si>
    <t>BICHOS PARTY</t>
  </si>
  <si>
    <t>BP</t>
  </si>
  <si>
    <t>AMBRA GAMING</t>
  </si>
  <si>
    <t>AMBRA</t>
  </si>
  <si>
    <t>BEACH BINGO</t>
  </si>
  <si>
    <t>BCHB</t>
  </si>
  <si>
    <t>BING KONG</t>
  </si>
  <si>
    <t>BK</t>
  </si>
  <si>
    <t>FAMILIA POWER</t>
  </si>
  <si>
    <t>FUSION</t>
  </si>
  <si>
    <t>BLACK</t>
  </si>
  <si>
    <t>BLUE</t>
  </si>
  <si>
    <t>TOTAL JUEGO</t>
  </si>
  <si>
    <t>METRONIA / BEMEX</t>
  </si>
  <si>
    <t>MET</t>
  </si>
  <si>
    <t>BEST BINGO</t>
  </si>
  <si>
    <t>BB</t>
  </si>
  <si>
    <t>BINGO GRAND HIT</t>
  </si>
  <si>
    <t>BGHI</t>
  </si>
  <si>
    <t>SABIA</t>
  </si>
  <si>
    <t>SAB</t>
  </si>
  <si>
    <t>BIG SCORE</t>
  </si>
  <si>
    <t>BIGCRE</t>
  </si>
  <si>
    <t xml:space="preserve">BINGO JOKER </t>
  </si>
  <si>
    <t>BJK</t>
  </si>
  <si>
    <t>*</t>
  </si>
  <si>
    <t>FBM</t>
  </si>
  <si>
    <t>BINGO MAN</t>
  </si>
  <si>
    <t>BMAN</t>
  </si>
  <si>
    <t>BINGO LINK 10</t>
  </si>
  <si>
    <t>BLINK10</t>
  </si>
  <si>
    <t>JESTRONIC</t>
  </si>
  <si>
    <t>BINGOL</t>
  </si>
  <si>
    <t>BGOL</t>
  </si>
  <si>
    <t>BINGO LINK DOBLE BONUS</t>
  </si>
  <si>
    <t>BLINKDB</t>
  </si>
  <si>
    <t>DBF</t>
  </si>
  <si>
    <t>R. FRANCO</t>
  </si>
  <si>
    <t>FRANCO</t>
  </si>
  <si>
    <t>BINGOLE</t>
  </si>
  <si>
    <t>BLE</t>
  </si>
  <si>
    <t>BINGO LINK GOLDEN</t>
  </si>
  <si>
    <t>BLINKG</t>
  </si>
  <si>
    <t>KONAMI BINGO</t>
  </si>
  <si>
    <t>KNBINGO</t>
  </si>
  <si>
    <t>BINGOLE PLUS</t>
  </si>
  <si>
    <t>BLEP</t>
  </si>
  <si>
    <t>BINGO JONES</t>
  </si>
  <si>
    <t>BJN</t>
  </si>
  <si>
    <t>TBD2</t>
  </si>
  <si>
    <t>WINPOT / DREIDEL</t>
  </si>
  <si>
    <t>WINPOT</t>
  </si>
  <si>
    <t>BINGOLE PRIME</t>
  </si>
  <si>
    <t>BLEPm</t>
  </si>
  <si>
    <t>BUFFALO KINGS</t>
  </si>
  <si>
    <t>BUFF</t>
  </si>
  <si>
    <t>SLEIC (OTIUM - UNIDESA)</t>
  </si>
  <si>
    <t>BUBBLE MANIA</t>
  </si>
  <si>
    <r>
      <rPr>
        <b/>
        <sz val="12"/>
        <color theme="7" tint="0.39997558519241921"/>
        <rFont val="Calibri"/>
        <family val="2"/>
        <scheme val="minor"/>
      </rPr>
      <t>BUB</t>
    </r>
    <r>
      <rPr>
        <b/>
        <sz val="12"/>
        <color rgb="FFFFFF00"/>
        <rFont val="Calibri"/>
        <family val="2"/>
        <scheme val="minor"/>
      </rPr>
      <t>BLE</t>
    </r>
  </si>
  <si>
    <t>DRAGONS TREASURE</t>
  </si>
  <si>
    <t>DRTR</t>
  </si>
  <si>
    <t>PACHINKO</t>
  </si>
  <si>
    <t>CAPITAN PARROT</t>
  </si>
  <si>
    <t>CP</t>
  </si>
  <si>
    <t>FIGHT AND WIN</t>
  </si>
  <si>
    <t>FGTW</t>
  </si>
  <si>
    <t>BLUBERI</t>
  </si>
  <si>
    <t>BLUB</t>
  </si>
  <si>
    <t>CHICKEN FARM</t>
  </si>
  <si>
    <t>CFM</t>
  </si>
  <si>
    <t>FLYING PIGS</t>
  </si>
  <si>
    <t>FPIG</t>
  </si>
  <si>
    <t>BETSTONE BINGO</t>
  </si>
  <si>
    <t>BTSB</t>
  </si>
  <si>
    <t>-</t>
  </si>
  <si>
    <t>CINE BINGO</t>
  </si>
  <si>
    <t>CINEB</t>
  </si>
  <si>
    <t>FUNNY CREATURES</t>
  </si>
  <si>
    <t>FC</t>
  </si>
  <si>
    <t>SHOWBALL</t>
  </si>
  <si>
    <t>SHOW</t>
  </si>
  <si>
    <t>CINE BINGO MULTI</t>
  </si>
  <si>
    <t>MCINEB</t>
  </si>
  <si>
    <t>HUNGRY FISH</t>
  </si>
  <si>
    <t>HUF</t>
  </si>
  <si>
    <t>LATINA WORLD GAMING</t>
  </si>
  <si>
    <t>LATINWG</t>
  </si>
  <si>
    <t>CIRCUS</t>
  </si>
  <si>
    <t>CIR</t>
  </si>
  <si>
    <t>LAS MIL Y UNA NOCHES</t>
  </si>
  <si>
    <t>MYUN</t>
  </si>
  <si>
    <t>LUD/IGT B</t>
  </si>
  <si>
    <t>DINO BINGO</t>
  </si>
  <si>
    <t>DINO</t>
  </si>
  <si>
    <t>LA CHIRIPA</t>
  </si>
  <si>
    <t>LACHI</t>
  </si>
  <si>
    <t>AGSB</t>
  </si>
  <si>
    <t>DULCE MANIA</t>
  </si>
  <si>
    <t>DULM</t>
  </si>
  <si>
    <t>LOS GNOMOS</t>
  </si>
  <si>
    <t>LGMS</t>
  </si>
  <si>
    <t>VDK2</t>
  </si>
  <si>
    <t>VDK</t>
  </si>
  <si>
    <t>EL DORADO BINGO</t>
  </si>
  <si>
    <t>LUCKY PRINCESS</t>
  </si>
  <si>
    <t>LKP</t>
  </si>
  <si>
    <t>DEGESTEC BINGO</t>
  </si>
  <si>
    <t>DEGESTEC B</t>
  </si>
  <si>
    <t>EL PEZ</t>
  </si>
  <si>
    <t>PEZ</t>
  </si>
  <si>
    <t>MARTINS FORTUNE</t>
  </si>
  <si>
    <t>MARTF</t>
  </si>
  <si>
    <t>JCB GAMING</t>
  </si>
  <si>
    <t>JCB</t>
  </si>
  <si>
    <t>FIESTA BINGO</t>
  </si>
  <si>
    <t>FSTB</t>
  </si>
  <si>
    <t>MEDIEBALL</t>
  </si>
  <si>
    <t>MEB</t>
  </si>
  <si>
    <t>RCT BINGO</t>
  </si>
  <si>
    <t>RCT B</t>
  </si>
  <si>
    <t>FIRST MANIA</t>
  </si>
  <si>
    <t>FM</t>
  </si>
  <si>
    <t>MULTI BINGO PACK</t>
  </si>
  <si>
    <t>MBGP</t>
  </si>
  <si>
    <t>INTERVISION BINGO</t>
  </si>
  <si>
    <t>INTVB</t>
  </si>
  <si>
    <t>FOUR BINGO</t>
  </si>
  <si>
    <t xml:space="preserve">NEW BINGO CITY </t>
  </si>
  <si>
    <t>BCTY</t>
  </si>
  <si>
    <t>OTROS BINGO</t>
  </si>
  <si>
    <t>OTROS B</t>
  </si>
  <si>
    <t>GAMBETA BINGO</t>
  </si>
  <si>
    <t>GAMB</t>
  </si>
  <si>
    <t>OLYMPUS</t>
  </si>
  <si>
    <t>OLYM</t>
  </si>
  <si>
    <t>R O D I L L O S</t>
  </si>
  <si>
    <t>GLADIATOR</t>
  </si>
  <si>
    <t>GLAR</t>
  </si>
  <si>
    <t>PANDA 88</t>
  </si>
  <si>
    <t>PAN88</t>
  </si>
  <si>
    <t>AINSWORTH</t>
  </si>
  <si>
    <t>GOL MANIA</t>
  </si>
  <si>
    <t>PICOSOMETRO</t>
  </si>
  <si>
    <t>PICO</t>
  </si>
  <si>
    <t>BISONTE / BINGO STORY</t>
  </si>
  <si>
    <t>ADMIRAL</t>
  </si>
  <si>
    <t>ADMI</t>
  </si>
  <si>
    <t>GOL MANIA PLUS</t>
  </si>
  <si>
    <t>PIG WIZARD</t>
  </si>
  <si>
    <t>PGW</t>
  </si>
  <si>
    <t>ATLAS</t>
  </si>
  <si>
    <t>AGT</t>
  </si>
  <si>
    <t>GOL MANIA PRIME</t>
  </si>
  <si>
    <t>GOLMPm</t>
  </si>
  <si>
    <t>PIRATES OF THE BINGO SEA</t>
  </si>
  <si>
    <t>PSEA</t>
  </si>
  <si>
    <t>ALFASTREET</t>
  </si>
  <si>
    <t>AST</t>
  </si>
  <si>
    <t>HOT CHILLI</t>
  </si>
  <si>
    <t>HTC</t>
  </si>
  <si>
    <t>PLAYA BINGO</t>
  </si>
  <si>
    <t>PLAB</t>
  </si>
  <si>
    <t>EGYPT TREASURES</t>
  </si>
  <si>
    <t>EGYTRE</t>
  </si>
  <si>
    <t>KATANA BINGO</t>
  </si>
  <si>
    <t>REYES DEL RING</t>
  </si>
  <si>
    <t>RDR</t>
  </si>
  <si>
    <t>FRATELLI PIZZA</t>
  </si>
  <si>
    <t>FRPIZZA</t>
  </si>
  <si>
    <t>AMATIC</t>
  </si>
  <si>
    <t>AMA</t>
  </si>
  <si>
    <t>LE BON BON</t>
  </si>
  <si>
    <t>LBON</t>
  </si>
  <si>
    <t>ROUTE 66</t>
  </si>
  <si>
    <t>R66</t>
  </si>
  <si>
    <t>AMUSGO</t>
  </si>
  <si>
    <t>AMGO</t>
  </si>
  <si>
    <t>LOCOMODIN</t>
  </si>
  <si>
    <t>LMDIN</t>
  </si>
  <si>
    <t>ROUTE 66 MULTI</t>
  </si>
  <si>
    <t>R66M</t>
  </si>
  <si>
    <t>APEX</t>
  </si>
  <si>
    <t>LOCOMODIN PLUS</t>
  </si>
  <si>
    <t>LMDIN P</t>
  </si>
  <si>
    <t>ROUTE TO WIN</t>
  </si>
  <si>
    <t>RTW</t>
  </si>
  <si>
    <t>ARISTOCRAT</t>
  </si>
  <si>
    <t>AR</t>
  </si>
  <si>
    <t>LOCOMODIN PRIME</t>
  </si>
  <si>
    <t>LMDIN Pm</t>
  </si>
  <si>
    <t>RULETA DE LA SUERTE</t>
  </si>
  <si>
    <t>RDS</t>
  </si>
  <si>
    <t>ARUZE</t>
  </si>
  <si>
    <t>ARU</t>
  </si>
  <si>
    <t>LOVE</t>
  </si>
  <si>
    <t>LV</t>
  </si>
  <si>
    <t>SLOT 66</t>
  </si>
  <si>
    <t>S66</t>
  </si>
  <si>
    <t>MONEY WISE PANDA</t>
  </si>
  <si>
    <t>MWPANDA</t>
  </si>
  <si>
    <t>ASTRO</t>
  </si>
  <si>
    <t>LUCKY NOTE</t>
  </si>
  <si>
    <t>LN</t>
  </si>
  <si>
    <t>TESORO DEL CARIBE</t>
  </si>
  <si>
    <t>TC</t>
  </si>
  <si>
    <t>ATRONIC</t>
  </si>
  <si>
    <t>AT</t>
  </si>
  <si>
    <t>MAGIC CELTIC BINGO</t>
  </si>
  <si>
    <t>VIKINGS</t>
  </si>
  <si>
    <t>VK</t>
  </si>
  <si>
    <t>KINGO STORY</t>
  </si>
  <si>
    <t>KST</t>
  </si>
  <si>
    <t>AURIFY</t>
  </si>
  <si>
    <t>MAGIC DRAGON</t>
  </si>
  <si>
    <t>MAGD</t>
  </si>
  <si>
    <t>WILD TRAIN</t>
  </si>
  <si>
    <t>WDT</t>
  </si>
  <si>
    <t>AVANTIME</t>
  </si>
  <si>
    <t>AV</t>
  </si>
  <si>
    <t>MASTER SHOW</t>
  </si>
  <si>
    <t>MSTRSH</t>
  </si>
  <si>
    <t>WILD WEST</t>
  </si>
  <si>
    <t>WT</t>
  </si>
  <si>
    <t>BELATRA (MULTIVISION)</t>
  </si>
  <si>
    <t>BEL</t>
  </si>
  <si>
    <t>MIN LUN LUO GOLDEN DRAGON</t>
  </si>
  <si>
    <t>MLUGD</t>
  </si>
  <si>
    <t>WIN &amp; ROLL</t>
  </si>
  <si>
    <t>WNRLL</t>
  </si>
  <si>
    <t>BETSTONE</t>
  </si>
  <si>
    <t>BTS</t>
  </si>
  <si>
    <t>MR.X</t>
  </si>
  <si>
    <t>MX</t>
  </si>
  <si>
    <t>TOTAL LUDICUS</t>
  </si>
  <si>
    <t>BLU</t>
  </si>
  <si>
    <t>MULTI MANIA</t>
  </si>
  <si>
    <t>MULMA</t>
  </si>
  <si>
    <t>BRAVO GAMES</t>
  </si>
  <si>
    <t>BGAMES</t>
  </si>
  <si>
    <t>MULTI TRIPLE</t>
  </si>
  <si>
    <t>MT</t>
  </si>
  <si>
    <t>MULTIBINGO</t>
  </si>
  <si>
    <t>30 MANIA BONUS</t>
  </si>
  <si>
    <t>30MB</t>
  </si>
  <si>
    <t>THE GREAT WEALTH</t>
  </si>
  <si>
    <t>TGREATW</t>
  </si>
  <si>
    <t>CASINO TECHNOLOGY</t>
  </si>
  <si>
    <t>CT</t>
  </si>
  <si>
    <t>MYKONOS BINGO</t>
  </si>
  <si>
    <t>ANCIENT TROPIC</t>
  </si>
  <si>
    <t>ANTRP</t>
  </si>
  <si>
    <t>CELEBRITY</t>
  </si>
  <si>
    <t>CELE</t>
  </si>
  <si>
    <t>NEW MANIA</t>
  </si>
  <si>
    <t>NWM</t>
  </si>
  <si>
    <t>ARTIC BLAST</t>
  </si>
  <si>
    <t>ARTB</t>
  </si>
  <si>
    <t>PRIZE UP</t>
  </si>
  <si>
    <t>CV GAMES</t>
  </si>
  <si>
    <t>CV G</t>
  </si>
  <si>
    <t>NEW TRIPLE</t>
  </si>
  <si>
    <t>NT</t>
  </si>
  <si>
    <t>BASKETBALL BINGO</t>
  </si>
  <si>
    <t>BKTB</t>
  </si>
  <si>
    <t>PRIZE UP DOBLE BONUS</t>
  </si>
  <si>
    <t>PZUPDB</t>
  </si>
  <si>
    <t>CYBERVIEW</t>
  </si>
  <si>
    <t>CYB</t>
  </si>
  <si>
    <t>NIGHT BINGO</t>
  </si>
  <si>
    <t>NBNG</t>
  </si>
  <si>
    <t>BINGO BLAST</t>
  </si>
  <si>
    <t>PRIZE UP GO DICE</t>
  </si>
  <si>
    <t>PZUPGDICE</t>
  </si>
  <si>
    <t>DEGESTEC</t>
  </si>
  <si>
    <t>OASIS BINGO</t>
  </si>
  <si>
    <t>OASIS</t>
  </si>
  <si>
    <t>BINGO BLAST BONUS</t>
  </si>
  <si>
    <t>BIBB</t>
  </si>
  <si>
    <t>DIGIDEAL</t>
  </si>
  <si>
    <t>DGD</t>
  </si>
  <si>
    <t>OK BINGO</t>
  </si>
  <si>
    <t>OB</t>
  </si>
  <si>
    <t>BINGO BLAST PIRATES</t>
  </si>
  <si>
    <t>BIBP</t>
  </si>
  <si>
    <t>RESTO FAM</t>
  </si>
  <si>
    <t>DIXPA GAMES</t>
  </si>
  <si>
    <t>DIXG</t>
  </si>
  <si>
    <t>OLE</t>
  </si>
  <si>
    <t>BINGO PILIPINO</t>
  </si>
  <si>
    <t>BEETLE BINGO (BDR)</t>
  </si>
  <si>
    <t>E-GAMING (MULTI JUEGOS)</t>
  </si>
  <si>
    <t>E-GAM</t>
  </si>
  <si>
    <t>PANDA SHOW</t>
  </si>
  <si>
    <t>BINGO RANCHO</t>
  </si>
  <si>
    <t>BEETLE JEWELS RED</t>
  </si>
  <si>
    <t>BEJR</t>
  </si>
  <si>
    <t>EIBE SLOTS OTIUM</t>
  </si>
  <si>
    <t>EIBE-SLTOTIUM</t>
  </si>
  <si>
    <t xml:space="preserve">PILIBINGO </t>
  </si>
  <si>
    <t>PB</t>
  </si>
  <si>
    <t>BINGO-GO</t>
  </si>
  <si>
    <t>BGO</t>
  </si>
  <si>
    <t>EIBE SLOTS</t>
  </si>
  <si>
    <t>EIBE-SLT</t>
  </si>
  <si>
    <t>RICO EL TOPO</t>
  </si>
  <si>
    <t>RET</t>
  </si>
  <si>
    <t>BINGOLICIOUS</t>
  </si>
  <si>
    <t>BLIC</t>
  </si>
  <si>
    <t>ENCORE</t>
  </si>
  <si>
    <t>RIMBA BINGO</t>
  </si>
  <si>
    <t>RIMB</t>
  </si>
  <si>
    <t>CASH CLOCK</t>
  </si>
  <si>
    <t>$CLK</t>
  </si>
  <si>
    <t>RODEO BINGO</t>
  </si>
  <si>
    <t>RODB</t>
  </si>
  <si>
    <t>CATCH THE GOLD</t>
  </si>
  <si>
    <t>CATG</t>
  </si>
  <si>
    <t>FIREWORKS FU RED</t>
  </si>
  <si>
    <t>FIREFUR</t>
  </si>
  <si>
    <t>EVERI</t>
  </si>
  <si>
    <t>EVER</t>
  </si>
  <si>
    <t>ROMA BINGO</t>
  </si>
  <si>
    <t>ROMB</t>
  </si>
  <si>
    <t>CHAMPION BINGO</t>
  </si>
  <si>
    <t>CHBIN</t>
  </si>
  <si>
    <t>FBM RODILLOS</t>
  </si>
  <si>
    <t>FBMRO</t>
  </si>
  <si>
    <t>ROYAL TRIPLE</t>
  </si>
  <si>
    <t>RT</t>
  </si>
  <si>
    <t>CHICHEN ITZA</t>
  </si>
  <si>
    <t>GAME MEDIA WORKS</t>
  </si>
  <si>
    <t>GMW</t>
  </si>
  <si>
    <t>SIX BINGO</t>
  </si>
  <si>
    <t>SIXB</t>
  </si>
  <si>
    <t>EASY MONEY BINGO</t>
  </si>
  <si>
    <t>EMB</t>
  </si>
  <si>
    <t>GAMES UNLIMITED</t>
  </si>
  <si>
    <t>GU</t>
  </si>
  <si>
    <t>SKY BONUS</t>
  </si>
  <si>
    <t>SKB</t>
  </si>
  <si>
    <t>GOLD FEVER</t>
  </si>
  <si>
    <t>GLDF</t>
  </si>
  <si>
    <t>GAMINATOR</t>
  </si>
  <si>
    <t>GTOR</t>
  </si>
  <si>
    <t>SMASH BINGO</t>
  </si>
  <si>
    <t>SMB</t>
  </si>
  <si>
    <t>GOLDEN BALL</t>
  </si>
  <si>
    <t>GBALL</t>
  </si>
  <si>
    <t>GOLDEN GAMING</t>
  </si>
  <si>
    <t>GGAM</t>
  </si>
  <si>
    <t>TAJ BINGO</t>
  </si>
  <si>
    <t>TAJ</t>
  </si>
  <si>
    <t>GOLDEN CITY</t>
  </si>
  <si>
    <t>GCT</t>
  </si>
  <si>
    <t>GOLDEN SYSTEM</t>
  </si>
  <si>
    <t>GSYM</t>
  </si>
  <si>
    <t>TOP PREMIUM</t>
  </si>
  <si>
    <t>TOP</t>
  </si>
  <si>
    <t>GOLDEN LUCK</t>
  </si>
  <si>
    <t>GLK</t>
  </si>
  <si>
    <t>GT SOURCE</t>
  </si>
  <si>
    <t>GTS</t>
  </si>
  <si>
    <t>TOWER LINK</t>
  </si>
  <si>
    <t>TLINK</t>
  </si>
  <si>
    <t>GOLDEN METROPOLIS</t>
  </si>
  <si>
    <t>GMET</t>
  </si>
  <si>
    <t>HEAL TECNOLOGY</t>
  </si>
  <si>
    <t>HTEC</t>
  </si>
  <si>
    <t>TRIPLE BONUS</t>
  </si>
  <si>
    <t>TB</t>
  </si>
  <si>
    <t>GOLDEN NEW YEAR</t>
  </si>
  <si>
    <t>GNWY</t>
  </si>
  <si>
    <t>ID GAMMING</t>
  </si>
  <si>
    <t>IDG</t>
  </si>
  <si>
    <t>TRIPLE BONUS PLUS</t>
  </si>
  <si>
    <t>HUNT BINGO</t>
  </si>
  <si>
    <t>HB</t>
  </si>
  <si>
    <t>TRIPLE BONUS PRIME</t>
  </si>
  <si>
    <t>TBPm</t>
  </si>
  <si>
    <t>ICE BLAST</t>
  </si>
  <si>
    <t>ICEB</t>
  </si>
  <si>
    <t>INCREDIBLE TECHNOLOGIES</t>
  </si>
  <si>
    <t>INCTECH</t>
  </si>
  <si>
    <t>TRIPLE EVOLUTION</t>
  </si>
  <si>
    <t>TE</t>
  </si>
  <si>
    <t>KINGDOM GEMS</t>
  </si>
  <si>
    <t>KGEMS</t>
  </si>
  <si>
    <t>INTERACTIVE</t>
  </si>
  <si>
    <t>INTER</t>
  </si>
  <si>
    <t>TRIPLE MANIA</t>
  </si>
  <si>
    <t>TM</t>
  </si>
  <si>
    <t>MAGIC CHAMPION</t>
  </si>
  <si>
    <t>MGCH</t>
  </si>
  <si>
    <t>INTERBLOCK</t>
  </si>
  <si>
    <t>INTB</t>
  </si>
  <si>
    <t>TRIPLE MANIA BONUS</t>
  </si>
  <si>
    <t>MAGIC MANIA</t>
  </si>
  <si>
    <t>MAGM</t>
  </si>
  <si>
    <t>INTERVISION</t>
  </si>
  <si>
    <t>INTV</t>
  </si>
  <si>
    <t>TRIPLE MANIA BONUS PLUS</t>
  </si>
  <si>
    <t>TMBP</t>
  </si>
  <si>
    <t>MALL MANIA</t>
  </si>
  <si>
    <t>MALLM</t>
  </si>
  <si>
    <t>ENERGY LINK</t>
  </si>
  <si>
    <t>JAMES</t>
  </si>
  <si>
    <t>JMES</t>
  </si>
  <si>
    <t>TRIPLE MANIA BONUS PRIME</t>
  </si>
  <si>
    <t>TMBPm</t>
  </si>
  <si>
    <t>MASSKARA BINGO</t>
  </si>
  <si>
    <t>MSKB</t>
  </si>
  <si>
    <t>JESTRE</t>
  </si>
  <si>
    <t>JES</t>
  </si>
  <si>
    <t>TRIPLE TURBO</t>
  </si>
  <si>
    <t>TT</t>
  </si>
  <si>
    <t>MAYA</t>
  </si>
  <si>
    <t>MY</t>
  </si>
  <si>
    <t>JVL</t>
  </si>
  <si>
    <t>VIKINGS GOLD</t>
  </si>
  <si>
    <t>VKG</t>
  </si>
  <si>
    <t>MEDIEVAL BINGO</t>
  </si>
  <si>
    <t>MDVB</t>
  </si>
  <si>
    <t>KONAMI</t>
  </si>
  <si>
    <t>KN</t>
  </si>
  <si>
    <t>WHITE TIGER BINGO</t>
  </si>
  <si>
    <t>WTB</t>
  </si>
  <si>
    <t>MEGA 25</t>
  </si>
  <si>
    <t>MG25</t>
  </si>
  <si>
    <t>LEGENDARY GAMING/BAUM GAMES</t>
  </si>
  <si>
    <t>BAUM</t>
  </si>
  <si>
    <t>TOTAL EIBE</t>
  </si>
  <si>
    <t>MEGA CHAMPION</t>
  </si>
  <si>
    <t>MCHAM</t>
  </si>
  <si>
    <t>TOTAL ENERGY LINK</t>
  </si>
  <si>
    <t>MERKUR</t>
  </si>
  <si>
    <t>TOTAL MUEBLE O-FUTURE</t>
  </si>
  <si>
    <t>O-FUT</t>
  </si>
  <si>
    <t>MULTI BINGO</t>
  </si>
  <si>
    <t>MULTI MEDIA GAMES</t>
  </si>
  <si>
    <t>MMG</t>
  </si>
  <si>
    <t>MULTI CHAMPION BONUS</t>
  </si>
  <si>
    <t>MCHB</t>
  </si>
  <si>
    <t>NOVOMATIC</t>
  </si>
  <si>
    <t>MULTI CHANCE</t>
  </si>
  <si>
    <t>ENERGY LINK 3x5</t>
  </si>
  <si>
    <t>OPERADORA CLASS LK</t>
  </si>
  <si>
    <t>CLASSLK</t>
  </si>
  <si>
    <t>20 GRATIS</t>
  </si>
  <si>
    <t>MULTI MEGA</t>
  </si>
  <si>
    <t>ENERGY LINK DOBLE BONUS</t>
  </si>
  <si>
    <t>ORION</t>
  </si>
  <si>
    <t>ORI</t>
  </si>
  <si>
    <t>ASTRAL</t>
  </si>
  <si>
    <t>ASTRA</t>
  </si>
  <si>
    <t>MULTI MEGA BONUS</t>
  </si>
  <si>
    <t>MMB</t>
  </si>
  <si>
    <t>ENERGY LINK P4 BONUS</t>
  </si>
  <si>
    <t>PAULA</t>
  </si>
  <si>
    <t>PAU</t>
  </si>
  <si>
    <t>AVE CAESAR GRATIS</t>
  </si>
  <si>
    <t>ACG</t>
  </si>
  <si>
    <t>MULTI MEGA ICE BLAST</t>
  </si>
  <si>
    <t>MMIB</t>
  </si>
  <si>
    <t>PRIOR 2 ARRIVAL</t>
  </si>
  <si>
    <t>P2A</t>
  </si>
  <si>
    <t>BINGO IMPERIUM XII</t>
  </si>
  <si>
    <t>IMP XII</t>
  </si>
  <si>
    <t>MULTI MEGA MILLONAIRE</t>
  </si>
  <si>
    <t>TOTAL ENERGY LINK 3x5</t>
  </si>
  <si>
    <t>PROMATIC</t>
  </si>
  <si>
    <t>PMAT</t>
  </si>
  <si>
    <t>BINGO TOP GRATIS</t>
  </si>
  <si>
    <t>BNTG</t>
  </si>
  <si>
    <t>MULTI PLUS</t>
  </si>
  <si>
    <t>RCT</t>
  </si>
  <si>
    <t>BOMBA MULTI GAME</t>
  </si>
  <si>
    <t>BMG</t>
  </si>
  <si>
    <t>MULTI PLUS BONUS</t>
  </si>
  <si>
    <t>MPB</t>
  </si>
  <si>
    <t>SB</t>
  </si>
  <si>
    <t>DOBLE GRATIS</t>
  </si>
  <si>
    <t>DMG</t>
  </si>
  <si>
    <t>PLUS 3</t>
  </si>
  <si>
    <t>ENERGY KING 3x4</t>
  </si>
  <si>
    <t>LIGHT &amp; WONDER</t>
  </si>
  <si>
    <t>DOBLE MANIA</t>
  </si>
  <si>
    <t>DM</t>
  </si>
  <si>
    <t>PLUS 3 BONUS</t>
  </si>
  <si>
    <t>P3B</t>
  </si>
  <si>
    <t>ENERGY KING TOP</t>
  </si>
  <si>
    <t>EK TOP</t>
  </si>
  <si>
    <t>SCORPIO GAMING INTERNATIONAL</t>
  </si>
  <si>
    <t>SGINT</t>
  </si>
  <si>
    <t>FUSION LINK</t>
  </si>
  <si>
    <t>FLINK</t>
  </si>
  <si>
    <t>PLUS 3 MULTI</t>
  </si>
  <si>
    <t>P3M</t>
  </si>
  <si>
    <t>ENERGY KING AQUA</t>
  </si>
  <si>
    <t>EK AQUA</t>
  </si>
  <si>
    <t>SEGA SAMMY CREATION</t>
  </si>
  <si>
    <t>SAMMY</t>
  </si>
  <si>
    <t>IMPERIUM</t>
  </si>
  <si>
    <t>RACINGO</t>
  </si>
  <si>
    <t>RACNG</t>
  </si>
  <si>
    <t>ENERGY KING MEX</t>
  </si>
  <si>
    <t>EK MEX</t>
  </si>
  <si>
    <t>SHOWBALL RODILLOS</t>
  </si>
  <si>
    <t>SHOWRO</t>
  </si>
  <si>
    <t>IMPERIUM GRATIS</t>
  </si>
  <si>
    <t>IMG</t>
  </si>
  <si>
    <t>ROCK STAR</t>
  </si>
  <si>
    <t>RKS</t>
  </si>
  <si>
    <t>ENERGY KING WEST</t>
  </si>
  <si>
    <t>EK WST</t>
  </si>
  <si>
    <t>SLEIC RODILLOS</t>
  </si>
  <si>
    <t>SLERO</t>
  </si>
  <si>
    <t>JOKER MEX</t>
  </si>
  <si>
    <t>JKM</t>
  </si>
  <si>
    <t>RUBINGO</t>
  </si>
  <si>
    <t>RBGO</t>
  </si>
  <si>
    <t xml:space="preserve">TOTAL ENERGY KING
</t>
  </si>
  <si>
    <t>SPIELO</t>
  </si>
  <si>
    <t>SPLO</t>
  </si>
  <si>
    <t>JOKER WIN</t>
  </si>
  <si>
    <t>JKW</t>
  </si>
  <si>
    <t>SANDS OF FORTUNE</t>
  </si>
  <si>
    <t>SOFE</t>
  </si>
  <si>
    <t>TECNOVISION</t>
  </si>
  <si>
    <t>TCNO</t>
  </si>
  <si>
    <t>L´AMOR</t>
  </si>
  <si>
    <t>L´A</t>
  </si>
  <si>
    <t>THE KING</t>
  </si>
  <si>
    <t>KNG</t>
  </si>
  <si>
    <t>VEGAVISION</t>
  </si>
  <si>
    <t>VEGA</t>
  </si>
  <si>
    <t>LA VIDENTE</t>
  </si>
  <si>
    <t>LAV</t>
  </si>
  <si>
    <t>TREASURE BINGO</t>
  </si>
  <si>
    <t>TRB</t>
  </si>
  <si>
    <t>ENERGY KING 3x5</t>
  </si>
  <si>
    <t>VGT</t>
  </si>
  <si>
    <t>LAST MANIA</t>
  </si>
  <si>
    <t>LM</t>
  </si>
  <si>
    <t>UNDERWATER RICHES</t>
  </si>
  <si>
    <t>UNDW</t>
  </si>
  <si>
    <t>WINPOT / DREIDEL SL</t>
  </si>
  <si>
    <t>WINPOTSL</t>
  </si>
  <si>
    <t>LONDON PLAY</t>
  </si>
  <si>
    <t>LONP</t>
  </si>
  <si>
    <t>VIVA MEXICO</t>
  </si>
  <si>
    <t>WIN SYSTEM</t>
  </si>
  <si>
    <t>MEPHISTOFELES</t>
  </si>
  <si>
    <t>MEPH</t>
  </si>
  <si>
    <t>VOLCANO</t>
  </si>
  <si>
    <t>VOLC</t>
  </si>
  <si>
    <t>OTROS SLOTS</t>
  </si>
  <si>
    <t>OTROS SL</t>
  </si>
  <si>
    <t>MEXICAN GAME</t>
  </si>
  <si>
    <t>MEXG</t>
  </si>
  <si>
    <t>TOTAL FBM</t>
  </si>
  <si>
    <t>TOTAL ENERGY KING 3x5</t>
  </si>
  <si>
    <t>MILLION +</t>
  </si>
  <si>
    <t>ML</t>
  </si>
  <si>
    <t>MULTI CHOICE</t>
  </si>
  <si>
    <t>MULTICH</t>
  </si>
  <si>
    <t>MULTI CLASSIC</t>
  </si>
  <si>
    <t>MCLS</t>
  </si>
  <si>
    <t>30 FUNNY CARS</t>
  </si>
  <si>
    <t>30FCRS</t>
  </si>
  <si>
    <t>TOTAL NO FUMAR</t>
  </si>
  <si>
    <t>PRIMA</t>
  </si>
  <si>
    <t>PRI</t>
  </si>
  <si>
    <t>ATLANTIS BINGO</t>
  </si>
  <si>
    <t>AB</t>
  </si>
  <si>
    <t>QUEEN ROULETTE</t>
  </si>
  <si>
    <t>QR</t>
  </si>
  <si>
    <t>BEACH FIESTA BINGO</t>
  </si>
  <si>
    <t>BCHF</t>
  </si>
  <si>
    <t>TNT</t>
  </si>
  <si>
    <t>BINGO BANG THEORY</t>
  </si>
  <si>
    <t>BBT</t>
  </si>
  <si>
    <t>TOP MANIA</t>
  </si>
  <si>
    <t>TOM</t>
  </si>
  <si>
    <t>BING BUZO</t>
  </si>
  <si>
    <t>BBUZO</t>
  </si>
  <si>
    <t>TABLA DE SIGNS BINGO</t>
  </si>
  <si>
    <t>TOT IMPERIUM</t>
  </si>
  <si>
    <t>BINGO DE LOS CIELOS</t>
  </si>
  <si>
    <t>BCIELOS</t>
  </si>
  <si>
    <t>XII CAESARES</t>
  </si>
  <si>
    <t>XII</t>
  </si>
  <si>
    <t>BINGO SAURUS</t>
  </si>
  <si>
    <t>BS</t>
  </si>
  <si>
    <t>TRIPLE X BOOM</t>
  </si>
  <si>
    <t>XXX B</t>
  </si>
  <si>
    <t>BINVADERS</t>
  </si>
  <si>
    <t>BINV</t>
  </si>
  <si>
    <t>TOTAL SIGNS SALA</t>
  </si>
  <si>
    <t>TOTAL METRONIA</t>
  </si>
  <si>
    <t>COPA CABANA</t>
  </si>
  <si>
    <t>COPC</t>
  </si>
  <si>
    <t>DIAMOND JACK</t>
  </si>
  <si>
    <t>DJ</t>
  </si>
  <si>
    <t xml:space="preserve">TOTAL FUMAR </t>
  </si>
  <si>
    <t>DOCTOR BINGO PLUS</t>
  </si>
  <si>
    <t>DBP</t>
  </si>
  <si>
    <t>DOUBLE SPEED</t>
  </si>
  <si>
    <t>DSPEED</t>
  </si>
  <si>
    <t>FRAMELESS</t>
  </si>
  <si>
    <t>CRAZY CACTUS BINGO</t>
  </si>
  <si>
    <t>CCB</t>
  </si>
  <si>
    <t>EL PESERO</t>
  </si>
  <si>
    <t>PESE</t>
  </si>
  <si>
    <t>DRAGON WIN 1 CARA</t>
  </si>
  <si>
    <t>SIGN DW-1</t>
  </si>
  <si>
    <t>DYNAMITE BINGO</t>
  </si>
  <si>
    <t>DYB</t>
  </si>
  <si>
    <t>FUNNY CARS</t>
  </si>
  <si>
    <t>FCRS</t>
  </si>
  <si>
    <t>ENERGY KING 1 CARA</t>
  </si>
  <si>
    <t>SIGN EK-1</t>
  </si>
  <si>
    <t>TOTAL JESTRONIC</t>
  </si>
  <si>
    <t>FUNNY CARS CLASSIC</t>
  </si>
  <si>
    <t>FCRC</t>
  </si>
  <si>
    <t>ENERGY LINK 1 CARA</t>
  </si>
  <si>
    <t>SIGN EL-1</t>
  </si>
  <si>
    <t>GRAN NATIONAL 20</t>
  </si>
  <si>
    <t>G20</t>
  </si>
  <si>
    <t>DRAGON WIN 2 CARAS</t>
  </si>
  <si>
    <t>SIGN DW-2</t>
  </si>
  <si>
    <t>GRAND NATIONAL</t>
  </si>
  <si>
    <t>GN</t>
  </si>
  <si>
    <t>ENERGY KING 2 CARAS</t>
  </si>
  <si>
    <t>SIGN EK-2</t>
  </si>
  <si>
    <t>R.FRANCO</t>
  </si>
  <si>
    <t>IMPERIAL BINGO</t>
  </si>
  <si>
    <t>IMB</t>
  </si>
  <si>
    <t>ENERGY LINK 2 CARAS</t>
  </si>
  <si>
    <t>SIGN EL-2</t>
  </si>
  <si>
    <t xml:space="preserve"> BINGO CARAMEL</t>
  </si>
  <si>
    <t>BC</t>
  </si>
  <si>
    <t>IMPERIAL PALACE</t>
  </si>
  <si>
    <t>IMP</t>
  </si>
  <si>
    <t>10 VECES BINGO</t>
  </si>
  <si>
    <t>10VB</t>
  </si>
  <si>
    <t>JOCKEY MANIA</t>
  </si>
  <si>
    <t>JOKCM</t>
  </si>
  <si>
    <t>BINGO LINK</t>
  </si>
  <si>
    <t>5 DIAMANTES</t>
  </si>
  <si>
    <t>5D</t>
  </si>
  <si>
    <t>LA MINA DE LA SUERTE 20</t>
  </si>
  <si>
    <t>MS20</t>
  </si>
  <si>
    <t>SIGN BLDW-1</t>
  </si>
  <si>
    <t>BON VOYAGE</t>
  </si>
  <si>
    <t>BV</t>
  </si>
  <si>
    <t>MAGIC 60</t>
  </si>
  <si>
    <t>MGC60</t>
  </si>
  <si>
    <t>SIGN BLEK-1</t>
  </si>
  <si>
    <t>CONECTA BINGO</t>
  </si>
  <si>
    <t>CB</t>
  </si>
  <si>
    <t>MULTI DRAGON</t>
  </si>
  <si>
    <t>MDRA</t>
  </si>
  <si>
    <t>SIGN BLEL-1</t>
  </si>
  <si>
    <t>CONFIDENTIAL</t>
  </si>
  <si>
    <t>CF</t>
  </si>
  <si>
    <t>MULTI JUEGO</t>
  </si>
  <si>
    <t>MULTJ</t>
  </si>
  <si>
    <t>SHOW TIME 1 CARA</t>
  </si>
  <si>
    <t>SIGN BLSWT-1</t>
  </si>
  <si>
    <t>RICH BINGO</t>
  </si>
  <si>
    <t>RCHB</t>
  </si>
  <si>
    <t>ORIGINAL BINGO</t>
  </si>
  <si>
    <t>OBGO</t>
  </si>
  <si>
    <t>TOTAL R.FRANCO</t>
  </si>
  <si>
    <t>ORIGINAL BINGO JAZZ</t>
  </si>
  <si>
    <t>OBGOJAZZ</t>
  </si>
  <si>
    <t>ENERGY KING / ENERGY LINK 2 CARAS</t>
  </si>
  <si>
    <t>PLUS MANIA</t>
  </si>
  <si>
    <t>PMANIA</t>
  </si>
  <si>
    <t>SIGN BLEK-2</t>
  </si>
  <si>
    <t>MAGIC CHINA</t>
  </si>
  <si>
    <t>MCHINA</t>
  </si>
  <si>
    <t>SIGN BLEL-2</t>
  </si>
  <si>
    <t>RA MANIA</t>
  </si>
  <si>
    <t>SHOW TIME 2 CARAS</t>
  </si>
  <si>
    <t>SIGN BLSWT-2</t>
  </si>
  <si>
    <t>CANDY PRIZE</t>
  </si>
  <si>
    <t>CNYPRZ</t>
  </si>
  <si>
    <t>SAFARI RACE</t>
  </si>
  <si>
    <t>SR</t>
  </si>
  <si>
    <t>DRAGON WIN / LINK ME 2 CARAS</t>
  </si>
  <si>
    <t>SIGN BLDW/LM-2</t>
  </si>
  <si>
    <t>DREIDEL</t>
  </si>
  <si>
    <t>SATURN 8</t>
  </si>
  <si>
    <t>S8</t>
  </si>
  <si>
    <t>DRAGON WIN/ ENERGY KING 2 CARAS</t>
  </si>
  <si>
    <t>SIGN BLDW/EK-2</t>
  </si>
  <si>
    <t>FIRE AND ICE</t>
  </si>
  <si>
    <t>FANDI</t>
  </si>
  <si>
    <t>SPIN GOAL</t>
  </si>
  <si>
    <t>SPGOAL</t>
  </si>
  <si>
    <t>DRAGON WIN/ ENERGY LINK 2 CARAS</t>
  </si>
  <si>
    <t>SIGN BLDW/EL-2</t>
  </si>
  <si>
    <t>FIRE LINK</t>
  </si>
  <si>
    <t>FRELK</t>
  </si>
  <si>
    <t>STORM LINK</t>
  </si>
  <si>
    <t>STRLINK</t>
  </si>
  <si>
    <t>DRAGON WIN / SHOW TIME FASE 5  2 CARAS</t>
  </si>
  <si>
    <t>SIGN BLDW/STF5-2</t>
  </si>
  <si>
    <t>FREDDY WHEEL BINGO</t>
  </si>
  <si>
    <t>FREDWBINGO</t>
  </si>
  <si>
    <t>SWEET BINGO</t>
  </si>
  <si>
    <t>SWEETB</t>
  </si>
  <si>
    <t>JA PON PON</t>
  </si>
  <si>
    <t>JPON</t>
  </si>
  <si>
    <t>SWITCH LINK</t>
  </si>
  <si>
    <t>STLINK</t>
  </si>
  <si>
    <t>LUCKY DRAGON</t>
  </si>
  <si>
    <t>LKYDRGN</t>
  </si>
  <si>
    <t>TIME 4 BONUS</t>
  </si>
  <si>
    <t>T4B</t>
  </si>
  <si>
    <t>SIGN BPDW-1</t>
  </si>
  <si>
    <t>LUCKY WIZARD</t>
  </si>
  <si>
    <t>LKYWRD</t>
  </si>
  <si>
    <t>WONDER BINGO</t>
  </si>
  <si>
    <t>WBING</t>
  </si>
  <si>
    <t>SIGN BPEK-1</t>
  </si>
  <si>
    <t>MARDI JAZZ</t>
  </si>
  <si>
    <t>MARDIJ</t>
  </si>
  <si>
    <t>YETI (ICE CREAM)</t>
  </si>
  <si>
    <t>YETI</t>
  </si>
  <si>
    <t>SIGN BPEL-1</t>
  </si>
  <si>
    <t>SEA FORTUNES</t>
  </si>
  <si>
    <t>SEAFORT</t>
  </si>
  <si>
    <t>TOTAL SLEIC</t>
  </si>
  <si>
    <t>SIGN BPDW-2</t>
  </si>
  <si>
    <t>THE 7 KINGDOMS</t>
  </si>
  <si>
    <t>7KDOMS</t>
  </si>
  <si>
    <t>SIGN BPEK-2</t>
  </si>
  <si>
    <t>TINO</t>
  </si>
  <si>
    <t>SIGN BPEL-2</t>
  </si>
  <si>
    <t>TINO 60s</t>
  </si>
  <si>
    <t>TINO60s</t>
  </si>
  <si>
    <t xml:space="preserve">PACHINKO </t>
  </si>
  <si>
    <t>PKI</t>
  </si>
  <si>
    <t>TINO CHINA</t>
  </si>
  <si>
    <t>PACHINKO II</t>
  </si>
  <si>
    <t>PKII</t>
  </si>
  <si>
    <t>ZITRO</t>
  </si>
  <si>
    <t>WEST WEST BINGO</t>
  </si>
  <si>
    <t>WWBINGO</t>
  </si>
  <si>
    <t>TOTAL PACHINKO</t>
  </si>
  <si>
    <t>SIGN ZITRODW-1</t>
  </si>
  <si>
    <t>WINNING RAINBOWS</t>
  </si>
  <si>
    <t>WRBWS</t>
  </si>
  <si>
    <t>SIGN ZITRODW-2</t>
  </si>
  <si>
    <t>TOTAL WINPOT</t>
  </si>
  <si>
    <t>BINGO BINGO</t>
  </si>
  <si>
    <t>BINB</t>
  </si>
  <si>
    <t>ONIX</t>
  </si>
  <si>
    <t>BINGO DE LA PASION</t>
  </si>
  <si>
    <t>BPS</t>
  </si>
  <si>
    <t>SIGN ONIXDW-1</t>
  </si>
  <si>
    <t>JUKEBOX BINGO</t>
  </si>
  <si>
    <t>JBB</t>
  </si>
  <si>
    <t>SIGN ONIXDW-2</t>
  </si>
  <si>
    <t>SALSA BINGO</t>
  </si>
  <si>
    <t>SBO</t>
  </si>
  <si>
    <t>SUPER BET BINGO</t>
  </si>
  <si>
    <t>SBB</t>
  </si>
  <si>
    <t>ZOMBIE BINGO</t>
  </si>
  <si>
    <t>ZB</t>
  </si>
  <si>
    <t>TOTAL SABIA</t>
  </si>
  <si>
    <t>FLEX GAME</t>
  </si>
  <si>
    <t>FLXG</t>
  </si>
  <si>
    <t>HOT BINGO</t>
  </si>
  <si>
    <t>HBIN</t>
  </si>
  <si>
    <t>PARK BINGO</t>
  </si>
  <si>
    <t>PKB</t>
  </si>
  <si>
    <t>BLUEBERI</t>
  </si>
  <si>
    <t>STEEL BINGO</t>
  </si>
  <si>
    <t>STLB</t>
  </si>
  <si>
    <t>TOTAL BLUBERI</t>
  </si>
  <si>
    <t>SUPER BOLA</t>
  </si>
  <si>
    <t>SUPB</t>
  </si>
  <si>
    <t>TOTAL RCT</t>
  </si>
  <si>
    <t>TOTAL SHOWBALL</t>
  </si>
  <si>
    <t>DOUBLIN BINGO</t>
  </si>
  <si>
    <t>DOUBB</t>
  </si>
  <si>
    <t>TOUCH THE GOLD BINGO</t>
  </si>
  <si>
    <t>TTGB</t>
  </si>
  <si>
    <t>TOTAL LATINA WORLD GAMING</t>
  </si>
  <si>
    <t>VIVA</t>
  </si>
  <si>
    <t>TOTAL INTERVISION</t>
  </si>
  <si>
    <t>JALAPEÑO</t>
  </si>
  <si>
    <t>JPÑO</t>
  </si>
  <si>
    <t>BINGO BRAVO</t>
  </si>
  <si>
    <t>BBRAVO</t>
  </si>
  <si>
    <t>AEROBINGO</t>
  </si>
  <si>
    <t>AEROB</t>
  </si>
  <si>
    <t>PIRATES</t>
  </si>
  <si>
    <t>PIR</t>
  </si>
  <si>
    <t>TOTAL JCB GAMING</t>
  </si>
  <si>
    <t>LUCHA LIBRE</t>
  </si>
  <si>
    <t>LLIBRE</t>
  </si>
  <si>
    <t>SONORA DESERT</t>
  </si>
  <si>
    <t>SDESERT</t>
  </si>
  <si>
    <t>TESORO DEL ARTICO</t>
  </si>
  <si>
    <t>TARTICO</t>
  </si>
  <si>
    <t>MAXCOTA</t>
  </si>
  <si>
    <t>MXTA</t>
  </si>
  <si>
    <t>TROPICANA</t>
  </si>
  <si>
    <t>TROPIC</t>
  </si>
  <si>
    <t>MONSTER</t>
  </si>
  <si>
    <t>MNST</t>
  </si>
  <si>
    <t>POKER REVOLUTION</t>
  </si>
  <si>
    <t>PKREV</t>
  </si>
  <si>
    <t>ROYAL BINGO</t>
  </si>
  <si>
    <t>RYBG</t>
  </si>
  <si>
    <t>BLACK JACK</t>
  </si>
  <si>
    <t>BJ</t>
  </si>
  <si>
    <t>TROPI CALIENTE</t>
  </si>
  <si>
    <t>TRPC</t>
  </si>
  <si>
    <t>KENO</t>
  </si>
  <si>
    <t>KNO</t>
  </si>
  <si>
    <t>TOTAL AMBRA GAMING</t>
  </si>
  <si>
    <t>TOTAL DEGESTEC</t>
  </si>
  <si>
    <t>FIESTA DE FUEGO</t>
  </si>
  <si>
    <t>FFUEGO</t>
  </si>
  <si>
    <t>TOTAL KONAMI BINGO</t>
  </si>
  <si>
    <t>LIMITAZO</t>
  </si>
  <si>
    <t>SIGN BLEKBLEL-2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</si>
</sst>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&quot;$&quot;#,##0_);[Red]\(&quot;$&quot;#,##0\)"/>
    <numFmt numFmtId="171" formatCode="_-* #,##0\ _€_-;\-* #,##0\ _€_-;_-* &quot;-&quot;\ _€_-;_-@_-"/>
    <numFmt numFmtId="172" formatCode="h:mm;@"/>
    <numFmt numFmtId="173" formatCode="_(* #,##0_);_(* \(#,##0\);_(* &quot;-&quot;_);_(@_)"/>
    <numFmt numFmtId="174" formatCode="0000000"/>
  </numFmts>
  <fonts count="19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222222"/>
      <name val="Arial"/>
      <family val="2"/>
    </font>
    <font>
      <b/>
      <sz val="14"/>
      <color rgb="FF000000"/>
      <name val="Arial"/>
      <family val="2"/>
    </font>
    <font>
      <b/>
      <sz val="14"/>
      <color rgb="FF9E0400"/>
      <name val="Arial"/>
      <family val="2"/>
    </font>
    <font>
      <b/>
      <sz val="14"/>
      <color rgb="FF333F4F"/>
      <name val="Arial"/>
      <family val="2"/>
    </font>
    <font>
      <b/>
      <sz val="14"/>
      <color rgb="FF0070C0"/>
      <name val="Arial"/>
      <family val="2"/>
    </font>
    <font>
      <b/>
      <sz val="14"/>
      <color rgb="FF92D050"/>
      <name val="Arial"/>
      <family val="2"/>
    </font>
    <font>
      <b/>
      <sz val="14"/>
      <color theme="3" tint="-0.499984740745262"/>
      <name val="Arial"/>
      <family val="2"/>
    </font>
    <font>
      <b/>
      <sz val="14"/>
      <color rgb="FFFFC000"/>
      <name val="Arial"/>
      <family val="2"/>
    </font>
    <font>
      <b/>
      <sz val="14"/>
      <color rgb="FF222B35"/>
      <name val="Arial"/>
      <family val="2"/>
    </font>
    <font>
      <b/>
      <sz val="14"/>
      <color rgb="FFFF0000"/>
      <name val="Arial"/>
      <family val="2"/>
    </font>
    <font>
      <b/>
      <sz val="14"/>
      <color rgb="FF806000"/>
      <name val="Arial"/>
      <family val="2"/>
    </font>
    <font>
      <sz val="12"/>
      <name val="Arial"/>
      <family val="2"/>
    </font>
    <font>
      <b/>
      <sz val="14"/>
      <color theme="5"/>
      <name val="Arial"/>
      <family val="2"/>
    </font>
    <font>
      <b/>
      <sz val="14"/>
      <color rgb="FFFFFF00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b/>
      <sz val="18"/>
      <color theme="0"/>
      <name val="Calibri"/>
      <family val="2"/>
      <scheme val="minor"/>
    </font>
    <font>
      <b/>
      <sz val="26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name val="Arial"/>
      <family val="2"/>
    </font>
    <font>
      <b/>
      <sz val="14"/>
      <color indexed="10"/>
      <name val="Calibri"/>
      <family val="2"/>
    </font>
    <font>
      <b/>
      <sz val="12"/>
      <color rgb="FFFFFFFF"/>
      <name val="Arial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2"/>
      <color rgb="FF94CDDD"/>
      <name val="Arial"/>
      <family val="2"/>
    </font>
    <font>
      <b/>
      <sz val="12"/>
      <color rgb="FFFFFFFF"/>
      <name val="Calibri"/>
      <family val="2"/>
    </font>
    <font>
      <b/>
      <sz val="16"/>
      <color rgb="FFFFFFFF"/>
      <name val="Arial"/>
      <family val="2"/>
    </font>
    <font>
      <b/>
      <sz val="12"/>
      <color rgb="FFDBEEF3"/>
      <name val="Arial"/>
      <family val="2"/>
    </font>
    <font>
      <sz val="12"/>
      <color indexed="8"/>
      <name val="Calibri"/>
      <family val="2"/>
    </font>
    <font>
      <b/>
      <sz val="12"/>
      <color rgb="FF000000"/>
      <name val="Arial"/>
      <family val="2"/>
    </font>
    <font>
      <b/>
      <sz val="12"/>
      <color rgb="FFFABF8F"/>
      <name val="Calibri"/>
      <family val="2"/>
    </font>
    <font>
      <b/>
      <sz val="12"/>
      <color indexed="8"/>
      <name val="Calibri"/>
      <family val="2"/>
    </font>
    <font>
      <sz val="11"/>
      <color indexed="49"/>
      <name val="Calibri"/>
      <family val="2"/>
    </font>
    <font>
      <sz val="9"/>
      <name val="Arial"/>
      <family val="2"/>
    </font>
    <font>
      <sz val="9"/>
      <color indexed="9"/>
      <name val="Arial"/>
      <family val="2"/>
    </font>
    <font>
      <b/>
      <sz val="14"/>
      <color rgb="FFFF0000"/>
      <name val="Calibri"/>
      <family val="2"/>
    </font>
    <font>
      <b/>
      <sz val="16"/>
      <color indexed="8"/>
      <name val="Calibri"/>
      <family val="2"/>
    </font>
    <font>
      <b/>
      <sz val="10"/>
      <name val="Verdana"/>
      <family val="2"/>
    </font>
    <font>
      <b/>
      <sz val="12"/>
      <color indexed="10"/>
      <name val="Calibri"/>
      <family val="2"/>
    </font>
    <font>
      <b/>
      <sz val="14"/>
      <name val="Calibri"/>
      <family val="2"/>
    </font>
    <font>
      <b/>
      <sz val="12"/>
      <color rgb="FFFFFF00"/>
      <name val="Arial"/>
      <family val="2"/>
    </font>
    <font>
      <b/>
      <sz val="12"/>
      <color rgb="FF0F253F"/>
      <name val="Arial"/>
      <family val="2"/>
    </font>
    <font>
      <b/>
      <sz val="16"/>
      <color indexed="9"/>
      <name val="Calibri"/>
      <family val="2"/>
    </font>
    <font>
      <b/>
      <sz val="12"/>
      <color rgb="FFFF3F3F"/>
      <name val="Calibri"/>
      <family val="2"/>
    </font>
    <font>
      <b/>
      <sz val="16"/>
      <color rgb="FFFF0000"/>
      <name val="Calibri"/>
      <family val="2"/>
    </font>
    <font>
      <b/>
      <sz val="12"/>
      <color rgb="FFDDDDDD"/>
      <name val="Calibri"/>
      <family val="2"/>
    </font>
    <font>
      <b/>
      <sz val="12"/>
      <color theme="1"/>
      <name val="Arial"/>
      <family val="2"/>
    </font>
    <font>
      <b/>
      <sz val="12"/>
      <color theme="5"/>
      <name val="Arial"/>
      <family val="2"/>
    </font>
    <font>
      <b/>
      <sz val="14"/>
      <color indexed="9"/>
      <name val="Calibri"/>
      <family val="2"/>
    </font>
    <font>
      <b/>
      <sz val="18"/>
      <color rgb="FFFFFFFF"/>
      <name val="Calibri"/>
      <family val="2"/>
    </font>
    <font>
      <b/>
      <sz val="9"/>
      <color rgb="FF000000"/>
      <name val="Calibri"/>
      <family val="2"/>
    </font>
    <font>
      <b/>
      <sz val="10"/>
      <color indexed="9"/>
      <name val="Andale Mono"/>
    </font>
    <font>
      <b/>
      <sz val="9"/>
      <color indexed="16"/>
      <name val="Andale Mono"/>
    </font>
    <font>
      <b/>
      <sz val="16"/>
      <color rgb="FFFF0000"/>
      <name val="Verdana"/>
      <family val="2"/>
    </font>
    <font>
      <b/>
      <sz val="16"/>
      <color rgb="FFFF0000"/>
      <name val="Arial"/>
      <family val="2"/>
    </font>
    <font>
      <b/>
      <sz val="9"/>
      <name val="Calibri"/>
      <family val="2"/>
    </font>
    <font>
      <b/>
      <sz val="9"/>
      <color indexed="9"/>
      <name val="Andale Mono"/>
    </font>
    <font>
      <b/>
      <sz val="12"/>
      <color theme="2" tint="-0.749992370372631"/>
      <name val="Calibri"/>
      <family val="2"/>
      <scheme val="minor"/>
    </font>
    <font>
      <b/>
      <sz val="18"/>
      <color rgb="FFFF0000"/>
      <name val="Calibri"/>
      <family val="2"/>
    </font>
    <font>
      <b/>
      <sz val="12"/>
      <color rgb="FF3F3051"/>
      <name val="Arial"/>
      <family val="2"/>
    </font>
    <font>
      <b/>
      <sz val="16"/>
      <color rgb="FF00B0F0"/>
      <name val="Calibri"/>
      <family val="2"/>
    </font>
    <font>
      <b/>
      <sz val="14"/>
      <color rgb="FFFFFFFF"/>
      <name val="Calibri"/>
      <family val="2"/>
    </font>
    <font>
      <b/>
      <sz val="12"/>
      <color rgb="FF948A53"/>
      <name val="Arial"/>
      <family val="2"/>
    </font>
    <font>
      <b/>
      <sz val="12"/>
      <color rgb="FFFF0000"/>
      <name val="Verdana"/>
      <family val="2"/>
    </font>
    <font>
      <b/>
      <sz val="12"/>
      <color rgb="FF800080"/>
      <name val="Arial"/>
      <family val="2"/>
    </font>
    <font>
      <b/>
      <sz val="9"/>
      <color rgb="FFFFFFFF"/>
      <name val="Arial"/>
      <family val="2"/>
    </font>
    <font>
      <b/>
      <sz val="14"/>
      <color theme="0"/>
      <name val="Calibri"/>
      <family val="2"/>
    </font>
    <font>
      <b/>
      <sz val="14"/>
      <color rgb="FF0F253F"/>
      <name val="Arial"/>
      <family val="2"/>
    </font>
    <font>
      <b/>
      <sz val="12"/>
      <color rgb="FF75923B"/>
      <name val="Calibri"/>
      <family val="2"/>
    </font>
    <font>
      <b/>
      <sz val="8"/>
      <color indexed="16"/>
      <name val="Andale Mono"/>
    </font>
    <font>
      <b/>
      <sz val="12"/>
      <color indexed="9"/>
      <name val="Andale Mono"/>
    </font>
    <font>
      <b/>
      <sz val="12"/>
      <color theme="0"/>
      <name val="Calibri"/>
      <family val="2"/>
      <scheme val="minor"/>
    </font>
    <font>
      <b/>
      <sz val="11"/>
      <name val="Arial"/>
      <family val="2"/>
    </font>
    <font>
      <b/>
      <sz val="16"/>
      <name val="Arial"/>
      <family val="2"/>
    </font>
    <font>
      <sz val="9"/>
      <color indexed="8"/>
      <name val="Calibri"/>
      <family val="2"/>
    </font>
    <font>
      <b/>
      <sz val="12"/>
      <color rgb="FF4A4529"/>
      <name val="Calibri"/>
      <family val="2"/>
    </font>
    <font>
      <b/>
      <sz val="12"/>
      <color theme="0"/>
      <name val="Arial"/>
      <family val="2"/>
    </font>
    <font>
      <sz val="9"/>
      <color rgb="FF000000"/>
      <name val="Calibri"/>
      <family val="2"/>
    </font>
    <font>
      <b/>
      <sz val="11"/>
      <name val="Calibri"/>
      <family val="2"/>
    </font>
    <font>
      <b/>
      <sz val="14"/>
      <color rgb="FF00B0F0"/>
      <name val="Calibri"/>
      <family val="2"/>
    </font>
    <font>
      <b/>
      <sz val="10"/>
      <color indexed="9"/>
      <name val="Verdana"/>
      <family val="2"/>
    </font>
    <font>
      <b/>
      <sz val="16"/>
      <color rgb="FFFF3F3F"/>
      <name val="Andale Mono"/>
    </font>
    <font>
      <b/>
      <sz val="12"/>
      <color theme="8" tint="0.39994506668294322"/>
      <name val="Arial"/>
      <family val="2"/>
    </font>
    <font>
      <b/>
      <sz val="9"/>
      <name val="Andale Mono"/>
    </font>
    <font>
      <b/>
      <sz val="12"/>
      <color indexed="51"/>
      <name val="Andale Mono"/>
    </font>
    <font>
      <b/>
      <sz val="10"/>
      <name val="Andale Mono"/>
    </font>
    <font>
      <b/>
      <sz val="18"/>
      <color indexed="8"/>
      <name val="Andale Mono"/>
    </font>
    <font>
      <sz val="8"/>
      <name val="Verdana"/>
      <family val="2"/>
    </font>
    <font>
      <b/>
      <sz val="12"/>
      <name val="Andale Mono"/>
    </font>
    <font>
      <sz val="10"/>
      <name val="Verdana"/>
      <family val="2"/>
    </font>
    <font>
      <b/>
      <sz val="12"/>
      <color rgb="FFFF3F3F"/>
      <name val="Verdana"/>
      <family val="2"/>
    </font>
    <font>
      <b/>
      <sz val="16"/>
      <color rgb="FF000000"/>
      <name val="Arial"/>
      <family val="2"/>
    </font>
    <font>
      <b/>
      <sz val="16"/>
      <color indexed="10"/>
      <name val="Arial"/>
      <family val="2"/>
    </font>
    <font>
      <b/>
      <sz val="18"/>
      <color indexed="8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6"/>
      <name val="Calibri"/>
      <family val="2"/>
      <scheme val="minor"/>
    </font>
    <font>
      <b/>
      <sz val="16"/>
      <color theme="0"/>
      <name val="Symbol"/>
      <family val="1"/>
      <charset val="2"/>
    </font>
    <font>
      <sz val="3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6"/>
      <color theme="7" tint="0.3999755851924192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Arial"/>
      <family val="2"/>
    </font>
    <font>
      <b/>
      <sz val="20"/>
      <name val="Arial"/>
      <family val="2"/>
    </font>
    <font>
      <b/>
      <sz val="8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color theme="3" tint="0.39997558519241921"/>
      <name val="Calibri"/>
      <family val="2"/>
      <scheme val="minor"/>
    </font>
    <font>
      <b/>
      <sz val="12"/>
      <color theme="7" tint="-0.499984740745262"/>
      <name val="Arial"/>
      <family val="2"/>
    </font>
    <font>
      <b/>
      <sz val="12"/>
      <color theme="7" tint="0.3999755851924192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7030A0"/>
      <name val="Arial"/>
      <family val="2"/>
    </font>
    <font>
      <b/>
      <sz val="12"/>
      <color theme="3"/>
      <name val="Calibri"/>
      <family val="2"/>
      <scheme val="minor"/>
    </font>
    <font>
      <b/>
      <sz val="12"/>
      <color theme="9" tint="0.39997558519241921"/>
      <name val="Calibri"/>
      <family val="2"/>
      <scheme val="minor"/>
    </font>
    <font>
      <b/>
      <sz val="12"/>
      <color rgb="FFCC3300"/>
      <name val="Calibri"/>
      <family val="2"/>
      <scheme val="minor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rgb="FF990000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  <font>
      <b/>
      <sz val="12"/>
      <color rgb="FFDDDDDD"/>
      <name val="Calibri"/>
      <family val="2"/>
      <scheme val="minor"/>
    </font>
    <font>
      <sz val="14"/>
      <color theme="1"/>
      <name val="Arial"/>
      <family val="2"/>
    </font>
    <font>
      <b/>
      <sz val="12"/>
      <color rgb="FFFF9900"/>
      <name val="Arial"/>
      <family val="2"/>
    </font>
    <font>
      <b/>
      <sz val="12"/>
      <color theme="9"/>
      <name val="Arial"/>
      <family val="2"/>
    </font>
    <font>
      <b/>
      <sz val="12"/>
      <color theme="8" tint="0.79998168889431442"/>
      <name val="Arial"/>
      <family val="2"/>
    </font>
    <font>
      <b/>
      <sz val="12"/>
      <color rgb="FFFFC000"/>
      <name val="Arial"/>
      <family val="2"/>
    </font>
    <font>
      <b/>
      <sz val="12"/>
      <color rgb="FFC00000"/>
      <name val="Arial"/>
      <family val="2"/>
    </font>
    <font>
      <b/>
      <sz val="12"/>
      <color rgb="FFCC9900"/>
      <name val="Arial"/>
      <family val="2"/>
    </font>
    <font>
      <b/>
      <sz val="12"/>
      <color rgb="FF0070C0"/>
      <name val="Arial"/>
      <family val="2"/>
    </font>
    <font>
      <b/>
      <sz val="12"/>
      <color theme="3" tint="-0.499984740745262"/>
      <name val="Arial"/>
      <family val="2"/>
    </font>
    <font>
      <b/>
      <sz val="12"/>
      <color theme="2" tint="-0.499984740745262"/>
      <name val="Arial"/>
      <family val="2"/>
    </font>
    <font>
      <b/>
      <sz val="14"/>
      <color rgb="FFC00000"/>
      <name val="Arial"/>
      <family val="2"/>
    </font>
    <font>
      <b/>
      <sz val="12"/>
      <color rgb="FF00B0F0"/>
      <name val="Arial"/>
      <family val="2"/>
    </font>
    <font>
      <b/>
      <sz val="12"/>
      <color theme="5" tint="-0.499984740745262"/>
      <name val="Arial"/>
      <family val="2"/>
    </font>
    <font>
      <b/>
      <sz val="12"/>
      <color rgb="FFFF33CC"/>
      <name val="Arial"/>
      <family val="2"/>
    </font>
    <font>
      <b/>
      <sz val="12"/>
      <color rgb="FF3366FF"/>
      <name val="Arial"/>
      <family val="2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12"/>
      <color rgb="FF00B050"/>
      <name val="Arial"/>
      <family val="2"/>
    </font>
    <font>
      <sz val="12"/>
      <name val="Calibri"/>
      <family val="2"/>
      <scheme val="minor"/>
    </font>
    <font>
      <sz val="14"/>
      <color theme="8" tint="0.79998168889431442"/>
      <name val="Arial"/>
      <family val="2"/>
    </font>
    <font>
      <b/>
      <sz val="12"/>
      <color rgb="FF00FFFF"/>
      <name val="Arial"/>
      <family val="2"/>
    </font>
    <font>
      <b/>
      <sz val="12"/>
      <color theme="2"/>
      <name val="Arial"/>
      <family val="2"/>
    </font>
    <font>
      <b/>
      <sz val="12"/>
      <color theme="8" tint="-0.499984740745262"/>
      <name val="Arial"/>
      <family val="2"/>
    </font>
    <font>
      <b/>
      <sz val="12"/>
      <color theme="2" tint="-0.89999084444715716"/>
      <name val="Arial"/>
      <family val="2"/>
    </font>
  </fonts>
  <fills count="29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rgb="FFFF6000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BBD828"/>
        <bgColor indexed="64"/>
      </patternFill>
    </fill>
    <fill>
      <patternFill patternType="solid">
        <fgColor rgb="FFB57298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4BC0B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7470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0E939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A6936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A86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CD66F"/>
        <bgColor indexed="64"/>
      </patternFill>
    </fill>
    <fill>
      <gradientFill>
        <stop position="0">
          <color theme="8" tint="-0.25098422193060094"/>
        </stop>
        <stop position="0.5">
          <color theme="0" tint="-5.0965910824915313E-2"/>
        </stop>
        <stop position="1">
          <color theme="8" tint="-0.25098422193060094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8A5A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EA9DB"/>
        <bgColor indexed="64"/>
      </patternFill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patternFill patternType="solid">
        <fgColor rgb="FF333F4F"/>
        <bgColor indexed="64"/>
      </patternFill>
    </fill>
    <fill>
      <patternFill patternType="solid">
        <fgColor rgb="FF73EFEF"/>
        <bgColor indexed="64"/>
      </patternFill>
    </fill>
    <fill>
      <patternFill patternType="solid">
        <fgColor rgb="FFDA3F3D"/>
        <bgColor indexed="64"/>
      </patternFill>
    </fill>
    <fill>
      <patternFill patternType="solid">
        <fgColor rgb="FFC4984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70C0"/>
        <bgColor indexed="64"/>
      </patternFill>
    </fill>
    <fill>
      <gradientFill degree="90">
        <stop position="0">
          <color rgb="FFFFFF00"/>
        </stop>
        <stop position="0.5">
          <color rgb="FF00B0F0"/>
        </stop>
        <stop position="1">
          <color rgb="FFFFFF00"/>
        </stop>
      </gradientFill>
    </fill>
    <fill>
      <gradientFill degree="90">
        <stop position="0">
          <color rgb="FFFFFF00"/>
        </stop>
        <stop position="0.5">
          <color rgb="FF92D050"/>
        </stop>
        <stop position="1">
          <color rgb="FFFFFF00"/>
        </stop>
      </gradientFill>
    </fill>
    <fill>
      <patternFill patternType="lightUp">
        <fgColor rgb="FFE6B8B7"/>
        <bgColor theme="5" tint="0.39997558519241921"/>
      </patternFill>
    </fill>
    <fill>
      <patternFill patternType="lightDown">
        <fgColor theme="9"/>
        <bgColor theme="9" tint="0.39991454817346722"/>
      </patternFill>
    </fill>
    <fill>
      <patternFill patternType="lightTrellis">
        <fgColor theme="4" tint="-0.24994659260841701"/>
        <bgColor rgb="FFFFFF00"/>
      </patternFill>
    </fill>
    <fill>
      <patternFill patternType="gray0625">
        <fgColor theme="0"/>
        <bgColor rgb="FFC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68FD4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3366FF"/>
        <bgColor rgb="FF0066CC"/>
      </patternFill>
    </fill>
    <fill>
      <patternFill patternType="solid">
        <fgColor rgb="FF21596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rgb="FF800080"/>
      </patternFill>
    </fill>
    <fill>
      <patternFill patternType="solid">
        <fgColor rgb="FFFFFF00"/>
        <bgColor rgb="FFFFCC00"/>
      </patternFill>
    </fill>
    <fill>
      <patternFill patternType="solid">
        <fgColor rgb="FFABE2A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642523"/>
        <bgColor indexed="64"/>
      </patternFill>
    </fill>
    <fill>
      <patternFill patternType="gray0625">
        <fgColor rgb="FF96B3D7"/>
        <bgColor rgb="FF376092"/>
      </patternFill>
    </fill>
    <fill>
      <patternFill patternType="gray0625">
        <fgColor rgb="FF96B3D7"/>
        <bgColor rgb="FFFFFFFF"/>
      </patternFill>
    </fill>
    <fill>
      <patternFill patternType="solid">
        <fgColor theme="0" tint="-0.249977111117893"/>
        <bgColor rgb="FF003366"/>
      </patternFill>
    </fill>
    <fill>
      <patternFill patternType="solid">
        <fgColor rgb="FF00B050"/>
        <bgColor rgb="FFFFCC00"/>
      </patternFill>
    </fill>
    <fill>
      <patternFill patternType="solid">
        <fgColor rgb="FF92D050"/>
        <bgColor rgb="FFFFCC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FF9900"/>
        <bgColor rgb="FFFFCC00"/>
      </patternFill>
    </fill>
    <fill>
      <patternFill patternType="solid">
        <fgColor rgb="FF5F4979"/>
        <bgColor indexed="64"/>
      </patternFill>
    </fill>
    <fill>
      <patternFill patternType="solid">
        <fgColor rgb="FFFFCC00"/>
        <bgColor rgb="FFFF8080"/>
      </patternFill>
    </fill>
    <fill>
      <patternFill patternType="solid">
        <fgColor rgb="FF00FFFF"/>
        <bgColor rgb="FF008080"/>
      </patternFill>
    </fill>
    <fill>
      <patternFill patternType="solid">
        <fgColor rgb="FFBFBFBF"/>
        <bgColor rgb="FF000000"/>
      </patternFill>
    </fill>
    <fill>
      <patternFill patternType="solid">
        <fgColor rgb="FFFF0000"/>
        <bgColor rgb="FF993300"/>
      </patternFill>
    </fill>
    <fill>
      <patternFill patternType="solid">
        <fgColor rgb="FF4E6127"/>
        <bgColor indexed="64"/>
      </patternFill>
    </fill>
    <fill>
      <patternFill patternType="solid">
        <fgColor rgb="FFFFFFFF"/>
      </patternFill>
    </fill>
    <fill>
      <patternFill patternType="solid">
        <fgColor rgb="FF5181BD"/>
        <bgColor indexed="64"/>
      </patternFill>
    </fill>
    <fill>
      <patternFill patternType="gray0625">
        <fgColor rgb="FF96B3D7"/>
        <bgColor rgb="FF00B050"/>
      </patternFill>
    </fill>
    <fill>
      <patternFill patternType="solid">
        <fgColor rgb="FFFC9AD4"/>
        <bgColor indexed="64"/>
      </patternFill>
    </fill>
    <fill>
      <patternFill patternType="lightTrellis">
        <fgColor rgb="FF376092"/>
        <bgColor rgb="FFFFFF00"/>
      </patternFill>
    </fill>
    <fill>
      <patternFill patternType="gray0625">
        <fgColor rgb="FFFFFFFF"/>
        <bgColor rgb="FFC00000"/>
      </patternFill>
    </fill>
    <fill>
      <gradientFill degree="90">
        <stop position="0">
          <color theme="3" tint="0.80001220740379042"/>
        </stop>
        <stop position="1">
          <color rgb="FF4F81BD"/>
        </stop>
      </gradientFill>
    </fill>
    <fill>
      <patternFill patternType="lightDown">
        <fgColor rgb="FFF79544"/>
        <bgColor rgb="FFFABF8F"/>
      </patternFill>
    </fill>
    <fill>
      <patternFill patternType="solid">
        <fgColor rgb="FF99CCFF"/>
        <bgColor rgb="FFCCCCFF"/>
      </patternFill>
    </fill>
    <fill>
      <patternFill patternType="solid">
        <fgColor rgb="FF96373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003366"/>
        <bgColor rgb="FF333399"/>
      </patternFill>
    </fill>
    <fill>
      <gradientFill degree="180">
        <stop position="0">
          <color rgb="FFFF00FF"/>
        </stop>
        <stop position="1">
          <color theme="9" tint="-0.25098422193060094"/>
        </stop>
      </gradient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5D8F4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6" tint="-0.249977111117893"/>
        <bgColor rgb="FF003366"/>
      </patternFill>
    </fill>
    <fill>
      <gradientFill degree="90">
        <stop position="0">
          <color theme="8" tint="0.80001220740379042"/>
        </stop>
        <stop position="1">
          <color theme="5"/>
        </stop>
      </gradientFill>
    </fill>
    <fill>
      <patternFill patternType="solid">
        <fgColor rgb="FF800080"/>
        <bgColor rgb="FF800080"/>
      </patternFill>
    </fill>
    <fill>
      <gradientFill degree="270">
        <stop position="0">
          <color rgb="FFC00000"/>
        </stop>
        <stop position="1">
          <color theme="4" tint="-0.25098422193060094"/>
        </stop>
      </gradientFill>
    </fill>
    <fill>
      <patternFill patternType="solid">
        <fgColor rgb="FF00B0F0"/>
        <bgColor rgb="FF008080"/>
      </patternFill>
    </fill>
    <fill>
      <patternFill patternType="solid">
        <fgColor theme="0" tint="-0.34998626667073579"/>
        <bgColor rgb="FF003366"/>
      </patternFill>
    </fill>
    <fill>
      <patternFill patternType="solid">
        <fgColor rgb="FF66FFFF"/>
        <bgColor rgb="FF000000"/>
      </patternFill>
    </fill>
    <fill>
      <patternFill patternType="solid">
        <fgColor rgb="FFFF0000"/>
        <bgColor rgb="FFFFCC00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theme="3" tint="0.39997558519241921"/>
        <bgColor rgb="FFFFCC00"/>
      </patternFill>
    </fill>
    <fill>
      <gradientFill degree="135">
        <stop position="0">
          <color theme="0" tint="-0.49803155613879818"/>
        </stop>
        <stop position="1">
          <color theme="6" tint="0.80001220740379042"/>
        </stop>
      </gradientFill>
    </fill>
    <fill>
      <patternFill patternType="solid">
        <fgColor rgb="FF7030A0"/>
        <bgColor rgb="FFFFCC00"/>
      </patternFill>
    </fill>
    <fill>
      <patternFill patternType="solid">
        <fgColor rgb="FF66CCFF"/>
        <bgColor rgb="FFFFCC00"/>
      </patternFill>
    </fill>
    <fill>
      <gradientFill degree="90">
        <stop position="0">
          <color rgb="FF4F81BD"/>
        </stop>
        <stop position="1">
          <color theme="4" tint="0.59999389629810485"/>
        </stop>
      </gradientFill>
    </fill>
    <fill>
      <gradientFill degree="90">
        <stop position="0">
          <color theme="8" tint="0.80001220740379042"/>
        </stop>
        <stop position="1">
          <color theme="8" tint="-0.49803155613879818"/>
        </stop>
      </gradientFill>
    </fill>
    <fill>
      <patternFill patternType="solid">
        <fgColor theme="2" tint="-0.749992370372631"/>
        <bgColor indexed="64"/>
      </patternFill>
    </fill>
    <fill>
      <patternFill patternType="solid">
        <fgColor rgb="FFFC04D9"/>
        <bgColor indexed="64"/>
      </patternFill>
    </fill>
    <fill>
      <gradientFill degree="135">
        <stop position="0">
          <color rgb="FFFFFF00"/>
        </stop>
        <stop position="0.5">
          <color rgb="FF99FF33"/>
        </stop>
        <stop position="1">
          <color rgb="FFFFFF00"/>
        </stop>
      </gradient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rgb="FF0066CC"/>
      </patternFill>
    </fill>
    <fill>
      <patternFill patternType="solid">
        <fgColor theme="3" tint="0.59999389629810485"/>
        <bgColor rgb="FF008080"/>
      </patternFill>
    </fill>
    <fill>
      <gradientFill degree="90">
        <stop position="0">
          <color rgb="FFFF0000"/>
        </stop>
        <stop position="1">
          <color theme="4" tint="-0.25098422193060094"/>
        </stop>
      </gradientFill>
    </fill>
    <fill>
      <patternFill patternType="solid">
        <fgColor rgb="FF00B0F0"/>
        <bgColor rgb="FF0066CC"/>
      </patternFill>
    </fill>
    <fill>
      <gradientFill degree="270">
        <stop position="0">
          <color theme="9" tint="-0.25098422193060094"/>
        </stop>
        <stop position="1">
          <color theme="4"/>
        </stop>
      </gradientFill>
    </fill>
    <fill>
      <patternFill patternType="solid">
        <fgColor theme="2" tint="-0.499984740745262"/>
        <bgColor rgb="FF0066CC"/>
      </patternFill>
    </fill>
    <fill>
      <patternFill patternType="solid">
        <fgColor theme="8" tint="-0.249977111117893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theme="3" tint="-0.249977111117893"/>
        <bgColor rgb="FF0066CC"/>
      </patternFill>
    </fill>
    <fill>
      <patternFill patternType="solid">
        <fgColor theme="6" tint="0.59999389629810485"/>
        <bgColor rgb="FF0066CC"/>
      </patternFill>
    </fill>
    <fill>
      <patternFill patternType="solid">
        <fgColor rgb="FFC00000"/>
        <bgColor rgb="FF0066CC"/>
      </patternFill>
    </fill>
    <fill>
      <patternFill patternType="solid">
        <fgColor theme="3" tint="0.39997558519241921"/>
        <bgColor rgb="FF0066CC"/>
      </patternFill>
    </fill>
    <fill>
      <gradientFill degree="90">
        <stop position="0">
          <color rgb="FF00FFFF"/>
        </stop>
        <stop position="1">
          <color rgb="FFFF00FF"/>
        </stop>
      </gradient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  <fill>
      <gradientFill type="path" left="0.5" right="0.5" top="0.5" bottom="0.5">
        <stop position="0">
          <color rgb="FFFFFF99"/>
        </stop>
        <stop position="1">
          <color rgb="FF0070C0"/>
        </stop>
      </gradientFill>
    </fill>
    <fill>
      <patternFill patternType="solid">
        <fgColor theme="9"/>
        <bgColor auto="1"/>
      </patternFill>
    </fill>
    <fill>
      <patternFill patternType="solid">
        <fgColor rgb="FFFFFFFF"/>
        <bgColor rgb="FFFFCC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8000"/>
        <bgColor rgb="FF008080"/>
      </patternFill>
    </fill>
    <fill>
      <gradientFill degree="90">
        <stop position="0">
          <color theme="0" tint="-0.49803155613879818"/>
        </stop>
        <stop position="1">
          <color theme="6" tint="0.80001220740379042"/>
        </stop>
      </gradientFill>
    </fill>
    <fill>
      <gradientFill>
        <stop position="0">
          <color theme="8" tint="0.80001220740379042"/>
        </stop>
        <stop position="1">
          <color theme="4"/>
        </stop>
      </gradientFill>
    </fill>
    <fill>
      <gradientFill degree="90">
        <stop position="0">
          <color theme="2" tint="-0.49803155613879818"/>
        </stop>
        <stop position="1">
          <color theme="6" tint="0.80001220740379042"/>
        </stop>
      </gradientFill>
    </fill>
    <fill>
      <patternFill patternType="solid">
        <fgColor rgb="FF4BACC6"/>
        <bgColor indexed="64"/>
      </patternFill>
    </fill>
    <fill>
      <patternFill patternType="solid">
        <fgColor rgb="FFE901C8"/>
        <bgColor indexed="64"/>
      </patternFill>
    </fill>
    <fill>
      <gradientFill degree="90">
        <stop position="0">
          <color theme="6" tint="0.40000610370189521"/>
        </stop>
        <stop position="1">
          <color theme="4"/>
        </stop>
      </gradientFill>
    </fill>
    <fill>
      <patternFill patternType="solid">
        <fgColor theme="1" tint="0.34998626667073579"/>
        <bgColor rgb="FF008080"/>
      </patternFill>
    </fill>
    <fill>
      <gradientFill degree="90">
        <stop position="0">
          <color theme="8" tint="-0.25098422193060094"/>
        </stop>
        <stop position="1">
          <color theme="6" tint="0.40000610370189521"/>
        </stop>
      </gradientFill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499984740745262"/>
        <bgColor rgb="FF003366"/>
      </patternFill>
    </fill>
    <fill>
      <patternFill patternType="solid">
        <fgColor theme="4" tint="-0.499984740745262"/>
        <bgColor rgb="FF003366"/>
      </patternFill>
    </fill>
    <fill>
      <gradientFill>
        <stop position="0">
          <color theme="8" tint="0.59999389629810485"/>
        </stop>
        <stop position="1">
          <color theme="9" tint="-0.49803155613879818"/>
        </stop>
      </gradientFill>
    </fill>
    <fill>
      <patternFill patternType="solid">
        <fgColor theme="5" tint="-0.249977111117893"/>
        <bgColor rgb="FF003366"/>
      </patternFill>
    </fill>
    <fill>
      <patternFill patternType="solid">
        <fgColor theme="9" tint="-0.249977111117893"/>
        <bgColor rgb="FFFFCC00"/>
      </patternFill>
    </fill>
    <fill>
      <patternFill patternType="solid">
        <fgColor rgb="FF0099FF"/>
        <bgColor indexed="64"/>
      </patternFill>
    </fill>
    <fill>
      <patternFill patternType="gray0625">
        <fgColor theme="4" tint="0.39994506668294322"/>
        <bgColor theme="4" tint="-0.24994659260841701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rgb="FF333399"/>
      </patternFill>
    </fill>
    <fill>
      <gradientFill degree="90">
        <stop position="0">
          <color theme="7" tint="0.80001220740379042"/>
        </stop>
        <stop position="1">
          <color theme="7" tint="-0.25098422193060094"/>
        </stop>
      </gradientFill>
    </fill>
    <fill>
      <gradientFill>
        <stop position="0">
          <color theme="8" tint="-0.49803155613879818"/>
        </stop>
        <stop position="0.5">
          <color rgb="FF00FFFF"/>
        </stop>
        <stop position="1">
          <color theme="8" tint="-0.49803155613879818"/>
        </stop>
      </gradientFill>
    </fill>
    <fill>
      <patternFill patternType="solid">
        <fgColor theme="7" tint="0.79998168889431442"/>
        <bgColor indexed="64"/>
      </patternFill>
    </fill>
    <fill>
      <gradientFill degree="180">
        <stop position="0">
          <color theme="1"/>
        </stop>
        <stop position="1">
          <color theme="6" tint="-0.25098422193060094"/>
        </stop>
      </gradientFill>
    </fill>
    <fill>
      <patternFill patternType="solid">
        <fgColor rgb="FF66FFFF"/>
        <bgColor indexed="64"/>
      </patternFill>
    </fill>
    <fill>
      <patternFill patternType="solid">
        <fgColor theme="6" tint="-0.499984740745262"/>
        <bgColor rgb="FF008080"/>
      </patternFill>
    </fill>
    <fill>
      <gradientFill>
        <stop position="0">
          <color theme="0"/>
        </stop>
        <stop position="1">
          <color theme="4"/>
        </stop>
      </gradientFill>
    </fill>
    <fill>
      <patternFill patternType="solid">
        <fgColor rgb="FF0070C0"/>
        <bgColor rgb="FF0066CC"/>
      </patternFill>
    </fill>
    <fill>
      <patternFill patternType="solid">
        <fgColor theme="5"/>
        <bgColor rgb="FFFFCC00"/>
      </patternFill>
    </fill>
    <fill>
      <gradientFill degree="45">
        <stop position="0">
          <color theme="9" tint="-0.25098422193060094"/>
        </stop>
        <stop position="1">
          <color rgb="FF92D050"/>
        </stop>
      </gradientFill>
    </fill>
    <fill>
      <patternFill patternType="solid">
        <fgColor rgb="FFFFFF00"/>
        <bgColor rgb="FFFF8080"/>
      </patternFill>
    </fill>
    <fill>
      <patternFill patternType="solid">
        <fgColor theme="8" tint="0.39997558519241921"/>
        <bgColor rgb="FF0066CC"/>
      </patternFill>
    </fill>
    <fill>
      <patternFill patternType="solid">
        <fgColor rgb="FF66CCFF"/>
        <bgColor auto="1"/>
      </patternFill>
    </fill>
    <fill>
      <patternFill patternType="solid">
        <fgColor theme="0" tint="-0.499984740745262"/>
        <bgColor rgb="FF0066CC"/>
      </patternFill>
    </fill>
    <fill>
      <patternFill patternType="solid">
        <fgColor rgb="FFFFC000"/>
        <bgColor rgb="FFFF8080"/>
      </patternFill>
    </fill>
    <fill>
      <patternFill patternType="solid">
        <fgColor theme="2" tint="-0.249977111117893"/>
        <bgColor rgb="FFFFCC00"/>
      </patternFill>
    </fill>
    <fill>
      <gradientFill degree="90">
        <stop position="0">
          <color rgb="FFFFC000"/>
        </stop>
        <stop position="0.5">
          <color rgb="FFFF9900"/>
        </stop>
        <stop position="1">
          <color rgb="FFFFC000"/>
        </stop>
      </gradientFill>
    </fill>
    <fill>
      <patternFill patternType="solid">
        <fgColor rgb="FFC00000"/>
        <bgColor rgb="FF993300"/>
      </patternFill>
    </fill>
    <fill>
      <patternFill patternType="solid">
        <fgColor theme="2" tint="-0.249977111117893"/>
        <bgColor indexed="64"/>
      </patternFill>
    </fill>
    <fill>
      <gradientFill>
        <stop position="0">
          <color rgb="FF00FFFF"/>
        </stop>
        <stop position="0.5">
          <color rgb="FF7CF91F"/>
        </stop>
        <stop position="1">
          <color rgb="FF00FFFF"/>
        </stop>
      </gradientFill>
    </fill>
    <fill>
      <patternFill patternType="solid">
        <fgColor theme="5" tint="0.59999389629810485"/>
        <bgColor indexed="64"/>
      </patternFill>
    </fill>
    <fill>
      <gradientFill degree="90">
        <stop position="0">
          <color rgb="FF4F81BD"/>
        </stop>
        <stop position="1">
          <color theme="2" tint="-0.25098422193060094"/>
        </stop>
      </gradientFill>
    </fill>
    <fill>
      <patternFill patternType="solid">
        <fgColor theme="3" tint="0.59999389629810485"/>
        <bgColor rgb="FF0066CC"/>
      </patternFill>
    </fill>
    <fill>
      <patternFill patternType="solid">
        <fgColor theme="5" tint="0.59999389629810485"/>
        <bgColor rgb="FF0066CC"/>
      </patternFill>
    </fill>
    <fill>
      <patternFill patternType="solid">
        <fgColor theme="6"/>
        <bgColor rgb="FF0066CC"/>
      </patternFill>
    </fill>
    <fill>
      <gradientFill degree="90">
        <stop position="0">
          <color theme="2"/>
        </stop>
        <stop position="1">
          <color rgb="FFFFFF99"/>
        </stop>
      </gradientFill>
    </fill>
    <fill>
      <gradientFill degree="135">
        <stop position="0">
          <color theme="0"/>
        </stop>
        <stop position="0.5">
          <color rgb="FFBBD828"/>
        </stop>
        <stop position="1">
          <color theme="0"/>
        </stop>
      </gradientFill>
    </fill>
    <fill>
      <patternFill patternType="solid">
        <fgColor theme="6" tint="-0.499984740745262"/>
        <bgColor rgb="FF0066CC"/>
      </patternFill>
    </fill>
    <fill>
      <patternFill patternType="solid">
        <fgColor theme="7"/>
        <bgColor rgb="FF000000"/>
      </patternFill>
    </fill>
    <fill>
      <patternFill patternType="solid">
        <fgColor theme="3" tint="0.39997558519241921"/>
        <bgColor indexed="64"/>
      </patternFill>
    </fill>
    <fill>
      <gradientFill type="path" degree="180" left="0.5" right="0.5" top="0.5" bottom="0.5">
        <stop position="0">
          <color rgb="FF00B050"/>
        </stop>
        <stop position="1">
          <color rgb="FFFFFF00"/>
        </stop>
      </gradientFill>
    </fill>
    <fill>
      <patternFill patternType="solid">
        <fgColor theme="9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lightTrellis">
        <fgColor theme="9"/>
        <bgColor theme="9" tint="-0.499984740745262"/>
      </patternFill>
    </fill>
    <fill>
      <patternFill patternType="solid">
        <fgColor theme="9" tint="-0.249977111117893"/>
        <bgColor rgb="FF0066CC"/>
      </patternFill>
    </fill>
    <fill>
      <patternFill patternType="gray0625">
        <fgColor auto="1"/>
        <bgColor rgb="FFFF0000"/>
      </patternFill>
    </fill>
    <fill>
      <patternFill patternType="solid">
        <fgColor rgb="FF0066FF"/>
        <bgColor rgb="FF0066CC"/>
      </patternFill>
    </fill>
    <fill>
      <gradientFill degree="270">
        <stop position="0">
          <color rgb="FF00B050"/>
        </stop>
        <stop position="1">
          <color theme="2"/>
        </stop>
      </gradientFill>
    </fill>
    <fill>
      <patternFill patternType="solid">
        <fgColor theme="4" tint="0.59999389629810485"/>
        <bgColor indexed="64"/>
      </patternFill>
    </fill>
    <fill>
      <gradientFill degree="45">
        <stop position="0">
          <color rgb="FFFF0000"/>
        </stop>
        <stop position="0.5">
          <color theme="9" tint="0.80001220740379042"/>
        </stop>
        <stop position="1">
          <color rgb="FFFF0000"/>
        </stop>
      </gradientFill>
    </fill>
    <fill>
      <gradientFill type="path" top="1" bottom="1">
        <stop position="0">
          <color theme="5"/>
        </stop>
        <stop position="1">
          <color rgb="FF00B0F0"/>
        </stop>
      </gradientFill>
    </fill>
    <fill>
      <patternFill patternType="solid">
        <fgColor theme="4" tint="0.39997558519241921"/>
        <bgColor rgb="FF0066CC"/>
      </patternFill>
    </fill>
    <fill>
      <patternFill patternType="solid">
        <fgColor theme="8" tint="0.79998168889431442"/>
        <bgColor auto="1"/>
      </patternFill>
    </fill>
    <fill>
      <gradientFill degree="45">
        <stop position="0">
          <color theme="0"/>
        </stop>
        <stop position="1">
          <color theme="2" tint="-0.25098422193060094"/>
        </stop>
      </gradientFill>
    </fill>
    <fill>
      <gradientFill type="path">
        <stop position="0">
          <color theme="9" tint="-0.25098422193060094"/>
        </stop>
        <stop position="1">
          <color rgb="FFFFFF00"/>
        </stop>
      </gradientFill>
    </fill>
    <fill>
      <patternFill patternType="solid">
        <fgColor theme="9" tint="0.79998168889431442"/>
        <bgColor rgb="FF0066CC"/>
      </patternFill>
    </fill>
    <fill>
      <gradientFill type="path" left="0.5" right="0.5" top="0.5" bottom="0.5">
        <stop position="0">
          <color theme="0"/>
        </stop>
        <stop position="1">
          <color rgb="FFFF0000"/>
        </stop>
      </gradientFill>
    </fill>
    <fill>
      <patternFill patternType="solid">
        <fgColor theme="4" tint="0.39997558519241921"/>
        <bgColor auto="1"/>
      </patternFill>
    </fill>
    <fill>
      <patternFill patternType="solid">
        <fgColor theme="7"/>
        <bgColor rgb="FF0066CC"/>
      </patternFill>
    </fill>
    <fill>
      <patternFill patternType="solid">
        <fgColor theme="7" tint="-0.499984740745262"/>
        <bgColor rgb="FF993300"/>
      </patternFill>
    </fill>
    <fill>
      <patternFill patternType="solid">
        <fgColor rgb="FF6699FF"/>
        <bgColor rgb="FF003366"/>
      </patternFill>
    </fill>
    <fill>
      <gradientFill degree="90">
        <stop position="0">
          <color theme="9" tint="-0.25098422193060094"/>
        </stop>
        <stop position="1">
          <color rgb="FFFFFF00"/>
        </stop>
      </gradientFill>
    </fill>
    <fill>
      <gradientFill type="path" top="1" bottom="1">
        <stop position="0">
          <color theme="8"/>
        </stop>
        <stop position="1">
          <color rgb="FF66FF66"/>
        </stop>
      </gradientFill>
    </fill>
    <fill>
      <patternFill patternType="solid">
        <fgColor theme="9" tint="0.59999389629810485"/>
        <bgColor rgb="FF008080"/>
      </patternFill>
    </fill>
    <fill>
      <gradientFill degree="45">
        <stop position="0">
          <color theme="8" tint="0.59999389629810485"/>
        </stop>
        <stop position="0.5">
          <color theme="8" tint="-0.25098422193060094"/>
        </stop>
        <stop position="1">
          <color theme="8" tint="0.59999389629810485"/>
        </stop>
      </gradientFill>
    </fill>
    <fill>
      <gradientFill>
        <stop position="0">
          <color theme="1"/>
        </stop>
        <stop position="0.5">
          <color rgb="FF99FF33"/>
        </stop>
        <stop position="1">
          <color theme="1"/>
        </stop>
      </gradientFill>
    </fill>
    <fill>
      <patternFill patternType="solid">
        <fgColor theme="7"/>
        <bgColor indexed="64"/>
      </patternFill>
    </fill>
    <fill>
      <gradientFill degree="225">
        <stop position="0">
          <color theme="8" tint="0.80001220740379042"/>
        </stop>
        <stop position="1">
          <color theme="3" tint="-0.25098422193060094"/>
        </stop>
      </gradientFill>
    </fill>
    <fill>
      <gradientFill degree="45">
        <stop position="0">
          <color theme="9" tint="0.80001220740379042"/>
        </stop>
        <stop position="0.5">
          <color rgb="FFFF9900"/>
        </stop>
        <stop position="1">
          <color theme="9" tint="0.80001220740379042"/>
        </stop>
      </gradientFill>
    </fill>
    <fill>
      <gradientFill type="path" left="0.5" right="0.5" top="0.5" bottom="0.5">
        <stop position="0">
          <color theme="9" tint="0.80001220740379042"/>
        </stop>
        <stop position="1">
          <color theme="9" tint="-0.25098422193060094"/>
        </stop>
      </gradientFill>
    </fill>
    <fill>
      <patternFill patternType="solid">
        <fgColor theme="5" tint="0.39997558519241921"/>
        <bgColor rgb="FF0066CC"/>
      </patternFill>
    </fill>
    <fill>
      <gradientFill degree="90">
        <stop position="0">
          <color rgb="FF99CC00"/>
        </stop>
        <stop position="0.5">
          <color rgb="FFCC99FF"/>
        </stop>
        <stop position="1">
          <color rgb="FF99CC00"/>
        </stop>
      </gradientFill>
    </fill>
    <fill>
      <gradientFill degree="90">
        <stop position="0">
          <color theme="2"/>
        </stop>
        <stop position="1">
          <color theme="8" tint="0.59999389629810485"/>
        </stop>
      </gradientFill>
    </fill>
    <fill>
      <gradientFill degree="90">
        <stop position="0">
          <color theme="6" tint="-0.25098422193060094"/>
        </stop>
        <stop position="1">
          <color rgb="FF00B050"/>
        </stop>
      </gradientFill>
    </fill>
    <fill>
      <gradientFill degree="270">
        <stop position="0">
          <color theme="7" tint="0.40000610370189521"/>
        </stop>
        <stop position="1">
          <color rgb="FF7030A0"/>
        </stop>
      </gradientFill>
    </fill>
    <fill>
      <patternFill patternType="solid">
        <fgColor rgb="FFB6DEE8"/>
        <bgColor auto="1"/>
      </patternFill>
    </fill>
    <fill>
      <patternFill patternType="solid">
        <fgColor theme="8"/>
        <bgColor auto="1"/>
      </patternFill>
    </fill>
    <fill>
      <gradientFill degree="90">
        <stop position="0">
          <color rgb="FFFFCC00"/>
        </stop>
        <stop position="0.5">
          <color rgb="FFFFFF99"/>
        </stop>
        <stop position="1">
          <color rgb="FFFFCC00"/>
        </stop>
      </gradientFill>
    </fill>
    <fill>
      <patternFill patternType="solid">
        <fgColor rgb="FFCC3300"/>
        <bgColor rgb="FF0066CC"/>
      </patternFill>
    </fill>
    <fill>
      <gradientFill degree="45">
        <stop position="0">
          <color theme="0"/>
        </stop>
        <stop position="0.5">
          <color theme="3" tint="0.59999389629810485"/>
        </stop>
        <stop position="1">
          <color theme="0"/>
        </stop>
      </gradientFill>
    </fill>
    <fill>
      <patternFill patternType="solid">
        <fgColor theme="6" tint="0.39997558519241921"/>
        <bgColor rgb="FF0066CC"/>
      </patternFill>
    </fill>
    <fill>
      <patternFill patternType="solid">
        <fgColor theme="8" tint="-0.249977111117893"/>
        <bgColor rgb="FF0066CC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rgb="FF0066CC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7" tint="0.59999389629810485"/>
        <bgColor rgb="FFFFCC00"/>
      </patternFill>
    </fill>
    <fill>
      <patternFill patternType="solid">
        <fgColor theme="4" tint="-0.249977111117893"/>
        <bgColor rgb="FF0066CC"/>
      </patternFill>
    </fill>
    <fill>
      <patternFill patternType="solid">
        <fgColor rgb="FF7030A0"/>
        <bgColor rgb="FF0066CC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rgb="FF9900CC"/>
        <bgColor rgb="FF000000"/>
      </patternFill>
    </fill>
    <fill>
      <gradientFill>
        <stop position="0">
          <color theme="0"/>
        </stop>
        <stop position="0.5">
          <color rgb="FFFF0000"/>
        </stop>
        <stop position="1">
          <color theme="0"/>
        </stop>
      </gradientFill>
    </fill>
    <fill>
      <patternFill patternType="solid">
        <fgColor theme="4" tint="0.79998168889431442"/>
        <bgColor rgb="FF000000"/>
      </patternFill>
    </fill>
    <fill>
      <gradientFill degree="90">
        <stop position="0">
          <color rgb="FFFFFF00"/>
        </stop>
        <stop position="1">
          <color rgb="FF00FFFF"/>
        </stop>
      </gradientFill>
    </fill>
    <fill>
      <patternFill patternType="solid">
        <fgColor theme="9" tint="0.39997558519241921"/>
        <bgColor rgb="FF000000"/>
      </patternFill>
    </fill>
    <fill>
      <gradientFill degree="90">
        <stop position="0">
          <color theme="2" tint="-9.8025452436902985E-2"/>
        </stop>
        <stop position="1">
          <color theme="2" tint="-0.74901577806939912"/>
        </stop>
      </gradientFill>
    </fill>
    <fill>
      <patternFill patternType="solid">
        <fgColor theme="0" tint="-0.249977111117893"/>
        <bgColor rgb="FF000000"/>
      </patternFill>
    </fill>
    <fill>
      <gradientFill degree="90">
        <stop position="0">
          <color rgb="FFFFFF00"/>
        </stop>
        <stop position="1">
          <color rgb="FFFF0000"/>
        </stop>
      </gradientFill>
    </fill>
    <fill>
      <patternFill patternType="solid">
        <fgColor theme="8" tint="-0.249977111117893"/>
        <bgColor rgb="FF000000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mediumDash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Dashed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Dashed">
        <color indexed="64"/>
      </left>
      <right/>
      <top style="thin">
        <color rgb="FF000000"/>
      </top>
      <bottom style="thin">
        <color rgb="FF000000"/>
      </bottom>
      <diagonal/>
    </border>
    <border>
      <left style="mediumDashed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Dashed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</borders>
  <cellStyleXfs count="2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4" fillId="20" borderId="0" applyNumberFormat="0" applyBorder="0" applyAlignment="0" applyProtection="0"/>
    <xf numFmtId="0" fontId="15" fillId="21" borderId="6" applyNumberFormat="0" applyAlignment="0" applyProtection="0"/>
    <xf numFmtId="0" fontId="16" fillId="22" borderId="7" applyNumberFormat="0" applyAlignment="0" applyProtection="0"/>
    <xf numFmtId="0" fontId="17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9" fillId="29" borderId="6" applyNumberFormat="0" applyAlignment="0" applyProtection="0"/>
    <xf numFmtId="0" fontId="5" fillId="0" borderId="0">
      <alignment vertical="top"/>
    </xf>
    <xf numFmtId="0" fontId="1" fillId="0" borderId="0"/>
    <xf numFmtId="0" fontId="8" fillId="30" borderId="0"/>
    <xf numFmtId="0" fontId="20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21" fillId="31" borderId="0" applyNumberFormat="0" applyBorder="0" applyAlignment="0" applyProtection="0"/>
    <xf numFmtId="168" fontId="5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5" fillId="0" borderId="0"/>
    <xf numFmtId="43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5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2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3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2" fillId="0" borderId="0"/>
    <xf numFmtId="0" fontId="10" fillId="0" borderId="0">
      <alignment vertical="center"/>
    </xf>
    <xf numFmtId="0" fontId="1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2" fillId="0" borderId="0"/>
    <xf numFmtId="0" fontId="5" fillId="0" borderId="0"/>
    <xf numFmtId="0" fontId="2" fillId="0" borderId="0">
      <alignment vertical="top"/>
    </xf>
    <xf numFmtId="0" fontId="2" fillId="0" borderId="0">
      <protection locked="0"/>
    </xf>
    <xf numFmtId="0" fontId="5" fillId="0" borderId="0"/>
    <xf numFmtId="0" fontId="5" fillId="0" borderId="0"/>
    <xf numFmtId="0" fontId="2" fillId="0" borderId="0">
      <alignment vertical="top"/>
    </xf>
    <xf numFmtId="0" fontId="5" fillId="0" borderId="0"/>
    <xf numFmtId="0" fontId="5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4" fillId="0" borderId="0" applyNumberFormat="0" applyBorder="0" applyProtection="0"/>
    <xf numFmtId="0" fontId="2" fillId="0" borderId="0">
      <alignment vertical="top"/>
    </xf>
    <xf numFmtId="0" fontId="2" fillId="0" borderId="0">
      <protection locked="0"/>
    </xf>
    <xf numFmtId="0" fontId="2" fillId="0" borderId="0"/>
    <xf numFmtId="0" fontId="2" fillId="0" borderId="0"/>
    <xf numFmtId="0" fontId="12" fillId="0" borderId="0"/>
    <xf numFmtId="0" fontId="24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2" fillId="0" borderId="0"/>
    <xf numFmtId="0" fontId="2" fillId="0" borderId="0">
      <protection locked="0"/>
    </xf>
    <xf numFmtId="0" fontId="12" fillId="0" borderId="0"/>
    <xf numFmtId="0" fontId="2" fillId="0" borderId="0">
      <alignment vertical="top"/>
    </xf>
    <xf numFmtId="0" fontId="5" fillId="0" borderId="0">
      <alignment vertical="top"/>
    </xf>
    <xf numFmtId="0" fontId="4" fillId="0" borderId="0">
      <alignment vertical="top"/>
    </xf>
    <xf numFmtId="0" fontId="5" fillId="0" borderId="0">
      <alignment vertical="top"/>
    </xf>
    <xf numFmtId="0" fontId="2" fillId="0" borderId="0">
      <alignment vertical="top"/>
    </xf>
    <xf numFmtId="0" fontId="5" fillId="0" borderId="0">
      <alignment vertical="top"/>
    </xf>
    <xf numFmtId="0" fontId="1" fillId="0" borderId="0"/>
    <xf numFmtId="0" fontId="2" fillId="0" borderId="0"/>
    <xf numFmtId="0" fontId="5" fillId="0" borderId="0"/>
    <xf numFmtId="0" fontId="1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5" fillId="0" borderId="0"/>
    <xf numFmtId="0" fontId="2" fillId="0" borderId="0">
      <alignment vertical="top"/>
    </xf>
    <xf numFmtId="0" fontId="11" fillId="0" borderId="0"/>
    <xf numFmtId="0" fontId="1" fillId="0" borderId="0"/>
    <xf numFmtId="0" fontId="12" fillId="0" borderId="0"/>
    <xf numFmtId="0" fontId="12" fillId="0" borderId="0"/>
    <xf numFmtId="0" fontId="2" fillId="0" borderId="0">
      <alignment vertical="top"/>
    </xf>
    <xf numFmtId="0" fontId="1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9" fillId="0" borderId="0"/>
    <xf numFmtId="0" fontId="12" fillId="33" borderId="9" applyNumberFormat="0" applyFont="0" applyAlignment="0" applyProtection="0"/>
    <xf numFmtId="0" fontId="12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5" fillId="21" borderId="10" applyNumberFormat="0" applyAlignment="0" applyProtection="0"/>
    <xf numFmtId="0" fontId="5" fillId="0" borderId="0">
      <alignment vertical="top"/>
    </xf>
    <xf numFmtId="0" fontId="5" fillId="0" borderId="0">
      <alignment vertical="top"/>
    </xf>
    <xf numFmtId="0" fontId="24" fillId="0" borderId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18" fillId="0" borderId="13" applyNumberFormat="0" applyFill="0" applyAlignment="0" applyProtection="0"/>
    <xf numFmtId="0" fontId="31" fillId="0" borderId="14" applyNumberFormat="0" applyFill="0" applyAlignment="0" applyProtection="0"/>
    <xf numFmtId="0" fontId="2" fillId="0" borderId="0">
      <protection locked="0"/>
    </xf>
    <xf numFmtId="0" fontId="11" fillId="0" borderId="0">
      <alignment vertical="top"/>
    </xf>
  </cellStyleXfs>
  <cellXfs count="1400">
    <xf numFmtId="0" fontId="0" fillId="0" borderId="0" xfId="0"/>
    <xf numFmtId="0" fontId="0" fillId="0" borderId="0" xfId="0" applyAlignment="1">
      <alignment horizontal="center"/>
    </xf>
    <xf numFmtId="0" fontId="45" fillId="66" borderId="1" xfId="150" applyFont="1" applyFill="1" applyBorder="1" applyAlignment="1">
      <alignment horizontal="center" vertical="center" shrinkToFit="1"/>
    </xf>
    <xf numFmtId="0" fontId="36" fillId="35" borderId="5" xfId="0" applyFont="1" applyFill="1" applyBorder="1" applyAlignment="1">
      <alignment horizontal="center" vertical="center"/>
    </xf>
    <xf numFmtId="0" fontId="36" fillId="37" borderId="17" xfId="0" applyFont="1" applyFill="1" applyBorder="1" applyAlignment="1">
      <alignment horizontal="center" vertical="center"/>
    </xf>
    <xf numFmtId="0" fontId="44" fillId="65" borderId="18" xfId="0" applyFont="1" applyFill="1" applyBorder="1" applyAlignment="1">
      <alignment horizontal="center" vertical="center"/>
    </xf>
    <xf numFmtId="0" fontId="36" fillId="63" borderId="17" xfId="0" applyFont="1" applyFill="1" applyBorder="1" applyAlignment="1">
      <alignment horizontal="center" vertical="center"/>
    </xf>
    <xf numFmtId="0" fontId="35" fillId="71" borderId="0" xfId="0" applyFont="1" applyFill="1" applyAlignment="1">
      <alignment horizontal="center" vertical="center"/>
    </xf>
    <xf numFmtId="0" fontId="36" fillId="62" borderId="19" xfId="0" applyFont="1" applyFill="1" applyBorder="1" applyAlignment="1">
      <alignment horizontal="center" vertical="center"/>
    </xf>
    <xf numFmtId="0" fontId="35" fillId="67" borderId="0" xfId="0" applyFont="1" applyFill="1" applyAlignment="1">
      <alignment horizontal="center" vertical="center"/>
    </xf>
    <xf numFmtId="0" fontId="36" fillId="51" borderId="20" xfId="0" applyFont="1" applyFill="1" applyBorder="1" applyAlignment="1">
      <alignment horizontal="center" vertical="center"/>
    </xf>
    <xf numFmtId="0" fontId="36" fillId="47" borderId="21" xfId="0" applyFont="1" applyFill="1" applyBorder="1" applyAlignment="1">
      <alignment horizontal="center" vertical="center"/>
    </xf>
    <xf numFmtId="0" fontId="41" fillId="52" borderId="17" xfId="0" applyFont="1" applyFill="1" applyBorder="1" applyAlignment="1">
      <alignment horizontal="center" vertical="center"/>
    </xf>
    <xf numFmtId="0" fontId="36" fillId="62" borderId="17" xfId="0" applyFont="1" applyFill="1" applyBorder="1" applyAlignment="1">
      <alignment horizontal="center" vertical="center"/>
    </xf>
    <xf numFmtId="0" fontId="39" fillId="43" borderId="18" xfId="0" applyFont="1" applyFill="1" applyBorder="1" applyAlignment="1">
      <alignment horizontal="center" vertical="center"/>
    </xf>
    <xf numFmtId="0" fontId="42" fillId="58" borderId="15" xfId="138" applyFont="1" applyFill="1" applyBorder="1" applyAlignment="1">
      <alignment horizontal="center" vertical="center" shrinkToFit="1"/>
    </xf>
    <xf numFmtId="0" fontId="35" fillId="55" borderId="18" xfId="0" applyFont="1" applyFill="1" applyBorder="1" applyAlignment="1">
      <alignment horizontal="center" vertical="center"/>
    </xf>
    <xf numFmtId="0" fontId="36" fillId="57" borderId="18" xfId="0" applyFont="1" applyFill="1" applyBorder="1" applyAlignment="1">
      <alignment horizontal="center" vertical="center"/>
    </xf>
    <xf numFmtId="0" fontId="35" fillId="36" borderId="18" xfId="0" applyFont="1" applyFill="1" applyBorder="1" applyAlignment="1">
      <alignment horizontal="center" vertical="center"/>
    </xf>
    <xf numFmtId="0" fontId="36" fillId="40" borderId="18" xfId="0" applyFont="1" applyFill="1" applyBorder="1" applyAlignment="1">
      <alignment horizontal="center" vertical="center"/>
    </xf>
    <xf numFmtId="0" fontId="45" fillId="72" borderId="18" xfId="0" applyFont="1" applyFill="1" applyBorder="1" applyAlignment="1">
      <alignment horizontal="center" vertical="center"/>
    </xf>
    <xf numFmtId="0" fontId="39" fillId="64" borderId="18" xfId="0" applyFont="1" applyFill="1" applyBorder="1" applyAlignment="1">
      <alignment horizontal="center" vertical="center"/>
    </xf>
    <xf numFmtId="0" fontId="36" fillId="59" borderId="18" xfId="0" applyFont="1" applyFill="1" applyBorder="1" applyAlignment="1">
      <alignment horizontal="center" vertical="center"/>
    </xf>
    <xf numFmtId="0" fontId="37" fillId="39" borderId="0" xfId="0" applyFont="1" applyFill="1" applyAlignment="1">
      <alignment horizontal="center" vertical="center"/>
    </xf>
    <xf numFmtId="0" fontId="35" fillId="42" borderId="18" xfId="0" applyFont="1" applyFill="1" applyBorder="1" applyAlignment="1">
      <alignment horizontal="center" vertical="center"/>
    </xf>
    <xf numFmtId="0" fontId="46" fillId="63" borderId="5" xfId="0" applyFont="1" applyFill="1" applyBorder="1" applyAlignment="1">
      <alignment horizontal="center" vertical="center"/>
    </xf>
    <xf numFmtId="0" fontId="35" fillId="48" borderId="21" xfId="0" applyFont="1" applyFill="1" applyBorder="1" applyAlignment="1">
      <alignment horizontal="center" vertical="center"/>
    </xf>
    <xf numFmtId="0" fontId="36" fillId="68" borderId="22" xfId="0" applyFont="1" applyFill="1" applyBorder="1" applyAlignment="1">
      <alignment horizontal="center" vertical="center"/>
    </xf>
    <xf numFmtId="0" fontId="35" fillId="70" borderId="17" xfId="0" applyFont="1" applyFill="1" applyBorder="1" applyAlignment="1">
      <alignment horizontal="center" vertical="center"/>
    </xf>
    <xf numFmtId="0" fontId="35" fillId="41" borderId="18" xfId="0" applyFont="1" applyFill="1" applyBorder="1" applyAlignment="1">
      <alignment horizontal="center" vertical="center"/>
    </xf>
    <xf numFmtId="0" fontId="40" fillId="35" borderId="21" xfId="0" applyFont="1" applyFill="1" applyBorder="1" applyAlignment="1">
      <alignment horizontal="center" vertical="center"/>
    </xf>
    <xf numFmtId="0" fontId="35" fillId="52" borderId="18" xfId="0" applyFont="1" applyFill="1" applyBorder="1" applyAlignment="1">
      <alignment horizontal="center" vertical="center"/>
    </xf>
    <xf numFmtId="0" fontId="43" fillId="61" borderId="18" xfId="0" applyFont="1" applyFill="1" applyBorder="1" applyAlignment="1">
      <alignment horizontal="center" vertical="center"/>
    </xf>
    <xf numFmtId="0" fontId="35" fillId="34" borderId="18" xfId="0" applyFont="1" applyFill="1" applyBorder="1" applyAlignment="1">
      <alignment horizontal="center" vertical="center"/>
    </xf>
    <xf numFmtId="0" fontId="35" fillId="54" borderId="18" xfId="0" applyFont="1" applyFill="1" applyBorder="1" applyAlignment="1">
      <alignment horizontal="center" vertical="center"/>
    </xf>
    <xf numFmtId="0" fontId="35" fillId="44" borderId="18" xfId="0" applyFont="1" applyFill="1" applyBorder="1" applyAlignment="1">
      <alignment horizontal="center" vertical="center"/>
    </xf>
    <xf numFmtId="0" fontId="35" fillId="56" borderId="18" xfId="0" applyFont="1" applyFill="1" applyBorder="1" applyAlignment="1">
      <alignment horizontal="center" vertical="center"/>
    </xf>
    <xf numFmtId="0" fontId="35" fillId="46" borderId="18" xfId="0" applyFont="1" applyFill="1" applyBorder="1" applyAlignment="1">
      <alignment horizontal="center" vertical="center"/>
    </xf>
    <xf numFmtId="0" fontId="35" fillId="38" borderId="18" xfId="0" applyFont="1" applyFill="1" applyBorder="1" applyAlignment="1">
      <alignment horizontal="center" vertical="center"/>
    </xf>
    <xf numFmtId="0" fontId="35" fillId="53" borderId="17" xfId="0" applyFont="1" applyFill="1" applyBorder="1" applyAlignment="1">
      <alignment horizontal="center" vertical="center"/>
    </xf>
    <xf numFmtId="0" fontId="35" fillId="69" borderId="0" xfId="0" applyFont="1" applyFill="1" applyAlignment="1">
      <alignment horizontal="center" vertical="center"/>
    </xf>
    <xf numFmtId="0" fontId="38" fillId="49" borderId="0" xfId="0" applyFont="1" applyFill="1" applyAlignment="1">
      <alignment horizontal="center" vertical="center"/>
    </xf>
    <xf numFmtId="0" fontId="35" fillId="69" borderId="17" xfId="0" applyFont="1" applyFill="1" applyBorder="1" applyAlignment="1">
      <alignment horizontal="center" vertical="center"/>
    </xf>
    <xf numFmtId="0" fontId="35" fillId="69" borderId="19" xfId="0" applyFont="1" applyFill="1" applyBorder="1" applyAlignment="1">
      <alignment horizontal="center" vertical="center"/>
    </xf>
    <xf numFmtId="0" fontId="35" fillId="45" borderId="0" xfId="0" applyFont="1" applyFill="1" applyAlignment="1">
      <alignment horizontal="center" vertical="center"/>
    </xf>
    <xf numFmtId="0" fontId="38" fillId="38" borderId="0" xfId="0" applyFont="1" applyFill="1" applyAlignment="1">
      <alignment horizontal="center" vertical="center"/>
    </xf>
    <xf numFmtId="0" fontId="35" fillId="50" borderId="0" xfId="0" applyFont="1" applyFill="1" applyAlignment="1">
      <alignment horizontal="center" vertical="center"/>
    </xf>
    <xf numFmtId="0" fontId="43" fillId="60" borderId="18" xfId="0" applyFont="1" applyFill="1" applyBorder="1" applyAlignment="1">
      <alignment horizontal="center" vertical="center"/>
    </xf>
    <xf numFmtId="0" fontId="48" fillId="73" borderId="15" xfId="138" applyFont="1" applyFill="1" applyBorder="1" applyAlignment="1">
      <alignment horizontal="center" vertical="center" shrinkToFit="1"/>
    </xf>
    <xf numFmtId="0" fontId="48" fillId="74" borderId="1" xfId="138" applyFont="1" applyFill="1" applyBorder="1" applyAlignment="1">
      <alignment horizontal="center" vertical="center" shrinkToFit="1"/>
    </xf>
    <xf numFmtId="0" fontId="43" fillId="55" borderId="23" xfId="150" applyFont="1" applyFill="1" applyBorder="1" applyAlignment="1">
      <alignment horizontal="center" vertical="center" shrinkToFit="1"/>
    </xf>
    <xf numFmtId="0" fontId="49" fillId="75" borderId="23" xfId="150" applyFont="1" applyFill="1" applyBorder="1" applyAlignment="1">
      <alignment horizontal="center" vertical="center" shrinkToFit="1"/>
    </xf>
    <xf numFmtId="0" fontId="42" fillId="76" borderId="24" xfId="138" applyFont="1" applyFill="1" applyBorder="1" applyAlignment="1">
      <alignment horizontal="center" vertical="center" shrinkToFit="1"/>
    </xf>
    <xf numFmtId="0" fontId="50" fillId="77" borderId="24" xfId="150" applyFont="1" applyFill="1" applyBorder="1" applyAlignment="1">
      <alignment horizontal="center" vertical="center" shrinkToFit="1"/>
    </xf>
    <xf numFmtId="0" fontId="51" fillId="78" borderId="1" xfId="150" applyFont="1" applyFill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82" borderId="0" xfId="0" applyFont="1" applyFill="1"/>
    <xf numFmtId="0" fontId="1" fillId="82" borderId="18" xfId="0" applyFont="1" applyFill="1" applyBorder="1"/>
    <xf numFmtId="0" fontId="1" fillId="0" borderId="18" xfId="0" applyFont="1" applyBorder="1"/>
    <xf numFmtId="0" fontId="55" fillId="83" borderId="26" xfId="131" applyFont="1" applyFill="1" applyBorder="1" applyAlignment="1">
      <alignment horizontal="center"/>
    </xf>
    <xf numFmtId="0" fontId="56" fillId="84" borderId="1" xfId="131" applyFont="1" applyFill="1" applyBorder="1" applyAlignment="1">
      <alignment horizontal="center"/>
    </xf>
    <xf numFmtId="0" fontId="23" fillId="0" borderId="27" xfId="0" applyFont="1" applyBorder="1" applyProtection="1">
      <protection locked="0"/>
    </xf>
    <xf numFmtId="0" fontId="23" fillId="0" borderId="28" xfId="0" applyFont="1" applyBorder="1" applyProtection="1">
      <protection locked="0"/>
    </xf>
    <xf numFmtId="0" fontId="57" fillId="85" borderId="1" xfId="138" applyFont="1" applyFill="1" applyBorder="1" applyAlignment="1">
      <alignment horizontal="center" vertical="center" shrinkToFit="1"/>
    </xf>
    <xf numFmtId="0" fontId="23" fillId="0" borderId="28" xfId="0" applyFont="1" applyBorder="1"/>
    <xf numFmtId="0" fontId="1" fillId="82" borderId="29" xfId="0" applyFont="1" applyFill="1" applyBorder="1" applyProtection="1">
      <protection locked="0"/>
    </xf>
    <xf numFmtId="0" fontId="1" fillId="82" borderId="30" xfId="0" applyFont="1" applyFill="1" applyBorder="1"/>
    <xf numFmtId="0" fontId="54" fillId="82" borderId="27" xfId="0" applyFont="1" applyFill="1" applyBorder="1" applyAlignment="1">
      <alignment vertical="center"/>
    </xf>
    <xf numFmtId="0" fontId="54" fillId="82" borderId="28" xfId="0" applyFont="1" applyFill="1" applyBorder="1" applyAlignment="1">
      <alignment vertical="center"/>
    </xf>
    <xf numFmtId="0" fontId="54" fillId="82" borderId="29" xfId="0" applyFont="1" applyFill="1" applyBorder="1" applyAlignment="1">
      <alignment vertical="center"/>
    </xf>
    <xf numFmtId="0" fontId="23" fillId="82" borderId="0" xfId="0" applyFont="1" applyFill="1" applyAlignment="1">
      <alignment horizontal="center" vertical="center"/>
    </xf>
    <xf numFmtId="0" fontId="23" fillId="0" borderId="30" xfId="0" applyFont="1" applyBorder="1" applyProtection="1">
      <protection locked="0"/>
    </xf>
    <xf numFmtId="0" fontId="23" fillId="0" borderId="0" xfId="0" applyFont="1" applyProtection="1">
      <protection locked="0"/>
    </xf>
    <xf numFmtId="0" fontId="58" fillId="0" borderId="0" xfId="250" applyFont="1" applyAlignment="1" applyProtection="1">
      <alignment horizontal="center" vertical="center"/>
    </xf>
    <xf numFmtId="0" fontId="59" fillId="0" borderId="0" xfId="0" applyFont="1" applyAlignment="1">
      <alignment horizontal="center"/>
    </xf>
    <xf numFmtId="0" fontId="1" fillId="82" borderId="0" xfId="0" applyFont="1" applyFill="1" applyProtection="1">
      <protection locked="0"/>
    </xf>
    <xf numFmtId="0" fontId="1" fillId="82" borderId="32" xfId="0" applyFont="1" applyFill="1" applyBorder="1" applyProtection="1">
      <protection locked="0"/>
    </xf>
    <xf numFmtId="0" fontId="54" fillId="82" borderId="30" xfId="0" applyFont="1" applyFill="1" applyBorder="1" applyAlignment="1">
      <alignment vertical="center"/>
    </xf>
    <xf numFmtId="0" fontId="54" fillId="82" borderId="0" xfId="0" applyFont="1" applyFill="1" applyAlignment="1">
      <alignment vertical="center"/>
    </xf>
    <xf numFmtId="0" fontId="54" fillId="82" borderId="32" xfId="0" applyFont="1" applyFill="1" applyBorder="1" applyAlignment="1">
      <alignment vertical="center"/>
    </xf>
    <xf numFmtId="0" fontId="59" fillId="86" borderId="1" xfId="142" applyFont="1" applyFill="1" applyBorder="1" applyAlignment="1" applyProtection="1">
      <alignment horizontal="center" vertical="center" shrinkToFit="1"/>
    </xf>
    <xf numFmtId="0" fontId="23" fillId="0" borderId="30" xfId="0" applyFont="1" applyBorder="1"/>
    <xf numFmtId="0" fontId="61" fillId="82" borderId="0" xfId="0" applyFont="1" applyFill="1" applyAlignment="1">
      <alignment horizontal="right" vertical="center"/>
    </xf>
    <xf numFmtId="0" fontId="62" fillId="0" borderId="0" xfId="0" applyFont="1" applyAlignment="1" applyProtection="1">
      <alignment horizontal="center" vertical="center"/>
      <protection locked="0"/>
    </xf>
    <xf numFmtId="0" fontId="61" fillId="0" borderId="0" xfId="0" applyFont="1" applyAlignment="1">
      <alignment horizontal="left" vertical="center"/>
    </xf>
    <xf numFmtId="0" fontId="54" fillId="0" borderId="0" xfId="0" applyFont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23" fillId="0" borderId="0" xfId="0" applyFont="1" applyAlignment="1" applyProtection="1">
      <alignment horizontal="left" vertical="center"/>
      <protection locked="0"/>
    </xf>
    <xf numFmtId="0" fontId="63" fillId="0" borderId="1" xfId="0" applyFont="1" applyBorder="1" applyAlignment="1">
      <alignment horizontal="center" vertical="center"/>
    </xf>
    <xf numFmtId="0" fontId="1" fillId="82" borderId="0" xfId="0" applyFont="1" applyFill="1" applyAlignment="1" applyProtection="1">
      <alignment horizontal="center" wrapText="1"/>
      <protection locked="0"/>
    </xf>
    <xf numFmtId="0" fontId="54" fillId="82" borderId="31" xfId="0" applyFont="1" applyFill="1" applyBorder="1" applyAlignment="1">
      <alignment vertical="center" textRotation="90"/>
    </xf>
    <xf numFmtId="0" fontId="54" fillId="82" borderId="34" xfId="0" applyFont="1" applyFill="1" applyBorder="1" applyAlignment="1">
      <alignment vertical="center" textRotation="90"/>
    </xf>
    <xf numFmtId="0" fontId="61" fillId="0" borderId="0" xfId="0" applyFont="1" applyAlignment="1">
      <alignment horizontal="center"/>
    </xf>
    <xf numFmtId="0" fontId="61" fillId="81" borderId="0" xfId="0" applyFont="1" applyFill="1" applyAlignment="1">
      <alignment horizontal="center"/>
    </xf>
    <xf numFmtId="0" fontId="1" fillId="0" borderId="30" xfId="0" applyFont="1" applyBorder="1" applyProtection="1">
      <protection locked="0"/>
    </xf>
    <xf numFmtId="0" fontId="64" fillId="87" borderId="16" xfId="0" applyFont="1" applyFill="1" applyBorder="1" applyAlignment="1">
      <alignment horizontal="center"/>
    </xf>
    <xf numFmtId="0" fontId="23" fillId="82" borderId="0" xfId="0" applyFont="1" applyFill="1"/>
    <xf numFmtId="0" fontId="35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58" fillId="81" borderId="0" xfId="250" applyFont="1" applyFill="1" applyAlignment="1" applyProtection="1">
      <alignment horizontal="center" vertical="center"/>
    </xf>
    <xf numFmtId="0" fontId="65" fillId="88" borderId="0" xfId="0" applyFont="1" applyFill="1" applyAlignment="1">
      <alignment horizontal="center" vertical="center"/>
    </xf>
    <xf numFmtId="0" fontId="66" fillId="52" borderId="35" xfId="142" applyFont="1" applyFill="1" applyBorder="1" applyAlignment="1" applyProtection="1">
      <alignment horizontal="center" vertical="center" shrinkToFit="1"/>
    </xf>
    <xf numFmtId="0" fontId="54" fillId="82" borderId="0" xfId="0" applyFont="1" applyFill="1" applyAlignment="1">
      <alignment horizontal="center" vertical="center"/>
    </xf>
    <xf numFmtId="0" fontId="61" fillId="82" borderId="0" xfId="0" applyFont="1" applyFill="1" applyAlignment="1" applyProtection="1">
      <alignment horizontal="right" vertical="center"/>
      <protection locked="0"/>
    </xf>
    <xf numFmtId="0" fontId="67" fillId="0" borderId="0" xfId="0" applyFont="1" applyAlignment="1" applyProtection="1">
      <alignment horizontal="center" vertical="center"/>
      <protection locked="0"/>
    </xf>
    <xf numFmtId="0" fontId="61" fillId="0" borderId="0" xfId="0" applyFont="1" applyAlignment="1" applyProtection="1">
      <alignment horizontal="left" vertical="center"/>
      <protection locked="0"/>
    </xf>
    <xf numFmtId="0" fontId="1" fillId="82" borderId="36" xfId="0" applyFont="1" applyFill="1" applyBorder="1"/>
    <xf numFmtId="0" fontId="35" fillId="34" borderId="1" xfId="0" applyFont="1" applyFill="1" applyBorder="1" applyAlignment="1">
      <alignment horizontal="center" vertical="center"/>
    </xf>
    <xf numFmtId="0" fontId="35" fillId="67" borderId="1" xfId="0" applyFont="1" applyFill="1" applyBorder="1" applyAlignment="1">
      <alignment horizontal="center" vertical="center"/>
    </xf>
    <xf numFmtId="0" fontId="46" fillId="63" borderId="1" xfId="0" applyFont="1" applyFill="1" applyBorder="1" applyAlignment="1">
      <alignment horizontal="center" vertical="center"/>
    </xf>
    <xf numFmtId="0" fontId="23" fillId="0" borderId="0" xfId="0" applyFont="1"/>
    <xf numFmtId="0" fontId="67" fillId="82" borderId="0" xfId="0" applyFont="1" applyFill="1" applyAlignment="1" applyProtection="1">
      <alignment horizontal="center" vertical="center"/>
      <protection locked="0"/>
    </xf>
    <xf numFmtId="0" fontId="1" fillId="82" borderId="31" xfId="0" applyFont="1" applyFill="1" applyBorder="1"/>
    <xf numFmtId="0" fontId="35" fillId="38" borderId="1" xfId="0" applyFont="1" applyFill="1" applyBorder="1" applyAlignment="1">
      <alignment horizontal="center" vertical="center"/>
    </xf>
    <xf numFmtId="0" fontId="35" fillId="45" borderId="1" xfId="0" applyFont="1" applyFill="1" applyBorder="1" applyAlignment="1">
      <alignment horizontal="center" vertical="center"/>
    </xf>
    <xf numFmtId="0" fontId="38" fillId="38" borderId="1" xfId="0" applyFont="1" applyFill="1" applyBorder="1" applyAlignment="1">
      <alignment horizontal="center" vertical="center"/>
    </xf>
    <xf numFmtId="0" fontId="66" fillId="52" borderId="16" xfId="142" applyFont="1" applyFill="1" applyBorder="1" applyAlignment="1" applyProtection="1">
      <alignment horizontal="center" vertical="center" shrinkToFit="1"/>
    </xf>
    <xf numFmtId="0" fontId="59" fillId="89" borderId="1" xfId="142" applyFont="1" applyFill="1" applyBorder="1" applyAlignment="1" applyProtection="1">
      <alignment horizontal="center" vertical="center" shrinkToFit="1"/>
    </xf>
    <xf numFmtId="0" fontId="68" fillId="90" borderId="1" xfId="142" applyFont="1" applyFill="1" applyBorder="1" applyAlignment="1" applyProtection="1">
      <alignment horizontal="center" vertical="center" shrinkToFit="1"/>
    </xf>
    <xf numFmtId="0" fontId="57" fillId="91" borderId="1" xfId="138" applyFont="1" applyFill="1" applyBorder="1" applyAlignment="1">
      <alignment horizontal="center" vertical="center" shrinkToFit="1"/>
    </xf>
    <xf numFmtId="0" fontId="1" fillId="82" borderId="34" xfId="0" applyFont="1" applyFill="1" applyBorder="1"/>
    <xf numFmtId="0" fontId="69" fillId="52" borderId="1" xfId="0" applyFont="1" applyFill="1" applyBorder="1" applyAlignment="1">
      <alignment horizontal="center"/>
    </xf>
    <xf numFmtId="0" fontId="54" fillId="82" borderId="37" xfId="0" applyFont="1" applyFill="1" applyBorder="1" applyAlignment="1">
      <alignment horizontal="center" vertical="center"/>
    </xf>
    <xf numFmtId="0" fontId="71" fillId="0" borderId="0" xfId="0" applyFont="1" applyProtection="1">
      <protection locked="0"/>
    </xf>
    <xf numFmtId="0" fontId="23" fillId="92" borderId="0" xfId="0" applyFont="1" applyFill="1" applyProtection="1">
      <protection locked="0"/>
    </xf>
    <xf numFmtId="0" fontId="72" fillId="82" borderId="0" xfId="0" applyFont="1" applyFill="1" applyProtection="1">
      <protection locked="0"/>
    </xf>
    <xf numFmtId="0" fontId="58" fillId="0" borderId="0" xfId="0" applyFont="1" applyProtection="1">
      <protection locked="0"/>
    </xf>
    <xf numFmtId="0" fontId="61" fillId="0" borderId="0" xfId="0" applyFont="1" applyAlignment="1" applyProtection="1">
      <alignment horizontal="center" vertical="center"/>
      <protection locked="0"/>
    </xf>
    <xf numFmtId="0" fontId="73" fillId="82" borderId="0" xfId="0" applyFont="1" applyFill="1" applyAlignment="1" applyProtection="1">
      <alignment horizontal="center"/>
      <protection locked="0"/>
    </xf>
    <xf numFmtId="0" fontId="74" fillId="93" borderId="0" xfId="0" applyFont="1" applyFill="1" applyAlignment="1" applyProtection="1">
      <alignment vertical="center"/>
      <protection locked="0"/>
    </xf>
    <xf numFmtId="0" fontId="58" fillId="93" borderId="0" xfId="250" applyFont="1" applyFill="1" applyAlignment="1" applyProtection="1">
      <alignment horizontal="center" vertical="center"/>
    </xf>
    <xf numFmtId="0" fontId="76" fillId="82" borderId="30" xfId="0" applyFont="1" applyFill="1" applyBorder="1" applyAlignment="1">
      <alignment horizontal="center" vertical="center"/>
    </xf>
    <xf numFmtId="0" fontId="77" fillId="0" borderId="0" xfId="250" applyFont="1" applyAlignment="1">
      <alignment horizontal="center" vertical="center"/>
      <protection locked="0"/>
    </xf>
    <xf numFmtId="0" fontId="78" fillId="82" borderId="0" xfId="0" applyFont="1" applyFill="1" applyAlignment="1">
      <alignment horizontal="center"/>
    </xf>
    <xf numFmtId="0" fontId="23" fillId="92" borderId="0" xfId="0" applyFont="1" applyFill="1" applyAlignment="1" applyProtection="1">
      <alignment horizontal="center" vertical="center"/>
      <protection locked="0"/>
    </xf>
    <xf numFmtId="0" fontId="23" fillId="92" borderId="32" xfId="0" applyFont="1" applyFill="1" applyBorder="1" applyAlignment="1" applyProtection="1">
      <alignment horizontal="center" vertical="center"/>
      <protection locked="0"/>
    </xf>
    <xf numFmtId="0" fontId="59" fillId="82" borderId="0" xfId="0" applyFont="1" applyFill="1" applyAlignment="1">
      <alignment horizontal="center"/>
    </xf>
    <xf numFmtId="0" fontId="79" fillId="50" borderId="1" xfId="0" applyFont="1" applyFill="1" applyBorder="1" applyAlignment="1">
      <alignment horizontal="center" vertical="center"/>
    </xf>
    <xf numFmtId="0" fontId="80" fillId="0" borderId="1" xfId="0" applyFont="1" applyBorder="1" applyAlignment="1">
      <alignment horizontal="center" vertical="center" wrapText="1"/>
    </xf>
    <xf numFmtId="0" fontId="81" fillId="94" borderId="0" xfId="0" applyFont="1" applyFill="1" applyAlignment="1">
      <alignment horizontal="center" vertical="center"/>
    </xf>
    <xf numFmtId="0" fontId="35" fillId="88" borderId="0" xfId="0" applyFont="1" applyFill="1" applyAlignment="1">
      <alignment horizontal="center" vertical="center"/>
    </xf>
    <xf numFmtId="0" fontId="1" fillId="0" borderId="33" xfId="0" applyFont="1" applyBorder="1" applyProtection="1">
      <protection locked="0"/>
    </xf>
    <xf numFmtId="0" fontId="1" fillId="0" borderId="18" xfId="0" applyFont="1" applyBorder="1" applyProtection="1">
      <protection locked="0"/>
    </xf>
    <xf numFmtId="0" fontId="59" fillId="95" borderId="1" xfId="0" applyFont="1" applyFill="1" applyBorder="1" applyAlignment="1">
      <alignment horizontal="center" vertical="center"/>
    </xf>
    <xf numFmtId="0" fontId="73" fillId="82" borderId="17" xfId="0" applyFont="1" applyFill="1" applyBorder="1" applyAlignment="1" applyProtection="1">
      <alignment horizontal="center"/>
      <protection locked="0"/>
    </xf>
    <xf numFmtId="0" fontId="54" fillId="82" borderId="33" xfId="0" applyFont="1" applyFill="1" applyBorder="1" applyAlignment="1">
      <alignment vertical="center"/>
    </xf>
    <xf numFmtId="0" fontId="83" fillId="93" borderId="18" xfId="0" applyFont="1" applyFill="1" applyBorder="1" applyAlignment="1">
      <alignment vertical="center"/>
    </xf>
    <xf numFmtId="0" fontId="83" fillId="0" borderId="18" xfId="0" applyFont="1" applyBorder="1"/>
    <xf numFmtId="0" fontId="23" fillId="0" borderId="18" xfId="0" applyFont="1" applyBorder="1"/>
    <xf numFmtId="0" fontId="54" fillId="82" borderId="18" xfId="0" applyFont="1" applyFill="1" applyBorder="1" applyAlignment="1">
      <alignment vertical="center"/>
    </xf>
    <xf numFmtId="0" fontId="54" fillId="82" borderId="17" xfId="0" applyFont="1" applyFill="1" applyBorder="1" applyAlignment="1">
      <alignment vertical="center"/>
    </xf>
    <xf numFmtId="0" fontId="62" fillId="82" borderId="0" xfId="0" applyFont="1" applyFill="1" applyAlignment="1" applyProtection="1">
      <alignment horizontal="center" vertical="center"/>
      <protection locked="0"/>
    </xf>
    <xf numFmtId="0" fontId="59" fillId="89" borderId="16" xfId="142" applyFont="1" applyFill="1" applyBorder="1" applyAlignment="1" applyProtection="1">
      <alignment horizontal="center" vertical="center" shrinkToFit="1"/>
    </xf>
    <xf numFmtId="0" fontId="84" fillId="96" borderId="1" xfId="131" applyFont="1" applyFill="1" applyBorder="1" applyAlignment="1">
      <alignment horizontal="center"/>
    </xf>
    <xf numFmtId="0" fontId="84" fillId="97" borderId="1" xfId="131" applyFont="1" applyFill="1" applyBorder="1" applyAlignment="1">
      <alignment horizontal="center"/>
    </xf>
    <xf numFmtId="0" fontId="1" fillId="81" borderId="0" xfId="0" applyFont="1" applyFill="1"/>
    <xf numFmtId="0" fontId="35" fillId="69" borderId="2" xfId="0" applyFont="1" applyFill="1" applyBorder="1" applyAlignment="1">
      <alignment horizontal="center" vertical="center"/>
    </xf>
    <xf numFmtId="0" fontId="35" fillId="48" borderId="2" xfId="0" applyFont="1" applyFill="1" applyBorder="1" applyAlignment="1">
      <alignment horizontal="center" vertical="center"/>
    </xf>
    <xf numFmtId="0" fontId="37" fillId="39" borderId="2" xfId="0" applyFont="1" applyFill="1" applyBorder="1" applyAlignment="1">
      <alignment horizontal="center" vertical="center"/>
    </xf>
    <xf numFmtId="0" fontId="35" fillId="67" borderId="2" xfId="0" applyFont="1" applyFill="1" applyBorder="1" applyAlignment="1">
      <alignment horizontal="center" vertical="center"/>
    </xf>
    <xf numFmtId="0" fontId="0" fillId="81" borderId="0" xfId="0" applyFill="1" applyAlignment="1">
      <alignment vertical="center"/>
    </xf>
    <xf numFmtId="0" fontId="57" fillId="98" borderId="1" xfId="138" applyFont="1" applyFill="1" applyBorder="1" applyAlignment="1">
      <alignment horizontal="center" vertical="center" shrinkToFit="1"/>
    </xf>
    <xf numFmtId="0" fontId="85" fillId="99" borderId="1" xfId="138" applyFont="1" applyFill="1" applyBorder="1" applyAlignment="1">
      <alignment horizontal="center" vertical="center" shrinkToFit="1"/>
    </xf>
    <xf numFmtId="0" fontId="85" fillId="100" borderId="1" xfId="138" applyFont="1" applyFill="1" applyBorder="1" applyAlignment="1">
      <alignment horizontal="center" vertical="center" shrinkToFit="1"/>
    </xf>
    <xf numFmtId="0" fontId="86" fillId="101" borderId="1" xfId="138" applyFont="1" applyFill="1" applyBorder="1" applyAlignment="1">
      <alignment horizontal="center" vertical="center" shrinkToFit="1"/>
    </xf>
    <xf numFmtId="0" fontId="65" fillId="102" borderId="0" xfId="0" applyFont="1" applyFill="1" applyAlignment="1">
      <alignment horizontal="center" vertical="center"/>
    </xf>
    <xf numFmtId="0" fontId="44" fillId="65" borderId="1" xfId="0" applyFont="1" applyFill="1" applyBorder="1" applyAlignment="1">
      <alignment horizontal="center" vertical="center"/>
    </xf>
    <xf numFmtId="0" fontId="39" fillId="64" borderId="1" xfId="0" applyFont="1" applyFill="1" applyBorder="1" applyAlignment="1">
      <alignment horizontal="center" vertical="center"/>
    </xf>
    <xf numFmtId="0" fontId="46" fillId="63" borderId="15" xfId="0" applyFont="1" applyFill="1" applyBorder="1" applyAlignment="1">
      <alignment horizontal="center" vertical="center"/>
    </xf>
    <xf numFmtId="0" fontId="2" fillId="82" borderId="0" xfId="0" applyFont="1" applyFill="1"/>
    <xf numFmtId="0" fontId="68" fillId="103" borderId="15" xfId="142" applyFont="1" applyFill="1" applyBorder="1" applyAlignment="1" applyProtection="1">
      <alignment horizontal="center" vertical="center" shrinkToFit="1"/>
    </xf>
    <xf numFmtId="0" fontId="2" fillId="82" borderId="30" xfId="0" applyFont="1" applyFill="1" applyBorder="1"/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87" fillId="95" borderId="0" xfId="0" applyFont="1" applyFill="1" applyAlignment="1">
      <alignment horizontal="center" vertical="center"/>
    </xf>
    <xf numFmtId="0" fontId="88" fillId="104" borderId="0" xfId="120" applyFont="1" applyFill="1" applyAlignment="1" applyProtection="1">
      <alignment horizontal="center" vertical="center"/>
    </xf>
    <xf numFmtId="0" fontId="70" fillId="82" borderId="0" xfId="0" applyFont="1" applyFill="1" applyAlignment="1" applyProtection="1">
      <alignment horizontal="center" vertical="center"/>
      <protection locked="0"/>
    </xf>
    <xf numFmtId="0" fontId="54" fillId="82" borderId="0" xfId="0" applyFont="1" applyFill="1"/>
    <xf numFmtId="0" fontId="70" fillId="81" borderId="0" xfId="0" applyFont="1" applyFill="1" applyAlignment="1">
      <alignment horizontal="right" vertical="center"/>
    </xf>
    <xf numFmtId="0" fontId="89" fillId="0" borderId="0" xfId="0" applyFont="1" applyAlignment="1">
      <alignment horizontal="right"/>
    </xf>
    <xf numFmtId="0" fontId="68" fillId="105" borderId="1" xfId="142" applyFont="1" applyFill="1" applyBorder="1" applyAlignment="1" applyProtection="1">
      <alignment horizontal="center" vertical="center" shrinkToFit="1"/>
    </xf>
    <xf numFmtId="0" fontId="0" fillId="0" borderId="32" xfId="0" applyBorder="1" applyAlignment="1">
      <alignment vertical="center"/>
    </xf>
    <xf numFmtId="0" fontId="66" fillId="82" borderId="0" xfId="142" applyFont="1" applyFill="1" applyAlignment="1" applyProtection="1">
      <alignment horizontal="center" vertical="center" shrinkToFit="1"/>
    </xf>
    <xf numFmtId="0" fontId="90" fillId="82" borderId="0" xfId="0" applyFont="1" applyFill="1" applyAlignment="1">
      <alignment horizontal="center" vertical="center"/>
    </xf>
    <xf numFmtId="0" fontId="91" fillId="82" borderId="0" xfId="0" applyFont="1" applyFill="1" applyAlignment="1">
      <alignment horizontal="center" vertical="center"/>
    </xf>
    <xf numFmtId="0" fontId="81" fillId="82" borderId="0" xfId="0" applyFont="1" applyFill="1" applyAlignment="1">
      <alignment horizontal="center" vertical="center"/>
    </xf>
    <xf numFmtId="0" fontId="57" fillId="81" borderId="0" xfId="0" applyFont="1" applyFill="1" applyAlignment="1">
      <alignment horizontal="center" vertical="center"/>
    </xf>
    <xf numFmtId="0" fontId="81" fillId="82" borderId="0" xfId="0" applyFont="1" applyFill="1" applyAlignment="1">
      <alignment horizontal="center" vertical="top"/>
    </xf>
    <xf numFmtId="0" fontId="70" fillId="81" borderId="0" xfId="0" applyFont="1" applyFill="1" applyAlignment="1">
      <alignment horizontal="center" vertical="center"/>
    </xf>
    <xf numFmtId="0" fontId="68" fillId="106" borderId="1" xfId="142" applyFont="1" applyFill="1" applyBorder="1" applyAlignment="1" applyProtection="1">
      <alignment horizontal="center" vertical="center" shrinkToFit="1"/>
    </xf>
    <xf numFmtId="0" fontId="91" fillId="82" borderId="30" xfId="0" applyFont="1" applyFill="1" applyBorder="1" applyAlignment="1">
      <alignment horizontal="center" vertical="center"/>
    </xf>
    <xf numFmtId="0" fontId="23" fillId="0" borderId="32" xfId="0" applyFont="1" applyBorder="1"/>
    <xf numFmtId="0" fontId="93" fillId="0" borderId="0" xfId="0" applyFont="1" applyAlignment="1">
      <alignment vertical="center"/>
    </xf>
    <xf numFmtId="0" fontId="61" fillId="0" borderId="0" xfId="0" applyFont="1" applyAlignment="1">
      <alignment horizontal="center" vertical="center"/>
    </xf>
    <xf numFmtId="0" fontId="58" fillId="82" borderId="0" xfId="250" applyFont="1" applyFill="1" applyAlignment="1" applyProtection="1">
      <alignment horizontal="center" vertical="center"/>
    </xf>
    <xf numFmtId="0" fontId="65" fillId="82" borderId="0" xfId="0" applyFont="1" applyFill="1" applyAlignment="1">
      <alignment horizontal="center" vertical="center"/>
    </xf>
    <xf numFmtId="0" fontId="94" fillId="0" borderId="0" xfId="250" applyFont="1" applyAlignment="1">
      <alignment horizontal="right" vertical="center"/>
      <protection locked="0"/>
    </xf>
    <xf numFmtId="0" fontId="68" fillId="107" borderId="1" xfId="142" applyFont="1" applyFill="1" applyBorder="1" applyAlignment="1" applyProtection="1">
      <alignment horizontal="center" vertical="center" shrinkToFit="1"/>
    </xf>
    <xf numFmtId="0" fontId="95" fillId="82" borderId="30" xfId="0" applyFont="1" applyFill="1" applyBorder="1" applyAlignment="1">
      <alignment horizontal="center" vertical="center"/>
    </xf>
    <xf numFmtId="0" fontId="95" fillId="82" borderId="0" xfId="0" applyFont="1" applyFill="1" applyAlignment="1">
      <alignment horizontal="center" vertical="center"/>
    </xf>
    <xf numFmtId="0" fontId="95" fillId="82" borderId="32" xfId="0" applyFont="1" applyFill="1" applyBorder="1" applyAlignment="1">
      <alignment horizontal="center" vertical="center"/>
    </xf>
    <xf numFmtId="0" fontId="96" fillId="79" borderId="1" xfId="131" applyFont="1" applyFill="1" applyBorder="1" applyAlignment="1">
      <alignment horizontal="center"/>
    </xf>
    <xf numFmtId="0" fontId="84" fillId="97" borderId="0" xfId="131" applyFont="1" applyFill="1" applyAlignment="1">
      <alignment horizontal="center"/>
    </xf>
    <xf numFmtId="0" fontId="76" fillId="82" borderId="0" xfId="0" applyFont="1" applyFill="1" applyAlignment="1">
      <alignment horizontal="center" vertical="center"/>
    </xf>
    <xf numFmtId="0" fontId="77" fillId="0" borderId="0" xfId="250" applyFont="1" applyAlignment="1" applyProtection="1">
      <alignment horizontal="center" vertical="center"/>
    </xf>
    <xf numFmtId="0" fontId="97" fillId="35" borderId="0" xfId="0" applyFont="1" applyFill="1" applyAlignment="1">
      <alignment horizontal="center" vertical="center"/>
    </xf>
    <xf numFmtId="0" fontId="61" fillId="82" borderId="0" xfId="0" applyFont="1" applyFill="1" applyAlignment="1">
      <alignment horizontal="center" vertical="center"/>
    </xf>
    <xf numFmtId="0" fontId="81" fillId="81" borderId="0" xfId="0" applyFont="1" applyFill="1" applyAlignment="1">
      <alignment horizontal="center" vertical="center"/>
    </xf>
    <xf numFmtId="0" fontId="98" fillId="0" borderId="1" xfId="142" applyFont="1" applyBorder="1" applyAlignment="1" applyProtection="1">
      <alignment horizontal="center" vertical="center" shrinkToFit="1"/>
    </xf>
    <xf numFmtId="0" fontId="68" fillId="108" borderId="1" xfId="142" applyFont="1" applyFill="1" applyBorder="1" applyAlignment="1" applyProtection="1">
      <alignment horizontal="center" vertical="center" shrinkToFit="1"/>
    </xf>
    <xf numFmtId="0" fontId="2" fillId="0" borderId="0" xfId="0" applyFont="1"/>
    <xf numFmtId="0" fontId="99" fillId="0" borderId="0" xfId="250" applyFont="1" applyAlignment="1" applyProtection="1">
      <alignment horizontal="center" vertical="center"/>
    </xf>
    <xf numFmtId="0" fontId="100" fillId="109" borderId="0" xfId="0" applyFont="1" applyFill="1" applyAlignment="1">
      <alignment horizontal="center" vertical="center"/>
    </xf>
    <xf numFmtId="0" fontId="101" fillId="110" borderId="0" xfId="0" applyFont="1" applyFill="1" applyAlignment="1">
      <alignment horizontal="center" vertical="center" wrapText="1"/>
    </xf>
    <xf numFmtId="0" fontId="59" fillId="111" borderId="1" xfId="142" applyFont="1" applyFill="1" applyBorder="1" applyAlignment="1" applyProtection="1">
      <alignment horizontal="center" vertical="center" shrinkToFit="1"/>
    </xf>
    <xf numFmtId="0" fontId="84" fillId="112" borderId="0" xfId="131" applyFont="1" applyFill="1" applyAlignment="1">
      <alignment horizontal="center"/>
    </xf>
    <xf numFmtId="0" fontId="102" fillId="35" borderId="0" xfId="0" applyFont="1" applyFill="1" applyAlignment="1">
      <alignment horizontal="center" vertical="center"/>
    </xf>
    <xf numFmtId="0" fontId="54" fillId="82" borderId="0" xfId="0" applyFont="1" applyFill="1" applyAlignment="1">
      <alignment horizontal="right" vertical="center"/>
    </xf>
    <xf numFmtId="0" fontId="2" fillId="113" borderId="0" xfId="0" applyFont="1" applyFill="1"/>
    <xf numFmtId="0" fontId="50" fillId="114" borderId="1" xfId="152" applyFont="1" applyFill="1" applyBorder="1" applyAlignment="1" applyProtection="1">
      <alignment horizontal="center" vertical="center" shrinkToFit="1"/>
    </xf>
    <xf numFmtId="0" fontId="57" fillId="82" borderId="0" xfId="0" applyFont="1" applyFill="1" applyAlignment="1">
      <alignment horizontal="left" vertical="center"/>
    </xf>
    <xf numFmtId="0" fontId="35" fillId="115" borderId="1" xfId="152" applyFont="1" applyFill="1" applyBorder="1" applyAlignment="1" applyProtection="1">
      <alignment horizontal="center" vertical="center" shrinkToFit="1"/>
    </xf>
    <xf numFmtId="0" fontId="54" fillId="81" borderId="0" xfId="0" applyFont="1" applyFill="1" applyAlignment="1">
      <alignment horizontal="left" vertical="center"/>
    </xf>
    <xf numFmtId="0" fontId="94" fillId="82" borderId="0" xfId="0" applyFont="1" applyFill="1" applyAlignment="1">
      <alignment horizontal="center"/>
    </xf>
    <xf numFmtId="0" fontId="103" fillId="116" borderId="1" xfId="138" applyFont="1" applyFill="1" applyBorder="1" applyAlignment="1">
      <alignment horizontal="center" vertical="center" shrinkToFit="1"/>
    </xf>
    <xf numFmtId="0" fontId="85" fillId="101" borderId="1" xfId="138" applyFont="1" applyFill="1" applyBorder="1" applyAlignment="1">
      <alignment horizontal="center" vertical="center" shrinkToFit="1"/>
    </xf>
    <xf numFmtId="0" fontId="104" fillId="0" borderId="0" xfId="0" applyFont="1" applyAlignment="1">
      <alignment horizontal="right"/>
    </xf>
    <xf numFmtId="0" fontId="68" fillId="0" borderId="1" xfId="142" applyFont="1" applyBorder="1" applyAlignment="1" applyProtection="1">
      <alignment horizontal="center" vertical="center" shrinkToFit="1"/>
    </xf>
    <xf numFmtId="0" fontId="76" fillId="82" borderId="0" xfId="0" applyFont="1" applyFill="1" applyAlignment="1">
      <alignment horizontal="right" vertical="center"/>
    </xf>
    <xf numFmtId="0" fontId="76" fillId="82" borderId="0" xfId="0" applyFont="1" applyFill="1" applyAlignment="1">
      <alignment horizontal="left" vertical="center"/>
    </xf>
    <xf numFmtId="0" fontId="105" fillId="50" borderId="0" xfId="0" applyFont="1" applyFill="1" applyAlignment="1">
      <alignment horizontal="center" vertical="center"/>
    </xf>
    <xf numFmtId="0" fontId="106" fillId="117" borderId="1" xfId="142" applyFont="1" applyFill="1" applyBorder="1" applyAlignment="1" applyProtection="1">
      <alignment horizontal="center" vertical="center" shrinkToFit="1"/>
    </xf>
    <xf numFmtId="0" fontId="104" fillId="0" borderId="0" xfId="0" applyFont="1" applyAlignment="1">
      <alignment horizontal="center"/>
    </xf>
    <xf numFmtId="0" fontId="68" fillId="118" borderId="1" xfId="142" applyFont="1" applyFill="1" applyBorder="1" applyAlignment="1" applyProtection="1">
      <alignment horizontal="center" vertical="center" shrinkToFit="1"/>
    </xf>
    <xf numFmtId="0" fontId="79" fillId="82" borderId="0" xfId="0" applyFont="1" applyFill="1" applyAlignment="1">
      <alignment horizontal="center" vertical="center"/>
    </xf>
    <xf numFmtId="0" fontId="107" fillId="82" borderId="0" xfId="131" applyFont="1" applyFill="1" applyAlignment="1">
      <alignment horizontal="center"/>
    </xf>
    <xf numFmtId="0" fontId="55" fillId="82" borderId="0" xfId="0" applyFont="1" applyFill="1" applyAlignment="1">
      <alignment horizontal="right" vertical="center"/>
    </xf>
    <xf numFmtId="0" fontId="7" fillId="82" borderId="0" xfId="0" applyFont="1" applyFill="1" applyAlignment="1">
      <alignment horizontal="left"/>
    </xf>
    <xf numFmtId="0" fontId="108" fillId="82" borderId="30" xfId="0" applyFont="1" applyFill="1" applyBorder="1" applyAlignment="1">
      <alignment horizontal="center" vertical="center"/>
    </xf>
    <xf numFmtId="0" fontId="108" fillId="82" borderId="0" xfId="0" applyFont="1" applyFill="1" applyAlignment="1">
      <alignment horizontal="center" vertical="center"/>
    </xf>
    <xf numFmtId="0" fontId="87" fillId="82" borderId="0" xfId="0" applyFont="1" applyFill="1" applyAlignment="1">
      <alignment horizontal="center"/>
    </xf>
    <xf numFmtId="0" fontId="91" fillId="93" borderId="0" xfId="0" applyFont="1" applyFill="1" applyAlignment="1">
      <alignment horizontal="center" vertical="center"/>
    </xf>
    <xf numFmtId="0" fontId="91" fillId="50" borderId="0" xfId="0" applyFont="1" applyFill="1" applyAlignment="1">
      <alignment horizontal="center" vertical="center"/>
    </xf>
    <xf numFmtId="0" fontId="2" fillId="50" borderId="0" xfId="0" applyFont="1" applyFill="1"/>
    <xf numFmtId="0" fontId="2" fillId="93" borderId="0" xfId="0" applyFont="1" applyFill="1"/>
    <xf numFmtId="0" fontId="7" fillId="82" borderId="28" xfId="0" applyFont="1" applyFill="1" applyBorder="1"/>
    <xf numFmtId="0" fontId="23" fillId="0" borderId="0" xfId="0" applyFont="1" applyAlignment="1">
      <alignment horizontal="center"/>
    </xf>
    <xf numFmtId="0" fontId="64" fillId="119" borderId="1" xfId="131" applyFont="1" applyFill="1" applyBorder="1" applyAlignment="1">
      <alignment horizontal="center"/>
    </xf>
    <xf numFmtId="0" fontId="109" fillId="82" borderId="0" xfId="0" applyFont="1" applyFill="1" applyAlignment="1">
      <alignment vertical="center"/>
    </xf>
    <xf numFmtId="0" fontId="35" fillId="71" borderId="1" xfId="0" applyFont="1" applyFill="1" applyBorder="1" applyAlignment="1">
      <alignment horizontal="center" vertical="center"/>
    </xf>
    <xf numFmtId="0" fontId="91" fillId="82" borderId="32" xfId="0" applyFont="1" applyFill="1" applyBorder="1" applyAlignment="1">
      <alignment horizontal="center" vertical="center"/>
    </xf>
    <xf numFmtId="0" fontId="110" fillId="120" borderId="1" xfId="0" applyFont="1" applyFill="1" applyBorder="1" applyAlignment="1">
      <alignment horizontal="center"/>
    </xf>
    <xf numFmtId="0" fontId="55" fillId="0" borderId="0" xfId="0" applyFont="1" applyAlignment="1">
      <alignment horizontal="center" vertical="center"/>
    </xf>
    <xf numFmtId="170" fontId="59" fillId="82" borderId="0" xfId="0" applyNumberFormat="1" applyFont="1" applyFill="1" applyAlignment="1">
      <alignment horizontal="right"/>
    </xf>
    <xf numFmtId="0" fontId="33" fillId="35" borderId="0" xfId="0" applyFont="1" applyFill="1" applyAlignment="1">
      <alignment horizontal="center" vertical="center"/>
    </xf>
    <xf numFmtId="0" fontId="61" fillId="0" borderId="0" xfId="0" applyFont="1"/>
    <xf numFmtId="0" fontId="23" fillId="81" borderId="0" xfId="0" applyFont="1" applyFill="1"/>
    <xf numFmtId="0" fontId="81" fillId="0" borderId="0" xfId="0" applyFont="1" applyAlignment="1">
      <alignment horizontal="center" vertical="center"/>
    </xf>
    <xf numFmtId="0" fontId="111" fillId="82" borderId="0" xfId="0" applyFont="1" applyFill="1" applyAlignment="1">
      <alignment horizontal="center"/>
    </xf>
    <xf numFmtId="0" fontId="55" fillId="121" borderId="0" xfId="0" applyFont="1" applyFill="1" applyAlignment="1">
      <alignment horizontal="center" vertical="center"/>
    </xf>
    <xf numFmtId="0" fontId="112" fillId="122" borderId="0" xfId="0" applyFont="1" applyFill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72" fillId="0" borderId="0" xfId="0" applyFont="1"/>
    <xf numFmtId="0" fontId="91" fillId="82" borderId="38" xfId="0" applyFont="1" applyFill="1" applyBorder="1" applyAlignment="1">
      <alignment horizontal="center" vertical="center"/>
    </xf>
    <xf numFmtId="0" fontId="69" fillId="82" borderId="0" xfId="0" applyFont="1" applyFill="1" applyAlignment="1">
      <alignment horizontal="center"/>
    </xf>
    <xf numFmtId="0" fontId="69" fillId="52" borderId="15" xfId="0" applyFont="1" applyFill="1" applyBorder="1" applyAlignment="1">
      <alignment horizontal="center"/>
    </xf>
    <xf numFmtId="0" fontId="114" fillId="82" borderId="0" xfId="131" applyFont="1" applyFill="1" applyAlignment="1">
      <alignment horizontal="center"/>
    </xf>
    <xf numFmtId="0" fontId="57" fillId="79" borderId="1" xfId="138" applyFont="1" applyFill="1" applyBorder="1" applyAlignment="1">
      <alignment horizontal="center" vertical="center" shrinkToFit="1"/>
    </xf>
    <xf numFmtId="0" fontId="54" fillId="0" borderId="0" xfId="0" applyFont="1" applyAlignment="1">
      <alignment horizontal="center" vertical="center"/>
    </xf>
    <xf numFmtId="0" fontId="91" fillId="82" borderId="39" xfId="0" applyFont="1" applyFill="1" applyBorder="1" applyAlignment="1">
      <alignment horizontal="center" vertical="center"/>
    </xf>
    <xf numFmtId="0" fontId="2" fillId="82" borderId="32" xfId="0" applyFont="1" applyFill="1" applyBorder="1"/>
    <xf numFmtId="0" fontId="115" fillId="86" borderId="1" xfId="138" applyFont="1" applyFill="1" applyBorder="1" applyAlignment="1">
      <alignment horizontal="center" vertical="center" shrinkToFit="1"/>
    </xf>
    <xf numFmtId="0" fontId="76" fillId="82" borderId="32" xfId="0" applyFont="1" applyFill="1" applyBorder="1" applyAlignment="1">
      <alignment horizontal="center" vertical="center"/>
    </xf>
    <xf numFmtId="0" fontId="55" fillId="93" borderId="0" xfId="0" applyFont="1" applyFill="1" applyAlignment="1">
      <alignment horizontal="center" vertical="center"/>
    </xf>
    <xf numFmtId="0" fontId="61" fillId="0" borderId="0" xfId="0" applyFont="1" applyAlignment="1">
      <alignment horizontal="center" vertical="top"/>
    </xf>
    <xf numFmtId="0" fontId="61" fillId="93" borderId="0" xfId="0" applyFont="1" applyFill="1" applyAlignment="1">
      <alignment horizontal="center" vertical="top"/>
    </xf>
    <xf numFmtId="0" fontId="116" fillId="0" borderId="0" xfId="0" applyFont="1" applyAlignment="1">
      <alignment horizontal="center"/>
    </xf>
    <xf numFmtId="170" fontId="113" fillId="0" borderId="0" xfId="0" applyNumberFormat="1" applyFont="1" applyAlignment="1">
      <alignment horizontal="center"/>
    </xf>
    <xf numFmtId="0" fontId="91" fillId="0" borderId="0" xfId="0" applyFont="1" applyAlignment="1">
      <alignment horizontal="center" vertical="center"/>
    </xf>
    <xf numFmtId="0" fontId="91" fillId="82" borderId="33" xfId="0" applyFont="1" applyFill="1" applyBorder="1" applyAlignment="1">
      <alignment horizontal="center" vertical="center"/>
    </xf>
    <xf numFmtId="0" fontId="91" fillId="82" borderId="40" xfId="0" applyFont="1" applyFill="1" applyBorder="1" applyAlignment="1">
      <alignment horizontal="center" vertical="center"/>
    </xf>
    <xf numFmtId="0" fontId="91" fillId="82" borderId="18" xfId="0" applyFont="1" applyFill="1" applyBorder="1" applyAlignment="1">
      <alignment horizontal="center" vertical="center"/>
    </xf>
    <xf numFmtId="0" fontId="76" fillId="82" borderId="17" xfId="0" applyFont="1" applyFill="1" applyBorder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92" fillId="35" borderId="41" xfId="0" applyFont="1" applyFill="1" applyBorder="1" applyAlignment="1">
      <alignment horizontal="center" vertical="center"/>
    </xf>
    <xf numFmtId="0" fontId="115" fillId="123" borderId="1" xfId="138" applyFont="1" applyFill="1" applyBorder="1" applyAlignment="1">
      <alignment horizontal="center" vertical="center" shrinkToFit="1"/>
    </xf>
    <xf numFmtId="0" fontId="91" fillId="82" borderId="27" xfId="0" applyFont="1" applyFill="1" applyBorder="1" applyAlignment="1">
      <alignment horizontal="center" vertical="center"/>
    </xf>
    <xf numFmtId="0" fontId="91" fillId="82" borderId="28" xfId="0" applyFont="1" applyFill="1" applyBorder="1" applyAlignment="1">
      <alignment horizontal="center" vertical="center"/>
    </xf>
    <xf numFmtId="0" fontId="2" fillId="82" borderId="28" xfId="0" applyFont="1" applyFill="1" applyBorder="1"/>
    <xf numFmtId="0" fontId="2" fillId="82" borderId="29" xfId="0" applyFont="1" applyFill="1" applyBorder="1"/>
    <xf numFmtId="0" fontId="64" fillId="45" borderId="0" xfId="131" applyFont="1" applyFill="1" applyAlignment="1" applyProtection="1">
      <alignment horizontal="center"/>
      <protection locked="0"/>
    </xf>
    <xf numFmtId="0" fontId="118" fillId="0" borderId="0" xfId="250" applyFont="1" applyAlignment="1" applyProtection="1">
      <alignment horizontal="center" vertical="center"/>
    </xf>
    <xf numFmtId="0" fontId="66" fillId="52" borderId="42" xfId="142" applyFont="1" applyFill="1" applyBorder="1" applyAlignment="1" applyProtection="1">
      <alignment horizontal="center" vertical="center" shrinkToFit="1"/>
    </xf>
    <xf numFmtId="0" fontId="119" fillId="82" borderId="0" xfId="0" applyFont="1" applyFill="1" applyAlignment="1">
      <alignment vertical="center"/>
    </xf>
    <xf numFmtId="0" fontId="64" fillId="45" borderId="43" xfId="131" applyFont="1" applyFill="1" applyBorder="1" applyAlignment="1" applyProtection="1">
      <alignment horizontal="center"/>
      <protection locked="0"/>
    </xf>
    <xf numFmtId="0" fontId="0" fillId="0" borderId="18" xfId="0" applyBorder="1"/>
    <xf numFmtId="0" fontId="66" fillId="52" borderId="15" xfId="142" applyFont="1" applyFill="1" applyBorder="1" applyAlignment="1" applyProtection="1">
      <alignment horizontal="center" vertical="center" shrinkToFit="1"/>
    </xf>
    <xf numFmtId="0" fontId="7" fillId="82" borderId="0" xfId="0" applyFont="1" applyFill="1"/>
    <xf numFmtId="0" fontId="121" fillId="124" borderId="1" xfId="0" applyFont="1" applyFill="1" applyBorder="1" applyAlignment="1">
      <alignment horizontal="center" vertical="center"/>
    </xf>
    <xf numFmtId="0" fontId="76" fillId="82" borderId="0" xfId="0" applyFont="1" applyFill="1"/>
    <xf numFmtId="0" fontId="2" fillId="82" borderId="27" xfId="0" applyFont="1" applyFill="1" applyBorder="1"/>
    <xf numFmtId="0" fontId="76" fillId="82" borderId="28" xfId="0" applyFont="1" applyFill="1" applyBorder="1" applyAlignment="1">
      <alignment horizontal="center" vertical="center"/>
    </xf>
    <xf numFmtId="0" fontId="122" fillId="82" borderId="18" xfId="0" applyFont="1" applyFill="1" applyBorder="1" applyAlignment="1">
      <alignment horizontal="center" vertical="center"/>
    </xf>
    <xf numFmtId="0" fontId="2" fillId="82" borderId="18" xfId="0" applyFont="1" applyFill="1" applyBorder="1"/>
    <xf numFmtId="0" fontId="91" fillId="82" borderId="17" xfId="0" applyFont="1" applyFill="1" applyBorder="1" applyAlignment="1">
      <alignment horizontal="center" vertical="center"/>
    </xf>
    <xf numFmtId="0" fontId="1" fillId="0" borderId="30" xfId="0" applyFont="1" applyBorder="1"/>
    <xf numFmtId="0" fontId="122" fillId="82" borderId="0" xfId="0" applyFont="1" applyFill="1" applyAlignment="1">
      <alignment horizontal="center" vertical="center"/>
    </xf>
    <xf numFmtId="0" fontId="123" fillId="82" borderId="0" xfId="0" applyFont="1" applyFill="1" applyAlignment="1">
      <alignment vertical="center"/>
    </xf>
    <xf numFmtId="0" fontId="122" fillId="82" borderId="30" xfId="0" applyFont="1" applyFill="1" applyBorder="1" applyAlignment="1">
      <alignment horizontal="center" vertical="center"/>
    </xf>
    <xf numFmtId="0" fontId="124" fillId="82" borderId="0" xfId="0" applyFont="1" applyFill="1" applyAlignment="1">
      <alignment horizontal="center" vertical="center"/>
    </xf>
    <xf numFmtId="0" fontId="90" fillId="82" borderId="32" xfId="0" applyFont="1" applyFill="1" applyBorder="1" applyAlignment="1">
      <alignment horizontal="center" vertical="center"/>
    </xf>
    <xf numFmtId="0" fontId="128" fillId="82" borderId="0" xfId="0" applyFont="1" applyFill="1" applyAlignment="1">
      <alignment horizontal="center" wrapText="1"/>
    </xf>
    <xf numFmtId="0" fontId="119" fillId="82" borderId="18" xfId="0" applyFont="1" applyFill="1" applyBorder="1" applyAlignment="1">
      <alignment vertical="center"/>
    </xf>
    <xf numFmtId="0" fontId="119" fillId="82" borderId="17" xfId="0" applyFont="1" applyFill="1" applyBorder="1" applyAlignment="1">
      <alignment vertical="center"/>
    </xf>
    <xf numFmtId="0" fontId="34" fillId="0" borderId="0" xfId="0" applyFont="1"/>
    <xf numFmtId="0" fontId="134" fillId="0" borderId="0" xfId="0" applyFont="1" applyAlignment="1">
      <alignment horizontal="center" vertical="center"/>
    </xf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9" fillId="0" borderId="0" xfId="0" applyFont="1" applyAlignment="1">
      <alignment horizontal="left" vertical="top" wrapText="1"/>
    </xf>
    <xf numFmtId="0" fontId="140" fillId="93" borderId="0" xfId="138" applyFont="1" applyFill="1" applyAlignment="1">
      <alignment horizontal="center" vertical="center" shrinkToFit="1"/>
    </xf>
    <xf numFmtId="171" fontId="138" fillId="0" borderId="1" xfId="0" applyNumberFormat="1" applyFont="1" applyBorder="1" applyAlignment="1">
      <alignment horizontal="center" vertical="center" wrapText="1"/>
    </xf>
    <xf numFmtId="14" fontId="133" fillId="61" borderId="1" xfId="0" applyNumberFormat="1" applyFont="1" applyFill="1" applyBorder="1" applyAlignment="1" applyProtection="1">
      <alignment horizontal="center" vertical="center" wrapText="1"/>
      <protection locked="0"/>
    </xf>
    <xf numFmtId="0" fontId="133" fillId="61" borderId="1" xfId="0" applyFont="1" applyFill="1" applyBorder="1" applyAlignment="1" applyProtection="1">
      <alignment horizontal="center" vertical="center" wrapText="1"/>
      <protection locked="0"/>
    </xf>
    <xf numFmtId="0" fontId="51" fillId="93" borderId="0" xfId="138" applyFont="1" applyFill="1" applyAlignment="1">
      <alignment vertical="center" shrinkToFit="1"/>
    </xf>
    <xf numFmtId="171" fontId="141" fillId="93" borderId="46" xfId="138" applyNumberFormat="1" applyFont="1" applyFill="1" applyBorder="1" applyAlignment="1">
      <alignment horizontal="center" vertical="center" shrinkToFit="1"/>
    </xf>
    <xf numFmtId="0" fontId="31" fillId="128" borderId="1" xfId="0" applyFont="1" applyFill="1" applyBorder="1" applyAlignment="1" applyProtection="1">
      <alignment horizontal="center" vertical="center" wrapText="1"/>
      <protection locked="0"/>
    </xf>
    <xf numFmtId="167" fontId="31" fillId="128" borderId="1" xfId="43" applyFont="1" applyFill="1" applyBorder="1" applyAlignment="1">
      <alignment horizontal="right" vertical="center"/>
    </xf>
    <xf numFmtId="0" fontId="47" fillId="93" borderId="0" xfId="138" applyFont="1" applyFill="1" applyAlignment="1">
      <alignment vertical="center" shrinkToFit="1"/>
    </xf>
    <xf numFmtId="0" fontId="142" fillId="93" borderId="0" xfId="138" applyFont="1" applyFill="1" applyAlignment="1">
      <alignment horizontal="center" vertical="center" shrinkToFit="1"/>
    </xf>
    <xf numFmtId="0" fontId="31" fillId="129" borderId="1" xfId="0" applyFont="1" applyFill="1" applyBorder="1" applyAlignment="1" applyProtection="1">
      <alignment horizontal="center" vertical="center" wrapText="1"/>
      <protection locked="0"/>
    </xf>
    <xf numFmtId="167" fontId="31" fillId="129" borderId="47" xfId="43" applyFont="1" applyFill="1" applyBorder="1" applyAlignment="1">
      <alignment horizontal="right" vertical="center"/>
    </xf>
    <xf numFmtId="167" fontId="31" fillId="129" borderId="1" xfId="43" applyFont="1" applyFill="1" applyBorder="1" applyAlignment="1">
      <alignment horizontal="right" vertical="center"/>
    </xf>
    <xf numFmtId="0" fontId="143" fillId="0" borderId="0" xfId="150" applyFont="1" applyAlignment="1">
      <alignment vertical="center" shrinkToFit="1"/>
    </xf>
    <xf numFmtId="0" fontId="31" fillId="130" borderId="15" xfId="0" applyFont="1" applyFill="1" applyBorder="1" applyAlignment="1" applyProtection="1">
      <alignment horizontal="center" vertical="center" wrapText="1"/>
      <protection locked="0"/>
    </xf>
    <xf numFmtId="172" fontId="31" fillId="130" borderId="1" xfId="203" applyNumberFormat="1" applyFont="1" applyFill="1" applyBorder="1" applyAlignment="1" applyProtection="1">
      <alignment horizontal="right" vertical="center" wrapText="1"/>
      <protection locked="0"/>
    </xf>
    <xf numFmtId="0" fontId="57" fillId="93" borderId="0" xfId="138" applyFont="1" applyFill="1" applyAlignment="1">
      <alignment vertical="center" shrinkToFit="1"/>
    </xf>
    <xf numFmtId="171" fontId="145" fillId="131" borderId="51" xfId="150" applyNumberFormat="1" applyFont="1" applyFill="1" applyBorder="1" applyAlignment="1">
      <alignment horizontal="center" vertical="center" shrinkToFit="1"/>
    </xf>
    <xf numFmtId="0" fontId="31" fillId="132" borderId="1" xfId="0" applyFont="1" applyFill="1" applyBorder="1" applyAlignment="1" applyProtection="1">
      <alignment horizontal="center" vertical="center" wrapText="1"/>
      <protection locked="0"/>
    </xf>
    <xf numFmtId="10" fontId="31" fillId="132" borderId="2" xfId="203" applyNumberFormat="1" applyFont="1" applyFill="1" applyBorder="1" applyAlignment="1">
      <alignment horizontal="right" vertical="center"/>
    </xf>
    <xf numFmtId="10" fontId="31" fillId="132" borderId="1" xfId="203" applyNumberFormat="1" applyFont="1" applyFill="1" applyBorder="1" applyAlignment="1">
      <alignment horizontal="right" vertical="center"/>
    </xf>
    <xf numFmtId="171" fontId="145" fillId="60" borderId="3" xfId="150" applyNumberFormat="1" applyFont="1" applyFill="1" applyBorder="1" applyAlignment="1">
      <alignment horizontal="center" vertical="center" shrinkToFit="1"/>
    </xf>
    <xf numFmtId="0" fontId="31" fillId="133" borderId="1" xfId="0" applyFont="1" applyFill="1" applyBorder="1" applyAlignment="1" applyProtection="1">
      <alignment horizontal="center" vertical="center" wrapText="1"/>
      <protection locked="0"/>
    </xf>
    <xf numFmtId="1" fontId="31" fillId="133" borderId="2" xfId="203" applyNumberFormat="1" applyFont="1" applyFill="1" applyBorder="1" applyAlignment="1">
      <alignment horizontal="right" vertical="center"/>
    </xf>
    <xf numFmtId="1" fontId="31" fillId="133" borderId="1" xfId="203" applyNumberFormat="1" applyFont="1" applyFill="1" applyBorder="1" applyAlignment="1">
      <alignment horizontal="right" vertical="center"/>
    </xf>
    <xf numFmtId="171" fontId="47" fillId="134" borderId="3" xfId="138" applyNumberFormat="1" applyFont="1" applyFill="1" applyBorder="1" applyAlignment="1">
      <alignment horizontal="center" vertical="center"/>
    </xf>
    <xf numFmtId="0" fontId="31" fillId="59" borderId="1" xfId="0" applyFont="1" applyFill="1" applyBorder="1" applyAlignment="1" applyProtection="1">
      <alignment horizontal="center" vertical="center" wrapText="1"/>
      <protection locked="0"/>
    </xf>
    <xf numFmtId="1" fontId="31" fillId="59" borderId="2" xfId="203" applyNumberFormat="1" applyFont="1" applyFill="1" applyBorder="1" applyAlignment="1">
      <alignment horizontal="right" vertical="center"/>
    </xf>
    <xf numFmtId="1" fontId="31" fillId="59" borderId="1" xfId="203" applyNumberFormat="1" applyFont="1" applyFill="1" applyBorder="1" applyAlignment="1">
      <alignment horizontal="right" vertical="center"/>
    </xf>
    <xf numFmtId="0" fontId="72" fillId="0" borderId="0" xfId="251" applyFont="1" applyAlignment="1"/>
    <xf numFmtId="0" fontId="148" fillId="0" borderId="0" xfId="0" applyFont="1" applyAlignment="1">
      <alignment horizontal="center" wrapText="1" shrinkToFit="1"/>
    </xf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150" fillId="0" borderId="0" xfId="0" applyFont="1"/>
    <xf numFmtId="0" fontId="57" fillId="0" borderId="1" xfId="138" applyFont="1" applyBorder="1" applyAlignment="1">
      <alignment horizontal="center" vertical="center" shrinkToFit="1"/>
    </xf>
    <xf numFmtId="0" fontId="150" fillId="0" borderId="16" xfId="0" applyFont="1" applyBorder="1"/>
    <xf numFmtId="0" fontId="0" fillId="0" borderId="60" xfId="0" applyBorder="1"/>
    <xf numFmtId="0" fontId="31" fillId="0" borderId="0" xfId="0" applyFont="1" applyAlignment="1">
      <alignment horizontal="center" vertical="center"/>
    </xf>
    <xf numFmtId="0" fontId="151" fillId="0" borderId="0" xfId="0" applyFont="1"/>
    <xf numFmtId="0" fontId="32" fillId="0" borderId="0" xfId="0" applyFont="1" applyAlignment="1">
      <alignment horizontal="center" vertical="center"/>
    </xf>
    <xf numFmtId="0" fontId="147" fillId="0" borderId="51" xfId="0" applyFont="1" applyBorder="1"/>
    <xf numFmtId="0" fontId="147" fillId="0" borderId="29" xfId="0" applyFont="1" applyBorder="1"/>
    <xf numFmtId="0" fontId="57" fillId="137" borderId="1" xfId="138" applyFont="1" applyFill="1" applyBorder="1" applyAlignment="1">
      <alignment horizontal="center" vertical="center" shrinkToFit="1"/>
    </xf>
    <xf numFmtId="171" fontId="152" fillId="0" borderId="1" xfId="138" applyNumberFormat="1" applyFont="1" applyBorder="1" applyAlignment="1">
      <alignment horizontal="center" vertical="center" shrinkToFit="1"/>
    </xf>
    <xf numFmtId="0" fontId="150" fillId="138" borderId="0" xfId="0" applyFont="1" applyFill="1"/>
    <xf numFmtId="0" fontId="47" fillId="0" borderId="24" xfId="138" applyFont="1" applyBorder="1" applyAlignment="1">
      <alignment horizontal="left" vertical="center" shrinkToFit="1"/>
    </xf>
    <xf numFmtId="0" fontId="47" fillId="0" borderId="58" xfId="138" applyFont="1" applyBorder="1" applyAlignment="1">
      <alignment horizontal="left" vertical="center" shrinkToFit="1"/>
    </xf>
    <xf numFmtId="0" fontId="150" fillId="139" borderId="37" xfId="0" applyFont="1" applyFill="1" applyBorder="1" applyAlignment="1">
      <alignment wrapText="1"/>
    </xf>
    <xf numFmtId="0" fontId="153" fillId="0" borderId="0" xfId="0" applyFont="1" applyAlignment="1">
      <alignment wrapText="1" shrinkToFit="1"/>
    </xf>
    <xf numFmtId="0" fontId="13" fillId="0" borderId="0" xfId="0" applyFont="1"/>
    <xf numFmtId="0" fontId="85" fillId="140" borderId="1" xfId="138" applyFont="1" applyFill="1" applyBorder="1" applyAlignment="1">
      <alignment horizontal="center" vertical="center" shrinkToFit="1"/>
    </xf>
    <xf numFmtId="0" fontId="115" fillId="141" borderId="1" xfId="138" applyFont="1" applyFill="1" applyBorder="1" applyAlignment="1">
      <alignment horizontal="center" vertical="center" shrinkToFit="1"/>
    </xf>
    <xf numFmtId="0" fontId="150" fillId="139" borderId="0" xfId="0" applyFont="1" applyFill="1" applyAlignment="1">
      <alignment wrapText="1"/>
    </xf>
    <xf numFmtId="0" fontId="154" fillId="0" borderId="0" xfId="0" applyFont="1" applyAlignment="1">
      <alignment horizontal="center" wrapText="1" shrinkToFit="1"/>
    </xf>
    <xf numFmtId="15" fontId="50" fillId="0" borderId="0" xfId="0" applyNumberFormat="1" applyFont="1" applyAlignment="1">
      <alignment shrinkToFit="1"/>
    </xf>
    <xf numFmtId="0" fontId="155" fillId="0" borderId="1" xfId="126" applyFont="1" applyBorder="1" applyAlignment="1">
      <alignment shrinkToFit="1"/>
    </xf>
    <xf numFmtId="0" fontId="156" fillId="63" borderId="16" xfId="131" applyFont="1" applyFill="1" applyBorder="1" applyAlignment="1">
      <alignment horizontal="center"/>
    </xf>
    <xf numFmtId="171" fontId="0" fillId="0" borderId="1" xfId="0" applyNumberFormat="1" applyBorder="1" applyAlignment="1">
      <alignment horizontal="center" vertical="center"/>
    </xf>
    <xf numFmtId="9" fontId="0" fillId="0" borderId="1" xfId="200" applyFont="1" applyFill="1" applyBorder="1" applyAlignment="1">
      <alignment horizontal="center"/>
    </xf>
    <xf numFmtId="0" fontId="79" fillId="142" borderId="1" xfId="138" applyFont="1" applyFill="1" applyBorder="1" applyAlignment="1">
      <alignment horizontal="center" vertical="center" shrinkToFit="1"/>
    </xf>
    <xf numFmtId="0" fontId="115" fillId="143" borderId="1" xfId="138" applyFont="1" applyFill="1" applyBorder="1" applyAlignment="1">
      <alignment horizontal="center" vertical="center" shrinkToFit="1"/>
    </xf>
    <xf numFmtId="0" fontId="0" fillId="93" borderId="0" xfId="0" applyFill="1"/>
    <xf numFmtId="0" fontId="13" fillId="93" borderId="0" xfId="0" applyFont="1" applyFill="1"/>
    <xf numFmtId="0" fontId="144" fillId="93" borderId="0" xfId="0" applyFont="1" applyFill="1" applyAlignment="1">
      <alignment horizontal="center"/>
    </xf>
    <xf numFmtId="171" fontId="145" fillId="93" borderId="0" xfId="0" applyNumberFormat="1" applyFont="1" applyFill="1" applyAlignment="1">
      <alignment horizontal="center"/>
    </xf>
    <xf numFmtId="0" fontId="34" fillId="93" borderId="0" xfId="0" applyFont="1" applyFill="1"/>
    <xf numFmtId="0" fontId="110" fillId="144" borderId="0" xfId="0" applyFont="1" applyFill="1" applyAlignment="1">
      <alignment horizontal="center" vertical="center"/>
    </xf>
    <xf numFmtId="0" fontId="157" fillId="145" borderId="1" xfId="138" applyFont="1" applyFill="1" applyBorder="1" applyAlignment="1">
      <alignment horizontal="center" vertical="center" shrinkToFit="1"/>
    </xf>
    <xf numFmtId="0" fontId="115" fillId="146" borderId="1" xfId="138" applyFont="1" applyFill="1" applyBorder="1" applyAlignment="1">
      <alignment horizontal="center" vertical="center" shrinkToFit="1"/>
    </xf>
    <xf numFmtId="0" fontId="50" fillId="0" borderId="0" xfId="0" applyFont="1" applyAlignment="1">
      <alignment wrapText="1" shrinkToFit="1"/>
    </xf>
    <xf numFmtId="2" fontId="51" fillId="0" borderId="0" xfId="56" applyNumberFormat="1" applyFont="1" applyFill="1" applyBorder="1" applyAlignment="1" applyProtection="1">
      <alignment shrinkToFit="1"/>
    </xf>
    <xf numFmtId="0" fontId="3" fillId="0" borderId="1" xfId="150" applyFont="1" applyBorder="1" applyAlignment="1">
      <alignment horizontal="center" vertical="center"/>
    </xf>
    <xf numFmtId="0" fontId="3" fillId="0" borderId="16" xfId="150" applyFont="1" applyBorder="1" applyAlignment="1">
      <alignment horizontal="center" vertical="center"/>
    </xf>
    <xf numFmtId="0" fontId="158" fillId="93" borderId="16" xfId="131" applyFont="1" applyFill="1" applyBorder="1" applyAlignment="1">
      <alignment horizontal="center"/>
    </xf>
    <xf numFmtId="0" fontId="85" fillId="145" borderId="1" xfId="138" applyFont="1" applyFill="1" applyBorder="1" applyAlignment="1">
      <alignment horizontal="center" vertical="center" shrinkToFit="1"/>
    </xf>
    <xf numFmtId="0" fontId="50" fillId="0" borderId="0" xfId="0" applyFont="1" applyAlignment="1">
      <alignment shrinkToFit="1"/>
    </xf>
    <xf numFmtId="0" fontId="3" fillId="0" borderId="15" xfId="138" applyFont="1" applyBorder="1" applyAlignment="1">
      <alignment horizontal="center" vertical="center" shrinkToFit="1"/>
    </xf>
    <xf numFmtId="0" fontId="47" fillId="0" borderId="63" xfId="138" applyFont="1" applyBorder="1" applyAlignment="1">
      <alignment horizontal="center" vertical="center" shrinkToFit="1"/>
    </xf>
    <xf numFmtId="173" fontId="3" fillId="134" borderId="0" xfId="138" applyNumberFormat="1" applyFont="1" applyFill="1" applyAlignment="1">
      <alignment horizontal="center" vertical="center"/>
    </xf>
    <xf numFmtId="173" fontId="3" fillId="131" borderId="0" xfId="150" applyNumberFormat="1" applyFont="1" applyFill="1" applyAlignment="1">
      <alignment horizontal="center" vertical="center" shrinkToFit="1"/>
    </xf>
    <xf numFmtId="171" fontId="3" fillId="60" borderId="0" xfId="150" applyNumberFormat="1" applyFont="1" applyFill="1" applyAlignment="1">
      <alignment horizontal="center" vertical="center" shrinkToFit="1"/>
    </xf>
    <xf numFmtId="171" fontId="111" fillId="147" borderId="0" xfId="138" applyNumberFormat="1" applyFont="1" applyFill="1" applyAlignment="1">
      <alignment horizontal="center" vertical="center"/>
    </xf>
    <xf numFmtId="0" fontId="155" fillId="72" borderId="16" xfId="131" applyFont="1" applyFill="1" applyBorder="1" applyAlignment="1">
      <alignment horizontal="center"/>
    </xf>
    <xf numFmtId="0" fontId="85" fillId="54" borderId="1" xfId="138" applyFont="1" applyFill="1" applyBorder="1" applyAlignment="1">
      <alignment horizontal="center" vertical="center" shrinkToFit="1"/>
    </xf>
    <xf numFmtId="0" fontId="115" fillId="148" borderId="1" xfId="138" applyFont="1" applyFill="1" applyBorder="1" applyAlignment="1">
      <alignment horizontal="center" vertical="center" shrinkToFit="1"/>
    </xf>
    <xf numFmtId="0" fontId="156" fillId="88" borderId="16" xfId="131" applyFont="1" applyFill="1" applyBorder="1" applyAlignment="1">
      <alignment horizontal="center"/>
    </xf>
    <xf numFmtId="0" fontId="159" fillId="149" borderId="1" xfId="138" applyFont="1" applyFill="1" applyBorder="1" applyAlignment="1">
      <alignment horizontal="center" vertical="center" shrinkToFit="1"/>
    </xf>
    <xf numFmtId="0" fontId="115" fillId="150" borderId="1" xfId="138" applyFont="1" applyFill="1" applyBorder="1" applyAlignment="1">
      <alignment horizontal="center" vertical="center" shrinkToFit="1"/>
    </xf>
    <xf numFmtId="0" fontId="110" fillId="80" borderId="16" xfId="131" applyFont="1" applyFill="1" applyBorder="1" applyAlignment="1">
      <alignment horizontal="center"/>
    </xf>
    <xf numFmtId="0" fontId="159" fillId="151" borderId="1" xfId="138" applyFont="1" applyFill="1" applyBorder="1" applyAlignment="1">
      <alignment horizontal="center" vertical="center" shrinkToFit="1"/>
    </xf>
    <xf numFmtId="0" fontId="115" fillId="152" borderId="1" xfId="138" applyFont="1" applyFill="1" applyBorder="1" applyAlignment="1">
      <alignment horizontal="center" vertical="center" shrinkToFit="1"/>
    </xf>
    <xf numFmtId="3" fontId="50" fillId="0" borderId="0" xfId="0" applyNumberFormat="1" applyFont="1" applyAlignment="1">
      <alignment shrinkToFit="1"/>
    </xf>
    <xf numFmtId="0" fontId="156" fillId="44" borderId="16" xfId="131" applyFont="1" applyFill="1" applyBorder="1" applyAlignment="1">
      <alignment horizontal="center"/>
    </xf>
    <xf numFmtId="0" fontId="115" fillId="153" borderId="1" xfId="138" applyFont="1" applyFill="1" applyBorder="1" applyAlignment="1">
      <alignment horizontal="center" vertical="center" shrinkToFit="1"/>
    </xf>
    <xf numFmtId="0" fontId="96" fillId="63" borderId="1" xfId="131" applyFont="1" applyFill="1" applyBorder="1" applyAlignment="1">
      <alignment horizontal="center"/>
    </xf>
    <xf numFmtId="0" fontId="103" fillId="154" borderId="1" xfId="138" applyFont="1" applyFill="1" applyBorder="1" applyAlignment="1">
      <alignment horizontal="center" vertical="center" shrinkToFit="1"/>
    </xf>
    <xf numFmtId="0" fontId="110" fillId="80" borderId="1" xfId="0" applyFont="1" applyFill="1" applyBorder="1" applyAlignment="1">
      <alignment horizontal="center" vertical="center"/>
    </xf>
    <xf numFmtId="0" fontId="156" fillId="50" borderId="16" xfId="131" applyFont="1" applyFill="1" applyBorder="1" applyAlignment="1">
      <alignment horizontal="center"/>
    </xf>
    <xf numFmtId="0" fontId="79" fillId="155" borderId="1" xfId="138" applyFont="1" applyFill="1" applyBorder="1" applyAlignment="1">
      <alignment horizontal="center" vertical="center" shrinkToFit="1"/>
    </xf>
    <xf numFmtId="0" fontId="110" fillId="156" borderId="1" xfId="0" applyFont="1" applyFill="1" applyBorder="1" applyAlignment="1">
      <alignment horizontal="center" vertical="center"/>
    </xf>
    <xf numFmtId="0" fontId="156" fillId="157" borderId="16" xfId="131" applyFont="1" applyFill="1" applyBorder="1" applyAlignment="1">
      <alignment horizontal="center"/>
    </xf>
    <xf numFmtId="0" fontId="110" fillId="72" borderId="1" xfId="0" applyFont="1" applyFill="1" applyBorder="1" applyAlignment="1">
      <alignment horizontal="center" vertical="center"/>
    </xf>
    <xf numFmtId="0" fontId="162" fillId="158" borderId="1" xfId="0" applyFont="1" applyFill="1" applyBorder="1" applyAlignment="1">
      <alignment horizontal="center" vertical="center"/>
    </xf>
    <xf numFmtId="0" fontId="156" fillId="55" borderId="16" xfId="131" applyFont="1" applyFill="1" applyBorder="1" applyAlignment="1">
      <alignment horizontal="center"/>
    </xf>
    <xf numFmtId="0" fontId="155" fillId="159" borderId="1" xfId="0" applyFont="1" applyFill="1" applyBorder="1" applyAlignment="1">
      <alignment horizontal="center" vertical="center"/>
    </xf>
    <xf numFmtId="0" fontId="155" fillId="0" borderId="1" xfId="138" applyFont="1" applyBorder="1" applyAlignment="1">
      <alignment vertical="center" shrinkToFit="1"/>
    </xf>
    <xf numFmtId="0" fontId="85" fillId="160" borderId="16" xfId="138" applyFont="1" applyFill="1" applyBorder="1" applyAlignment="1">
      <alignment horizontal="center" vertical="center" shrinkToFit="1"/>
    </xf>
    <xf numFmtId="0" fontId="163" fillId="161" borderId="1" xfId="138" applyFont="1" applyFill="1" applyBorder="1" applyAlignment="1">
      <alignment horizontal="center" vertical="center" shrinkToFit="1"/>
    </xf>
    <xf numFmtId="0" fontId="85" fillId="0" borderId="1" xfId="138" applyFont="1" applyBorder="1" applyAlignment="1">
      <alignment horizontal="center" vertical="center" shrinkToFit="1"/>
    </xf>
    <xf numFmtId="0" fontId="156" fillId="44" borderId="1" xfId="131" applyFont="1" applyFill="1" applyBorder="1" applyAlignment="1">
      <alignment horizontal="center"/>
    </xf>
    <xf numFmtId="0" fontId="115" fillId="162" borderId="1" xfId="138" applyFont="1" applyFill="1" applyBorder="1" applyAlignment="1">
      <alignment horizontal="center" vertical="center" shrinkToFit="1"/>
    </xf>
    <xf numFmtId="0" fontId="85" fillId="107" borderId="1" xfId="138" applyFont="1" applyFill="1" applyBorder="1" applyAlignment="1">
      <alignment horizontal="center" vertical="center" shrinkToFit="1"/>
    </xf>
    <xf numFmtId="0" fontId="85" fillId="163" borderId="16" xfId="138" applyFont="1" applyFill="1" applyBorder="1" applyAlignment="1">
      <alignment horizontal="center" vertical="center" shrinkToFit="1"/>
    </xf>
    <xf numFmtId="0" fontId="79" fillId="164" borderId="1" xfId="138" applyFont="1" applyFill="1" applyBorder="1" applyAlignment="1">
      <alignment horizontal="center" vertical="center" shrinkToFit="1"/>
    </xf>
    <xf numFmtId="0" fontId="156" fillId="128" borderId="1" xfId="0" applyFont="1" applyFill="1" applyBorder="1" applyAlignment="1">
      <alignment horizontal="center" vertical="center"/>
    </xf>
    <xf numFmtId="0" fontId="85" fillId="165" borderId="16" xfId="138" applyFont="1" applyFill="1" applyBorder="1" applyAlignment="1">
      <alignment horizontal="center" vertical="center" shrinkToFit="1"/>
    </xf>
    <xf numFmtId="0" fontId="115" fillId="166" borderId="1" xfId="138" applyFont="1" applyFill="1" applyBorder="1" applyAlignment="1">
      <alignment horizontal="center" vertical="center" shrinkToFit="1"/>
    </xf>
    <xf numFmtId="0" fontId="115" fillId="167" borderId="1" xfId="138" applyFont="1" applyFill="1" applyBorder="1" applyAlignment="1">
      <alignment horizontal="center" vertical="center" shrinkToFit="1"/>
    </xf>
    <xf numFmtId="0" fontId="164" fillId="44" borderId="1" xfId="131" applyFont="1" applyFill="1" applyBorder="1" applyAlignment="1">
      <alignment horizontal="center"/>
    </xf>
    <xf numFmtId="0" fontId="152" fillId="138" borderId="0" xfId="0" applyFont="1" applyFill="1" applyAlignment="1">
      <alignment horizontal="center" vertical="center"/>
    </xf>
    <xf numFmtId="0" fontId="155" fillId="0" borderId="1" xfId="138" applyFont="1" applyBorder="1" applyAlignment="1">
      <alignment shrinkToFit="1"/>
    </xf>
    <xf numFmtId="0" fontId="165" fillId="52" borderId="1" xfId="0" applyFont="1" applyFill="1" applyBorder="1" applyAlignment="1">
      <alignment horizontal="center"/>
    </xf>
    <xf numFmtId="0" fontId="85" fillId="118" borderId="1" xfId="138" applyFont="1" applyFill="1" applyBorder="1" applyAlignment="1">
      <alignment horizontal="center" vertical="center" shrinkToFit="1"/>
    </xf>
    <xf numFmtId="0" fontId="115" fillId="168" borderId="16" xfId="138" applyFont="1" applyFill="1" applyBorder="1" applyAlignment="1">
      <alignment horizontal="center" vertical="center" shrinkToFit="1"/>
    </xf>
    <xf numFmtId="0" fontId="110" fillId="136" borderId="1" xfId="0" applyFont="1" applyFill="1" applyBorder="1" applyAlignment="1">
      <alignment horizontal="center" vertical="center"/>
    </xf>
    <xf numFmtId="0" fontId="57" fillId="169" borderId="16" xfId="138" applyFont="1" applyFill="1" applyBorder="1" applyAlignment="1">
      <alignment horizontal="center" vertical="center" shrinkToFit="1"/>
    </xf>
    <xf numFmtId="0" fontId="110" fillId="149" borderId="1" xfId="0" applyFont="1" applyFill="1" applyBorder="1" applyAlignment="1">
      <alignment horizontal="center" vertical="center"/>
    </xf>
    <xf numFmtId="0" fontId="115" fillId="170" borderId="16" xfId="138" applyFont="1" applyFill="1" applyBorder="1" applyAlignment="1">
      <alignment horizontal="center" vertical="center" shrinkToFit="1"/>
    </xf>
    <xf numFmtId="0" fontId="115" fillId="171" borderId="16" xfId="138" applyFont="1" applyFill="1" applyBorder="1" applyAlignment="1">
      <alignment horizontal="center" vertical="center" shrinkToFit="1"/>
    </xf>
    <xf numFmtId="0" fontId="161" fillId="172" borderId="1" xfId="0" applyFont="1" applyFill="1" applyBorder="1" applyAlignment="1">
      <alignment horizontal="center" vertical="center"/>
    </xf>
    <xf numFmtId="0" fontId="156" fillId="173" borderId="1" xfId="0" applyFont="1" applyFill="1" applyBorder="1" applyAlignment="1">
      <alignment horizontal="center"/>
    </xf>
    <xf numFmtId="0" fontId="115" fillId="89" borderId="1" xfId="138" applyFont="1" applyFill="1" applyBorder="1" applyAlignment="1">
      <alignment horizontal="center" vertical="center" shrinkToFit="1"/>
    </xf>
    <xf numFmtId="0" fontId="156" fillId="44" borderId="1" xfId="0" applyFont="1" applyFill="1" applyBorder="1" applyAlignment="1">
      <alignment horizontal="center" vertical="center"/>
    </xf>
    <xf numFmtId="0" fontId="155" fillId="174" borderId="1" xfId="0" applyFont="1" applyFill="1" applyBorder="1" applyAlignment="1">
      <alignment horizontal="center" vertical="center"/>
    </xf>
    <xf numFmtId="0" fontId="166" fillId="175" borderId="1" xfId="0" applyFont="1" applyFill="1" applyBorder="1" applyAlignment="1">
      <alignment horizontal="center" vertical="center"/>
    </xf>
    <xf numFmtId="0" fontId="155" fillId="34" borderId="1" xfId="0" applyFont="1" applyFill="1" applyBorder="1" applyAlignment="1">
      <alignment horizontal="center" vertical="center"/>
    </xf>
    <xf numFmtId="0" fontId="166" fillId="176" borderId="1" xfId="0" applyFont="1" applyFill="1" applyBorder="1" applyAlignment="1">
      <alignment horizontal="center" vertical="center"/>
    </xf>
    <xf numFmtId="0" fontId="150" fillId="0" borderId="60" xfId="0" applyFont="1" applyBorder="1"/>
    <xf numFmtId="0" fontId="35" fillId="177" borderId="59" xfId="138" applyFont="1" applyFill="1" applyBorder="1" applyAlignment="1">
      <alignment vertical="center" shrinkToFit="1"/>
    </xf>
    <xf numFmtId="171" fontId="3" fillId="134" borderId="0" xfId="138" applyNumberFormat="1" applyFont="1" applyFill="1" applyAlignment="1">
      <alignment horizontal="center" vertical="center"/>
    </xf>
    <xf numFmtId="171" fontId="3" fillId="131" borderId="0" xfId="150" applyNumberFormat="1" applyFont="1" applyFill="1" applyAlignment="1">
      <alignment horizontal="center" vertical="center" shrinkToFit="1"/>
    </xf>
    <xf numFmtId="0" fontId="35" fillId="177" borderId="65" xfId="138" applyFont="1" applyFill="1" applyBorder="1" applyAlignment="1">
      <alignment vertical="center" shrinkToFit="1"/>
    </xf>
    <xf numFmtId="0" fontId="155" fillId="0" borderId="15" xfId="126" applyFont="1" applyBorder="1" applyAlignment="1">
      <alignment horizontal="left" shrinkToFit="1"/>
    </xf>
    <xf numFmtId="0" fontId="110" fillId="61" borderId="1" xfId="131" applyFont="1" applyFill="1" applyBorder="1" applyAlignment="1">
      <alignment horizontal="center"/>
    </xf>
    <xf numFmtId="0" fontId="85" fillId="90" borderId="1" xfId="138" applyFont="1" applyFill="1" applyBorder="1" applyAlignment="1">
      <alignment horizontal="center" vertical="center" shrinkToFit="1"/>
    </xf>
    <xf numFmtId="0" fontId="115" fillId="179" borderId="1" xfId="138" applyFont="1" applyFill="1" applyBorder="1" applyAlignment="1">
      <alignment horizontal="center" vertical="center" shrinkToFit="1"/>
    </xf>
    <xf numFmtId="0" fontId="12" fillId="0" borderId="0" xfId="0" applyFont="1"/>
    <xf numFmtId="0" fontId="57" fillId="59" borderId="1" xfId="138" applyFont="1" applyFill="1" applyBorder="1" applyAlignment="1">
      <alignment horizontal="center" vertical="center" shrinkToFit="1"/>
    </xf>
    <xf numFmtId="0" fontId="159" fillId="180" borderId="1" xfId="138" applyFont="1" applyFill="1" applyBorder="1" applyAlignment="1">
      <alignment horizontal="center" vertical="center" shrinkToFit="1"/>
    </xf>
    <xf numFmtId="0" fontId="169" fillId="181" borderId="1" xfId="0" applyFont="1" applyFill="1" applyBorder="1" applyAlignment="1">
      <alignment horizontal="center" vertical="center"/>
    </xf>
    <xf numFmtId="0" fontId="3" fillId="0" borderId="66" xfId="138" applyFont="1" applyBorder="1" applyAlignment="1">
      <alignment horizontal="center" vertical="center" shrinkToFit="1"/>
    </xf>
    <xf numFmtId="0" fontId="47" fillId="0" borderId="68" xfId="138" applyFont="1" applyBorder="1" applyAlignment="1">
      <alignment horizontal="center" vertical="center" shrinkToFit="1"/>
    </xf>
    <xf numFmtId="0" fontId="161" fillId="156" borderId="1" xfId="0" applyFont="1" applyFill="1" applyBorder="1" applyAlignment="1">
      <alignment horizontal="center"/>
    </xf>
    <xf numFmtId="0" fontId="159" fillId="182" borderId="1" xfId="138" applyFont="1" applyFill="1" applyBorder="1" applyAlignment="1">
      <alignment horizontal="center" vertical="center" shrinkToFit="1"/>
    </xf>
    <xf numFmtId="0" fontId="156" fillId="183" borderId="1" xfId="0" applyFont="1" applyFill="1" applyBorder="1" applyAlignment="1">
      <alignment horizontal="center" vertical="center"/>
    </xf>
    <xf numFmtId="0" fontId="47" fillId="0" borderId="26" xfId="138" applyFont="1" applyBorder="1" applyAlignment="1">
      <alignment horizontal="center" vertical="center" shrinkToFit="1"/>
    </xf>
    <xf numFmtId="0" fontId="35" fillId="42" borderId="1" xfId="0" applyFont="1" applyFill="1" applyBorder="1" applyAlignment="1">
      <alignment horizontal="center" vertical="center"/>
    </xf>
    <xf numFmtId="0" fontId="156" fillId="156" borderId="1" xfId="0" applyFont="1" applyFill="1" applyBorder="1" applyAlignment="1">
      <alignment horizontal="center"/>
    </xf>
    <xf numFmtId="0" fontId="157" fillId="101" borderId="1" xfId="138" applyFont="1" applyFill="1" applyBorder="1" applyAlignment="1">
      <alignment horizontal="center" vertical="center" shrinkToFit="1"/>
    </xf>
    <xf numFmtId="0" fontId="167" fillId="184" borderId="69" xfId="0" applyFont="1" applyFill="1" applyBorder="1" applyAlignment="1">
      <alignment horizontal="center" vertical="center"/>
    </xf>
    <xf numFmtId="0" fontId="85" fillId="103" borderId="1" xfId="138" applyFont="1" applyFill="1" applyBorder="1" applyAlignment="1">
      <alignment horizontal="center" vertical="center" shrinkToFit="1"/>
    </xf>
    <xf numFmtId="0" fontId="51" fillId="52" borderId="70" xfId="0" applyFont="1" applyFill="1" applyBorder="1" applyAlignment="1">
      <alignment horizontal="center" vertical="center"/>
    </xf>
    <xf numFmtId="0" fontId="156" fillId="81" borderId="1" xfId="0" applyFont="1" applyFill="1" applyBorder="1" applyAlignment="1">
      <alignment horizontal="center"/>
    </xf>
    <xf numFmtId="0" fontId="157" fillId="126" borderId="1" xfId="138" applyFont="1" applyFill="1" applyBorder="1" applyAlignment="1">
      <alignment horizontal="center" vertical="center" shrinkToFit="1"/>
    </xf>
    <xf numFmtId="0" fontId="57" fillId="125" borderId="1" xfId="138" applyFont="1" applyFill="1" applyBorder="1" applyAlignment="1">
      <alignment horizontal="center" vertical="center" shrinkToFit="1"/>
    </xf>
    <xf numFmtId="0" fontId="115" fillId="101" borderId="1" xfId="138" applyFont="1" applyFill="1" applyBorder="1" applyAlignment="1">
      <alignment horizontal="center" vertical="center" shrinkToFit="1"/>
    </xf>
    <xf numFmtId="0" fontId="85" fillId="105" borderId="1" xfId="138" applyFont="1" applyFill="1" applyBorder="1" applyAlignment="1">
      <alignment horizontal="center" vertical="center" shrinkToFit="1"/>
    </xf>
    <xf numFmtId="0" fontId="156" fillId="174" borderId="1" xfId="0" applyFont="1" applyFill="1" applyBorder="1" applyAlignment="1">
      <alignment horizontal="center"/>
    </xf>
    <xf numFmtId="0" fontId="103" fillId="185" borderId="1" xfId="138" applyFont="1" applyFill="1" applyBorder="1" applyAlignment="1">
      <alignment horizontal="center" vertical="center" shrinkToFit="1"/>
    </xf>
    <xf numFmtId="0" fontId="115" fillId="186" borderId="1" xfId="138" applyFont="1" applyFill="1" applyBorder="1" applyAlignment="1">
      <alignment horizontal="center" vertical="center" shrinkToFit="1"/>
    </xf>
    <xf numFmtId="0" fontId="150" fillId="139" borderId="44" xfId="0" applyFont="1" applyFill="1" applyBorder="1" applyAlignment="1">
      <alignment wrapText="1"/>
    </xf>
    <xf numFmtId="0" fontId="110" fillId="127" borderId="1" xfId="131" applyFont="1" applyFill="1" applyBorder="1" applyAlignment="1">
      <alignment horizontal="center"/>
    </xf>
    <xf numFmtId="0" fontId="79" fillId="187" borderId="1" xfId="138" applyFont="1" applyFill="1" applyBorder="1" applyAlignment="1">
      <alignment horizontal="center" vertical="center" shrinkToFit="1"/>
    </xf>
    <xf numFmtId="0" fontId="85" fillId="106" borderId="1" xfId="138" applyFont="1" applyFill="1" applyBorder="1" applyAlignment="1">
      <alignment horizontal="center" vertical="center" shrinkToFit="1"/>
    </xf>
    <xf numFmtId="0" fontId="35" fillId="70" borderId="71" xfId="0" applyFont="1" applyFill="1" applyBorder="1" applyAlignment="1">
      <alignment horizontal="center" vertical="center"/>
    </xf>
    <xf numFmtId="0" fontId="115" fillId="188" borderId="1" xfId="138" applyFont="1" applyFill="1" applyBorder="1" applyAlignment="1">
      <alignment horizontal="center" vertical="center" shrinkToFit="1"/>
    </xf>
    <xf numFmtId="0" fontId="155" fillId="63" borderId="1" xfId="0" applyFont="1" applyFill="1" applyBorder="1" applyAlignment="1">
      <alignment horizontal="center" vertical="center"/>
    </xf>
    <xf numFmtId="0" fontId="35" fillId="34" borderId="72" xfId="0" applyFont="1" applyFill="1" applyBorder="1" applyAlignment="1">
      <alignment horizontal="center" vertical="center"/>
    </xf>
    <xf numFmtId="0" fontId="3" fillId="134" borderId="0" xfId="138" applyFont="1" applyFill="1" applyAlignment="1">
      <alignment horizontal="center" vertical="center"/>
    </xf>
    <xf numFmtId="0" fontId="3" fillId="131" borderId="0" xfId="150" applyFont="1" applyFill="1" applyAlignment="1">
      <alignment horizontal="center" vertical="center" shrinkToFit="1"/>
    </xf>
    <xf numFmtId="0" fontId="155" fillId="189" borderId="1" xfId="0" applyFont="1" applyFill="1" applyBorder="1" applyAlignment="1">
      <alignment horizontal="center"/>
    </xf>
    <xf numFmtId="0" fontId="115" fillId="190" borderId="1" xfId="138" applyFont="1" applyFill="1" applyBorder="1" applyAlignment="1">
      <alignment horizontal="center" vertical="center" shrinkToFit="1"/>
    </xf>
    <xf numFmtId="0" fontId="35" fillId="41" borderId="70" xfId="0" applyFont="1" applyFill="1" applyBorder="1" applyAlignment="1">
      <alignment horizontal="center" vertical="center"/>
    </xf>
    <xf numFmtId="0" fontId="115" fillId="191" borderId="1" xfId="138" applyFont="1" applyFill="1" applyBorder="1" applyAlignment="1">
      <alignment horizontal="center" vertical="center" shrinkToFit="1"/>
    </xf>
    <xf numFmtId="0" fontId="51" fillId="192" borderId="1" xfId="150" applyFont="1" applyFill="1" applyBorder="1" applyAlignment="1">
      <alignment horizontal="center" vertical="center" shrinkToFit="1"/>
    </xf>
    <xf numFmtId="0" fontId="115" fillId="60" borderId="1" xfId="138" applyFont="1" applyFill="1" applyBorder="1" applyAlignment="1">
      <alignment horizontal="center" vertical="center" shrinkToFit="1"/>
    </xf>
    <xf numFmtId="0" fontId="157" fillId="35" borderId="1" xfId="0" applyFont="1" applyFill="1" applyBorder="1" applyAlignment="1">
      <alignment horizontal="center" vertical="center"/>
    </xf>
    <xf numFmtId="0" fontId="115" fillId="193" borderId="1" xfId="138" applyFont="1" applyFill="1" applyBorder="1" applyAlignment="1">
      <alignment horizontal="center" vertical="center" shrinkToFit="1"/>
    </xf>
    <xf numFmtId="0" fontId="162" fillId="81" borderId="1" xfId="0" applyFont="1" applyFill="1" applyBorder="1" applyAlignment="1">
      <alignment horizontal="center"/>
    </xf>
    <xf numFmtId="0" fontId="16" fillId="174" borderId="1" xfId="0" applyFont="1" applyFill="1" applyBorder="1" applyAlignment="1">
      <alignment horizontal="center" vertical="center"/>
    </xf>
    <xf numFmtId="0" fontId="150" fillId="139" borderId="41" xfId="0" applyFont="1" applyFill="1" applyBorder="1" applyAlignment="1">
      <alignment wrapText="1"/>
    </xf>
    <xf numFmtId="0" fontId="115" fillId="194" borderId="1" xfId="138" applyFont="1" applyFill="1" applyBorder="1" applyAlignment="1">
      <alignment horizontal="center" vertical="center" shrinkToFit="1"/>
    </xf>
    <xf numFmtId="0" fontId="156" fillId="0" borderId="1" xfId="0" applyFont="1" applyBorder="1"/>
    <xf numFmtId="171" fontId="156" fillId="0" borderId="1" xfId="0" applyNumberFormat="1" applyFont="1" applyBorder="1" applyAlignment="1">
      <alignment horizontal="center" vertical="center"/>
    </xf>
    <xf numFmtId="0" fontId="85" fillId="160" borderId="1" xfId="138" applyFont="1" applyFill="1" applyBorder="1" applyAlignment="1">
      <alignment horizontal="center" vertical="center" shrinkToFit="1"/>
    </xf>
    <xf numFmtId="0" fontId="115" fillId="195" borderId="1" xfId="0" applyFont="1" applyFill="1" applyBorder="1" applyAlignment="1">
      <alignment horizontal="center" vertical="center"/>
    </xf>
    <xf numFmtId="0" fontId="170" fillId="126" borderId="1" xfId="131" applyFont="1" applyFill="1" applyBorder="1" applyAlignment="1">
      <alignment horizontal="center"/>
    </xf>
    <xf numFmtId="0" fontId="155" fillId="0" borderId="1" xfId="126" applyFont="1" applyBorder="1" applyAlignment="1" applyProtection="1">
      <alignment shrinkToFit="1"/>
      <protection locked="0"/>
    </xf>
    <xf numFmtId="0" fontId="171" fillId="196" borderId="1" xfId="131" applyFont="1" applyFill="1" applyBorder="1" applyAlignment="1">
      <alignment horizontal="center"/>
    </xf>
    <xf numFmtId="0" fontId="115" fillId="197" borderId="1" xfId="0" applyFont="1" applyFill="1" applyBorder="1" applyAlignment="1">
      <alignment horizontal="center" vertical="center"/>
    </xf>
    <xf numFmtId="0" fontId="85" fillId="44" borderId="1" xfId="0" applyFont="1" applyFill="1" applyBorder="1" applyAlignment="1">
      <alignment horizontal="center" vertical="center"/>
    </xf>
    <xf numFmtId="0" fontId="150" fillId="88" borderId="0" xfId="0" applyFont="1" applyFill="1"/>
    <xf numFmtId="0" fontId="3" fillId="0" borderId="26" xfId="138" applyFont="1" applyBorder="1" applyAlignment="1">
      <alignment horizontal="center" vertical="center" shrinkToFit="1"/>
    </xf>
    <xf numFmtId="0" fontId="35" fillId="61" borderId="0" xfId="0" applyFont="1" applyFill="1" applyAlignment="1">
      <alignment horizontal="center" vertical="center"/>
    </xf>
    <xf numFmtId="0" fontId="3" fillId="0" borderId="0" xfId="138" applyFont="1" applyAlignment="1">
      <alignment horizontal="center" vertical="center" shrinkToFit="1"/>
    </xf>
    <xf numFmtId="0" fontId="47" fillId="0" borderId="0" xfId="138" applyFont="1" applyAlignment="1">
      <alignment horizontal="center" vertical="center" shrinkToFit="1"/>
    </xf>
    <xf numFmtId="0" fontId="85" fillId="71" borderId="1" xfId="0" applyFont="1" applyFill="1" applyBorder="1" applyAlignment="1">
      <alignment horizontal="center" vertical="center" wrapText="1"/>
    </xf>
    <xf numFmtId="0" fontId="35" fillId="177" borderId="16" xfId="138" applyFont="1" applyFill="1" applyBorder="1" applyAlignment="1">
      <alignment vertical="center" shrinkToFit="1"/>
    </xf>
    <xf numFmtId="0" fontId="35" fillId="177" borderId="77" xfId="138" applyFont="1" applyFill="1" applyBorder="1" applyAlignment="1">
      <alignment vertical="center" shrinkToFit="1"/>
    </xf>
    <xf numFmtId="0" fontId="162" fillId="35" borderId="16" xfId="0" applyFont="1" applyFill="1" applyBorder="1" applyAlignment="1">
      <alignment horizontal="center"/>
    </xf>
    <xf numFmtId="0" fontId="115" fillId="198" borderId="1" xfId="138" applyFont="1" applyFill="1" applyBorder="1" applyAlignment="1">
      <alignment horizontal="center" vertical="center" shrinkToFit="1"/>
    </xf>
    <xf numFmtId="0" fontId="161" fillId="199" borderId="1" xfId="0" applyFont="1" applyFill="1" applyBorder="1" applyAlignment="1">
      <alignment horizontal="center"/>
    </xf>
    <xf numFmtId="0" fontId="163" fillId="200" borderId="1" xfId="0" applyFont="1" applyFill="1" applyBorder="1" applyAlignment="1">
      <alignment horizontal="center" vertical="center"/>
    </xf>
    <xf numFmtId="0" fontId="156" fillId="201" borderId="1" xfId="0" applyFont="1" applyFill="1" applyBorder="1" applyAlignment="1">
      <alignment horizontal="center"/>
    </xf>
    <xf numFmtId="0" fontId="173" fillId="202" borderId="1" xfId="138" applyFont="1" applyFill="1" applyBorder="1" applyAlignment="1">
      <alignment horizontal="center" vertical="center" shrinkToFit="1"/>
    </xf>
    <xf numFmtId="0" fontId="57" fillId="169" borderId="1" xfId="138" applyFont="1" applyFill="1" applyBorder="1" applyAlignment="1">
      <alignment horizontal="center" vertical="center" shrinkToFit="1"/>
    </xf>
    <xf numFmtId="0" fontId="115" fillId="203" borderId="1" xfId="138" applyFont="1" applyFill="1" applyBorder="1" applyAlignment="1">
      <alignment horizontal="center" vertical="center" shrinkToFit="1"/>
    </xf>
    <xf numFmtId="0" fontId="156" fillId="35" borderId="1" xfId="0" applyFont="1" applyFill="1" applyBorder="1" applyAlignment="1">
      <alignment horizontal="center"/>
    </xf>
    <xf numFmtId="0" fontId="115" fillId="204" borderId="1" xfId="138" applyFont="1" applyFill="1" applyBorder="1" applyAlignment="1">
      <alignment horizontal="center" vertical="center" shrinkToFit="1"/>
    </xf>
    <xf numFmtId="0" fontId="150" fillId="88" borderId="0" xfId="0" applyFont="1" applyFill="1" applyAlignment="1">
      <alignment wrapText="1"/>
    </xf>
    <xf numFmtId="0" fontId="110" fillId="44" borderId="1" xfId="0" applyFont="1" applyFill="1" applyBorder="1" applyAlignment="1">
      <alignment horizontal="center"/>
    </xf>
    <xf numFmtId="0" fontId="85" fillId="205" borderId="1" xfId="138" applyFont="1" applyFill="1" applyBorder="1" applyAlignment="1">
      <alignment horizontal="center" vertical="center" shrinkToFit="1"/>
    </xf>
    <xf numFmtId="0" fontId="115" fillId="206" borderId="1" xfId="138" applyFont="1" applyFill="1" applyBorder="1" applyAlignment="1">
      <alignment horizontal="center" vertical="center" shrinkToFit="1"/>
    </xf>
    <xf numFmtId="0" fontId="40" fillId="63" borderId="0" xfId="0" applyFont="1" applyFill="1" applyAlignment="1">
      <alignment horizontal="center" vertical="center"/>
    </xf>
    <xf numFmtId="0" fontId="157" fillId="127" borderId="1" xfId="138" applyFont="1" applyFill="1" applyBorder="1" applyAlignment="1">
      <alignment horizontal="center" vertical="center" shrinkToFit="1"/>
    </xf>
    <xf numFmtId="0" fontId="110" fillId="120" borderId="1" xfId="0" applyFont="1" applyFill="1" applyBorder="1" applyAlignment="1">
      <alignment horizontal="center" vertical="center"/>
    </xf>
    <xf numFmtId="0" fontId="115" fillId="52" borderId="1" xfId="0" applyFont="1" applyFill="1" applyBorder="1" applyAlignment="1">
      <alignment horizontal="center" vertical="center"/>
    </xf>
    <xf numFmtId="0" fontId="174" fillId="127" borderId="1" xfId="138" applyFont="1" applyFill="1" applyBorder="1" applyAlignment="1">
      <alignment horizontal="center" vertical="center" shrinkToFit="1"/>
    </xf>
    <xf numFmtId="0" fontId="115" fillId="207" borderId="1" xfId="138" applyFont="1" applyFill="1" applyBorder="1" applyAlignment="1">
      <alignment horizontal="center" vertical="center" shrinkToFit="1"/>
    </xf>
    <xf numFmtId="0" fontId="0" fillId="138" borderId="44" xfId="0" applyFill="1" applyBorder="1" applyAlignment="1">
      <alignment wrapText="1"/>
    </xf>
    <xf numFmtId="0" fontId="175" fillId="52" borderId="1" xfId="138" applyFont="1" applyFill="1" applyBorder="1" applyAlignment="1">
      <alignment horizontal="center" vertical="center" shrinkToFit="1"/>
    </xf>
    <xf numFmtId="0" fontId="115" fillId="208" borderId="1" xfId="138" applyFont="1" applyFill="1" applyBorder="1" applyAlignment="1">
      <alignment horizontal="center" vertical="center" shrinkToFit="1"/>
    </xf>
    <xf numFmtId="0" fontId="85" fillId="209" borderId="1" xfId="138" applyFont="1" applyFill="1" applyBorder="1" applyAlignment="1">
      <alignment horizontal="center" vertical="center" shrinkToFit="1"/>
    </xf>
    <xf numFmtId="0" fontId="167" fillId="63" borderId="0" xfId="0" applyFont="1" applyFill="1" applyAlignment="1">
      <alignment horizontal="center" vertical="center"/>
    </xf>
    <xf numFmtId="0" fontId="85" fillId="210" borderId="1" xfId="138" applyFont="1" applyFill="1" applyBorder="1" applyAlignment="1" applyProtection="1">
      <alignment horizontal="center" vertical="center" shrinkToFit="1"/>
      <protection locked="0"/>
    </xf>
    <xf numFmtId="0" fontId="57" fillId="184" borderId="1" xfId="138" applyFont="1" applyFill="1" applyBorder="1" applyAlignment="1">
      <alignment horizontal="center" vertical="center" shrinkToFit="1"/>
    </xf>
    <xf numFmtId="0" fontId="57" fillId="211" borderId="1" xfId="0" applyFont="1" applyFill="1" applyBorder="1" applyAlignment="1">
      <alignment horizontal="center" vertical="center"/>
    </xf>
    <xf numFmtId="0" fontId="115" fillId="212" borderId="1" xfId="138" applyFont="1" applyFill="1" applyBorder="1" applyAlignment="1">
      <alignment horizontal="center" vertical="center" shrinkToFit="1"/>
    </xf>
    <xf numFmtId="0" fontId="85" fillId="108" borderId="1" xfId="138" applyFont="1" applyFill="1" applyBorder="1" applyAlignment="1">
      <alignment horizontal="center" vertical="center" shrinkToFit="1"/>
    </xf>
    <xf numFmtId="0" fontId="156" fillId="80" borderId="1" xfId="0" applyFont="1" applyFill="1" applyBorder="1" applyAlignment="1">
      <alignment horizontal="center"/>
    </xf>
    <xf numFmtId="0" fontId="57" fillId="213" borderId="1" xfId="138" applyFont="1" applyFill="1" applyBorder="1" applyAlignment="1">
      <alignment horizontal="center" vertical="center" shrinkToFit="1"/>
    </xf>
    <xf numFmtId="0" fontId="85" fillId="42" borderId="1" xfId="0" applyFont="1" applyFill="1" applyBorder="1" applyAlignment="1">
      <alignment horizontal="center" vertical="center" wrapText="1"/>
    </xf>
    <xf numFmtId="0" fontId="57" fillId="214" borderId="1" xfId="138" applyFont="1" applyFill="1" applyBorder="1" applyAlignment="1">
      <alignment horizontal="center" vertical="center" shrinkToFit="1"/>
    </xf>
    <xf numFmtId="0" fontId="79" fillId="215" borderId="1" xfId="0" applyFont="1" applyFill="1" applyBorder="1" applyAlignment="1">
      <alignment horizontal="center" vertical="center"/>
    </xf>
    <xf numFmtId="0" fontId="79" fillId="50" borderId="1" xfId="138" applyFont="1" applyFill="1" applyBorder="1" applyAlignment="1">
      <alignment horizontal="center" vertical="center" shrinkToFit="1"/>
    </xf>
    <xf numFmtId="0" fontId="85" fillId="34" borderId="1" xfId="0" applyFont="1" applyFill="1" applyBorder="1" applyAlignment="1">
      <alignment horizontal="center" vertical="center"/>
    </xf>
    <xf numFmtId="0" fontId="157" fillId="55" borderId="1" xfId="138" applyFont="1" applyFill="1" applyBorder="1" applyAlignment="1" applyProtection="1">
      <alignment horizontal="center" vertical="center" shrinkToFit="1"/>
      <protection locked="0"/>
    </xf>
    <xf numFmtId="0" fontId="176" fillId="216" borderId="1" xfId="138" applyFont="1" applyFill="1" applyBorder="1" applyAlignment="1">
      <alignment horizontal="center" vertical="center" shrinkToFit="1"/>
    </xf>
    <xf numFmtId="0" fontId="85" fillId="216" borderId="1" xfId="138" applyFont="1" applyFill="1" applyBorder="1" applyAlignment="1">
      <alignment horizontal="center" vertical="center" shrinkToFit="1"/>
    </xf>
    <xf numFmtId="0" fontId="85" fillId="54" borderId="1" xfId="0" applyFont="1" applyFill="1" applyBorder="1" applyAlignment="1">
      <alignment horizontal="center" vertical="center"/>
    </xf>
    <xf numFmtId="0" fontId="85" fillId="217" borderId="1" xfId="138" applyFont="1" applyFill="1" applyBorder="1" applyAlignment="1">
      <alignment horizontal="center" vertical="center" shrinkToFit="1"/>
    </xf>
    <xf numFmtId="0" fontId="163" fillId="218" borderId="1" xfId="0" applyFont="1" applyFill="1" applyBorder="1" applyAlignment="1">
      <alignment horizontal="center" vertical="center"/>
    </xf>
    <xf numFmtId="0" fontId="156" fillId="42" borderId="1" xfId="0" applyFont="1" applyFill="1" applyBorder="1" applyAlignment="1">
      <alignment horizontal="center"/>
    </xf>
    <xf numFmtId="0" fontId="156" fillId="52" borderId="1" xfId="0" applyFont="1" applyFill="1" applyBorder="1" applyAlignment="1">
      <alignment horizontal="center"/>
    </xf>
    <xf numFmtId="0" fontId="85" fillId="219" borderId="1" xfId="0" applyFont="1" applyFill="1" applyBorder="1" applyAlignment="1">
      <alignment horizontal="center" vertical="center" wrapText="1"/>
    </xf>
    <xf numFmtId="0" fontId="162" fillId="173" borderId="1" xfId="131" applyFont="1" applyFill="1" applyBorder="1" applyAlignment="1">
      <alignment horizontal="center"/>
    </xf>
    <xf numFmtId="0" fontId="79" fillId="220" borderId="1" xfId="138" applyFont="1" applyFill="1" applyBorder="1" applyAlignment="1">
      <alignment horizontal="center" vertical="center" shrinkToFit="1"/>
    </xf>
    <xf numFmtId="0" fontId="156" fillId="55" borderId="1" xfId="0" applyFont="1" applyFill="1" applyBorder="1" applyAlignment="1">
      <alignment horizontal="center"/>
    </xf>
    <xf numFmtId="0" fontId="156" fillId="188" borderId="1" xfId="0" applyFont="1" applyFill="1" applyBorder="1" applyAlignment="1">
      <alignment horizontal="center"/>
    </xf>
    <xf numFmtId="0" fontId="177" fillId="221" borderId="1" xfId="138" applyFont="1" applyFill="1" applyBorder="1" applyAlignment="1">
      <alignment horizontal="center" vertical="center" shrinkToFit="1"/>
    </xf>
    <xf numFmtId="0" fontId="50" fillId="0" borderId="0" xfId="138" applyFont="1" applyAlignment="1">
      <alignment horizontal="center" vertical="center" shrinkToFit="1"/>
    </xf>
    <xf numFmtId="0" fontId="35" fillId="177" borderId="0" xfId="138" applyFont="1" applyFill="1" applyAlignment="1">
      <alignment vertical="center" shrinkToFit="1"/>
    </xf>
    <xf numFmtId="171" fontId="0" fillId="0" borderId="0" xfId="0" applyNumberFormat="1"/>
    <xf numFmtId="0" fontId="115" fillId="138" borderId="1" xfId="0" applyFont="1" applyFill="1" applyBorder="1" applyAlignment="1">
      <alignment horizontal="center" vertical="center"/>
    </xf>
    <xf numFmtId="0" fontId="57" fillId="0" borderId="82" xfId="138" applyFont="1" applyBorder="1" applyAlignment="1">
      <alignment vertical="center" shrinkToFit="1"/>
    </xf>
    <xf numFmtId="0" fontId="2" fillId="0" borderId="16" xfId="150" applyBorder="1" applyAlignment="1">
      <alignment horizontal="center" vertical="center"/>
    </xf>
    <xf numFmtId="0" fontId="2" fillId="0" borderId="1" xfId="150" applyBorder="1" applyAlignment="1">
      <alignment horizontal="center" vertical="center"/>
    </xf>
    <xf numFmtId="0" fontId="85" fillId="222" borderId="1" xfId="138" applyFont="1" applyFill="1" applyBorder="1" applyAlignment="1">
      <alignment horizontal="center" vertical="center" shrinkToFit="1"/>
    </xf>
    <xf numFmtId="0" fontId="79" fillId="101" borderId="1" xfId="138" applyFont="1" applyFill="1" applyBorder="1" applyAlignment="1">
      <alignment horizontal="center" vertical="center" shrinkToFit="1"/>
    </xf>
    <xf numFmtId="0" fontId="85" fillId="223" borderId="1" xfId="138" applyFont="1" applyFill="1" applyBorder="1" applyAlignment="1">
      <alignment horizontal="center" vertical="center" shrinkToFit="1"/>
    </xf>
    <xf numFmtId="0" fontId="178" fillId="224" borderId="1" xfId="138" applyFont="1" applyFill="1" applyBorder="1" applyAlignment="1">
      <alignment horizontal="center" vertical="center" shrinkToFit="1"/>
    </xf>
    <xf numFmtId="0" fontId="179" fillId="225" borderId="1" xfId="0" applyFont="1" applyFill="1" applyBorder="1" applyAlignment="1">
      <alignment horizontal="center" vertical="center"/>
    </xf>
    <xf numFmtId="0" fontId="178" fillId="224" borderId="47" xfId="138" applyFont="1" applyFill="1" applyBorder="1" applyAlignment="1">
      <alignment horizontal="center" vertical="center" shrinkToFit="1"/>
    </xf>
    <xf numFmtId="0" fontId="85" fillId="126" borderId="1" xfId="0" applyFont="1" applyFill="1" applyBorder="1" applyAlignment="1">
      <alignment horizontal="center" vertical="center"/>
    </xf>
    <xf numFmtId="0" fontId="115" fillId="226" borderId="1" xfId="138" applyFont="1" applyFill="1" applyBorder="1" applyAlignment="1">
      <alignment horizontal="center" vertical="center" shrinkToFit="1"/>
    </xf>
    <xf numFmtId="0" fontId="156" fillId="0" borderId="47" xfId="0" applyFont="1" applyBorder="1"/>
    <xf numFmtId="171" fontId="3" fillId="227" borderId="0" xfId="150" applyNumberFormat="1" applyFont="1" applyFill="1" applyAlignment="1">
      <alignment horizontal="center" vertical="center" shrinkToFit="1"/>
    </xf>
    <xf numFmtId="171" fontId="0" fillId="88" borderId="0" xfId="0" applyNumberFormat="1" applyFill="1"/>
    <xf numFmtId="0" fontId="3" fillId="60" borderId="0" xfId="150" applyFont="1" applyFill="1" applyAlignment="1">
      <alignment horizontal="center" vertical="center" shrinkToFit="1"/>
    </xf>
    <xf numFmtId="0" fontId="147" fillId="63" borderId="83" xfId="0" applyFont="1" applyFill="1" applyBorder="1" applyAlignment="1">
      <alignment horizontal="center"/>
    </xf>
    <xf numFmtId="0" fontId="156" fillId="54" borderId="1" xfId="0" applyFont="1" applyFill="1" applyBorder="1" applyAlignment="1">
      <alignment horizontal="center"/>
    </xf>
    <xf numFmtId="0" fontId="0" fillId="0" borderId="84" xfId="0" applyBorder="1"/>
    <xf numFmtId="0" fontId="0" fillId="0" borderId="85" xfId="0" applyBorder="1"/>
    <xf numFmtId="0" fontId="156" fillId="228" borderId="1" xfId="131" applyFont="1" applyFill="1" applyBorder="1" applyAlignment="1">
      <alignment horizontal="center"/>
    </xf>
    <xf numFmtId="0" fontId="150" fillId="0" borderId="1" xfId="0" applyFont="1" applyBorder="1"/>
    <xf numFmtId="0" fontId="180" fillId="229" borderId="1" xfId="0" applyFont="1" applyFill="1" applyBorder="1" applyAlignment="1">
      <alignment horizontal="center" vertical="center" wrapText="1"/>
    </xf>
    <xf numFmtId="0" fontId="150" fillId="50" borderId="0" xfId="0" applyFont="1" applyFill="1" applyAlignment="1">
      <alignment wrapText="1"/>
    </xf>
    <xf numFmtId="0" fontId="42" fillId="230" borderId="24" xfId="138" applyFont="1" applyFill="1" applyBorder="1" applyAlignment="1">
      <alignment horizontal="center" vertical="center" shrinkToFit="1"/>
    </xf>
    <xf numFmtId="0" fontId="156" fillId="231" borderId="1" xfId="0" applyFont="1" applyFill="1" applyBorder="1" applyAlignment="1">
      <alignment horizontal="center"/>
    </xf>
    <xf numFmtId="0" fontId="85" fillId="101" borderId="1" xfId="0" applyFont="1" applyFill="1" applyBorder="1" applyAlignment="1">
      <alignment horizontal="center" vertical="center" wrapText="1"/>
    </xf>
    <xf numFmtId="0" fontId="50" fillId="232" borderId="24" xfId="150" applyFont="1" applyFill="1" applyBorder="1" applyAlignment="1">
      <alignment horizontal="center" vertical="center" shrinkToFit="1"/>
    </xf>
    <xf numFmtId="0" fontId="85" fillId="233" borderId="1" xfId="138" applyFont="1" applyFill="1" applyBorder="1" applyAlignment="1">
      <alignment horizontal="center" vertical="center" shrinkToFit="1"/>
    </xf>
    <xf numFmtId="0" fontId="85" fillId="63" borderId="1" xfId="0" applyFont="1" applyFill="1" applyBorder="1" applyAlignment="1">
      <alignment horizontal="center" vertical="center" wrapText="1"/>
    </xf>
    <xf numFmtId="0" fontId="51" fillId="234" borderId="1" xfId="150" applyFont="1" applyFill="1" applyBorder="1" applyAlignment="1">
      <alignment horizontal="center" vertical="center" shrinkToFit="1"/>
    </xf>
    <xf numFmtId="0" fontId="115" fillId="235" borderId="1" xfId="138" applyFont="1" applyFill="1" applyBorder="1" applyAlignment="1">
      <alignment horizontal="center" vertical="center" shrinkToFit="1"/>
    </xf>
    <xf numFmtId="0" fontId="181" fillId="236" borderId="1" xfId="0" applyFont="1" applyFill="1" applyBorder="1" applyAlignment="1">
      <alignment horizontal="center" vertical="center" wrapText="1"/>
    </xf>
    <xf numFmtId="0" fontId="156" fillId="237" borderId="1" xfId="0" applyFont="1" applyFill="1" applyBorder="1" applyAlignment="1">
      <alignment horizontal="center"/>
    </xf>
    <xf numFmtId="0" fontId="57" fillId="238" borderId="1" xfId="0" applyFont="1" applyFill="1" applyBorder="1" applyAlignment="1">
      <alignment horizontal="center" vertical="center" wrapText="1"/>
    </xf>
    <xf numFmtId="0" fontId="85" fillId="120" borderId="1" xfId="0" applyFont="1" applyFill="1" applyBorder="1" applyAlignment="1">
      <alignment horizontal="center" vertical="center"/>
    </xf>
    <xf numFmtId="0" fontId="156" fillId="219" borderId="1" xfId="0" applyFont="1" applyFill="1" applyBorder="1" applyAlignment="1">
      <alignment horizontal="center"/>
    </xf>
    <xf numFmtId="0" fontId="168" fillId="0" borderId="0" xfId="138" applyFont="1" applyAlignment="1">
      <alignment shrinkToFit="1"/>
    </xf>
    <xf numFmtId="0" fontId="85" fillId="148" borderId="1" xfId="138" applyFont="1" applyFill="1" applyBorder="1" applyAlignment="1">
      <alignment horizontal="center" vertical="center" shrinkToFit="1"/>
    </xf>
    <xf numFmtId="0" fontId="47" fillId="0" borderId="0" xfId="138" applyFont="1" applyAlignment="1">
      <alignment vertical="center" shrinkToFit="1"/>
    </xf>
    <xf numFmtId="0" fontId="49" fillId="239" borderId="15" xfId="138" applyFont="1" applyFill="1" applyBorder="1" applyAlignment="1">
      <alignment horizontal="center" vertical="center" shrinkToFit="1"/>
    </xf>
    <xf numFmtId="0" fontId="156" fillId="128" borderId="1" xfId="0" applyFont="1" applyFill="1" applyBorder="1" applyAlignment="1">
      <alignment horizontal="center"/>
    </xf>
    <xf numFmtId="0" fontId="115" fillId="240" borderId="1" xfId="138" applyFont="1" applyFill="1" applyBorder="1" applyAlignment="1">
      <alignment horizontal="center" vertical="center" shrinkToFit="1"/>
    </xf>
    <xf numFmtId="0" fontId="48" fillId="241" borderId="1" xfId="138" applyFont="1" applyFill="1" applyBorder="1" applyAlignment="1">
      <alignment horizontal="center" vertical="center" shrinkToFit="1"/>
    </xf>
    <xf numFmtId="0" fontId="115" fillId="163" borderId="1" xfId="138" applyFont="1" applyFill="1" applyBorder="1" applyAlignment="1">
      <alignment horizontal="center" vertical="center" shrinkToFit="1"/>
    </xf>
    <xf numFmtId="0" fontId="85" fillId="50" borderId="47" xfId="0" applyFont="1" applyFill="1" applyBorder="1" applyAlignment="1">
      <alignment horizontal="center" vertical="center"/>
    </xf>
    <xf numFmtId="10" fontId="47" fillId="0" borderId="0" xfId="126" applyNumberFormat="1" applyFont="1" applyAlignment="1">
      <alignment vertical="center" shrinkToFit="1"/>
    </xf>
    <xf numFmtId="0" fontId="182" fillId="242" borderId="23" xfId="150" applyFont="1" applyFill="1" applyBorder="1" applyAlignment="1">
      <alignment horizontal="center" vertical="center" shrinkToFit="1"/>
    </xf>
    <xf numFmtId="0" fontId="183" fillId="243" borderId="1" xfId="0" applyFont="1" applyFill="1" applyBorder="1" applyAlignment="1">
      <alignment horizontal="center" vertical="center" wrapText="1"/>
    </xf>
    <xf numFmtId="0" fontId="49" fillId="66" borderId="23" xfId="150" applyFont="1" applyFill="1" applyBorder="1" applyAlignment="1">
      <alignment horizontal="center" vertical="center" shrinkToFit="1"/>
    </xf>
    <xf numFmtId="0" fontId="157" fillId="244" borderId="1" xfId="138" applyFont="1" applyFill="1" applyBorder="1" applyAlignment="1">
      <alignment horizontal="center" vertical="center" shrinkToFit="1"/>
    </xf>
    <xf numFmtId="0" fontId="184" fillId="245" borderId="1" xfId="0" applyFont="1" applyFill="1" applyBorder="1" applyAlignment="1">
      <alignment horizontal="center" vertical="center"/>
    </xf>
    <xf numFmtId="0" fontId="157" fillId="246" borderId="2" xfId="0" applyFont="1" applyFill="1" applyBorder="1" applyAlignment="1">
      <alignment horizontal="center" vertical="center"/>
    </xf>
    <xf numFmtId="0" fontId="85" fillId="179" borderId="2" xfId="138" applyFont="1" applyFill="1" applyBorder="1" applyAlignment="1">
      <alignment horizontal="center" vertical="center" shrinkToFit="1"/>
    </xf>
    <xf numFmtId="0" fontId="115" fillId="247" borderId="1" xfId="138" applyFont="1" applyFill="1" applyBorder="1" applyAlignment="1">
      <alignment horizontal="center" vertical="center" shrinkToFit="1"/>
    </xf>
    <xf numFmtId="0" fontId="115" fillId="248" borderId="1" xfId="138" applyFont="1" applyFill="1" applyBorder="1" applyAlignment="1">
      <alignment horizontal="center" vertical="center" shrinkToFit="1"/>
    </xf>
    <xf numFmtId="0" fontId="57" fillId="132" borderId="1" xfId="138" applyFont="1" applyFill="1" applyBorder="1" applyAlignment="1">
      <alignment horizontal="center" vertical="center" shrinkToFit="1"/>
    </xf>
    <xf numFmtId="0" fontId="115" fillId="249" borderId="1" xfId="138" applyFont="1" applyFill="1" applyBorder="1" applyAlignment="1">
      <alignment horizontal="center" vertical="center" shrinkToFit="1"/>
    </xf>
    <xf numFmtId="0" fontId="157" fillId="81" borderId="1" xfId="0" applyFont="1" applyFill="1" applyBorder="1" applyAlignment="1">
      <alignment horizontal="center" vertical="center" wrapText="1"/>
    </xf>
    <xf numFmtId="0" fontId="157" fillId="250" borderId="1" xfId="0" applyFont="1" applyFill="1" applyBorder="1" applyAlignment="1">
      <alignment horizontal="center" vertical="center"/>
    </xf>
    <xf numFmtId="0" fontId="156" fillId="126" borderId="1" xfId="0" applyFont="1" applyFill="1" applyBorder="1" applyAlignment="1">
      <alignment horizontal="center"/>
    </xf>
    <xf numFmtId="0" fontId="157" fillId="50" borderId="1" xfId="0" applyFont="1" applyFill="1" applyBorder="1" applyAlignment="1">
      <alignment horizontal="center" vertical="center" wrapText="1"/>
    </xf>
    <xf numFmtId="0" fontId="185" fillId="251" borderId="1" xfId="0" applyFont="1" applyFill="1" applyBorder="1" applyAlignment="1">
      <alignment horizontal="center" vertical="center" wrapText="1"/>
    </xf>
    <xf numFmtId="0" fontId="115" fillId="230" borderId="1" xfId="0" applyFont="1" applyFill="1" applyBorder="1" applyAlignment="1">
      <alignment horizontal="center" vertical="center" wrapText="1"/>
    </xf>
    <xf numFmtId="0" fontId="150" fillId="85" borderId="0" xfId="0" applyFont="1" applyFill="1"/>
    <xf numFmtId="171" fontId="47" fillId="134" borderId="0" xfId="138" applyNumberFormat="1" applyFont="1" applyFill="1" applyAlignment="1">
      <alignment horizontal="center" vertical="center"/>
    </xf>
    <xf numFmtId="0" fontId="186" fillId="35" borderId="1" xfId="0" applyFont="1" applyFill="1" applyBorder="1" applyAlignment="1">
      <alignment horizontal="center" vertical="center" wrapText="1"/>
    </xf>
    <xf numFmtId="0" fontId="85" fillId="55" borderId="1" xfId="0" applyFont="1" applyFill="1" applyBorder="1" applyAlignment="1">
      <alignment horizontal="center" vertical="center" wrapText="1"/>
    </xf>
    <xf numFmtId="0" fontId="115" fillId="55" borderId="1" xfId="0" applyFont="1" applyFill="1" applyBorder="1" applyAlignment="1">
      <alignment horizontal="center" vertical="center"/>
    </xf>
    <xf numFmtId="0" fontId="50" fillId="0" borderId="0" xfId="138" applyFont="1" applyAlignment="1">
      <alignment horizontal="center" shrinkToFit="1"/>
    </xf>
    <xf numFmtId="0" fontId="115" fillId="61" borderId="1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85" fillId="252" borderId="1" xfId="138" applyFont="1" applyFill="1" applyBorder="1" applyAlignment="1">
      <alignment horizontal="center" vertical="center" shrinkToFit="1"/>
    </xf>
    <xf numFmtId="0" fontId="85" fillId="253" borderId="1" xfId="0" applyFont="1" applyFill="1" applyBorder="1" applyAlignment="1">
      <alignment horizontal="center" vertical="center"/>
    </xf>
    <xf numFmtId="0" fontId="115" fillId="120" borderId="1" xfId="0" applyFont="1" applyFill="1" applyBorder="1" applyAlignment="1">
      <alignment horizontal="center" vertical="center"/>
    </xf>
    <xf numFmtId="0" fontId="85" fillId="230" borderId="1" xfId="0" applyFont="1" applyFill="1" applyBorder="1" applyAlignment="1">
      <alignment horizontal="center" vertical="center"/>
    </xf>
    <xf numFmtId="0" fontId="79" fillId="254" borderId="1" xfId="0" applyFont="1" applyFill="1" applyBorder="1" applyAlignment="1">
      <alignment horizontal="center" vertical="center"/>
    </xf>
    <xf numFmtId="171" fontId="188" fillId="0" borderId="3" xfId="0" applyNumberFormat="1" applyFont="1" applyBorder="1" applyAlignment="1">
      <alignment horizontal="center" vertical="center"/>
    </xf>
    <xf numFmtId="0" fontId="115" fillId="255" borderId="1" xfId="0" applyFont="1" applyFill="1" applyBorder="1" applyAlignment="1">
      <alignment horizontal="center" vertical="center"/>
    </xf>
    <xf numFmtId="0" fontId="150" fillId="0" borderId="87" xfId="0" applyFont="1" applyBorder="1"/>
    <xf numFmtId="0" fontId="85" fillId="174" borderId="1" xfId="0" applyFont="1" applyFill="1" applyBorder="1" applyAlignment="1">
      <alignment horizontal="center" vertical="center"/>
    </xf>
    <xf numFmtId="0" fontId="189" fillId="85" borderId="0" xfId="0" applyFont="1" applyFill="1"/>
    <xf numFmtId="0" fontId="144" fillId="0" borderId="27" xfId="0" applyFont="1" applyBorder="1" applyAlignment="1" applyProtection="1">
      <alignment horizontal="center"/>
      <protection locked="0"/>
    </xf>
    <xf numFmtId="0" fontId="144" fillId="0" borderId="28" xfId="0" applyFont="1" applyBorder="1" applyAlignment="1" applyProtection="1">
      <alignment horizontal="center"/>
      <protection locked="0"/>
    </xf>
    <xf numFmtId="0" fontId="144" fillId="0" borderId="0" xfId="0" applyFont="1" applyAlignment="1" applyProtection="1">
      <alignment horizontal="center"/>
      <protection locked="0"/>
    </xf>
    <xf numFmtId="0" fontId="79" fillId="256" borderId="1" xfId="0" applyFont="1" applyFill="1" applyBorder="1" applyAlignment="1">
      <alignment horizontal="center" vertical="center"/>
    </xf>
    <xf numFmtId="0" fontId="115" fillId="86" borderId="90" xfId="138" applyFont="1" applyFill="1" applyBorder="1" applyAlignment="1">
      <alignment horizontal="center" vertical="center" shrinkToFit="1"/>
    </xf>
    <xf numFmtId="0" fontId="150" fillId="61" borderId="0" xfId="0" applyFont="1" applyFill="1"/>
    <xf numFmtId="0" fontId="190" fillId="257" borderId="1" xfId="0" applyFont="1" applyFill="1" applyBorder="1" applyAlignment="1">
      <alignment horizontal="center" vertical="center"/>
    </xf>
    <xf numFmtId="0" fontId="85" fillId="35" borderId="24" xfId="138" applyFont="1" applyFill="1" applyBorder="1" applyAlignment="1">
      <alignment horizontal="center" vertical="center" shrinkToFit="1"/>
    </xf>
    <xf numFmtId="0" fontId="184" fillId="258" borderId="1" xfId="0" applyFont="1" applyFill="1" applyBorder="1" applyAlignment="1">
      <alignment horizontal="center" vertical="center" wrapText="1"/>
    </xf>
    <xf numFmtId="0" fontId="85" fillId="237" borderId="1" xfId="0" applyFont="1" applyFill="1" applyBorder="1" applyAlignment="1">
      <alignment horizontal="center" vertical="center"/>
    </xf>
    <xf numFmtId="0" fontId="150" fillId="44" borderId="37" xfId="0" applyFont="1" applyFill="1" applyBorder="1" applyAlignment="1">
      <alignment horizontal="center" wrapText="1"/>
    </xf>
    <xf numFmtId="0" fontId="85" fillId="259" borderId="1" xfId="138" applyFont="1" applyFill="1" applyBorder="1" applyAlignment="1">
      <alignment horizontal="center" vertical="center" shrinkToFit="1"/>
    </xf>
    <xf numFmtId="171" fontId="167" fillId="178" borderId="1" xfId="141" applyNumberFormat="1" applyFont="1" applyFill="1" applyBorder="1" applyAlignment="1">
      <alignment vertical="center" shrinkToFit="1"/>
    </xf>
    <xf numFmtId="0" fontId="50" fillId="0" borderId="60" xfId="138" applyFont="1" applyBorder="1" applyAlignment="1">
      <alignment horizontal="center" shrinkToFit="1"/>
    </xf>
    <xf numFmtId="0" fontId="150" fillId="44" borderId="0" xfId="0" applyFont="1" applyFill="1" applyAlignment="1">
      <alignment horizontal="center" wrapText="1"/>
    </xf>
    <xf numFmtId="0" fontId="79" fillId="260" borderId="1" xfId="138" applyFont="1" applyFill="1" applyBorder="1" applyAlignment="1">
      <alignment horizontal="center" vertical="center" shrinkToFit="1"/>
    </xf>
    <xf numFmtId="0" fontId="85" fillId="130" borderId="24" xfId="0" applyFont="1" applyFill="1" applyBorder="1" applyAlignment="1">
      <alignment horizontal="center" vertical="center"/>
    </xf>
    <xf numFmtId="0" fontId="85" fillId="217" borderId="1" xfId="0" applyFont="1" applyFill="1" applyBorder="1" applyAlignment="1">
      <alignment horizontal="center" vertical="center"/>
    </xf>
    <xf numFmtId="0" fontId="85" fillId="107" borderId="24" xfId="138" applyFont="1" applyFill="1" applyBorder="1" applyAlignment="1">
      <alignment horizontal="center" vertical="center" shrinkToFit="1"/>
    </xf>
    <xf numFmtId="0" fontId="163" fillId="261" borderId="1" xfId="0" applyFont="1" applyFill="1" applyBorder="1" applyAlignment="1">
      <alignment horizontal="center" vertical="center"/>
    </xf>
    <xf numFmtId="0" fontId="85" fillId="103" borderId="23" xfId="138" applyFont="1" applyFill="1" applyBorder="1" applyAlignment="1">
      <alignment horizontal="center" vertical="center" shrinkToFit="1"/>
    </xf>
    <xf numFmtId="0" fontId="85" fillId="262" borderId="1" xfId="0" applyFont="1" applyFill="1" applyBorder="1" applyAlignment="1">
      <alignment horizontal="center" vertical="center" wrapText="1"/>
    </xf>
    <xf numFmtId="0" fontId="85" fillId="50" borderId="1" xfId="0" applyFont="1" applyFill="1" applyBorder="1" applyAlignment="1">
      <alignment horizontal="center" vertical="center"/>
    </xf>
    <xf numFmtId="0" fontId="115" fillId="263" borderId="1" xfId="0" applyFont="1" applyFill="1" applyBorder="1" applyAlignment="1">
      <alignment horizontal="center" vertical="center" wrapText="1"/>
    </xf>
    <xf numFmtId="0" fontId="192" fillId="0" borderId="0" xfId="138" applyFont="1" applyAlignment="1">
      <alignment horizontal="center" vertical="center" shrinkToFit="1"/>
    </xf>
    <xf numFmtId="0" fontId="115" fillId="264" borderId="1" xfId="0" applyFont="1" applyFill="1" applyBorder="1" applyAlignment="1">
      <alignment horizontal="center" vertical="center" wrapText="1"/>
    </xf>
    <xf numFmtId="0" fontId="0" fillId="0" borderId="87" xfId="0" applyBorder="1"/>
    <xf numFmtId="0" fontId="115" fillId="265" borderId="1" xfId="0" applyFont="1" applyFill="1" applyBorder="1" applyAlignment="1">
      <alignment horizontal="center" vertical="center" wrapText="1"/>
    </xf>
    <xf numFmtId="0" fontId="150" fillId="0" borderId="45" xfId="0" applyFont="1" applyBorder="1"/>
    <xf numFmtId="0" fontId="179" fillId="266" borderId="1" xfId="0" applyFont="1" applyFill="1" applyBorder="1" applyAlignment="1">
      <alignment horizontal="center" vertical="center" wrapText="1"/>
    </xf>
    <xf numFmtId="0" fontId="172" fillId="0" borderId="0" xfId="138" applyFont="1" applyAlignment="1">
      <alignment horizontal="center" vertical="center" shrinkToFit="1"/>
    </xf>
    <xf numFmtId="0" fontId="193" fillId="267" borderId="90" xfId="138" applyFont="1" applyFill="1" applyBorder="1" applyAlignment="1">
      <alignment horizontal="center" vertical="center" shrinkToFit="1"/>
    </xf>
    <xf numFmtId="0" fontId="150" fillId="54" borderId="37" xfId="0" applyFont="1" applyFill="1" applyBorder="1" applyAlignment="1">
      <alignment horizontal="center" wrapText="1"/>
    </xf>
    <xf numFmtId="0" fontId="150" fillId="54" borderId="0" xfId="0" applyFont="1" applyFill="1" applyAlignment="1">
      <alignment horizontal="center" wrapText="1"/>
    </xf>
    <xf numFmtId="0" fontId="176" fillId="54" borderId="1" xfId="0" applyFont="1" applyFill="1" applyBorder="1" applyAlignment="1">
      <alignment horizontal="center" vertical="center"/>
    </xf>
    <xf numFmtId="0" fontId="115" fillId="54" borderId="1" xfId="0" applyFont="1" applyFill="1" applyBorder="1" applyAlignment="1">
      <alignment horizontal="center" vertical="center"/>
    </xf>
    <xf numFmtId="0" fontId="156" fillId="0" borderId="0" xfId="0" applyFont="1" applyAlignment="1">
      <alignment horizontal="center"/>
    </xf>
    <xf numFmtId="0" fontId="57" fillId="35" borderId="1" xfId="0" applyFont="1" applyFill="1" applyBorder="1" applyAlignment="1">
      <alignment horizontal="center" vertical="center"/>
    </xf>
    <xf numFmtId="0" fontId="115" fillId="50" borderId="1" xfId="0" applyFont="1" applyFill="1" applyBorder="1" applyAlignment="1">
      <alignment horizontal="center" vertical="center"/>
    </xf>
    <xf numFmtId="0" fontId="180" fillId="268" borderId="1" xfId="0" applyFont="1" applyFill="1" applyBorder="1" applyAlignment="1">
      <alignment horizontal="center" vertical="center"/>
    </xf>
    <xf numFmtId="0" fontId="85" fillId="269" borderId="90" xfId="138" applyFont="1" applyFill="1" applyBorder="1" applyAlignment="1">
      <alignment horizontal="center" vertical="center" shrinkToFit="1"/>
    </xf>
    <xf numFmtId="0" fontId="150" fillId="55" borderId="0" xfId="0" applyFont="1" applyFill="1"/>
    <xf numFmtId="0" fontId="85" fillId="270" borderId="24" xfId="138" applyFont="1" applyFill="1" applyBorder="1" applyAlignment="1">
      <alignment horizontal="center" vertical="center" shrinkToFit="1"/>
    </xf>
    <xf numFmtId="0" fontId="85" fillId="35" borderId="90" xfId="0" applyFont="1" applyFill="1" applyBorder="1" applyAlignment="1">
      <alignment horizontal="center" vertical="center"/>
    </xf>
    <xf numFmtId="0" fontId="0" fillId="271" borderId="0" xfId="0" applyFill="1"/>
    <xf numFmtId="0" fontId="115" fillId="228" borderId="24" xfId="0" applyFont="1" applyFill="1" applyBorder="1" applyAlignment="1">
      <alignment horizontal="center" vertical="center"/>
    </xf>
    <xf numFmtId="0" fontId="0" fillId="56" borderId="1" xfId="0" applyFill="1" applyBorder="1"/>
    <xf numFmtId="0" fontId="85" fillId="272" borderId="1" xfId="0" applyFont="1" applyFill="1" applyBorder="1" applyAlignment="1">
      <alignment horizontal="center" vertical="center"/>
    </xf>
    <xf numFmtId="0" fontId="115" fillId="188" borderId="1" xfId="0" applyFont="1" applyFill="1" applyBorder="1" applyAlignment="1">
      <alignment horizontal="center" vertical="center"/>
    </xf>
    <xf numFmtId="0" fontId="85" fillId="273" borderId="1" xfId="138" applyFont="1" applyFill="1" applyBorder="1" applyAlignment="1">
      <alignment horizontal="center" vertical="center" shrinkToFit="1"/>
    </xf>
    <xf numFmtId="0" fontId="85" fillId="269" borderId="1" xfId="138" applyFont="1" applyFill="1" applyBorder="1" applyAlignment="1">
      <alignment horizontal="center" vertical="center" shrinkToFit="1"/>
    </xf>
    <xf numFmtId="0" fontId="85" fillId="274" borderId="90" xfId="138" applyFont="1" applyFill="1" applyBorder="1" applyAlignment="1">
      <alignment horizontal="center" vertical="center" shrinkToFit="1"/>
    </xf>
    <xf numFmtId="0" fontId="150" fillId="228" borderId="37" xfId="0" applyFont="1" applyFill="1" applyBorder="1" applyAlignment="1">
      <alignment horizontal="center" wrapText="1"/>
    </xf>
    <xf numFmtId="0" fontId="85" fillId="275" borderId="24" xfId="138" applyFont="1" applyFill="1" applyBorder="1" applyAlignment="1">
      <alignment horizontal="center" vertical="center" shrinkToFit="1"/>
    </xf>
    <xf numFmtId="0" fontId="150" fillId="228" borderId="0" xfId="0" applyFont="1" applyFill="1" applyAlignment="1">
      <alignment horizontal="center" wrapText="1"/>
    </xf>
    <xf numFmtId="0" fontId="85" fillId="233" borderId="24" xfId="138" applyFont="1" applyFill="1" applyBorder="1" applyAlignment="1">
      <alignment horizontal="center" vertical="center" shrinkToFit="1"/>
    </xf>
    <xf numFmtId="0" fontId="85" fillId="160" borderId="90" xfId="138" applyFont="1" applyFill="1" applyBorder="1" applyAlignment="1">
      <alignment horizontal="center" vertical="center" shrinkToFit="1"/>
    </xf>
    <xf numFmtId="0" fontId="85" fillId="276" borderId="24" xfId="138" applyFont="1" applyFill="1" applyBorder="1" applyAlignment="1">
      <alignment horizontal="center" vertical="center" shrinkToFit="1"/>
    </xf>
    <xf numFmtId="0" fontId="85" fillId="277" borderId="23" xfId="138" applyFont="1" applyFill="1" applyBorder="1" applyAlignment="1">
      <alignment horizontal="center" vertical="center" shrinkToFit="1"/>
    </xf>
    <xf numFmtId="0" fontId="85" fillId="163" borderId="90" xfId="138" applyFont="1" applyFill="1" applyBorder="1" applyAlignment="1">
      <alignment horizontal="center" vertical="center" shrinkToFit="1"/>
    </xf>
    <xf numFmtId="0" fontId="85" fillId="163" borderId="44" xfId="138" applyFont="1" applyFill="1" applyBorder="1" applyAlignment="1">
      <alignment horizontal="center" vertical="center" shrinkToFit="1"/>
    </xf>
    <xf numFmtId="0" fontId="157" fillId="130" borderId="1" xfId="138" applyFont="1" applyFill="1" applyBorder="1" applyAlignment="1">
      <alignment horizontal="center" vertical="center" shrinkToFit="1"/>
    </xf>
    <xf numFmtId="0" fontId="150" fillId="35" borderId="0" xfId="0" applyFont="1" applyFill="1"/>
    <xf numFmtId="0" fontId="115" fillId="278" borderId="97" xfId="138" applyFont="1" applyFill="1" applyBorder="1" applyAlignment="1">
      <alignment horizontal="center" vertical="center" shrinkToFit="1"/>
    </xf>
    <xf numFmtId="0" fontId="115" fillId="279" borderId="90" xfId="138" applyFont="1" applyFill="1" applyBorder="1" applyAlignment="1">
      <alignment horizontal="center" vertical="center" shrinkToFit="1"/>
    </xf>
    <xf numFmtId="0" fontId="0" fillId="79" borderId="0" xfId="0" applyFill="1"/>
    <xf numFmtId="0" fontId="85" fillId="0" borderId="1" xfId="0" applyFont="1" applyBorder="1"/>
    <xf numFmtId="0" fontId="150" fillId="130" borderId="0" xfId="0" applyFont="1" applyFill="1"/>
    <xf numFmtId="0" fontId="85" fillId="280" borderId="90" xfId="138" applyFont="1" applyFill="1" applyBorder="1" applyAlignment="1">
      <alignment horizontal="center" vertical="center" shrinkToFit="1"/>
    </xf>
    <xf numFmtId="0" fontId="115" fillId="170" borderId="90" xfId="138" applyFont="1" applyFill="1" applyBorder="1" applyAlignment="1">
      <alignment horizontal="center" vertical="center" shrinkToFit="1"/>
    </xf>
    <xf numFmtId="0" fontId="0" fillId="130" borderId="0" xfId="0" applyFill="1"/>
    <xf numFmtId="0" fontId="85" fillId="281" borderId="90" xfId="138" applyFont="1" applyFill="1" applyBorder="1" applyAlignment="1">
      <alignment horizontal="center" vertical="center" shrinkToFit="1"/>
    </xf>
    <xf numFmtId="0" fontId="85" fillId="282" borderId="90" xfId="138" applyFont="1" applyFill="1" applyBorder="1" applyAlignment="1">
      <alignment horizontal="center" vertical="center" shrinkToFit="1"/>
    </xf>
    <xf numFmtId="0" fontId="85" fillId="283" borderId="90" xfId="138" applyFont="1" applyFill="1" applyBorder="1" applyAlignment="1">
      <alignment horizontal="center" vertical="center" shrinkToFit="1"/>
    </xf>
    <xf numFmtId="0" fontId="85" fillId="284" borderId="90" xfId="138" applyFont="1" applyFill="1" applyBorder="1" applyAlignment="1">
      <alignment horizontal="center" vertical="center" shrinkToFit="1"/>
    </xf>
    <xf numFmtId="0" fontId="194" fillId="285" borderId="1" xfId="138" applyFont="1" applyFill="1" applyBorder="1" applyAlignment="1">
      <alignment horizontal="center" vertical="center" shrinkToFit="1"/>
    </xf>
    <xf numFmtId="0" fontId="0" fillId="144" borderId="0" xfId="0" applyFill="1"/>
    <xf numFmtId="0" fontId="85" fillId="286" borderId="90" xfId="138" applyFont="1" applyFill="1" applyBorder="1" applyAlignment="1">
      <alignment horizontal="center" vertical="center" shrinkToFit="1"/>
    </xf>
    <xf numFmtId="0" fontId="195" fillId="287" borderId="1" xfId="138" applyFont="1" applyFill="1" applyBorder="1" applyAlignment="1">
      <alignment horizontal="center" vertical="center" shrinkToFit="1"/>
    </xf>
    <xf numFmtId="0" fontId="85" fillId="288" borderId="90" xfId="138" applyFont="1" applyFill="1" applyBorder="1" applyAlignment="1">
      <alignment horizontal="center" vertical="center" shrinkToFit="1"/>
    </xf>
    <xf numFmtId="0" fontId="115" fillId="289" borderId="1" xfId="138" applyFont="1" applyFill="1" applyBorder="1" applyAlignment="1">
      <alignment horizontal="center" vertical="center" shrinkToFit="1"/>
    </xf>
    <xf numFmtId="0" fontId="85" fillId="290" borderId="90" xfId="138" applyFont="1" applyFill="1" applyBorder="1" applyAlignment="1">
      <alignment horizontal="center" vertical="center" shrinkToFit="1"/>
    </xf>
    <xf numFmtId="0" fontId="196" fillId="291" borderId="1" xfId="138" applyFont="1" applyFill="1" applyBorder="1" applyAlignment="1">
      <alignment horizontal="center" vertical="center" shrinkToFit="1"/>
    </xf>
    <xf numFmtId="0" fontId="85" fillId="292" borderId="90" xfId="138" applyFont="1" applyFill="1" applyBorder="1" applyAlignment="1">
      <alignment horizontal="center" vertical="center" shrinkToFit="1"/>
    </xf>
    <xf numFmtId="0" fontId="156" fillId="0" borderId="2" xfId="0" applyFont="1" applyBorder="1"/>
    <xf numFmtId="0" fontId="157" fillId="35" borderId="1" xfId="138" applyFont="1" applyFill="1" applyBorder="1" applyAlignment="1">
      <alignment horizontal="center" vertical="center" shrinkToFit="1"/>
    </xf>
    <xf numFmtId="0" fontId="115" fillId="0" borderId="97" xfId="138" applyFont="1" applyBorder="1" applyAlignment="1">
      <alignment horizontal="center" vertical="center" shrinkToFit="1"/>
    </xf>
    <xf numFmtId="0" fontId="85" fillId="0" borderId="87" xfId="138" applyFont="1" applyBorder="1" applyAlignment="1">
      <alignment horizontal="center" vertical="center" shrinkToFit="1"/>
    </xf>
    <xf numFmtId="0" fontId="85" fillId="0" borderId="0" xfId="138" applyFont="1" applyAlignment="1">
      <alignment horizontal="center" vertical="center" shrinkToFit="1"/>
    </xf>
    <xf numFmtId="0" fontId="156" fillId="0" borderId="0" xfId="0" applyFont="1"/>
    <xf numFmtId="171" fontId="156" fillId="0" borderId="0" xfId="0" applyNumberFormat="1" applyFont="1" applyAlignment="1">
      <alignment horizontal="center" vertical="center"/>
    </xf>
    <xf numFmtId="0" fontId="0" fillId="0" borderId="99" xfId="0" applyBorder="1"/>
    <xf numFmtId="0" fontId="0" fillId="0" borderId="100" xfId="0" applyBorder="1"/>
    <xf numFmtId="0" fontId="13" fillId="0" borderId="101" xfId="0" applyFont="1" applyBorder="1" applyAlignment="1">
      <alignment horizontal="right"/>
    </xf>
    <xf numFmtId="0" fontId="0" fillId="0" borderId="0" xfId="0" applyAlignment="1">
      <alignment horizontal="left" vertical="center"/>
    </xf>
    <xf numFmtId="0" fontId="168" fillId="0" borderId="0" xfId="138" applyFont="1" applyAlignment="1">
      <alignment horizontal="center" shrinkToFit="1"/>
    </xf>
    <xf numFmtId="10" fontId="47" fillId="0" borderId="0" xfId="126" applyNumberFormat="1" applyFont="1" applyAlignment="1">
      <alignment horizontal="center" vertical="center" shrinkToFit="1"/>
    </xf>
    <xf numFmtId="0" fontId="13" fillId="63" borderId="0" xfId="0" applyFont="1" applyFill="1" applyAlignment="1">
      <alignment horizontal="center" vertical="center"/>
    </xf>
    <xf numFmtId="0" fontId="55" fillId="0" borderId="26" xfId="131" applyFont="1" applyBorder="1" applyAlignment="1">
      <alignment horizontal="center"/>
    </xf>
    <xf numFmtId="0" fontId="56" fillId="0" borderId="1" xfId="131" applyFont="1" applyBorder="1" applyAlignment="1">
      <alignment horizontal="center"/>
    </xf>
    <xf numFmtId="0" fontId="59" fillId="0" borderId="1" xfId="142" applyFont="1" applyBorder="1" applyAlignment="1" applyProtection="1">
      <alignment horizontal="center" vertical="center" shrinkToFit="1"/>
    </xf>
    <xf numFmtId="0" fontId="79" fillId="0" borderId="1" xfId="0" applyFont="1" applyBorder="1" applyAlignment="1">
      <alignment horizontal="center" vertical="center"/>
    </xf>
    <xf numFmtId="0" fontId="2" fillId="0" borderId="30" xfId="0" applyFont="1" applyBorder="1"/>
    <xf numFmtId="0" fontId="66" fillId="0" borderId="0" xfId="142" applyFont="1" applyAlignment="1" applyProtection="1">
      <alignment horizontal="center" vertical="center" shrinkToFit="1"/>
    </xf>
    <xf numFmtId="0" fontId="95" fillId="0" borderId="32" xfId="0" applyFont="1" applyBorder="1" applyAlignment="1">
      <alignment horizontal="center" vertical="center"/>
    </xf>
    <xf numFmtId="0" fontId="96" fillId="0" borderId="1" xfId="131" applyFont="1" applyBorder="1" applyAlignment="1">
      <alignment horizontal="center"/>
    </xf>
    <xf numFmtId="0" fontId="59" fillId="0" borderId="16" xfId="142" applyFont="1" applyBorder="1" applyAlignment="1" applyProtection="1">
      <alignment horizontal="center" vertical="center" shrinkToFit="1"/>
    </xf>
    <xf numFmtId="0" fontId="95" fillId="0" borderId="0" xfId="0" applyFont="1" applyAlignment="1">
      <alignment horizontal="center" vertical="center"/>
    </xf>
    <xf numFmtId="0" fontId="84" fillId="0" borderId="0" xfId="131" applyFont="1" applyAlignment="1">
      <alignment horizontal="center"/>
    </xf>
    <xf numFmtId="0" fontId="100" fillId="0" borderId="0" xfId="0" applyFont="1" applyAlignment="1">
      <alignment horizontal="center" vertical="center"/>
    </xf>
    <xf numFmtId="0" fontId="76" fillId="0" borderId="0" xfId="0" applyFont="1" applyAlignment="1">
      <alignment horizontal="right" vertical="center"/>
    </xf>
    <xf numFmtId="0" fontId="84" fillId="0" borderId="1" xfId="131" applyFont="1" applyBorder="1" applyAlignment="1">
      <alignment horizontal="center"/>
    </xf>
    <xf numFmtId="0" fontId="76" fillId="0" borderId="0" xfId="0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88" fillId="0" borderId="0" xfId="120" applyFont="1" applyAlignment="1" applyProtection="1">
      <alignment horizontal="center" vertical="center"/>
    </xf>
    <xf numFmtId="0" fontId="70" fillId="0" borderId="0" xfId="0" applyFont="1" applyAlignment="1" applyProtection="1">
      <alignment horizontal="center" vertical="center"/>
      <protection locked="0"/>
    </xf>
    <xf numFmtId="0" fontId="54" fillId="0" borderId="0" xfId="0" applyFont="1"/>
    <xf numFmtId="0" fontId="101" fillId="0" borderId="0" xfId="0" applyFont="1" applyAlignment="1">
      <alignment horizontal="center" vertical="center" wrapText="1"/>
    </xf>
    <xf numFmtId="0" fontId="102" fillId="0" borderId="0" xfId="0" applyFont="1" applyAlignment="1">
      <alignment horizontal="center" vertical="center"/>
    </xf>
    <xf numFmtId="0" fontId="76" fillId="0" borderId="0" xfId="0" applyFont="1" applyAlignment="1">
      <alignment horizontal="left" vertical="center"/>
    </xf>
    <xf numFmtId="0" fontId="105" fillId="0" borderId="0" xfId="0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107" fillId="0" borderId="0" xfId="131" applyFont="1" applyAlignment="1">
      <alignment horizontal="center"/>
    </xf>
    <xf numFmtId="0" fontId="87" fillId="0" borderId="0" xfId="0" applyFont="1" applyAlignment="1">
      <alignment horizontal="center"/>
    </xf>
    <xf numFmtId="0" fontId="64" fillId="0" borderId="16" xfId="0" applyFont="1" applyBorder="1" applyAlignment="1">
      <alignment horizontal="center"/>
    </xf>
    <xf numFmtId="0" fontId="61" fillId="0" borderId="0" xfId="0" applyFont="1" applyAlignment="1" applyProtection="1">
      <alignment horizontal="right" vertical="center"/>
      <protection locked="0"/>
    </xf>
    <xf numFmtId="0" fontId="54" fillId="0" borderId="37" xfId="0" applyFont="1" applyBorder="1" applyAlignment="1">
      <alignment horizontal="center" vertical="center"/>
    </xf>
    <xf numFmtId="0" fontId="78" fillId="0" borderId="0" xfId="0" applyFont="1" applyAlignment="1">
      <alignment horizontal="center"/>
    </xf>
    <xf numFmtId="0" fontId="59" fillId="0" borderId="1" xfId="0" applyFont="1" applyBorder="1" applyAlignment="1">
      <alignment horizontal="center" vertical="center"/>
    </xf>
    <xf numFmtId="0" fontId="66" fillId="0" borderId="35" xfId="142" applyFont="1" applyBorder="1" applyAlignment="1" applyProtection="1">
      <alignment horizontal="center" vertical="center" shrinkToFit="1"/>
    </xf>
    <xf numFmtId="0" fontId="66" fillId="0" borderId="16" xfId="142" applyFont="1" applyBorder="1" applyAlignment="1" applyProtection="1">
      <alignment horizontal="center" vertical="center" shrinkToFit="1"/>
    </xf>
    <xf numFmtId="0" fontId="69" fillId="0" borderId="1" xfId="0" applyFont="1" applyBorder="1" applyAlignment="1">
      <alignment horizontal="center"/>
    </xf>
    <xf numFmtId="0" fontId="110" fillId="0" borderId="1" xfId="0" applyFont="1" applyBorder="1" applyAlignment="1">
      <alignment horizontal="center"/>
    </xf>
    <xf numFmtId="0" fontId="64" fillId="0" borderId="0" xfId="131" applyFont="1" applyAlignment="1" applyProtection="1">
      <alignment horizontal="center"/>
      <protection locked="0"/>
    </xf>
    <xf numFmtId="0" fontId="64" fillId="0" borderId="43" xfId="131" applyFont="1" applyBorder="1" applyAlignment="1" applyProtection="1">
      <alignment horizontal="center"/>
      <protection locked="0"/>
    </xf>
    <xf numFmtId="0" fontId="2" fillId="0" borderId="27" xfId="0" applyFont="1" applyBorder="1"/>
    <xf numFmtId="0" fontId="76" fillId="0" borderId="28" xfId="0" applyFont="1" applyBorder="1" applyAlignment="1">
      <alignment horizontal="center" vertical="center"/>
    </xf>
    <xf numFmtId="0" fontId="2" fillId="0" borderId="28" xfId="0" applyFont="1" applyBorder="1"/>
    <xf numFmtId="0" fontId="112" fillId="0" borderId="0" xfId="0" applyFont="1" applyAlignment="1">
      <alignment horizontal="center" vertical="center"/>
    </xf>
    <xf numFmtId="0" fontId="69" fillId="0" borderId="0" xfId="0" applyFont="1" applyAlignment="1">
      <alignment horizontal="center"/>
    </xf>
    <xf numFmtId="0" fontId="69" fillId="0" borderId="15" xfId="0" applyFont="1" applyBorder="1" applyAlignment="1">
      <alignment horizontal="center"/>
    </xf>
    <xf numFmtId="0" fontId="114" fillId="0" borderId="0" xfId="131" applyFont="1" applyAlignment="1">
      <alignment horizontal="center"/>
    </xf>
    <xf numFmtId="0" fontId="92" fillId="0" borderId="41" xfId="0" applyFont="1" applyBorder="1" applyAlignment="1">
      <alignment horizontal="center" vertical="center"/>
    </xf>
    <xf numFmtId="0" fontId="66" fillId="0" borderId="42" xfId="142" applyFont="1" applyBorder="1" applyAlignment="1" applyProtection="1">
      <alignment horizontal="center" vertical="center" shrinkToFit="1"/>
    </xf>
    <xf numFmtId="0" fontId="66" fillId="0" borderId="15" xfId="142" applyFont="1" applyBorder="1" applyAlignment="1" applyProtection="1">
      <alignment horizontal="center" vertical="center" shrinkToFit="1"/>
    </xf>
    <xf numFmtId="0" fontId="54" fillId="0" borderId="18" xfId="0" applyFont="1" applyBorder="1" applyAlignment="1">
      <alignment vertical="center"/>
    </xf>
    <xf numFmtId="0" fontId="86" fillId="0" borderId="1" xfId="138" applyFont="1" applyBorder="1" applyAlignment="1">
      <alignment horizontal="center" vertical="center" shrinkToFit="1"/>
    </xf>
    <xf numFmtId="0" fontId="103" fillId="0" borderId="1" xfId="138" applyFont="1" applyBorder="1" applyAlignment="1">
      <alignment horizontal="center" vertical="center" shrinkToFit="1"/>
    </xf>
    <xf numFmtId="0" fontId="111" fillId="0" borderId="0" xfId="0" applyFont="1" applyAlignment="1">
      <alignment horizontal="center"/>
    </xf>
    <xf numFmtId="0" fontId="64" fillId="0" borderId="1" xfId="131" applyFont="1" applyBorder="1" applyAlignment="1">
      <alignment horizontal="center"/>
    </xf>
    <xf numFmtId="0" fontId="7" fillId="0" borderId="0" xfId="0" applyFont="1"/>
    <xf numFmtId="0" fontId="2" fillId="0" borderId="18" xfId="0" applyFont="1" applyBorder="1"/>
    <xf numFmtId="0" fontId="68" fillId="0" borderId="15" xfId="142" applyFont="1" applyBorder="1" applyAlignment="1" applyProtection="1">
      <alignment horizontal="center" vertical="center" shrinkToFit="1"/>
    </xf>
    <xf numFmtId="0" fontId="7" fillId="0" borderId="28" xfId="0" applyFont="1" applyBorder="1"/>
    <xf numFmtId="170" fontId="59" fillId="0" borderId="0" xfId="0" applyNumberFormat="1" applyFont="1" applyAlignment="1">
      <alignment horizontal="right"/>
    </xf>
    <xf numFmtId="0" fontId="115" fillId="0" borderId="1" xfId="138" applyFont="1" applyBorder="1" applyAlignment="1">
      <alignment horizontal="center" vertical="center" shrinkToFit="1"/>
    </xf>
    <xf numFmtId="0" fontId="121" fillId="0" borderId="1" xfId="0" applyFont="1" applyBorder="1" applyAlignment="1">
      <alignment horizontal="center" vertical="center"/>
    </xf>
    <xf numFmtId="0" fontId="83" fillId="35" borderId="0" xfId="0" applyFont="1" applyFill="1" applyAlignment="1">
      <alignment horizontal="center" vertical="center"/>
    </xf>
    <xf numFmtId="0" fontId="120" fillId="35" borderId="0" xfId="0" applyFont="1" applyFill="1" applyAlignment="1">
      <alignment horizontal="center" vertical="center"/>
    </xf>
    <xf numFmtId="0" fontId="112" fillId="35" borderId="27" xfId="0" applyFont="1" applyFill="1" applyBorder="1" applyAlignment="1">
      <alignment horizontal="center" vertical="center"/>
    </xf>
    <xf numFmtId="0" fontId="112" fillId="35" borderId="28" xfId="0" applyFont="1" applyFill="1" applyBorder="1" applyAlignment="1">
      <alignment horizontal="center" vertical="center"/>
    </xf>
    <xf numFmtId="0" fontId="112" fillId="35" borderId="29" xfId="0" applyFont="1" applyFill="1" applyBorder="1" applyAlignment="1">
      <alignment horizontal="center" vertical="center"/>
    </xf>
    <xf numFmtId="0" fontId="112" fillId="35" borderId="30" xfId="0" applyFont="1" applyFill="1" applyBorder="1" applyAlignment="1">
      <alignment horizontal="center" vertical="center"/>
    </xf>
    <xf numFmtId="0" fontId="112" fillId="35" borderId="0" xfId="0" applyFont="1" applyFill="1" applyAlignment="1">
      <alignment horizontal="center" vertical="center"/>
    </xf>
    <xf numFmtId="0" fontId="112" fillId="35" borderId="32" xfId="0" applyFont="1" applyFill="1" applyBorder="1" applyAlignment="1">
      <alignment horizontal="center" vertical="center"/>
    </xf>
    <xf numFmtId="0" fontId="112" fillId="35" borderId="33" xfId="0" applyFont="1" applyFill="1" applyBorder="1" applyAlignment="1">
      <alignment horizontal="center" vertical="center"/>
    </xf>
    <xf numFmtId="0" fontId="112" fillId="35" borderId="18" xfId="0" applyFont="1" applyFill="1" applyBorder="1" applyAlignment="1">
      <alignment horizontal="center" vertical="center"/>
    </xf>
    <xf numFmtId="0" fontId="112" fillId="35" borderId="17" xfId="0" applyFont="1" applyFill="1" applyBorder="1" applyAlignment="1">
      <alignment horizontal="center" vertical="center"/>
    </xf>
    <xf numFmtId="0" fontId="125" fillId="35" borderId="27" xfId="0" applyFont="1" applyFill="1" applyBorder="1" applyAlignment="1">
      <alignment horizontal="center" vertical="center"/>
    </xf>
    <xf numFmtId="0" fontId="125" fillId="35" borderId="28" xfId="0" applyFont="1" applyFill="1" applyBorder="1" applyAlignment="1">
      <alignment horizontal="center" vertical="center"/>
    </xf>
    <xf numFmtId="0" fontId="125" fillId="35" borderId="29" xfId="0" applyFont="1" applyFill="1" applyBorder="1" applyAlignment="1">
      <alignment horizontal="center" vertical="center"/>
    </xf>
    <xf numFmtId="0" fontId="125" fillId="35" borderId="30" xfId="0" applyFont="1" applyFill="1" applyBorder="1" applyAlignment="1">
      <alignment horizontal="center" vertical="center"/>
    </xf>
    <xf numFmtId="0" fontId="125" fillId="35" borderId="0" xfId="0" applyFont="1" applyFill="1" applyAlignment="1">
      <alignment horizontal="center" vertical="center"/>
    </xf>
    <xf numFmtId="0" fontId="125" fillId="35" borderId="32" xfId="0" applyFont="1" applyFill="1" applyBorder="1" applyAlignment="1">
      <alignment horizontal="center" vertical="center"/>
    </xf>
    <xf numFmtId="0" fontId="125" fillId="35" borderId="33" xfId="0" applyFont="1" applyFill="1" applyBorder="1" applyAlignment="1">
      <alignment horizontal="center" vertical="center"/>
    </xf>
    <xf numFmtId="0" fontId="125" fillId="35" borderId="18" xfId="0" applyFont="1" applyFill="1" applyBorder="1" applyAlignment="1">
      <alignment horizontal="center" vertical="center"/>
    </xf>
    <xf numFmtId="0" fontId="125" fillId="35" borderId="17" xfId="0" applyFont="1" applyFill="1" applyBorder="1" applyAlignment="1">
      <alignment horizontal="center" vertical="center"/>
    </xf>
    <xf numFmtId="0" fontId="126" fillId="82" borderId="0" xfId="0" applyFont="1" applyFill="1" applyAlignment="1">
      <alignment horizontal="center" wrapText="1"/>
    </xf>
    <xf numFmtId="0" fontId="127" fillId="35" borderId="27" xfId="0" applyFont="1" applyFill="1" applyBorder="1" applyAlignment="1">
      <alignment horizontal="center" vertical="center"/>
    </xf>
    <xf numFmtId="0" fontId="127" fillId="35" borderId="28" xfId="0" applyFont="1" applyFill="1" applyBorder="1" applyAlignment="1">
      <alignment horizontal="center" vertical="center"/>
    </xf>
    <xf numFmtId="0" fontId="127" fillId="35" borderId="29" xfId="0" applyFont="1" applyFill="1" applyBorder="1" applyAlignment="1">
      <alignment horizontal="center" vertical="center"/>
    </xf>
    <xf numFmtId="0" fontId="127" fillId="35" borderId="30" xfId="0" applyFont="1" applyFill="1" applyBorder="1" applyAlignment="1">
      <alignment horizontal="center" vertical="center"/>
    </xf>
    <xf numFmtId="0" fontId="127" fillId="35" borderId="0" xfId="0" applyFont="1" applyFill="1" applyAlignment="1">
      <alignment horizontal="center" vertical="center"/>
    </xf>
    <xf numFmtId="0" fontId="127" fillId="35" borderId="32" xfId="0" applyFont="1" applyFill="1" applyBorder="1" applyAlignment="1">
      <alignment horizontal="center" vertical="center"/>
    </xf>
    <xf numFmtId="0" fontId="127" fillId="35" borderId="33" xfId="0" applyFont="1" applyFill="1" applyBorder="1" applyAlignment="1">
      <alignment horizontal="center" vertical="center"/>
    </xf>
    <xf numFmtId="0" fontId="127" fillId="35" borderId="18" xfId="0" applyFont="1" applyFill="1" applyBorder="1" applyAlignment="1">
      <alignment horizontal="center" vertical="center"/>
    </xf>
    <xf numFmtId="0" fontId="127" fillId="35" borderId="17" xfId="0" applyFont="1" applyFill="1" applyBorder="1" applyAlignment="1">
      <alignment horizontal="center" vertical="center"/>
    </xf>
    <xf numFmtId="0" fontId="129" fillId="35" borderId="27" xfId="0" applyFont="1" applyFill="1" applyBorder="1" applyAlignment="1">
      <alignment horizontal="center" vertical="center" wrapText="1"/>
    </xf>
    <xf numFmtId="0" fontId="129" fillId="35" borderId="29" xfId="0" applyFont="1" applyFill="1" applyBorder="1" applyAlignment="1">
      <alignment horizontal="center" vertical="center" wrapText="1"/>
    </xf>
    <xf numFmtId="0" fontId="129" fillId="35" borderId="33" xfId="0" applyFont="1" applyFill="1" applyBorder="1" applyAlignment="1">
      <alignment horizontal="center" vertical="center" wrapText="1"/>
    </xf>
    <xf numFmtId="0" fontId="129" fillId="35" borderId="17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53" fillId="79" borderId="4" xfId="0" applyFont="1" applyFill="1" applyBorder="1" applyAlignment="1">
      <alignment horizontal="center" vertical="center"/>
    </xf>
    <xf numFmtId="0" fontId="53" fillId="79" borderId="19" xfId="0" applyFont="1" applyFill="1" applyBorder="1" applyAlignment="1">
      <alignment horizontal="center" vertical="center"/>
    </xf>
    <xf numFmtId="0" fontId="53" fillId="79" borderId="5" xfId="0" applyFont="1" applyFill="1" applyBorder="1" applyAlignment="1">
      <alignment horizontal="center" vertical="center"/>
    </xf>
    <xf numFmtId="0" fontId="54" fillId="82" borderId="25" xfId="0" applyFont="1" applyFill="1" applyBorder="1" applyAlignment="1">
      <alignment horizontal="center" vertical="center" textRotation="90"/>
    </xf>
    <xf numFmtId="0" fontId="54" fillId="82" borderId="31" xfId="0" applyFont="1" applyFill="1" applyBorder="1" applyAlignment="1">
      <alignment horizontal="center" vertical="center" textRotation="90"/>
    </xf>
    <xf numFmtId="0" fontId="60" fillId="35" borderId="27" xfId="0" applyFont="1" applyFill="1" applyBorder="1" applyAlignment="1">
      <alignment horizontal="center" vertical="center"/>
    </xf>
    <xf numFmtId="0" fontId="60" fillId="35" borderId="28" xfId="0" applyFont="1" applyFill="1" applyBorder="1" applyAlignment="1">
      <alignment horizontal="center" vertical="center"/>
    </xf>
    <xf numFmtId="0" fontId="60" fillId="35" borderId="29" xfId="0" applyFont="1" applyFill="1" applyBorder="1" applyAlignment="1">
      <alignment horizontal="center" vertical="center"/>
    </xf>
    <xf numFmtId="0" fontId="60" fillId="35" borderId="30" xfId="0" applyFont="1" applyFill="1" applyBorder="1" applyAlignment="1">
      <alignment horizontal="center" vertical="center"/>
    </xf>
    <xf numFmtId="0" fontId="60" fillId="35" borderId="0" xfId="0" applyFont="1" applyFill="1" applyAlignment="1">
      <alignment horizontal="center" vertical="center"/>
    </xf>
    <xf numFmtId="0" fontId="60" fillId="35" borderId="32" xfId="0" applyFont="1" applyFill="1" applyBorder="1" applyAlignment="1">
      <alignment horizontal="center" vertical="center"/>
    </xf>
    <xf numFmtId="0" fontId="60" fillId="35" borderId="33" xfId="0" applyFont="1" applyFill="1" applyBorder="1" applyAlignment="1">
      <alignment horizontal="center" vertical="center"/>
    </xf>
    <xf numFmtId="0" fontId="60" fillId="35" borderId="18" xfId="0" applyFont="1" applyFill="1" applyBorder="1" applyAlignment="1">
      <alignment horizontal="center" vertical="center"/>
    </xf>
    <xf numFmtId="0" fontId="60" fillId="35" borderId="17" xfId="0" applyFont="1" applyFill="1" applyBorder="1" applyAlignment="1">
      <alignment horizontal="center" vertical="center"/>
    </xf>
    <xf numFmtId="0" fontId="70" fillId="35" borderId="27" xfId="0" applyFont="1" applyFill="1" applyBorder="1" applyAlignment="1" applyProtection="1">
      <alignment horizontal="center" vertical="center" wrapText="1"/>
      <protection locked="0"/>
    </xf>
    <xf numFmtId="0" fontId="70" fillId="35" borderId="29" xfId="0" applyFont="1" applyFill="1" applyBorder="1" applyAlignment="1" applyProtection="1">
      <alignment horizontal="center" vertical="center" wrapText="1"/>
      <protection locked="0"/>
    </xf>
    <xf numFmtId="0" fontId="70" fillId="35" borderId="33" xfId="0" applyFont="1" applyFill="1" applyBorder="1" applyAlignment="1" applyProtection="1">
      <alignment horizontal="center" vertical="center" wrapText="1"/>
      <protection locked="0"/>
    </xf>
    <xf numFmtId="0" fontId="70" fillId="35" borderId="17" xfId="0" applyFont="1" applyFill="1" applyBorder="1" applyAlignment="1" applyProtection="1">
      <alignment horizontal="center" vertical="center" wrapText="1"/>
      <protection locked="0"/>
    </xf>
    <xf numFmtId="0" fontId="75" fillId="35" borderId="27" xfId="0" applyFont="1" applyFill="1" applyBorder="1" applyAlignment="1">
      <alignment horizontal="center" vertical="center"/>
    </xf>
    <xf numFmtId="0" fontId="75" fillId="35" borderId="28" xfId="0" applyFont="1" applyFill="1" applyBorder="1" applyAlignment="1">
      <alignment horizontal="center" vertical="center"/>
    </xf>
    <xf numFmtId="0" fontId="75" fillId="35" borderId="29" xfId="0" applyFont="1" applyFill="1" applyBorder="1" applyAlignment="1">
      <alignment horizontal="center" vertical="center"/>
    </xf>
    <xf numFmtId="0" fontId="75" fillId="35" borderId="30" xfId="0" applyFont="1" applyFill="1" applyBorder="1" applyAlignment="1">
      <alignment horizontal="center" vertical="center"/>
    </xf>
    <xf numFmtId="0" fontId="75" fillId="35" borderId="0" xfId="0" applyFont="1" applyFill="1" applyAlignment="1">
      <alignment horizontal="center" vertical="center"/>
    </xf>
    <xf numFmtId="0" fontId="75" fillId="35" borderId="32" xfId="0" applyFont="1" applyFill="1" applyBorder="1" applyAlignment="1">
      <alignment horizontal="center" vertical="center"/>
    </xf>
    <xf numFmtId="0" fontId="75" fillId="35" borderId="33" xfId="0" applyFont="1" applyFill="1" applyBorder="1" applyAlignment="1">
      <alignment horizontal="center" vertical="center"/>
    </xf>
    <xf numFmtId="0" fontId="75" fillId="35" borderId="18" xfId="0" applyFont="1" applyFill="1" applyBorder="1" applyAlignment="1">
      <alignment horizontal="center" vertical="center"/>
    </xf>
    <xf numFmtId="0" fontId="75" fillId="35" borderId="17" xfId="0" applyFont="1" applyFill="1" applyBorder="1" applyAlignment="1">
      <alignment horizontal="center" vertical="center"/>
    </xf>
    <xf numFmtId="0" fontId="82" fillId="35" borderId="4" xfId="0" applyFont="1" applyFill="1" applyBorder="1" applyAlignment="1" applyProtection="1">
      <alignment horizontal="center" vertical="center"/>
      <protection locked="0"/>
    </xf>
    <xf numFmtId="0" fontId="82" fillId="35" borderId="5" xfId="0" applyFont="1" applyFill="1" applyBorder="1" applyAlignment="1" applyProtection="1">
      <alignment horizontal="center" vertical="center"/>
      <protection locked="0"/>
    </xf>
    <xf numFmtId="0" fontId="74" fillId="35" borderId="0" xfId="0" applyFont="1" applyFill="1" applyAlignment="1">
      <alignment horizontal="center" vertical="center" wrapText="1"/>
    </xf>
    <xf numFmtId="0" fontId="92" fillId="0" borderId="0" xfId="0" applyFont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50" fillId="0" borderId="0" xfId="138" applyFont="1" applyAlignment="1">
      <alignment horizontal="center" shrinkToFit="1"/>
    </xf>
    <xf numFmtId="0" fontId="168" fillId="0" borderId="0" xfId="138" applyFont="1" applyAlignment="1">
      <alignment horizontal="center" shrinkToFit="1"/>
    </xf>
    <xf numFmtId="0" fontId="57" fillId="0" borderId="0" xfId="126" applyFont="1" applyAlignment="1">
      <alignment horizontal="center" shrinkToFit="1"/>
    </xf>
    <xf numFmtId="0" fontId="47" fillId="0" borderId="0" xfId="126" applyFont="1" applyAlignment="1">
      <alignment horizontal="center" vertical="center" shrinkToFit="1"/>
    </xf>
    <xf numFmtId="0" fontId="85" fillId="0" borderId="57" xfId="138" applyFont="1" applyBorder="1" applyAlignment="1">
      <alignment horizontal="center" vertical="center" shrinkToFit="1"/>
    </xf>
    <xf numFmtId="0" fontId="85" fillId="0" borderId="26" xfId="138" applyFont="1" applyBorder="1" applyAlignment="1">
      <alignment horizontal="center" vertical="center" shrinkToFit="1"/>
    </xf>
    <xf numFmtId="0" fontId="85" fillId="0" borderId="16" xfId="138" applyFont="1" applyBorder="1" applyAlignment="1">
      <alignment horizontal="center" vertical="center" shrinkToFit="1"/>
    </xf>
    <xf numFmtId="0" fontId="152" fillId="0" borderId="57" xfId="138" applyFont="1" applyBorder="1" applyAlignment="1">
      <alignment horizontal="left" vertical="center" shrinkToFit="1"/>
    </xf>
    <xf numFmtId="0" fontId="152" fillId="0" borderId="26" xfId="138" applyFont="1" applyBorder="1" applyAlignment="1">
      <alignment horizontal="left" vertical="center" shrinkToFit="1"/>
    </xf>
    <xf numFmtId="0" fontId="152" fillId="0" borderId="16" xfId="138" applyFont="1" applyBorder="1" applyAlignment="1">
      <alignment horizontal="left" vertical="center" shrinkToFit="1"/>
    </xf>
    <xf numFmtId="0" fontId="57" fillId="0" borderId="90" xfId="138" applyFont="1" applyBorder="1" applyAlignment="1">
      <alignment horizontal="center" vertical="center" shrinkToFit="1"/>
    </xf>
    <xf numFmtId="0" fontId="57" fillId="0" borderId="85" xfId="138" applyFont="1" applyBorder="1" applyAlignment="1">
      <alignment horizontal="center" vertical="center" shrinkToFit="1"/>
    </xf>
    <xf numFmtId="0" fontId="57" fillId="0" borderId="98" xfId="138" applyFont="1" applyBorder="1" applyAlignment="1">
      <alignment horizontal="center" vertical="center" shrinkToFit="1"/>
    </xf>
    <xf numFmtId="0" fontId="57" fillId="0" borderId="91" xfId="138" applyFont="1" applyBorder="1" applyAlignment="1">
      <alignment horizontal="center" vertical="center" shrinkToFit="1"/>
    </xf>
    <xf numFmtId="0" fontId="57" fillId="0" borderId="64" xfId="138" applyFont="1" applyBorder="1" applyAlignment="1">
      <alignment horizontal="center" vertical="center" shrinkToFit="1"/>
    </xf>
    <xf numFmtId="0" fontId="57" fillId="0" borderId="59" xfId="138" applyFont="1" applyBorder="1" applyAlignment="1">
      <alignment horizontal="center" vertical="center" shrinkToFit="1"/>
    </xf>
    <xf numFmtId="0" fontId="152" fillId="0" borderId="63" xfId="138" applyFont="1" applyBorder="1" applyAlignment="1">
      <alignment horizontal="left" vertical="center" shrinkToFit="1"/>
    </xf>
    <xf numFmtId="0" fontId="47" fillId="0" borderId="1" xfId="138" applyFont="1" applyBorder="1" applyAlignment="1">
      <alignment horizontal="left" vertical="center" shrinkToFit="1"/>
    </xf>
    <xf numFmtId="0" fontId="57" fillId="0" borderId="24" xfId="138" applyFont="1" applyBorder="1" applyAlignment="1">
      <alignment horizontal="center" vertical="center" shrinkToFit="1"/>
    </xf>
    <xf numFmtId="0" fontId="57" fillId="0" borderId="58" xfId="138" applyFont="1" applyBorder="1" applyAlignment="1">
      <alignment horizontal="center" vertical="center" shrinkToFit="1"/>
    </xf>
    <xf numFmtId="0" fontId="57" fillId="0" borderId="88" xfId="138" applyFont="1" applyBorder="1" applyAlignment="1">
      <alignment horizontal="center" vertical="center" shrinkToFit="1"/>
    </xf>
    <xf numFmtId="0" fontId="57" fillId="0" borderId="23" xfId="138" applyFont="1" applyBorder="1" applyAlignment="1">
      <alignment horizontal="center" vertical="center" shrinkToFit="1"/>
    </xf>
    <xf numFmtId="0" fontId="47" fillId="0" borderId="24" xfId="138" applyFont="1" applyBorder="1" applyAlignment="1">
      <alignment horizontal="left" vertical="center" shrinkToFit="1"/>
    </xf>
    <xf numFmtId="0" fontId="47" fillId="0" borderId="58" xfId="138" applyFont="1" applyBorder="1" applyAlignment="1">
      <alignment horizontal="left" vertical="center" shrinkToFit="1"/>
    </xf>
    <xf numFmtId="0" fontId="47" fillId="0" borderId="92" xfId="138" applyFont="1" applyBorder="1" applyAlignment="1">
      <alignment horizontal="left" vertical="center" shrinkToFit="1"/>
    </xf>
    <xf numFmtId="0" fontId="152" fillId="0" borderId="75" xfId="138" applyFont="1" applyBorder="1" applyAlignment="1">
      <alignment horizontal="left" vertical="center" shrinkToFit="1"/>
    </xf>
    <xf numFmtId="0" fontId="152" fillId="0" borderId="74" xfId="138" applyFont="1" applyBorder="1" applyAlignment="1">
      <alignment horizontal="left" vertical="center" shrinkToFit="1"/>
    </xf>
    <xf numFmtId="0" fontId="152" fillId="0" borderId="89" xfId="138" applyFont="1" applyBorder="1" applyAlignment="1">
      <alignment horizontal="left" vertical="center" shrinkToFit="1"/>
    </xf>
    <xf numFmtId="0" fontId="47" fillId="0" borderId="96" xfId="138" applyFont="1" applyBorder="1" applyAlignment="1">
      <alignment horizontal="left" vertical="center" shrinkToFit="1"/>
    </xf>
    <xf numFmtId="0" fontId="57" fillId="0" borderId="86" xfId="138" applyFont="1" applyBorder="1" applyAlignment="1">
      <alignment horizontal="center" vertical="center" shrinkToFit="1"/>
    </xf>
    <xf numFmtId="0" fontId="57" fillId="0" borderId="93" xfId="0" applyFont="1" applyBorder="1" applyAlignment="1">
      <alignment horizontal="left" vertical="center" wrapText="1" shrinkToFit="1"/>
    </xf>
    <xf numFmtId="0" fontId="57" fillId="0" borderId="94" xfId="0" applyFont="1" applyBorder="1" applyAlignment="1">
      <alignment horizontal="left" vertical="center" wrapText="1" shrinkToFit="1"/>
    </xf>
    <xf numFmtId="0" fontId="57" fillId="0" borderId="95" xfId="0" applyFont="1" applyBorder="1" applyAlignment="1">
      <alignment horizontal="left" vertical="center" wrapText="1" shrinkToFit="1"/>
    </xf>
    <xf numFmtId="171" fontId="167" fillId="178" borderId="15" xfId="141" applyNumberFormat="1" applyFont="1" applyFill="1" applyBorder="1" applyAlignment="1">
      <alignment horizontal="center" vertical="center" shrinkToFit="1"/>
    </xf>
    <xf numFmtId="171" fontId="167" fillId="178" borderId="26" xfId="141" applyNumberFormat="1" applyFont="1" applyFill="1" applyBorder="1" applyAlignment="1">
      <alignment horizontal="center" vertical="center" shrinkToFit="1"/>
    </xf>
    <xf numFmtId="171" fontId="167" fillId="178" borderId="16" xfId="141" applyNumberFormat="1" applyFont="1" applyFill="1" applyBorder="1" applyAlignment="1">
      <alignment horizontal="center" vertical="center" shrinkToFit="1"/>
    </xf>
    <xf numFmtId="0" fontId="191" fillId="0" borderId="1" xfId="150" applyFont="1" applyBorder="1" applyAlignment="1">
      <alignment horizontal="left" vertical="center" shrinkToFit="1"/>
    </xf>
    <xf numFmtId="171" fontId="50" fillId="0" borderId="15" xfId="138" applyNumberFormat="1" applyFont="1" applyBorder="1" applyAlignment="1">
      <alignment horizontal="center" vertical="center" shrinkToFit="1"/>
    </xf>
    <xf numFmtId="171" fontId="50" fillId="0" borderId="26" xfId="138" applyNumberFormat="1" applyFont="1" applyBorder="1" applyAlignment="1">
      <alignment horizontal="center" vertical="center" shrinkToFit="1"/>
    </xf>
    <xf numFmtId="171" fontId="50" fillId="0" borderId="16" xfId="138" applyNumberFormat="1" applyFont="1" applyBorder="1" applyAlignment="1">
      <alignment horizontal="center" vertical="center" shrinkToFit="1"/>
    </xf>
    <xf numFmtId="171" fontId="50" fillId="0" borderId="1" xfId="138" applyNumberFormat="1" applyFont="1" applyBorder="1" applyAlignment="1">
      <alignment horizontal="center" vertical="center" shrinkToFit="1"/>
    </xf>
    <xf numFmtId="0" fontId="50" fillId="0" borderId="4" xfId="0" applyFont="1" applyBorder="1" applyAlignment="1">
      <alignment horizontal="center" vertical="center" wrapText="1" shrinkToFit="1"/>
    </xf>
    <xf numFmtId="0" fontId="50" fillId="0" borderId="19" xfId="0" applyFont="1" applyBorder="1" applyAlignment="1">
      <alignment horizontal="center" vertical="center" wrapText="1" shrinkToFit="1"/>
    </xf>
    <xf numFmtId="0" fontId="50" fillId="0" borderId="5" xfId="0" applyFont="1" applyBorder="1" applyAlignment="1">
      <alignment horizontal="center" vertical="center" wrapText="1" shrinkToFit="1"/>
    </xf>
    <xf numFmtId="0" fontId="50" fillId="0" borderId="4" xfId="0" applyFont="1" applyBorder="1" applyAlignment="1">
      <alignment horizontal="center" vertical="center" shrinkToFit="1"/>
    </xf>
    <xf numFmtId="0" fontId="50" fillId="0" borderId="19" xfId="0" applyFont="1" applyBorder="1" applyAlignment="1">
      <alignment horizontal="center" vertical="center" shrinkToFit="1"/>
    </xf>
    <xf numFmtId="0" fontId="50" fillId="0" borderId="5" xfId="0" applyFont="1" applyBorder="1" applyAlignment="1">
      <alignment horizontal="center" vertical="center" shrinkToFit="1"/>
    </xf>
    <xf numFmtId="0" fontId="152" fillId="0" borderId="86" xfId="138" applyFont="1" applyBorder="1" applyAlignment="1">
      <alignment horizontal="left" vertical="center" shrinkToFit="1"/>
    </xf>
    <xf numFmtId="0" fontId="152" fillId="0" borderId="58" xfId="138" applyFont="1" applyBorder="1" applyAlignment="1">
      <alignment horizontal="left" vertical="center" shrinkToFit="1"/>
    </xf>
    <xf numFmtId="0" fontId="152" fillId="0" borderId="92" xfId="138" applyFont="1" applyBorder="1" applyAlignment="1">
      <alignment horizontal="left" vertical="center" shrinkToFit="1"/>
    </xf>
    <xf numFmtId="0" fontId="85" fillId="0" borderId="15" xfId="0" applyFont="1" applyBorder="1" applyAlignment="1">
      <alignment horizontal="center" wrapText="1"/>
    </xf>
    <xf numFmtId="0" fontId="85" fillId="0" borderId="26" xfId="0" applyFont="1" applyBorder="1" applyAlignment="1">
      <alignment horizontal="center" wrapText="1"/>
    </xf>
    <xf numFmtId="0" fontId="85" fillId="0" borderId="16" xfId="0" applyFont="1" applyBorder="1" applyAlignment="1">
      <alignment horizontal="center" wrapText="1"/>
    </xf>
    <xf numFmtId="0" fontId="57" fillId="0" borderId="4" xfId="0" applyFont="1" applyBorder="1" applyAlignment="1">
      <alignment horizontal="left" vertical="center" wrapText="1" shrinkToFit="1"/>
    </xf>
    <xf numFmtId="0" fontId="57" fillId="0" borderId="19" xfId="0" applyFont="1" applyBorder="1" applyAlignment="1">
      <alignment horizontal="left" vertical="center" wrapText="1" shrinkToFit="1"/>
    </xf>
    <xf numFmtId="0" fontId="152" fillId="0" borderId="15" xfId="0" applyFont="1" applyBorder="1" applyAlignment="1">
      <alignment horizontal="left" wrapText="1"/>
    </xf>
    <xf numFmtId="0" fontId="152" fillId="0" borderId="26" xfId="0" applyFont="1" applyBorder="1" applyAlignment="1">
      <alignment horizontal="left" wrapText="1"/>
    </xf>
    <xf numFmtId="0" fontId="152" fillId="0" borderId="63" xfId="0" applyFont="1" applyBorder="1" applyAlignment="1">
      <alignment horizontal="left" wrapText="1"/>
    </xf>
    <xf numFmtId="0" fontId="191" fillId="0" borderId="47" xfId="150" applyFont="1" applyBorder="1" applyAlignment="1">
      <alignment horizontal="left" vertical="center" shrinkToFit="1"/>
    </xf>
    <xf numFmtId="0" fontId="47" fillId="0" borderId="73" xfId="138" applyFont="1" applyBorder="1" applyAlignment="1">
      <alignment horizontal="left" vertical="center" shrinkToFit="1"/>
    </xf>
    <xf numFmtId="0" fontId="47" fillId="0" borderId="74" xfId="138" applyFont="1" applyBorder="1" applyAlignment="1">
      <alignment horizontal="left" vertical="center" shrinkToFit="1"/>
    </xf>
    <xf numFmtId="0" fontId="47" fillId="0" borderId="89" xfId="138" applyFont="1" applyBorder="1" applyAlignment="1">
      <alignment horizontal="left" vertical="center" shrinkToFit="1"/>
    </xf>
    <xf numFmtId="0" fontId="156" fillId="0" borderId="15" xfId="0" applyFont="1" applyBorder="1" applyAlignment="1">
      <alignment horizontal="center"/>
    </xf>
    <xf numFmtId="0" fontId="156" fillId="0" borderId="26" xfId="0" applyFont="1" applyBorder="1" applyAlignment="1">
      <alignment horizontal="center"/>
    </xf>
    <xf numFmtId="0" fontId="156" fillId="0" borderId="16" xfId="0" applyFont="1" applyBorder="1" applyAlignment="1">
      <alignment horizontal="center"/>
    </xf>
    <xf numFmtId="0" fontId="152" fillId="0" borderId="24" xfId="0" applyFont="1" applyBorder="1" applyAlignment="1">
      <alignment horizontal="left" wrapText="1"/>
    </xf>
    <xf numFmtId="0" fontId="152" fillId="0" borderId="58" xfId="0" applyFont="1" applyBorder="1" applyAlignment="1">
      <alignment horizontal="left" wrapText="1"/>
    </xf>
    <xf numFmtId="0" fontId="57" fillId="0" borderId="47" xfId="0" applyFont="1" applyBorder="1" applyAlignment="1">
      <alignment horizontal="left" vertical="center" wrapText="1" shrinkToFit="1"/>
    </xf>
    <xf numFmtId="0" fontId="191" fillId="0" borderId="2" xfId="150" applyFont="1" applyBorder="1" applyAlignment="1">
      <alignment horizontal="left" vertical="center" shrinkToFit="1"/>
    </xf>
    <xf numFmtId="0" fontId="57" fillId="0" borderId="42" xfId="0" applyFont="1" applyBorder="1" applyAlignment="1">
      <alignment horizontal="left" vertical="center" wrapText="1" shrinkToFit="1"/>
    </xf>
    <xf numFmtId="0" fontId="57" fillId="0" borderId="37" xfId="0" applyFont="1" applyBorder="1" applyAlignment="1">
      <alignment horizontal="left" vertical="center" wrapText="1" shrinkToFit="1"/>
    </xf>
    <xf numFmtId="171" fontId="50" fillId="0" borderId="0" xfId="138" applyNumberFormat="1" applyFont="1" applyAlignment="1">
      <alignment horizontal="center" vertical="center" shrinkToFit="1"/>
    </xf>
    <xf numFmtId="0" fontId="152" fillId="0" borderId="24" xfId="0" applyFont="1" applyBorder="1" applyAlignment="1">
      <alignment horizontal="left" vertical="center" wrapText="1"/>
    </xf>
    <xf numFmtId="0" fontId="152" fillId="0" borderId="58" xfId="0" applyFont="1" applyBorder="1" applyAlignment="1">
      <alignment horizontal="left" vertical="center" wrapText="1"/>
    </xf>
    <xf numFmtId="0" fontId="187" fillId="128" borderId="4" xfId="0" applyFont="1" applyFill="1" applyBorder="1" applyAlignment="1">
      <alignment horizontal="center" vertical="center"/>
    </xf>
    <xf numFmtId="0" fontId="187" fillId="128" borderId="19" xfId="0" applyFont="1" applyFill="1" applyBorder="1" applyAlignment="1">
      <alignment horizontal="center" vertical="center"/>
    </xf>
    <xf numFmtId="0" fontId="187" fillId="128" borderId="5" xfId="0" applyFont="1" applyFill="1" applyBorder="1" applyAlignment="1">
      <alignment horizontal="center" vertical="center"/>
    </xf>
    <xf numFmtId="0" fontId="144" fillId="0" borderId="4" xfId="0" applyFont="1" applyBorder="1" applyAlignment="1" applyProtection="1">
      <alignment horizontal="center"/>
      <protection locked="0"/>
    </xf>
    <xf numFmtId="0" fontId="144" fillId="0" borderId="19" xfId="0" applyFont="1" applyBorder="1" applyAlignment="1" applyProtection="1">
      <alignment horizontal="center"/>
      <protection locked="0"/>
    </xf>
    <xf numFmtId="0" fontId="144" fillId="0" borderId="5" xfId="0" applyFont="1" applyBorder="1" applyAlignment="1" applyProtection="1">
      <alignment horizontal="center"/>
      <protection locked="0"/>
    </xf>
    <xf numFmtId="173" fontId="145" fillId="127" borderId="4" xfId="0" applyNumberFormat="1" applyFont="1" applyFill="1" applyBorder="1" applyAlignment="1">
      <alignment horizontal="center" vertical="center"/>
    </xf>
    <xf numFmtId="173" fontId="145" fillId="127" borderId="5" xfId="0" applyNumberFormat="1" applyFont="1" applyFill="1" applyBorder="1" applyAlignment="1">
      <alignment horizontal="center" vertical="center"/>
    </xf>
    <xf numFmtId="0" fontId="146" fillId="35" borderId="0" xfId="0" applyFont="1" applyFill="1" applyAlignment="1" applyProtection="1">
      <alignment horizontal="center" vertical="center"/>
      <protection locked="0"/>
    </xf>
    <xf numFmtId="0" fontId="50" fillId="0" borderId="76" xfId="138" applyFont="1" applyBorder="1" applyAlignment="1">
      <alignment horizontal="center" vertical="center" shrinkToFit="1"/>
    </xf>
    <xf numFmtId="0" fontId="50" fillId="0" borderId="26" xfId="138" applyFont="1" applyBorder="1" applyAlignment="1">
      <alignment horizontal="center" vertical="center" shrinkToFit="1"/>
    </xf>
    <xf numFmtId="171" fontId="51" fillId="127" borderId="1" xfId="138" applyNumberFormat="1" applyFont="1" applyFill="1" applyBorder="1" applyAlignment="1">
      <alignment horizontal="center" vertical="center" shrinkToFit="1"/>
    </xf>
    <xf numFmtId="0" fontId="50" fillId="0" borderId="1" xfId="138" applyFont="1" applyBorder="1" applyAlignment="1">
      <alignment horizontal="center" vertical="center" wrapText="1" shrinkToFit="1"/>
    </xf>
    <xf numFmtId="0" fontId="50" fillId="0" borderId="1" xfId="138" applyFont="1" applyBorder="1" applyAlignment="1">
      <alignment horizontal="center" vertical="center" shrinkToFit="1"/>
    </xf>
    <xf numFmtId="171" fontId="51" fillId="127" borderId="47" xfId="138" applyNumberFormat="1" applyFont="1" applyFill="1" applyBorder="1" applyAlignment="1">
      <alignment horizontal="center" vertical="center" shrinkToFit="1"/>
    </xf>
    <xf numFmtId="0" fontId="47" fillId="0" borderId="15" xfId="150" applyFont="1" applyBorder="1" applyAlignment="1">
      <alignment horizontal="left" vertical="center" shrinkToFit="1"/>
    </xf>
    <xf numFmtId="0" fontId="47" fillId="0" borderId="26" xfId="150" applyFont="1" applyBorder="1" applyAlignment="1">
      <alignment horizontal="left" vertical="center" shrinkToFit="1"/>
    </xf>
    <xf numFmtId="0" fontId="47" fillId="0" borderId="16" xfId="150" applyFont="1" applyBorder="1" applyAlignment="1">
      <alignment horizontal="left" vertical="center" shrinkToFit="1"/>
    </xf>
    <xf numFmtId="0" fontId="47" fillId="0" borderId="15" xfId="138" applyFont="1" applyBorder="1" applyAlignment="1">
      <alignment horizontal="left" vertical="center" shrinkToFit="1"/>
    </xf>
    <xf numFmtId="0" fontId="47" fillId="0" borderId="16" xfId="138" applyFont="1" applyBorder="1" applyAlignment="1">
      <alignment horizontal="left" vertical="center" shrinkToFit="1"/>
    </xf>
    <xf numFmtId="0" fontId="57" fillId="230" borderId="81" xfId="138" applyFont="1" applyFill="1" applyBorder="1" applyAlignment="1">
      <alignment horizontal="center" vertical="center" shrinkToFit="1"/>
    </xf>
    <xf numFmtId="0" fontId="57" fillId="230" borderId="74" xfId="138" applyFont="1" applyFill="1" applyBorder="1" applyAlignment="1">
      <alignment horizontal="center" vertical="center" shrinkToFit="1"/>
    </xf>
    <xf numFmtId="0" fontId="57" fillId="230" borderId="65" xfId="138" applyFont="1" applyFill="1" applyBorder="1" applyAlignment="1">
      <alignment horizontal="center" vertical="center" shrinkToFit="1"/>
    </xf>
    <xf numFmtId="171" fontId="50" fillId="0" borderId="41" xfId="138" applyNumberFormat="1" applyFont="1" applyBorder="1" applyAlignment="1">
      <alignment horizontal="center" vertical="center" shrinkToFit="1"/>
    </xf>
    <xf numFmtId="171" fontId="50" fillId="0" borderId="67" xfId="138" applyNumberFormat="1" applyFont="1" applyBorder="1" applyAlignment="1">
      <alignment horizontal="center" vertical="center" shrinkToFit="1"/>
    </xf>
    <xf numFmtId="0" fontId="57" fillId="126" borderId="81" xfId="138" applyFont="1" applyFill="1" applyBorder="1" applyAlignment="1">
      <alignment horizontal="center" vertical="center" shrinkToFit="1"/>
    </xf>
    <xf numFmtId="0" fontId="57" fillId="126" borderId="74" xfId="138" applyFont="1" applyFill="1" applyBorder="1" applyAlignment="1">
      <alignment horizontal="center" vertical="center" shrinkToFit="1"/>
    </xf>
    <xf numFmtId="0" fontId="57" fillId="126" borderId="65" xfId="138" applyFont="1" applyFill="1" applyBorder="1" applyAlignment="1">
      <alignment horizontal="center" vertical="center" shrinkToFit="1"/>
    </xf>
    <xf numFmtId="0" fontId="57" fillId="80" borderId="81" xfId="138" applyFont="1" applyFill="1" applyBorder="1" applyAlignment="1">
      <alignment horizontal="center" vertical="center" shrinkToFit="1"/>
    </xf>
    <xf numFmtId="0" fontId="57" fillId="80" borderId="74" xfId="138" applyFont="1" applyFill="1" applyBorder="1" applyAlignment="1">
      <alignment horizontal="center" vertical="center" shrinkToFit="1"/>
    </xf>
    <xf numFmtId="0" fontId="57" fillId="80" borderId="65" xfId="138" applyFont="1" applyFill="1" applyBorder="1" applyAlignment="1">
      <alignment horizontal="center" vertical="center" shrinkToFit="1"/>
    </xf>
    <xf numFmtId="0" fontId="150" fillId="0" borderId="57" xfId="0" applyFont="1" applyBorder="1" applyAlignment="1">
      <alignment horizontal="center"/>
    </xf>
    <xf numFmtId="0" fontId="150" fillId="0" borderId="26" xfId="0" applyFont="1" applyBorder="1" applyAlignment="1">
      <alignment horizontal="center"/>
    </xf>
    <xf numFmtId="0" fontId="156" fillId="0" borderId="57" xfId="0" applyFont="1" applyBorder="1" applyAlignment="1">
      <alignment horizontal="center"/>
    </xf>
    <xf numFmtId="0" fontId="57" fillId="63" borderId="81" xfId="138" applyFont="1" applyFill="1" applyBorder="1" applyAlignment="1">
      <alignment horizontal="center" vertical="center" shrinkToFit="1"/>
    </xf>
    <xf numFmtId="0" fontId="57" fillId="63" borderId="74" xfId="138" applyFont="1" applyFill="1" applyBorder="1" applyAlignment="1">
      <alignment horizontal="center" vertical="center" shrinkToFit="1"/>
    </xf>
    <xf numFmtId="0" fontId="57" fillId="63" borderId="65" xfId="138" applyFont="1" applyFill="1" applyBorder="1" applyAlignment="1">
      <alignment horizontal="center" vertical="center" shrinkToFit="1"/>
    </xf>
    <xf numFmtId="171" fontId="167" fillId="178" borderId="1" xfId="138" applyNumberFormat="1" applyFont="1" applyFill="1" applyBorder="1" applyAlignment="1">
      <alignment horizontal="center" vertical="center" shrinkToFit="1"/>
    </xf>
    <xf numFmtId="0" fontId="50" fillId="0" borderId="24" xfId="138" applyFont="1" applyBorder="1" applyAlignment="1">
      <alignment horizontal="center" vertical="center" shrinkToFit="1"/>
    </xf>
    <xf numFmtId="0" fontId="50" fillId="0" borderId="58" xfId="138" applyFont="1" applyBorder="1" applyAlignment="1">
      <alignment horizontal="center" vertical="center" shrinkToFit="1"/>
    </xf>
    <xf numFmtId="171" fontId="172" fillId="178" borderId="1" xfId="138" applyNumberFormat="1" applyFont="1" applyFill="1" applyBorder="1" applyAlignment="1">
      <alignment horizontal="center" vertical="center" shrinkToFit="1"/>
    </xf>
    <xf numFmtId="0" fontId="168" fillId="125" borderId="15" xfId="138" applyFont="1" applyFill="1" applyBorder="1" applyAlignment="1">
      <alignment horizontal="center" vertical="center" shrinkToFit="1"/>
    </xf>
    <xf numFmtId="0" fontId="168" fillId="125" borderId="26" xfId="138" applyFont="1" applyFill="1" applyBorder="1" applyAlignment="1">
      <alignment horizontal="center" vertical="center" shrinkToFit="1"/>
    </xf>
    <xf numFmtId="0" fontId="168" fillId="125" borderId="16" xfId="138" applyFont="1" applyFill="1" applyBorder="1" applyAlignment="1">
      <alignment horizontal="center" vertical="center" shrinkToFit="1"/>
    </xf>
    <xf numFmtId="171" fontId="50" fillId="0" borderId="78" xfId="138" applyNumberFormat="1" applyFont="1" applyBorder="1" applyAlignment="1">
      <alignment horizontal="center" vertical="center" shrinkToFit="1"/>
    </xf>
    <xf numFmtId="171" fontId="50" fillId="0" borderId="79" xfId="138" applyNumberFormat="1" applyFont="1" applyBorder="1" applyAlignment="1">
      <alignment horizontal="center" vertical="center" shrinkToFit="1"/>
    </xf>
    <xf numFmtId="171" fontId="50" fillId="0" borderId="80" xfId="138" applyNumberFormat="1" applyFont="1" applyBorder="1" applyAlignment="1">
      <alignment horizontal="center" vertical="center" shrinkToFit="1"/>
    </xf>
    <xf numFmtId="0" fontId="47" fillId="93" borderId="15" xfId="150" applyFont="1" applyFill="1" applyBorder="1" applyAlignment="1">
      <alignment horizontal="left" vertical="center" shrinkToFit="1"/>
    </xf>
    <xf numFmtId="0" fontId="47" fillId="93" borderId="26" xfId="150" applyFont="1" applyFill="1" applyBorder="1" applyAlignment="1">
      <alignment horizontal="left" vertical="center" shrinkToFit="1"/>
    </xf>
    <xf numFmtId="0" fontId="47" fillId="93" borderId="16" xfId="150" applyFont="1" applyFill="1" applyBorder="1" applyAlignment="1">
      <alignment horizontal="left" vertical="center" shrinkToFit="1"/>
    </xf>
    <xf numFmtId="0" fontId="168" fillId="91" borderId="15" xfId="138" applyFont="1" applyFill="1" applyBorder="1" applyAlignment="1">
      <alignment horizontal="center" vertical="center" shrinkToFit="1"/>
    </xf>
    <xf numFmtId="0" fontId="168" fillId="91" borderId="26" xfId="138" applyFont="1" applyFill="1" applyBorder="1" applyAlignment="1">
      <alignment horizontal="center" vertical="center" shrinkToFit="1"/>
    </xf>
    <xf numFmtId="0" fontId="168" fillId="91" borderId="16" xfId="138" applyFont="1" applyFill="1" applyBorder="1" applyAlignment="1">
      <alignment horizontal="center" vertical="center" shrinkToFit="1"/>
    </xf>
    <xf numFmtId="0" fontId="47" fillId="93" borderId="66" xfId="150" applyFont="1" applyFill="1" applyBorder="1" applyAlignment="1">
      <alignment horizontal="left" vertical="center" shrinkToFit="1"/>
    </xf>
    <xf numFmtId="0" fontId="47" fillId="93" borderId="41" xfId="150" applyFont="1" applyFill="1" applyBorder="1" applyAlignment="1">
      <alignment horizontal="left" vertical="center" shrinkToFit="1"/>
    </xf>
    <xf numFmtId="0" fontId="47" fillId="93" borderId="67" xfId="150" applyFont="1" applyFill="1" applyBorder="1" applyAlignment="1">
      <alignment horizontal="left" vertical="center" shrinkToFit="1"/>
    </xf>
    <xf numFmtId="171" fontId="50" fillId="0" borderId="66" xfId="138" applyNumberFormat="1" applyFont="1" applyBorder="1" applyAlignment="1">
      <alignment horizontal="center" vertical="center" shrinkToFit="1"/>
    </xf>
    <xf numFmtId="0" fontId="47" fillId="0" borderId="65" xfId="138" applyFont="1" applyBorder="1" applyAlignment="1">
      <alignment horizontal="left" vertical="center" shrinkToFit="1"/>
    </xf>
    <xf numFmtId="0" fontId="168" fillId="55" borderId="15" xfId="138" applyFont="1" applyFill="1" applyBorder="1" applyAlignment="1">
      <alignment horizontal="center" vertical="center" shrinkToFit="1"/>
    </xf>
    <xf numFmtId="0" fontId="168" fillId="55" borderId="26" xfId="138" applyFont="1" applyFill="1" applyBorder="1" applyAlignment="1">
      <alignment horizontal="center" vertical="center" shrinkToFit="1"/>
    </xf>
    <xf numFmtId="0" fontId="168" fillId="55" borderId="16" xfId="138" applyFont="1" applyFill="1" applyBorder="1" applyAlignment="1">
      <alignment horizontal="center" vertical="center" shrinkToFit="1"/>
    </xf>
    <xf numFmtId="0" fontId="50" fillId="0" borderId="23" xfId="138" applyFont="1" applyBorder="1" applyAlignment="1">
      <alignment horizontal="center" vertical="center" shrinkToFit="1"/>
    </xf>
    <xf numFmtId="0" fontId="50" fillId="0" borderId="64" xfId="138" applyFont="1" applyBorder="1" applyAlignment="1">
      <alignment horizontal="center" vertical="center" shrinkToFit="1"/>
    </xf>
    <xf numFmtId="171" fontId="167" fillId="178" borderId="47" xfId="138" applyNumberFormat="1" applyFont="1" applyFill="1" applyBorder="1" applyAlignment="1">
      <alignment horizontal="center" vertical="center" shrinkToFit="1"/>
    </xf>
    <xf numFmtId="0" fontId="115" fillId="127" borderId="15" xfId="138" applyFont="1" applyFill="1" applyBorder="1" applyAlignment="1">
      <alignment horizontal="center" vertical="center" shrinkToFit="1"/>
    </xf>
    <xf numFmtId="0" fontId="115" fillId="127" borderId="26" xfId="138" applyFont="1" applyFill="1" applyBorder="1" applyAlignment="1">
      <alignment horizontal="center" vertical="center" shrinkToFit="1"/>
    </xf>
    <xf numFmtId="0" fontId="57" fillId="34" borderId="44" xfId="138" applyFont="1" applyFill="1" applyBorder="1" applyAlignment="1">
      <alignment horizontal="center" vertical="center" shrinkToFit="1"/>
    </xf>
    <xf numFmtId="0" fontId="57" fillId="34" borderId="0" xfId="138" applyFont="1" applyFill="1" applyAlignment="1">
      <alignment horizontal="center" vertical="center" shrinkToFit="1"/>
    </xf>
    <xf numFmtId="0" fontId="57" fillId="34" borderId="45" xfId="138" applyFont="1" applyFill="1" applyBorder="1" applyAlignment="1">
      <alignment horizontal="center" vertical="center" shrinkToFit="1"/>
    </xf>
    <xf numFmtId="0" fontId="144" fillId="0" borderId="4" xfId="0" applyFont="1" applyBorder="1" applyAlignment="1">
      <alignment horizontal="center"/>
    </xf>
    <xf numFmtId="0" fontId="144" fillId="0" borderId="19" xfId="0" applyFont="1" applyBorder="1" applyAlignment="1">
      <alignment horizontal="center"/>
    </xf>
    <xf numFmtId="0" fontId="144" fillId="0" borderId="5" xfId="0" applyFont="1" applyBorder="1" applyAlignment="1">
      <alignment horizontal="center"/>
    </xf>
    <xf numFmtId="171" fontId="145" fillId="127" borderId="4" xfId="0" applyNumberFormat="1" applyFont="1" applyFill="1" applyBorder="1" applyAlignment="1">
      <alignment horizontal="center"/>
    </xf>
    <xf numFmtId="171" fontId="145" fillId="127" borderId="5" xfId="0" applyNumberFormat="1" applyFont="1" applyFill="1" applyBorder="1" applyAlignment="1">
      <alignment horizontal="center"/>
    </xf>
    <xf numFmtId="0" fontId="147" fillId="0" borderId="27" xfId="0" applyFont="1" applyBorder="1" applyAlignment="1">
      <alignment horizontal="center"/>
    </xf>
    <xf numFmtId="0" fontId="147" fillId="0" borderId="28" xfId="0" applyFont="1" applyBorder="1" applyAlignment="1">
      <alignment horizontal="center"/>
    </xf>
    <xf numFmtId="0" fontId="147" fillId="0" borderId="19" xfId="0" applyFont="1" applyBorder="1" applyAlignment="1">
      <alignment horizontal="center"/>
    </xf>
    <xf numFmtId="0" fontId="147" fillId="0" borderId="5" xfId="0" applyFont="1" applyBorder="1" applyAlignment="1">
      <alignment horizontal="center"/>
    </xf>
    <xf numFmtId="171" fontId="145" fillId="136" borderId="27" xfId="0" applyNumberFormat="1" applyFont="1" applyFill="1" applyBorder="1" applyAlignment="1">
      <alignment horizontal="center"/>
    </xf>
    <xf numFmtId="171" fontId="145" fillId="136" borderId="29" xfId="0" applyNumberFormat="1" applyFont="1" applyFill="1" applyBorder="1" applyAlignment="1">
      <alignment horizontal="center"/>
    </xf>
    <xf numFmtId="0" fontId="147" fillId="0" borderId="29" xfId="0" applyFont="1" applyBorder="1" applyAlignment="1">
      <alignment horizontal="center"/>
    </xf>
    <xf numFmtId="0" fontId="57" fillId="0" borderId="57" xfId="138" applyFont="1" applyBorder="1" applyAlignment="1">
      <alignment horizontal="center" vertical="center" shrinkToFit="1"/>
    </xf>
    <xf numFmtId="0" fontId="57" fillId="0" borderId="26" xfId="138" applyFont="1" applyBorder="1" applyAlignment="1">
      <alignment horizontal="center" vertical="center" shrinkToFit="1"/>
    </xf>
    <xf numFmtId="0" fontId="57" fillId="0" borderId="16" xfId="138" applyFont="1" applyBorder="1" applyAlignment="1">
      <alignment horizontal="center" vertical="center" shrinkToFit="1"/>
    </xf>
    <xf numFmtId="0" fontId="147" fillId="0" borderId="61" xfId="0" applyFont="1" applyBorder="1" applyAlignment="1">
      <alignment horizontal="center"/>
    </xf>
    <xf numFmtId="0" fontId="147" fillId="0" borderId="62" xfId="0" applyFont="1" applyBorder="1" applyAlignment="1">
      <alignment horizontal="center"/>
    </xf>
    <xf numFmtId="0" fontId="146" fillId="35" borderId="30" xfId="0" applyFont="1" applyFill="1" applyBorder="1" applyAlignment="1">
      <alignment horizontal="center"/>
    </xf>
    <xf numFmtId="0" fontId="146" fillId="35" borderId="0" xfId="0" applyFont="1" applyFill="1" applyAlignment="1">
      <alignment horizontal="center"/>
    </xf>
    <xf numFmtId="171" fontId="144" fillId="0" borderId="52" xfId="0" applyNumberFormat="1" applyFont="1" applyBorder="1" applyAlignment="1">
      <alignment horizontal="center"/>
    </xf>
    <xf numFmtId="171" fontId="144" fillId="0" borderId="53" xfId="0" applyNumberFormat="1" applyFont="1" applyBorder="1" applyAlignment="1">
      <alignment horizontal="center"/>
    </xf>
    <xf numFmtId="0" fontId="149" fillId="135" borderId="27" xfId="0" applyFont="1" applyFill="1" applyBorder="1" applyAlignment="1">
      <alignment horizontal="center" vertical="center"/>
    </xf>
    <xf numFmtId="0" fontId="149" fillId="135" borderId="28" xfId="0" applyFont="1" applyFill="1" applyBorder="1" applyAlignment="1">
      <alignment horizontal="center" vertical="center"/>
    </xf>
    <xf numFmtId="0" fontId="149" fillId="135" borderId="29" xfId="0" applyFont="1" applyFill="1" applyBorder="1" applyAlignment="1">
      <alignment horizontal="center" vertical="center"/>
    </xf>
    <xf numFmtId="0" fontId="149" fillId="135" borderId="33" xfId="0" applyFont="1" applyFill="1" applyBorder="1" applyAlignment="1">
      <alignment horizontal="center" vertical="center"/>
    </xf>
    <xf numFmtId="0" fontId="149" fillId="135" borderId="18" xfId="0" applyFont="1" applyFill="1" applyBorder="1" applyAlignment="1">
      <alignment horizontal="center" vertical="center"/>
    </xf>
    <xf numFmtId="0" fontId="149" fillId="135" borderId="17" xfId="0" applyFont="1" applyFill="1" applyBorder="1" applyAlignment="1">
      <alignment horizontal="center" vertical="center"/>
    </xf>
    <xf numFmtId="0" fontId="139" fillId="0" borderId="44" xfId="0" applyFont="1" applyBorder="1" applyAlignment="1">
      <alignment horizontal="center"/>
    </xf>
    <xf numFmtId="0" fontId="139" fillId="0" borderId="45" xfId="0" applyFont="1" applyBorder="1" applyAlignment="1">
      <alignment horizontal="center"/>
    </xf>
    <xf numFmtId="0" fontId="112" fillId="93" borderId="4" xfId="138" applyFont="1" applyFill="1" applyBorder="1" applyAlignment="1">
      <alignment horizontal="center" vertical="center" shrinkToFit="1"/>
    </xf>
    <xf numFmtId="0" fontId="112" fillId="93" borderId="19" xfId="138" applyFont="1" applyFill="1" applyBorder="1" applyAlignment="1">
      <alignment horizontal="center" vertical="center" shrinkToFit="1"/>
    </xf>
    <xf numFmtId="0" fontId="144" fillId="0" borderId="48" xfId="0" applyFont="1" applyBorder="1" applyAlignment="1">
      <alignment horizontal="center" vertical="center"/>
    </xf>
    <xf numFmtId="0" fontId="144" fillId="0" borderId="49" xfId="0" applyFont="1" applyBorder="1" applyAlignment="1">
      <alignment horizontal="center" vertical="center"/>
    </xf>
    <xf numFmtId="0" fontId="144" fillId="0" borderId="50" xfId="0" applyFont="1" applyBorder="1" applyAlignment="1">
      <alignment horizontal="center" vertical="center"/>
    </xf>
    <xf numFmtId="0" fontId="140" fillId="127" borderId="4" xfId="138" applyFont="1" applyFill="1" applyBorder="1" applyAlignment="1">
      <alignment horizontal="center" vertical="center" shrinkToFit="1"/>
    </xf>
    <xf numFmtId="0" fontId="140" fillId="127" borderId="19" xfId="138" applyFont="1" applyFill="1" applyBorder="1" applyAlignment="1">
      <alignment horizontal="center" vertical="center" shrinkToFit="1"/>
    </xf>
    <xf numFmtId="0" fontId="140" fillId="127" borderId="5" xfId="138" applyFont="1" applyFill="1" applyBorder="1" applyAlignment="1">
      <alignment horizontal="center" vertical="center" shrinkToFit="1"/>
    </xf>
    <xf numFmtId="171" fontId="52" fillId="127" borderId="4" xfId="138" applyNumberFormat="1" applyFont="1" applyFill="1" applyBorder="1" applyAlignment="1">
      <alignment horizontal="center" vertical="center" shrinkToFit="1"/>
    </xf>
    <xf numFmtId="171" fontId="52" fillId="127" borderId="19" xfId="138" applyNumberFormat="1" applyFont="1" applyFill="1" applyBorder="1" applyAlignment="1">
      <alignment horizontal="center" vertical="center" shrinkToFit="1"/>
    </xf>
    <xf numFmtId="171" fontId="52" fillId="127" borderId="5" xfId="138" applyNumberFormat="1" applyFont="1" applyFill="1" applyBorder="1" applyAlignment="1">
      <alignment horizontal="center" vertical="center" shrinkToFit="1"/>
    </xf>
    <xf numFmtId="14" fontId="138" fillId="0" borderId="1" xfId="0" applyNumberFormat="1" applyFont="1" applyBorder="1" applyAlignment="1">
      <alignment horizontal="center" wrapText="1"/>
    </xf>
    <xf numFmtId="0" fontId="138" fillId="0" borderId="1" xfId="0" applyFont="1" applyBorder="1" applyAlignment="1" applyProtection="1">
      <alignment horizontal="center" wrapText="1"/>
      <protection locked="0"/>
    </xf>
    <xf numFmtId="0" fontId="130" fillId="125" borderId="4" xfId="251" applyFont="1" applyFill="1" applyBorder="1" applyAlignment="1">
      <alignment horizontal="center" vertical="top" shrinkToFit="1"/>
    </xf>
    <xf numFmtId="0" fontId="131" fillId="125" borderId="19" xfId="251" applyFont="1" applyFill="1" applyBorder="1" applyAlignment="1">
      <alignment horizontal="center" vertical="top" shrinkToFit="1"/>
    </xf>
    <xf numFmtId="0" fontId="131" fillId="125" borderId="5" xfId="251" applyFont="1" applyFill="1" applyBorder="1" applyAlignment="1">
      <alignment horizontal="center" vertical="top" shrinkToFit="1"/>
    </xf>
    <xf numFmtId="171" fontId="132" fillId="125" borderId="4" xfId="251" applyNumberFormat="1" applyFont="1" applyFill="1" applyBorder="1" applyAlignment="1">
      <alignment horizontal="center" vertical="center" shrinkToFit="1"/>
    </xf>
    <xf numFmtId="171" fontId="132" fillId="125" borderId="19" xfId="251" applyNumberFormat="1" applyFont="1" applyFill="1" applyBorder="1" applyAlignment="1">
      <alignment horizontal="center" vertical="center" shrinkToFit="1"/>
    </xf>
    <xf numFmtId="171" fontId="132" fillId="125" borderId="5" xfId="251" applyNumberFormat="1" applyFont="1" applyFill="1" applyBorder="1" applyAlignment="1">
      <alignment horizontal="center" vertical="center" shrinkToFit="1"/>
    </xf>
    <xf numFmtId="0" fontId="133" fillId="80" borderId="1" xfId="0" applyFont="1" applyFill="1" applyBorder="1" applyAlignment="1">
      <alignment horizontal="center" vertical="center" wrapText="1"/>
    </xf>
    <xf numFmtId="0" fontId="138" fillId="126" borderId="1" xfId="0" applyFont="1" applyFill="1" applyBorder="1" applyAlignment="1">
      <alignment horizontal="center" wrapText="1"/>
    </xf>
    <xf numFmtId="0" fontId="92" fillId="82" borderId="0" xfId="0" applyFont="1" applyFill="1" applyAlignment="1">
      <alignment horizontal="center" vertical="center"/>
    </xf>
    <xf numFmtId="0" fontId="33" fillId="35" borderId="37" xfId="0" applyFont="1" applyFill="1" applyBorder="1" applyAlignment="1">
      <alignment horizontal="center" vertical="center"/>
    </xf>
    <xf numFmtId="0" fontId="33" fillId="35" borderId="0" xfId="0" applyFont="1" applyFill="1" applyAlignment="1">
      <alignment horizontal="center" vertical="center"/>
    </xf>
    <xf numFmtId="174" fontId="53" fillId="79" borderId="4" xfId="0" applyNumberFormat="1" applyFont="1" applyFill="1" applyBorder="1" applyAlignment="1">
      <alignment horizontal="center" vertical="center"/>
    </xf>
    <xf numFmtId="174" fontId="53" fillId="79" borderId="19" xfId="0" applyNumberFormat="1" applyFont="1" applyFill="1" applyBorder="1" applyAlignment="1">
      <alignment horizontal="center" vertical="center"/>
    </xf>
    <xf numFmtId="174" fontId="53" fillId="79" borderId="5" xfId="0" applyNumberFormat="1" applyFont="1" applyFill="1" applyBorder="1" applyAlignment="1">
      <alignment horizontal="center" vertical="center"/>
    </xf>
    <xf numFmtId="174" fontId="23" fillId="0" borderId="0" xfId="0" applyNumberFormat="1" applyFont="1" applyAlignment="1">
      <alignment horizontal="center" vertical="center"/>
    </xf>
    <xf numFmtId="174" fontId="0" fillId="0" borderId="0" xfId="0" applyNumberFormat="1" applyAlignment="1">
      <alignment vertical="center"/>
    </xf>
    <xf numFmtId="174" fontId="0" fillId="0" borderId="0" xfId="0" applyNumberFormat="1"/>
    <xf numFmtId="174" fontId="1" fillId="0" borderId="0" xfId="0" applyNumberFormat="1" applyFont="1"/>
    <xf numFmtId="174" fontId="1" fillId="82" borderId="0" xfId="0" applyNumberFormat="1" applyFont="1" applyFill="1"/>
    <xf numFmtId="174" fontId="1" fillId="82" borderId="18" xfId="0" applyNumberFormat="1" applyFont="1" applyFill="1" applyBorder="1"/>
    <xf numFmtId="174" fontId="1" fillId="0" borderId="18" xfId="0" applyNumberFormat="1" applyFont="1" applyBorder="1"/>
    <xf numFmtId="174" fontId="54" fillId="82" borderId="25" xfId="0" applyNumberFormat="1" applyFont="1" applyFill="1" applyBorder="1" applyAlignment="1">
      <alignment horizontal="center" vertical="center" textRotation="90"/>
    </xf>
    <xf numFmtId="174" fontId="55" fillId="0" borderId="26" xfId="131" applyNumberFormat="1" applyFont="1" applyBorder="1" applyAlignment="1">
      <alignment horizontal="center"/>
    </xf>
    <xf numFmtId="174" fontId="56" fillId="0" borderId="1" xfId="131" applyNumberFormat="1" applyFont="1" applyBorder="1" applyAlignment="1">
      <alignment horizontal="center"/>
    </xf>
    <xf numFmtId="174" fontId="23" fillId="0" borderId="27" xfId="0" applyNumberFormat="1" applyFont="1" applyBorder="1" applyProtection="1">
      <protection locked="0"/>
    </xf>
    <xf numFmtId="174" fontId="23" fillId="0" borderId="28" xfId="0" applyNumberFormat="1" applyFont="1" applyBorder="1" applyProtection="1">
      <protection locked="0"/>
    </xf>
    <xf numFmtId="174" fontId="57" fillId="0" borderId="1" xfId="138" applyNumberFormat="1" applyFont="1" applyBorder="1" applyAlignment="1">
      <alignment horizontal="center" vertical="center" shrinkToFit="1"/>
    </xf>
    <xf numFmtId="174" fontId="23" fillId="0" borderId="28" xfId="0" applyNumberFormat="1" applyFont="1" applyBorder="1"/>
    <xf numFmtId="174" fontId="1" fillId="82" borderId="29" xfId="0" applyNumberFormat="1" applyFont="1" applyFill="1" applyBorder="1" applyProtection="1">
      <protection locked="0"/>
    </xf>
    <xf numFmtId="174" fontId="1" fillId="82" borderId="30" xfId="0" applyNumberFormat="1" applyFont="1" applyFill="1" applyBorder="1"/>
    <xf numFmtId="174" fontId="54" fillId="82" borderId="27" xfId="0" applyNumberFormat="1" applyFont="1" applyFill="1" applyBorder="1" applyAlignment="1">
      <alignment vertical="center"/>
    </xf>
    <xf numFmtId="174" fontId="54" fillId="82" borderId="28" xfId="0" applyNumberFormat="1" applyFont="1" applyFill="1" applyBorder="1" applyAlignment="1">
      <alignment vertical="center"/>
    </xf>
    <xf numFmtId="174" fontId="54" fillId="82" borderId="29" xfId="0" applyNumberFormat="1" applyFont="1" applyFill="1" applyBorder="1" applyAlignment="1">
      <alignment vertical="center"/>
    </xf>
    <xf numFmtId="174" fontId="54" fillId="82" borderId="31" xfId="0" applyNumberFormat="1" applyFont="1" applyFill="1" applyBorder="1" applyAlignment="1">
      <alignment horizontal="center" vertical="center" textRotation="90"/>
    </xf>
    <xf numFmtId="174" fontId="23" fillId="0" borderId="30" xfId="0" applyNumberFormat="1" applyFont="1" applyBorder="1" applyProtection="1">
      <protection locked="0"/>
    </xf>
    <xf numFmtId="174" fontId="23" fillId="0" borderId="0" xfId="0" applyNumberFormat="1" applyFont="1" applyProtection="1">
      <protection locked="0"/>
    </xf>
    <xf numFmtId="174" fontId="58" fillId="0" borderId="0" xfId="250" applyNumberFormat="1" applyFont="1" applyAlignment="1" applyProtection="1">
      <alignment horizontal="center" vertical="center"/>
    </xf>
    <xf numFmtId="174" fontId="59" fillId="0" borderId="0" xfId="0" applyNumberFormat="1" applyFont="1" applyAlignment="1">
      <alignment horizontal="center"/>
    </xf>
    <xf numFmtId="174" fontId="1" fillId="82" borderId="0" xfId="0" applyNumberFormat="1" applyFont="1" applyFill="1" applyProtection="1">
      <protection locked="0"/>
    </xf>
    <xf numFmtId="174" fontId="1" fillId="82" borderId="32" xfId="0" applyNumberFormat="1" applyFont="1" applyFill="1" applyBorder="1" applyProtection="1">
      <protection locked="0"/>
    </xf>
    <xf numFmtId="174" fontId="54" fillId="82" borderId="30" xfId="0" applyNumberFormat="1" applyFont="1" applyFill="1" applyBorder="1" applyAlignment="1">
      <alignment vertical="center"/>
    </xf>
    <xf numFmtId="174" fontId="54" fillId="82" borderId="0" xfId="0" applyNumberFormat="1" applyFont="1" applyFill="1" applyAlignment="1">
      <alignment vertical="center"/>
    </xf>
    <xf numFmtId="174" fontId="54" fillId="82" borderId="32" xfId="0" applyNumberFormat="1" applyFont="1" applyFill="1" applyBorder="1" applyAlignment="1">
      <alignment vertical="center"/>
    </xf>
    <xf numFmtId="174" fontId="59" fillId="0" borderId="1" xfId="142" applyNumberFormat="1" applyFont="1" applyBorder="1" applyAlignment="1" applyProtection="1">
      <alignment horizontal="center" vertical="center" shrinkToFit="1"/>
    </xf>
    <xf numFmtId="174" fontId="23" fillId="0" borderId="30" xfId="0" applyNumberFormat="1" applyFont="1" applyBorder="1"/>
    <xf numFmtId="174" fontId="60" fillId="35" borderId="27" xfId="0" applyNumberFormat="1" applyFont="1" applyFill="1" applyBorder="1" applyAlignment="1">
      <alignment horizontal="center" vertical="center"/>
    </xf>
    <xf numFmtId="174" fontId="60" fillId="35" borderId="28" xfId="0" applyNumberFormat="1" applyFont="1" applyFill="1" applyBorder="1" applyAlignment="1">
      <alignment horizontal="center" vertical="center"/>
    </xf>
    <xf numFmtId="174" fontId="60" fillId="35" borderId="29" xfId="0" applyNumberFormat="1" applyFont="1" applyFill="1" applyBorder="1" applyAlignment="1">
      <alignment horizontal="center" vertical="center"/>
    </xf>
    <xf numFmtId="174" fontId="61" fillId="82" borderId="0" xfId="0" applyNumberFormat="1" applyFont="1" applyFill="1" applyAlignment="1">
      <alignment horizontal="right" vertical="center"/>
    </xf>
    <xf numFmtId="174" fontId="62" fillId="0" borderId="0" xfId="0" applyNumberFormat="1" applyFont="1" applyAlignment="1" applyProtection="1">
      <alignment horizontal="center" vertical="center"/>
      <protection locked="0"/>
    </xf>
    <xf numFmtId="174" fontId="61" fillId="0" borderId="0" xfId="0" applyNumberFormat="1" applyFont="1" applyAlignment="1">
      <alignment horizontal="left" vertical="center"/>
    </xf>
    <xf numFmtId="174" fontId="54" fillId="0" borderId="0" xfId="0" applyNumberFormat="1" applyFont="1" applyAlignment="1" applyProtection="1">
      <alignment horizontal="center" vertical="center"/>
      <protection locked="0"/>
    </xf>
    <xf numFmtId="174" fontId="60" fillId="35" borderId="30" xfId="0" applyNumberFormat="1" applyFont="1" applyFill="1" applyBorder="1" applyAlignment="1">
      <alignment horizontal="center" vertical="center"/>
    </xf>
    <xf numFmtId="174" fontId="60" fillId="35" borderId="0" xfId="0" applyNumberFormat="1" applyFont="1" applyFill="1" applyAlignment="1">
      <alignment horizontal="center" vertical="center"/>
    </xf>
    <xf numFmtId="174" fontId="60" fillId="35" borderId="32" xfId="0" applyNumberFormat="1" applyFont="1" applyFill="1" applyBorder="1" applyAlignment="1">
      <alignment horizontal="center" vertical="center"/>
    </xf>
    <xf numFmtId="174" fontId="1" fillId="0" borderId="0" xfId="0" applyNumberFormat="1" applyFont="1" applyProtection="1">
      <protection locked="0"/>
    </xf>
    <xf numFmtId="174" fontId="23" fillId="0" borderId="0" xfId="0" applyNumberFormat="1" applyFont="1" applyAlignment="1" applyProtection="1">
      <alignment horizontal="left" vertical="center"/>
      <protection locked="0"/>
    </xf>
    <xf numFmtId="174" fontId="63" fillId="0" borderId="1" xfId="0" applyNumberFormat="1" applyFont="1" applyBorder="1" applyAlignment="1">
      <alignment horizontal="center" vertical="center"/>
    </xf>
    <xf numFmtId="174" fontId="60" fillId="35" borderId="33" xfId="0" applyNumberFormat="1" applyFont="1" applyFill="1" applyBorder="1" applyAlignment="1">
      <alignment horizontal="center" vertical="center"/>
    </xf>
    <xf numFmtId="174" fontId="60" fillId="35" borderId="18" xfId="0" applyNumberFormat="1" applyFont="1" applyFill="1" applyBorder="1" applyAlignment="1">
      <alignment horizontal="center" vertical="center"/>
    </xf>
    <xf numFmtId="174" fontId="60" fillId="35" borderId="17" xfId="0" applyNumberFormat="1" applyFont="1" applyFill="1" applyBorder="1" applyAlignment="1">
      <alignment horizontal="center" vertical="center"/>
    </xf>
    <xf numFmtId="174" fontId="23" fillId="82" borderId="0" xfId="0" applyNumberFormat="1" applyFont="1" applyFill="1" applyAlignment="1">
      <alignment horizontal="center" vertical="center"/>
    </xf>
    <xf numFmtId="174" fontId="1" fillId="82" borderId="0" xfId="0" applyNumberFormat="1" applyFont="1" applyFill="1" applyAlignment="1" applyProtection="1">
      <alignment horizontal="center" wrapText="1"/>
      <protection locked="0"/>
    </xf>
    <xf numFmtId="174" fontId="54" fillId="82" borderId="31" xfId="0" applyNumberFormat="1" applyFont="1" applyFill="1" applyBorder="1" applyAlignment="1">
      <alignment vertical="center" textRotation="90"/>
    </xf>
    <xf numFmtId="174" fontId="54" fillId="82" borderId="34" xfId="0" applyNumberFormat="1" applyFont="1" applyFill="1" applyBorder="1" applyAlignment="1">
      <alignment vertical="center" textRotation="90"/>
    </xf>
    <xf numFmtId="174" fontId="61" fillId="0" borderId="0" xfId="0" applyNumberFormat="1" applyFont="1" applyAlignment="1">
      <alignment horizontal="center"/>
    </xf>
    <xf numFmtId="174" fontId="61" fillId="81" borderId="0" xfId="0" applyNumberFormat="1" applyFont="1" applyFill="1" applyAlignment="1">
      <alignment horizontal="center"/>
    </xf>
    <xf numFmtId="174" fontId="1" fillId="0" borderId="30" xfId="0" applyNumberFormat="1" applyFont="1" applyBorder="1" applyProtection="1">
      <protection locked="0"/>
    </xf>
    <xf numFmtId="174" fontId="64" fillId="0" borderId="16" xfId="0" applyNumberFormat="1" applyFont="1" applyBorder="1" applyAlignment="1">
      <alignment horizontal="center"/>
    </xf>
    <xf numFmtId="174" fontId="23" fillId="0" borderId="0" xfId="0" applyNumberFormat="1" applyFont="1"/>
    <xf numFmtId="174" fontId="35" fillId="0" borderId="0" xfId="0" applyNumberFormat="1" applyFont="1" applyAlignment="1">
      <alignment horizontal="center" vertical="center"/>
    </xf>
    <xf numFmtId="174" fontId="65" fillId="0" borderId="0" xfId="0" applyNumberFormat="1" applyFont="1" applyAlignment="1">
      <alignment horizontal="center" vertical="center"/>
    </xf>
    <xf numFmtId="174" fontId="58" fillId="81" borderId="0" xfId="250" applyNumberFormat="1" applyFont="1" applyFill="1" applyAlignment="1" applyProtection="1">
      <alignment horizontal="center" vertical="center"/>
    </xf>
    <xf numFmtId="174" fontId="65" fillId="88" borderId="0" xfId="0" applyNumberFormat="1" applyFont="1" applyFill="1" applyAlignment="1">
      <alignment horizontal="center" vertical="center"/>
    </xf>
    <xf numFmtId="174" fontId="66" fillId="0" borderId="35" xfId="142" applyNumberFormat="1" applyFont="1" applyBorder="1" applyAlignment="1" applyProtection="1">
      <alignment horizontal="center" vertical="center" shrinkToFit="1"/>
    </xf>
    <xf numFmtId="174" fontId="54" fillId="82" borderId="0" xfId="0" applyNumberFormat="1" applyFont="1" applyFill="1" applyAlignment="1">
      <alignment horizontal="center" vertical="center"/>
    </xf>
    <xf numFmtId="174" fontId="54" fillId="0" borderId="0" xfId="0" applyNumberFormat="1" applyFont="1" applyAlignment="1">
      <alignment horizontal="center" vertical="center"/>
    </xf>
    <xf numFmtId="174" fontId="61" fillId="0" borderId="0" xfId="0" applyNumberFormat="1" applyFont="1" applyAlignment="1" applyProtection="1">
      <alignment horizontal="right" vertical="center"/>
      <protection locked="0"/>
    </xf>
    <xf numFmtId="174" fontId="67" fillId="0" borderId="0" xfId="0" applyNumberFormat="1" applyFont="1" applyAlignment="1" applyProtection="1">
      <alignment horizontal="center" vertical="center"/>
      <protection locked="0"/>
    </xf>
    <xf numFmtId="174" fontId="61" fillId="0" borderId="0" xfId="0" applyNumberFormat="1" applyFont="1" applyAlignment="1" applyProtection="1">
      <alignment horizontal="left" vertical="center"/>
      <protection locked="0"/>
    </xf>
    <xf numFmtId="174" fontId="1" fillId="82" borderId="36" xfId="0" applyNumberFormat="1" applyFont="1" applyFill="1" applyBorder="1"/>
    <xf numFmtId="174" fontId="0" fillId="0" borderId="0" xfId="0" applyNumberFormat="1" applyAlignment="1">
      <alignment horizontal="center"/>
    </xf>
    <xf numFmtId="174" fontId="35" fillId="34" borderId="1" xfId="0" applyNumberFormat="1" applyFont="1" applyFill="1" applyBorder="1" applyAlignment="1">
      <alignment horizontal="center" vertical="center"/>
    </xf>
    <xf numFmtId="174" fontId="35" fillId="67" borderId="1" xfId="0" applyNumberFormat="1" applyFont="1" applyFill="1" applyBorder="1" applyAlignment="1">
      <alignment horizontal="center" vertical="center"/>
    </xf>
    <xf numFmtId="174" fontId="46" fillId="63" borderId="1" xfId="0" applyNumberFormat="1" applyFont="1" applyFill="1" applyBorder="1" applyAlignment="1">
      <alignment horizontal="center" vertical="center"/>
    </xf>
    <xf numFmtId="174" fontId="67" fillId="82" borderId="0" xfId="0" applyNumberFormat="1" applyFont="1" applyFill="1" applyAlignment="1" applyProtection="1">
      <alignment horizontal="center" vertical="center"/>
      <protection locked="0"/>
    </xf>
    <xf numFmtId="174" fontId="1" fillId="82" borderId="31" xfId="0" applyNumberFormat="1" applyFont="1" applyFill="1" applyBorder="1"/>
    <xf numFmtId="174" fontId="35" fillId="38" borderId="1" xfId="0" applyNumberFormat="1" applyFont="1" applyFill="1" applyBorder="1" applyAlignment="1">
      <alignment horizontal="center" vertical="center"/>
    </xf>
    <xf numFmtId="174" fontId="35" fillId="45" borderId="1" xfId="0" applyNumberFormat="1" applyFont="1" applyFill="1" applyBorder="1" applyAlignment="1">
      <alignment horizontal="center" vertical="center"/>
    </xf>
    <xf numFmtId="174" fontId="38" fillId="38" borderId="1" xfId="0" applyNumberFormat="1" applyFont="1" applyFill="1" applyBorder="1" applyAlignment="1">
      <alignment horizontal="center" vertical="center"/>
    </xf>
    <xf numFmtId="174" fontId="66" fillId="0" borderId="16" xfId="142" applyNumberFormat="1" applyFont="1" applyBorder="1" applyAlignment="1" applyProtection="1">
      <alignment horizontal="center" vertical="center" shrinkToFit="1"/>
    </xf>
    <xf numFmtId="174" fontId="68" fillId="0" borderId="1" xfId="142" applyNumberFormat="1" applyFont="1" applyBorder="1" applyAlignment="1" applyProtection="1">
      <alignment horizontal="center" vertical="center" shrinkToFit="1"/>
    </xf>
    <xf numFmtId="174" fontId="61" fillId="82" borderId="0" xfId="0" applyNumberFormat="1" applyFont="1" applyFill="1" applyAlignment="1" applyProtection="1">
      <alignment horizontal="right" vertical="center"/>
      <protection locked="0"/>
    </xf>
    <xf numFmtId="174" fontId="1" fillId="82" borderId="34" xfId="0" applyNumberFormat="1" applyFont="1" applyFill="1" applyBorder="1"/>
    <xf numFmtId="174" fontId="69" fillId="0" borderId="1" xfId="0" applyNumberFormat="1" applyFont="1" applyBorder="1" applyAlignment="1">
      <alignment horizontal="center"/>
    </xf>
    <xf numFmtId="174" fontId="54" fillId="0" borderId="37" xfId="0" applyNumberFormat="1" applyFont="1" applyBorder="1" applyAlignment="1">
      <alignment horizontal="center" vertical="center"/>
    </xf>
    <xf numFmtId="174" fontId="70" fillId="35" borderId="27" xfId="0" applyNumberFormat="1" applyFont="1" applyFill="1" applyBorder="1" applyAlignment="1" applyProtection="1">
      <alignment horizontal="center" vertical="center" wrapText="1"/>
      <protection locked="0"/>
    </xf>
    <xf numFmtId="174" fontId="70" fillId="35" borderId="29" xfId="0" applyNumberFormat="1" applyFont="1" applyFill="1" applyBorder="1" applyAlignment="1" applyProtection="1">
      <alignment horizontal="center" vertical="center" wrapText="1"/>
      <protection locked="0"/>
    </xf>
    <xf numFmtId="174" fontId="71" fillId="0" borderId="0" xfId="0" applyNumberFormat="1" applyFont="1" applyProtection="1">
      <protection locked="0"/>
    </xf>
    <xf numFmtId="174" fontId="23" fillId="92" borderId="0" xfId="0" applyNumberFormat="1" applyFont="1" applyFill="1" applyProtection="1">
      <protection locked="0"/>
    </xf>
    <xf numFmtId="174" fontId="72" fillId="82" borderId="0" xfId="0" applyNumberFormat="1" applyFont="1" applyFill="1" applyProtection="1">
      <protection locked="0"/>
    </xf>
    <xf numFmtId="174" fontId="70" fillId="35" borderId="33" xfId="0" applyNumberFormat="1" applyFont="1" applyFill="1" applyBorder="1" applyAlignment="1" applyProtection="1">
      <alignment horizontal="center" vertical="center" wrapText="1"/>
      <protection locked="0"/>
    </xf>
    <xf numFmtId="174" fontId="70" fillId="35" borderId="17" xfId="0" applyNumberFormat="1" applyFont="1" applyFill="1" applyBorder="1" applyAlignment="1" applyProtection="1">
      <alignment horizontal="center" vertical="center" wrapText="1"/>
      <protection locked="0"/>
    </xf>
    <xf numFmtId="174" fontId="58" fillId="0" borderId="0" xfId="0" applyNumberFormat="1" applyFont="1" applyProtection="1">
      <protection locked="0"/>
    </xf>
    <xf numFmtId="174" fontId="61" fillId="0" borderId="0" xfId="0" applyNumberFormat="1" applyFont="1" applyAlignment="1" applyProtection="1">
      <alignment horizontal="center" vertical="center"/>
      <protection locked="0"/>
    </xf>
    <xf numFmtId="174" fontId="73" fillId="82" borderId="0" xfId="0" applyNumberFormat="1" applyFont="1" applyFill="1" applyAlignment="1" applyProtection="1">
      <alignment horizontal="center"/>
      <protection locked="0"/>
    </xf>
    <xf numFmtId="174" fontId="1" fillId="0" borderId="30" xfId="0" applyNumberFormat="1" applyFont="1" applyBorder="1"/>
    <xf numFmtId="174" fontId="74" fillId="93" borderId="0" xfId="0" applyNumberFormat="1" applyFont="1" applyFill="1" applyAlignment="1" applyProtection="1">
      <alignment vertical="center"/>
      <protection locked="0"/>
    </xf>
    <xf numFmtId="174" fontId="75" fillId="35" borderId="27" xfId="0" applyNumberFormat="1" applyFont="1" applyFill="1" applyBorder="1" applyAlignment="1">
      <alignment horizontal="center" vertical="center"/>
    </xf>
    <xf numFmtId="174" fontId="75" fillId="35" borderId="28" xfId="0" applyNumberFormat="1" applyFont="1" applyFill="1" applyBorder="1" applyAlignment="1">
      <alignment horizontal="center" vertical="center"/>
    </xf>
    <xf numFmtId="174" fontId="75" fillId="35" borderId="29" xfId="0" applyNumberFormat="1" applyFont="1" applyFill="1" applyBorder="1" applyAlignment="1">
      <alignment horizontal="center" vertical="center"/>
    </xf>
    <xf numFmtId="174" fontId="76" fillId="82" borderId="30" xfId="0" applyNumberFormat="1" applyFont="1" applyFill="1" applyBorder="1" applyAlignment="1">
      <alignment horizontal="center" vertical="center"/>
    </xf>
    <xf numFmtId="174" fontId="77" fillId="0" borderId="0" xfId="250" applyNumberFormat="1" applyFont="1" applyAlignment="1">
      <alignment horizontal="center" vertical="center"/>
      <protection locked="0"/>
    </xf>
    <xf numFmtId="174" fontId="78" fillId="0" borderId="0" xfId="0" applyNumberFormat="1" applyFont="1" applyAlignment="1">
      <alignment horizontal="center"/>
    </xf>
    <xf numFmtId="174" fontId="23" fillId="92" borderId="0" xfId="0" applyNumberFormat="1" applyFont="1" applyFill="1" applyAlignment="1" applyProtection="1">
      <alignment horizontal="center" vertical="center"/>
      <protection locked="0"/>
    </xf>
    <xf numFmtId="174" fontId="23" fillId="92" borderId="32" xfId="0" applyNumberFormat="1" applyFont="1" applyFill="1" applyBorder="1" applyAlignment="1" applyProtection="1">
      <alignment horizontal="center" vertical="center"/>
      <protection locked="0"/>
    </xf>
    <xf numFmtId="174" fontId="59" fillId="82" borderId="0" xfId="0" applyNumberFormat="1" applyFont="1" applyFill="1" applyAlignment="1">
      <alignment horizontal="center"/>
    </xf>
    <xf numFmtId="174" fontId="23" fillId="82" borderId="0" xfId="0" applyNumberFormat="1" applyFont="1" applyFill="1"/>
    <xf numFmtId="174" fontId="75" fillId="35" borderId="30" xfId="0" applyNumberFormat="1" applyFont="1" applyFill="1" applyBorder="1" applyAlignment="1">
      <alignment horizontal="center" vertical="center"/>
    </xf>
    <xf numFmtId="174" fontId="75" fillId="35" borderId="0" xfId="0" applyNumberFormat="1" applyFont="1" applyFill="1" applyAlignment="1">
      <alignment horizontal="center" vertical="center"/>
    </xf>
    <xf numFmtId="174" fontId="75" fillId="35" borderId="32" xfId="0" applyNumberFormat="1" applyFont="1" applyFill="1" applyBorder="1" applyAlignment="1">
      <alignment horizontal="center" vertical="center"/>
    </xf>
    <xf numFmtId="174" fontId="79" fillId="0" borderId="1" xfId="0" applyNumberFormat="1" applyFont="1" applyBorder="1" applyAlignment="1">
      <alignment horizontal="center" vertical="center"/>
    </xf>
    <xf numFmtId="174" fontId="80" fillId="0" borderId="1" xfId="0" applyNumberFormat="1" applyFont="1" applyBorder="1" applyAlignment="1">
      <alignment horizontal="center" vertical="center" wrapText="1"/>
    </xf>
    <xf numFmtId="174" fontId="81" fillId="0" borderId="0" xfId="0" applyNumberFormat="1" applyFont="1" applyAlignment="1">
      <alignment horizontal="center" vertical="center"/>
    </xf>
    <xf numFmtId="174" fontId="82" fillId="35" borderId="4" xfId="0" applyNumberFormat="1" applyFont="1" applyFill="1" applyBorder="1" applyAlignment="1" applyProtection="1">
      <alignment horizontal="center" vertical="center"/>
      <protection locked="0"/>
    </xf>
    <xf numFmtId="174" fontId="82" fillId="35" borderId="5" xfId="0" applyNumberFormat="1" applyFont="1" applyFill="1" applyBorder="1" applyAlignment="1" applyProtection="1">
      <alignment horizontal="center" vertical="center"/>
      <protection locked="0"/>
    </xf>
    <xf numFmtId="174" fontId="1" fillId="0" borderId="33" xfId="0" applyNumberFormat="1" applyFont="1" applyBorder="1" applyProtection="1">
      <protection locked="0"/>
    </xf>
    <xf numFmtId="174" fontId="1" fillId="0" borderId="18" xfId="0" applyNumberFormat="1" applyFont="1" applyBorder="1" applyProtection="1">
      <protection locked="0"/>
    </xf>
    <xf numFmtId="174" fontId="59" fillId="0" borderId="1" xfId="0" applyNumberFormat="1" applyFont="1" applyBorder="1" applyAlignment="1">
      <alignment horizontal="center" vertical="center"/>
    </xf>
    <xf numFmtId="174" fontId="73" fillId="82" borderId="17" xfId="0" applyNumberFormat="1" applyFont="1" applyFill="1" applyBorder="1" applyAlignment="1" applyProtection="1">
      <alignment horizontal="center"/>
      <protection locked="0"/>
    </xf>
    <xf numFmtId="174" fontId="54" fillId="82" borderId="33" xfId="0" applyNumberFormat="1" applyFont="1" applyFill="1" applyBorder="1" applyAlignment="1">
      <alignment vertical="center"/>
    </xf>
    <xf numFmtId="174" fontId="83" fillId="93" borderId="18" xfId="0" applyNumberFormat="1" applyFont="1" applyFill="1" applyBorder="1" applyAlignment="1">
      <alignment vertical="center"/>
    </xf>
    <xf numFmtId="174" fontId="83" fillId="0" borderId="18" xfId="0" applyNumberFormat="1" applyFont="1" applyBorder="1"/>
    <xf numFmtId="174" fontId="23" fillId="0" borderId="18" xfId="0" applyNumberFormat="1" applyFont="1" applyBorder="1"/>
    <xf numFmtId="174" fontId="54" fillId="0" borderId="18" xfId="0" applyNumberFormat="1" applyFont="1" applyBorder="1" applyAlignment="1">
      <alignment vertical="center"/>
    </xf>
    <xf numFmtId="174" fontId="54" fillId="82" borderId="18" xfId="0" applyNumberFormat="1" applyFont="1" applyFill="1" applyBorder="1" applyAlignment="1">
      <alignment vertical="center"/>
    </xf>
    <xf numFmtId="174" fontId="75" fillId="35" borderId="33" xfId="0" applyNumberFormat="1" applyFont="1" applyFill="1" applyBorder="1" applyAlignment="1">
      <alignment horizontal="center" vertical="center"/>
    </xf>
    <xf numFmtId="174" fontId="75" fillId="35" borderId="18" xfId="0" applyNumberFormat="1" applyFont="1" applyFill="1" applyBorder="1" applyAlignment="1">
      <alignment horizontal="center" vertical="center"/>
    </xf>
    <xf numFmtId="174" fontId="75" fillId="35" borderId="17" xfId="0" applyNumberFormat="1" applyFont="1" applyFill="1" applyBorder="1" applyAlignment="1">
      <alignment horizontal="center" vertical="center"/>
    </xf>
    <xf numFmtId="174" fontId="54" fillId="82" borderId="17" xfId="0" applyNumberFormat="1" applyFont="1" applyFill="1" applyBorder="1" applyAlignment="1">
      <alignment vertical="center"/>
    </xf>
    <xf numFmtId="174" fontId="59" fillId="0" borderId="16" xfId="142" applyNumberFormat="1" applyFont="1" applyBorder="1" applyAlignment="1" applyProtection="1">
      <alignment horizontal="center" vertical="center" shrinkToFit="1"/>
    </xf>
    <xf numFmtId="174" fontId="84" fillId="0" borderId="1" xfId="131" applyNumberFormat="1" applyFont="1" applyBorder="1" applyAlignment="1">
      <alignment horizontal="center"/>
    </xf>
    <xf numFmtId="174" fontId="1" fillId="81" borderId="0" xfId="0" applyNumberFormat="1" applyFont="1" applyFill="1"/>
    <xf numFmtId="174" fontId="81" fillId="94" borderId="0" xfId="0" applyNumberFormat="1" applyFont="1" applyFill="1" applyAlignment="1">
      <alignment horizontal="center" vertical="center"/>
    </xf>
    <xf numFmtId="174" fontId="35" fillId="69" borderId="2" xfId="0" applyNumberFormat="1" applyFont="1" applyFill="1" applyBorder="1" applyAlignment="1">
      <alignment horizontal="center" vertical="center"/>
    </xf>
    <xf numFmtId="174" fontId="35" fillId="48" borderId="2" xfId="0" applyNumberFormat="1" applyFont="1" applyFill="1" applyBorder="1" applyAlignment="1">
      <alignment horizontal="center" vertical="center"/>
    </xf>
    <xf numFmtId="174" fontId="37" fillId="39" borderId="2" xfId="0" applyNumberFormat="1" applyFont="1" applyFill="1" applyBorder="1" applyAlignment="1">
      <alignment horizontal="center" vertical="center"/>
    </xf>
    <xf numFmtId="174" fontId="35" fillId="67" borderId="2" xfId="0" applyNumberFormat="1" applyFont="1" applyFill="1" applyBorder="1" applyAlignment="1">
      <alignment horizontal="center" vertical="center"/>
    </xf>
    <xf numFmtId="174" fontId="0" fillId="81" borderId="0" xfId="0" applyNumberFormat="1" applyFill="1" applyAlignment="1">
      <alignment vertical="center"/>
    </xf>
    <xf numFmtId="174" fontId="85" fillId="0" borderId="1" xfId="138" applyNumberFormat="1" applyFont="1" applyBorder="1" applyAlignment="1">
      <alignment horizontal="center" vertical="center" shrinkToFit="1"/>
    </xf>
    <xf numFmtId="174" fontId="86" fillId="0" borderId="1" xfId="138" applyNumberFormat="1" applyFont="1" applyBorder="1" applyAlignment="1">
      <alignment horizontal="center" vertical="center" shrinkToFit="1"/>
    </xf>
    <xf numFmtId="174" fontId="65" fillId="102" borderId="0" xfId="0" applyNumberFormat="1" applyFont="1" applyFill="1" applyAlignment="1">
      <alignment horizontal="center" vertical="center"/>
    </xf>
    <xf numFmtId="174" fontId="44" fillId="65" borderId="1" xfId="0" applyNumberFormat="1" applyFont="1" applyFill="1" applyBorder="1" applyAlignment="1">
      <alignment horizontal="center" vertical="center"/>
    </xf>
    <xf numFmtId="174" fontId="39" fillId="64" borderId="1" xfId="0" applyNumberFormat="1" applyFont="1" applyFill="1" applyBorder="1" applyAlignment="1">
      <alignment horizontal="center" vertical="center"/>
    </xf>
    <xf numFmtId="174" fontId="46" fillId="63" borderId="15" xfId="0" applyNumberFormat="1" applyFont="1" applyFill="1" applyBorder="1" applyAlignment="1">
      <alignment horizontal="center" vertical="center"/>
    </xf>
    <xf numFmtId="174" fontId="2" fillId="0" borderId="0" xfId="0" applyNumberFormat="1" applyFont="1"/>
    <xf numFmtId="174" fontId="68" fillId="0" borderId="15" xfId="142" applyNumberFormat="1" applyFont="1" applyBorder="1" applyAlignment="1" applyProtection="1">
      <alignment horizontal="center" vertical="center" shrinkToFit="1"/>
    </xf>
    <xf numFmtId="174" fontId="2" fillId="0" borderId="30" xfId="0" applyNumberFormat="1" applyFont="1" applyBorder="1"/>
    <xf numFmtId="174" fontId="0" fillId="0" borderId="28" xfId="0" applyNumberFormat="1" applyBorder="1" applyAlignment="1">
      <alignment vertical="center"/>
    </xf>
    <xf numFmtId="174" fontId="0" fillId="0" borderId="29" xfId="0" applyNumberFormat="1" applyBorder="1" applyAlignment="1">
      <alignment vertical="center"/>
    </xf>
    <xf numFmtId="174" fontId="87" fillId="0" borderId="0" xfId="0" applyNumberFormat="1" applyFont="1" applyAlignment="1">
      <alignment horizontal="center" vertical="center"/>
    </xf>
    <xf numFmtId="174" fontId="88" fillId="0" borderId="0" xfId="120" applyNumberFormat="1" applyFont="1" applyAlignment="1" applyProtection="1">
      <alignment horizontal="center" vertical="center"/>
    </xf>
    <xf numFmtId="174" fontId="70" fillId="0" borderId="0" xfId="0" applyNumberFormat="1" applyFont="1" applyAlignment="1" applyProtection="1">
      <alignment horizontal="center" vertical="center"/>
      <protection locked="0"/>
    </xf>
    <xf numFmtId="174" fontId="54" fillId="0" borderId="0" xfId="0" applyNumberFormat="1" applyFont="1"/>
    <xf numFmtId="174" fontId="70" fillId="81" borderId="0" xfId="0" applyNumberFormat="1" applyFont="1" applyFill="1" applyAlignment="1">
      <alignment horizontal="right" vertical="center"/>
    </xf>
    <xf numFmtId="174" fontId="89" fillId="0" borderId="0" xfId="0" applyNumberFormat="1" applyFont="1" applyAlignment="1">
      <alignment horizontal="right"/>
    </xf>
    <xf numFmtId="174" fontId="0" fillId="0" borderId="32" xfId="0" applyNumberFormat="1" applyBorder="1" applyAlignment="1">
      <alignment vertical="center"/>
    </xf>
    <xf numFmtId="174" fontId="66" fillId="0" borderId="0" xfId="142" applyNumberFormat="1" applyFont="1" applyAlignment="1" applyProtection="1">
      <alignment horizontal="center" vertical="center" shrinkToFit="1"/>
    </xf>
    <xf numFmtId="174" fontId="90" fillId="82" borderId="0" xfId="0" applyNumberFormat="1" applyFont="1" applyFill="1" applyAlignment="1">
      <alignment horizontal="center" vertical="center"/>
    </xf>
    <xf numFmtId="174" fontId="91" fillId="82" borderId="0" xfId="0" applyNumberFormat="1" applyFont="1" applyFill="1" applyAlignment="1">
      <alignment horizontal="center" vertical="center"/>
    </xf>
    <xf numFmtId="174" fontId="81" fillId="82" borderId="0" xfId="0" applyNumberFormat="1" applyFont="1" applyFill="1" applyAlignment="1">
      <alignment horizontal="center" vertical="center"/>
    </xf>
    <xf numFmtId="174" fontId="57" fillId="81" borderId="0" xfId="0" applyNumberFormat="1" applyFont="1" applyFill="1" applyAlignment="1">
      <alignment horizontal="center" vertical="center"/>
    </xf>
    <xf numFmtId="174" fontId="81" fillId="82" borderId="0" xfId="0" applyNumberFormat="1" applyFont="1" applyFill="1" applyAlignment="1">
      <alignment horizontal="center" vertical="top"/>
    </xf>
    <xf numFmtId="174" fontId="74" fillId="35" borderId="0" xfId="0" applyNumberFormat="1" applyFont="1" applyFill="1" applyAlignment="1">
      <alignment horizontal="center" vertical="center" wrapText="1"/>
    </xf>
    <xf numFmtId="174" fontId="70" fillId="81" borderId="0" xfId="0" applyNumberFormat="1" applyFont="1" applyFill="1" applyAlignment="1">
      <alignment horizontal="center" vertical="center"/>
    </xf>
    <xf numFmtId="174" fontId="91" fillId="82" borderId="30" xfId="0" applyNumberFormat="1" applyFont="1" applyFill="1" applyBorder="1" applyAlignment="1">
      <alignment horizontal="center" vertical="center"/>
    </xf>
    <xf numFmtId="174" fontId="23" fillId="0" borderId="32" xfId="0" applyNumberFormat="1" applyFont="1" applyBorder="1"/>
    <xf numFmtId="174" fontId="92" fillId="0" borderId="0" xfId="0" applyNumberFormat="1" applyFont="1" applyAlignment="1">
      <alignment horizontal="center" vertical="center"/>
    </xf>
    <xf numFmtId="174" fontId="93" fillId="0" borderId="0" xfId="0" applyNumberFormat="1" applyFont="1" applyAlignment="1">
      <alignment vertical="center"/>
    </xf>
    <xf numFmtId="174" fontId="83" fillId="35" borderId="0" xfId="0" applyNumberFormat="1" applyFont="1" applyFill="1" applyAlignment="1">
      <alignment horizontal="center" vertical="center"/>
    </xf>
    <xf numFmtId="174" fontId="61" fillId="0" borderId="0" xfId="0" applyNumberFormat="1" applyFont="1" applyAlignment="1">
      <alignment horizontal="center" vertical="center"/>
    </xf>
    <xf numFmtId="174" fontId="58" fillId="82" borderId="0" xfId="250" applyNumberFormat="1" applyFont="1" applyFill="1" applyAlignment="1" applyProtection="1">
      <alignment horizontal="center" vertical="center"/>
    </xf>
    <xf numFmtId="174" fontId="65" fillId="82" borderId="0" xfId="0" applyNumberFormat="1" applyFont="1" applyFill="1" applyAlignment="1">
      <alignment horizontal="center" vertical="center"/>
    </xf>
    <xf numFmtId="174" fontId="94" fillId="0" borderId="0" xfId="250" applyNumberFormat="1" applyFont="1" applyAlignment="1">
      <alignment horizontal="right" vertical="center"/>
      <protection locked="0"/>
    </xf>
    <xf numFmtId="174" fontId="95" fillId="82" borderId="30" xfId="0" applyNumberFormat="1" applyFont="1" applyFill="1" applyBorder="1" applyAlignment="1">
      <alignment horizontal="center" vertical="center"/>
    </xf>
    <xf numFmtId="174" fontId="95" fillId="82" borderId="0" xfId="0" applyNumberFormat="1" applyFont="1" applyFill="1" applyAlignment="1">
      <alignment horizontal="center" vertical="center"/>
    </xf>
    <xf numFmtId="174" fontId="95" fillId="0" borderId="32" xfId="0" applyNumberFormat="1" applyFont="1" applyBorder="1" applyAlignment="1">
      <alignment horizontal="center" vertical="center"/>
    </xf>
    <xf numFmtId="174" fontId="96" fillId="0" borderId="1" xfId="131" applyNumberFormat="1" applyFont="1" applyBorder="1" applyAlignment="1">
      <alignment horizontal="center"/>
    </xf>
    <xf numFmtId="174" fontId="95" fillId="0" borderId="0" xfId="0" applyNumberFormat="1" applyFont="1" applyAlignment="1">
      <alignment horizontal="center" vertical="center"/>
    </xf>
    <xf numFmtId="174" fontId="84" fillId="0" borderId="0" xfId="131" applyNumberFormat="1" applyFont="1" applyAlignment="1">
      <alignment horizontal="center"/>
    </xf>
    <xf numFmtId="174" fontId="76" fillId="0" borderId="0" xfId="0" applyNumberFormat="1" applyFont="1" applyAlignment="1">
      <alignment horizontal="center" vertical="center"/>
    </xf>
    <xf numFmtId="174" fontId="77" fillId="0" borderId="0" xfId="250" applyNumberFormat="1" applyFont="1" applyAlignment="1" applyProtection="1">
      <alignment horizontal="center" vertical="center"/>
    </xf>
    <xf numFmtId="174" fontId="97" fillId="35" borderId="0" xfId="0" applyNumberFormat="1" applyFont="1" applyFill="1" applyAlignment="1">
      <alignment horizontal="center" vertical="center"/>
    </xf>
    <xf numFmtId="174" fontId="61" fillId="82" borderId="0" xfId="0" applyNumberFormat="1" applyFont="1" applyFill="1" applyAlignment="1">
      <alignment horizontal="center" vertical="center"/>
    </xf>
    <xf numFmtId="174" fontId="81" fillId="81" borderId="0" xfId="0" applyNumberFormat="1" applyFont="1" applyFill="1" applyAlignment="1">
      <alignment horizontal="center" vertical="center"/>
    </xf>
    <xf numFmtId="174" fontId="98" fillId="0" borderId="1" xfId="142" applyNumberFormat="1" applyFont="1" applyBorder="1" applyAlignment="1" applyProtection="1">
      <alignment horizontal="center" vertical="center" shrinkToFit="1"/>
    </xf>
    <xf numFmtId="174" fontId="99" fillId="0" borderId="0" xfId="250" applyNumberFormat="1" applyFont="1" applyAlignment="1" applyProtection="1">
      <alignment horizontal="center" vertical="center"/>
    </xf>
    <xf numFmtId="174" fontId="100" fillId="0" borderId="0" xfId="0" applyNumberFormat="1" applyFont="1" applyAlignment="1">
      <alignment horizontal="center" vertical="center"/>
    </xf>
    <xf numFmtId="174" fontId="101" fillId="0" borderId="0" xfId="0" applyNumberFormat="1" applyFont="1" applyAlignment="1">
      <alignment horizontal="center" vertical="center" wrapText="1"/>
    </xf>
    <xf numFmtId="174" fontId="102" fillId="0" borderId="0" xfId="0" applyNumberFormat="1" applyFont="1" applyAlignment="1">
      <alignment horizontal="center" vertical="center"/>
    </xf>
    <xf numFmtId="174" fontId="54" fillId="82" borderId="0" xfId="0" applyNumberFormat="1" applyFont="1" applyFill="1" applyAlignment="1">
      <alignment horizontal="right" vertical="center"/>
    </xf>
    <xf numFmtId="174" fontId="2" fillId="113" borderId="0" xfId="0" applyNumberFormat="1" applyFont="1" applyFill="1"/>
    <xf numFmtId="174" fontId="50" fillId="114" borderId="1" xfId="152" applyNumberFormat="1" applyFont="1" applyFill="1" applyBorder="1" applyAlignment="1" applyProtection="1">
      <alignment horizontal="center" vertical="center" shrinkToFit="1"/>
    </xf>
    <xf numFmtId="174" fontId="57" fillId="82" borderId="0" xfId="0" applyNumberFormat="1" applyFont="1" applyFill="1" applyAlignment="1">
      <alignment horizontal="left" vertical="center"/>
    </xf>
    <xf numFmtId="174" fontId="35" fillId="115" borderId="1" xfId="152" applyNumberFormat="1" applyFont="1" applyFill="1" applyBorder="1" applyAlignment="1" applyProtection="1">
      <alignment horizontal="center" vertical="center" shrinkToFit="1"/>
    </xf>
    <xf numFmtId="174" fontId="54" fillId="81" borderId="0" xfId="0" applyNumberFormat="1" applyFont="1" applyFill="1" applyAlignment="1">
      <alignment horizontal="left" vertical="center"/>
    </xf>
    <xf numFmtId="174" fontId="78" fillId="82" borderId="0" xfId="0" applyNumberFormat="1" applyFont="1" applyFill="1" applyAlignment="1">
      <alignment horizontal="center"/>
    </xf>
    <xf numFmtId="174" fontId="94" fillId="82" borderId="0" xfId="0" applyNumberFormat="1" applyFont="1" applyFill="1" applyAlignment="1">
      <alignment horizontal="center"/>
    </xf>
    <xf numFmtId="174" fontId="103" fillId="0" borderId="1" xfId="138" applyNumberFormat="1" applyFont="1" applyBorder="1" applyAlignment="1">
      <alignment horizontal="center" vertical="center" shrinkToFit="1"/>
    </xf>
    <xf numFmtId="174" fontId="104" fillId="0" borderId="0" xfId="0" applyNumberFormat="1" applyFont="1" applyAlignment="1">
      <alignment horizontal="right"/>
    </xf>
    <xf numFmtId="174" fontId="76" fillId="0" borderId="0" xfId="0" applyNumberFormat="1" applyFont="1" applyAlignment="1">
      <alignment horizontal="right" vertical="center"/>
    </xf>
    <xf numFmtId="174" fontId="76" fillId="0" borderId="0" xfId="0" applyNumberFormat="1" applyFont="1" applyAlignment="1">
      <alignment horizontal="left" vertical="center"/>
    </xf>
    <xf numFmtId="174" fontId="105" fillId="0" borderId="0" xfId="0" applyNumberFormat="1" applyFont="1" applyAlignment="1">
      <alignment horizontal="center" vertical="center"/>
    </xf>
    <xf numFmtId="174" fontId="106" fillId="117" borderId="1" xfId="142" applyNumberFormat="1" applyFont="1" applyFill="1" applyBorder="1" applyAlignment="1" applyProtection="1">
      <alignment horizontal="center" vertical="center" shrinkToFit="1"/>
    </xf>
    <xf numFmtId="174" fontId="104" fillId="0" borderId="0" xfId="0" applyNumberFormat="1" applyFont="1" applyAlignment="1">
      <alignment horizontal="center"/>
    </xf>
    <xf numFmtId="174" fontId="76" fillId="82" borderId="0" xfId="0" applyNumberFormat="1" applyFont="1" applyFill="1" applyAlignment="1">
      <alignment horizontal="center" vertical="center"/>
    </xf>
    <xf numFmtId="174" fontId="79" fillId="0" borderId="0" xfId="0" applyNumberFormat="1" applyFont="1" applyAlignment="1">
      <alignment horizontal="center" vertical="center"/>
    </xf>
    <xf numFmtId="174" fontId="107" fillId="0" borderId="0" xfId="131" applyNumberFormat="1" applyFont="1" applyAlignment="1">
      <alignment horizontal="center"/>
    </xf>
    <xf numFmtId="174" fontId="55" fillId="82" borderId="0" xfId="0" applyNumberFormat="1" applyFont="1" applyFill="1" applyAlignment="1">
      <alignment horizontal="right" vertical="center"/>
    </xf>
    <xf numFmtId="174" fontId="7" fillId="82" borderId="0" xfId="0" applyNumberFormat="1" applyFont="1" applyFill="1" applyAlignment="1">
      <alignment horizontal="left"/>
    </xf>
    <xf numFmtId="174" fontId="108" fillId="82" borderId="30" xfId="0" applyNumberFormat="1" applyFont="1" applyFill="1" applyBorder="1" applyAlignment="1">
      <alignment horizontal="center" vertical="center"/>
    </xf>
    <xf numFmtId="174" fontId="108" fillId="82" borderId="0" xfId="0" applyNumberFormat="1" applyFont="1" applyFill="1" applyAlignment="1">
      <alignment horizontal="center" vertical="center"/>
    </xf>
    <xf numFmtId="174" fontId="87" fillId="0" borderId="0" xfId="0" applyNumberFormat="1" applyFont="1" applyAlignment="1">
      <alignment horizontal="center"/>
    </xf>
    <xf numFmtId="174" fontId="91" fillId="0" borderId="0" xfId="0" applyNumberFormat="1" applyFont="1" applyAlignment="1">
      <alignment horizontal="center" vertical="center"/>
    </xf>
    <xf numFmtId="174" fontId="7" fillId="0" borderId="28" xfId="0" applyNumberFormat="1" applyFont="1" applyBorder="1"/>
    <xf numFmtId="174" fontId="23" fillId="0" borderId="0" xfId="0" applyNumberFormat="1" applyFont="1" applyAlignment="1">
      <alignment horizontal="center"/>
    </xf>
    <xf numFmtId="174" fontId="33" fillId="0" borderId="37" xfId="0" applyNumberFormat="1" applyFont="1" applyBorder="1" applyAlignment="1">
      <alignment horizontal="center" vertical="center"/>
    </xf>
    <xf numFmtId="174" fontId="64" fillId="0" borderId="1" xfId="131" applyNumberFormat="1" applyFont="1" applyBorder="1" applyAlignment="1">
      <alignment horizontal="center"/>
    </xf>
    <xf numFmtId="174" fontId="109" fillId="82" borderId="0" xfId="0" applyNumberFormat="1" applyFont="1" applyFill="1" applyAlignment="1">
      <alignment vertical="center"/>
    </xf>
    <xf numFmtId="174" fontId="35" fillId="71" borderId="1" xfId="0" applyNumberFormat="1" applyFont="1" applyFill="1" applyBorder="1" applyAlignment="1">
      <alignment horizontal="center" vertical="center"/>
    </xf>
    <xf numFmtId="174" fontId="2" fillId="82" borderId="0" xfId="0" applyNumberFormat="1" applyFont="1" applyFill="1"/>
    <xf numFmtId="174" fontId="91" fillId="82" borderId="32" xfId="0" applyNumberFormat="1" applyFont="1" applyFill="1" applyBorder="1" applyAlignment="1">
      <alignment horizontal="center" vertical="center"/>
    </xf>
    <xf numFmtId="174" fontId="110" fillId="0" borderId="1" xfId="0" applyNumberFormat="1" applyFont="1" applyBorder="1" applyAlignment="1">
      <alignment horizontal="center"/>
    </xf>
    <xf numFmtId="174" fontId="55" fillId="0" borderId="0" xfId="0" applyNumberFormat="1" applyFont="1" applyAlignment="1">
      <alignment horizontal="center" vertical="center"/>
    </xf>
    <xf numFmtId="174" fontId="59" fillId="0" borderId="0" xfId="0" applyNumberFormat="1" applyFont="1" applyAlignment="1">
      <alignment horizontal="right"/>
    </xf>
    <xf numFmtId="174" fontId="33" fillId="0" borderId="0" xfId="0" applyNumberFormat="1" applyFont="1" applyAlignment="1">
      <alignment horizontal="center" vertical="center"/>
    </xf>
    <xf numFmtId="174" fontId="61" fillId="0" borderId="0" xfId="0" applyNumberFormat="1" applyFont="1"/>
    <xf numFmtId="174" fontId="23" fillId="81" borderId="0" xfId="0" applyNumberFormat="1" applyFont="1" applyFill="1"/>
    <xf numFmtId="174" fontId="111" fillId="0" borderId="0" xfId="0" applyNumberFormat="1" applyFont="1" applyAlignment="1">
      <alignment horizontal="center"/>
    </xf>
    <xf numFmtId="174" fontId="112" fillId="0" borderId="0" xfId="0" applyNumberFormat="1" applyFont="1" applyAlignment="1">
      <alignment horizontal="center" vertical="center"/>
    </xf>
    <xf numFmtId="174" fontId="113" fillId="0" borderId="0" xfId="0" applyNumberFormat="1" applyFont="1" applyAlignment="1">
      <alignment horizontal="center" vertical="center"/>
    </xf>
    <xf numFmtId="174" fontId="72" fillId="0" borderId="0" xfId="0" applyNumberFormat="1" applyFont="1"/>
    <xf numFmtId="174" fontId="91" fillId="82" borderId="38" xfId="0" applyNumberFormat="1" applyFont="1" applyFill="1" applyBorder="1" applyAlignment="1">
      <alignment horizontal="center" vertical="center"/>
    </xf>
    <xf numFmtId="174" fontId="69" fillId="0" borderId="0" xfId="0" applyNumberFormat="1" applyFont="1" applyAlignment="1">
      <alignment horizontal="center"/>
    </xf>
    <xf numFmtId="174" fontId="69" fillId="0" borderId="15" xfId="0" applyNumberFormat="1" applyFont="1" applyBorder="1" applyAlignment="1">
      <alignment horizontal="center"/>
    </xf>
    <xf numFmtId="174" fontId="114" fillId="0" borderId="0" xfId="131" applyNumberFormat="1" applyFont="1" applyAlignment="1">
      <alignment horizontal="center"/>
    </xf>
    <xf numFmtId="174" fontId="91" fillId="82" borderId="39" xfId="0" applyNumberFormat="1" applyFont="1" applyFill="1" applyBorder="1" applyAlignment="1">
      <alignment horizontal="center" vertical="center"/>
    </xf>
    <xf numFmtId="174" fontId="2" fillId="82" borderId="32" xfId="0" applyNumberFormat="1" applyFont="1" applyFill="1" applyBorder="1"/>
    <xf numFmtId="174" fontId="115" fillId="0" borderId="1" xfId="138" applyNumberFormat="1" applyFont="1" applyBorder="1" applyAlignment="1">
      <alignment horizontal="center" vertical="center" shrinkToFit="1"/>
    </xf>
    <xf numFmtId="174" fontId="76" fillId="82" borderId="32" xfId="0" applyNumberFormat="1" applyFont="1" applyFill="1" applyBorder="1" applyAlignment="1">
      <alignment horizontal="center" vertical="center"/>
    </xf>
    <xf numFmtId="174" fontId="61" fillId="0" borderId="0" xfId="0" applyNumberFormat="1" applyFont="1" applyAlignment="1">
      <alignment horizontal="center" vertical="top"/>
    </xf>
    <xf numFmtId="174" fontId="116" fillId="0" borderId="0" xfId="0" applyNumberFormat="1" applyFont="1" applyAlignment="1">
      <alignment horizontal="center"/>
    </xf>
    <xf numFmtId="174" fontId="113" fillId="0" borderId="0" xfId="0" applyNumberFormat="1" applyFont="1" applyAlignment="1">
      <alignment horizontal="center"/>
    </xf>
    <xf numFmtId="174" fontId="91" fillId="82" borderId="33" xfId="0" applyNumberFormat="1" applyFont="1" applyFill="1" applyBorder="1" applyAlignment="1">
      <alignment horizontal="center" vertical="center"/>
    </xf>
    <xf numFmtId="174" fontId="91" fillId="82" borderId="40" xfId="0" applyNumberFormat="1" applyFont="1" applyFill="1" applyBorder="1" applyAlignment="1">
      <alignment horizontal="center" vertical="center"/>
    </xf>
    <xf numFmtId="174" fontId="91" fillId="82" borderId="18" xfId="0" applyNumberFormat="1" applyFont="1" applyFill="1" applyBorder="1" applyAlignment="1">
      <alignment horizontal="center" vertical="center"/>
    </xf>
    <xf numFmtId="174" fontId="76" fillId="82" borderId="17" xfId="0" applyNumberFormat="1" applyFont="1" applyFill="1" applyBorder="1" applyAlignment="1">
      <alignment horizontal="center" vertical="center"/>
    </xf>
    <xf numFmtId="174" fontId="117" fillId="0" borderId="0" xfId="0" applyNumberFormat="1" applyFont="1" applyAlignment="1">
      <alignment horizontal="center" vertical="center"/>
    </xf>
    <xf numFmtId="174" fontId="92" fillId="0" borderId="41" xfId="0" applyNumberFormat="1" applyFont="1" applyBorder="1" applyAlignment="1">
      <alignment horizontal="center" vertical="center"/>
    </xf>
    <xf numFmtId="174" fontId="111" fillId="82" borderId="0" xfId="0" applyNumberFormat="1" applyFont="1" applyFill="1" applyAlignment="1">
      <alignment horizontal="center"/>
    </xf>
    <xf numFmtId="174" fontId="91" fillId="82" borderId="27" xfId="0" applyNumberFormat="1" applyFont="1" applyFill="1" applyBorder="1" applyAlignment="1">
      <alignment horizontal="center" vertical="center"/>
    </xf>
    <xf numFmtId="174" fontId="91" fillId="82" borderId="28" xfId="0" applyNumberFormat="1" applyFont="1" applyFill="1" applyBorder="1" applyAlignment="1">
      <alignment horizontal="center" vertical="center"/>
    </xf>
    <xf numFmtId="174" fontId="2" fillId="82" borderId="28" xfId="0" applyNumberFormat="1" applyFont="1" applyFill="1" applyBorder="1"/>
    <xf numFmtId="174" fontId="2" fillId="82" borderId="29" xfId="0" applyNumberFormat="1" applyFont="1" applyFill="1" applyBorder="1"/>
    <xf numFmtId="174" fontId="64" fillId="0" borderId="0" xfId="131" applyNumberFormat="1" applyFont="1" applyAlignment="1" applyProtection="1">
      <alignment horizontal="center"/>
      <protection locked="0"/>
    </xf>
    <xf numFmtId="174" fontId="118" fillId="0" borderId="0" xfId="250" applyNumberFormat="1" applyFont="1" applyAlignment="1" applyProtection="1">
      <alignment horizontal="center" vertical="center"/>
    </xf>
    <xf numFmtId="174" fontId="66" fillId="0" borderId="42" xfId="142" applyNumberFormat="1" applyFont="1" applyBorder="1" applyAlignment="1" applyProtection="1">
      <alignment horizontal="center" vertical="center" shrinkToFit="1"/>
    </xf>
    <xf numFmtId="174" fontId="119" fillId="82" borderId="0" xfId="0" applyNumberFormat="1" applyFont="1" applyFill="1" applyAlignment="1">
      <alignment vertical="center"/>
    </xf>
    <xf numFmtId="174" fontId="120" fillId="35" borderId="0" xfId="0" applyNumberFormat="1" applyFont="1" applyFill="1" applyAlignment="1">
      <alignment horizontal="center" vertical="center"/>
    </xf>
    <xf numFmtId="174" fontId="64" fillId="0" borderId="43" xfId="131" applyNumberFormat="1" applyFont="1" applyBorder="1" applyAlignment="1" applyProtection="1">
      <alignment horizontal="center"/>
      <protection locked="0"/>
    </xf>
    <xf numFmtId="174" fontId="0" fillId="0" borderId="18" xfId="0" applyNumberFormat="1" applyBorder="1"/>
    <xf numFmtId="174" fontId="66" fillId="0" borderId="15" xfId="142" applyNumberFormat="1" applyFont="1" applyBorder="1" applyAlignment="1" applyProtection="1">
      <alignment horizontal="center" vertical="center" shrinkToFit="1"/>
    </xf>
    <xf numFmtId="174" fontId="7" fillId="0" borderId="0" xfId="0" applyNumberFormat="1" applyFont="1"/>
    <xf numFmtId="174" fontId="121" fillId="0" borderId="1" xfId="0" applyNumberFormat="1" applyFont="1" applyBorder="1" applyAlignment="1">
      <alignment horizontal="center" vertical="center"/>
    </xf>
    <xf numFmtId="174" fontId="76" fillId="82" borderId="0" xfId="0" applyNumberFormat="1" applyFont="1" applyFill="1"/>
    <xf numFmtId="174" fontId="2" fillId="0" borderId="27" xfId="0" applyNumberFormat="1" applyFont="1" applyBorder="1"/>
    <xf numFmtId="174" fontId="76" fillId="0" borderId="28" xfId="0" applyNumberFormat="1" applyFont="1" applyBorder="1" applyAlignment="1">
      <alignment horizontal="center" vertical="center"/>
    </xf>
    <xf numFmtId="174" fontId="2" fillId="0" borderId="28" xfId="0" applyNumberFormat="1" applyFont="1" applyBorder="1"/>
    <xf numFmtId="174" fontId="66" fillId="82" borderId="0" xfId="142" applyNumberFormat="1" applyFont="1" applyFill="1" applyAlignment="1" applyProtection="1">
      <alignment horizontal="center" vertical="center" shrinkToFit="1"/>
    </xf>
    <xf numFmtId="174" fontId="122" fillId="82" borderId="18" xfId="0" applyNumberFormat="1" applyFont="1" applyFill="1" applyBorder="1" applyAlignment="1">
      <alignment horizontal="center" vertical="center"/>
    </xf>
    <xf numFmtId="174" fontId="2" fillId="82" borderId="18" xfId="0" applyNumberFormat="1" applyFont="1" applyFill="1" applyBorder="1"/>
    <xf numFmtId="174" fontId="91" fillId="82" borderId="17" xfId="0" applyNumberFormat="1" applyFont="1" applyFill="1" applyBorder="1" applyAlignment="1">
      <alignment horizontal="center" vertical="center"/>
    </xf>
    <xf numFmtId="174" fontId="112" fillId="35" borderId="27" xfId="0" applyNumberFormat="1" applyFont="1" applyFill="1" applyBorder="1" applyAlignment="1">
      <alignment horizontal="center" vertical="center"/>
    </xf>
    <xf numFmtId="174" fontId="112" fillId="35" borderId="28" xfId="0" applyNumberFormat="1" applyFont="1" applyFill="1" applyBorder="1" applyAlignment="1">
      <alignment horizontal="center" vertical="center"/>
    </xf>
    <xf numFmtId="174" fontId="112" fillId="35" borderId="29" xfId="0" applyNumberFormat="1" applyFont="1" applyFill="1" applyBorder="1" applyAlignment="1">
      <alignment horizontal="center" vertical="center"/>
    </xf>
    <xf numFmtId="174" fontId="122" fillId="82" borderId="0" xfId="0" applyNumberFormat="1" applyFont="1" applyFill="1" applyAlignment="1">
      <alignment horizontal="center" vertical="center"/>
    </xf>
    <xf numFmtId="174" fontId="123" fillId="82" borderId="0" xfId="0" applyNumberFormat="1" applyFont="1" applyFill="1" applyAlignment="1">
      <alignment vertical="center"/>
    </xf>
    <xf numFmtId="174" fontId="112" fillId="35" borderId="30" xfId="0" applyNumberFormat="1" applyFont="1" applyFill="1" applyBorder="1" applyAlignment="1">
      <alignment horizontal="center" vertical="center"/>
    </xf>
    <xf numFmtId="174" fontId="112" fillId="35" borderId="0" xfId="0" applyNumberFormat="1" applyFont="1" applyFill="1" applyAlignment="1">
      <alignment horizontal="center" vertical="center"/>
    </xf>
    <xf numFmtId="174" fontId="112" fillId="35" borderId="32" xfId="0" applyNumberFormat="1" applyFont="1" applyFill="1" applyBorder="1" applyAlignment="1">
      <alignment horizontal="center" vertical="center"/>
    </xf>
    <xf numFmtId="174" fontId="122" fillId="82" borderId="30" xfId="0" applyNumberFormat="1" applyFont="1" applyFill="1" applyBorder="1" applyAlignment="1">
      <alignment horizontal="center" vertical="center"/>
    </xf>
    <xf numFmtId="174" fontId="124" fillId="82" borderId="0" xfId="0" applyNumberFormat="1" applyFont="1" applyFill="1" applyAlignment="1">
      <alignment horizontal="center" vertical="center"/>
    </xf>
    <xf numFmtId="174" fontId="112" fillId="35" borderId="33" xfId="0" applyNumberFormat="1" applyFont="1" applyFill="1" applyBorder="1" applyAlignment="1">
      <alignment horizontal="center" vertical="center"/>
    </xf>
    <xf numFmtId="174" fontId="112" fillId="35" borderId="18" xfId="0" applyNumberFormat="1" applyFont="1" applyFill="1" applyBorder="1" applyAlignment="1">
      <alignment horizontal="center" vertical="center"/>
    </xf>
    <xf numFmtId="174" fontId="112" fillId="35" borderId="17" xfId="0" applyNumberFormat="1" applyFont="1" applyFill="1" applyBorder="1" applyAlignment="1">
      <alignment horizontal="center" vertical="center"/>
    </xf>
    <xf numFmtId="174" fontId="125" fillId="35" borderId="27" xfId="0" applyNumberFormat="1" applyFont="1" applyFill="1" applyBorder="1" applyAlignment="1">
      <alignment horizontal="center" vertical="center"/>
    </xf>
    <xf numFmtId="174" fontId="125" fillId="35" borderId="28" xfId="0" applyNumberFormat="1" applyFont="1" applyFill="1" applyBorder="1" applyAlignment="1">
      <alignment horizontal="center" vertical="center"/>
    </xf>
    <xf numFmtId="174" fontId="125" fillId="35" borderId="29" xfId="0" applyNumberFormat="1" applyFont="1" applyFill="1" applyBorder="1" applyAlignment="1">
      <alignment horizontal="center" vertical="center"/>
    </xf>
    <xf numFmtId="174" fontId="126" fillId="82" borderId="0" xfId="0" applyNumberFormat="1" applyFont="1" applyFill="1" applyAlignment="1">
      <alignment horizontal="center" wrapText="1"/>
    </xf>
    <xf numFmtId="174" fontId="90" fillId="82" borderId="32" xfId="0" applyNumberFormat="1" applyFont="1" applyFill="1" applyBorder="1" applyAlignment="1">
      <alignment horizontal="center" vertical="center"/>
    </xf>
    <xf numFmtId="174" fontId="127" fillId="35" borderId="27" xfId="0" applyNumberFormat="1" applyFont="1" applyFill="1" applyBorder="1" applyAlignment="1">
      <alignment horizontal="center" vertical="center"/>
    </xf>
    <xf numFmtId="174" fontId="127" fillId="35" borderId="28" xfId="0" applyNumberFormat="1" applyFont="1" applyFill="1" applyBorder="1" applyAlignment="1">
      <alignment horizontal="center" vertical="center"/>
    </xf>
    <xf numFmtId="174" fontId="127" fillId="35" borderId="29" xfId="0" applyNumberFormat="1" applyFont="1" applyFill="1" applyBorder="1" applyAlignment="1">
      <alignment horizontal="center" vertical="center"/>
    </xf>
    <xf numFmtId="174" fontId="125" fillId="35" borderId="30" xfId="0" applyNumberFormat="1" applyFont="1" applyFill="1" applyBorder="1" applyAlignment="1">
      <alignment horizontal="center" vertical="center"/>
    </xf>
    <xf numFmtId="174" fontId="125" fillId="35" borderId="0" xfId="0" applyNumberFormat="1" applyFont="1" applyFill="1" applyAlignment="1">
      <alignment horizontal="center" vertical="center"/>
    </xf>
    <xf numFmtId="174" fontId="125" fillId="35" borderId="32" xfId="0" applyNumberFormat="1" applyFont="1" applyFill="1" applyBorder="1" applyAlignment="1">
      <alignment horizontal="center" vertical="center"/>
    </xf>
    <xf numFmtId="174" fontId="128" fillId="82" borderId="0" xfId="0" applyNumberFormat="1" applyFont="1" applyFill="1" applyAlignment="1">
      <alignment horizontal="center" wrapText="1"/>
    </xf>
    <xf numFmtId="174" fontId="127" fillId="35" borderId="30" xfId="0" applyNumberFormat="1" applyFont="1" applyFill="1" applyBorder="1" applyAlignment="1">
      <alignment horizontal="center" vertical="center"/>
    </xf>
    <xf numFmtId="174" fontId="127" fillId="35" borderId="0" xfId="0" applyNumberFormat="1" applyFont="1" applyFill="1" applyAlignment="1">
      <alignment horizontal="center" vertical="center"/>
    </xf>
    <xf numFmtId="174" fontId="127" fillId="35" borderId="32" xfId="0" applyNumberFormat="1" applyFont="1" applyFill="1" applyBorder="1" applyAlignment="1">
      <alignment horizontal="center" vertical="center"/>
    </xf>
    <xf numFmtId="174" fontId="129" fillId="35" borderId="27" xfId="0" applyNumberFormat="1" applyFont="1" applyFill="1" applyBorder="1" applyAlignment="1">
      <alignment horizontal="center" vertical="center" wrapText="1"/>
    </xf>
    <xf numFmtId="174" fontId="129" fillId="35" borderId="29" xfId="0" applyNumberFormat="1" applyFont="1" applyFill="1" applyBorder="1" applyAlignment="1">
      <alignment horizontal="center" vertical="center" wrapText="1"/>
    </xf>
    <xf numFmtId="174" fontId="119" fillId="82" borderId="18" xfId="0" applyNumberFormat="1" applyFont="1" applyFill="1" applyBorder="1" applyAlignment="1">
      <alignment vertical="center"/>
    </xf>
    <xf numFmtId="174" fontId="119" fillId="82" borderId="17" xfId="0" applyNumberFormat="1" applyFont="1" applyFill="1" applyBorder="1" applyAlignment="1">
      <alignment vertical="center"/>
    </xf>
    <xf numFmtId="174" fontId="127" fillId="35" borderId="33" xfId="0" applyNumberFormat="1" applyFont="1" applyFill="1" applyBorder="1" applyAlignment="1">
      <alignment horizontal="center" vertical="center"/>
    </xf>
    <xf numFmtId="174" fontId="127" fillId="35" borderId="18" xfId="0" applyNumberFormat="1" applyFont="1" applyFill="1" applyBorder="1" applyAlignment="1">
      <alignment horizontal="center" vertical="center"/>
    </xf>
    <xf numFmtId="174" fontId="127" fillId="35" borderId="17" xfId="0" applyNumberFormat="1" applyFont="1" applyFill="1" applyBorder="1" applyAlignment="1">
      <alignment horizontal="center" vertical="center"/>
    </xf>
    <xf numFmtId="174" fontId="125" fillId="35" borderId="33" xfId="0" applyNumberFormat="1" applyFont="1" applyFill="1" applyBorder="1" applyAlignment="1">
      <alignment horizontal="center" vertical="center"/>
    </xf>
    <xf numFmtId="174" fontId="125" fillId="35" borderId="18" xfId="0" applyNumberFormat="1" applyFont="1" applyFill="1" applyBorder="1" applyAlignment="1">
      <alignment horizontal="center" vertical="center"/>
    </xf>
    <xf numFmtId="174" fontId="125" fillId="35" borderId="17" xfId="0" applyNumberFormat="1" applyFont="1" applyFill="1" applyBorder="1" applyAlignment="1">
      <alignment horizontal="center" vertical="center"/>
    </xf>
    <xf numFmtId="174" fontId="129" fillId="35" borderId="33" xfId="0" applyNumberFormat="1" applyFont="1" applyFill="1" applyBorder="1" applyAlignment="1">
      <alignment horizontal="center" vertical="center" wrapText="1"/>
    </xf>
    <xf numFmtId="174" fontId="129" fillId="35" borderId="17" xfId="0" applyNumberFormat="1" applyFont="1" applyFill="1" applyBorder="1" applyAlignment="1">
      <alignment horizontal="center" vertical="center" wrapText="1"/>
    </xf>
    <xf numFmtId="174" fontId="2" fillId="0" borderId="18" xfId="0" applyNumberFormat="1" applyFont="1" applyBorder="1"/>
  </cellXfs>
  <cellStyles count="25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46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F000000}"/>
    <cellStyle name="Excel Built-in Normal" xfId="32" xr:uid="{00000000-0005-0000-0000-000020000000}"/>
    <cellStyle name="headerStyle" xfId="33" xr:uid="{00000000-0005-0000-0000-000021000000}"/>
    <cellStyle name="Hipervínculo 2" xfId="34" xr:uid="{00000000-0005-0000-0000-000022000000}"/>
    <cellStyle name="Hipervínculo 3" xfId="35" xr:uid="{00000000-0005-0000-0000-000023000000}"/>
    <cellStyle name="Hipervínculo 3 2" xfId="36" xr:uid="{00000000-0005-0000-0000-000024000000}"/>
    <cellStyle name="Incorrecto" xfId="37" builtinId="27" customBuiltin="1"/>
    <cellStyle name="Millares 2" xfId="38" xr:uid="{00000000-0005-0000-0000-000026000000}"/>
    <cellStyle name="Millares 2 2" xfId="39" xr:uid="{00000000-0005-0000-0000-000027000000}"/>
    <cellStyle name="Millares 2 2 2" xfId="40" xr:uid="{00000000-0005-0000-0000-000028000000}"/>
    <cellStyle name="Millares 3" xfId="41" xr:uid="{00000000-0005-0000-0000-000029000000}"/>
    <cellStyle name="Millares 3 2" xfId="42" xr:uid="{00000000-0005-0000-0000-00002A000000}"/>
    <cellStyle name="Millares 3 2 2" xfId="43" xr:uid="{00000000-0005-0000-0000-00002B000000}"/>
    <cellStyle name="Millares 3 3" xfId="44" xr:uid="{00000000-0005-0000-0000-00002C000000}"/>
    <cellStyle name="Millares 3 3 2" xfId="45" xr:uid="{00000000-0005-0000-0000-00002D000000}"/>
    <cellStyle name="Millares 3 4" xfId="46" xr:uid="{00000000-0005-0000-0000-00002E000000}"/>
    <cellStyle name="Millares 3 5" xfId="47" xr:uid="{00000000-0005-0000-0000-00002F000000}"/>
    <cellStyle name="Millares 4" xfId="48" xr:uid="{00000000-0005-0000-0000-000030000000}"/>
    <cellStyle name="Millares 4 2" xfId="49" xr:uid="{00000000-0005-0000-0000-000031000000}"/>
    <cellStyle name="Millares 4 2 2" xfId="50" xr:uid="{00000000-0005-0000-0000-000032000000}"/>
    <cellStyle name="Millares 4 3" xfId="51" xr:uid="{00000000-0005-0000-0000-000033000000}"/>
    <cellStyle name="Millares 4 3 2" xfId="52" xr:uid="{00000000-0005-0000-0000-000034000000}"/>
    <cellStyle name="Millares 4 4" xfId="53" xr:uid="{00000000-0005-0000-0000-000035000000}"/>
    <cellStyle name="Millares 5" xfId="54" xr:uid="{00000000-0005-0000-0000-000036000000}"/>
    <cellStyle name="Millares 5 2" xfId="55" xr:uid="{00000000-0005-0000-0000-000037000000}"/>
    <cellStyle name="Millares 5 2 2" xfId="56" xr:uid="{00000000-0005-0000-0000-000038000000}"/>
    <cellStyle name="Millares 5 2 2 2" xfId="57" xr:uid="{00000000-0005-0000-0000-000039000000}"/>
    <cellStyle name="Millares 5 2 2 2 2" xfId="58" xr:uid="{00000000-0005-0000-0000-00003A000000}"/>
    <cellStyle name="Millares 5 2 2 2 2 2" xfId="59" xr:uid="{00000000-0005-0000-0000-00003B000000}"/>
    <cellStyle name="Millares 5 2 2 2 2 3" xfId="60" xr:uid="{00000000-0005-0000-0000-00003C000000}"/>
    <cellStyle name="Millares 5 2 2 2 2 4" xfId="61" xr:uid="{00000000-0005-0000-0000-00003D000000}"/>
    <cellStyle name="Millares 5 2 2 2 3" xfId="62" xr:uid="{00000000-0005-0000-0000-00003E000000}"/>
    <cellStyle name="Millares 5 2 2 2 4" xfId="63" xr:uid="{00000000-0005-0000-0000-00003F000000}"/>
    <cellStyle name="Millares 5 2 2 3" xfId="64" xr:uid="{00000000-0005-0000-0000-000040000000}"/>
    <cellStyle name="Millares 5 2 2 3 2" xfId="65" xr:uid="{00000000-0005-0000-0000-000041000000}"/>
    <cellStyle name="Millares 5 2 2 3 2 2" xfId="66" xr:uid="{00000000-0005-0000-0000-000042000000}"/>
    <cellStyle name="Millares 5 2 2 3 2 3" xfId="67" xr:uid="{00000000-0005-0000-0000-000043000000}"/>
    <cellStyle name="Millares 5 2 2 3 2 4" xfId="68" xr:uid="{00000000-0005-0000-0000-000044000000}"/>
    <cellStyle name="Millares 5 2 2 3 3" xfId="69" xr:uid="{00000000-0005-0000-0000-000045000000}"/>
    <cellStyle name="Millares 5 2 2 3 4" xfId="70" xr:uid="{00000000-0005-0000-0000-000046000000}"/>
    <cellStyle name="Millares 5 2 2 4" xfId="71" xr:uid="{00000000-0005-0000-0000-000047000000}"/>
    <cellStyle name="Millares 5 2 2 4 2" xfId="72" xr:uid="{00000000-0005-0000-0000-000048000000}"/>
    <cellStyle name="Millares 5 2 2 4 3" xfId="73" xr:uid="{00000000-0005-0000-0000-000049000000}"/>
    <cellStyle name="Millares 5 2 2 4 4" xfId="74" xr:uid="{00000000-0005-0000-0000-00004A000000}"/>
    <cellStyle name="Millares 5 2 2 5" xfId="75" xr:uid="{00000000-0005-0000-0000-00004B000000}"/>
    <cellStyle name="Millares 5 2 2 6" xfId="76" xr:uid="{00000000-0005-0000-0000-00004C000000}"/>
    <cellStyle name="Millares 5 2 3" xfId="77" xr:uid="{00000000-0005-0000-0000-00004D000000}"/>
    <cellStyle name="Millares 5 3" xfId="78" xr:uid="{00000000-0005-0000-0000-00004E000000}"/>
    <cellStyle name="Millares 5 4" xfId="79" xr:uid="{00000000-0005-0000-0000-00004F000000}"/>
    <cellStyle name="Millares 6" xfId="80" xr:uid="{00000000-0005-0000-0000-000050000000}"/>
    <cellStyle name="Millares 6 2" xfId="81" xr:uid="{00000000-0005-0000-0000-000051000000}"/>
    <cellStyle name="Moneda 2" xfId="82" xr:uid="{00000000-0005-0000-0000-000052000000}"/>
    <cellStyle name="Moneda 2 2" xfId="83" xr:uid="{00000000-0005-0000-0000-000053000000}"/>
    <cellStyle name="Moneda 2 2 2" xfId="84" xr:uid="{00000000-0005-0000-0000-000054000000}"/>
    <cellStyle name="Moneda 2 2 2 2" xfId="85" xr:uid="{00000000-0005-0000-0000-000055000000}"/>
    <cellStyle name="Moneda 2 2 2 3" xfId="86" xr:uid="{00000000-0005-0000-0000-000056000000}"/>
    <cellStyle name="Moneda 2 2 2 4" xfId="87" xr:uid="{00000000-0005-0000-0000-000057000000}"/>
    <cellStyle name="Moneda 2 2 3" xfId="88" xr:uid="{00000000-0005-0000-0000-000058000000}"/>
    <cellStyle name="Moneda 2 2 4" xfId="89" xr:uid="{00000000-0005-0000-0000-000059000000}"/>
    <cellStyle name="Moneda 2 3" xfId="90" xr:uid="{00000000-0005-0000-0000-00005A000000}"/>
    <cellStyle name="Moneda 2 4" xfId="91" xr:uid="{00000000-0005-0000-0000-00005B000000}"/>
    <cellStyle name="Moneda 2 4 2" xfId="92" xr:uid="{00000000-0005-0000-0000-00005C000000}"/>
    <cellStyle name="Moneda 2 4 3" xfId="93" xr:uid="{00000000-0005-0000-0000-00005D000000}"/>
    <cellStyle name="Moneda 2 4 4" xfId="94" xr:uid="{00000000-0005-0000-0000-00005E000000}"/>
    <cellStyle name="Moneda 2 5" xfId="95" xr:uid="{00000000-0005-0000-0000-00005F000000}"/>
    <cellStyle name="Moneda 2 6" xfId="96" xr:uid="{00000000-0005-0000-0000-000060000000}"/>
    <cellStyle name="Moneda 3" xfId="97" xr:uid="{00000000-0005-0000-0000-000061000000}"/>
    <cellStyle name="Moneda 3 2" xfId="98" xr:uid="{00000000-0005-0000-0000-000062000000}"/>
    <cellStyle name="Moneda 3 3" xfId="99" xr:uid="{00000000-0005-0000-0000-000063000000}"/>
    <cellStyle name="Moneda 3 4" xfId="100" xr:uid="{00000000-0005-0000-0000-000064000000}"/>
    <cellStyle name="Moneda 4" xfId="101" xr:uid="{00000000-0005-0000-0000-000065000000}"/>
    <cellStyle name="Moneda 4 3" xfId="102" xr:uid="{00000000-0005-0000-0000-000066000000}"/>
    <cellStyle name="Neutral" xfId="103" builtinId="28" customBuiltin="1"/>
    <cellStyle name="Normal" xfId="0" builtinId="0"/>
    <cellStyle name="Normal 10" xfId="104" xr:uid="{00000000-0005-0000-0000-000069000000}"/>
    <cellStyle name="Normal 11" xfId="105" xr:uid="{00000000-0005-0000-0000-00006A000000}"/>
    <cellStyle name="Normal 11 2" xfId="106" xr:uid="{00000000-0005-0000-0000-00006B000000}"/>
    <cellStyle name="Normal 12" xfId="107" xr:uid="{00000000-0005-0000-0000-00006C000000}"/>
    <cellStyle name="Normal 12 2" xfId="108" xr:uid="{00000000-0005-0000-0000-00006D000000}"/>
    <cellStyle name="Normal 124" xfId="109" xr:uid="{00000000-0005-0000-0000-00006E000000}"/>
    <cellStyle name="Normal 125" xfId="110" xr:uid="{00000000-0005-0000-0000-00006F000000}"/>
    <cellStyle name="Normal 13" xfId="111" xr:uid="{00000000-0005-0000-0000-000070000000}"/>
    <cellStyle name="Normal 14" xfId="112" xr:uid="{00000000-0005-0000-0000-000071000000}"/>
    <cellStyle name="Normal 14 2" xfId="113" xr:uid="{00000000-0005-0000-0000-000072000000}"/>
    <cellStyle name="Normal 15" xfId="114" xr:uid="{00000000-0005-0000-0000-000073000000}"/>
    <cellStyle name="Normal 16" xfId="115" xr:uid="{00000000-0005-0000-0000-000074000000}"/>
    <cellStyle name="Normal 17" xfId="116" xr:uid="{00000000-0005-0000-0000-000075000000}"/>
    <cellStyle name="Normal 19" xfId="117" xr:uid="{00000000-0005-0000-0000-000076000000}"/>
    <cellStyle name="Normal 2" xfId="118" xr:uid="{00000000-0005-0000-0000-000077000000}"/>
    <cellStyle name="Normal 2 10 2" xfId="119" xr:uid="{00000000-0005-0000-0000-000078000000}"/>
    <cellStyle name="Normal 2 10 2 2" xfId="120" xr:uid="{00000000-0005-0000-0000-000079000000}"/>
    <cellStyle name="Normal 2 100" xfId="121" xr:uid="{00000000-0005-0000-0000-00007A000000}"/>
    <cellStyle name="Normal 2 100 2" xfId="122" xr:uid="{00000000-0005-0000-0000-00007B000000}"/>
    <cellStyle name="Normal 2 2" xfId="123" xr:uid="{00000000-0005-0000-0000-00007C000000}"/>
    <cellStyle name="Normal 2 2 10" xfId="124" xr:uid="{00000000-0005-0000-0000-00007D000000}"/>
    <cellStyle name="Normal 2 2 10 2" xfId="125" xr:uid="{00000000-0005-0000-0000-00007E000000}"/>
    <cellStyle name="Normal 2 2 2" xfId="126" xr:uid="{00000000-0005-0000-0000-00007F000000}"/>
    <cellStyle name="Normal 2 2 2 2" xfId="127" xr:uid="{00000000-0005-0000-0000-000080000000}"/>
    <cellStyle name="Normal 2 2 2 3" xfId="128" xr:uid="{00000000-0005-0000-0000-000081000000}"/>
    <cellStyle name="Normal 2 2 2 4" xfId="129" xr:uid="{00000000-0005-0000-0000-000082000000}"/>
    <cellStyle name="Normal 2 2 3" xfId="130" xr:uid="{00000000-0005-0000-0000-000083000000}"/>
    <cellStyle name="Normal 2 2 4" xfId="131" xr:uid="{00000000-0005-0000-0000-000084000000}"/>
    <cellStyle name="Normal 2 2 4 2" xfId="132" xr:uid="{00000000-0005-0000-0000-000085000000}"/>
    <cellStyle name="Normal 2 2 4 2 2" xfId="133" xr:uid="{00000000-0005-0000-0000-000086000000}"/>
    <cellStyle name="Normal 2 2 4 2 2 3" xfId="134" xr:uid="{00000000-0005-0000-0000-000087000000}"/>
    <cellStyle name="Normal 2 2 4 3" xfId="135" xr:uid="{00000000-0005-0000-0000-000088000000}"/>
    <cellStyle name="Normal 2 2 4 4" xfId="136" xr:uid="{00000000-0005-0000-0000-000089000000}"/>
    <cellStyle name="Normal 2 2 5" xfId="137" xr:uid="{00000000-0005-0000-0000-00008A000000}"/>
    <cellStyle name="Normal 2 3" xfId="138" xr:uid="{00000000-0005-0000-0000-00008B000000}"/>
    <cellStyle name="Normal 2 3 2" xfId="139" xr:uid="{00000000-0005-0000-0000-00008C000000}"/>
    <cellStyle name="Normal 2 3 2 2" xfId="140" xr:uid="{00000000-0005-0000-0000-00008D000000}"/>
    <cellStyle name="Normal 2 3 2 2 2 2" xfId="141" xr:uid="{00000000-0005-0000-0000-00008E000000}"/>
    <cellStyle name="Normal 2 3 2 3" xfId="142" xr:uid="{00000000-0005-0000-0000-00008F000000}"/>
    <cellStyle name="Normal 2 3 3" xfId="143" xr:uid="{00000000-0005-0000-0000-000090000000}"/>
    <cellStyle name="Normal 2 3 3 2 3 2" xfId="144" xr:uid="{00000000-0005-0000-0000-000091000000}"/>
    <cellStyle name="Normal 2 3 4" xfId="145" xr:uid="{00000000-0005-0000-0000-000092000000}"/>
    <cellStyle name="Normal 2 3 5" xfId="146" xr:uid="{00000000-0005-0000-0000-000093000000}"/>
    <cellStyle name="Normal 2 3 6" xfId="147" xr:uid="{00000000-0005-0000-0000-000094000000}"/>
    <cellStyle name="Normal 2 4" xfId="148" xr:uid="{00000000-0005-0000-0000-000095000000}"/>
    <cellStyle name="Normal 2 5" xfId="149" xr:uid="{00000000-0005-0000-0000-000096000000}"/>
    <cellStyle name="Normal 2 6" xfId="150" xr:uid="{00000000-0005-0000-0000-000097000000}"/>
    <cellStyle name="Normal 2 6 10" xfId="151" xr:uid="{00000000-0005-0000-0000-000098000000}"/>
    <cellStyle name="Normal 2 6 10 2" xfId="152" xr:uid="{00000000-0005-0000-0000-000099000000}"/>
    <cellStyle name="Normal 2 6 2" xfId="153" xr:uid="{00000000-0005-0000-0000-00009A000000}"/>
    <cellStyle name="Normal 2 6 2 2" xfId="250" xr:uid="{E9F6C7AA-FC30-4B89-97B7-F7C6737294AD}"/>
    <cellStyle name="Normal 2 7" xfId="154" xr:uid="{00000000-0005-0000-0000-00009B000000}"/>
    <cellStyle name="Normal 2 9" xfId="155" xr:uid="{00000000-0005-0000-0000-00009C000000}"/>
    <cellStyle name="Normal 2_2010 Enero METEPEC(1)" xfId="156" xr:uid="{00000000-0005-0000-0000-00009D000000}"/>
    <cellStyle name="Normal 21" xfId="157" xr:uid="{00000000-0005-0000-0000-00009E000000}"/>
    <cellStyle name="Normal 22" xfId="158" xr:uid="{00000000-0005-0000-0000-00009F000000}"/>
    <cellStyle name="Normal 23" xfId="159" xr:uid="{00000000-0005-0000-0000-0000A0000000}"/>
    <cellStyle name="Normal 3" xfId="160" xr:uid="{00000000-0005-0000-0000-0000A1000000}"/>
    <cellStyle name="Normal 3 2" xfId="161" xr:uid="{00000000-0005-0000-0000-0000A2000000}"/>
    <cellStyle name="Normal 3 2 2" xfId="162" xr:uid="{00000000-0005-0000-0000-0000A3000000}"/>
    <cellStyle name="Normal 3 3" xfId="163" xr:uid="{00000000-0005-0000-0000-0000A4000000}"/>
    <cellStyle name="Normal 3 4" xfId="164" xr:uid="{00000000-0005-0000-0000-0000A5000000}"/>
    <cellStyle name="Normal 3 4 2 4" xfId="165" xr:uid="{00000000-0005-0000-0000-0000A6000000}"/>
    <cellStyle name="Normal 3 5" xfId="166" xr:uid="{00000000-0005-0000-0000-0000A7000000}"/>
    <cellStyle name="Normal 3 5 2" xfId="167" xr:uid="{00000000-0005-0000-0000-0000A8000000}"/>
    <cellStyle name="Normal 3 6" xfId="168" xr:uid="{00000000-0005-0000-0000-0000A9000000}"/>
    <cellStyle name="Normal 3 7" xfId="169" xr:uid="{00000000-0005-0000-0000-0000AA000000}"/>
    <cellStyle name="Normal 3_2010-09-30-PUEBLA(1)" xfId="170" xr:uid="{00000000-0005-0000-0000-0000AB000000}"/>
    <cellStyle name="Normal 4" xfId="171" xr:uid="{00000000-0005-0000-0000-0000AC000000}"/>
    <cellStyle name="Normal 4 2" xfId="172" xr:uid="{00000000-0005-0000-0000-0000AD000000}"/>
    <cellStyle name="Normal 4 3" xfId="173" xr:uid="{00000000-0005-0000-0000-0000AE000000}"/>
    <cellStyle name="Normal 4 4" xfId="174" xr:uid="{00000000-0005-0000-0000-0000AF000000}"/>
    <cellStyle name="Normal 5" xfId="175" xr:uid="{00000000-0005-0000-0000-0000B0000000}"/>
    <cellStyle name="Normal 5 2" xfId="176" xr:uid="{00000000-0005-0000-0000-0000B1000000}"/>
    <cellStyle name="Normal 5 2 2" xfId="177" xr:uid="{00000000-0005-0000-0000-0000B2000000}"/>
    <cellStyle name="Normal 5 2 2 3" xfId="178" xr:uid="{00000000-0005-0000-0000-0000B3000000}"/>
    <cellStyle name="Normal 5 3" xfId="179" xr:uid="{00000000-0005-0000-0000-0000B4000000}"/>
    <cellStyle name="Normal 5 3 2" xfId="180" xr:uid="{00000000-0005-0000-0000-0000B5000000}"/>
    <cellStyle name="Normal 5 4" xfId="181" xr:uid="{00000000-0005-0000-0000-0000B6000000}"/>
    <cellStyle name="Normal 5 5" xfId="182" xr:uid="{00000000-0005-0000-0000-0000B7000000}"/>
    <cellStyle name="Normal 5_CAMBIO DE MIX CAPRI SATELITE CON PWB y FISH 2-11-11(1)" xfId="183" xr:uid="{00000000-0005-0000-0000-0000B8000000}"/>
    <cellStyle name="Normal 6" xfId="184" xr:uid="{00000000-0005-0000-0000-0000B9000000}"/>
    <cellStyle name="Normal 6 2" xfId="185" xr:uid="{00000000-0005-0000-0000-0000BA000000}"/>
    <cellStyle name="Normal 6 3" xfId="186" xr:uid="{00000000-0005-0000-0000-0000BB000000}"/>
    <cellStyle name="Normal 7" xfId="187" xr:uid="{00000000-0005-0000-0000-0000BC000000}"/>
    <cellStyle name="Normal 8" xfId="188" xr:uid="{00000000-0005-0000-0000-0000BD000000}"/>
    <cellStyle name="Normal 8 2" xfId="189" xr:uid="{00000000-0005-0000-0000-0000BE000000}"/>
    <cellStyle name="Normal 8_PROPUESTA MIX PALACE CANCUN 5-03-12-P(1)" xfId="190" xr:uid="{00000000-0005-0000-0000-0000BF000000}"/>
    <cellStyle name="Normal 9" xfId="191" xr:uid="{00000000-0005-0000-0000-0000C0000000}"/>
    <cellStyle name="Normal 9 2 2" xfId="192" xr:uid="{00000000-0005-0000-0000-0000C1000000}"/>
    <cellStyle name="Normal_Hoja1 2" xfId="251" xr:uid="{49FB3F4B-53E4-444A-9609-9822AFF12F7C}"/>
    <cellStyle name="Notas 2" xfId="193" xr:uid="{00000000-0005-0000-0000-0000C2000000}"/>
    <cellStyle name="Notas 2 2" xfId="194" xr:uid="{00000000-0005-0000-0000-0000C3000000}"/>
    <cellStyle name="Notas 2 2 2" xfId="195" xr:uid="{00000000-0005-0000-0000-0000C4000000}"/>
    <cellStyle name="Notas 2 2 3" xfId="196" xr:uid="{00000000-0005-0000-0000-0000C5000000}"/>
    <cellStyle name="Notas 2 2 4" xfId="197" xr:uid="{00000000-0005-0000-0000-0000C6000000}"/>
    <cellStyle name="Notas 2 3" xfId="198" xr:uid="{00000000-0005-0000-0000-0000C7000000}"/>
    <cellStyle name="Notas 2 4" xfId="199" xr:uid="{00000000-0005-0000-0000-0000C8000000}"/>
    <cellStyle name="Porcentaje 2" xfId="200" xr:uid="{00000000-0005-0000-0000-0000C9000000}"/>
    <cellStyle name="Porcentaje 2 2" xfId="201" xr:uid="{00000000-0005-0000-0000-0000CA000000}"/>
    <cellStyle name="Porcentaje 2 2 2" xfId="202" xr:uid="{00000000-0005-0000-0000-0000CB000000}"/>
    <cellStyle name="Porcentaje 2 2 2 2" xfId="203" xr:uid="{00000000-0005-0000-0000-0000CC000000}"/>
    <cellStyle name="Porcentaje 2 2 2 3" xfId="204" xr:uid="{00000000-0005-0000-0000-0000CD000000}"/>
    <cellStyle name="Porcentaje 2 2 2 4" xfId="205" xr:uid="{00000000-0005-0000-0000-0000CE000000}"/>
    <cellStyle name="Porcentaje 2 2 2 4 2" xfId="206" xr:uid="{00000000-0005-0000-0000-0000CF000000}"/>
    <cellStyle name="Porcentaje 2 2 3" xfId="207" xr:uid="{00000000-0005-0000-0000-0000D0000000}"/>
    <cellStyle name="Porcentaje 2 2 4" xfId="208" xr:uid="{00000000-0005-0000-0000-0000D1000000}"/>
    <cellStyle name="Porcentaje 2 3" xfId="209" xr:uid="{00000000-0005-0000-0000-0000D2000000}"/>
    <cellStyle name="Porcentaje 2 4" xfId="210" xr:uid="{00000000-0005-0000-0000-0000D3000000}"/>
    <cellStyle name="Porcentaje 2 4 2" xfId="211" xr:uid="{00000000-0005-0000-0000-0000D4000000}"/>
    <cellStyle name="Porcentaje 2 4 2 2" xfId="212" xr:uid="{00000000-0005-0000-0000-0000D5000000}"/>
    <cellStyle name="Porcentaje 2 4 2 3" xfId="213" xr:uid="{00000000-0005-0000-0000-0000D6000000}"/>
    <cellStyle name="Porcentaje 2 4 2 4" xfId="214" xr:uid="{00000000-0005-0000-0000-0000D7000000}"/>
    <cellStyle name="Porcentaje 2 4 3" xfId="215" xr:uid="{00000000-0005-0000-0000-0000D8000000}"/>
    <cellStyle name="Porcentaje 2 4 4" xfId="216" xr:uid="{00000000-0005-0000-0000-0000D9000000}"/>
    <cellStyle name="Porcentaje 2 5" xfId="217" xr:uid="{00000000-0005-0000-0000-0000DA000000}"/>
    <cellStyle name="Porcentaje 2 5 2" xfId="218" xr:uid="{00000000-0005-0000-0000-0000DB000000}"/>
    <cellStyle name="Porcentaje 2 5 3" xfId="219" xr:uid="{00000000-0005-0000-0000-0000DC000000}"/>
    <cellStyle name="Porcentaje 2 5 4" xfId="220" xr:uid="{00000000-0005-0000-0000-0000DD000000}"/>
    <cellStyle name="Porcentaje 2 6" xfId="221" xr:uid="{00000000-0005-0000-0000-0000DE000000}"/>
    <cellStyle name="Porcentaje 3" xfId="222" xr:uid="{00000000-0005-0000-0000-0000DF000000}"/>
    <cellStyle name="Porcentaje 3 2" xfId="223" xr:uid="{00000000-0005-0000-0000-0000E0000000}"/>
    <cellStyle name="Porcentaje 4" xfId="224" xr:uid="{00000000-0005-0000-0000-0000E1000000}"/>
    <cellStyle name="Porcentaje 4 2" xfId="225" xr:uid="{00000000-0005-0000-0000-0000E2000000}"/>
    <cellStyle name="Porcentaje 4 2 2" xfId="226" xr:uid="{00000000-0005-0000-0000-0000E3000000}"/>
    <cellStyle name="Porcentaje 4 2 2 2" xfId="227" xr:uid="{00000000-0005-0000-0000-0000E4000000}"/>
    <cellStyle name="Porcentaje 4 2 2 3" xfId="228" xr:uid="{00000000-0005-0000-0000-0000E5000000}"/>
    <cellStyle name="Porcentaje 4 2 2 4" xfId="229" xr:uid="{00000000-0005-0000-0000-0000E6000000}"/>
    <cellStyle name="Porcentaje 4 2 3" xfId="230" xr:uid="{00000000-0005-0000-0000-0000E7000000}"/>
    <cellStyle name="Porcentaje 4 2 4" xfId="231" xr:uid="{00000000-0005-0000-0000-0000E8000000}"/>
    <cellStyle name="Porcentaje 4 2 5" xfId="232" xr:uid="{00000000-0005-0000-0000-0000E9000000}"/>
    <cellStyle name="Porcentaje 4 3" xfId="233" xr:uid="{00000000-0005-0000-0000-0000EA000000}"/>
    <cellStyle name="Porcentaje 4 4" xfId="234" xr:uid="{00000000-0005-0000-0000-0000EB000000}"/>
    <cellStyle name="Porcentaje 4 5" xfId="235" xr:uid="{00000000-0005-0000-0000-0000EC000000}"/>
    <cellStyle name="Porcentaje 4 6" xfId="236" xr:uid="{00000000-0005-0000-0000-0000ED000000}"/>
    <cellStyle name="Porcentaje 4 7" xfId="237" xr:uid="{00000000-0005-0000-0000-0000EE000000}"/>
    <cellStyle name="Porcentual 2" xfId="238" xr:uid="{00000000-0005-0000-0000-0000EF000000}"/>
    <cellStyle name="Salida" xfId="239" builtinId="21" customBuiltin="1"/>
    <cellStyle name="Style 1 10" xfId="240" xr:uid="{00000000-0005-0000-0000-0000F1000000}"/>
    <cellStyle name="Style 1 12" xfId="241" xr:uid="{00000000-0005-0000-0000-0000F2000000}"/>
    <cellStyle name="TableStyleLight1" xfId="242" xr:uid="{00000000-0005-0000-0000-0000F3000000}"/>
    <cellStyle name="Texto de advertencia" xfId="243" builtinId="11" customBuiltin="1"/>
    <cellStyle name="Texto explicativo" xfId="244" builtinId="53" customBuiltin="1"/>
    <cellStyle name="Título" xfId="245" builtinId="15" customBuiltin="1"/>
    <cellStyle name="Título 2" xfId="247" builtinId="17" customBuiltin="1"/>
    <cellStyle name="Título 3" xfId="248" builtinId="18" customBuiltin="1"/>
    <cellStyle name="Total" xfId="249" builtinId="25" customBuiltin="1"/>
  </cellStyles>
  <dxfs count="70"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876300</xdr:colOff>
      <xdr:row>36</xdr:row>
      <xdr:rowOff>133349</xdr:rowOff>
    </xdr:from>
    <xdr:to>
      <xdr:col>51</xdr:col>
      <xdr:colOff>266700</xdr:colOff>
      <xdr:row>41</xdr:row>
      <xdr:rowOff>190500</xdr:rowOff>
    </xdr:to>
    <xdr:pic>
      <xdr:nvPicPr>
        <xdr:cNvPr id="2" name="9 Imagen" descr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483125" y="9153524"/>
          <a:ext cx="1619250" cy="136207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</xdr:col>
      <xdr:colOff>63324</xdr:colOff>
      <xdr:row>10</xdr:row>
      <xdr:rowOff>89180</xdr:rowOff>
    </xdr:from>
    <xdr:to>
      <xdr:col>6</xdr:col>
      <xdr:colOff>166686</xdr:colOff>
      <xdr:row>14</xdr:row>
      <xdr:rowOff>142874</xdr:rowOff>
    </xdr:to>
    <xdr:pic>
      <xdr:nvPicPr>
        <xdr:cNvPr id="3" name="Imagen 23" descr="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flipH="1">
          <a:off x="5635449" y="2356130"/>
          <a:ext cx="1217787" cy="105381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15</xdr:col>
      <xdr:colOff>692150</xdr:colOff>
      <xdr:row>33</xdr:row>
      <xdr:rowOff>0</xdr:rowOff>
    </xdr:from>
    <xdr:to>
      <xdr:col>16</xdr:col>
      <xdr:colOff>952500</xdr:colOff>
      <xdr:row>38</xdr:row>
      <xdr:rowOff>38100</xdr:rowOff>
    </xdr:to>
    <xdr:pic>
      <xdr:nvPicPr>
        <xdr:cNvPr id="4" name="9 Imagen" descr=" 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7408525" y="8220075"/>
          <a:ext cx="1374775" cy="13620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4</xdr:col>
      <xdr:colOff>257175</xdr:colOff>
      <xdr:row>8</xdr:row>
      <xdr:rowOff>90487</xdr:rowOff>
    </xdr:from>
    <xdr:to>
      <xdr:col>6</xdr:col>
      <xdr:colOff>1017769</xdr:colOff>
      <xdr:row>10</xdr:row>
      <xdr:rowOff>43309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714875" y="1957387"/>
          <a:ext cx="2989444" cy="35287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51</xdr:col>
      <xdr:colOff>981791</xdr:colOff>
      <xdr:row>36</xdr:row>
      <xdr:rowOff>158155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4606825" y="8486775"/>
          <a:ext cx="3210641" cy="69155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14</xdr:col>
      <xdr:colOff>952500</xdr:colOff>
      <xdr:row>30</xdr:row>
      <xdr:rowOff>114300</xdr:rowOff>
    </xdr:from>
    <xdr:to>
      <xdr:col>17</xdr:col>
      <xdr:colOff>829391</xdr:colOff>
      <xdr:row>33</xdr:row>
      <xdr:rowOff>5755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6554450" y="7543800"/>
          <a:ext cx="3220166" cy="6820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25</xdr:col>
      <xdr:colOff>920750</xdr:colOff>
      <xdr:row>10</xdr:row>
      <xdr:rowOff>190500</xdr:rowOff>
    </xdr:from>
    <xdr:to>
      <xdr:col>27</xdr:col>
      <xdr:colOff>190500</xdr:colOff>
      <xdr:row>16</xdr:row>
      <xdr:rowOff>114300</xdr:rowOff>
    </xdr:to>
    <xdr:pic>
      <xdr:nvPicPr>
        <xdr:cNvPr id="8" name="9 Imagen" descr=" 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8781375" y="2457450"/>
          <a:ext cx="1498600" cy="13906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25</xdr:col>
      <xdr:colOff>0</xdr:colOff>
      <xdr:row>8</xdr:row>
      <xdr:rowOff>0</xdr:rowOff>
    </xdr:from>
    <xdr:to>
      <xdr:col>27</xdr:col>
      <xdr:colOff>981791</xdr:colOff>
      <xdr:row>11</xdr:row>
      <xdr:rowOff>5755</xdr:rowOff>
    </xdr:to>
    <xdr:sp macro="" textlink="">
      <xdr:nvSpPr>
        <xdr:cNvPr id="9" name="rect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27860625" y="1866900"/>
          <a:ext cx="3210641" cy="6344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8</xdr:col>
      <xdr:colOff>333375</xdr:colOff>
      <xdr:row>3</xdr:row>
      <xdr:rowOff>111125</xdr:rowOff>
    </xdr:from>
    <xdr:to>
      <xdr:col>9</xdr:col>
      <xdr:colOff>1000125</xdr:colOff>
      <xdr:row>10</xdr:row>
      <xdr:rowOff>79375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9248775" y="939800"/>
          <a:ext cx="1781175" cy="1406525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bg1"/>
              </a:solidFill>
            </a:rPr>
            <a:t>Mix</a:t>
          </a:r>
          <a:r>
            <a:rPr lang="es-MX" sz="1400" b="1" baseline="0">
              <a:solidFill>
                <a:schemeClr val="bg1"/>
              </a:solidFill>
            </a:rPr>
            <a:t> de toda la isla a DB por BIG DAY, regresando mix original en cuánto pase el evento.</a:t>
          </a:r>
          <a:endParaRPr lang="es-MX" sz="14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876300</xdr:colOff>
      <xdr:row>36</xdr:row>
      <xdr:rowOff>133349</xdr:rowOff>
    </xdr:from>
    <xdr:to>
      <xdr:col>51</xdr:col>
      <xdr:colOff>266700</xdr:colOff>
      <xdr:row>41</xdr:row>
      <xdr:rowOff>190500</xdr:rowOff>
    </xdr:to>
    <xdr:pic>
      <xdr:nvPicPr>
        <xdr:cNvPr id="2" name="9 Imagen" descr=" 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483125" y="9153524"/>
          <a:ext cx="1619250" cy="136207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</xdr:col>
      <xdr:colOff>63324</xdr:colOff>
      <xdr:row>10</xdr:row>
      <xdr:rowOff>89180</xdr:rowOff>
    </xdr:from>
    <xdr:to>
      <xdr:col>6</xdr:col>
      <xdr:colOff>166686</xdr:colOff>
      <xdr:row>14</xdr:row>
      <xdr:rowOff>142874</xdr:rowOff>
    </xdr:to>
    <xdr:pic>
      <xdr:nvPicPr>
        <xdr:cNvPr id="3" name="Imagen 23" descr=" 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flipH="1">
          <a:off x="5635449" y="2356130"/>
          <a:ext cx="1217787" cy="105381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15</xdr:col>
      <xdr:colOff>692150</xdr:colOff>
      <xdr:row>33</xdr:row>
      <xdr:rowOff>0</xdr:rowOff>
    </xdr:from>
    <xdr:to>
      <xdr:col>16</xdr:col>
      <xdr:colOff>952500</xdr:colOff>
      <xdr:row>38</xdr:row>
      <xdr:rowOff>38100</xdr:rowOff>
    </xdr:to>
    <xdr:pic>
      <xdr:nvPicPr>
        <xdr:cNvPr id="4" name="9 Imagen" descr=" 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7408525" y="8220075"/>
          <a:ext cx="1374775" cy="13620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4</xdr:col>
      <xdr:colOff>257175</xdr:colOff>
      <xdr:row>8</xdr:row>
      <xdr:rowOff>90487</xdr:rowOff>
    </xdr:from>
    <xdr:to>
      <xdr:col>6</xdr:col>
      <xdr:colOff>1017769</xdr:colOff>
      <xdr:row>10</xdr:row>
      <xdr:rowOff>43309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4714875" y="1957387"/>
          <a:ext cx="2989444" cy="35287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51</xdr:col>
      <xdr:colOff>981791</xdr:colOff>
      <xdr:row>36</xdr:row>
      <xdr:rowOff>158155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4606825" y="8486775"/>
          <a:ext cx="3210641" cy="69155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14</xdr:col>
      <xdr:colOff>952500</xdr:colOff>
      <xdr:row>30</xdr:row>
      <xdr:rowOff>114300</xdr:rowOff>
    </xdr:from>
    <xdr:to>
      <xdr:col>17</xdr:col>
      <xdr:colOff>829391</xdr:colOff>
      <xdr:row>33</xdr:row>
      <xdr:rowOff>5755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6554450" y="7543800"/>
          <a:ext cx="3220166" cy="6820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25</xdr:col>
      <xdr:colOff>920750</xdr:colOff>
      <xdr:row>10</xdr:row>
      <xdr:rowOff>190500</xdr:rowOff>
    </xdr:from>
    <xdr:to>
      <xdr:col>27</xdr:col>
      <xdr:colOff>190500</xdr:colOff>
      <xdr:row>16</xdr:row>
      <xdr:rowOff>114300</xdr:rowOff>
    </xdr:to>
    <xdr:pic>
      <xdr:nvPicPr>
        <xdr:cNvPr id="8" name="9 Imagen" descr=" 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8781375" y="2457450"/>
          <a:ext cx="1498600" cy="13906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25</xdr:col>
      <xdr:colOff>0</xdr:colOff>
      <xdr:row>8</xdr:row>
      <xdr:rowOff>0</xdr:rowOff>
    </xdr:from>
    <xdr:to>
      <xdr:col>27</xdr:col>
      <xdr:colOff>981791</xdr:colOff>
      <xdr:row>11</xdr:row>
      <xdr:rowOff>5755</xdr:rowOff>
    </xdr:to>
    <xdr:sp macro="" textlink="">
      <xdr:nvSpPr>
        <xdr:cNvPr id="9" name="rect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7860625" y="1866900"/>
          <a:ext cx="3210641" cy="6344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8</xdr:col>
      <xdr:colOff>333375</xdr:colOff>
      <xdr:row>3</xdr:row>
      <xdr:rowOff>111125</xdr:rowOff>
    </xdr:from>
    <xdr:to>
      <xdr:col>9</xdr:col>
      <xdr:colOff>1000125</xdr:colOff>
      <xdr:row>10</xdr:row>
      <xdr:rowOff>79375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9248775" y="939800"/>
          <a:ext cx="1781175" cy="1406525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bg1"/>
              </a:solidFill>
            </a:rPr>
            <a:t>Mix</a:t>
          </a:r>
          <a:r>
            <a:rPr lang="es-MX" sz="1400" b="1" baseline="0">
              <a:solidFill>
                <a:schemeClr val="bg1"/>
              </a:solidFill>
            </a:rPr>
            <a:t> de toda la isla a DB por BIG DAY, regresando mix original en cuánto pase el evento.</a:t>
          </a:r>
          <a:endParaRPr lang="es-MX" sz="1400" b="1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876300</xdr:colOff>
      <xdr:row>36</xdr:row>
      <xdr:rowOff>133349</xdr:rowOff>
    </xdr:from>
    <xdr:to>
      <xdr:col>51</xdr:col>
      <xdr:colOff>266700</xdr:colOff>
      <xdr:row>41</xdr:row>
      <xdr:rowOff>190500</xdr:rowOff>
    </xdr:to>
    <xdr:pic>
      <xdr:nvPicPr>
        <xdr:cNvPr id="2" name="9 Imagen" descr=" 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3432750" y="9153524"/>
          <a:ext cx="95250" cy="136207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</xdr:col>
      <xdr:colOff>63324</xdr:colOff>
      <xdr:row>10</xdr:row>
      <xdr:rowOff>89180</xdr:rowOff>
    </xdr:from>
    <xdr:to>
      <xdr:col>6</xdr:col>
      <xdr:colOff>166686</xdr:colOff>
      <xdr:row>14</xdr:row>
      <xdr:rowOff>142874</xdr:rowOff>
    </xdr:to>
    <xdr:pic>
      <xdr:nvPicPr>
        <xdr:cNvPr id="3" name="Imagen 23" descr=" 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flipH="1">
          <a:off x="4721049" y="2356130"/>
          <a:ext cx="303387" cy="105381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15</xdr:col>
      <xdr:colOff>692150</xdr:colOff>
      <xdr:row>33</xdr:row>
      <xdr:rowOff>0</xdr:rowOff>
    </xdr:from>
    <xdr:to>
      <xdr:col>16</xdr:col>
      <xdr:colOff>952500</xdr:colOff>
      <xdr:row>38</xdr:row>
      <xdr:rowOff>38100</xdr:rowOff>
    </xdr:to>
    <xdr:pic>
      <xdr:nvPicPr>
        <xdr:cNvPr id="4" name="9 Imagen" descr=" 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83925" y="8220075"/>
          <a:ext cx="88900" cy="13620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4</xdr:col>
      <xdr:colOff>257175</xdr:colOff>
      <xdr:row>8</xdr:row>
      <xdr:rowOff>90487</xdr:rowOff>
    </xdr:from>
    <xdr:to>
      <xdr:col>6</xdr:col>
      <xdr:colOff>1017769</xdr:colOff>
      <xdr:row>10</xdr:row>
      <xdr:rowOff>43309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4657725" y="1957387"/>
          <a:ext cx="398644" cy="35287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51</xdr:col>
      <xdr:colOff>981791</xdr:colOff>
      <xdr:row>36</xdr:row>
      <xdr:rowOff>158155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33385125" y="8486775"/>
          <a:ext cx="143591" cy="69155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14</xdr:col>
      <xdr:colOff>952500</xdr:colOff>
      <xdr:row>30</xdr:row>
      <xdr:rowOff>114300</xdr:rowOff>
    </xdr:from>
    <xdr:to>
      <xdr:col>17</xdr:col>
      <xdr:colOff>829391</xdr:colOff>
      <xdr:row>33</xdr:row>
      <xdr:rowOff>5755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1001375" y="7543800"/>
          <a:ext cx="257891" cy="6820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25</xdr:col>
      <xdr:colOff>920750</xdr:colOff>
      <xdr:row>10</xdr:row>
      <xdr:rowOff>190500</xdr:rowOff>
    </xdr:from>
    <xdr:to>
      <xdr:col>27</xdr:col>
      <xdr:colOff>190500</xdr:colOff>
      <xdr:row>16</xdr:row>
      <xdr:rowOff>114300</xdr:rowOff>
    </xdr:to>
    <xdr:pic>
      <xdr:nvPicPr>
        <xdr:cNvPr id="8" name="9 Imagen" descr=" 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941175" y="2457450"/>
          <a:ext cx="174625" cy="13906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25</xdr:col>
      <xdr:colOff>0</xdr:colOff>
      <xdr:row>8</xdr:row>
      <xdr:rowOff>0</xdr:rowOff>
    </xdr:from>
    <xdr:to>
      <xdr:col>27</xdr:col>
      <xdr:colOff>981791</xdr:colOff>
      <xdr:row>11</xdr:row>
      <xdr:rowOff>5755</xdr:rowOff>
    </xdr:to>
    <xdr:sp macro="" textlink="">
      <xdr:nvSpPr>
        <xdr:cNvPr id="9" name="rect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11858625" y="1866900"/>
          <a:ext cx="257891" cy="6344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8</xdr:col>
      <xdr:colOff>333375</xdr:colOff>
      <xdr:row>3</xdr:row>
      <xdr:rowOff>111125</xdr:rowOff>
    </xdr:from>
    <xdr:to>
      <xdr:col>9</xdr:col>
      <xdr:colOff>1000125</xdr:colOff>
      <xdr:row>10</xdr:row>
      <xdr:rowOff>79375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591175" y="939800"/>
          <a:ext cx="1781175" cy="1406525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bg1"/>
              </a:solidFill>
            </a:rPr>
            <a:t>Mix</a:t>
          </a:r>
          <a:r>
            <a:rPr lang="es-MX" sz="1400" b="1" baseline="0">
              <a:solidFill>
                <a:schemeClr val="bg1"/>
              </a:solidFill>
            </a:rPr>
            <a:t> de toda la isla a DB por BIG DAY, regresando mix original en cuánto pase el evento.</a:t>
          </a:r>
          <a:endParaRPr lang="es-MX" sz="1400" b="1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876300</xdr:colOff>
      <xdr:row>36</xdr:row>
      <xdr:rowOff>133349</xdr:rowOff>
    </xdr:from>
    <xdr:to>
      <xdr:col>51</xdr:col>
      <xdr:colOff>266700</xdr:colOff>
      <xdr:row>41</xdr:row>
      <xdr:rowOff>190500</xdr:rowOff>
    </xdr:to>
    <xdr:pic>
      <xdr:nvPicPr>
        <xdr:cNvPr id="2" name="9 Imagen" descr=" 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3432750" y="9153524"/>
          <a:ext cx="95250" cy="136207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</xdr:col>
      <xdr:colOff>63324</xdr:colOff>
      <xdr:row>10</xdr:row>
      <xdr:rowOff>89180</xdr:rowOff>
    </xdr:from>
    <xdr:to>
      <xdr:col>6</xdr:col>
      <xdr:colOff>166686</xdr:colOff>
      <xdr:row>14</xdr:row>
      <xdr:rowOff>142874</xdr:rowOff>
    </xdr:to>
    <xdr:pic>
      <xdr:nvPicPr>
        <xdr:cNvPr id="3" name="Imagen 23" descr=" 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flipH="1">
          <a:off x="4721049" y="2356130"/>
          <a:ext cx="303387" cy="105381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15</xdr:col>
      <xdr:colOff>692150</xdr:colOff>
      <xdr:row>33</xdr:row>
      <xdr:rowOff>0</xdr:rowOff>
    </xdr:from>
    <xdr:to>
      <xdr:col>16</xdr:col>
      <xdr:colOff>952500</xdr:colOff>
      <xdr:row>38</xdr:row>
      <xdr:rowOff>38100</xdr:rowOff>
    </xdr:to>
    <xdr:pic>
      <xdr:nvPicPr>
        <xdr:cNvPr id="4" name="9 Imagen" descr=" 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83925" y="8220075"/>
          <a:ext cx="88900" cy="13620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4</xdr:col>
      <xdr:colOff>257175</xdr:colOff>
      <xdr:row>8</xdr:row>
      <xdr:rowOff>90487</xdr:rowOff>
    </xdr:from>
    <xdr:to>
      <xdr:col>6</xdr:col>
      <xdr:colOff>1017769</xdr:colOff>
      <xdr:row>10</xdr:row>
      <xdr:rowOff>43309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4657725" y="1957387"/>
          <a:ext cx="398644" cy="35287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51</xdr:col>
      <xdr:colOff>981791</xdr:colOff>
      <xdr:row>36</xdr:row>
      <xdr:rowOff>158155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33385125" y="8486775"/>
          <a:ext cx="143591" cy="69155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14</xdr:col>
      <xdr:colOff>952500</xdr:colOff>
      <xdr:row>30</xdr:row>
      <xdr:rowOff>114300</xdr:rowOff>
    </xdr:from>
    <xdr:to>
      <xdr:col>17</xdr:col>
      <xdr:colOff>829391</xdr:colOff>
      <xdr:row>33</xdr:row>
      <xdr:rowOff>5755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1001375" y="7543800"/>
          <a:ext cx="257891" cy="6820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25</xdr:col>
      <xdr:colOff>920750</xdr:colOff>
      <xdr:row>10</xdr:row>
      <xdr:rowOff>190500</xdr:rowOff>
    </xdr:from>
    <xdr:to>
      <xdr:col>27</xdr:col>
      <xdr:colOff>190500</xdr:colOff>
      <xdr:row>16</xdr:row>
      <xdr:rowOff>114300</xdr:rowOff>
    </xdr:to>
    <xdr:pic>
      <xdr:nvPicPr>
        <xdr:cNvPr id="8" name="9 Imagen" descr=" 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941175" y="2457450"/>
          <a:ext cx="174625" cy="13906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25</xdr:col>
      <xdr:colOff>0</xdr:colOff>
      <xdr:row>8</xdr:row>
      <xdr:rowOff>0</xdr:rowOff>
    </xdr:from>
    <xdr:to>
      <xdr:col>27</xdr:col>
      <xdr:colOff>981791</xdr:colOff>
      <xdr:row>11</xdr:row>
      <xdr:rowOff>5755</xdr:rowOff>
    </xdr:to>
    <xdr:sp macro="" textlink="">
      <xdr:nvSpPr>
        <xdr:cNvPr id="9" name="rect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11858625" y="1866900"/>
          <a:ext cx="257891" cy="6344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8</xdr:col>
      <xdr:colOff>333375</xdr:colOff>
      <xdr:row>3</xdr:row>
      <xdr:rowOff>111125</xdr:rowOff>
    </xdr:from>
    <xdr:to>
      <xdr:col>9</xdr:col>
      <xdr:colOff>1000125</xdr:colOff>
      <xdr:row>10</xdr:row>
      <xdr:rowOff>79375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5591175" y="939800"/>
          <a:ext cx="1781175" cy="1406525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bg1"/>
              </a:solidFill>
            </a:rPr>
            <a:t>Mix</a:t>
          </a:r>
          <a:r>
            <a:rPr lang="es-MX" sz="1400" b="1" baseline="0">
              <a:solidFill>
                <a:schemeClr val="bg1"/>
              </a:solidFill>
            </a:rPr>
            <a:t> de toda la isla a DB por BIG DAY, regresando mix original en cuánto pase el evento.</a:t>
          </a:r>
          <a:endParaRPr lang="es-MX" sz="14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/>
  <dimension ref="A1:GO58"/>
  <sheetViews>
    <sheetView tabSelected="1" topLeftCell="E1" zoomScale="25" zoomScaleNormal="25" workbookViewId="0">
      <selection activeCell="E1" sqref="A1:XFD1048576"/>
    </sheetView>
  </sheetViews>
  <sheetFormatPr baseColWidth="10" defaultColWidth="16.7109375" defaultRowHeight="15"/>
  <cols>
    <col min="1" max="4" width="16.7109375" style="1093"/>
    <col min="5" max="8" width="3" style="1093" customWidth="1"/>
    <col min="9" max="13" width="16.7109375" style="1093"/>
    <col min="14" max="28" width="1.28515625" style="1093" customWidth="1"/>
    <col min="29" max="47" width="16.7109375" style="1093"/>
    <col min="48" max="53" width="0.7109375" style="1093" customWidth="1"/>
    <col min="54" max="16384" width="16.7109375" style="1093"/>
  </cols>
  <sheetData>
    <row r="1" spans="1:197" ht="34.5" thickBot="1">
      <c r="A1" s="1088" t="s">
        <v>119</v>
      </c>
      <c r="B1" s="1089"/>
      <c r="C1" s="1089"/>
      <c r="D1" s="1089"/>
      <c r="E1" s="1089"/>
      <c r="F1" s="1089"/>
      <c r="G1" s="1089"/>
      <c r="H1" s="1089"/>
      <c r="I1" s="1089"/>
      <c r="J1" s="1089"/>
      <c r="K1" s="1089"/>
      <c r="L1" s="1089"/>
      <c r="M1" s="1089"/>
      <c r="N1" s="1089"/>
      <c r="O1" s="1089"/>
      <c r="P1" s="1089"/>
      <c r="Q1" s="1089"/>
      <c r="R1" s="1089"/>
      <c r="S1" s="1089"/>
      <c r="T1" s="1089"/>
      <c r="U1" s="1089"/>
      <c r="V1" s="1089"/>
      <c r="W1" s="1089"/>
      <c r="X1" s="1089"/>
      <c r="Y1" s="1089"/>
      <c r="Z1" s="1089"/>
      <c r="AA1" s="1089"/>
      <c r="AB1" s="1089"/>
      <c r="AC1" s="1089"/>
      <c r="AD1" s="1089"/>
      <c r="AE1" s="1089"/>
      <c r="AF1" s="1089"/>
      <c r="AG1" s="1089"/>
      <c r="AH1" s="1089"/>
      <c r="AI1" s="1089"/>
      <c r="AJ1" s="1089"/>
      <c r="AK1" s="1089"/>
      <c r="AL1" s="1089"/>
      <c r="AM1" s="1089"/>
      <c r="AN1" s="1089"/>
      <c r="AO1" s="1089"/>
      <c r="AP1" s="1089"/>
      <c r="AQ1" s="1089"/>
      <c r="AR1" s="1089"/>
      <c r="AS1" s="1089"/>
      <c r="AT1" s="1089"/>
      <c r="AU1" s="1089"/>
      <c r="AV1" s="1089"/>
      <c r="AW1" s="1089"/>
      <c r="AX1" s="1089"/>
      <c r="AY1" s="1089"/>
      <c r="AZ1" s="1089"/>
      <c r="BA1" s="1089"/>
      <c r="BB1" s="1089"/>
      <c r="BC1" s="1089"/>
      <c r="BD1" s="1089"/>
      <c r="BE1" s="1089"/>
      <c r="BF1" s="1089"/>
      <c r="BG1" s="1089"/>
      <c r="BH1" s="1089"/>
      <c r="BI1" s="1089"/>
      <c r="BJ1" s="1089"/>
      <c r="BK1" s="1090"/>
      <c r="BL1" s="1091"/>
      <c r="BM1" s="1091"/>
      <c r="BN1" s="1091"/>
      <c r="BO1" s="1092"/>
      <c r="BP1" s="1092"/>
      <c r="BQ1" s="1092"/>
      <c r="BR1" s="1092"/>
      <c r="BS1" s="1092"/>
      <c r="BT1" s="1092"/>
      <c r="BU1" s="1092"/>
      <c r="BV1" s="1092"/>
      <c r="BW1" s="1092"/>
      <c r="BX1" s="1092"/>
      <c r="BY1" s="1092"/>
      <c r="BZ1" s="1092"/>
      <c r="CA1" s="1092"/>
      <c r="CB1" s="1092"/>
      <c r="CC1" s="1092"/>
      <c r="CD1" s="1092"/>
      <c r="CE1" s="1092"/>
      <c r="CF1" s="1092"/>
      <c r="CG1" s="1092"/>
      <c r="CH1" s="1092"/>
      <c r="CI1" s="1092"/>
      <c r="CJ1" s="1092"/>
      <c r="CK1" s="1092"/>
      <c r="CL1" s="1092"/>
      <c r="CM1" s="1092"/>
      <c r="CN1" s="1092"/>
      <c r="CO1" s="1092"/>
      <c r="CP1" s="1092"/>
      <c r="CQ1" s="1092"/>
      <c r="CR1" s="1092"/>
      <c r="CS1" s="1092"/>
      <c r="CT1" s="1092"/>
      <c r="CU1" s="1092"/>
      <c r="CV1" s="1092"/>
      <c r="CW1" s="1092"/>
      <c r="CX1" s="1092"/>
      <c r="CY1" s="1092"/>
      <c r="CZ1" s="1092"/>
      <c r="DA1" s="1092"/>
      <c r="DB1" s="1092"/>
      <c r="DC1" s="1092"/>
      <c r="DD1" s="1092"/>
      <c r="DE1" s="1092"/>
      <c r="DF1" s="1092"/>
      <c r="DG1" s="1092"/>
      <c r="DH1" s="1092"/>
      <c r="DI1" s="1092"/>
      <c r="DJ1" s="1092"/>
      <c r="DK1" s="1092"/>
      <c r="DL1" s="1092"/>
      <c r="DM1" s="1092"/>
      <c r="DN1" s="1092"/>
      <c r="DO1" s="1092"/>
      <c r="DP1" s="1092"/>
      <c r="DQ1" s="1092"/>
      <c r="DR1" s="1092"/>
      <c r="DS1" s="1092"/>
      <c r="DT1" s="1092"/>
      <c r="DU1" s="1092"/>
      <c r="DV1" s="1092"/>
      <c r="DW1" s="1092"/>
      <c r="DX1" s="1092"/>
      <c r="DY1" s="1092"/>
      <c r="DZ1" s="1092"/>
      <c r="EA1" s="1092"/>
      <c r="EB1" s="1092"/>
      <c r="EC1" s="1092"/>
      <c r="ED1" s="1092"/>
      <c r="EE1" s="1092"/>
      <c r="EF1" s="1092"/>
      <c r="EG1" s="1092"/>
      <c r="EH1" s="1092"/>
      <c r="EI1" s="1092"/>
      <c r="EJ1" s="1092"/>
      <c r="EK1" s="1092"/>
      <c r="EL1" s="1092"/>
      <c r="EM1" s="1092"/>
      <c r="EN1" s="1092"/>
      <c r="EO1" s="1092"/>
      <c r="EP1" s="1092"/>
      <c r="EQ1" s="1092"/>
      <c r="ER1" s="1092"/>
      <c r="ES1" s="1092"/>
      <c r="ET1" s="1092"/>
      <c r="EU1" s="1092"/>
      <c r="EV1" s="1092"/>
      <c r="EW1" s="1092"/>
      <c r="EX1" s="1092"/>
      <c r="EY1" s="1092"/>
      <c r="EZ1" s="1092"/>
      <c r="FA1" s="1092"/>
      <c r="FB1" s="1092"/>
      <c r="FC1" s="1092"/>
      <c r="FD1" s="1092"/>
      <c r="FE1" s="1092"/>
      <c r="FF1" s="1092"/>
      <c r="FG1" s="1092"/>
      <c r="FH1" s="1092"/>
      <c r="FI1" s="1092"/>
      <c r="FJ1" s="1092"/>
      <c r="FK1" s="1092"/>
      <c r="FL1" s="1092"/>
      <c r="FM1" s="1092"/>
      <c r="FN1" s="1092"/>
      <c r="FO1" s="1092"/>
      <c r="FP1" s="1092"/>
      <c r="FQ1" s="1092"/>
      <c r="FR1" s="1092"/>
      <c r="FS1" s="1092"/>
      <c r="FT1" s="1092"/>
      <c r="FU1" s="1092"/>
      <c r="FV1" s="1092"/>
      <c r="FW1" s="1092"/>
      <c r="FX1" s="1092"/>
      <c r="FY1" s="1092"/>
      <c r="FZ1" s="1092"/>
      <c r="GA1" s="1092"/>
      <c r="GB1" s="1092"/>
      <c r="GC1" s="1092"/>
      <c r="GD1" s="1092"/>
      <c r="GE1" s="1092"/>
      <c r="GF1" s="1092"/>
      <c r="GG1" s="1092"/>
      <c r="GH1" s="1092"/>
      <c r="GI1" s="1092"/>
      <c r="GJ1" s="1092"/>
      <c r="GK1" s="1092"/>
      <c r="GL1" s="1092"/>
      <c r="GM1" s="1092"/>
      <c r="GN1" s="1092"/>
      <c r="GO1" s="1092"/>
    </row>
    <row r="2" spans="1:197" ht="15.75" thickBot="1">
      <c r="A2" s="1094"/>
      <c r="B2" s="1094"/>
      <c r="C2" s="1094"/>
      <c r="D2" s="1094"/>
      <c r="E2" s="1094"/>
      <c r="F2" s="1094"/>
      <c r="G2" s="1094"/>
      <c r="H2" s="1094"/>
      <c r="I2" s="1094"/>
      <c r="J2" s="1094"/>
      <c r="K2" s="1094"/>
      <c r="L2" s="1094"/>
      <c r="M2" s="1094"/>
      <c r="N2" s="1095"/>
      <c r="O2" s="1095"/>
      <c r="P2" s="1095"/>
      <c r="Q2" s="1095"/>
      <c r="R2" s="1095"/>
      <c r="S2" s="1095"/>
      <c r="T2" s="1096"/>
      <c r="U2" s="1096"/>
      <c r="V2" s="1097"/>
      <c r="W2" s="1097"/>
      <c r="X2" s="1097"/>
      <c r="Y2" s="1097"/>
      <c r="Z2" s="1097"/>
      <c r="AA2" s="1097"/>
      <c r="AB2" s="1096"/>
      <c r="AC2" s="1097"/>
      <c r="AD2" s="1097"/>
      <c r="AE2" s="1094"/>
      <c r="AF2" s="1094"/>
      <c r="AG2" s="1094"/>
      <c r="AH2" s="1094"/>
      <c r="AI2" s="1094"/>
      <c r="AJ2" s="1094"/>
      <c r="AK2" s="1094"/>
      <c r="AL2" s="1094"/>
      <c r="AM2" s="1094"/>
      <c r="AN2" s="1094"/>
      <c r="AO2" s="1094"/>
      <c r="AP2" s="1094"/>
      <c r="AQ2" s="1094"/>
      <c r="AR2" s="1094"/>
      <c r="AS2" s="1094"/>
      <c r="AT2" s="1094"/>
      <c r="AU2" s="1094"/>
      <c r="AV2" s="1094"/>
      <c r="AW2" s="1094"/>
      <c r="AX2" s="1094"/>
      <c r="AY2" s="1094"/>
      <c r="AZ2" s="1094"/>
      <c r="BA2" s="1094"/>
      <c r="BB2" s="1094"/>
      <c r="BC2" s="1094"/>
      <c r="BD2" s="1094"/>
      <c r="BE2" s="1094"/>
      <c r="BF2" s="1094"/>
      <c r="BG2" s="1094"/>
      <c r="BH2" s="1094"/>
      <c r="BI2" s="1094"/>
      <c r="BJ2" s="1094"/>
      <c r="BK2" s="1094"/>
      <c r="BL2" s="1092"/>
      <c r="BM2" s="1092"/>
      <c r="BN2" s="1092"/>
      <c r="BO2" s="1092"/>
      <c r="BP2" s="1092"/>
      <c r="BQ2" s="1092"/>
      <c r="BR2" s="1092"/>
      <c r="BS2" s="1092"/>
      <c r="BT2" s="1092"/>
      <c r="BU2" s="1092"/>
      <c r="BV2" s="1092"/>
      <c r="BW2" s="1092"/>
      <c r="BX2" s="1092"/>
      <c r="BY2" s="1092"/>
      <c r="BZ2" s="1092"/>
      <c r="CA2" s="1092"/>
      <c r="CB2" s="1092"/>
      <c r="CC2" s="1092"/>
      <c r="CD2" s="1092"/>
      <c r="CE2" s="1092"/>
      <c r="CF2" s="1092"/>
      <c r="CG2" s="1092"/>
      <c r="CH2" s="1092"/>
      <c r="CI2" s="1092"/>
      <c r="CJ2" s="1092"/>
      <c r="CK2" s="1092"/>
      <c r="CL2" s="1092"/>
      <c r="CM2" s="1092"/>
      <c r="CN2" s="1092"/>
      <c r="CO2" s="1092"/>
      <c r="CP2" s="1092"/>
      <c r="CQ2" s="1092"/>
      <c r="CR2" s="1092"/>
      <c r="CS2" s="1092"/>
      <c r="CT2" s="1092"/>
      <c r="CU2" s="1092"/>
      <c r="CV2" s="1092"/>
      <c r="CW2" s="1092"/>
      <c r="CX2" s="1092"/>
      <c r="CY2" s="1092"/>
      <c r="CZ2" s="1092"/>
      <c r="DA2" s="1092"/>
      <c r="DB2" s="1092"/>
      <c r="DC2" s="1092"/>
      <c r="DD2" s="1092"/>
      <c r="DE2" s="1092"/>
      <c r="DF2" s="1092"/>
      <c r="DG2" s="1092"/>
      <c r="DH2" s="1092"/>
      <c r="DI2" s="1092"/>
      <c r="DJ2" s="1092"/>
      <c r="DK2" s="1092"/>
      <c r="DL2" s="1092"/>
      <c r="DM2" s="1092"/>
      <c r="DN2" s="1092"/>
      <c r="DO2" s="1092"/>
      <c r="DP2" s="1092"/>
      <c r="DQ2" s="1092"/>
      <c r="DR2" s="1092"/>
      <c r="DS2" s="1092"/>
      <c r="DT2" s="1092"/>
      <c r="DU2" s="1092"/>
      <c r="DV2" s="1092"/>
      <c r="DW2" s="1092"/>
      <c r="DX2" s="1092"/>
      <c r="DY2" s="1092"/>
      <c r="DZ2" s="1092"/>
      <c r="EA2" s="1092"/>
      <c r="EB2" s="1092"/>
      <c r="EC2" s="1092"/>
      <c r="ED2" s="1092"/>
      <c r="EE2" s="1092"/>
      <c r="EF2" s="1092"/>
      <c r="EG2" s="1092"/>
      <c r="EH2" s="1092"/>
      <c r="EI2" s="1092"/>
      <c r="EJ2" s="1092"/>
      <c r="EK2" s="1092"/>
      <c r="EL2" s="1092"/>
      <c r="EM2" s="1092"/>
      <c r="EN2" s="1092"/>
      <c r="EO2" s="1092"/>
      <c r="EP2" s="1092"/>
      <c r="EQ2" s="1092"/>
      <c r="ER2" s="1092"/>
      <c r="ES2" s="1092"/>
      <c r="ET2" s="1092"/>
      <c r="EU2" s="1092"/>
      <c r="EV2" s="1092"/>
      <c r="EW2" s="1092"/>
      <c r="EX2" s="1092"/>
      <c r="EY2" s="1092"/>
      <c r="EZ2" s="1092"/>
      <c r="FA2" s="1092"/>
      <c r="FB2" s="1092"/>
      <c r="FC2" s="1092"/>
      <c r="FD2" s="1092"/>
      <c r="FE2" s="1092"/>
      <c r="FF2" s="1092"/>
      <c r="FG2" s="1092"/>
      <c r="FH2" s="1092"/>
      <c r="FI2" s="1092"/>
      <c r="FJ2" s="1092"/>
      <c r="FK2" s="1092"/>
      <c r="FL2" s="1092"/>
      <c r="FM2" s="1092"/>
      <c r="FN2" s="1092"/>
      <c r="FO2" s="1092"/>
      <c r="FP2" s="1092"/>
      <c r="FQ2" s="1092"/>
      <c r="FR2" s="1092"/>
      <c r="FS2" s="1092"/>
      <c r="FT2" s="1092"/>
      <c r="FU2" s="1092"/>
      <c r="FV2" s="1092"/>
      <c r="FW2" s="1092"/>
      <c r="FX2" s="1092"/>
      <c r="FY2" s="1092"/>
      <c r="FZ2" s="1092"/>
      <c r="GA2" s="1092"/>
      <c r="GB2" s="1092"/>
      <c r="GC2" s="1092"/>
      <c r="GD2" s="1092"/>
      <c r="GE2" s="1092"/>
      <c r="GF2" s="1092"/>
      <c r="GG2" s="1092"/>
      <c r="GH2" s="1092"/>
      <c r="GI2" s="1092"/>
      <c r="GJ2" s="1092"/>
      <c r="GK2" s="1092"/>
      <c r="GL2" s="1092"/>
      <c r="GM2" s="1092"/>
      <c r="GN2" s="1092"/>
      <c r="GO2" s="1092"/>
    </row>
    <row r="3" spans="1:197" ht="15" customHeight="1">
      <c r="A3" s="1098" t="s">
        <v>120</v>
      </c>
      <c r="B3" s="1099"/>
      <c r="C3" s="1099"/>
      <c r="D3" s="1099"/>
      <c r="E3" s="1099"/>
      <c r="F3" s="1100"/>
      <c r="G3" s="1100"/>
      <c r="H3" s="1100"/>
      <c r="I3" s="1100"/>
      <c r="J3" s="1100"/>
      <c r="K3" s="1100"/>
      <c r="L3" s="1100"/>
      <c r="M3" s="1100"/>
      <c r="N3" s="1101"/>
      <c r="O3" s="1102"/>
      <c r="P3" s="1102"/>
      <c r="Q3" s="1102"/>
      <c r="R3" s="1102"/>
      <c r="S3" s="1102"/>
      <c r="T3" s="1103"/>
      <c r="U3" s="1103"/>
      <c r="V3" s="1103"/>
      <c r="W3" s="1103"/>
      <c r="X3" s="1104"/>
      <c r="Y3" s="1104"/>
      <c r="Z3" s="1104"/>
      <c r="AA3" s="1102"/>
      <c r="AB3" s="1102"/>
      <c r="AC3" s="1102"/>
      <c r="AD3" s="1105"/>
      <c r="AE3" s="1106"/>
      <c r="AF3" s="1107"/>
      <c r="AG3" s="1108"/>
      <c r="AH3" s="1108"/>
      <c r="AI3" s="1108"/>
      <c r="AJ3" s="1108"/>
      <c r="AK3" s="1108"/>
      <c r="AL3" s="1108"/>
      <c r="AM3" s="1108"/>
      <c r="AN3" s="1108"/>
      <c r="AO3" s="1108"/>
      <c r="AP3" s="1108"/>
      <c r="AQ3" s="1108"/>
      <c r="AR3" s="1108"/>
      <c r="AS3" s="1108"/>
      <c r="AT3" s="1108"/>
      <c r="AU3" s="1108"/>
      <c r="AV3" s="1108"/>
      <c r="AW3" s="1108"/>
      <c r="AX3" s="1108"/>
      <c r="AY3" s="1108"/>
      <c r="AZ3" s="1108"/>
      <c r="BA3" s="1108"/>
      <c r="BB3" s="1108"/>
      <c r="BC3" s="1108"/>
      <c r="BD3" s="1108"/>
      <c r="BE3" s="1108"/>
      <c r="BF3" s="1108"/>
      <c r="BG3" s="1108"/>
      <c r="BH3" s="1108"/>
      <c r="BI3" s="1108"/>
      <c r="BJ3" s="1108"/>
      <c r="BK3" s="1109"/>
      <c r="BL3" s="1092"/>
      <c r="BM3" s="1092"/>
      <c r="BN3" s="1092"/>
      <c r="BO3" s="1092"/>
      <c r="BP3" s="1092"/>
      <c r="BQ3" s="1092"/>
      <c r="BR3" s="1092"/>
      <c r="BS3" s="1092"/>
      <c r="BT3" s="1092"/>
      <c r="BU3" s="1092"/>
      <c r="BV3" s="1092"/>
      <c r="BW3" s="1092"/>
      <c r="BX3" s="1092"/>
      <c r="BY3" s="1092"/>
      <c r="BZ3" s="1092"/>
      <c r="CA3" s="1092"/>
      <c r="CB3" s="1092"/>
      <c r="CC3" s="1092"/>
      <c r="CD3" s="1092"/>
      <c r="CE3" s="1092"/>
      <c r="CF3" s="1092"/>
      <c r="CG3" s="1092"/>
      <c r="CH3" s="1092"/>
      <c r="CI3" s="1092"/>
      <c r="CJ3" s="1092"/>
      <c r="CK3" s="1092"/>
      <c r="CL3" s="1092"/>
      <c r="CM3" s="1092"/>
      <c r="CN3" s="1092"/>
      <c r="CO3" s="1092"/>
      <c r="CP3" s="1092"/>
      <c r="CQ3" s="1092"/>
      <c r="CR3" s="1092"/>
      <c r="CS3" s="1092"/>
      <c r="CT3" s="1092"/>
      <c r="CU3" s="1092"/>
      <c r="CV3" s="1092"/>
      <c r="CW3" s="1092"/>
      <c r="CX3" s="1092"/>
      <c r="CY3" s="1092"/>
      <c r="CZ3" s="1092"/>
      <c r="DA3" s="1092"/>
      <c r="DB3" s="1092"/>
      <c r="DC3" s="1092"/>
      <c r="DD3" s="1092"/>
      <c r="DE3" s="1092"/>
      <c r="DF3" s="1092"/>
      <c r="DG3" s="1092"/>
      <c r="DH3" s="1092"/>
      <c r="DI3" s="1092"/>
      <c r="DJ3" s="1092"/>
      <c r="DK3" s="1092"/>
      <c r="DL3" s="1092"/>
      <c r="DM3" s="1092"/>
      <c r="DN3" s="1092"/>
      <c r="DO3" s="1092"/>
      <c r="DP3" s="1092"/>
      <c r="DQ3" s="1092"/>
      <c r="DR3" s="1092"/>
      <c r="DS3" s="1092"/>
      <c r="DT3" s="1092"/>
      <c r="DU3" s="1092"/>
      <c r="DV3" s="1092"/>
      <c r="DW3" s="1092"/>
      <c r="DX3" s="1092"/>
      <c r="DY3" s="1092"/>
      <c r="DZ3" s="1092"/>
      <c r="EA3" s="1092"/>
      <c r="EB3" s="1092"/>
      <c r="EC3" s="1092"/>
      <c r="ED3" s="1092"/>
      <c r="EE3" s="1092"/>
      <c r="EF3" s="1092"/>
      <c r="EG3" s="1092"/>
      <c r="EH3" s="1092"/>
      <c r="EI3" s="1092"/>
      <c r="EJ3" s="1092"/>
      <c r="EK3" s="1092"/>
      <c r="EL3" s="1092"/>
      <c r="EM3" s="1092"/>
      <c r="EN3" s="1092"/>
      <c r="EO3" s="1092"/>
      <c r="EP3" s="1092"/>
      <c r="EQ3" s="1092"/>
      <c r="ER3" s="1092"/>
      <c r="ES3" s="1092"/>
      <c r="ET3" s="1092"/>
      <c r="EU3" s="1092"/>
      <c r="EV3" s="1092"/>
      <c r="EW3" s="1092"/>
      <c r="EX3" s="1092"/>
      <c r="EY3" s="1092"/>
      <c r="EZ3" s="1092"/>
      <c r="FA3" s="1092"/>
      <c r="FB3" s="1092"/>
      <c r="FC3" s="1092"/>
      <c r="FD3" s="1092"/>
      <c r="FE3" s="1092"/>
      <c r="FF3" s="1092"/>
      <c r="FG3" s="1092"/>
      <c r="FH3" s="1092"/>
      <c r="FI3" s="1092"/>
      <c r="FJ3" s="1092"/>
      <c r="FK3" s="1092"/>
      <c r="FL3" s="1092"/>
      <c r="FM3" s="1092"/>
      <c r="FN3" s="1092"/>
      <c r="FO3" s="1092"/>
      <c r="FP3" s="1092"/>
      <c r="FQ3" s="1092"/>
      <c r="FR3" s="1092"/>
      <c r="FS3" s="1092"/>
      <c r="FT3" s="1092"/>
      <c r="FU3" s="1092"/>
      <c r="FV3" s="1092"/>
      <c r="FW3" s="1092"/>
      <c r="FX3" s="1092"/>
      <c r="FY3" s="1092"/>
      <c r="FZ3" s="1092"/>
      <c r="GA3" s="1092"/>
      <c r="GB3" s="1092"/>
      <c r="GC3" s="1092"/>
      <c r="GD3" s="1092"/>
      <c r="GE3" s="1092"/>
      <c r="GF3" s="1092"/>
      <c r="GG3" s="1092"/>
      <c r="GH3" s="1092"/>
      <c r="GI3" s="1092"/>
      <c r="GJ3" s="1092"/>
      <c r="GK3" s="1092"/>
      <c r="GL3" s="1092"/>
      <c r="GM3" s="1092"/>
      <c r="GN3" s="1092"/>
      <c r="GO3" s="1092"/>
    </row>
    <row r="4" spans="1:197" ht="19.5" thickBot="1">
      <c r="A4" s="1110"/>
      <c r="B4" s="1094"/>
      <c r="C4" s="1092"/>
      <c r="D4" s="1091"/>
      <c r="E4" s="1091"/>
      <c r="F4" s="1091"/>
      <c r="G4" s="1091"/>
      <c r="H4" s="1091"/>
      <c r="I4" s="1091"/>
      <c r="J4" s="1091"/>
      <c r="K4" s="1091"/>
      <c r="L4" s="1091"/>
      <c r="M4" s="1094"/>
      <c r="N4" s="1111"/>
      <c r="O4" s="1112"/>
      <c r="P4" s="1112"/>
      <c r="Q4" s="1112"/>
      <c r="R4" s="1112"/>
      <c r="S4" s="1112"/>
      <c r="T4" s="1113"/>
      <c r="U4" s="1114"/>
      <c r="V4" s="1114"/>
      <c r="W4" s="1113"/>
      <c r="X4" s="1112"/>
      <c r="Y4" s="1092"/>
      <c r="Z4" s="1092"/>
      <c r="AA4" s="1112"/>
      <c r="AB4" s="1112"/>
      <c r="AC4" s="1115"/>
      <c r="AD4" s="1116"/>
      <c r="AE4" s="1106"/>
      <c r="AF4" s="1117"/>
      <c r="AG4" s="1118"/>
      <c r="AH4" s="1118"/>
      <c r="AI4" s="1118"/>
      <c r="AJ4" s="1118"/>
      <c r="AK4" s="1118"/>
      <c r="AL4" s="1118"/>
      <c r="AM4" s="1118"/>
      <c r="AN4" s="1118"/>
      <c r="AO4" s="1118"/>
      <c r="AP4" s="1118"/>
      <c r="AQ4" s="1118"/>
      <c r="AR4" s="1118"/>
      <c r="AS4" s="1118"/>
      <c r="AT4" s="1118"/>
      <c r="AU4" s="1118"/>
      <c r="AV4" s="1118"/>
      <c r="AW4" s="1118"/>
      <c r="AX4" s="1118"/>
      <c r="AY4" s="1118"/>
      <c r="AZ4" s="1118"/>
      <c r="BA4" s="1118"/>
      <c r="BB4" s="1118"/>
      <c r="BC4" s="1118"/>
      <c r="BD4" s="1118"/>
      <c r="BE4" s="1118"/>
      <c r="BF4" s="1118"/>
      <c r="BG4" s="1118"/>
      <c r="BH4" s="1118"/>
      <c r="BI4" s="1092"/>
      <c r="BJ4" s="1094"/>
      <c r="BK4" s="1119"/>
      <c r="BL4" s="1092"/>
      <c r="BM4" s="1092"/>
      <c r="BN4" s="1092"/>
      <c r="BO4" s="1092"/>
      <c r="BP4" s="1092"/>
      <c r="BQ4" s="1092"/>
      <c r="BR4" s="1092"/>
      <c r="BS4" s="1092"/>
      <c r="BT4" s="1092"/>
      <c r="BU4" s="1092"/>
      <c r="BV4" s="1092"/>
      <c r="BW4" s="1092"/>
      <c r="BX4" s="1092"/>
      <c r="BY4" s="1092"/>
      <c r="BZ4" s="1092"/>
      <c r="CA4" s="1092"/>
      <c r="CB4" s="1092"/>
      <c r="CC4" s="1092"/>
      <c r="CD4" s="1092"/>
      <c r="CE4" s="1092"/>
      <c r="CF4" s="1092"/>
      <c r="CG4" s="1092"/>
      <c r="CH4" s="1092"/>
      <c r="CI4" s="1092"/>
      <c r="CJ4" s="1092"/>
      <c r="CK4" s="1092"/>
      <c r="CL4" s="1092"/>
      <c r="CM4" s="1092"/>
      <c r="CN4" s="1092"/>
      <c r="CO4" s="1092"/>
      <c r="CP4" s="1092"/>
      <c r="CQ4" s="1092"/>
      <c r="CR4" s="1092"/>
      <c r="CS4" s="1092"/>
      <c r="CT4" s="1092"/>
      <c r="CU4" s="1092"/>
      <c r="CV4" s="1092"/>
      <c r="CW4" s="1092"/>
      <c r="CX4" s="1092"/>
      <c r="CY4" s="1092"/>
      <c r="CZ4" s="1092"/>
      <c r="DA4" s="1092"/>
      <c r="DB4" s="1092"/>
      <c r="DC4" s="1092"/>
      <c r="DD4" s="1092"/>
      <c r="DE4" s="1092"/>
      <c r="DF4" s="1092"/>
      <c r="DG4" s="1092"/>
      <c r="DH4" s="1092"/>
      <c r="DI4" s="1092"/>
      <c r="DJ4" s="1092"/>
      <c r="DK4" s="1092"/>
      <c r="DL4" s="1092"/>
      <c r="DM4" s="1092"/>
      <c r="DN4" s="1092"/>
      <c r="DO4" s="1092"/>
      <c r="DP4" s="1092"/>
      <c r="DQ4" s="1092"/>
      <c r="DR4" s="1092"/>
      <c r="DS4" s="1092"/>
      <c r="DT4" s="1092"/>
      <c r="DU4" s="1092"/>
      <c r="DV4" s="1092"/>
      <c r="DW4" s="1092"/>
      <c r="DX4" s="1092"/>
      <c r="DY4" s="1092"/>
      <c r="DZ4" s="1092"/>
      <c r="EA4" s="1092"/>
      <c r="EB4" s="1092"/>
      <c r="EC4" s="1092"/>
      <c r="ED4" s="1092"/>
      <c r="EE4" s="1092"/>
      <c r="EF4" s="1092"/>
      <c r="EG4" s="1092"/>
      <c r="EH4" s="1092"/>
      <c r="EI4" s="1092"/>
      <c r="EJ4" s="1092"/>
      <c r="EK4" s="1092"/>
      <c r="EL4" s="1092"/>
      <c r="EM4" s="1092"/>
      <c r="EN4" s="1092"/>
      <c r="EO4" s="1092"/>
      <c r="EP4" s="1092"/>
      <c r="EQ4" s="1092"/>
      <c r="ER4" s="1092"/>
      <c r="ES4" s="1092"/>
      <c r="ET4" s="1092"/>
      <c r="EU4" s="1092"/>
      <c r="EV4" s="1092"/>
      <c r="EW4" s="1092"/>
      <c r="EX4" s="1092"/>
      <c r="EY4" s="1092"/>
      <c r="EZ4" s="1092"/>
      <c r="FA4" s="1092"/>
      <c r="FB4" s="1092"/>
      <c r="FC4" s="1092"/>
      <c r="FD4" s="1092"/>
      <c r="FE4" s="1092"/>
      <c r="FF4" s="1092"/>
      <c r="FG4" s="1092"/>
      <c r="FH4" s="1092"/>
      <c r="FI4" s="1092"/>
      <c r="FJ4" s="1092"/>
      <c r="FK4" s="1092"/>
      <c r="FL4" s="1092"/>
      <c r="FM4" s="1092"/>
      <c r="FN4" s="1092"/>
      <c r="FO4" s="1092"/>
      <c r="FP4" s="1092"/>
      <c r="FQ4" s="1092"/>
      <c r="FR4" s="1092"/>
      <c r="FS4" s="1092"/>
      <c r="FT4" s="1092"/>
      <c r="FU4" s="1092"/>
      <c r="FV4" s="1092"/>
      <c r="FW4" s="1092"/>
      <c r="FX4" s="1092"/>
      <c r="FY4" s="1092"/>
      <c r="FZ4" s="1092"/>
      <c r="GA4" s="1092"/>
      <c r="GB4" s="1092"/>
      <c r="GC4" s="1092"/>
      <c r="GD4" s="1092"/>
      <c r="GE4" s="1092"/>
      <c r="GF4" s="1092"/>
      <c r="GG4" s="1092"/>
      <c r="GH4" s="1092"/>
      <c r="GI4" s="1092"/>
      <c r="GJ4" s="1092"/>
      <c r="GK4" s="1092"/>
      <c r="GL4" s="1092"/>
      <c r="GM4" s="1092"/>
      <c r="GN4" s="1092"/>
      <c r="GO4" s="1092"/>
    </row>
    <row r="5" spans="1:197" ht="15.75">
      <c r="A5" s="1110"/>
      <c r="B5" s="1120"/>
      <c r="C5" s="1092"/>
      <c r="D5" s="1092"/>
      <c r="E5" s="1092"/>
      <c r="F5" s="1092"/>
      <c r="G5" s="1092"/>
      <c r="H5" s="1092"/>
      <c r="I5" s="1092"/>
      <c r="J5" s="1092"/>
      <c r="K5" s="1092"/>
      <c r="L5" s="1091"/>
      <c r="M5" s="1094"/>
      <c r="N5" s="1121"/>
      <c r="O5" s="1092"/>
      <c r="P5" s="1122" t="s">
        <v>125</v>
      </c>
      <c r="Q5" s="1123"/>
      <c r="R5" s="1124"/>
      <c r="S5" s="1125"/>
      <c r="T5" s="1114"/>
      <c r="U5" s="1126"/>
      <c r="V5" s="1126"/>
      <c r="W5" s="1114"/>
      <c r="X5" s="1127"/>
      <c r="Y5" s="1092"/>
      <c r="Z5" s="1092"/>
      <c r="AA5" s="1128"/>
      <c r="AB5" s="1128"/>
      <c r="AC5" s="1115"/>
      <c r="AD5" s="1116"/>
      <c r="AE5" s="1106"/>
      <c r="AF5" s="1117"/>
      <c r="AG5" s="1118"/>
      <c r="AH5" s="1118"/>
      <c r="AI5" s="1118"/>
      <c r="AJ5" s="1118"/>
      <c r="AK5" s="1118"/>
      <c r="AL5" s="1118"/>
      <c r="AM5" s="1118"/>
      <c r="AN5" s="1118"/>
      <c r="AO5" s="1118"/>
      <c r="AP5" s="1118"/>
      <c r="AQ5" s="1118"/>
      <c r="AR5" s="1118"/>
      <c r="AS5" s="1118"/>
      <c r="AT5" s="1118"/>
      <c r="AU5" s="1118"/>
      <c r="AV5" s="1118"/>
      <c r="AW5" s="1118"/>
      <c r="AX5" s="1118"/>
      <c r="AY5" s="1118"/>
      <c r="AZ5" s="1118"/>
      <c r="BA5" s="1118"/>
      <c r="BB5" s="1118"/>
      <c r="BC5" s="1118"/>
      <c r="BD5" s="1118"/>
      <c r="BE5" s="1118"/>
      <c r="BF5" s="1118"/>
      <c r="BG5" s="1118"/>
      <c r="BH5" s="1118"/>
      <c r="BI5" s="1092"/>
      <c r="BJ5" s="1094"/>
      <c r="BK5" s="1119"/>
      <c r="BL5" s="1092"/>
      <c r="BM5" s="1092"/>
      <c r="BN5" s="1092"/>
      <c r="BO5" s="1092"/>
      <c r="BP5" s="1092"/>
      <c r="BQ5" s="1092"/>
      <c r="BR5" s="1092"/>
      <c r="BS5" s="1092"/>
      <c r="BT5" s="1092"/>
      <c r="BU5" s="1092"/>
      <c r="BV5" s="1092"/>
      <c r="BW5" s="1092"/>
      <c r="BX5" s="1092"/>
      <c r="BY5" s="1092"/>
      <c r="BZ5" s="1092"/>
      <c r="CA5" s="1092"/>
      <c r="CB5" s="1092"/>
      <c r="CC5" s="1092"/>
      <c r="CD5" s="1092"/>
      <c r="CE5" s="1092"/>
      <c r="CF5" s="1092"/>
      <c r="CG5" s="1092"/>
      <c r="CH5" s="1092"/>
      <c r="CI5" s="1092"/>
      <c r="CJ5" s="1092"/>
      <c r="CK5" s="1092"/>
      <c r="CL5" s="1092"/>
      <c r="CM5" s="1092"/>
      <c r="CN5" s="1092"/>
      <c r="CO5" s="1092"/>
      <c r="CP5" s="1092"/>
      <c r="CQ5" s="1092"/>
      <c r="CR5" s="1092"/>
      <c r="CS5" s="1092"/>
      <c r="CT5" s="1092"/>
      <c r="CU5" s="1092"/>
      <c r="CV5" s="1092"/>
      <c r="CW5" s="1092"/>
      <c r="CX5" s="1092"/>
      <c r="CY5" s="1092"/>
      <c r="CZ5" s="1092"/>
      <c r="DA5" s="1092"/>
      <c r="DB5" s="1092"/>
      <c r="DC5" s="1092"/>
      <c r="DD5" s="1092"/>
      <c r="DE5" s="1092"/>
      <c r="DF5" s="1092"/>
      <c r="DG5" s="1092"/>
      <c r="DH5" s="1092"/>
      <c r="DI5" s="1092"/>
      <c r="DJ5" s="1092"/>
      <c r="DK5" s="1092"/>
      <c r="DL5" s="1092"/>
      <c r="DM5" s="1092"/>
      <c r="DN5" s="1092"/>
      <c r="DO5" s="1092"/>
      <c r="DP5" s="1092"/>
      <c r="DQ5" s="1092"/>
      <c r="DR5" s="1092"/>
      <c r="DS5" s="1092"/>
      <c r="DT5" s="1092"/>
      <c r="DU5" s="1092"/>
      <c r="DV5" s="1092"/>
      <c r="DW5" s="1092"/>
      <c r="DX5" s="1092"/>
      <c r="DY5" s="1092"/>
      <c r="DZ5" s="1092"/>
      <c r="EA5" s="1092"/>
      <c r="EB5" s="1092"/>
      <c r="EC5" s="1092"/>
      <c r="ED5" s="1092"/>
      <c r="EE5" s="1092"/>
      <c r="EF5" s="1092"/>
      <c r="EG5" s="1092"/>
      <c r="EH5" s="1092"/>
      <c r="EI5" s="1092"/>
      <c r="EJ5" s="1092"/>
      <c r="EK5" s="1092"/>
      <c r="EL5" s="1092"/>
      <c r="EM5" s="1092"/>
      <c r="EN5" s="1092"/>
      <c r="EO5" s="1092"/>
      <c r="EP5" s="1092"/>
      <c r="EQ5" s="1092"/>
      <c r="ER5" s="1092"/>
      <c r="ES5" s="1092"/>
      <c r="ET5" s="1092"/>
      <c r="EU5" s="1092"/>
      <c r="EV5" s="1092"/>
      <c r="EW5" s="1092"/>
      <c r="EX5" s="1092"/>
      <c r="EY5" s="1092"/>
      <c r="EZ5" s="1092"/>
      <c r="FA5" s="1092"/>
      <c r="FB5" s="1092"/>
      <c r="FC5" s="1092"/>
      <c r="FD5" s="1092"/>
      <c r="FE5" s="1092"/>
      <c r="FF5" s="1092"/>
      <c r="FG5" s="1092"/>
      <c r="FH5" s="1092"/>
      <c r="FI5" s="1092"/>
      <c r="FJ5" s="1092"/>
      <c r="FK5" s="1092"/>
      <c r="FL5" s="1092"/>
      <c r="FM5" s="1092"/>
      <c r="FN5" s="1092"/>
      <c r="FO5" s="1092"/>
      <c r="FP5" s="1092"/>
      <c r="FQ5" s="1092"/>
      <c r="FR5" s="1092"/>
      <c r="FS5" s="1092"/>
      <c r="FT5" s="1092"/>
      <c r="FU5" s="1092"/>
      <c r="FV5" s="1092"/>
      <c r="FW5" s="1092"/>
      <c r="FX5" s="1092"/>
      <c r="FY5" s="1092"/>
      <c r="FZ5" s="1092"/>
      <c r="GA5" s="1092"/>
      <c r="GB5" s="1092"/>
      <c r="GC5" s="1092"/>
      <c r="GD5" s="1092"/>
      <c r="GE5" s="1092"/>
      <c r="GF5" s="1092"/>
      <c r="GG5" s="1092"/>
      <c r="GH5" s="1092"/>
      <c r="GI5" s="1092"/>
      <c r="GJ5" s="1092"/>
      <c r="GK5" s="1092"/>
      <c r="GL5" s="1092"/>
      <c r="GM5" s="1092"/>
      <c r="GN5" s="1092"/>
      <c r="GO5" s="1092"/>
    </row>
    <row r="6" spans="1:197">
      <c r="A6" s="1110"/>
      <c r="B6" s="1094"/>
      <c r="C6" s="1092"/>
      <c r="D6" s="1092"/>
      <c r="E6" s="1092"/>
      <c r="F6" s="1092"/>
      <c r="G6" s="1092"/>
      <c r="H6" s="1092"/>
      <c r="J6" s="1092"/>
      <c r="K6" s="1092"/>
      <c r="L6" s="1094"/>
      <c r="M6" s="1094"/>
      <c r="N6" s="1121"/>
      <c r="O6" s="1092"/>
      <c r="P6" s="1129"/>
      <c r="Q6" s="1130"/>
      <c r="R6" s="1131"/>
      <c r="S6" s="1125"/>
      <c r="T6" s="1132"/>
      <c r="U6" s="1132"/>
      <c r="V6" s="1132"/>
      <c r="W6" s="1132"/>
      <c r="X6" s="1127"/>
      <c r="Y6" s="1092"/>
      <c r="Z6" s="1092"/>
      <c r="AA6" s="1112"/>
      <c r="AB6" s="1133"/>
      <c r="AC6" s="1115"/>
      <c r="AD6" s="1116"/>
      <c r="AE6" s="1106"/>
      <c r="AF6" s="1117"/>
      <c r="AG6" s="1118"/>
      <c r="AH6" s="1118"/>
      <c r="AI6" s="1118"/>
      <c r="AJ6" s="1118"/>
      <c r="AK6" s="1118"/>
      <c r="AL6" s="1118"/>
      <c r="AM6" s="1118"/>
      <c r="AN6" s="1118"/>
      <c r="AO6" s="1118"/>
      <c r="AP6" s="1118"/>
      <c r="AQ6" s="1118"/>
      <c r="AR6" s="1118"/>
      <c r="AS6" s="1118"/>
      <c r="AT6" s="1118"/>
      <c r="AU6" s="1118"/>
      <c r="AV6" s="1118"/>
      <c r="AW6" s="1118"/>
      <c r="AX6" s="1118"/>
      <c r="AY6" s="1118"/>
      <c r="AZ6" s="1118"/>
      <c r="BA6" s="1118"/>
      <c r="BB6" s="1118"/>
      <c r="BC6" s="1118"/>
      <c r="BD6" s="1118"/>
      <c r="BE6" s="1118"/>
      <c r="BF6" s="1118"/>
      <c r="BG6" s="1118"/>
      <c r="BH6" s="1118"/>
      <c r="BI6" s="1092"/>
      <c r="BJ6" s="1094"/>
      <c r="BK6" s="1119"/>
      <c r="BL6" s="1092"/>
      <c r="BM6" s="1092"/>
      <c r="BN6" s="1092"/>
      <c r="BO6" s="1092"/>
      <c r="BP6" s="1092"/>
      <c r="BQ6" s="1092"/>
      <c r="BR6" s="1092"/>
      <c r="BS6" s="1092"/>
      <c r="BT6" s="1092"/>
      <c r="BU6" s="1092"/>
      <c r="BV6" s="1092"/>
      <c r="BW6" s="1092"/>
      <c r="BX6" s="1092"/>
      <c r="BY6" s="1092"/>
      <c r="BZ6" s="1092"/>
      <c r="CA6" s="1092"/>
      <c r="CB6" s="1092"/>
      <c r="CC6" s="1092"/>
      <c r="CD6" s="1092"/>
      <c r="CE6" s="1092"/>
      <c r="CF6" s="1092"/>
      <c r="CG6" s="1092"/>
      <c r="CH6" s="1092"/>
      <c r="CI6" s="1092"/>
      <c r="CJ6" s="1092"/>
      <c r="CK6" s="1092"/>
      <c r="CL6" s="1092"/>
      <c r="CM6" s="1092"/>
      <c r="CN6" s="1092"/>
      <c r="CO6" s="1092"/>
      <c r="CP6" s="1092"/>
      <c r="CQ6" s="1092"/>
      <c r="CR6" s="1092"/>
      <c r="CS6" s="1092"/>
      <c r="CT6" s="1092"/>
      <c r="CU6" s="1092"/>
      <c r="CV6" s="1092"/>
      <c r="CW6" s="1092"/>
      <c r="CX6" s="1092"/>
      <c r="CY6" s="1092"/>
      <c r="CZ6" s="1092"/>
      <c r="DA6" s="1092"/>
      <c r="DB6" s="1092"/>
      <c r="DC6" s="1092"/>
      <c r="DD6" s="1092"/>
      <c r="DE6" s="1092"/>
      <c r="DF6" s="1092"/>
      <c r="DG6" s="1092"/>
      <c r="DH6" s="1092"/>
      <c r="DI6" s="1092"/>
      <c r="DJ6" s="1092"/>
      <c r="DK6" s="1092"/>
      <c r="DL6" s="1092"/>
      <c r="DM6" s="1092"/>
      <c r="DN6" s="1092"/>
      <c r="DO6" s="1092"/>
      <c r="DP6" s="1092"/>
      <c r="DQ6" s="1092"/>
      <c r="DR6" s="1092"/>
      <c r="DS6" s="1092"/>
      <c r="DT6" s="1092"/>
      <c r="DU6" s="1092"/>
      <c r="DV6" s="1092"/>
      <c r="DW6" s="1092"/>
      <c r="DX6" s="1092"/>
      <c r="DY6" s="1092"/>
      <c r="DZ6" s="1092"/>
      <c r="EA6" s="1092"/>
      <c r="EB6" s="1092"/>
      <c r="EC6" s="1092"/>
      <c r="ED6" s="1092"/>
      <c r="EE6" s="1092"/>
      <c r="EF6" s="1092"/>
      <c r="EG6" s="1092"/>
      <c r="EH6" s="1092"/>
      <c r="EI6" s="1092"/>
      <c r="EJ6" s="1092"/>
      <c r="EK6" s="1092"/>
      <c r="EL6" s="1092"/>
      <c r="EM6" s="1092"/>
      <c r="EN6" s="1092"/>
      <c r="EO6" s="1092"/>
      <c r="EP6" s="1092"/>
      <c r="EQ6" s="1092"/>
      <c r="ER6" s="1092"/>
      <c r="ES6" s="1092"/>
      <c r="ET6" s="1092"/>
      <c r="EU6" s="1092"/>
      <c r="EV6" s="1092"/>
      <c r="EW6" s="1092"/>
      <c r="EX6" s="1092"/>
      <c r="EY6" s="1092"/>
      <c r="EZ6" s="1092"/>
      <c r="FA6" s="1092"/>
      <c r="FB6" s="1092"/>
      <c r="FC6" s="1092"/>
      <c r="FD6" s="1092"/>
      <c r="FE6" s="1092"/>
      <c r="FF6" s="1092"/>
      <c r="FG6" s="1092"/>
      <c r="FH6" s="1092"/>
      <c r="FI6" s="1092"/>
      <c r="FJ6" s="1092"/>
      <c r="FK6" s="1092"/>
      <c r="FL6" s="1092"/>
      <c r="FM6" s="1092"/>
      <c r="FN6" s="1092"/>
      <c r="FO6" s="1092"/>
      <c r="FP6" s="1092"/>
      <c r="FQ6" s="1092"/>
      <c r="FR6" s="1092"/>
      <c r="FS6" s="1092"/>
      <c r="FT6" s="1092"/>
      <c r="FU6" s="1092"/>
      <c r="FV6" s="1092"/>
      <c r="FW6" s="1092"/>
      <c r="FX6" s="1092"/>
      <c r="FY6" s="1092"/>
      <c r="FZ6" s="1092"/>
      <c r="GA6" s="1092"/>
      <c r="GB6" s="1092"/>
      <c r="GC6" s="1092"/>
      <c r="GD6" s="1092"/>
      <c r="GE6" s="1092"/>
      <c r="GF6" s="1092"/>
      <c r="GG6" s="1092"/>
      <c r="GH6" s="1092"/>
      <c r="GI6" s="1092"/>
      <c r="GJ6" s="1092"/>
      <c r="GK6" s="1092"/>
      <c r="GL6" s="1092"/>
      <c r="GM6" s="1092"/>
      <c r="GN6" s="1092"/>
      <c r="GO6" s="1092"/>
    </row>
    <row r="7" spans="1:197" ht="16.5" thickBot="1">
      <c r="A7" s="1110"/>
      <c r="B7" s="1134"/>
      <c r="C7" s="1092"/>
      <c r="D7" s="1092"/>
      <c r="E7" s="1092"/>
      <c r="F7" s="1092"/>
      <c r="G7" s="1092"/>
      <c r="H7" s="1092"/>
      <c r="J7" s="1092"/>
      <c r="K7" s="1092"/>
      <c r="L7" s="1094"/>
      <c r="M7" s="1094"/>
      <c r="N7" s="1121"/>
      <c r="O7" s="1092"/>
      <c r="P7" s="1135"/>
      <c r="Q7" s="1136"/>
      <c r="R7" s="1137"/>
      <c r="S7" s="1125"/>
      <c r="T7" s="1114"/>
      <c r="U7" s="1126"/>
      <c r="V7" s="1126"/>
      <c r="W7" s="1114"/>
      <c r="X7" s="1127"/>
      <c r="Y7" s="1112"/>
      <c r="Z7" s="1112"/>
      <c r="AA7" s="1112"/>
      <c r="AB7" s="1112"/>
      <c r="AC7" s="1115"/>
      <c r="AD7" s="1116"/>
      <c r="AE7" s="1106"/>
      <c r="AF7" s="1117"/>
      <c r="AG7" s="1118"/>
      <c r="AH7" s="1118"/>
      <c r="AI7" s="1118"/>
      <c r="AJ7" s="1118"/>
      <c r="AK7" s="1118"/>
      <c r="AL7" s="1118"/>
      <c r="AM7" s="1118"/>
      <c r="AN7" s="1118"/>
      <c r="AO7" s="1118"/>
      <c r="AP7" s="1118"/>
      <c r="AQ7" s="1118"/>
      <c r="AR7" s="1118"/>
      <c r="AS7" s="1118"/>
      <c r="AT7" s="1118"/>
      <c r="AU7" s="1118"/>
      <c r="AV7" s="1118"/>
      <c r="AW7" s="1118"/>
      <c r="AX7" s="1118"/>
      <c r="AY7" s="1118"/>
      <c r="AZ7" s="1118"/>
      <c r="BA7" s="1118"/>
      <c r="BB7" s="1118"/>
      <c r="BC7" s="1118"/>
      <c r="BD7" s="1118"/>
      <c r="BE7" s="1118"/>
      <c r="BF7" s="1118"/>
      <c r="BG7" s="1118"/>
      <c r="BH7" s="1118"/>
      <c r="BI7" s="1092"/>
      <c r="BJ7" s="1094"/>
      <c r="BK7" s="1119"/>
      <c r="BL7" s="1092"/>
      <c r="BM7" s="1092"/>
      <c r="BN7" s="1092"/>
      <c r="BO7" s="1092"/>
      <c r="BP7" s="1092"/>
      <c r="BQ7" s="1092"/>
      <c r="BR7" s="1092"/>
      <c r="BS7" s="1092"/>
      <c r="BT7" s="1092"/>
      <c r="BU7" s="1092"/>
      <c r="BV7" s="1092"/>
      <c r="BW7" s="1092"/>
      <c r="BX7" s="1092"/>
      <c r="BY7" s="1092"/>
      <c r="BZ7" s="1092"/>
      <c r="CA7" s="1092"/>
      <c r="CB7" s="1092"/>
      <c r="CC7" s="1092"/>
      <c r="CD7" s="1092"/>
      <c r="CE7" s="1092"/>
      <c r="CF7" s="1092"/>
      <c r="CG7" s="1092"/>
      <c r="CH7" s="1092"/>
      <c r="CI7" s="1092"/>
      <c r="CJ7" s="1092"/>
      <c r="CK7" s="1092"/>
      <c r="CL7" s="1092"/>
      <c r="CM7" s="1092"/>
      <c r="CN7" s="1092"/>
      <c r="CO7" s="1092"/>
      <c r="CP7" s="1092"/>
      <c r="CQ7" s="1092"/>
      <c r="CR7" s="1092"/>
      <c r="CS7" s="1092"/>
      <c r="CT7" s="1092"/>
      <c r="CU7" s="1092"/>
      <c r="CV7" s="1092"/>
      <c r="CW7" s="1092"/>
      <c r="CX7" s="1092"/>
      <c r="CY7" s="1092"/>
      <c r="CZ7" s="1092"/>
      <c r="DA7" s="1092"/>
      <c r="DB7" s="1092"/>
      <c r="DC7" s="1092"/>
      <c r="DD7" s="1092"/>
      <c r="DE7" s="1092"/>
      <c r="DF7" s="1092"/>
      <c r="DG7" s="1092"/>
      <c r="DH7" s="1092"/>
      <c r="DI7" s="1092"/>
      <c r="DJ7" s="1092"/>
      <c r="DK7" s="1092"/>
      <c r="DL7" s="1092"/>
      <c r="DM7" s="1092"/>
      <c r="DN7" s="1092"/>
      <c r="DO7" s="1092"/>
      <c r="DP7" s="1092"/>
      <c r="DQ7" s="1092"/>
      <c r="DR7" s="1092"/>
      <c r="DS7" s="1092"/>
      <c r="DT7" s="1092"/>
      <c r="DU7" s="1092"/>
      <c r="DV7" s="1092"/>
      <c r="DW7" s="1092"/>
      <c r="DX7" s="1092"/>
      <c r="DY7" s="1092"/>
      <c r="DZ7" s="1092"/>
      <c r="EA7" s="1092"/>
      <c r="EB7" s="1092"/>
      <c r="EC7" s="1092"/>
      <c r="ED7" s="1092"/>
      <c r="EE7" s="1092"/>
      <c r="EF7" s="1092"/>
      <c r="EG7" s="1092"/>
      <c r="EH7" s="1092"/>
      <c r="EI7" s="1092"/>
      <c r="EJ7" s="1092"/>
      <c r="EK7" s="1092"/>
      <c r="EL7" s="1092"/>
      <c r="EM7" s="1092"/>
      <c r="EN7" s="1092"/>
      <c r="EO7" s="1092"/>
      <c r="EP7" s="1092"/>
      <c r="EQ7" s="1092"/>
      <c r="ER7" s="1092"/>
      <c r="ES7" s="1092"/>
      <c r="ET7" s="1092"/>
      <c r="EU7" s="1092"/>
      <c r="EV7" s="1092"/>
      <c r="EW7" s="1092"/>
      <c r="EX7" s="1092"/>
      <c r="EY7" s="1092"/>
      <c r="EZ7" s="1092"/>
      <c r="FA7" s="1092"/>
      <c r="FB7" s="1092"/>
      <c r="FC7" s="1092"/>
      <c r="FD7" s="1092"/>
      <c r="FE7" s="1092"/>
      <c r="FF7" s="1092"/>
      <c r="FG7" s="1092"/>
      <c r="FH7" s="1092"/>
      <c r="FI7" s="1092"/>
      <c r="FJ7" s="1092"/>
      <c r="FK7" s="1092"/>
      <c r="FL7" s="1092"/>
      <c r="FM7" s="1092"/>
      <c r="FN7" s="1092"/>
      <c r="FO7" s="1092"/>
      <c r="FP7" s="1092"/>
      <c r="FQ7" s="1092"/>
      <c r="FR7" s="1092"/>
      <c r="FS7" s="1092"/>
      <c r="FT7" s="1092"/>
      <c r="FU7" s="1092"/>
      <c r="FV7" s="1092"/>
      <c r="FW7" s="1092"/>
      <c r="FX7" s="1092"/>
      <c r="FY7" s="1092"/>
      <c r="FZ7" s="1092"/>
      <c r="GA7" s="1092"/>
      <c r="GB7" s="1092"/>
      <c r="GC7" s="1092"/>
      <c r="GD7" s="1092"/>
      <c r="GE7" s="1092"/>
      <c r="GF7" s="1092"/>
      <c r="GG7" s="1092"/>
      <c r="GH7" s="1092"/>
      <c r="GI7" s="1092"/>
      <c r="GJ7" s="1092"/>
      <c r="GK7" s="1092"/>
      <c r="GL7" s="1092"/>
      <c r="GM7" s="1092"/>
      <c r="GN7" s="1092"/>
      <c r="GO7" s="1092"/>
    </row>
    <row r="8" spans="1:197">
      <c r="A8" s="1110"/>
      <c r="B8" s="1094"/>
      <c r="C8" s="1095"/>
      <c r="D8" s="1138"/>
      <c r="E8" s="1138"/>
      <c r="F8" s="1138"/>
      <c r="G8" s="1092"/>
      <c r="H8" s="1092"/>
      <c r="I8" s="1092"/>
      <c r="J8" s="1092"/>
      <c r="K8" s="1092"/>
      <c r="L8" s="1095"/>
      <c r="M8" s="1095"/>
      <c r="N8" s="1121"/>
      <c r="O8" s="1092"/>
      <c r="P8" s="1092"/>
      <c r="Q8" s="1092"/>
      <c r="R8" s="1092"/>
      <c r="S8" s="1125"/>
      <c r="T8" s="1132"/>
      <c r="U8" s="1132"/>
      <c r="V8" s="1132"/>
      <c r="W8" s="1132"/>
      <c r="X8" s="1127"/>
      <c r="Y8" s="1092"/>
      <c r="Z8" s="1092"/>
      <c r="AA8" s="1112"/>
      <c r="AB8" s="1112"/>
      <c r="AC8" s="1139"/>
      <c r="AD8" s="1116"/>
      <c r="AE8" s="1106"/>
      <c r="AF8" s="1117"/>
      <c r="AG8" s="1118"/>
      <c r="AH8" s="1118"/>
      <c r="AI8" s="1118"/>
      <c r="AJ8" s="1118"/>
      <c r="AK8" s="1118"/>
      <c r="AL8" s="1118"/>
      <c r="AM8" s="1092"/>
      <c r="AN8" s="1118"/>
      <c r="AO8" s="1118"/>
      <c r="AP8" s="1118"/>
      <c r="AQ8" s="1118"/>
      <c r="AR8" s="1118"/>
      <c r="AS8" s="1118"/>
      <c r="AT8" s="1118"/>
      <c r="AU8" s="1118"/>
      <c r="AV8" s="1118"/>
      <c r="AW8" s="1118"/>
      <c r="AX8" s="1118"/>
      <c r="AY8" s="1118"/>
      <c r="AZ8" s="1118"/>
      <c r="BA8" s="1118"/>
      <c r="BB8" s="1118"/>
      <c r="BC8" s="1118"/>
      <c r="BD8" s="1118"/>
      <c r="BE8" s="1118"/>
      <c r="BF8" s="1118"/>
      <c r="BG8" s="1118"/>
      <c r="BH8" s="1118"/>
      <c r="BI8" s="1092"/>
      <c r="BJ8" s="1094"/>
      <c r="BK8" s="1119"/>
      <c r="BL8" s="1092"/>
      <c r="BM8" s="1092"/>
      <c r="BN8" s="1092"/>
      <c r="BO8" s="1092"/>
      <c r="BP8" s="1092"/>
      <c r="BQ8" s="1092"/>
      <c r="BR8" s="1092"/>
      <c r="BS8" s="1092"/>
      <c r="BT8" s="1092"/>
      <c r="BU8" s="1092"/>
      <c r="BV8" s="1092"/>
      <c r="BW8" s="1092"/>
      <c r="BX8" s="1092"/>
      <c r="BY8" s="1092"/>
      <c r="BZ8" s="1092"/>
      <c r="CA8" s="1092"/>
      <c r="CB8" s="1092"/>
      <c r="CC8" s="1092"/>
      <c r="CD8" s="1092"/>
      <c r="CE8" s="1092"/>
      <c r="CF8" s="1092"/>
      <c r="CG8" s="1092"/>
      <c r="CH8" s="1092"/>
      <c r="CI8" s="1092"/>
      <c r="CJ8" s="1092"/>
      <c r="CK8" s="1092"/>
      <c r="CL8" s="1092"/>
      <c r="CM8" s="1092"/>
      <c r="CN8" s="1092"/>
      <c r="CO8" s="1092"/>
      <c r="CP8" s="1092"/>
      <c r="CQ8" s="1092"/>
      <c r="CR8" s="1092"/>
      <c r="CS8" s="1092"/>
      <c r="CT8" s="1092"/>
      <c r="CU8" s="1092"/>
      <c r="CV8" s="1092"/>
      <c r="CW8" s="1092"/>
      <c r="CX8" s="1092"/>
      <c r="CY8" s="1092"/>
      <c r="CZ8" s="1092"/>
      <c r="DA8" s="1092"/>
      <c r="DB8" s="1092"/>
      <c r="DC8" s="1092"/>
      <c r="DD8" s="1092"/>
      <c r="DE8" s="1092"/>
      <c r="DF8" s="1092"/>
      <c r="DG8" s="1092"/>
      <c r="DH8" s="1092"/>
      <c r="DI8" s="1092"/>
      <c r="DJ8" s="1092"/>
      <c r="DK8" s="1092"/>
      <c r="DL8" s="1092"/>
      <c r="DM8" s="1092"/>
      <c r="DN8" s="1092"/>
      <c r="DO8" s="1092"/>
      <c r="DP8" s="1092"/>
      <c r="DQ8" s="1092"/>
      <c r="DR8" s="1092"/>
      <c r="DS8" s="1092"/>
      <c r="DT8" s="1092"/>
      <c r="DU8" s="1092"/>
      <c r="DV8" s="1092"/>
      <c r="DW8" s="1092"/>
      <c r="DX8" s="1092"/>
      <c r="DY8" s="1092"/>
      <c r="DZ8" s="1092"/>
      <c r="EA8" s="1092"/>
      <c r="EB8" s="1092"/>
      <c r="EC8" s="1092"/>
      <c r="ED8" s="1092"/>
      <c r="EE8" s="1092"/>
      <c r="EF8" s="1092"/>
      <c r="EG8" s="1092"/>
      <c r="EH8" s="1092"/>
      <c r="EI8" s="1092"/>
      <c r="EJ8" s="1092"/>
      <c r="EK8" s="1092"/>
      <c r="EL8" s="1092"/>
      <c r="EM8" s="1092"/>
      <c r="EN8" s="1092"/>
      <c r="EO8" s="1092"/>
      <c r="EP8" s="1092"/>
      <c r="EQ8" s="1092"/>
      <c r="ER8" s="1092"/>
      <c r="ES8" s="1092"/>
      <c r="ET8" s="1092"/>
      <c r="EU8" s="1092"/>
      <c r="EV8" s="1092"/>
      <c r="EW8" s="1092"/>
      <c r="EX8" s="1092"/>
      <c r="EY8" s="1092"/>
      <c r="EZ8" s="1092"/>
      <c r="FA8" s="1092"/>
      <c r="FB8" s="1092"/>
      <c r="FC8" s="1092"/>
      <c r="FD8" s="1092"/>
      <c r="FE8" s="1092"/>
      <c r="FF8" s="1092"/>
      <c r="FG8" s="1092"/>
      <c r="FH8" s="1092"/>
      <c r="FI8" s="1092"/>
      <c r="FJ8" s="1092"/>
      <c r="FK8" s="1092"/>
      <c r="FL8" s="1092"/>
      <c r="FM8" s="1092"/>
      <c r="FN8" s="1092"/>
      <c r="FO8" s="1092"/>
      <c r="FP8" s="1092"/>
      <c r="FQ8" s="1092"/>
      <c r="FR8" s="1092"/>
      <c r="FS8" s="1092"/>
      <c r="FT8" s="1092"/>
      <c r="FU8" s="1092"/>
      <c r="FV8" s="1092"/>
      <c r="FW8" s="1092"/>
      <c r="FX8" s="1092"/>
      <c r="FY8" s="1092"/>
      <c r="FZ8" s="1092"/>
      <c r="GA8" s="1092"/>
      <c r="GB8" s="1092"/>
      <c r="GC8" s="1092"/>
      <c r="GD8" s="1092"/>
      <c r="GE8" s="1092"/>
      <c r="GF8" s="1092"/>
      <c r="GG8" s="1092"/>
      <c r="GH8" s="1092"/>
      <c r="GI8" s="1092"/>
      <c r="GJ8" s="1092"/>
      <c r="GK8" s="1092"/>
      <c r="GL8" s="1092"/>
      <c r="GM8" s="1092"/>
      <c r="GN8" s="1092"/>
      <c r="GO8" s="1092"/>
    </row>
    <row r="9" spans="1:197" ht="15.75">
      <c r="A9" s="1140"/>
      <c r="B9" s="1120"/>
      <c r="C9" s="1095"/>
      <c r="D9" s="1138"/>
      <c r="E9" s="1138"/>
      <c r="F9" s="1138"/>
      <c r="G9" s="1138"/>
      <c r="H9" s="1138"/>
      <c r="I9" s="1138"/>
      <c r="J9" s="1138"/>
      <c r="K9" s="1138"/>
      <c r="L9" s="1138"/>
      <c r="M9" s="1095"/>
      <c r="N9" s="1121"/>
      <c r="O9" s="1092"/>
      <c r="P9" s="1092"/>
      <c r="Q9" s="1092"/>
      <c r="R9" s="1092"/>
      <c r="S9" s="1125"/>
      <c r="T9" s="1114"/>
      <c r="U9" s="1126"/>
      <c r="V9" s="1126"/>
      <c r="W9" s="1114"/>
      <c r="X9" s="1127"/>
      <c r="Y9" s="1092"/>
      <c r="Z9" s="1092"/>
      <c r="AA9" s="1092"/>
      <c r="AB9" s="1112"/>
      <c r="AC9" s="1139"/>
      <c r="AD9" s="1116"/>
      <c r="AE9" s="1106"/>
      <c r="AF9" s="1117"/>
      <c r="AG9" s="1118"/>
      <c r="AH9" s="1118"/>
      <c r="AI9" s="1092"/>
      <c r="AJ9" s="1118"/>
      <c r="AK9" s="1118"/>
      <c r="AL9" s="1118"/>
      <c r="AM9" s="1092"/>
      <c r="AN9" s="1118"/>
      <c r="AO9" s="1118"/>
      <c r="AP9" s="1118"/>
      <c r="AQ9" s="1118"/>
      <c r="AR9" s="1118"/>
      <c r="AS9" s="1118"/>
      <c r="AT9" s="1118"/>
      <c r="AU9" s="1118"/>
      <c r="AV9" s="1118"/>
      <c r="AW9" s="1118"/>
      <c r="AX9" s="1118"/>
      <c r="AY9" s="1118"/>
      <c r="AZ9" s="1118"/>
      <c r="BA9" s="1118"/>
      <c r="BB9" s="1118"/>
      <c r="BC9" s="1118"/>
      <c r="BD9" s="1118"/>
      <c r="BE9" s="1118"/>
      <c r="BF9" s="1118"/>
      <c r="BG9" s="1118"/>
      <c r="BH9" s="1118"/>
      <c r="BI9" s="1092"/>
      <c r="BJ9" s="1094"/>
      <c r="BK9" s="1119"/>
      <c r="BL9" s="1092"/>
      <c r="BM9" s="1092"/>
      <c r="BN9" s="1092"/>
      <c r="BO9" s="1092"/>
      <c r="BP9" s="1092"/>
      <c r="BQ9" s="1092"/>
      <c r="BR9" s="1092"/>
      <c r="BS9" s="1092"/>
      <c r="BT9" s="1092"/>
      <c r="BU9" s="1092"/>
      <c r="BV9" s="1092"/>
      <c r="BW9" s="1092"/>
      <c r="BX9" s="1092"/>
      <c r="BY9" s="1092"/>
      <c r="BZ9" s="1092"/>
      <c r="CA9" s="1092"/>
      <c r="CB9" s="1092"/>
      <c r="CC9" s="1092"/>
      <c r="CD9" s="1092"/>
      <c r="CE9" s="1092"/>
      <c r="CF9" s="1092"/>
      <c r="CG9" s="1092"/>
      <c r="CH9" s="1092"/>
      <c r="CI9" s="1092"/>
      <c r="CJ9" s="1092"/>
      <c r="CK9" s="1092"/>
      <c r="CL9" s="1092"/>
      <c r="CM9" s="1092"/>
      <c r="CN9" s="1092"/>
      <c r="CO9" s="1092"/>
      <c r="CP9" s="1092"/>
      <c r="CQ9" s="1092"/>
      <c r="CR9" s="1092"/>
      <c r="CS9" s="1092"/>
      <c r="CT9" s="1092"/>
      <c r="CU9" s="1092"/>
      <c r="CV9" s="1092"/>
      <c r="CW9" s="1092"/>
      <c r="CX9" s="1092"/>
      <c r="CY9" s="1092"/>
      <c r="CZ9" s="1092"/>
      <c r="DA9" s="1092"/>
      <c r="DB9" s="1092"/>
      <c r="DC9" s="1092"/>
      <c r="DD9" s="1092"/>
      <c r="DE9" s="1092"/>
      <c r="DF9" s="1092"/>
      <c r="DG9" s="1092"/>
      <c r="DH9" s="1092"/>
      <c r="DI9" s="1092"/>
      <c r="DJ9" s="1092"/>
      <c r="DK9" s="1092"/>
      <c r="DL9" s="1092"/>
      <c r="DM9" s="1092"/>
      <c r="DN9" s="1092"/>
      <c r="DO9" s="1092"/>
      <c r="DP9" s="1092"/>
      <c r="DQ9" s="1092"/>
      <c r="DR9" s="1092"/>
      <c r="DS9" s="1092"/>
      <c r="DT9" s="1092"/>
      <c r="DU9" s="1092"/>
      <c r="DV9" s="1092"/>
      <c r="DW9" s="1092"/>
      <c r="DX9" s="1092"/>
      <c r="DY9" s="1092"/>
      <c r="DZ9" s="1092"/>
      <c r="EA9" s="1092"/>
      <c r="EB9" s="1092"/>
      <c r="EC9" s="1092"/>
      <c r="ED9" s="1092"/>
      <c r="EE9" s="1092"/>
      <c r="EF9" s="1092"/>
      <c r="EG9" s="1092"/>
      <c r="EH9" s="1092"/>
      <c r="EI9" s="1092"/>
      <c r="EJ9" s="1092"/>
      <c r="EK9" s="1092"/>
      <c r="EL9" s="1092"/>
      <c r="EM9" s="1092"/>
      <c r="EN9" s="1092"/>
      <c r="EO9" s="1092"/>
      <c r="EP9" s="1092"/>
      <c r="EQ9" s="1092"/>
      <c r="ER9" s="1092"/>
      <c r="ES9" s="1092"/>
      <c r="ET9" s="1092"/>
      <c r="EU9" s="1092"/>
      <c r="EV9" s="1092"/>
      <c r="EW9" s="1092"/>
      <c r="EX9" s="1092"/>
      <c r="EY9" s="1092"/>
      <c r="EZ9" s="1092"/>
      <c r="FA9" s="1092"/>
      <c r="FB9" s="1092"/>
      <c r="FC9" s="1092"/>
      <c r="FD9" s="1092"/>
      <c r="FE9" s="1092"/>
      <c r="FF9" s="1092"/>
      <c r="FG9" s="1092"/>
      <c r="FH9" s="1092"/>
      <c r="FI9" s="1092"/>
      <c r="FJ9" s="1092"/>
      <c r="FK9" s="1092"/>
      <c r="FL9" s="1092"/>
      <c r="FM9" s="1092"/>
      <c r="FN9" s="1092"/>
      <c r="FO9" s="1092"/>
      <c r="FP9" s="1092"/>
      <c r="FQ9" s="1092"/>
      <c r="FR9" s="1092"/>
      <c r="FS9" s="1092"/>
      <c r="FT9" s="1092"/>
      <c r="FU9" s="1092"/>
      <c r="FV9" s="1092"/>
      <c r="FW9" s="1092"/>
      <c r="FX9" s="1092"/>
      <c r="FY9" s="1092"/>
      <c r="FZ9" s="1092"/>
      <c r="GA9" s="1092"/>
      <c r="GB9" s="1092"/>
      <c r="GC9" s="1092"/>
      <c r="GD9" s="1092"/>
      <c r="GE9" s="1092"/>
      <c r="GF9" s="1092"/>
      <c r="GG9" s="1092"/>
      <c r="GH9" s="1092"/>
      <c r="GI9" s="1092"/>
      <c r="GJ9" s="1092"/>
      <c r="GK9" s="1092"/>
      <c r="GL9" s="1092"/>
      <c r="GM9" s="1092"/>
      <c r="GN9" s="1092"/>
      <c r="GO9" s="1092"/>
    </row>
    <row r="10" spans="1:197" ht="15.75">
      <c r="A10" s="1140"/>
      <c r="B10" s="1094"/>
      <c r="C10" s="1095"/>
      <c r="D10" s="1095"/>
      <c r="E10" s="1095"/>
      <c r="F10" s="1095"/>
      <c r="G10" s="1095"/>
      <c r="H10" s="1095"/>
      <c r="I10" s="1095"/>
      <c r="J10" s="1138"/>
      <c r="K10" s="1138"/>
      <c r="L10" s="1138"/>
      <c r="M10" s="1095"/>
      <c r="N10" s="1121"/>
      <c r="O10" s="1092"/>
      <c r="P10" s="1092"/>
      <c r="Q10" s="1092"/>
      <c r="R10" s="1092"/>
      <c r="S10" s="1125"/>
      <c r="T10" s="1114"/>
      <c r="U10" s="1126"/>
      <c r="V10" s="1126"/>
      <c r="W10" s="1114"/>
      <c r="X10" s="1127"/>
      <c r="Y10" s="1092"/>
      <c r="Z10" s="1092"/>
      <c r="AA10" s="1112"/>
      <c r="AB10" s="1112"/>
      <c r="AC10" s="1139"/>
      <c r="AD10" s="1116"/>
      <c r="AE10" s="1106"/>
      <c r="AF10" s="1117"/>
      <c r="AG10" s="1118"/>
      <c r="AH10" s="1118"/>
      <c r="AI10" s="1092"/>
      <c r="AJ10" s="1118"/>
      <c r="AK10" s="1118"/>
      <c r="AL10" s="1118"/>
      <c r="AM10" s="1092"/>
      <c r="AN10" s="1118"/>
      <c r="AO10" s="1118"/>
      <c r="AP10" s="1118"/>
      <c r="AQ10" s="1118"/>
      <c r="AR10" s="1118"/>
      <c r="AS10" s="1118"/>
      <c r="AT10" s="1118"/>
      <c r="AU10" s="1118"/>
      <c r="AV10" s="1118"/>
      <c r="AW10" s="1118"/>
      <c r="AX10" s="1118"/>
      <c r="AY10" s="1118"/>
      <c r="AZ10" s="1118"/>
      <c r="BA10" s="1118"/>
      <c r="BB10" s="1118"/>
      <c r="BC10" s="1118"/>
      <c r="BD10" s="1118"/>
      <c r="BE10" s="1118"/>
      <c r="BF10" s="1118"/>
      <c r="BG10" s="1118"/>
      <c r="BH10" s="1118"/>
      <c r="BI10" s="1092"/>
      <c r="BJ10" s="1094"/>
      <c r="BK10" s="1119"/>
      <c r="BL10" s="1092"/>
      <c r="BM10" s="1092"/>
      <c r="BN10" s="1092"/>
      <c r="BO10" s="1092"/>
      <c r="BP10" s="1092"/>
      <c r="BQ10" s="1092"/>
      <c r="BR10" s="1092"/>
      <c r="BS10" s="1092"/>
      <c r="BT10" s="1092"/>
      <c r="BU10" s="1092"/>
      <c r="BV10" s="1092"/>
      <c r="BW10" s="1092"/>
      <c r="BX10" s="1092"/>
      <c r="BY10" s="1092"/>
      <c r="BZ10" s="1092"/>
      <c r="CA10" s="1092"/>
      <c r="CB10" s="1092"/>
      <c r="CC10" s="1092"/>
      <c r="CD10" s="1092"/>
      <c r="CE10" s="1092"/>
      <c r="CF10" s="1092"/>
      <c r="CG10" s="1092"/>
      <c r="CH10" s="1092"/>
      <c r="CI10" s="1092"/>
      <c r="CJ10" s="1092"/>
      <c r="CK10" s="1092"/>
      <c r="CL10" s="1092"/>
      <c r="CM10" s="1092"/>
      <c r="CN10" s="1092"/>
      <c r="CO10" s="1092"/>
      <c r="CP10" s="1092"/>
      <c r="CQ10" s="1092"/>
      <c r="CR10" s="1092"/>
      <c r="CS10" s="1092"/>
      <c r="CT10" s="1092"/>
      <c r="CU10" s="1092"/>
      <c r="CV10" s="1092"/>
      <c r="CW10" s="1092"/>
      <c r="CX10" s="1092"/>
      <c r="CY10" s="1092"/>
      <c r="CZ10" s="1092"/>
      <c r="DA10" s="1092"/>
      <c r="DB10" s="1092"/>
      <c r="DC10" s="1092"/>
      <c r="DD10" s="1092"/>
      <c r="DE10" s="1092"/>
      <c r="DF10" s="1092"/>
      <c r="DG10" s="1092"/>
      <c r="DH10" s="1092"/>
      <c r="DI10" s="1092"/>
      <c r="DJ10" s="1092"/>
      <c r="DK10" s="1092"/>
      <c r="DL10" s="1092"/>
      <c r="DM10" s="1092"/>
      <c r="DN10" s="1092"/>
      <c r="DO10" s="1092"/>
      <c r="DP10" s="1092"/>
      <c r="DQ10" s="1092"/>
      <c r="DR10" s="1092"/>
      <c r="DS10" s="1092"/>
      <c r="DT10" s="1092"/>
      <c r="DU10" s="1092"/>
      <c r="DV10" s="1092"/>
      <c r="DW10" s="1092"/>
      <c r="DX10" s="1092"/>
      <c r="DY10" s="1092"/>
      <c r="DZ10" s="1092"/>
      <c r="EA10" s="1092"/>
      <c r="EB10" s="1092"/>
      <c r="EC10" s="1092"/>
      <c r="ED10" s="1092"/>
      <c r="EE10" s="1092"/>
      <c r="EF10" s="1092"/>
      <c r="EG10" s="1092"/>
      <c r="EH10" s="1092"/>
      <c r="EI10" s="1092"/>
      <c r="EJ10" s="1092"/>
      <c r="EK10" s="1092"/>
      <c r="EL10" s="1092"/>
      <c r="EM10" s="1092"/>
      <c r="EN10" s="1092"/>
      <c r="EO10" s="1092"/>
      <c r="EP10" s="1092"/>
      <c r="EQ10" s="1092"/>
      <c r="ER10" s="1092"/>
      <c r="ES10" s="1092"/>
      <c r="ET10" s="1092"/>
      <c r="EU10" s="1092"/>
      <c r="EV10" s="1092"/>
      <c r="EW10" s="1092"/>
      <c r="EX10" s="1092"/>
      <c r="EY10" s="1092"/>
      <c r="EZ10" s="1092"/>
      <c r="FA10" s="1092"/>
      <c r="FB10" s="1092"/>
      <c r="FC10" s="1092"/>
      <c r="FD10" s="1092"/>
      <c r="FE10" s="1092"/>
      <c r="FF10" s="1092"/>
      <c r="FG10" s="1092"/>
      <c r="FH10" s="1092"/>
      <c r="FI10" s="1092"/>
      <c r="FJ10" s="1092"/>
      <c r="FK10" s="1092"/>
      <c r="FL10" s="1092"/>
      <c r="FM10" s="1092"/>
      <c r="FN10" s="1092"/>
      <c r="FO10" s="1092"/>
      <c r="FP10" s="1092"/>
      <c r="FQ10" s="1092"/>
      <c r="FR10" s="1092"/>
      <c r="FS10" s="1092"/>
      <c r="FT10" s="1092"/>
      <c r="FU10" s="1092"/>
      <c r="FV10" s="1092"/>
      <c r="FW10" s="1092"/>
      <c r="FX10" s="1092"/>
      <c r="FY10" s="1092"/>
      <c r="FZ10" s="1092"/>
      <c r="GA10" s="1092"/>
      <c r="GB10" s="1092"/>
      <c r="GC10" s="1092"/>
      <c r="GD10" s="1092"/>
      <c r="GE10" s="1092"/>
      <c r="GF10" s="1092"/>
      <c r="GG10" s="1092"/>
      <c r="GH10" s="1092"/>
      <c r="GI10" s="1092"/>
      <c r="GJ10" s="1092"/>
      <c r="GK10" s="1092"/>
      <c r="GL10" s="1092"/>
      <c r="GM10" s="1092"/>
      <c r="GN10" s="1092"/>
      <c r="GO10" s="1092"/>
    </row>
    <row r="11" spans="1:197" ht="18">
      <c r="A11" s="1141"/>
      <c r="B11" s="1094"/>
      <c r="C11" s="1095"/>
      <c r="D11" s="1095"/>
      <c r="E11" s="1095"/>
      <c r="H11" s="1142"/>
      <c r="I11" s="1142"/>
      <c r="J11" s="1142"/>
      <c r="K11" s="1143">
        <v>1</v>
      </c>
      <c r="L11" s="1143">
        <v>2</v>
      </c>
      <c r="M11" s="1143">
        <v>3</v>
      </c>
      <c r="N11" s="1144"/>
      <c r="O11" s="1092"/>
      <c r="P11" s="1145"/>
      <c r="Q11" s="1145"/>
      <c r="R11" s="1092"/>
      <c r="S11" s="1146"/>
      <c r="T11" s="1132"/>
      <c r="U11" s="1147"/>
      <c r="V11" s="1147"/>
      <c r="W11" s="1132"/>
      <c r="X11" s="1112"/>
      <c r="Y11" s="1092"/>
      <c r="Z11" s="1092"/>
      <c r="AA11" s="1092"/>
      <c r="AB11" s="1115"/>
      <c r="AC11" s="1139"/>
      <c r="AD11" s="1116"/>
      <c r="AE11" s="1106"/>
      <c r="AF11" s="1117"/>
      <c r="AG11" s="1118"/>
      <c r="AH11" s="1118"/>
      <c r="AI11" s="1092"/>
      <c r="AJ11" s="1118"/>
      <c r="AK11" s="1118"/>
      <c r="AL11" s="1118"/>
      <c r="AM11" s="1092"/>
      <c r="AN11" s="1118"/>
      <c r="AO11" s="1118"/>
      <c r="AP11" s="1118"/>
      <c r="AQ11" s="1118"/>
      <c r="AR11" s="1118"/>
      <c r="AS11" s="1118"/>
      <c r="AT11" s="1118"/>
      <c r="AU11" s="1118"/>
      <c r="AV11" s="1118"/>
      <c r="AW11" s="1118"/>
      <c r="AX11" s="1118"/>
      <c r="AY11" s="1118"/>
      <c r="AZ11" s="1118"/>
      <c r="BA11" s="1118"/>
      <c r="BB11" s="1118"/>
      <c r="BC11" s="1118"/>
      <c r="BD11" s="1118"/>
      <c r="BE11" s="1118"/>
      <c r="BF11" s="1118"/>
      <c r="BG11" s="1118"/>
      <c r="BH11" s="1118"/>
      <c r="BI11" s="1092"/>
      <c r="BJ11" s="1094"/>
      <c r="BK11" s="1119"/>
      <c r="BL11" s="1092"/>
      <c r="BM11" s="1092"/>
      <c r="BN11" s="1092"/>
      <c r="BO11" s="1092"/>
      <c r="BP11" s="1092"/>
      <c r="BQ11" s="1092"/>
      <c r="BR11" s="1092"/>
      <c r="BS11" s="1092"/>
      <c r="BT11" s="1092"/>
      <c r="BU11" s="1092"/>
      <c r="BV11" s="1092"/>
      <c r="BW11" s="1092"/>
      <c r="BX11" s="1092"/>
      <c r="BY11" s="1092"/>
      <c r="BZ11" s="1092"/>
      <c r="CA11" s="1092"/>
      <c r="CB11" s="1092"/>
      <c r="CC11" s="1092"/>
      <c r="CD11" s="1092"/>
      <c r="CE11" s="1092"/>
      <c r="CF11" s="1092"/>
      <c r="CG11" s="1092"/>
      <c r="CH11" s="1092"/>
      <c r="CI11" s="1092"/>
      <c r="CJ11" s="1092"/>
      <c r="CK11" s="1092"/>
      <c r="CL11" s="1092"/>
      <c r="CM11" s="1092"/>
      <c r="CN11" s="1092"/>
      <c r="CO11" s="1092"/>
      <c r="CP11" s="1092"/>
      <c r="CQ11" s="1092"/>
      <c r="CR11" s="1092"/>
      <c r="CS11" s="1092"/>
      <c r="CT11" s="1092"/>
      <c r="CU11" s="1092"/>
      <c r="CV11" s="1092"/>
      <c r="CW11" s="1092"/>
      <c r="CX11" s="1092"/>
      <c r="CY11" s="1092"/>
      <c r="CZ11" s="1092"/>
      <c r="DA11" s="1092"/>
      <c r="DB11" s="1092"/>
      <c r="DC11" s="1092"/>
      <c r="DD11" s="1092"/>
      <c r="DE11" s="1092"/>
      <c r="DF11" s="1092"/>
      <c r="DG11" s="1092"/>
      <c r="DH11" s="1092"/>
      <c r="DI11" s="1092"/>
      <c r="DJ11" s="1092"/>
      <c r="DK11" s="1092"/>
      <c r="DL11" s="1092"/>
      <c r="DM11" s="1092"/>
      <c r="DN11" s="1092"/>
      <c r="DO11" s="1092"/>
      <c r="DP11" s="1092"/>
      <c r="DQ11" s="1092"/>
      <c r="DR11" s="1092"/>
      <c r="DS11" s="1092"/>
      <c r="DT11" s="1092"/>
      <c r="DU11" s="1092"/>
      <c r="DV11" s="1092"/>
      <c r="DW11" s="1092"/>
      <c r="DX11" s="1092"/>
      <c r="DY11" s="1092"/>
      <c r="DZ11" s="1092"/>
      <c r="EA11" s="1092"/>
      <c r="EB11" s="1092"/>
      <c r="EC11" s="1092"/>
      <c r="ED11" s="1092"/>
      <c r="EE11" s="1092"/>
      <c r="EF11" s="1092"/>
      <c r="EG11" s="1092"/>
      <c r="EH11" s="1092"/>
      <c r="EI11" s="1092"/>
      <c r="EJ11" s="1092"/>
      <c r="EK11" s="1092"/>
      <c r="EL11" s="1092"/>
      <c r="EM11" s="1092"/>
      <c r="EN11" s="1092"/>
      <c r="EO11" s="1092"/>
      <c r="EP11" s="1092"/>
      <c r="EQ11" s="1092"/>
      <c r="ER11" s="1092"/>
      <c r="ES11" s="1092"/>
      <c r="ET11" s="1092"/>
      <c r="EU11" s="1092"/>
      <c r="EV11" s="1092"/>
      <c r="EW11" s="1092"/>
      <c r="EX11" s="1092"/>
      <c r="EY11" s="1092"/>
      <c r="EZ11" s="1092"/>
      <c r="FA11" s="1092"/>
      <c r="FB11" s="1092"/>
      <c r="FC11" s="1092"/>
      <c r="FD11" s="1092"/>
      <c r="FE11" s="1092"/>
      <c r="FF11" s="1092"/>
      <c r="FG11" s="1092"/>
      <c r="FH11" s="1092"/>
      <c r="FI11" s="1092"/>
      <c r="FJ11" s="1092"/>
      <c r="FK11" s="1092"/>
      <c r="FL11" s="1092"/>
      <c r="FM11" s="1092"/>
      <c r="FN11" s="1092"/>
      <c r="FO11" s="1092"/>
      <c r="FP11" s="1092"/>
      <c r="FQ11" s="1092"/>
      <c r="FR11" s="1092"/>
      <c r="FS11" s="1092"/>
      <c r="FT11" s="1092"/>
      <c r="FU11" s="1092"/>
      <c r="FV11" s="1092"/>
      <c r="FW11" s="1092"/>
      <c r="FX11" s="1092"/>
      <c r="FY11" s="1092"/>
      <c r="FZ11" s="1092"/>
      <c r="GA11" s="1092"/>
      <c r="GB11" s="1092"/>
      <c r="GC11" s="1092"/>
      <c r="GD11" s="1092"/>
      <c r="GE11" s="1092"/>
      <c r="GF11" s="1092"/>
      <c r="GG11" s="1092"/>
      <c r="GH11" s="1092"/>
      <c r="GI11" s="1092"/>
      <c r="GJ11" s="1092"/>
      <c r="GK11" s="1092"/>
      <c r="GL11" s="1092"/>
      <c r="GM11" s="1092"/>
      <c r="GN11" s="1092"/>
      <c r="GO11" s="1092"/>
    </row>
    <row r="12" spans="1:197" ht="20.25">
      <c r="A12" s="1106"/>
      <c r="B12" s="1094"/>
      <c r="C12" s="1095"/>
      <c r="D12" s="1095"/>
      <c r="E12" s="1095"/>
      <c r="H12" s="1148"/>
      <c r="J12" s="1149" t="s">
        <v>128</v>
      </c>
      <c r="K12" s="1150" t="s">
        <v>129</v>
      </c>
      <c r="L12" s="1150" t="s">
        <v>129</v>
      </c>
      <c r="M12" s="1150" t="s">
        <v>129</v>
      </c>
      <c r="N12" s="1151"/>
      <c r="O12" s="1152"/>
      <c r="P12" s="1132"/>
      <c r="Q12" s="1132"/>
      <c r="R12" s="1153"/>
      <c r="S12" s="1154"/>
      <c r="T12" s="1155"/>
      <c r="U12" s="1132"/>
      <c r="V12" s="1132"/>
      <c r="W12" s="1155"/>
      <c r="X12" s="1156"/>
      <c r="Y12" s="1092"/>
      <c r="Z12" s="1092"/>
      <c r="AA12" s="1112"/>
      <c r="AB12" s="1092"/>
      <c r="AC12" s="1139"/>
      <c r="AD12" s="1116"/>
      <c r="AE12" s="1106"/>
      <c r="AF12" s="1117"/>
      <c r="AG12" s="1118"/>
      <c r="AH12" s="1118"/>
      <c r="AI12" s="1118"/>
      <c r="AJ12" s="1118"/>
      <c r="AK12" s="1118"/>
      <c r="AL12" s="1118"/>
      <c r="AM12" s="1118"/>
      <c r="AN12" s="1118"/>
      <c r="AO12" s="1118"/>
      <c r="AP12" s="1118"/>
      <c r="AQ12" s="1118"/>
      <c r="AR12" s="1118"/>
      <c r="AS12" s="1118"/>
      <c r="AT12" s="1118"/>
      <c r="AU12" s="1118"/>
      <c r="AV12" s="1118"/>
      <c r="AW12" s="1118"/>
      <c r="AX12" s="1118"/>
      <c r="AY12" s="1118"/>
      <c r="AZ12" s="1118"/>
      <c r="BA12" s="1118"/>
      <c r="BB12" s="1118"/>
      <c r="BC12" s="1118"/>
      <c r="BD12" s="1118"/>
      <c r="BE12" s="1118"/>
      <c r="BF12" s="1118"/>
      <c r="BG12" s="1118"/>
      <c r="BH12" s="1118"/>
      <c r="BI12" s="1092"/>
      <c r="BJ12" s="1094"/>
      <c r="BK12" s="1119"/>
      <c r="BL12" s="1092"/>
      <c r="BM12" s="1092"/>
      <c r="BN12" s="1092"/>
      <c r="BO12" s="1092"/>
      <c r="BP12" s="1092"/>
      <c r="BQ12" s="1092"/>
      <c r="BR12" s="1092"/>
      <c r="BS12" s="1092"/>
      <c r="BT12" s="1092"/>
      <c r="BU12" s="1092"/>
      <c r="BV12" s="1092"/>
      <c r="BW12" s="1092"/>
      <c r="BX12" s="1092"/>
      <c r="BY12" s="1092"/>
      <c r="BZ12" s="1092"/>
      <c r="CA12" s="1092"/>
      <c r="CB12" s="1092"/>
      <c r="CC12" s="1092"/>
      <c r="CD12" s="1092"/>
      <c r="CE12" s="1092"/>
      <c r="CF12" s="1092"/>
      <c r="CG12" s="1092"/>
      <c r="CH12" s="1092"/>
      <c r="CI12" s="1092"/>
      <c r="CJ12" s="1092"/>
      <c r="CK12" s="1092"/>
      <c r="CL12" s="1092"/>
      <c r="CM12" s="1092"/>
      <c r="CN12" s="1092"/>
      <c r="CO12" s="1092"/>
      <c r="CP12" s="1092"/>
      <c r="CQ12" s="1092"/>
      <c r="CR12" s="1092"/>
      <c r="CS12" s="1092"/>
      <c r="CT12" s="1092"/>
      <c r="CU12" s="1092"/>
      <c r="CV12" s="1092"/>
      <c r="CW12" s="1092"/>
      <c r="CX12" s="1092"/>
      <c r="CY12" s="1092"/>
      <c r="CZ12" s="1092"/>
      <c r="DA12" s="1092"/>
      <c r="DB12" s="1092"/>
      <c r="DC12" s="1092"/>
      <c r="DD12" s="1092"/>
      <c r="DE12" s="1092"/>
      <c r="DF12" s="1092"/>
      <c r="DG12" s="1092"/>
      <c r="DH12" s="1092"/>
      <c r="DI12" s="1092"/>
      <c r="DJ12" s="1092"/>
      <c r="DK12" s="1092"/>
      <c r="DL12" s="1092"/>
      <c r="DM12" s="1092"/>
      <c r="DN12" s="1092"/>
      <c r="DO12" s="1092"/>
      <c r="DP12" s="1092"/>
      <c r="DQ12" s="1092"/>
      <c r="DR12" s="1092"/>
      <c r="DS12" s="1092"/>
      <c r="DT12" s="1092"/>
      <c r="DU12" s="1092"/>
      <c r="DV12" s="1092"/>
      <c r="DW12" s="1092"/>
      <c r="DX12" s="1092"/>
      <c r="DY12" s="1092"/>
      <c r="DZ12" s="1092"/>
      <c r="EA12" s="1092"/>
      <c r="EB12" s="1092"/>
      <c r="EC12" s="1092"/>
      <c r="ED12" s="1092"/>
      <c r="EE12" s="1092"/>
      <c r="EF12" s="1092"/>
      <c r="EG12" s="1092"/>
      <c r="EH12" s="1092"/>
      <c r="EI12" s="1092"/>
      <c r="EJ12" s="1092"/>
      <c r="EK12" s="1092"/>
      <c r="EL12" s="1092"/>
      <c r="EM12" s="1092"/>
      <c r="EN12" s="1092"/>
      <c r="EO12" s="1092"/>
      <c r="EP12" s="1092"/>
      <c r="EQ12" s="1092"/>
      <c r="ER12" s="1092"/>
      <c r="ES12" s="1092"/>
      <c r="ET12" s="1092"/>
      <c r="EU12" s="1092"/>
      <c r="EV12" s="1092"/>
      <c r="EW12" s="1092"/>
      <c r="EX12" s="1092"/>
      <c r="EY12" s="1092"/>
      <c r="EZ12" s="1092"/>
      <c r="FA12" s="1092"/>
      <c r="FB12" s="1092"/>
      <c r="FC12" s="1092"/>
      <c r="FD12" s="1092"/>
      <c r="FE12" s="1092"/>
      <c r="FF12" s="1092"/>
      <c r="FG12" s="1092"/>
      <c r="FH12" s="1092"/>
      <c r="FI12" s="1092"/>
      <c r="FJ12" s="1092"/>
      <c r="FK12" s="1092"/>
      <c r="FL12" s="1092"/>
      <c r="FM12" s="1092"/>
      <c r="FN12" s="1092"/>
      <c r="FO12" s="1092"/>
      <c r="FP12" s="1092"/>
      <c r="FQ12" s="1092"/>
      <c r="FR12" s="1092"/>
      <c r="FS12" s="1092"/>
      <c r="FT12" s="1092"/>
      <c r="FU12" s="1092"/>
      <c r="FV12" s="1092"/>
      <c r="FW12" s="1092"/>
      <c r="FX12" s="1092"/>
      <c r="FY12" s="1092"/>
      <c r="FZ12" s="1092"/>
      <c r="GA12" s="1092"/>
      <c r="GB12" s="1092"/>
      <c r="GC12" s="1092"/>
      <c r="GD12" s="1092"/>
      <c r="GE12" s="1092"/>
      <c r="GF12" s="1092"/>
      <c r="GG12" s="1092"/>
      <c r="GH12" s="1092"/>
      <c r="GI12" s="1092"/>
      <c r="GJ12" s="1092"/>
      <c r="GK12" s="1092"/>
      <c r="GL12" s="1092"/>
      <c r="GM12" s="1092"/>
      <c r="GN12" s="1092"/>
      <c r="GO12" s="1092"/>
    </row>
    <row r="13" spans="1:197" ht="20.25">
      <c r="A13" s="1157"/>
      <c r="B13" s="1095"/>
      <c r="C13" s="1095"/>
      <c r="D13" s="1095"/>
      <c r="H13" s="1158"/>
      <c r="I13" s="1143"/>
      <c r="J13" s="1150"/>
      <c r="K13" s="1159">
        <v>114165</v>
      </c>
      <c r="L13" s="1160">
        <v>114279</v>
      </c>
      <c r="M13" s="1161">
        <v>114665</v>
      </c>
      <c r="N13" s="1132"/>
      <c r="O13" s="1152"/>
      <c r="P13" s="1145"/>
      <c r="Q13" s="1145"/>
      <c r="R13" s="1153"/>
      <c r="S13" s="1146"/>
      <c r="T13" s="1154"/>
      <c r="U13" s="1155"/>
      <c r="V13" s="1155"/>
      <c r="W13" s="1162"/>
      <c r="X13" s="1146"/>
      <c r="Y13" s="1092"/>
      <c r="Z13" s="1092"/>
      <c r="AA13" s="1092"/>
      <c r="AB13" s="1092"/>
      <c r="AC13" s="1139"/>
      <c r="AD13" s="1116"/>
      <c r="AE13" s="1106"/>
      <c r="AF13" s="1117"/>
      <c r="AG13" s="1118"/>
      <c r="AH13" s="1118"/>
      <c r="AI13" s="1118"/>
      <c r="AJ13" s="1118"/>
      <c r="AK13" s="1118"/>
      <c r="AL13" s="1118"/>
      <c r="AM13" s="1118"/>
      <c r="AN13" s="1118"/>
      <c r="AO13" s="1118"/>
      <c r="AP13" s="1118"/>
      <c r="AQ13" s="1118"/>
      <c r="AR13" s="1118"/>
      <c r="AS13" s="1118"/>
      <c r="AT13" s="1118"/>
      <c r="AU13" s="1118"/>
      <c r="AV13" s="1118"/>
      <c r="AW13" s="1118"/>
      <c r="AX13" s="1118"/>
      <c r="AY13" s="1118"/>
      <c r="AZ13" s="1118"/>
      <c r="BA13" s="1118"/>
      <c r="BB13" s="1118"/>
      <c r="BC13" s="1118"/>
      <c r="BD13" s="1118"/>
      <c r="BE13" s="1118"/>
      <c r="BF13" s="1118"/>
      <c r="BG13" s="1118"/>
      <c r="BH13" s="1118"/>
      <c r="BI13" s="1092"/>
      <c r="BJ13" s="1094"/>
      <c r="BK13" s="1119"/>
      <c r="BL13" s="1092"/>
      <c r="BM13" s="1092"/>
      <c r="BN13" s="1092"/>
      <c r="BO13" s="1092"/>
      <c r="BP13" s="1092"/>
      <c r="BQ13" s="1092"/>
      <c r="BR13" s="1092"/>
      <c r="BS13" s="1092"/>
      <c r="BT13" s="1092"/>
      <c r="BU13" s="1092"/>
      <c r="BV13" s="1092"/>
      <c r="BW13" s="1092"/>
      <c r="BX13" s="1092"/>
      <c r="BY13" s="1092"/>
      <c r="BZ13" s="1092"/>
      <c r="CA13" s="1092"/>
      <c r="CB13" s="1092"/>
      <c r="CC13" s="1092"/>
      <c r="CD13" s="1092"/>
      <c r="CE13" s="1092"/>
      <c r="CF13" s="1092"/>
      <c r="CG13" s="1092"/>
      <c r="CH13" s="1092"/>
      <c r="CI13" s="1092"/>
      <c r="CJ13" s="1092"/>
      <c r="CK13" s="1092"/>
      <c r="CL13" s="1092"/>
      <c r="CM13" s="1092"/>
      <c r="CN13" s="1092"/>
      <c r="CO13" s="1092"/>
      <c r="CP13" s="1092"/>
      <c r="CQ13" s="1092"/>
      <c r="CR13" s="1092"/>
      <c r="CS13" s="1092"/>
      <c r="CT13" s="1092"/>
      <c r="CU13" s="1092"/>
      <c r="CV13" s="1092"/>
      <c r="CW13" s="1092"/>
      <c r="CX13" s="1092"/>
      <c r="CY13" s="1092"/>
      <c r="CZ13" s="1092"/>
      <c r="DA13" s="1092"/>
      <c r="DB13" s="1092"/>
      <c r="DC13" s="1092"/>
      <c r="DD13" s="1092"/>
      <c r="DE13" s="1092"/>
      <c r="DF13" s="1092"/>
      <c r="DG13" s="1092"/>
      <c r="DH13" s="1092"/>
      <c r="DI13" s="1092"/>
      <c r="DJ13" s="1092"/>
      <c r="DK13" s="1092"/>
      <c r="DL13" s="1092"/>
      <c r="DM13" s="1092"/>
      <c r="DN13" s="1092"/>
      <c r="DO13" s="1092"/>
      <c r="DP13" s="1092"/>
      <c r="DQ13" s="1092"/>
      <c r="DR13" s="1092"/>
      <c r="DS13" s="1092"/>
      <c r="DT13" s="1092"/>
      <c r="DU13" s="1092"/>
      <c r="DV13" s="1092"/>
      <c r="DW13" s="1092"/>
      <c r="DX13" s="1092"/>
      <c r="DY13" s="1092"/>
      <c r="DZ13" s="1092"/>
      <c r="EA13" s="1092"/>
      <c r="EB13" s="1092"/>
      <c r="EC13" s="1092"/>
      <c r="ED13" s="1092"/>
      <c r="EE13" s="1092"/>
      <c r="EF13" s="1092"/>
      <c r="EG13" s="1092"/>
      <c r="EH13" s="1092"/>
      <c r="EI13" s="1092"/>
      <c r="EJ13" s="1092"/>
      <c r="EK13" s="1092"/>
      <c r="EL13" s="1092"/>
      <c r="EM13" s="1092"/>
      <c r="EN13" s="1092"/>
      <c r="EO13" s="1092"/>
      <c r="EP13" s="1092"/>
      <c r="EQ13" s="1092"/>
      <c r="ER13" s="1092"/>
      <c r="ES13" s="1092"/>
      <c r="ET13" s="1092"/>
      <c r="EU13" s="1092"/>
      <c r="EV13" s="1092"/>
      <c r="EW13" s="1092"/>
      <c r="EX13" s="1092"/>
      <c r="EY13" s="1092"/>
      <c r="EZ13" s="1092"/>
      <c r="FA13" s="1092"/>
      <c r="FB13" s="1092"/>
      <c r="FC13" s="1092"/>
      <c r="FD13" s="1092"/>
      <c r="FE13" s="1092"/>
      <c r="FF13" s="1092"/>
      <c r="FG13" s="1092"/>
      <c r="FH13" s="1092"/>
      <c r="FI13" s="1092"/>
      <c r="FJ13" s="1092"/>
      <c r="FK13" s="1092"/>
      <c r="FL13" s="1092"/>
      <c r="FM13" s="1092"/>
      <c r="FN13" s="1092"/>
      <c r="FO13" s="1092"/>
      <c r="FP13" s="1092"/>
      <c r="FQ13" s="1092"/>
      <c r="FR13" s="1092"/>
      <c r="FS13" s="1092"/>
      <c r="FT13" s="1092"/>
      <c r="FU13" s="1092"/>
      <c r="FV13" s="1092"/>
      <c r="FW13" s="1092"/>
      <c r="FX13" s="1092"/>
      <c r="FY13" s="1092"/>
      <c r="FZ13" s="1092"/>
      <c r="GA13" s="1092"/>
      <c r="GB13" s="1092"/>
      <c r="GC13" s="1092"/>
      <c r="GD13" s="1092"/>
      <c r="GE13" s="1092"/>
      <c r="GF13" s="1092"/>
      <c r="GG13" s="1092"/>
      <c r="GH13" s="1092"/>
      <c r="GI13" s="1092"/>
      <c r="GJ13" s="1092"/>
      <c r="GK13" s="1092"/>
      <c r="GL13" s="1092"/>
      <c r="GM13" s="1092"/>
      <c r="GN13" s="1092"/>
      <c r="GO13" s="1092"/>
    </row>
    <row r="14" spans="1:197" ht="20.25">
      <c r="A14" s="1163" t="s">
        <v>131</v>
      </c>
      <c r="B14" s="1095"/>
      <c r="C14" s="1095"/>
      <c r="D14" s="1095"/>
      <c r="H14" s="1158"/>
      <c r="I14" s="1143"/>
      <c r="J14" s="1150"/>
      <c r="K14" s="1164">
        <v>113818</v>
      </c>
      <c r="L14" s="1165">
        <v>110199</v>
      </c>
      <c r="M14" s="1166">
        <v>109971</v>
      </c>
      <c r="N14" s="1167"/>
      <c r="O14" s="1152"/>
      <c r="P14" s="1132"/>
      <c r="Q14" s="1132"/>
      <c r="R14" s="1153"/>
      <c r="S14" s="1154"/>
      <c r="T14" s="1154"/>
      <c r="U14" s="1120"/>
      <c r="V14" s="1168"/>
      <c r="W14" s="1169"/>
      <c r="Y14" s="1092"/>
      <c r="Z14" s="1092"/>
      <c r="AA14" s="1112"/>
      <c r="AB14" s="1092"/>
      <c r="AC14" s="1139"/>
      <c r="AD14" s="1116"/>
      <c r="AE14" s="1106"/>
      <c r="AF14" s="1117"/>
      <c r="AG14" s="1118"/>
      <c r="AH14" s="1118"/>
      <c r="AI14" s="1118"/>
      <c r="AJ14" s="1118"/>
      <c r="AK14" s="1118"/>
      <c r="AL14" s="1118"/>
      <c r="AM14" s="1092"/>
      <c r="AN14" s="1092"/>
      <c r="AO14" s="1092"/>
      <c r="AP14" s="1092"/>
      <c r="AQ14" s="1092"/>
      <c r="AR14" s="1092"/>
      <c r="AS14" s="1092"/>
      <c r="AT14" s="1092"/>
      <c r="AU14" s="1118"/>
      <c r="AV14" s="1118"/>
      <c r="AW14" s="1118"/>
      <c r="AX14" s="1118"/>
      <c r="AY14" s="1118"/>
      <c r="AZ14" s="1118"/>
      <c r="BA14" s="1118"/>
      <c r="BB14" s="1118"/>
      <c r="BC14" s="1118"/>
      <c r="BD14" s="1118"/>
      <c r="BE14" s="1118"/>
      <c r="BF14" s="1118"/>
      <c r="BG14" s="1118"/>
      <c r="BH14" s="1118"/>
      <c r="BI14" s="1092"/>
      <c r="BJ14" s="1094"/>
      <c r="BK14" s="1119"/>
      <c r="BL14" s="1092"/>
      <c r="BM14" s="1092"/>
      <c r="BN14" s="1092"/>
      <c r="BO14" s="1092"/>
      <c r="BP14" s="1092"/>
      <c r="BQ14" s="1092"/>
      <c r="BR14" s="1092"/>
      <c r="BS14" s="1092"/>
      <c r="BT14" s="1092"/>
      <c r="BU14" s="1092"/>
      <c r="BV14" s="1092"/>
      <c r="BW14" s="1092"/>
      <c r="BX14" s="1092"/>
      <c r="BY14" s="1092"/>
      <c r="BZ14" s="1092"/>
      <c r="CA14" s="1092"/>
      <c r="CB14" s="1092"/>
      <c r="CC14" s="1092"/>
      <c r="CD14" s="1092"/>
      <c r="CE14" s="1092"/>
      <c r="CF14" s="1092"/>
      <c r="CG14" s="1092"/>
      <c r="CH14" s="1092"/>
      <c r="CI14" s="1092"/>
      <c r="CJ14" s="1092"/>
      <c r="CK14" s="1092"/>
      <c r="CL14" s="1092"/>
      <c r="CM14" s="1092"/>
      <c r="CN14" s="1092"/>
      <c r="CO14" s="1092"/>
      <c r="CP14" s="1092"/>
      <c r="CQ14" s="1092"/>
      <c r="CR14" s="1092"/>
      <c r="CS14" s="1092"/>
      <c r="CT14" s="1092"/>
      <c r="CU14" s="1092"/>
      <c r="CV14" s="1092"/>
      <c r="CW14" s="1092"/>
      <c r="CX14" s="1092"/>
      <c r="CY14" s="1092"/>
      <c r="CZ14" s="1092"/>
      <c r="DA14" s="1092"/>
      <c r="DB14" s="1092"/>
      <c r="DC14" s="1092"/>
      <c r="DD14" s="1092"/>
      <c r="DE14" s="1092"/>
      <c r="DF14" s="1092"/>
      <c r="DG14" s="1092"/>
      <c r="DH14" s="1092"/>
      <c r="DI14" s="1092"/>
      <c r="DJ14" s="1092"/>
      <c r="DK14" s="1092"/>
      <c r="DL14" s="1092"/>
      <c r="DM14" s="1092"/>
      <c r="DN14" s="1092"/>
      <c r="DO14" s="1092"/>
      <c r="DP14" s="1092"/>
      <c r="DQ14" s="1092"/>
      <c r="DR14" s="1092"/>
      <c r="DS14" s="1092"/>
      <c r="DT14" s="1092"/>
      <c r="DU14" s="1092"/>
      <c r="DV14" s="1092"/>
      <c r="DW14" s="1092"/>
      <c r="DX14" s="1092"/>
      <c r="DY14" s="1092"/>
      <c r="DZ14" s="1092"/>
      <c r="EA14" s="1092"/>
      <c r="EB14" s="1092"/>
      <c r="EC14" s="1092"/>
      <c r="ED14" s="1092"/>
      <c r="EE14" s="1092"/>
      <c r="EF14" s="1092"/>
      <c r="EG14" s="1092"/>
      <c r="EH14" s="1092"/>
      <c r="EI14" s="1092"/>
      <c r="EJ14" s="1092"/>
      <c r="EK14" s="1092"/>
      <c r="EL14" s="1092"/>
      <c r="EM14" s="1092"/>
      <c r="EN14" s="1092"/>
      <c r="EO14" s="1092"/>
      <c r="EP14" s="1092"/>
      <c r="EQ14" s="1092"/>
      <c r="ER14" s="1092"/>
      <c r="ES14" s="1092"/>
      <c r="ET14" s="1092"/>
      <c r="EU14" s="1092"/>
      <c r="EV14" s="1092"/>
      <c r="EW14" s="1092"/>
      <c r="EX14" s="1092"/>
      <c r="EY14" s="1092"/>
      <c r="EZ14" s="1092"/>
      <c r="FA14" s="1092"/>
      <c r="FB14" s="1092"/>
      <c r="FC14" s="1092"/>
      <c r="FD14" s="1092"/>
      <c r="FE14" s="1092"/>
      <c r="FF14" s="1092"/>
      <c r="FG14" s="1092"/>
      <c r="FH14" s="1092"/>
      <c r="FI14" s="1092"/>
      <c r="FJ14" s="1092"/>
      <c r="FK14" s="1092"/>
      <c r="FL14" s="1092"/>
      <c r="FM14" s="1092"/>
      <c r="FN14" s="1092"/>
      <c r="FO14" s="1092"/>
      <c r="FP14" s="1092"/>
      <c r="FQ14" s="1092"/>
      <c r="FR14" s="1092"/>
      <c r="FS14" s="1092"/>
      <c r="FT14" s="1092"/>
      <c r="FU14" s="1092"/>
      <c r="FV14" s="1092"/>
      <c r="FW14" s="1092"/>
      <c r="FX14" s="1092"/>
      <c r="FY14" s="1092"/>
      <c r="FZ14" s="1092"/>
      <c r="GA14" s="1092"/>
      <c r="GB14" s="1092"/>
      <c r="GC14" s="1092"/>
      <c r="GD14" s="1092"/>
      <c r="GE14" s="1092"/>
      <c r="GF14" s="1092"/>
      <c r="GG14" s="1092"/>
      <c r="GH14" s="1092"/>
      <c r="GI14" s="1092"/>
      <c r="GJ14" s="1092"/>
      <c r="GK14" s="1092"/>
      <c r="GL14" s="1092"/>
      <c r="GM14" s="1092"/>
      <c r="GN14" s="1092"/>
      <c r="GO14" s="1092"/>
    </row>
    <row r="15" spans="1:197" ht="21" thickBot="1">
      <c r="A15" s="1163"/>
      <c r="B15" s="1095"/>
      <c r="C15" s="1095"/>
      <c r="D15" s="1095"/>
      <c r="E15" s="1095"/>
      <c r="H15" s="1148"/>
      <c r="J15" s="1143"/>
      <c r="K15" s="1150" t="s">
        <v>129</v>
      </c>
      <c r="L15" s="1150" t="s">
        <v>129</v>
      </c>
      <c r="M15" s="1150" t="s">
        <v>129</v>
      </c>
      <c r="N15" s="1144"/>
      <c r="O15" s="1112"/>
      <c r="P15" s="1145"/>
      <c r="Q15" s="1145"/>
      <c r="R15" s="1092"/>
      <c r="S15" s="1146"/>
      <c r="T15" s="1154"/>
      <c r="U15" s="1120"/>
      <c r="V15" s="1103"/>
      <c r="W15" s="1169"/>
      <c r="Y15" s="1092"/>
      <c r="Z15" s="1092"/>
      <c r="AA15" s="1092"/>
      <c r="AB15" s="1115"/>
      <c r="AC15" s="1139"/>
      <c r="AD15" s="1116"/>
      <c r="AE15" s="1106"/>
      <c r="AF15" s="1117"/>
      <c r="AG15" s="1118"/>
      <c r="AH15" s="1118"/>
      <c r="AI15" s="1118"/>
      <c r="AJ15" s="1118"/>
      <c r="AK15" s="1118"/>
      <c r="AL15" s="1118"/>
      <c r="AM15" s="1092"/>
      <c r="AN15" s="1092"/>
      <c r="AO15" s="1092"/>
      <c r="AP15" s="1092"/>
      <c r="AQ15" s="1092"/>
      <c r="AR15" s="1092"/>
      <c r="AS15" s="1092"/>
      <c r="AT15" s="1092"/>
      <c r="AU15" s="1118"/>
      <c r="AV15" s="1118"/>
      <c r="AW15" s="1118"/>
      <c r="AX15" s="1118"/>
      <c r="AY15" s="1118"/>
      <c r="AZ15" s="1092"/>
      <c r="BA15" s="1092"/>
      <c r="BB15" s="1092"/>
      <c r="BC15" s="1118"/>
      <c r="BD15" s="1118"/>
      <c r="BE15" s="1118"/>
      <c r="BF15" s="1118"/>
      <c r="BG15" s="1118"/>
      <c r="BH15" s="1118"/>
      <c r="BI15" s="1092"/>
      <c r="BJ15" s="1094"/>
      <c r="BK15" s="1119"/>
      <c r="BL15" s="1092"/>
      <c r="BM15" s="1092"/>
      <c r="BN15" s="1092"/>
      <c r="BO15" s="1092"/>
      <c r="BP15" s="1092"/>
      <c r="BQ15" s="1092"/>
      <c r="BR15" s="1092"/>
      <c r="BS15" s="1092"/>
      <c r="BT15" s="1092"/>
      <c r="BU15" s="1092"/>
      <c r="BV15" s="1092"/>
      <c r="BW15" s="1092"/>
      <c r="BX15" s="1092"/>
      <c r="BY15" s="1092"/>
      <c r="BZ15" s="1092"/>
      <c r="CA15" s="1092"/>
      <c r="CB15" s="1092"/>
      <c r="CC15" s="1092"/>
      <c r="CD15" s="1092"/>
      <c r="CE15" s="1092"/>
      <c r="CF15" s="1092"/>
      <c r="CG15" s="1092"/>
      <c r="CH15" s="1092"/>
      <c r="CI15" s="1092"/>
      <c r="CJ15" s="1092"/>
      <c r="CK15" s="1092"/>
      <c r="CL15" s="1092"/>
      <c r="CM15" s="1092"/>
      <c r="CN15" s="1092"/>
      <c r="CO15" s="1092"/>
      <c r="CP15" s="1092"/>
      <c r="CQ15" s="1092"/>
      <c r="CR15" s="1092"/>
      <c r="CS15" s="1092"/>
      <c r="CT15" s="1092"/>
      <c r="CU15" s="1092"/>
      <c r="CV15" s="1092"/>
      <c r="CW15" s="1092"/>
      <c r="CX15" s="1092"/>
      <c r="CY15" s="1092"/>
      <c r="CZ15" s="1092"/>
      <c r="DA15" s="1092"/>
      <c r="DB15" s="1092"/>
      <c r="DC15" s="1092"/>
      <c r="DD15" s="1092"/>
      <c r="DE15" s="1092"/>
      <c r="DF15" s="1092"/>
      <c r="DG15" s="1092"/>
      <c r="DH15" s="1092"/>
      <c r="DI15" s="1092"/>
      <c r="DJ15" s="1092"/>
      <c r="DK15" s="1092"/>
      <c r="DL15" s="1092"/>
      <c r="DM15" s="1092"/>
      <c r="DN15" s="1092"/>
      <c r="DO15" s="1092"/>
      <c r="DP15" s="1092"/>
      <c r="DQ15" s="1092"/>
      <c r="DR15" s="1092"/>
      <c r="DS15" s="1092"/>
      <c r="DT15" s="1092"/>
      <c r="DU15" s="1092"/>
      <c r="DV15" s="1092"/>
      <c r="DW15" s="1092"/>
      <c r="DX15" s="1092"/>
      <c r="DY15" s="1092"/>
      <c r="DZ15" s="1092"/>
      <c r="EA15" s="1092"/>
      <c r="EB15" s="1092"/>
      <c r="EC15" s="1092"/>
      <c r="ED15" s="1092"/>
      <c r="EE15" s="1092"/>
      <c r="EF15" s="1092"/>
      <c r="EG15" s="1092"/>
      <c r="EH15" s="1092"/>
      <c r="EI15" s="1092"/>
      <c r="EJ15" s="1092"/>
      <c r="EK15" s="1092"/>
      <c r="EL15" s="1092"/>
      <c r="EM15" s="1092"/>
      <c r="EN15" s="1092"/>
      <c r="EO15" s="1092"/>
      <c r="EP15" s="1092"/>
      <c r="EQ15" s="1092"/>
      <c r="ER15" s="1092"/>
      <c r="ES15" s="1092"/>
      <c r="ET15" s="1092"/>
      <c r="EU15" s="1092"/>
      <c r="EV15" s="1092"/>
      <c r="EW15" s="1092"/>
      <c r="EX15" s="1092"/>
      <c r="EY15" s="1092"/>
      <c r="EZ15" s="1092"/>
      <c r="FA15" s="1092"/>
      <c r="FB15" s="1092"/>
      <c r="FC15" s="1092"/>
      <c r="FD15" s="1092"/>
      <c r="FE15" s="1092"/>
      <c r="FF15" s="1092"/>
      <c r="FG15" s="1092"/>
      <c r="FH15" s="1092"/>
      <c r="FI15" s="1092"/>
      <c r="FJ15" s="1092"/>
      <c r="FK15" s="1092"/>
      <c r="FL15" s="1092"/>
      <c r="FM15" s="1092"/>
      <c r="FN15" s="1092"/>
      <c r="FO15" s="1092"/>
      <c r="FP15" s="1092"/>
      <c r="FQ15" s="1092"/>
      <c r="FR15" s="1092"/>
      <c r="FS15" s="1092"/>
      <c r="FT15" s="1092"/>
      <c r="FU15" s="1092"/>
      <c r="FV15" s="1092"/>
      <c r="FW15" s="1092"/>
      <c r="FX15" s="1092"/>
      <c r="FY15" s="1092"/>
      <c r="FZ15" s="1092"/>
      <c r="GA15" s="1092"/>
      <c r="GB15" s="1092"/>
      <c r="GC15" s="1092"/>
      <c r="GD15" s="1092"/>
      <c r="GE15" s="1092"/>
      <c r="GF15" s="1092"/>
      <c r="GG15" s="1092"/>
      <c r="GH15" s="1092"/>
      <c r="GI15" s="1092"/>
      <c r="GJ15" s="1092"/>
      <c r="GK15" s="1092"/>
      <c r="GL15" s="1092"/>
      <c r="GM15" s="1092"/>
      <c r="GN15" s="1092"/>
      <c r="GO15" s="1092"/>
    </row>
    <row r="16" spans="1:197" ht="15.75">
      <c r="A16" s="1170"/>
      <c r="B16" s="1095"/>
      <c r="C16" s="1092"/>
      <c r="D16" s="1095"/>
      <c r="E16" s="1095"/>
      <c r="F16" s="1095"/>
      <c r="G16" s="1095"/>
      <c r="H16" s="1142"/>
      <c r="I16" s="1142"/>
      <c r="J16" s="1142"/>
      <c r="K16" s="1143">
        <v>6</v>
      </c>
      <c r="L16" s="1143">
        <v>5</v>
      </c>
      <c r="M16" s="1143">
        <v>4</v>
      </c>
      <c r="N16" s="1171"/>
      <c r="O16" s="1132"/>
      <c r="P16" s="1172"/>
      <c r="Q16" s="1153"/>
      <c r="R16" s="1092"/>
      <c r="S16" s="1154"/>
      <c r="T16" s="1154"/>
      <c r="U16" s="1168"/>
      <c r="V16" s="1103"/>
      <c r="W16" s="1169"/>
      <c r="Y16" s="1092"/>
      <c r="Z16" s="1092"/>
      <c r="AA16" s="1112"/>
      <c r="AB16" s="1115"/>
      <c r="AC16" s="1173" t="s">
        <v>136</v>
      </c>
      <c r="AD16" s="1174"/>
      <c r="AE16" s="1095"/>
      <c r="AF16" s="1117"/>
      <c r="AG16" s="1118"/>
      <c r="AH16" s="1118"/>
      <c r="AI16" s="1118"/>
      <c r="AJ16" s="1118"/>
      <c r="AK16" s="1118"/>
      <c r="AL16" s="1118"/>
      <c r="AM16" s="1118"/>
      <c r="AN16" s="1118"/>
      <c r="AO16" s="1118"/>
      <c r="AP16" s="1118"/>
      <c r="AQ16" s="1118"/>
      <c r="AR16" s="1118"/>
      <c r="AS16" s="1118"/>
      <c r="AT16" s="1118"/>
      <c r="AU16" s="1118"/>
      <c r="AV16" s="1118"/>
      <c r="AW16" s="1118"/>
      <c r="AX16" s="1118"/>
      <c r="AY16" s="1118"/>
      <c r="AZ16" s="1092"/>
      <c r="BA16" s="1092"/>
      <c r="BB16" s="1092"/>
      <c r="BC16" s="1118"/>
      <c r="BD16" s="1118"/>
      <c r="BE16" s="1118"/>
      <c r="BF16" s="1118"/>
      <c r="BG16" s="1118"/>
      <c r="BH16" s="1118"/>
      <c r="BI16" s="1092"/>
      <c r="BJ16" s="1094"/>
      <c r="BK16" s="1119"/>
      <c r="BL16" s="1092"/>
      <c r="BM16" s="1092"/>
      <c r="BN16" s="1092"/>
      <c r="BO16" s="1092"/>
      <c r="BP16" s="1092"/>
      <c r="BQ16" s="1092"/>
      <c r="BR16" s="1092"/>
      <c r="BS16" s="1092"/>
      <c r="BT16" s="1092"/>
      <c r="BU16" s="1092"/>
      <c r="BV16" s="1092"/>
      <c r="BW16" s="1092"/>
      <c r="BX16" s="1092"/>
      <c r="BY16" s="1092"/>
      <c r="BZ16" s="1092"/>
      <c r="CA16" s="1092"/>
      <c r="CB16" s="1092"/>
      <c r="CC16" s="1092"/>
      <c r="CD16" s="1092"/>
      <c r="CE16" s="1092"/>
      <c r="CF16" s="1092"/>
      <c r="CG16" s="1092"/>
      <c r="CH16" s="1092"/>
      <c r="CI16" s="1092"/>
      <c r="CJ16" s="1092"/>
      <c r="CK16" s="1092"/>
      <c r="CL16" s="1092"/>
      <c r="CM16" s="1092"/>
      <c r="CN16" s="1092"/>
      <c r="CO16" s="1092"/>
      <c r="CP16" s="1092"/>
      <c r="CQ16" s="1092"/>
      <c r="CR16" s="1092"/>
      <c r="CS16" s="1092"/>
      <c r="CT16" s="1092"/>
      <c r="CU16" s="1092"/>
      <c r="CV16" s="1092"/>
      <c r="CW16" s="1092"/>
      <c r="CX16" s="1092"/>
      <c r="CY16" s="1092"/>
      <c r="CZ16" s="1092"/>
      <c r="DA16" s="1092"/>
      <c r="DB16" s="1092"/>
      <c r="DC16" s="1092"/>
      <c r="DD16" s="1092"/>
      <c r="DE16" s="1092"/>
      <c r="DF16" s="1092"/>
      <c r="DG16" s="1092"/>
      <c r="DH16" s="1092"/>
      <c r="DI16" s="1092"/>
      <c r="DJ16" s="1092"/>
      <c r="DK16" s="1092"/>
      <c r="DL16" s="1092"/>
      <c r="DM16" s="1092"/>
      <c r="DN16" s="1092"/>
      <c r="DO16" s="1092"/>
      <c r="DP16" s="1092"/>
      <c r="DQ16" s="1092"/>
      <c r="DR16" s="1092"/>
      <c r="DS16" s="1092"/>
      <c r="DT16" s="1092"/>
      <c r="DU16" s="1092"/>
      <c r="DV16" s="1092"/>
      <c r="DW16" s="1092"/>
      <c r="DX16" s="1092"/>
      <c r="DY16" s="1092"/>
      <c r="DZ16" s="1092"/>
      <c r="EA16" s="1092"/>
      <c r="EB16" s="1092"/>
      <c r="EC16" s="1092"/>
      <c r="ED16" s="1092"/>
      <c r="EE16" s="1092"/>
      <c r="EF16" s="1092"/>
      <c r="EG16" s="1092"/>
      <c r="EH16" s="1092"/>
      <c r="EI16" s="1092"/>
      <c r="EJ16" s="1092"/>
      <c r="EK16" s="1092"/>
      <c r="EL16" s="1092"/>
      <c r="EM16" s="1092"/>
      <c r="EN16" s="1092"/>
      <c r="EO16" s="1092"/>
      <c r="EP16" s="1092"/>
      <c r="EQ16" s="1092"/>
      <c r="ER16" s="1092"/>
      <c r="ES16" s="1092"/>
      <c r="ET16" s="1092"/>
      <c r="EU16" s="1092"/>
      <c r="EV16" s="1092"/>
      <c r="EW16" s="1092"/>
      <c r="EX16" s="1092"/>
      <c r="EY16" s="1092"/>
      <c r="EZ16" s="1092"/>
      <c r="FA16" s="1092"/>
      <c r="FB16" s="1092"/>
      <c r="FC16" s="1092"/>
      <c r="FD16" s="1092"/>
      <c r="FE16" s="1092"/>
      <c r="FF16" s="1092"/>
      <c r="FG16" s="1092"/>
      <c r="FH16" s="1092"/>
      <c r="FI16" s="1092"/>
      <c r="FJ16" s="1092"/>
      <c r="FK16" s="1092"/>
      <c r="FL16" s="1092"/>
      <c r="FM16" s="1092"/>
      <c r="FN16" s="1092"/>
      <c r="FO16" s="1092"/>
      <c r="FP16" s="1092"/>
      <c r="FQ16" s="1092"/>
      <c r="FR16" s="1092"/>
      <c r="FS16" s="1092"/>
      <c r="FT16" s="1092"/>
      <c r="FU16" s="1092"/>
      <c r="FV16" s="1092"/>
      <c r="FW16" s="1092"/>
      <c r="FX16" s="1092"/>
      <c r="FY16" s="1092"/>
      <c r="FZ16" s="1092"/>
      <c r="GA16" s="1092"/>
      <c r="GB16" s="1092"/>
      <c r="GC16" s="1092"/>
      <c r="GD16" s="1092"/>
      <c r="GE16" s="1092"/>
      <c r="GF16" s="1092"/>
      <c r="GG16" s="1092"/>
      <c r="GH16" s="1092"/>
      <c r="GI16" s="1092"/>
      <c r="GJ16" s="1092"/>
      <c r="GK16" s="1092"/>
      <c r="GL16" s="1092"/>
      <c r="GM16" s="1092"/>
      <c r="GN16" s="1092"/>
      <c r="GO16" s="1092"/>
    </row>
    <row r="17" spans="1:197" ht="16.5" thickBot="1">
      <c r="A17" s="1106"/>
      <c r="B17" s="1095"/>
      <c r="C17" s="1092"/>
      <c r="D17" s="1095"/>
      <c r="E17" s="1095"/>
      <c r="J17" s="1095"/>
      <c r="K17" s="1138"/>
      <c r="L17" s="1138"/>
      <c r="M17" s="1095"/>
      <c r="N17" s="1171"/>
      <c r="O17" s="1132"/>
      <c r="P17" s="1132"/>
      <c r="Q17" s="1112"/>
      <c r="R17" s="1175"/>
      <c r="S17" s="1146"/>
      <c r="T17" s="1154"/>
      <c r="U17" s="1103"/>
      <c r="V17" s="1103"/>
      <c r="W17" s="1169"/>
      <c r="Y17" s="1176"/>
      <c r="Z17" s="1176"/>
      <c r="AA17" s="1176"/>
      <c r="AB17" s="1177"/>
      <c r="AC17" s="1178"/>
      <c r="AD17" s="1179"/>
      <c r="AE17" s="1095"/>
      <c r="AF17" s="1117"/>
      <c r="AG17" s="1118"/>
      <c r="AH17" s="1118"/>
      <c r="AI17" s="1118"/>
      <c r="AJ17" s="1118"/>
      <c r="AK17" s="1118"/>
      <c r="AL17" s="1118"/>
      <c r="AM17" s="1118"/>
      <c r="AN17" s="1118"/>
      <c r="AO17" s="1118"/>
      <c r="AP17" s="1118"/>
      <c r="AQ17" s="1118"/>
      <c r="AR17" s="1118"/>
      <c r="AS17" s="1118"/>
      <c r="AT17" s="1118"/>
      <c r="AU17" s="1118"/>
      <c r="AV17" s="1118"/>
      <c r="AW17" s="1118"/>
      <c r="AX17" s="1118"/>
      <c r="AY17" s="1118"/>
      <c r="AZ17" s="1092"/>
      <c r="BA17" s="1092"/>
      <c r="BB17" s="1092"/>
      <c r="BC17" s="1118"/>
      <c r="BD17" s="1118"/>
      <c r="BE17" s="1118"/>
      <c r="BF17" s="1118"/>
      <c r="BG17" s="1118"/>
      <c r="BH17" s="1118"/>
      <c r="BI17" s="1092"/>
      <c r="BJ17" s="1094"/>
      <c r="BK17" s="1119"/>
      <c r="BL17" s="1092"/>
      <c r="BM17" s="1092"/>
      <c r="BN17" s="1092"/>
      <c r="BO17" s="1092"/>
      <c r="BP17" s="1092"/>
      <c r="BQ17" s="1092"/>
      <c r="BR17" s="1092"/>
      <c r="BS17" s="1092"/>
      <c r="BT17" s="1092"/>
      <c r="BU17" s="1092"/>
      <c r="BV17" s="1092"/>
      <c r="BW17" s="1092"/>
      <c r="BX17" s="1092"/>
      <c r="BY17" s="1092"/>
      <c r="BZ17" s="1092"/>
      <c r="CA17" s="1092"/>
      <c r="CB17" s="1092"/>
      <c r="CC17" s="1092"/>
      <c r="CD17" s="1092"/>
      <c r="CE17" s="1092"/>
      <c r="CF17" s="1092"/>
      <c r="CG17" s="1092"/>
      <c r="CH17" s="1092"/>
      <c r="CI17" s="1092"/>
      <c r="CJ17" s="1092"/>
      <c r="CK17" s="1092"/>
      <c r="CL17" s="1092"/>
      <c r="CM17" s="1092"/>
      <c r="CN17" s="1092"/>
      <c r="CO17" s="1092"/>
      <c r="CP17" s="1092"/>
      <c r="CQ17" s="1092"/>
      <c r="CR17" s="1092"/>
      <c r="CS17" s="1092"/>
      <c r="CT17" s="1092"/>
      <c r="CU17" s="1092"/>
      <c r="CV17" s="1092"/>
      <c r="CW17" s="1092"/>
      <c r="CX17" s="1092"/>
      <c r="CY17" s="1092"/>
      <c r="CZ17" s="1092"/>
      <c r="DA17" s="1092"/>
      <c r="DB17" s="1092"/>
      <c r="DC17" s="1092"/>
      <c r="DD17" s="1092"/>
      <c r="DE17" s="1092"/>
      <c r="DF17" s="1092"/>
      <c r="DG17" s="1092"/>
      <c r="DH17" s="1092"/>
      <c r="DI17" s="1092"/>
      <c r="DJ17" s="1092"/>
      <c r="DK17" s="1092"/>
      <c r="DL17" s="1092"/>
      <c r="DM17" s="1092"/>
      <c r="DN17" s="1092"/>
      <c r="DO17" s="1092"/>
      <c r="DP17" s="1092"/>
      <c r="DQ17" s="1092"/>
      <c r="DR17" s="1092"/>
      <c r="DS17" s="1092"/>
      <c r="DT17" s="1092"/>
      <c r="DU17" s="1092"/>
      <c r="DV17" s="1092"/>
      <c r="DW17" s="1092"/>
      <c r="DX17" s="1092"/>
      <c r="DY17" s="1092"/>
      <c r="DZ17" s="1092"/>
      <c r="EA17" s="1092"/>
      <c r="EB17" s="1092"/>
      <c r="EC17" s="1092"/>
      <c r="ED17" s="1092"/>
      <c r="EE17" s="1092"/>
      <c r="EF17" s="1092"/>
      <c r="EG17" s="1092"/>
      <c r="EH17" s="1092"/>
      <c r="EI17" s="1092"/>
      <c r="EJ17" s="1092"/>
      <c r="EK17" s="1092"/>
      <c r="EL17" s="1092"/>
      <c r="EM17" s="1092"/>
      <c r="EN17" s="1092"/>
      <c r="EO17" s="1092"/>
      <c r="EP17" s="1092"/>
      <c r="EQ17" s="1092"/>
      <c r="ER17" s="1092"/>
      <c r="ES17" s="1092"/>
      <c r="ET17" s="1092"/>
      <c r="EU17" s="1092"/>
      <c r="EV17" s="1092"/>
      <c r="EW17" s="1092"/>
      <c r="EX17" s="1092"/>
      <c r="EY17" s="1092"/>
      <c r="EZ17" s="1092"/>
      <c r="FA17" s="1092"/>
      <c r="FB17" s="1092"/>
      <c r="FC17" s="1092"/>
      <c r="FD17" s="1092"/>
      <c r="FE17" s="1092"/>
      <c r="FF17" s="1092"/>
      <c r="FG17" s="1092"/>
      <c r="FH17" s="1092"/>
      <c r="FI17" s="1092"/>
      <c r="FJ17" s="1092"/>
      <c r="FK17" s="1092"/>
      <c r="FL17" s="1092"/>
      <c r="FM17" s="1092"/>
      <c r="FN17" s="1092"/>
      <c r="FO17" s="1092"/>
      <c r="FP17" s="1092"/>
      <c r="FQ17" s="1092"/>
      <c r="FR17" s="1092"/>
      <c r="FS17" s="1092"/>
      <c r="FT17" s="1092"/>
      <c r="FU17" s="1092"/>
      <c r="FV17" s="1092"/>
      <c r="FW17" s="1092"/>
      <c r="FX17" s="1092"/>
      <c r="FY17" s="1092"/>
      <c r="FZ17" s="1092"/>
      <c r="GA17" s="1092"/>
      <c r="GB17" s="1092"/>
      <c r="GC17" s="1092"/>
      <c r="GD17" s="1092"/>
      <c r="GE17" s="1092"/>
      <c r="GF17" s="1092"/>
      <c r="GG17" s="1092"/>
      <c r="GH17" s="1092"/>
      <c r="GI17" s="1092"/>
      <c r="GJ17" s="1092"/>
      <c r="GK17" s="1092"/>
      <c r="GL17" s="1092"/>
      <c r="GM17" s="1092"/>
      <c r="GN17" s="1092"/>
      <c r="GO17" s="1092"/>
    </row>
    <row r="18" spans="1:197" ht="19.5" thickBot="1">
      <c r="A18" s="1106"/>
      <c r="B18" s="1095"/>
      <c r="C18" s="1092"/>
      <c r="D18" s="1095"/>
      <c r="E18" s="1095"/>
      <c r="M18" s="1180"/>
      <c r="N18" s="1171"/>
      <c r="O18" s="1132"/>
      <c r="P18" s="1132"/>
      <c r="Q18" s="1132"/>
      <c r="R18" s="1132"/>
      <c r="S18" s="1132"/>
      <c r="T18" s="1132"/>
      <c r="U18" s="1154"/>
      <c r="V18" s="1154"/>
      <c r="W18" s="1181"/>
      <c r="X18" s="1092"/>
      <c r="Y18" s="1092"/>
      <c r="Z18" s="1092"/>
      <c r="AA18" s="1092"/>
      <c r="AB18" s="1092"/>
      <c r="AC18" s="1182"/>
      <c r="AD18" s="1116"/>
      <c r="AE18" s="1106"/>
      <c r="AF18" s="1117"/>
      <c r="AG18" s="1118"/>
      <c r="AH18" s="1118"/>
      <c r="AI18" s="1118"/>
      <c r="AJ18" s="1118"/>
      <c r="AK18" s="1118"/>
      <c r="AL18" s="1118"/>
      <c r="AM18" s="1118"/>
      <c r="AN18" s="1118"/>
      <c r="AO18" s="1118"/>
      <c r="AP18" s="1118"/>
      <c r="AQ18" s="1118"/>
      <c r="AR18" s="1118"/>
      <c r="AS18" s="1118"/>
      <c r="AT18" s="1118"/>
      <c r="AU18" s="1118"/>
      <c r="AV18" s="1118"/>
      <c r="AW18" s="1118"/>
      <c r="AX18" s="1118"/>
      <c r="AY18" s="1118"/>
      <c r="AZ18" s="1118"/>
      <c r="BA18" s="1118"/>
      <c r="BB18" s="1118"/>
      <c r="BC18" s="1118"/>
      <c r="BD18" s="1118"/>
      <c r="BE18" s="1118"/>
      <c r="BF18" s="1118"/>
      <c r="BG18" s="1118"/>
      <c r="BH18" s="1118"/>
      <c r="BI18" s="1092"/>
      <c r="BJ18" s="1094"/>
      <c r="BK18" s="1119"/>
      <c r="BL18" s="1092"/>
      <c r="BM18" s="1092"/>
      <c r="BN18" s="1092"/>
      <c r="BO18" s="1092"/>
      <c r="BP18" s="1092"/>
      <c r="BQ18" s="1092"/>
      <c r="BR18" s="1092"/>
      <c r="BS18" s="1092"/>
      <c r="BT18" s="1092"/>
      <c r="BU18" s="1092"/>
      <c r="BV18" s="1092"/>
      <c r="BW18" s="1092"/>
      <c r="BX18" s="1092"/>
      <c r="BY18" s="1092"/>
      <c r="BZ18" s="1092"/>
      <c r="CA18" s="1092"/>
      <c r="CB18" s="1092"/>
      <c r="CC18" s="1092"/>
      <c r="CD18" s="1092"/>
      <c r="CE18" s="1092"/>
      <c r="CF18" s="1092"/>
      <c r="CG18" s="1092"/>
      <c r="CH18" s="1092"/>
      <c r="CI18" s="1092"/>
      <c r="CJ18" s="1092"/>
      <c r="CK18" s="1092"/>
      <c r="CL18" s="1092"/>
      <c r="CM18" s="1092"/>
      <c r="CN18" s="1092"/>
      <c r="CO18" s="1092"/>
      <c r="CP18" s="1092"/>
      <c r="CQ18" s="1092"/>
      <c r="CR18" s="1092"/>
      <c r="CS18" s="1092"/>
      <c r="CT18" s="1092"/>
      <c r="CU18" s="1092"/>
      <c r="CV18" s="1092"/>
      <c r="CW18" s="1092"/>
      <c r="CX18" s="1092"/>
      <c r="CY18" s="1092"/>
      <c r="CZ18" s="1092"/>
      <c r="DA18" s="1092"/>
      <c r="DB18" s="1092"/>
      <c r="DC18" s="1092"/>
      <c r="DD18" s="1092"/>
      <c r="DE18" s="1092"/>
      <c r="DF18" s="1092"/>
      <c r="DG18" s="1092"/>
      <c r="DH18" s="1092"/>
      <c r="DI18" s="1092"/>
      <c r="DJ18" s="1092"/>
      <c r="DK18" s="1092"/>
      <c r="DL18" s="1092"/>
      <c r="DM18" s="1092"/>
      <c r="DN18" s="1092"/>
      <c r="DO18" s="1092"/>
      <c r="DP18" s="1092"/>
      <c r="DQ18" s="1092"/>
      <c r="DR18" s="1092"/>
      <c r="DS18" s="1092"/>
      <c r="DT18" s="1092"/>
      <c r="DU18" s="1092"/>
      <c r="DV18" s="1092"/>
      <c r="DW18" s="1092"/>
      <c r="DX18" s="1092"/>
      <c r="DY18" s="1092"/>
      <c r="DZ18" s="1092"/>
      <c r="EA18" s="1092"/>
      <c r="EB18" s="1092"/>
      <c r="EC18" s="1092"/>
      <c r="ED18" s="1092"/>
      <c r="EE18" s="1092"/>
      <c r="EF18" s="1092"/>
      <c r="EG18" s="1092"/>
      <c r="EH18" s="1092"/>
      <c r="EI18" s="1092"/>
      <c r="EJ18" s="1092"/>
      <c r="EK18" s="1092"/>
      <c r="EL18" s="1092"/>
      <c r="EM18" s="1092"/>
      <c r="EN18" s="1092"/>
      <c r="EO18" s="1092"/>
      <c r="EP18" s="1092"/>
      <c r="EQ18" s="1092"/>
      <c r="ER18" s="1092"/>
      <c r="ES18" s="1092"/>
      <c r="ET18" s="1092"/>
      <c r="EU18" s="1092"/>
      <c r="EV18" s="1092"/>
      <c r="EW18" s="1092"/>
      <c r="EX18" s="1092"/>
      <c r="EY18" s="1092"/>
      <c r="EZ18" s="1092"/>
      <c r="FA18" s="1092"/>
      <c r="FB18" s="1092"/>
      <c r="FC18" s="1092"/>
      <c r="FD18" s="1092"/>
      <c r="FE18" s="1092"/>
      <c r="FF18" s="1092"/>
      <c r="FG18" s="1092"/>
      <c r="FH18" s="1092"/>
      <c r="FI18" s="1092"/>
      <c r="FJ18" s="1092"/>
      <c r="FK18" s="1092"/>
      <c r="FL18" s="1092"/>
      <c r="FM18" s="1092"/>
      <c r="FN18" s="1092"/>
      <c r="FO18" s="1092"/>
      <c r="FP18" s="1092"/>
      <c r="FQ18" s="1092"/>
      <c r="FR18" s="1092"/>
      <c r="FS18" s="1092"/>
      <c r="FT18" s="1092"/>
      <c r="FU18" s="1092"/>
      <c r="FV18" s="1092"/>
      <c r="FW18" s="1092"/>
      <c r="FX18" s="1092"/>
      <c r="FY18" s="1092"/>
      <c r="FZ18" s="1092"/>
      <c r="GA18" s="1092"/>
      <c r="GB18" s="1092"/>
      <c r="GC18" s="1092"/>
      <c r="GD18" s="1092"/>
      <c r="GE18" s="1092"/>
      <c r="GF18" s="1092"/>
      <c r="GG18" s="1092"/>
      <c r="GH18" s="1092"/>
      <c r="GI18" s="1092"/>
      <c r="GJ18" s="1092"/>
      <c r="GK18" s="1092"/>
      <c r="GL18" s="1092"/>
      <c r="GM18" s="1092"/>
      <c r="GN18" s="1092"/>
      <c r="GO18" s="1092"/>
    </row>
    <row r="19" spans="1:197" ht="18.75">
      <c r="A19" s="1183"/>
      <c r="B19" s="1094"/>
      <c r="C19" s="1092"/>
      <c r="D19" s="1094"/>
      <c r="F19" s="1095"/>
      <c r="G19" s="1095"/>
      <c r="H19" s="1095"/>
      <c r="K19" s="1184"/>
      <c r="L19" s="1184"/>
      <c r="M19" s="1180"/>
      <c r="N19" s="1171"/>
      <c r="O19" s="1132"/>
      <c r="P19" s="1132"/>
      <c r="Q19" s="1132"/>
      <c r="R19" s="1132"/>
      <c r="S19" s="1132"/>
      <c r="T19" s="1132"/>
      <c r="V19" s="1181"/>
      <c r="W19" s="1092"/>
      <c r="X19" s="1092"/>
      <c r="Y19" s="1092"/>
      <c r="Z19" s="1092"/>
      <c r="AA19" s="1092"/>
      <c r="AB19" s="1092"/>
      <c r="AC19" s="1115"/>
      <c r="AD19" s="1116"/>
      <c r="AE19" s="1106"/>
      <c r="AF19" s="1117"/>
      <c r="AG19" s="1118"/>
      <c r="AH19" s="1118"/>
      <c r="AI19" s="1118"/>
      <c r="AJ19" s="1118"/>
      <c r="AK19" s="1118"/>
      <c r="AL19" s="1118"/>
      <c r="AM19" s="1118"/>
      <c r="AN19" s="1118"/>
      <c r="AO19" s="1118"/>
      <c r="AP19" s="1118"/>
      <c r="AQ19" s="1118"/>
      <c r="AR19" s="1118"/>
      <c r="AS19" s="1118"/>
      <c r="AT19" s="1118"/>
      <c r="AU19" s="1118"/>
      <c r="AV19" s="1118"/>
      <c r="AW19" s="1118"/>
      <c r="AX19" s="1092"/>
      <c r="AY19" s="1092"/>
      <c r="AZ19" s="1185" t="s">
        <v>137</v>
      </c>
      <c r="BA19" s="1186"/>
      <c r="BB19" s="1187"/>
      <c r="BC19" s="1118"/>
      <c r="BD19" s="1118"/>
      <c r="BE19" s="1118"/>
      <c r="BF19" s="1118"/>
      <c r="BG19" s="1118"/>
      <c r="BH19" s="1118"/>
      <c r="BI19" s="1092"/>
      <c r="BJ19" s="1094"/>
      <c r="BK19" s="1119"/>
      <c r="BL19" s="1092"/>
      <c r="BM19" s="1092"/>
      <c r="BN19" s="1092"/>
      <c r="BO19" s="1092"/>
      <c r="BP19" s="1092"/>
      <c r="BQ19" s="1092"/>
      <c r="BR19" s="1092"/>
      <c r="BS19" s="1092"/>
      <c r="BT19" s="1092"/>
      <c r="BU19" s="1092"/>
      <c r="BV19" s="1092"/>
      <c r="BW19" s="1092"/>
      <c r="BX19" s="1092"/>
      <c r="BY19" s="1092"/>
      <c r="BZ19" s="1092"/>
      <c r="CA19" s="1092"/>
      <c r="CB19" s="1092"/>
      <c r="CC19" s="1092"/>
      <c r="CD19" s="1092"/>
      <c r="CE19" s="1092"/>
      <c r="CF19" s="1092"/>
      <c r="CG19" s="1092"/>
      <c r="CH19" s="1092"/>
      <c r="CI19" s="1092"/>
      <c r="CJ19" s="1092"/>
      <c r="CK19" s="1092"/>
      <c r="CL19" s="1092"/>
      <c r="CM19" s="1092"/>
      <c r="CN19" s="1092"/>
      <c r="CO19" s="1092"/>
      <c r="CP19" s="1092"/>
      <c r="CQ19" s="1092"/>
      <c r="CR19" s="1092"/>
      <c r="CS19" s="1092"/>
      <c r="CT19" s="1092"/>
      <c r="CU19" s="1092"/>
      <c r="CV19" s="1092"/>
      <c r="CW19" s="1092"/>
      <c r="CX19" s="1092"/>
      <c r="CY19" s="1092"/>
      <c r="CZ19" s="1092"/>
      <c r="DA19" s="1092"/>
      <c r="DB19" s="1092"/>
      <c r="DC19" s="1092"/>
      <c r="DD19" s="1092"/>
      <c r="DE19" s="1092"/>
      <c r="DF19" s="1092"/>
      <c r="DG19" s="1092"/>
      <c r="DH19" s="1092"/>
      <c r="DI19" s="1092"/>
      <c r="DJ19" s="1092"/>
      <c r="DK19" s="1092"/>
      <c r="DL19" s="1092"/>
      <c r="DM19" s="1092"/>
      <c r="DN19" s="1092"/>
      <c r="DO19" s="1092"/>
      <c r="DP19" s="1092"/>
      <c r="DQ19" s="1092"/>
      <c r="DR19" s="1092"/>
      <c r="DS19" s="1092"/>
      <c r="DT19" s="1092"/>
      <c r="DU19" s="1092"/>
      <c r="DV19" s="1092"/>
      <c r="DW19" s="1092"/>
      <c r="DX19" s="1092"/>
      <c r="DY19" s="1092"/>
      <c r="DZ19" s="1092"/>
      <c r="EA19" s="1092"/>
      <c r="EB19" s="1092"/>
      <c r="EC19" s="1092"/>
      <c r="ED19" s="1092"/>
      <c r="EE19" s="1092"/>
      <c r="EF19" s="1092"/>
      <c r="EG19" s="1092"/>
      <c r="EH19" s="1092"/>
      <c r="EI19" s="1092"/>
      <c r="EJ19" s="1092"/>
      <c r="EK19" s="1092"/>
      <c r="EL19" s="1092"/>
      <c r="EM19" s="1092"/>
      <c r="EN19" s="1092"/>
      <c r="EO19" s="1092"/>
      <c r="EP19" s="1092"/>
      <c r="EQ19" s="1092"/>
      <c r="ER19" s="1092"/>
      <c r="ES19" s="1092"/>
      <c r="ET19" s="1092"/>
      <c r="EU19" s="1092"/>
      <c r="EV19" s="1092"/>
      <c r="EW19" s="1092"/>
      <c r="EX19" s="1092"/>
      <c r="EY19" s="1092"/>
      <c r="EZ19" s="1092"/>
      <c r="FA19" s="1092"/>
      <c r="FB19" s="1092"/>
      <c r="FC19" s="1092"/>
      <c r="FD19" s="1092"/>
      <c r="FE19" s="1092"/>
      <c r="FF19" s="1092"/>
      <c r="FG19" s="1092"/>
      <c r="FH19" s="1092"/>
      <c r="FI19" s="1092"/>
      <c r="FJ19" s="1092"/>
      <c r="FK19" s="1092"/>
      <c r="FL19" s="1092"/>
      <c r="FM19" s="1092"/>
      <c r="FN19" s="1092"/>
      <c r="FO19" s="1092"/>
      <c r="FP19" s="1092"/>
      <c r="FQ19" s="1092"/>
      <c r="FR19" s="1092"/>
      <c r="FS19" s="1092"/>
      <c r="FT19" s="1092"/>
      <c r="FU19" s="1092"/>
      <c r="FV19" s="1092"/>
      <c r="FW19" s="1092"/>
      <c r="FX19" s="1092"/>
      <c r="FY19" s="1092"/>
      <c r="FZ19" s="1092"/>
      <c r="GA19" s="1092"/>
      <c r="GB19" s="1092"/>
      <c r="GC19" s="1092"/>
      <c r="GD19" s="1092"/>
      <c r="GE19" s="1092"/>
      <c r="GF19" s="1092"/>
      <c r="GG19" s="1092"/>
      <c r="GH19" s="1092"/>
      <c r="GI19" s="1092"/>
      <c r="GJ19" s="1092"/>
      <c r="GK19" s="1092"/>
      <c r="GL19" s="1092"/>
      <c r="GM19" s="1092"/>
      <c r="GN19" s="1092"/>
      <c r="GO19" s="1092"/>
    </row>
    <row r="20" spans="1:197" ht="19.5" thickBot="1">
      <c r="A20" s="1092"/>
      <c r="B20" s="1092"/>
      <c r="C20" s="1092"/>
      <c r="D20" s="1092"/>
      <c r="J20" s="1113"/>
      <c r="K20" s="1142"/>
      <c r="L20" s="1142"/>
      <c r="N20" s="1188"/>
      <c r="O20" s="1132"/>
      <c r="P20" s="1189"/>
      <c r="Q20" s="1132"/>
      <c r="R20" s="1132"/>
      <c r="S20" s="1153"/>
      <c r="T20" s="1153"/>
      <c r="U20" s="1190"/>
      <c r="V20" s="1092"/>
      <c r="W20" s="1092"/>
      <c r="X20" s="1092"/>
      <c r="Y20" s="1092"/>
      <c r="Z20" s="1092"/>
      <c r="AA20" s="1092"/>
      <c r="AB20" s="1092"/>
      <c r="AC20" s="1191"/>
      <c r="AD20" s="1192"/>
      <c r="AE20" s="1106"/>
      <c r="AF20" s="1117"/>
      <c r="AG20" s="1092"/>
      <c r="AH20" s="1193"/>
      <c r="AI20" s="1092"/>
      <c r="AJ20" s="1092"/>
      <c r="AK20" s="1092"/>
      <c r="AL20" s="1194"/>
      <c r="AM20" s="1092"/>
      <c r="AN20" s="1092"/>
      <c r="AO20" s="1092"/>
      <c r="AP20" s="1092"/>
      <c r="AQ20" s="1092"/>
      <c r="AR20" s="1092"/>
      <c r="AS20" s="1092"/>
      <c r="AT20" s="1118"/>
      <c r="AU20" s="1118"/>
      <c r="AV20" s="1118"/>
      <c r="AW20" s="1118"/>
      <c r="AX20" s="1092"/>
      <c r="AY20" s="1092"/>
      <c r="AZ20" s="1195"/>
      <c r="BA20" s="1196"/>
      <c r="BB20" s="1197"/>
      <c r="BC20" s="1118"/>
      <c r="BD20" s="1118"/>
      <c r="BE20" s="1118"/>
      <c r="BF20" s="1118"/>
      <c r="BG20" s="1118"/>
      <c r="BH20" s="1118"/>
      <c r="BI20" s="1092"/>
      <c r="BJ20" s="1094"/>
      <c r="BK20" s="1119"/>
      <c r="BL20" s="1092"/>
      <c r="BM20" s="1092"/>
      <c r="BN20" s="1092"/>
      <c r="BO20" s="1092"/>
      <c r="BP20" s="1092"/>
      <c r="BQ20" s="1092"/>
      <c r="BR20" s="1092"/>
      <c r="BS20" s="1092"/>
      <c r="BT20" s="1092"/>
      <c r="BU20" s="1092"/>
      <c r="BV20" s="1092"/>
      <c r="BW20" s="1092"/>
      <c r="BX20" s="1092"/>
      <c r="BY20" s="1092"/>
      <c r="BZ20" s="1092"/>
      <c r="CA20" s="1092"/>
      <c r="CB20" s="1092"/>
      <c r="CC20" s="1092"/>
      <c r="CD20" s="1092"/>
      <c r="CE20" s="1092"/>
      <c r="CF20" s="1092"/>
      <c r="CG20" s="1092"/>
      <c r="CH20" s="1092"/>
      <c r="CI20" s="1092"/>
      <c r="CJ20" s="1092"/>
      <c r="CK20" s="1092"/>
      <c r="CL20" s="1092"/>
      <c r="CM20" s="1092"/>
      <c r="CN20" s="1092"/>
      <c r="CO20" s="1092"/>
      <c r="CP20" s="1092"/>
      <c r="CQ20" s="1092"/>
      <c r="CR20" s="1092"/>
      <c r="CS20" s="1092"/>
      <c r="CT20" s="1092"/>
      <c r="CU20" s="1092"/>
      <c r="CV20" s="1092"/>
      <c r="CW20" s="1092"/>
      <c r="CX20" s="1092"/>
      <c r="CY20" s="1092"/>
      <c r="CZ20" s="1092"/>
      <c r="DA20" s="1092"/>
      <c r="DB20" s="1092"/>
      <c r="DC20" s="1092"/>
      <c r="DD20" s="1092"/>
      <c r="DE20" s="1092"/>
      <c r="DF20" s="1092"/>
      <c r="DG20" s="1092"/>
      <c r="DH20" s="1092"/>
      <c r="DI20" s="1092"/>
      <c r="DJ20" s="1092"/>
      <c r="DK20" s="1092"/>
      <c r="DL20" s="1092"/>
      <c r="DM20" s="1092"/>
      <c r="DN20" s="1092"/>
      <c r="DO20" s="1092"/>
      <c r="DP20" s="1092"/>
      <c r="DQ20" s="1092"/>
      <c r="DR20" s="1092"/>
      <c r="DS20" s="1092"/>
      <c r="DT20" s="1092"/>
      <c r="DU20" s="1092"/>
      <c r="DV20" s="1092"/>
      <c r="DW20" s="1092"/>
      <c r="DX20" s="1092"/>
      <c r="DY20" s="1092"/>
      <c r="DZ20" s="1092"/>
      <c r="EA20" s="1092"/>
      <c r="EB20" s="1092"/>
      <c r="EC20" s="1092"/>
      <c r="ED20" s="1092"/>
      <c r="EE20" s="1092"/>
      <c r="EF20" s="1092"/>
      <c r="EG20" s="1092"/>
      <c r="EH20" s="1092"/>
      <c r="EI20" s="1092"/>
      <c r="EJ20" s="1092"/>
      <c r="EK20" s="1092"/>
      <c r="EL20" s="1092"/>
      <c r="EM20" s="1092"/>
      <c r="EN20" s="1092"/>
      <c r="EO20" s="1092"/>
      <c r="EP20" s="1092"/>
      <c r="EQ20" s="1092"/>
      <c r="ER20" s="1092"/>
      <c r="ES20" s="1092"/>
      <c r="ET20" s="1092"/>
      <c r="EU20" s="1092"/>
      <c r="EV20" s="1092"/>
      <c r="EW20" s="1092"/>
      <c r="EX20" s="1092"/>
      <c r="EY20" s="1092"/>
      <c r="EZ20" s="1092"/>
      <c r="FA20" s="1092"/>
      <c r="FB20" s="1092"/>
      <c r="FC20" s="1092"/>
      <c r="FD20" s="1092"/>
      <c r="FE20" s="1092"/>
      <c r="FF20" s="1092"/>
      <c r="FG20" s="1092"/>
      <c r="FH20" s="1092"/>
      <c r="FI20" s="1092"/>
      <c r="FJ20" s="1092"/>
      <c r="FK20" s="1092"/>
      <c r="FL20" s="1092"/>
      <c r="FM20" s="1092"/>
      <c r="FN20" s="1092"/>
      <c r="FO20" s="1092"/>
      <c r="FP20" s="1092"/>
      <c r="FQ20" s="1092"/>
      <c r="FR20" s="1092"/>
      <c r="FS20" s="1092"/>
      <c r="FT20" s="1092"/>
      <c r="FU20" s="1092"/>
      <c r="FV20" s="1092"/>
      <c r="FW20" s="1092"/>
      <c r="FX20" s="1092"/>
      <c r="FY20" s="1092"/>
      <c r="FZ20" s="1092"/>
      <c r="GA20" s="1092"/>
      <c r="GB20" s="1092"/>
      <c r="GC20" s="1092"/>
      <c r="GD20" s="1092"/>
      <c r="GE20" s="1092"/>
      <c r="GF20" s="1092"/>
      <c r="GG20" s="1092"/>
      <c r="GH20" s="1092"/>
      <c r="GI20" s="1092"/>
      <c r="GJ20" s="1092"/>
      <c r="GK20" s="1092"/>
      <c r="GL20" s="1092"/>
      <c r="GM20" s="1092"/>
      <c r="GN20" s="1092"/>
      <c r="GO20" s="1092"/>
    </row>
    <row r="21" spans="1:197" ht="21.75" thickBot="1">
      <c r="A21" s="1198"/>
      <c r="B21" s="1198"/>
      <c r="C21" s="1199"/>
      <c r="D21" s="1199"/>
      <c r="J21" s="1142"/>
      <c r="K21" s="1200"/>
      <c r="L21" s="1147"/>
      <c r="M21" s="1142"/>
      <c r="N21" s="1201" t="s">
        <v>141</v>
      </c>
      <c r="O21" s="1202"/>
      <c r="P21" s="1203"/>
      <c r="Q21" s="1204"/>
      <c r="R21" s="1204"/>
      <c r="S21" s="1205"/>
      <c r="T21" s="1205"/>
      <c r="U21" s="1205"/>
      <c r="V21" s="1205"/>
      <c r="X21" s="1092"/>
      <c r="Y21" s="1092"/>
      <c r="Z21" s="1092"/>
      <c r="AA21" s="1092"/>
      <c r="AB21" s="1092"/>
      <c r="AC21" s="1204"/>
      <c r="AD21" s="1206"/>
      <c r="AE21" s="1106"/>
      <c r="AF21" s="1207"/>
      <c r="AG21" s="1208"/>
      <c r="AH21" s="1208"/>
      <c r="AI21" s="1208"/>
      <c r="AJ21" s="1208"/>
      <c r="AK21" s="1208"/>
      <c r="AL21" s="1209"/>
      <c r="AM21" s="1209"/>
      <c r="AN21" s="1209"/>
      <c r="AO21" s="1209"/>
      <c r="AP21" s="1209"/>
      <c r="AQ21" s="1209"/>
      <c r="AR21" s="1209"/>
      <c r="AS21" s="1210"/>
      <c r="AT21" s="1211"/>
      <c r="AU21" s="1211"/>
      <c r="AV21" s="1211"/>
      <c r="AW21" s="1211"/>
      <c r="AX21" s="1212"/>
      <c r="AY21" s="1212"/>
      <c r="AZ21" s="1213"/>
      <c r="BA21" s="1214"/>
      <c r="BB21" s="1215"/>
      <c r="BC21" s="1118"/>
      <c r="BD21" s="1118"/>
      <c r="BE21" s="1118"/>
      <c r="BF21" s="1118"/>
      <c r="BG21" s="1118"/>
      <c r="BH21" s="1118"/>
      <c r="BI21" s="1212"/>
      <c r="BJ21" s="1212"/>
      <c r="BK21" s="1216"/>
      <c r="BL21" s="1092"/>
      <c r="BM21" s="1092"/>
      <c r="BN21" s="1092"/>
      <c r="BO21" s="1092"/>
      <c r="BP21" s="1092"/>
      <c r="BQ21" s="1092"/>
      <c r="BR21" s="1092"/>
      <c r="BS21" s="1092"/>
      <c r="BT21" s="1092"/>
      <c r="BU21" s="1092"/>
      <c r="BV21" s="1092"/>
      <c r="BW21" s="1092"/>
      <c r="BX21" s="1092"/>
      <c r="BY21" s="1092"/>
      <c r="BZ21" s="1092"/>
      <c r="CA21" s="1092"/>
      <c r="CB21" s="1092"/>
      <c r="CC21" s="1092"/>
      <c r="CD21" s="1092"/>
      <c r="CE21" s="1092"/>
      <c r="CF21" s="1092"/>
      <c r="CG21" s="1092"/>
      <c r="CH21" s="1092"/>
      <c r="CI21" s="1092"/>
      <c r="CJ21" s="1092"/>
      <c r="CK21" s="1092"/>
      <c r="CL21" s="1092"/>
      <c r="CM21" s="1092"/>
      <c r="CN21" s="1092"/>
      <c r="CO21" s="1092"/>
      <c r="CP21" s="1092"/>
      <c r="CQ21" s="1092"/>
      <c r="CR21" s="1092"/>
      <c r="CS21" s="1092"/>
      <c r="CT21" s="1092"/>
      <c r="CU21" s="1092"/>
      <c r="CV21" s="1092"/>
      <c r="CW21" s="1092"/>
      <c r="CX21" s="1092"/>
      <c r="CY21" s="1092"/>
      <c r="CZ21" s="1092"/>
      <c r="DA21" s="1092"/>
      <c r="DB21" s="1092"/>
      <c r="DC21" s="1092"/>
      <c r="DD21" s="1092"/>
      <c r="DE21" s="1092"/>
      <c r="DF21" s="1092"/>
      <c r="DG21" s="1092"/>
      <c r="DH21" s="1092"/>
      <c r="DI21" s="1092"/>
      <c r="DJ21" s="1092"/>
      <c r="DK21" s="1092"/>
      <c r="DL21" s="1092"/>
      <c r="DM21" s="1092"/>
      <c r="DN21" s="1092"/>
      <c r="DO21" s="1092"/>
      <c r="DP21" s="1092"/>
      <c r="DQ21" s="1092"/>
      <c r="DR21" s="1092"/>
      <c r="DS21" s="1092"/>
      <c r="DT21" s="1092"/>
      <c r="DU21" s="1092"/>
      <c r="DV21" s="1092"/>
      <c r="DW21" s="1092"/>
      <c r="DX21" s="1092"/>
      <c r="DY21" s="1092"/>
      <c r="DZ21" s="1092"/>
      <c r="EA21" s="1092"/>
      <c r="EB21" s="1092"/>
      <c r="EC21" s="1092"/>
      <c r="ED21" s="1092"/>
      <c r="EE21" s="1092"/>
      <c r="EF21" s="1092"/>
      <c r="EG21" s="1092"/>
      <c r="EH21" s="1092"/>
      <c r="EI21" s="1092"/>
      <c r="EJ21" s="1092"/>
      <c r="EK21" s="1092"/>
      <c r="EL21" s="1092"/>
      <c r="EM21" s="1092"/>
      <c r="EN21" s="1092"/>
      <c r="EO21" s="1092"/>
      <c r="EP21" s="1092"/>
      <c r="EQ21" s="1092"/>
      <c r="ER21" s="1092"/>
      <c r="ES21" s="1092"/>
      <c r="ET21" s="1092"/>
      <c r="EU21" s="1092"/>
      <c r="EV21" s="1092"/>
      <c r="EW21" s="1092"/>
      <c r="EX21" s="1092"/>
      <c r="EY21" s="1092"/>
      <c r="EZ21" s="1092"/>
      <c r="FA21" s="1092"/>
      <c r="FB21" s="1092"/>
      <c r="FC21" s="1092"/>
      <c r="FD21" s="1092"/>
      <c r="FE21" s="1092"/>
      <c r="FF21" s="1092"/>
      <c r="FG21" s="1092"/>
      <c r="FH21" s="1092"/>
      <c r="FI21" s="1092"/>
      <c r="FJ21" s="1092"/>
      <c r="FK21" s="1092"/>
      <c r="FL21" s="1092"/>
      <c r="FM21" s="1092"/>
      <c r="FN21" s="1092"/>
      <c r="FO21" s="1092"/>
      <c r="FP21" s="1092"/>
      <c r="FQ21" s="1092"/>
      <c r="FR21" s="1092"/>
      <c r="FS21" s="1092"/>
      <c r="FT21" s="1092"/>
      <c r="FU21" s="1092"/>
      <c r="FV21" s="1092"/>
      <c r="FW21" s="1092"/>
      <c r="FX21" s="1092"/>
      <c r="FY21" s="1092"/>
      <c r="FZ21" s="1092"/>
      <c r="GA21" s="1092"/>
      <c r="GB21" s="1092"/>
      <c r="GC21" s="1092"/>
      <c r="GD21" s="1092"/>
      <c r="GE21" s="1092"/>
      <c r="GF21" s="1092"/>
      <c r="GG21" s="1092"/>
      <c r="GH21" s="1092"/>
      <c r="GI21" s="1092"/>
      <c r="GJ21" s="1092"/>
      <c r="GK21" s="1092"/>
      <c r="GL21" s="1092"/>
      <c r="GM21" s="1092"/>
      <c r="GN21" s="1092"/>
      <c r="GO21" s="1092"/>
    </row>
    <row r="22" spans="1:197" ht="21.75" thickBot="1">
      <c r="A22" s="1097"/>
      <c r="B22" s="1097"/>
      <c r="C22" s="1097"/>
      <c r="D22" s="1097"/>
      <c r="E22" s="1097"/>
      <c r="F22" s="1096"/>
      <c r="G22" s="1096"/>
      <c r="H22" s="1096"/>
      <c r="I22" s="1142"/>
      <c r="J22" s="1200"/>
      <c r="K22" s="1126"/>
      <c r="L22" s="1126"/>
      <c r="M22" s="1217"/>
      <c r="N22" s="1091"/>
      <c r="O22" s="1091"/>
      <c r="P22" s="1218"/>
      <c r="Q22" s="1218"/>
      <c r="R22" s="1218"/>
      <c r="S22" s="1218"/>
      <c r="T22" s="1218"/>
      <c r="U22" s="1218"/>
      <c r="V22" s="1218"/>
      <c r="W22" s="1218"/>
      <c r="X22" s="1218"/>
      <c r="Y22" s="1218"/>
      <c r="Z22" s="1218"/>
      <c r="AA22" s="1218"/>
      <c r="AB22" s="1218"/>
      <c r="AC22" s="1094"/>
      <c r="AD22" s="1094"/>
      <c r="AE22" s="1219"/>
      <c r="AF22" s="1220"/>
      <c r="AG22" s="1221">
        <v>106556</v>
      </c>
      <c r="AH22" s="1221">
        <v>110217</v>
      </c>
      <c r="AI22" s="1222">
        <v>106681</v>
      </c>
      <c r="AJ22" s="1223">
        <v>110209</v>
      </c>
      <c r="AK22" s="1224">
        <v>109960</v>
      </c>
      <c r="AL22" s="1220"/>
      <c r="AM22" s="1225"/>
      <c r="AN22" s="1092"/>
      <c r="AO22" s="1092"/>
      <c r="AP22" s="1103"/>
      <c r="AQ22" s="1103"/>
      <c r="AR22" s="1226"/>
      <c r="AS22" s="1226"/>
      <c r="AT22" s="1226"/>
      <c r="AU22" s="1226"/>
      <c r="AV22" s="1227"/>
      <c r="AW22" s="1227"/>
      <c r="AX22" s="1092"/>
      <c r="AY22" s="1092"/>
      <c r="AZ22" s="1092"/>
      <c r="BA22" s="1092"/>
      <c r="BB22" s="1228"/>
      <c r="BC22" s="1229">
        <v>8758379</v>
      </c>
      <c r="BD22" s="1229">
        <v>8758358</v>
      </c>
      <c r="BE22" s="1229">
        <v>8758345</v>
      </c>
      <c r="BF22" s="1230">
        <v>8758424</v>
      </c>
      <c r="BG22" s="1230">
        <v>8758427</v>
      </c>
      <c r="BH22" s="1231">
        <v>8758382</v>
      </c>
      <c r="BI22" s="1228"/>
      <c r="BJ22" s="1232"/>
      <c r="BK22" s="1233"/>
      <c r="BL22" s="1121"/>
      <c r="BM22" s="1092"/>
      <c r="BN22" s="1092"/>
      <c r="BO22" s="1092"/>
      <c r="BP22" s="1092"/>
      <c r="BQ22" s="1092"/>
      <c r="BR22" s="1092"/>
      <c r="BS22" s="1092"/>
      <c r="BT22" s="1092"/>
      <c r="BU22" s="1092"/>
      <c r="BV22" s="1092"/>
      <c r="BW22" s="1092"/>
      <c r="BX22" s="1092"/>
      <c r="BY22" s="1092"/>
      <c r="BZ22" s="1092"/>
      <c r="CA22" s="1092"/>
      <c r="CB22" s="1092"/>
      <c r="CC22" s="1092"/>
      <c r="CD22" s="1092"/>
      <c r="CE22" s="1092"/>
      <c r="CF22" s="1092"/>
      <c r="CG22" s="1092"/>
      <c r="CH22" s="1092"/>
      <c r="CI22" s="1092"/>
      <c r="CJ22" s="1092"/>
      <c r="CK22" s="1092"/>
      <c r="CL22" s="1092"/>
      <c r="CM22" s="1092"/>
      <c r="CN22" s="1092"/>
      <c r="CO22" s="1092"/>
      <c r="CP22" s="1092"/>
      <c r="CQ22" s="1092"/>
      <c r="CR22" s="1092"/>
      <c r="CS22" s="1092"/>
      <c r="CT22" s="1092"/>
      <c r="CU22" s="1092"/>
      <c r="CV22" s="1092"/>
      <c r="CW22" s="1092"/>
      <c r="CX22" s="1092"/>
      <c r="CY22" s="1092"/>
      <c r="CZ22" s="1092"/>
      <c r="DA22" s="1092"/>
      <c r="DB22" s="1092"/>
      <c r="DC22" s="1092"/>
      <c r="DD22" s="1092"/>
      <c r="DE22" s="1092"/>
      <c r="DF22" s="1092"/>
      <c r="DG22" s="1092"/>
      <c r="DH22" s="1092"/>
      <c r="DI22" s="1092"/>
      <c r="DJ22" s="1092"/>
      <c r="DK22" s="1092"/>
      <c r="DL22" s="1092"/>
      <c r="DM22" s="1092"/>
      <c r="DN22" s="1092"/>
      <c r="DO22" s="1092"/>
      <c r="DP22" s="1092"/>
      <c r="DQ22" s="1092"/>
      <c r="DR22" s="1092"/>
      <c r="DS22" s="1092"/>
      <c r="DT22" s="1092"/>
      <c r="DU22" s="1092"/>
      <c r="DV22" s="1092"/>
      <c r="DW22" s="1092"/>
      <c r="DX22" s="1092"/>
      <c r="DY22" s="1092"/>
      <c r="DZ22" s="1092"/>
      <c r="EA22" s="1092"/>
      <c r="EB22" s="1092"/>
      <c r="EC22" s="1092"/>
      <c r="ED22" s="1092"/>
      <c r="EE22" s="1092"/>
      <c r="EF22" s="1092"/>
      <c r="EG22" s="1092"/>
      <c r="EH22" s="1092"/>
      <c r="EI22" s="1092"/>
      <c r="EJ22" s="1092"/>
      <c r="EK22" s="1092"/>
      <c r="EL22" s="1092"/>
      <c r="EM22" s="1092"/>
      <c r="EN22" s="1092"/>
      <c r="EO22" s="1092"/>
      <c r="EP22" s="1092"/>
      <c r="EQ22" s="1092"/>
      <c r="ER22" s="1092"/>
      <c r="ES22" s="1092"/>
      <c r="ET22" s="1092"/>
      <c r="EU22" s="1092"/>
      <c r="EV22" s="1092"/>
      <c r="EW22" s="1092"/>
      <c r="EX22" s="1092"/>
      <c r="EY22" s="1092"/>
      <c r="EZ22" s="1092"/>
      <c r="FA22" s="1092"/>
      <c r="FB22" s="1092"/>
      <c r="FC22" s="1092"/>
      <c r="FD22" s="1092"/>
      <c r="FE22" s="1092"/>
      <c r="FF22" s="1092"/>
      <c r="FG22" s="1092"/>
      <c r="FH22" s="1092"/>
      <c r="FI22" s="1092"/>
      <c r="FJ22" s="1092"/>
      <c r="FK22" s="1092"/>
      <c r="FL22" s="1092"/>
      <c r="FM22" s="1092"/>
      <c r="FN22" s="1092"/>
      <c r="FO22" s="1092"/>
      <c r="FP22" s="1092"/>
      <c r="FQ22" s="1092"/>
      <c r="FR22" s="1092"/>
      <c r="FS22" s="1092"/>
      <c r="FT22" s="1092"/>
      <c r="FU22" s="1092"/>
      <c r="FV22" s="1092"/>
      <c r="FW22" s="1092"/>
      <c r="FX22" s="1092"/>
      <c r="FY22" s="1092"/>
      <c r="FZ22" s="1092"/>
      <c r="GA22" s="1092"/>
      <c r="GB22" s="1092"/>
      <c r="GC22" s="1092"/>
      <c r="GD22" s="1092"/>
      <c r="GE22" s="1092"/>
      <c r="GF22" s="1092"/>
      <c r="GG22" s="1092"/>
      <c r="GH22" s="1092"/>
      <c r="GI22" s="1092"/>
      <c r="GJ22" s="1092"/>
      <c r="GK22" s="1092"/>
      <c r="GL22" s="1092"/>
      <c r="GM22" s="1092"/>
      <c r="GN22" s="1092"/>
      <c r="GO22" s="1092"/>
    </row>
    <row r="23" spans="1:197" ht="23.25">
      <c r="A23" s="1234"/>
      <c r="B23" s="1232"/>
      <c r="C23" s="1232"/>
      <c r="D23" s="1092"/>
      <c r="E23" s="1235"/>
      <c r="F23" s="1236"/>
      <c r="G23" s="1092"/>
      <c r="H23" s="1092"/>
      <c r="I23" s="1092"/>
      <c r="J23" s="1092"/>
      <c r="K23" s="1092"/>
      <c r="L23" s="1092"/>
      <c r="M23" s="1092"/>
      <c r="N23" s="1092"/>
      <c r="O23" s="1091"/>
      <c r="P23" s="1237"/>
      <c r="Q23" s="1237"/>
      <c r="R23" s="1237"/>
      <c r="S23" s="1237"/>
      <c r="T23" s="1237"/>
      <c r="U23" s="1237"/>
      <c r="V23" s="1238"/>
      <c r="W23" s="1153"/>
      <c r="X23" s="1238"/>
      <c r="Y23" s="1239"/>
      <c r="Z23" s="1238"/>
      <c r="AA23" s="1240"/>
      <c r="AB23" s="1238"/>
      <c r="AC23" s="1094"/>
      <c r="AD23" s="1094"/>
      <c r="AE23" s="1094"/>
      <c r="AF23" s="1149" t="s">
        <v>149</v>
      </c>
      <c r="AG23" s="1220" t="s">
        <v>129</v>
      </c>
      <c r="AH23" s="1220" t="s">
        <v>129</v>
      </c>
      <c r="AI23" s="1220" t="s">
        <v>129</v>
      </c>
      <c r="AJ23" s="1220" t="s">
        <v>129</v>
      </c>
      <c r="AK23" s="1220" t="s">
        <v>129</v>
      </c>
      <c r="AL23" s="1225"/>
      <c r="AM23" s="1092"/>
      <c r="AN23" s="1092"/>
      <c r="AO23" s="1092"/>
      <c r="AP23" s="1092"/>
      <c r="AQ23" s="1092"/>
      <c r="AR23" s="1092"/>
      <c r="AS23" s="1092"/>
      <c r="AT23" s="1092"/>
      <c r="AU23" s="1092"/>
      <c r="AV23" s="1092"/>
      <c r="AW23" s="1092"/>
      <c r="AX23" s="1092"/>
      <c r="AY23" s="1092"/>
      <c r="AZ23" s="1092"/>
      <c r="BA23" s="1092"/>
      <c r="BB23" s="1149" t="s">
        <v>150</v>
      </c>
      <c r="BC23" s="1228" t="s">
        <v>129</v>
      </c>
      <c r="BD23" s="1228" t="s">
        <v>129</v>
      </c>
      <c r="BE23" s="1228" t="s">
        <v>129</v>
      </c>
      <c r="BF23" s="1228" t="s">
        <v>129</v>
      </c>
      <c r="BG23" s="1228" t="s">
        <v>129</v>
      </c>
      <c r="BH23" s="1228" t="s">
        <v>129</v>
      </c>
      <c r="BI23" s="1241"/>
      <c r="BJ23" s="1242"/>
      <c r="BK23" s="1168"/>
      <c r="BL23" s="1121"/>
      <c r="BM23" s="1092"/>
      <c r="BN23" s="1092"/>
      <c r="BO23" s="1092"/>
      <c r="BP23" s="1092"/>
      <c r="BQ23" s="1092"/>
      <c r="BR23" s="1092"/>
      <c r="BS23" s="1092"/>
      <c r="BT23" s="1092"/>
      <c r="BU23" s="1092"/>
      <c r="BV23" s="1092"/>
      <c r="BW23" s="1092"/>
      <c r="BX23" s="1092"/>
      <c r="BY23" s="1092"/>
      <c r="BZ23" s="1092"/>
      <c r="CA23" s="1092"/>
      <c r="CB23" s="1092"/>
      <c r="CC23" s="1092"/>
      <c r="CD23" s="1092"/>
      <c r="CE23" s="1092"/>
      <c r="CF23" s="1092"/>
      <c r="CG23" s="1092"/>
      <c r="CH23" s="1092"/>
      <c r="CI23" s="1092"/>
      <c r="CJ23" s="1092"/>
      <c r="CK23" s="1092"/>
      <c r="CL23" s="1092"/>
      <c r="CM23" s="1092"/>
      <c r="CN23" s="1092"/>
      <c r="CO23" s="1092"/>
      <c r="CP23" s="1092"/>
      <c r="CQ23" s="1092"/>
      <c r="CR23" s="1092"/>
      <c r="CS23" s="1092"/>
      <c r="CT23" s="1092"/>
      <c r="CU23" s="1092"/>
      <c r="CV23" s="1092"/>
      <c r="CW23" s="1092"/>
      <c r="CX23" s="1092"/>
      <c r="CY23" s="1092"/>
      <c r="CZ23" s="1092"/>
      <c r="DA23" s="1092"/>
      <c r="DB23" s="1092"/>
      <c r="DC23" s="1092"/>
      <c r="DD23" s="1092"/>
      <c r="DE23" s="1092"/>
      <c r="DF23" s="1092"/>
      <c r="DG23" s="1092"/>
      <c r="DH23" s="1092"/>
      <c r="DI23" s="1092"/>
      <c r="DJ23" s="1092"/>
      <c r="DK23" s="1092"/>
      <c r="DL23" s="1092"/>
      <c r="DM23" s="1092"/>
      <c r="DN23" s="1092"/>
      <c r="DO23" s="1092"/>
      <c r="DP23" s="1092"/>
      <c r="DQ23" s="1092"/>
      <c r="DR23" s="1092"/>
      <c r="DS23" s="1092"/>
      <c r="DT23" s="1092"/>
      <c r="DU23" s="1092"/>
      <c r="DV23" s="1092"/>
      <c r="DW23" s="1092"/>
      <c r="DX23" s="1092"/>
      <c r="DY23" s="1092"/>
      <c r="DZ23" s="1092"/>
      <c r="EA23" s="1092"/>
      <c r="EB23" s="1092"/>
      <c r="EC23" s="1092"/>
      <c r="ED23" s="1092"/>
      <c r="EE23" s="1092"/>
      <c r="EF23" s="1092"/>
      <c r="EG23" s="1092"/>
      <c r="EH23" s="1092"/>
      <c r="EI23" s="1092"/>
      <c r="EJ23" s="1092"/>
      <c r="EK23" s="1092"/>
      <c r="EL23" s="1092"/>
      <c r="EM23" s="1092"/>
      <c r="EN23" s="1092"/>
      <c r="EO23" s="1092"/>
      <c r="EP23" s="1092"/>
      <c r="EQ23" s="1092"/>
      <c r="ER23" s="1092"/>
      <c r="ES23" s="1092"/>
      <c r="ET23" s="1092"/>
      <c r="EU23" s="1092"/>
      <c r="EV23" s="1092"/>
      <c r="EW23" s="1092"/>
      <c r="EX23" s="1092"/>
      <c r="EY23" s="1092"/>
      <c r="EZ23" s="1092"/>
      <c r="FA23" s="1092"/>
      <c r="FB23" s="1092"/>
      <c r="FC23" s="1092"/>
      <c r="FD23" s="1092"/>
      <c r="FE23" s="1092"/>
      <c r="FF23" s="1092"/>
      <c r="FG23" s="1092"/>
      <c r="FH23" s="1092"/>
      <c r="FI23" s="1092"/>
      <c r="FJ23" s="1092"/>
      <c r="FK23" s="1092"/>
      <c r="FL23" s="1092"/>
      <c r="FM23" s="1092"/>
      <c r="FN23" s="1092"/>
      <c r="FO23" s="1092"/>
      <c r="FP23" s="1092"/>
      <c r="FQ23" s="1092"/>
      <c r="FR23" s="1092"/>
      <c r="FS23" s="1092"/>
      <c r="FT23" s="1092"/>
      <c r="FU23" s="1092"/>
      <c r="FV23" s="1092"/>
      <c r="FW23" s="1092"/>
      <c r="FX23" s="1092"/>
      <c r="FY23" s="1092"/>
      <c r="FZ23" s="1092"/>
      <c r="GA23" s="1092"/>
      <c r="GB23" s="1092"/>
      <c r="GC23" s="1092"/>
      <c r="GD23" s="1092"/>
      <c r="GE23" s="1092"/>
      <c r="GF23" s="1092"/>
      <c r="GG23" s="1092"/>
      <c r="GH23" s="1092"/>
      <c r="GI23" s="1092"/>
      <c r="GJ23" s="1092"/>
      <c r="GK23" s="1092"/>
      <c r="GL23" s="1092"/>
      <c r="GM23" s="1092"/>
      <c r="GN23" s="1092"/>
      <c r="GO23" s="1092"/>
    </row>
    <row r="24" spans="1:197" ht="21">
      <c r="A24" s="1234"/>
      <c r="B24" s="1232"/>
      <c r="C24" s="1232"/>
      <c r="D24" s="1092"/>
      <c r="E24" s="1092"/>
      <c r="F24" s="1243"/>
      <c r="G24" s="1244"/>
      <c r="H24" s="1092"/>
      <c r="I24" s="1092"/>
      <c r="J24" s="1092"/>
      <c r="K24" s="1092"/>
      <c r="L24" s="1092"/>
      <c r="M24" s="1092"/>
      <c r="N24" s="1245"/>
      <c r="O24" s="1246"/>
      <c r="P24" s="1128"/>
      <c r="Q24" s="1128"/>
      <c r="R24" s="1128"/>
      <c r="S24" s="1128"/>
      <c r="T24" s="1128"/>
      <c r="U24" s="1128"/>
      <c r="V24" s="1091"/>
      <c r="W24" s="1094"/>
      <c r="X24" s="1094"/>
      <c r="Y24" s="1094"/>
      <c r="Z24" s="1094"/>
      <c r="AA24" s="1094"/>
      <c r="AB24" s="1094"/>
      <c r="AC24" s="1094"/>
      <c r="AD24" s="1094"/>
      <c r="AE24" s="1094"/>
      <c r="AF24" s="1247"/>
      <c r="AG24" s="1248">
        <v>1</v>
      </c>
      <c r="AH24" s="1248">
        <v>2</v>
      </c>
      <c r="AI24" s="1248">
        <v>3</v>
      </c>
      <c r="AJ24" s="1248">
        <v>4</v>
      </c>
      <c r="AK24" s="1248">
        <v>5</v>
      </c>
      <c r="AL24" s="1249"/>
      <c r="AM24" s="1249"/>
      <c r="AN24" s="1249"/>
      <c r="AO24" s="1249"/>
      <c r="AP24" s="1249"/>
      <c r="AQ24" s="1249"/>
      <c r="AR24" s="1249"/>
      <c r="AS24" s="1249"/>
      <c r="AT24" s="1249"/>
      <c r="AU24" s="1249"/>
      <c r="AV24" s="1249"/>
      <c r="AW24" s="1249"/>
      <c r="AX24" s="1249"/>
      <c r="AY24" s="1249"/>
      <c r="AZ24" s="1092"/>
      <c r="BB24" s="1250" t="s">
        <v>153</v>
      </c>
      <c r="BC24" s="1251">
        <v>1</v>
      </c>
      <c r="BD24" s="1251">
        <v>2</v>
      </c>
      <c r="BE24" s="1251">
        <v>3</v>
      </c>
      <c r="BF24" s="1251">
        <v>4</v>
      </c>
      <c r="BG24" s="1251">
        <v>5</v>
      </c>
      <c r="BH24" s="1251">
        <v>6</v>
      </c>
      <c r="BI24" s="1094"/>
      <c r="BJ24" s="1094"/>
      <c r="BK24" s="1168"/>
      <c r="BL24" s="1121"/>
      <c r="BM24" s="1092"/>
      <c r="BN24" s="1092"/>
      <c r="BO24" s="1092"/>
      <c r="BP24" s="1092"/>
      <c r="BQ24" s="1092"/>
      <c r="BR24" s="1092"/>
      <c r="BS24" s="1092"/>
      <c r="BT24" s="1092"/>
      <c r="BU24" s="1092"/>
      <c r="BV24" s="1092"/>
      <c r="BW24" s="1092"/>
      <c r="BX24" s="1092"/>
      <c r="BY24" s="1092"/>
      <c r="BZ24" s="1092"/>
      <c r="CA24" s="1092"/>
      <c r="CB24" s="1092"/>
      <c r="CC24" s="1092"/>
      <c r="CD24" s="1092"/>
      <c r="CE24" s="1092"/>
      <c r="CF24" s="1092"/>
      <c r="CG24" s="1092"/>
      <c r="CH24" s="1092"/>
      <c r="CI24" s="1092"/>
      <c r="CJ24" s="1092"/>
      <c r="CK24" s="1092"/>
      <c r="CL24" s="1092"/>
      <c r="CM24" s="1092"/>
      <c r="CN24" s="1092"/>
      <c r="CO24" s="1092"/>
      <c r="CP24" s="1092"/>
      <c r="CQ24" s="1092"/>
      <c r="CR24" s="1092"/>
      <c r="CS24" s="1092"/>
      <c r="CT24" s="1092"/>
      <c r="CU24" s="1092"/>
      <c r="CV24" s="1092"/>
      <c r="CW24" s="1092"/>
      <c r="CX24" s="1092"/>
      <c r="CY24" s="1092"/>
      <c r="CZ24" s="1092"/>
      <c r="DA24" s="1092"/>
      <c r="DB24" s="1092"/>
      <c r="DC24" s="1092"/>
      <c r="DD24" s="1092"/>
      <c r="DE24" s="1092"/>
      <c r="DF24" s="1092"/>
      <c r="DG24" s="1092"/>
      <c r="DH24" s="1092"/>
      <c r="DI24" s="1092"/>
      <c r="DJ24" s="1092"/>
      <c r="DK24" s="1092"/>
      <c r="DL24" s="1092"/>
      <c r="DM24" s="1092"/>
      <c r="DN24" s="1092"/>
      <c r="DO24" s="1092"/>
      <c r="DP24" s="1092"/>
      <c r="DQ24" s="1092"/>
      <c r="DR24" s="1092"/>
      <c r="DS24" s="1092"/>
      <c r="DT24" s="1092"/>
      <c r="DU24" s="1092"/>
      <c r="DV24" s="1092"/>
      <c r="DW24" s="1092"/>
      <c r="DX24" s="1092"/>
      <c r="DY24" s="1092"/>
      <c r="DZ24" s="1092"/>
      <c r="EA24" s="1092"/>
      <c r="EB24" s="1092"/>
      <c r="EC24" s="1092"/>
      <c r="ED24" s="1092"/>
      <c r="EE24" s="1092"/>
      <c r="EF24" s="1092"/>
      <c r="EG24" s="1092"/>
      <c r="EH24" s="1092"/>
      <c r="EI24" s="1092"/>
      <c r="EJ24" s="1092"/>
      <c r="EK24" s="1092"/>
      <c r="EL24" s="1092"/>
      <c r="EM24" s="1092"/>
      <c r="EN24" s="1092"/>
      <c r="EO24" s="1092"/>
      <c r="EP24" s="1092"/>
      <c r="EQ24" s="1092"/>
      <c r="ER24" s="1092"/>
      <c r="ES24" s="1092"/>
      <c r="ET24" s="1092"/>
      <c r="EU24" s="1092"/>
      <c r="EV24" s="1092"/>
      <c r="EW24" s="1092"/>
      <c r="EX24" s="1092"/>
      <c r="EY24" s="1092"/>
      <c r="EZ24" s="1092"/>
      <c r="FA24" s="1092"/>
      <c r="FB24" s="1092"/>
      <c r="FC24" s="1092"/>
      <c r="FD24" s="1092"/>
      <c r="FE24" s="1092"/>
      <c r="FF24" s="1092"/>
      <c r="FG24" s="1092"/>
      <c r="FH24" s="1092"/>
      <c r="FI24" s="1092"/>
      <c r="FJ24" s="1092"/>
      <c r="FK24" s="1092"/>
      <c r="FL24" s="1092"/>
      <c r="FM24" s="1092"/>
      <c r="FN24" s="1092"/>
      <c r="FO24" s="1092"/>
      <c r="FP24" s="1092"/>
      <c r="FQ24" s="1092"/>
      <c r="FR24" s="1092"/>
      <c r="FS24" s="1092"/>
      <c r="FT24" s="1092"/>
      <c r="FU24" s="1092"/>
      <c r="FV24" s="1092"/>
      <c r="FW24" s="1092"/>
      <c r="FX24" s="1092"/>
      <c r="FY24" s="1092"/>
      <c r="FZ24" s="1092"/>
      <c r="GA24" s="1092"/>
      <c r="GB24" s="1092"/>
      <c r="GC24" s="1092"/>
      <c r="GD24" s="1092"/>
      <c r="GE24" s="1092"/>
      <c r="GF24" s="1092"/>
      <c r="GG24" s="1092"/>
      <c r="GH24" s="1092"/>
      <c r="GI24" s="1092"/>
      <c r="GJ24" s="1092"/>
      <c r="GK24" s="1092"/>
      <c r="GL24" s="1092"/>
      <c r="GM24" s="1092"/>
      <c r="GN24" s="1092"/>
      <c r="GO24" s="1092"/>
    </row>
    <row r="25" spans="1:197" ht="21">
      <c r="A25" s="1252"/>
      <c r="B25" s="1246"/>
      <c r="C25" s="1246"/>
      <c r="D25" s="1092"/>
      <c r="E25" s="1092"/>
      <c r="F25" s="1253"/>
      <c r="G25" s="1244"/>
      <c r="H25" s="1092"/>
      <c r="I25" s="1092"/>
      <c r="K25" s="1092"/>
      <c r="L25" s="1092"/>
      <c r="M25" s="1092"/>
      <c r="N25" s="1254"/>
      <c r="O25" s="1254"/>
      <c r="P25" s="1091"/>
      <c r="Q25" s="1091"/>
      <c r="R25" s="1091"/>
      <c r="S25" s="1091"/>
      <c r="T25" s="1091"/>
      <c r="U25" s="1091"/>
      <c r="V25" s="1091"/>
      <c r="W25" s="1092"/>
      <c r="X25" s="1092"/>
      <c r="Y25" s="1092"/>
      <c r="Z25" s="1092"/>
      <c r="AA25" s="1092"/>
      <c r="AB25" s="1092"/>
      <c r="AC25" s="1092"/>
      <c r="AD25" s="1092"/>
      <c r="AE25" s="1255"/>
      <c r="AF25" s="1256" t="s">
        <v>155</v>
      </c>
      <c r="AG25" s="1256"/>
      <c r="AH25" s="1255"/>
      <c r="AI25" s="1092"/>
      <c r="AJ25" s="1092"/>
      <c r="AK25" s="1092"/>
      <c r="AL25" s="1256" t="s">
        <v>155</v>
      </c>
      <c r="AM25" s="1256"/>
      <c r="AN25" s="1092"/>
      <c r="AO25" s="1092"/>
      <c r="AP25" s="1092"/>
      <c r="AQ25" s="1092"/>
      <c r="AR25" s="1257"/>
      <c r="AS25" s="1257"/>
      <c r="AT25" s="1257"/>
      <c r="AU25" s="1257"/>
      <c r="AV25" s="1255"/>
      <c r="AW25" s="1092"/>
      <c r="AX25" s="1092"/>
      <c r="AY25" s="1092"/>
      <c r="AZ25" s="1092"/>
      <c r="BB25" s="1250"/>
      <c r="BC25" s="1258"/>
      <c r="BD25" s="1259"/>
      <c r="BE25" s="1259"/>
      <c r="BF25" s="1259"/>
      <c r="BG25" s="1259"/>
      <c r="BH25" s="1259"/>
      <c r="BI25" s="1194"/>
      <c r="BJ25" s="1260"/>
      <c r="BK25" s="1168"/>
      <c r="BL25" s="1121"/>
      <c r="BM25" s="1092"/>
      <c r="BN25" s="1092"/>
      <c r="BO25" s="1092"/>
      <c r="BP25" s="1092"/>
      <c r="BQ25" s="1092"/>
      <c r="BR25" s="1092"/>
      <c r="BS25" s="1092"/>
      <c r="BT25" s="1092"/>
      <c r="BU25" s="1092"/>
      <c r="BV25" s="1092"/>
      <c r="BW25" s="1092"/>
      <c r="BX25" s="1092"/>
      <c r="BY25" s="1092"/>
      <c r="BZ25" s="1092"/>
      <c r="CA25" s="1092"/>
      <c r="CB25" s="1092"/>
      <c r="CC25" s="1092"/>
      <c r="CD25" s="1092"/>
      <c r="CE25" s="1092"/>
      <c r="CF25" s="1092"/>
      <c r="CG25" s="1092"/>
      <c r="CH25" s="1092"/>
      <c r="CI25" s="1092"/>
      <c r="CJ25" s="1092"/>
      <c r="CK25" s="1092"/>
      <c r="CL25" s="1092"/>
      <c r="CM25" s="1092"/>
      <c r="CN25" s="1092"/>
      <c r="CO25" s="1092"/>
      <c r="CP25" s="1092"/>
      <c r="CQ25" s="1092"/>
      <c r="CR25" s="1092"/>
      <c r="CS25" s="1092"/>
      <c r="CT25" s="1092"/>
      <c r="CU25" s="1092"/>
      <c r="CV25" s="1092"/>
      <c r="CW25" s="1092"/>
      <c r="CX25" s="1092"/>
      <c r="CY25" s="1092"/>
      <c r="CZ25" s="1092"/>
      <c r="DA25" s="1092"/>
      <c r="DB25" s="1092"/>
      <c r="DC25" s="1092"/>
      <c r="DD25" s="1092"/>
      <c r="DE25" s="1092"/>
      <c r="DF25" s="1092"/>
      <c r="DG25" s="1092"/>
      <c r="DH25" s="1092"/>
      <c r="DI25" s="1092"/>
      <c r="DJ25" s="1092"/>
      <c r="DK25" s="1092"/>
      <c r="DL25" s="1092"/>
      <c r="DM25" s="1092"/>
      <c r="DN25" s="1092"/>
      <c r="DO25" s="1092"/>
      <c r="DP25" s="1092"/>
      <c r="DQ25" s="1092"/>
      <c r="DR25" s="1092"/>
      <c r="DS25" s="1092"/>
      <c r="DT25" s="1092"/>
      <c r="DU25" s="1092"/>
      <c r="DV25" s="1092"/>
      <c r="DW25" s="1092"/>
      <c r="DX25" s="1092"/>
      <c r="DY25" s="1092"/>
      <c r="DZ25" s="1092"/>
      <c r="EA25" s="1092"/>
      <c r="EB25" s="1092"/>
      <c r="EC25" s="1092"/>
      <c r="ED25" s="1092"/>
      <c r="EE25" s="1092"/>
      <c r="EF25" s="1092"/>
      <c r="EG25" s="1092"/>
      <c r="EH25" s="1092"/>
      <c r="EI25" s="1092"/>
      <c r="EJ25" s="1092"/>
      <c r="EK25" s="1092"/>
      <c r="EL25" s="1092"/>
      <c r="EM25" s="1092"/>
      <c r="EN25" s="1092"/>
      <c r="EO25" s="1092"/>
      <c r="EP25" s="1092"/>
      <c r="EQ25" s="1092"/>
      <c r="ER25" s="1092"/>
      <c r="ES25" s="1092"/>
      <c r="ET25" s="1092"/>
      <c r="EU25" s="1092"/>
      <c r="EV25" s="1092"/>
      <c r="EW25" s="1092"/>
      <c r="EX25" s="1092"/>
      <c r="EY25" s="1092"/>
      <c r="EZ25" s="1092"/>
      <c r="FA25" s="1092"/>
      <c r="FB25" s="1092"/>
      <c r="FC25" s="1092"/>
      <c r="FD25" s="1092"/>
      <c r="FE25" s="1092"/>
      <c r="FF25" s="1092"/>
      <c r="FG25" s="1092"/>
      <c r="FH25" s="1092"/>
      <c r="FI25" s="1092"/>
      <c r="FJ25" s="1092"/>
      <c r="FK25" s="1092"/>
      <c r="FL25" s="1092"/>
      <c r="FM25" s="1092"/>
      <c r="FN25" s="1092"/>
      <c r="FO25" s="1092"/>
      <c r="FP25" s="1092"/>
      <c r="FQ25" s="1092"/>
      <c r="FR25" s="1092"/>
      <c r="FS25" s="1092"/>
      <c r="FT25" s="1092"/>
      <c r="FU25" s="1092"/>
      <c r="FV25" s="1092"/>
      <c r="FW25" s="1092"/>
      <c r="FX25" s="1092"/>
      <c r="FY25" s="1092"/>
      <c r="FZ25" s="1092"/>
      <c r="GA25" s="1092"/>
      <c r="GB25" s="1092"/>
      <c r="GC25" s="1092"/>
      <c r="GD25" s="1092"/>
      <c r="GE25" s="1092"/>
      <c r="GF25" s="1092"/>
      <c r="GG25" s="1092"/>
      <c r="GH25" s="1092"/>
      <c r="GI25" s="1092"/>
      <c r="GJ25" s="1092"/>
      <c r="GK25" s="1092"/>
      <c r="GL25" s="1092"/>
      <c r="GM25" s="1092"/>
      <c r="GN25" s="1092"/>
      <c r="GO25" s="1092"/>
    </row>
    <row r="26" spans="1:197" ht="23.25">
      <c r="A26" s="1261"/>
      <c r="B26" s="1262"/>
      <c r="C26" s="1262"/>
      <c r="D26" s="1094"/>
      <c r="E26" s="1094"/>
      <c r="F26" s="1263"/>
      <c r="G26" s="1264"/>
      <c r="H26" s="1092"/>
      <c r="I26" s="1262"/>
      <c r="K26" s="1265"/>
      <c r="L26" s="1265"/>
      <c r="M26" s="1265"/>
      <c r="N26" s="1266"/>
      <c r="O26" s="1266"/>
      <c r="P26" s="1091"/>
      <c r="Q26" s="1091"/>
      <c r="R26" s="1267"/>
      <c r="S26" s="1267"/>
      <c r="T26" s="1267"/>
      <c r="U26" s="1267"/>
      <c r="V26" s="1091"/>
      <c r="W26" s="1092"/>
      <c r="X26" s="1268"/>
      <c r="Y26" s="1268"/>
      <c r="Z26" s="1268"/>
      <c r="AA26" s="1092"/>
      <c r="AB26" s="1267"/>
      <c r="AC26" s="1267"/>
      <c r="AD26" s="1092"/>
      <c r="AE26" s="1113" t="s">
        <v>150</v>
      </c>
      <c r="AF26" s="1228"/>
      <c r="AG26" s="1228"/>
      <c r="AH26" s="1269" t="s">
        <v>1072</v>
      </c>
      <c r="AI26" s="1270"/>
      <c r="AJ26" s="1247"/>
      <c r="AK26" s="1113" t="s">
        <v>159</v>
      </c>
      <c r="AL26" s="1228"/>
      <c r="AM26" s="1228"/>
      <c r="AN26" s="1257"/>
      <c r="AO26" s="1257"/>
      <c r="AP26" s="1094"/>
      <c r="AQ26" s="1149" t="s">
        <v>160</v>
      </c>
      <c r="AR26" s="1220"/>
      <c r="AS26" s="1220"/>
      <c r="AT26" s="1271"/>
      <c r="AU26" s="1269" t="s">
        <v>161</v>
      </c>
      <c r="AV26" s="1092"/>
      <c r="AW26" s="1092"/>
      <c r="AX26" s="1092"/>
      <c r="AY26" s="1092"/>
      <c r="AZ26" s="1092"/>
      <c r="BA26" s="1247"/>
      <c r="BB26" s="1247"/>
      <c r="BC26" s="1247"/>
      <c r="BD26" s="1272"/>
      <c r="BE26" s="1272"/>
      <c r="BF26" s="1272"/>
      <c r="BG26" s="1168"/>
      <c r="BH26" s="1168"/>
      <c r="BI26" s="1194"/>
      <c r="BJ26" s="1114"/>
      <c r="BK26" s="1168"/>
      <c r="BL26" s="1121"/>
      <c r="BM26" s="1092"/>
      <c r="BN26" s="1092"/>
      <c r="BO26" s="1092"/>
      <c r="BP26" s="1092"/>
      <c r="BQ26" s="1092"/>
      <c r="BR26" s="1092"/>
      <c r="BS26" s="1092"/>
      <c r="BT26" s="1092"/>
      <c r="BU26" s="1092"/>
      <c r="BV26" s="1092"/>
      <c r="BW26" s="1092"/>
      <c r="BX26" s="1092"/>
      <c r="BY26" s="1092"/>
      <c r="BZ26" s="1092"/>
      <c r="CA26" s="1092"/>
      <c r="CB26" s="1092"/>
      <c r="CC26" s="1092"/>
      <c r="CD26" s="1092"/>
      <c r="CE26" s="1092"/>
      <c r="CF26" s="1092"/>
      <c r="CG26" s="1092"/>
      <c r="CH26" s="1092"/>
      <c r="CI26" s="1092"/>
      <c r="CJ26" s="1092"/>
      <c r="CK26" s="1092"/>
      <c r="CL26" s="1092"/>
      <c r="CM26" s="1092"/>
      <c r="CN26" s="1092"/>
      <c r="CO26" s="1092"/>
      <c r="CP26" s="1092"/>
      <c r="CQ26" s="1092"/>
      <c r="CR26" s="1092"/>
      <c r="CS26" s="1092"/>
      <c r="CT26" s="1092"/>
      <c r="CU26" s="1092"/>
      <c r="CV26" s="1092"/>
      <c r="CW26" s="1092"/>
      <c r="CX26" s="1092"/>
      <c r="CY26" s="1092"/>
      <c r="CZ26" s="1092"/>
      <c r="DA26" s="1092"/>
      <c r="DB26" s="1092"/>
      <c r="DC26" s="1092"/>
      <c r="DD26" s="1092"/>
      <c r="DE26" s="1092"/>
      <c r="DF26" s="1092"/>
      <c r="DG26" s="1092"/>
      <c r="DH26" s="1092"/>
      <c r="DI26" s="1092"/>
      <c r="DJ26" s="1092"/>
      <c r="DK26" s="1092"/>
      <c r="DL26" s="1092"/>
      <c r="DM26" s="1092"/>
      <c r="DN26" s="1092"/>
      <c r="DO26" s="1092"/>
      <c r="DP26" s="1092"/>
      <c r="DQ26" s="1092"/>
      <c r="DR26" s="1092"/>
      <c r="DS26" s="1092"/>
      <c r="DT26" s="1092"/>
      <c r="DU26" s="1092"/>
      <c r="DV26" s="1092"/>
      <c r="DW26" s="1092"/>
      <c r="DX26" s="1092"/>
      <c r="DY26" s="1092"/>
      <c r="DZ26" s="1092"/>
      <c r="EA26" s="1092"/>
      <c r="EB26" s="1092"/>
      <c r="EC26" s="1092"/>
      <c r="ED26" s="1092"/>
      <c r="EE26" s="1092"/>
      <c r="EF26" s="1092"/>
      <c r="EG26" s="1092"/>
      <c r="EH26" s="1092"/>
      <c r="EI26" s="1092"/>
      <c r="EJ26" s="1092"/>
      <c r="EK26" s="1092"/>
      <c r="EL26" s="1092"/>
      <c r="EM26" s="1092"/>
      <c r="EN26" s="1092"/>
      <c r="EO26" s="1092"/>
      <c r="EP26" s="1092"/>
      <c r="EQ26" s="1092"/>
      <c r="ER26" s="1092"/>
      <c r="ES26" s="1092"/>
      <c r="ET26" s="1092"/>
      <c r="EU26" s="1092"/>
      <c r="EV26" s="1092"/>
      <c r="EW26" s="1092"/>
      <c r="EX26" s="1092"/>
      <c r="EY26" s="1092"/>
      <c r="EZ26" s="1092"/>
      <c r="FA26" s="1092"/>
      <c r="FB26" s="1092"/>
      <c r="FC26" s="1092"/>
      <c r="FD26" s="1092"/>
      <c r="FE26" s="1092"/>
      <c r="FF26" s="1092"/>
      <c r="FG26" s="1092"/>
      <c r="FH26" s="1092"/>
      <c r="FI26" s="1092"/>
      <c r="FJ26" s="1092"/>
      <c r="FK26" s="1092"/>
      <c r="FL26" s="1092"/>
      <c r="FM26" s="1092"/>
      <c r="FN26" s="1092"/>
      <c r="FO26" s="1092"/>
      <c r="FP26" s="1092"/>
      <c r="FQ26" s="1092"/>
      <c r="FR26" s="1092"/>
      <c r="FS26" s="1092"/>
      <c r="FT26" s="1092"/>
      <c r="FU26" s="1092"/>
      <c r="FV26" s="1092"/>
      <c r="FW26" s="1092"/>
      <c r="FX26" s="1092"/>
      <c r="FY26" s="1092"/>
      <c r="FZ26" s="1092"/>
      <c r="GA26" s="1092"/>
      <c r="GB26" s="1092"/>
      <c r="GC26" s="1092"/>
      <c r="GD26" s="1092"/>
      <c r="GE26" s="1092"/>
      <c r="GF26" s="1092"/>
      <c r="GG26" s="1092"/>
      <c r="GH26" s="1092"/>
      <c r="GI26" s="1092"/>
      <c r="GJ26" s="1092"/>
      <c r="GK26" s="1092"/>
      <c r="GL26" s="1092"/>
      <c r="GM26" s="1092"/>
      <c r="GN26" s="1092"/>
      <c r="GO26" s="1092"/>
    </row>
    <row r="27" spans="1:197" ht="21">
      <c r="A27" s="1252"/>
      <c r="B27" s="1246"/>
      <c r="C27" s="1232"/>
      <c r="D27" s="1094"/>
      <c r="E27" s="1094"/>
      <c r="F27" s="1263"/>
      <c r="G27" s="1264"/>
      <c r="H27" s="1092"/>
      <c r="I27" s="1095"/>
      <c r="K27" s="1232"/>
      <c r="L27" s="1273"/>
      <c r="M27" s="1274"/>
      <c r="N27" s="1274"/>
      <c r="O27" s="1232"/>
      <c r="P27" s="1232"/>
      <c r="Q27" s="1091"/>
      <c r="R27" s="1275"/>
      <c r="S27" s="1120"/>
      <c r="T27" s="1120"/>
      <c r="U27" s="1153"/>
      <c r="V27" s="1091"/>
      <c r="W27" s="1092"/>
      <c r="X27" s="1268"/>
      <c r="Y27" s="1273"/>
      <c r="Z27" s="1266"/>
      <c r="AA27" s="1266"/>
      <c r="AB27" s="1276"/>
      <c r="AC27" s="1092"/>
      <c r="AD27" s="1277">
        <v>1</v>
      </c>
      <c r="AE27" s="1278"/>
      <c r="AF27" s="1279">
        <v>3321212</v>
      </c>
      <c r="AG27" s="1279">
        <v>3321943</v>
      </c>
      <c r="AH27" s="1278"/>
      <c r="AI27" s="1280">
        <v>6</v>
      </c>
      <c r="AJ27" s="1277">
        <v>1</v>
      </c>
      <c r="AK27" s="1278"/>
      <c r="AL27" s="1281">
        <v>3321217</v>
      </c>
      <c r="AM27" s="1281">
        <v>3321218</v>
      </c>
      <c r="AN27" s="1278"/>
      <c r="AO27" s="1280">
        <v>6</v>
      </c>
      <c r="AP27" s="1241">
        <v>1</v>
      </c>
      <c r="AQ27" s="1220" t="s">
        <v>129</v>
      </c>
      <c r="AR27" s="1231">
        <v>110490</v>
      </c>
      <c r="AS27" s="1229">
        <v>110223</v>
      </c>
      <c r="AT27" s="1220" t="s">
        <v>129</v>
      </c>
      <c r="AU27" s="1282">
        <v>6</v>
      </c>
      <c r="AV27" s="1092"/>
      <c r="AW27" s="1283"/>
      <c r="AX27" s="1272"/>
      <c r="AY27" s="1168"/>
      <c r="AZ27" s="1284"/>
      <c r="BA27" s="1247"/>
      <c r="BB27" s="1247"/>
      <c r="BC27" s="1247"/>
      <c r="BD27" s="1285"/>
      <c r="BE27" s="1285"/>
      <c r="BF27" s="1285"/>
      <c r="BG27" s="1226"/>
      <c r="BH27" s="1226"/>
      <c r="BI27" s="1194"/>
      <c r="BJ27" s="1286"/>
      <c r="BK27" s="1168"/>
      <c r="BL27" s="1121"/>
      <c r="BM27" s="1092"/>
      <c r="BN27" s="1092"/>
      <c r="BO27" s="1092"/>
      <c r="BP27" s="1092"/>
      <c r="BQ27" s="1092"/>
      <c r="BR27" s="1092"/>
      <c r="BS27" s="1092"/>
      <c r="BT27" s="1092"/>
      <c r="BU27" s="1092"/>
      <c r="BV27" s="1092"/>
      <c r="BW27" s="1092"/>
      <c r="BX27" s="1092"/>
      <c r="BY27" s="1092"/>
      <c r="BZ27" s="1092"/>
      <c r="CA27" s="1092"/>
      <c r="CB27" s="1092"/>
      <c r="CC27" s="1092"/>
      <c r="CD27" s="1092"/>
      <c r="CE27" s="1092"/>
      <c r="CF27" s="1092"/>
      <c r="CG27" s="1092"/>
      <c r="CH27" s="1092"/>
      <c r="CI27" s="1092"/>
      <c r="CJ27" s="1092"/>
      <c r="CK27" s="1092"/>
      <c r="CL27" s="1092"/>
      <c r="CM27" s="1092"/>
      <c r="CN27" s="1092"/>
      <c r="CO27" s="1092"/>
      <c r="CP27" s="1092"/>
      <c r="CQ27" s="1092"/>
      <c r="CR27" s="1092"/>
      <c r="CS27" s="1092"/>
      <c r="CT27" s="1092"/>
      <c r="CU27" s="1092"/>
      <c r="CV27" s="1092"/>
      <c r="CW27" s="1092"/>
      <c r="CX27" s="1092"/>
      <c r="CY27" s="1092"/>
      <c r="CZ27" s="1092"/>
      <c r="DA27" s="1092"/>
      <c r="DB27" s="1092"/>
      <c r="DC27" s="1092"/>
      <c r="DD27" s="1092"/>
      <c r="DE27" s="1092"/>
      <c r="DF27" s="1092"/>
      <c r="DG27" s="1092"/>
      <c r="DH27" s="1092"/>
      <c r="DI27" s="1092"/>
      <c r="DJ27" s="1092"/>
      <c r="DK27" s="1092"/>
      <c r="DL27" s="1092"/>
      <c r="DM27" s="1092"/>
      <c r="DN27" s="1092"/>
      <c r="DO27" s="1092"/>
      <c r="DP27" s="1092"/>
      <c r="DQ27" s="1092"/>
      <c r="DR27" s="1092"/>
      <c r="DS27" s="1092"/>
      <c r="DT27" s="1092"/>
      <c r="DU27" s="1092"/>
      <c r="DV27" s="1092"/>
      <c r="DW27" s="1092"/>
      <c r="DX27" s="1092"/>
      <c r="DY27" s="1092"/>
      <c r="DZ27" s="1092"/>
      <c r="EA27" s="1092"/>
      <c r="EB27" s="1092"/>
      <c r="EC27" s="1092"/>
      <c r="ED27" s="1092"/>
      <c r="EE27" s="1092"/>
      <c r="EF27" s="1092"/>
      <c r="EG27" s="1092"/>
      <c r="EH27" s="1092"/>
      <c r="EI27" s="1092"/>
      <c r="EJ27" s="1092"/>
      <c r="EK27" s="1092"/>
      <c r="EL27" s="1092"/>
      <c r="EM27" s="1092"/>
      <c r="EN27" s="1092"/>
      <c r="EO27" s="1092"/>
      <c r="EP27" s="1092"/>
      <c r="EQ27" s="1092"/>
      <c r="ER27" s="1092"/>
      <c r="ES27" s="1092"/>
      <c r="ET27" s="1092"/>
      <c r="EU27" s="1092"/>
      <c r="EV27" s="1092"/>
      <c r="EW27" s="1092"/>
      <c r="EX27" s="1092"/>
      <c r="EY27" s="1092"/>
      <c r="EZ27" s="1092"/>
      <c r="FA27" s="1092"/>
      <c r="FB27" s="1092"/>
      <c r="FC27" s="1092"/>
      <c r="FD27" s="1092"/>
      <c r="FE27" s="1092"/>
      <c r="FF27" s="1092"/>
      <c r="FG27" s="1092"/>
      <c r="FH27" s="1092"/>
      <c r="FI27" s="1092"/>
      <c r="FJ27" s="1092"/>
      <c r="FK27" s="1092"/>
      <c r="FL27" s="1092"/>
      <c r="FM27" s="1092"/>
      <c r="FN27" s="1092"/>
      <c r="FO27" s="1092"/>
      <c r="FP27" s="1092"/>
      <c r="FQ27" s="1092"/>
      <c r="FR27" s="1092"/>
      <c r="FS27" s="1092"/>
      <c r="FT27" s="1092"/>
      <c r="FU27" s="1092"/>
      <c r="FV27" s="1092"/>
      <c r="FW27" s="1092"/>
      <c r="FX27" s="1092"/>
      <c r="FY27" s="1092"/>
      <c r="FZ27" s="1092"/>
      <c r="GA27" s="1092"/>
      <c r="GB27" s="1092"/>
      <c r="GC27" s="1092"/>
      <c r="GD27" s="1092"/>
      <c r="GE27" s="1092"/>
      <c r="GF27" s="1092"/>
      <c r="GG27" s="1092"/>
      <c r="GH27" s="1092"/>
      <c r="GI27" s="1092"/>
      <c r="GJ27" s="1092"/>
      <c r="GK27" s="1092"/>
      <c r="GL27" s="1092"/>
      <c r="GM27" s="1092"/>
      <c r="GN27" s="1092"/>
      <c r="GO27" s="1092"/>
    </row>
    <row r="28" spans="1:197" ht="21">
      <c r="A28" s="1252"/>
      <c r="B28" s="1246"/>
      <c r="C28" s="1245"/>
      <c r="D28" s="1094"/>
      <c r="E28" s="1094"/>
      <c r="F28" s="1263"/>
      <c r="G28" s="1264"/>
      <c r="H28" s="1092"/>
      <c r="I28" s="1095"/>
      <c r="K28" s="1287"/>
      <c r="L28" s="1274"/>
      <c r="M28" s="1218"/>
      <c r="N28" s="1218"/>
      <c r="O28" s="1274"/>
      <c r="P28" s="1288"/>
      <c r="Q28" s="1091"/>
      <c r="R28" s="1092"/>
      <c r="S28" s="1092"/>
      <c r="T28" s="1092"/>
      <c r="U28" s="1153"/>
      <c r="V28" s="1091"/>
      <c r="W28" s="1092"/>
      <c r="X28" s="1268"/>
      <c r="Y28" s="1289"/>
      <c r="Z28" s="1218"/>
      <c r="AA28" s="1218"/>
      <c r="AB28" s="1289"/>
      <c r="AC28" s="1092"/>
      <c r="AD28" s="1277">
        <v>2</v>
      </c>
      <c r="AE28" s="1278"/>
      <c r="AF28" s="1290">
        <v>3320283</v>
      </c>
      <c r="AG28" s="1290">
        <v>3320255</v>
      </c>
      <c r="AH28" s="1278"/>
      <c r="AI28" s="1280">
        <v>5</v>
      </c>
      <c r="AJ28" s="1277">
        <v>2</v>
      </c>
      <c r="AK28" s="1278"/>
      <c r="AL28" s="1290">
        <v>3321225</v>
      </c>
      <c r="AM28" s="1290">
        <v>3321214</v>
      </c>
      <c r="AN28" s="1278"/>
      <c r="AO28" s="1280">
        <v>5</v>
      </c>
      <c r="AP28" s="1241">
        <v>2</v>
      </c>
      <c r="AQ28" s="1220" t="s">
        <v>129</v>
      </c>
      <c r="AR28" s="1231">
        <v>113924</v>
      </c>
      <c r="AS28" s="1229">
        <v>106722</v>
      </c>
      <c r="AT28" s="1220" t="s">
        <v>129</v>
      </c>
      <c r="AU28" s="1282">
        <v>5</v>
      </c>
      <c r="AV28" s="1092"/>
      <c r="AW28" s="1283"/>
      <c r="AX28" s="1272"/>
      <c r="AY28" s="1168"/>
      <c r="AZ28" s="1284"/>
      <c r="BA28" s="1194"/>
      <c r="BC28" s="1194"/>
      <c r="BD28" s="1200"/>
      <c r="BE28" s="1146"/>
      <c r="BF28" s="1148"/>
      <c r="BG28" s="1148"/>
      <c r="BH28" s="1148"/>
      <c r="BI28" s="1259"/>
      <c r="BJ28" s="1114"/>
      <c r="BK28" s="1168"/>
      <c r="BL28" s="1121"/>
      <c r="BM28" s="1092"/>
      <c r="BN28" s="1092"/>
      <c r="BO28" s="1092"/>
      <c r="BP28" s="1092"/>
      <c r="BQ28" s="1092"/>
      <c r="BR28" s="1092"/>
      <c r="BS28" s="1092"/>
      <c r="BT28" s="1092"/>
      <c r="BU28" s="1092"/>
      <c r="BV28" s="1092"/>
      <c r="BW28" s="1092"/>
      <c r="BX28" s="1092"/>
      <c r="BY28" s="1092"/>
      <c r="BZ28" s="1092"/>
      <c r="CA28" s="1092"/>
      <c r="CB28" s="1092"/>
      <c r="CC28" s="1092"/>
      <c r="CD28" s="1092"/>
      <c r="CE28" s="1092"/>
      <c r="CF28" s="1092"/>
      <c r="CG28" s="1092"/>
      <c r="CH28" s="1092"/>
      <c r="CI28" s="1092"/>
      <c r="CJ28" s="1092"/>
      <c r="CK28" s="1092"/>
      <c r="CL28" s="1092"/>
      <c r="CM28" s="1092"/>
      <c r="CN28" s="1092"/>
      <c r="CO28" s="1092"/>
      <c r="CP28" s="1092"/>
      <c r="CQ28" s="1092"/>
      <c r="CR28" s="1092"/>
      <c r="CS28" s="1092"/>
      <c r="CT28" s="1092"/>
      <c r="CU28" s="1092"/>
      <c r="CV28" s="1092"/>
      <c r="CW28" s="1092"/>
      <c r="CX28" s="1092"/>
      <c r="CY28" s="1092"/>
      <c r="CZ28" s="1092"/>
      <c r="DA28" s="1092"/>
      <c r="DB28" s="1092"/>
      <c r="DC28" s="1092"/>
      <c r="DD28" s="1092"/>
      <c r="DE28" s="1092"/>
      <c r="DF28" s="1092"/>
      <c r="DG28" s="1092"/>
      <c r="DH28" s="1092"/>
      <c r="DI28" s="1092"/>
      <c r="DJ28" s="1092"/>
      <c r="DK28" s="1092"/>
      <c r="DL28" s="1092"/>
      <c r="DM28" s="1092"/>
      <c r="DN28" s="1092"/>
      <c r="DO28" s="1092"/>
      <c r="DP28" s="1092"/>
      <c r="DQ28" s="1092"/>
      <c r="DR28" s="1092"/>
      <c r="DS28" s="1092"/>
      <c r="DT28" s="1092"/>
      <c r="DU28" s="1092"/>
      <c r="DV28" s="1092"/>
      <c r="DW28" s="1092"/>
      <c r="DX28" s="1092"/>
      <c r="DY28" s="1092"/>
      <c r="DZ28" s="1092"/>
      <c r="EA28" s="1092"/>
      <c r="EB28" s="1092"/>
      <c r="EC28" s="1092"/>
      <c r="ED28" s="1092"/>
      <c r="EE28" s="1092"/>
      <c r="EF28" s="1092"/>
      <c r="EG28" s="1092"/>
      <c r="EH28" s="1092"/>
      <c r="EI28" s="1092"/>
      <c r="EJ28" s="1092"/>
      <c r="EK28" s="1092"/>
      <c r="EL28" s="1092"/>
      <c r="EM28" s="1092"/>
      <c r="EN28" s="1092"/>
      <c r="EO28" s="1092"/>
      <c r="EP28" s="1092"/>
      <c r="EQ28" s="1092"/>
      <c r="ER28" s="1092"/>
      <c r="ES28" s="1092"/>
      <c r="ET28" s="1092"/>
      <c r="EU28" s="1092"/>
      <c r="EV28" s="1092"/>
      <c r="EW28" s="1092"/>
      <c r="EX28" s="1092"/>
      <c r="EY28" s="1092"/>
      <c r="EZ28" s="1092"/>
      <c r="FA28" s="1092"/>
      <c r="FB28" s="1092"/>
      <c r="FC28" s="1092"/>
      <c r="FD28" s="1092"/>
      <c r="FE28" s="1092"/>
      <c r="FF28" s="1092"/>
      <c r="FG28" s="1092"/>
      <c r="FH28" s="1092"/>
      <c r="FI28" s="1092"/>
      <c r="FJ28" s="1092"/>
      <c r="FK28" s="1092"/>
      <c r="FL28" s="1092"/>
      <c r="FM28" s="1092"/>
      <c r="FN28" s="1092"/>
      <c r="FO28" s="1092"/>
      <c r="FP28" s="1092"/>
      <c r="FQ28" s="1092"/>
      <c r="FR28" s="1092"/>
      <c r="FS28" s="1092"/>
      <c r="FT28" s="1092"/>
      <c r="FU28" s="1092"/>
      <c r="FV28" s="1092"/>
      <c r="FW28" s="1092"/>
      <c r="FX28" s="1092"/>
      <c r="FY28" s="1092"/>
      <c r="FZ28" s="1092"/>
      <c r="GA28" s="1092"/>
      <c r="GB28" s="1092"/>
      <c r="GC28" s="1092"/>
      <c r="GD28" s="1092"/>
      <c r="GE28" s="1092"/>
      <c r="GF28" s="1092"/>
      <c r="GG28" s="1092"/>
      <c r="GH28" s="1092"/>
      <c r="GI28" s="1092"/>
      <c r="GJ28" s="1092"/>
      <c r="GK28" s="1092"/>
      <c r="GL28" s="1092"/>
      <c r="GM28" s="1092"/>
      <c r="GN28" s="1092"/>
      <c r="GO28" s="1092"/>
    </row>
    <row r="29" spans="1:197" ht="21">
      <c r="A29" s="1252"/>
      <c r="B29" s="1246"/>
      <c r="C29" s="1245"/>
      <c r="D29" s="1094"/>
      <c r="E29" s="1094"/>
      <c r="F29" s="1263"/>
      <c r="G29" s="1264"/>
      <c r="H29" s="1152"/>
      <c r="I29" s="1095"/>
      <c r="K29" s="1287"/>
      <c r="L29" s="1274"/>
      <c r="M29" s="1218"/>
      <c r="N29" s="1218"/>
      <c r="O29" s="1274"/>
      <c r="P29" s="1288"/>
      <c r="Q29" s="1091"/>
      <c r="R29" s="1092"/>
      <c r="S29" s="1120"/>
      <c r="T29" s="1120"/>
      <c r="U29" s="1153"/>
      <c r="V29" s="1092"/>
      <c r="W29" s="1092"/>
      <c r="X29" s="1268"/>
      <c r="Y29" s="1289"/>
      <c r="Z29" s="1218"/>
      <c r="AA29" s="1218"/>
      <c r="AB29" s="1289"/>
      <c r="AC29" s="1092"/>
      <c r="AD29" s="1277">
        <v>3</v>
      </c>
      <c r="AE29" s="1278"/>
      <c r="AF29" s="1279">
        <v>3320286</v>
      </c>
      <c r="AG29" s="1279">
        <v>3320266</v>
      </c>
      <c r="AH29" s="1278"/>
      <c r="AI29" s="1280">
        <v>4</v>
      </c>
      <c r="AJ29" s="1277">
        <v>3</v>
      </c>
      <c r="AK29" s="1278"/>
      <c r="AL29" s="1290">
        <v>3321219</v>
      </c>
      <c r="AM29" s="1290">
        <v>3320202</v>
      </c>
      <c r="AN29" s="1278"/>
      <c r="AO29" s="1280">
        <v>4</v>
      </c>
      <c r="AP29" s="1241">
        <v>3</v>
      </c>
      <c r="AQ29" s="1220" t="s">
        <v>129</v>
      </c>
      <c r="AR29" s="1231">
        <v>115087</v>
      </c>
      <c r="AS29" s="1229">
        <v>113509</v>
      </c>
      <c r="AT29" s="1220" t="s">
        <v>129</v>
      </c>
      <c r="AU29" s="1282">
        <v>4</v>
      </c>
      <c r="AV29" s="1092"/>
      <c r="AW29" s="1283"/>
      <c r="AX29" s="1272"/>
      <c r="AY29" s="1120"/>
      <c r="AZ29" s="1092"/>
      <c r="BA29" s="1092"/>
      <c r="BC29" s="1258"/>
      <c r="BD29" s="1148"/>
      <c r="BE29" s="1148"/>
      <c r="BF29" s="1148"/>
      <c r="BG29" s="1148"/>
      <c r="BH29" s="1148"/>
      <c r="BI29" s="1181"/>
      <c r="BJ29" s="1291"/>
      <c r="BK29" s="1168"/>
      <c r="BL29" s="1121"/>
      <c r="BM29" s="1092"/>
      <c r="BN29" s="1092"/>
      <c r="BO29" s="1092"/>
      <c r="BP29" s="1092"/>
      <c r="BQ29" s="1092"/>
      <c r="BR29" s="1092"/>
      <c r="BS29" s="1092"/>
      <c r="BT29" s="1092"/>
      <c r="BU29" s="1092"/>
      <c r="BV29" s="1092"/>
      <c r="BW29" s="1092"/>
      <c r="BX29" s="1092"/>
      <c r="BY29" s="1092"/>
      <c r="BZ29" s="1092"/>
      <c r="CA29" s="1092"/>
      <c r="CB29" s="1092"/>
      <c r="CC29" s="1092"/>
      <c r="CD29" s="1092"/>
      <c r="CE29" s="1092"/>
      <c r="CF29" s="1092"/>
      <c r="CG29" s="1092"/>
      <c r="CH29" s="1092"/>
      <c r="CI29" s="1092"/>
      <c r="CJ29" s="1092"/>
      <c r="CK29" s="1092"/>
      <c r="CL29" s="1092"/>
      <c r="CM29" s="1092"/>
      <c r="CN29" s="1092"/>
      <c r="CO29" s="1092"/>
      <c r="CP29" s="1092"/>
      <c r="CQ29" s="1092"/>
      <c r="CR29" s="1092"/>
      <c r="CS29" s="1092"/>
      <c r="CT29" s="1092"/>
      <c r="CU29" s="1092"/>
      <c r="CV29" s="1092"/>
      <c r="CW29" s="1092"/>
      <c r="CX29" s="1092"/>
      <c r="CY29" s="1092"/>
      <c r="CZ29" s="1092"/>
      <c r="DA29" s="1092"/>
      <c r="DB29" s="1092"/>
      <c r="DC29" s="1092"/>
      <c r="DD29" s="1092"/>
      <c r="DE29" s="1092"/>
      <c r="DF29" s="1092"/>
      <c r="DG29" s="1092"/>
      <c r="DH29" s="1092"/>
      <c r="DI29" s="1092"/>
      <c r="DJ29" s="1092"/>
      <c r="DK29" s="1092"/>
      <c r="DL29" s="1092"/>
      <c r="DM29" s="1092"/>
      <c r="DN29" s="1092"/>
      <c r="DO29" s="1092"/>
      <c r="DP29" s="1092"/>
      <c r="DQ29" s="1092"/>
      <c r="DR29" s="1092"/>
      <c r="DS29" s="1092"/>
      <c r="DT29" s="1092"/>
      <c r="DU29" s="1092"/>
      <c r="DV29" s="1092"/>
      <c r="DW29" s="1092"/>
      <c r="DX29" s="1092"/>
      <c r="DY29" s="1092"/>
      <c r="DZ29" s="1092"/>
      <c r="EA29" s="1092"/>
      <c r="EB29" s="1092"/>
      <c r="EC29" s="1092"/>
      <c r="ED29" s="1092"/>
      <c r="EE29" s="1092"/>
      <c r="EF29" s="1092"/>
      <c r="EG29" s="1092"/>
      <c r="EH29" s="1092"/>
      <c r="EI29" s="1092"/>
      <c r="EJ29" s="1092"/>
      <c r="EK29" s="1092"/>
      <c r="EL29" s="1092"/>
      <c r="EM29" s="1092"/>
      <c r="EN29" s="1092"/>
      <c r="EO29" s="1092"/>
      <c r="EP29" s="1092"/>
      <c r="EQ29" s="1092"/>
      <c r="ER29" s="1092"/>
      <c r="ES29" s="1092"/>
      <c r="ET29" s="1092"/>
      <c r="EU29" s="1092"/>
      <c r="EV29" s="1092"/>
      <c r="EW29" s="1092"/>
      <c r="EX29" s="1092"/>
      <c r="EY29" s="1092"/>
      <c r="EZ29" s="1092"/>
      <c r="FA29" s="1092"/>
      <c r="FB29" s="1092"/>
      <c r="FC29" s="1092"/>
      <c r="FD29" s="1092"/>
      <c r="FE29" s="1092"/>
      <c r="FF29" s="1092"/>
      <c r="FG29" s="1092"/>
      <c r="FH29" s="1092"/>
      <c r="FI29" s="1092"/>
      <c r="FJ29" s="1092"/>
      <c r="FK29" s="1092"/>
      <c r="FL29" s="1092"/>
      <c r="FM29" s="1092"/>
      <c r="FN29" s="1092"/>
      <c r="FO29" s="1092"/>
      <c r="FP29" s="1092"/>
      <c r="FQ29" s="1092"/>
      <c r="FR29" s="1092"/>
      <c r="FS29" s="1092"/>
      <c r="FT29" s="1092"/>
      <c r="FU29" s="1092"/>
      <c r="FV29" s="1092"/>
      <c r="FW29" s="1092"/>
      <c r="FX29" s="1092"/>
      <c r="FY29" s="1092"/>
      <c r="FZ29" s="1092"/>
      <c r="GA29" s="1092"/>
      <c r="GB29" s="1092"/>
      <c r="GC29" s="1092"/>
      <c r="GD29" s="1092"/>
      <c r="GE29" s="1092"/>
      <c r="GF29" s="1092"/>
      <c r="GG29" s="1092"/>
      <c r="GH29" s="1092"/>
      <c r="GI29" s="1092"/>
      <c r="GJ29" s="1092"/>
      <c r="GK29" s="1092"/>
      <c r="GL29" s="1092"/>
      <c r="GM29" s="1092"/>
      <c r="GN29" s="1092"/>
      <c r="GO29" s="1092"/>
    </row>
    <row r="30" spans="1:197" ht="21.75" thickBot="1">
      <c r="A30" s="1252"/>
      <c r="B30" s="1246"/>
      <c r="C30" s="1245"/>
      <c r="D30" s="1094"/>
      <c r="E30" s="1094"/>
      <c r="F30" s="1263"/>
      <c r="G30" s="1264"/>
      <c r="H30" s="1152"/>
      <c r="I30" s="1095"/>
      <c r="J30" s="1292"/>
      <c r="K30" s="1287"/>
      <c r="L30" s="1274"/>
      <c r="M30" s="1218"/>
      <c r="N30" s="1218"/>
      <c r="O30" s="1274"/>
      <c r="P30" s="1288"/>
      <c r="Q30" s="1091"/>
      <c r="R30" s="1092"/>
      <c r="S30" s="1293"/>
      <c r="T30" s="1232"/>
      <c r="U30" s="1092"/>
      <c r="V30" s="1294"/>
      <c r="W30" s="1294"/>
      <c r="X30" s="1268"/>
      <c r="Y30" s="1289"/>
      <c r="Z30" s="1218"/>
      <c r="AA30" s="1218"/>
      <c r="AB30" s="1289"/>
      <c r="AC30" s="1092"/>
      <c r="AD30" s="1295"/>
      <c r="AF30" s="1228"/>
      <c r="AG30" s="1228"/>
      <c r="AI30" s="1280"/>
      <c r="AJ30" s="1125"/>
      <c r="AK30" s="1125"/>
      <c r="AL30" s="1228"/>
      <c r="AM30" s="1228"/>
      <c r="AN30" s="1296"/>
      <c r="AO30" s="1296"/>
      <c r="AP30" s="1094"/>
      <c r="AQ30" s="1282"/>
      <c r="AR30" s="1220"/>
      <c r="AS30" s="1220"/>
      <c r="AT30" s="1282"/>
      <c r="AU30" s="1094"/>
      <c r="AV30" s="1092"/>
      <c r="AW30" s="1283"/>
      <c r="AX30" s="1272"/>
      <c r="AY30" s="1120"/>
      <c r="AZ30" s="1092"/>
      <c r="BA30" s="1092"/>
      <c r="BC30" s="1092"/>
      <c r="BD30" s="1092"/>
      <c r="BE30" s="1092"/>
      <c r="BF30" s="1092"/>
      <c r="BG30" s="1092"/>
      <c r="BH30" s="1092"/>
      <c r="BI30" s="1181"/>
      <c r="BJ30" s="1114"/>
      <c r="BK30" s="1168"/>
      <c r="BL30" s="1121"/>
      <c r="BM30" s="1092"/>
      <c r="BN30" s="1092"/>
      <c r="BO30" s="1092"/>
      <c r="BP30" s="1092"/>
      <c r="BQ30" s="1092"/>
      <c r="BR30" s="1092"/>
      <c r="BS30" s="1092"/>
      <c r="BT30" s="1092"/>
      <c r="BU30" s="1092"/>
      <c r="BV30" s="1092"/>
      <c r="BW30" s="1092"/>
      <c r="BX30" s="1092"/>
      <c r="BY30" s="1092"/>
      <c r="BZ30" s="1092"/>
      <c r="CA30" s="1092"/>
      <c r="CB30" s="1092"/>
      <c r="CC30" s="1092"/>
      <c r="CD30" s="1092"/>
      <c r="CE30" s="1092"/>
      <c r="CF30" s="1092"/>
      <c r="CG30" s="1092"/>
      <c r="CH30" s="1092"/>
      <c r="CI30" s="1092"/>
      <c r="CJ30" s="1092"/>
      <c r="CK30" s="1092"/>
      <c r="CL30" s="1092"/>
      <c r="CM30" s="1092"/>
      <c r="CN30" s="1092"/>
      <c r="CO30" s="1092"/>
      <c r="CP30" s="1092"/>
      <c r="CQ30" s="1092"/>
      <c r="CR30" s="1092"/>
      <c r="CS30" s="1092"/>
      <c r="CT30" s="1092"/>
      <c r="CU30" s="1092"/>
      <c r="CV30" s="1092"/>
      <c r="CW30" s="1092"/>
      <c r="CX30" s="1092"/>
      <c r="CY30" s="1092"/>
      <c r="CZ30" s="1092"/>
      <c r="DA30" s="1092"/>
      <c r="DB30" s="1092"/>
      <c r="DC30" s="1092"/>
      <c r="DD30" s="1092"/>
      <c r="DE30" s="1092"/>
      <c r="DF30" s="1092"/>
      <c r="DG30" s="1092"/>
      <c r="DH30" s="1092"/>
      <c r="DI30" s="1092"/>
      <c r="DJ30" s="1092"/>
      <c r="DK30" s="1092"/>
      <c r="DL30" s="1092"/>
      <c r="DM30" s="1092"/>
      <c r="DN30" s="1092"/>
      <c r="DO30" s="1092"/>
      <c r="DP30" s="1092"/>
      <c r="DQ30" s="1092"/>
      <c r="DR30" s="1092"/>
      <c r="DS30" s="1092"/>
      <c r="DT30" s="1092"/>
      <c r="DU30" s="1092"/>
      <c r="DV30" s="1092"/>
      <c r="DW30" s="1092"/>
      <c r="DX30" s="1092"/>
      <c r="DY30" s="1092"/>
      <c r="DZ30" s="1092"/>
      <c r="EA30" s="1092"/>
      <c r="EB30" s="1092"/>
      <c r="EC30" s="1092"/>
      <c r="ED30" s="1092"/>
      <c r="EE30" s="1092"/>
      <c r="EF30" s="1092"/>
      <c r="EG30" s="1092"/>
      <c r="EH30" s="1092"/>
      <c r="EI30" s="1092"/>
      <c r="EJ30" s="1092"/>
      <c r="EK30" s="1092"/>
      <c r="EL30" s="1092"/>
      <c r="EM30" s="1092"/>
      <c r="EN30" s="1092"/>
      <c r="EO30" s="1092"/>
      <c r="EP30" s="1092"/>
      <c r="EQ30" s="1092"/>
      <c r="ER30" s="1092"/>
      <c r="ES30" s="1092"/>
      <c r="ET30" s="1092"/>
      <c r="EU30" s="1092"/>
      <c r="EV30" s="1092"/>
      <c r="EW30" s="1092"/>
      <c r="EX30" s="1092"/>
      <c r="EY30" s="1092"/>
      <c r="EZ30" s="1092"/>
      <c r="FA30" s="1092"/>
      <c r="FB30" s="1092"/>
      <c r="FC30" s="1092"/>
      <c r="FD30" s="1092"/>
      <c r="FE30" s="1092"/>
      <c r="FF30" s="1092"/>
      <c r="FG30" s="1092"/>
      <c r="FH30" s="1092"/>
      <c r="FI30" s="1092"/>
      <c r="FJ30" s="1092"/>
      <c r="FK30" s="1092"/>
      <c r="FL30" s="1092"/>
      <c r="FM30" s="1092"/>
      <c r="FN30" s="1092"/>
      <c r="FO30" s="1092"/>
      <c r="FP30" s="1092"/>
      <c r="FQ30" s="1092"/>
      <c r="FR30" s="1092"/>
      <c r="FS30" s="1092"/>
      <c r="FT30" s="1092"/>
      <c r="FU30" s="1092"/>
      <c r="FV30" s="1092"/>
      <c r="FW30" s="1092"/>
      <c r="FX30" s="1092"/>
      <c r="FY30" s="1092"/>
      <c r="FZ30" s="1092"/>
      <c r="GA30" s="1092"/>
      <c r="GB30" s="1092"/>
      <c r="GC30" s="1092"/>
      <c r="GD30" s="1092"/>
      <c r="GE30" s="1092"/>
      <c r="GF30" s="1092"/>
      <c r="GG30" s="1092"/>
      <c r="GH30" s="1092"/>
      <c r="GI30" s="1092"/>
      <c r="GJ30" s="1092"/>
      <c r="GK30" s="1092"/>
      <c r="GL30" s="1092"/>
      <c r="GM30" s="1092"/>
      <c r="GN30" s="1092"/>
      <c r="GO30" s="1092"/>
    </row>
    <row r="31" spans="1:197" ht="20.25">
      <c r="A31" s="1297"/>
      <c r="B31" s="1298"/>
      <c r="C31" s="1245"/>
      <c r="D31" s="1094"/>
      <c r="E31" s="1094"/>
      <c r="F31" s="1263"/>
      <c r="G31" s="1264"/>
      <c r="H31" s="1152"/>
      <c r="I31" s="1095"/>
      <c r="J31" s="1292"/>
      <c r="K31" s="1092"/>
      <c r="L31" s="1092"/>
      <c r="M31" s="1274"/>
      <c r="N31" s="1274"/>
      <c r="O31" s="1092"/>
      <c r="P31" s="1232"/>
      <c r="Q31" s="1091"/>
      <c r="R31" s="1094"/>
      <c r="S31" s="1120"/>
      <c r="T31" s="1120"/>
      <c r="U31" s="1232"/>
      <c r="V31" s="1146"/>
      <c r="W31" s="1299"/>
      <c r="X31" s="1268"/>
      <c r="Y31" s="1300"/>
      <c r="Z31" s="1300"/>
      <c r="AA31" s="1232"/>
      <c r="AB31" s="1232"/>
      <c r="AC31" s="1267"/>
      <c r="AD31" s="1295"/>
      <c r="AI31" s="1280"/>
      <c r="AJ31" s="1125"/>
      <c r="AV31" s="1092"/>
      <c r="AW31" s="1283"/>
      <c r="AX31" s="1272"/>
      <c r="AY31" s="1226"/>
      <c r="AZ31" s="1092"/>
      <c r="BA31" s="1092"/>
      <c r="BC31" s="1092"/>
      <c r="BD31" s="1092"/>
      <c r="BE31" s="1092"/>
      <c r="BF31" s="1092"/>
      <c r="BG31" s="1092"/>
      <c r="BH31" s="1092"/>
      <c r="BI31" s="1259"/>
      <c r="BJ31" s="1291"/>
      <c r="BK31" s="1301"/>
      <c r="BL31" s="1121"/>
      <c r="BM31" s="1092"/>
      <c r="BN31" s="1092"/>
      <c r="BO31" s="1092"/>
      <c r="BP31" s="1092"/>
      <c r="BQ31" s="1092"/>
      <c r="BR31" s="1092"/>
      <c r="BS31" s="1092"/>
      <c r="BT31" s="1092"/>
      <c r="BU31" s="1092"/>
      <c r="BV31" s="1092"/>
      <c r="BW31" s="1092"/>
      <c r="BX31" s="1092"/>
      <c r="BY31" s="1092"/>
      <c r="BZ31" s="1092"/>
      <c r="CA31" s="1092"/>
      <c r="CB31" s="1092"/>
      <c r="CC31" s="1092"/>
      <c r="CD31" s="1092"/>
      <c r="CE31" s="1092"/>
      <c r="CF31" s="1092"/>
      <c r="CG31" s="1092"/>
      <c r="CH31" s="1092"/>
      <c r="CI31" s="1092"/>
      <c r="CJ31" s="1092"/>
      <c r="CK31" s="1092"/>
      <c r="CL31" s="1092"/>
      <c r="CM31" s="1092"/>
      <c r="CN31" s="1092"/>
      <c r="CO31" s="1092"/>
      <c r="CP31" s="1092"/>
      <c r="CQ31" s="1092"/>
      <c r="CR31" s="1092"/>
      <c r="CS31" s="1092"/>
      <c r="CT31" s="1092"/>
      <c r="CU31" s="1092"/>
      <c r="CV31" s="1092"/>
      <c r="CW31" s="1092"/>
      <c r="CX31" s="1092"/>
      <c r="CY31" s="1092"/>
      <c r="CZ31" s="1092"/>
      <c r="DA31" s="1092"/>
      <c r="DB31" s="1092"/>
      <c r="DC31" s="1092"/>
      <c r="DD31" s="1092"/>
      <c r="DE31" s="1092"/>
      <c r="DF31" s="1092"/>
      <c r="DG31" s="1092"/>
      <c r="DH31" s="1092"/>
      <c r="DI31" s="1092"/>
      <c r="DJ31" s="1092"/>
      <c r="DK31" s="1092"/>
      <c r="DL31" s="1092"/>
      <c r="DM31" s="1092"/>
      <c r="DN31" s="1092"/>
      <c r="DO31" s="1092"/>
      <c r="DP31" s="1092"/>
      <c r="DQ31" s="1092"/>
      <c r="DR31" s="1092"/>
      <c r="DS31" s="1092"/>
      <c r="DT31" s="1092"/>
      <c r="DU31" s="1092"/>
      <c r="DV31" s="1092"/>
      <c r="DW31" s="1092"/>
      <c r="DX31" s="1092"/>
      <c r="DY31" s="1092"/>
      <c r="DZ31" s="1092"/>
      <c r="EA31" s="1092"/>
      <c r="EB31" s="1092"/>
      <c r="EC31" s="1092"/>
      <c r="ED31" s="1092"/>
      <c r="EE31" s="1092"/>
      <c r="EF31" s="1092"/>
      <c r="EG31" s="1092"/>
      <c r="EH31" s="1092"/>
      <c r="EI31" s="1092"/>
      <c r="EJ31" s="1092"/>
      <c r="EK31" s="1092"/>
      <c r="EL31" s="1092"/>
      <c r="EM31" s="1092"/>
      <c r="EN31" s="1092"/>
      <c r="EO31" s="1092"/>
      <c r="EP31" s="1092"/>
      <c r="EQ31" s="1092"/>
      <c r="ER31" s="1092"/>
      <c r="ES31" s="1092"/>
      <c r="ET31" s="1092"/>
      <c r="EU31" s="1092"/>
      <c r="EV31" s="1092"/>
      <c r="EW31" s="1092"/>
      <c r="EX31" s="1092"/>
      <c r="EY31" s="1092"/>
      <c r="EZ31" s="1092"/>
      <c r="FA31" s="1092"/>
      <c r="FB31" s="1092"/>
      <c r="FC31" s="1092"/>
      <c r="FD31" s="1092"/>
      <c r="FE31" s="1092"/>
      <c r="FF31" s="1092"/>
      <c r="FG31" s="1092"/>
      <c r="FH31" s="1092"/>
      <c r="FI31" s="1092"/>
      <c r="FJ31" s="1092"/>
      <c r="FK31" s="1092"/>
      <c r="FL31" s="1092"/>
      <c r="FM31" s="1092"/>
      <c r="FN31" s="1092"/>
      <c r="FO31" s="1092"/>
      <c r="FP31" s="1092"/>
      <c r="FQ31" s="1092"/>
      <c r="FR31" s="1092"/>
      <c r="FS31" s="1092"/>
      <c r="FT31" s="1092"/>
      <c r="FU31" s="1092"/>
      <c r="FV31" s="1092"/>
      <c r="FW31" s="1092"/>
      <c r="FX31" s="1092"/>
      <c r="FY31" s="1092"/>
      <c r="FZ31" s="1092"/>
      <c r="GA31" s="1092"/>
      <c r="GB31" s="1092"/>
      <c r="GC31" s="1092"/>
      <c r="GD31" s="1092"/>
      <c r="GE31" s="1092"/>
      <c r="GF31" s="1092"/>
      <c r="GG31" s="1092"/>
      <c r="GH31" s="1092"/>
      <c r="GI31" s="1092"/>
      <c r="GJ31" s="1092"/>
      <c r="GK31" s="1092"/>
      <c r="GL31" s="1092"/>
      <c r="GM31" s="1092"/>
      <c r="GN31" s="1092"/>
      <c r="GO31" s="1092"/>
    </row>
    <row r="32" spans="1:197" ht="21">
      <c r="A32" s="1252"/>
      <c r="B32" s="1246"/>
      <c r="C32" s="1246"/>
      <c r="D32" s="1094"/>
      <c r="E32" s="1094"/>
      <c r="F32" s="1263"/>
      <c r="G32" s="1244"/>
      <c r="H32" s="1302"/>
      <c r="I32" s="1095"/>
      <c r="J32" s="1292"/>
      <c r="K32" s="1267"/>
      <c r="L32" s="1267"/>
      <c r="M32" s="1300"/>
      <c r="N32" s="1300"/>
      <c r="O32" s="1232"/>
      <c r="P32" s="1232"/>
      <c r="Q32" s="1267"/>
      <c r="R32" s="1094"/>
      <c r="S32" s="1303"/>
      <c r="T32" s="1303"/>
      <c r="U32" s="1094"/>
      <c r="V32" s="1267"/>
      <c r="W32" s="1092"/>
      <c r="X32" s="1268"/>
      <c r="Y32" s="1094"/>
      <c r="Z32" s="1267"/>
      <c r="AA32" s="1092"/>
      <c r="AB32" s="1092"/>
      <c r="AC32" s="1267"/>
      <c r="AD32" s="1295"/>
      <c r="AE32" s="1113" t="s">
        <v>172</v>
      </c>
      <c r="AF32" s="1228"/>
      <c r="AG32" s="1228"/>
      <c r="AH32" s="1280"/>
      <c r="AI32" s="1280"/>
      <c r="AJ32" s="1125"/>
      <c r="AK32" s="1113" t="s">
        <v>173</v>
      </c>
      <c r="AL32" s="1228"/>
      <c r="AM32" s="1228"/>
      <c r="AN32" s="1296"/>
      <c r="AO32" s="1296"/>
      <c r="AP32" s="1094"/>
      <c r="AQ32" s="1149" t="s">
        <v>174</v>
      </c>
      <c r="AR32" s="1220"/>
      <c r="AS32" s="1220"/>
      <c r="AT32" s="1282"/>
      <c r="AU32" s="1094"/>
      <c r="AV32" s="1092"/>
      <c r="AW32" s="1283"/>
      <c r="AX32" s="1272"/>
      <c r="AY32" s="1226"/>
      <c r="AZ32" s="1092"/>
      <c r="BA32" s="1092"/>
      <c r="BC32" s="1092"/>
      <c r="BD32" s="1218"/>
      <c r="BE32" s="1218"/>
      <c r="BF32" s="1218"/>
      <c r="BG32" s="1218"/>
      <c r="BH32" s="1218"/>
      <c r="BI32" s="1259"/>
      <c r="BJ32" s="1114"/>
      <c r="BK32" s="1304"/>
      <c r="BL32" s="1121"/>
      <c r="BM32" s="1092"/>
      <c r="BN32" s="1092"/>
      <c r="BO32" s="1092"/>
      <c r="BP32" s="1092"/>
      <c r="BQ32" s="1092"/>
      <c r="BR32" s="1092"/>
      <c r="BS32" s="1092"/>
      <c r="BT32" s="1092"/>
      <c r="BU32" s="1092"/>
      <c r="BV32" s="1092"/>
      <c r="BW32" s="1092"/>
      <c r="BX32" s="1092"/>
      <c r="BY32" s="1092"/>
      <c r="BZ32" s="1092"/>
      <c r="CA32" s="1092"/>
      <c r="CB32" s="1092"/>
      <c r="CC32" s="1092"/>
      <c r="CD32" s="1092"/>
      <c r="CE32" s="1092"/>
      <c r="CF32" s="1092"/>
      <c r="CG32" s="1092"/>
      <c r="CH32" s="1092"/>
      <c r="CI32" s="1092"/>
      <c r="CJ32" s="1092"/>
      <c r="CK32" s="1092"/>
      <c r="CL32" s="1092"/>
      <c r="CM32" s="1092"/>
      <c r="CN32" s="1092"/>
      <c r="CO32" s="1092"/>
      <c r="CP32" s="1092"/>
      <c r="CQ32" s="1092"/>
      <c r="CR32" s="1092"/>
      <c r="CS32" s="1092"/>
      <c r="CT32" s="1092"/>
      <c r="CU32" s="1092"/>
      <c r="CV32" s="1092"/>
      <c r="CW32" s="1092"/>
      <c r="CX32" s="1092"/>
      <c r="CY32" s="1092"/>
      <c r="CZ32" s="1092"/>
      <c r="DA32" s="1092"/>
      <c r="DB32" s="1092"/>
      <c r="DC32" s="1092"/>
      <c r="DD32" s="1092"/>
      <c r="DE32" s="1092"/>
      <c r="DF32" s="1092"/>
      <c r="DG32" s="1092"/>
      <c r="DH32" s="1092"/>
      <c r="DI32" s="1092"/>
      <c r="DJ32" s="1092"/>
      <c r="DK32" s="1092"/>
      <c r="DL32" s="1092"/>
      <c r="DM32" s="1092"/>
      <c r="DN32" s="1092"/>
      <c r="DO32" s="1092"/>
      <c r="DP32" s="1092"/>
      <c r="DQ32" s="1092"/>
      <c r="DR32" s="1092"/>
      <c r="DS32" s="1092"/>
      <c r="DT32" s="1092"/>
      <c r="DU32" s="1092"/>
      <c r="DV32" s="1092"/>
      <c r="DW32" s="1092"/>
      <c r="DX32" s="1092"/>
      <c r="DY32" s="1092"/>
      <c r="DZ32" s="1092"/>
      <c r="EA32" s="1092"/>
      <c r="EB32" s="1092"/>
      <c r="EC32" s="1092"/>
      <c r="ED32" s="1092"/>
      <c r="EE32" s="1092"/>
      <c r="EF32" s="1092"/>
      <c r="EG32" s="1092"/>
      <c r="EH32" s="1092"/>
      <c r="EI32" s="1092"/>
      <c r="EJ32" s="1092"/>
      <c r="EK32" s="1092"/>
      <c r="EL32" s="1092"/>
      <c r="EM32" s="1092"/>
      <c r="EN32" s="1092"/>
      <c r="EO32" s="1092"/>
      <c r="EP32" s="1092"/>
      <c r="EQ32" s="1092"/>
      <c r="ER32" s="1092"/>
      <c r="ES32" s="1092"/>
      <c r="ET32" s="1092"/>
      <c r="EU32" s="1092"/>
      <c r="EV32" s="1092"/>
      <c r="EW32" s="1092"/>
      <c r="EX32" s="1092"/>
      <c r="EY32" s="1092"/>
      <c r="EZ32" s="1092"/>
      <c r="FA32" s="1092"/>
      <c r="FB32" s="1092"/>
      <c r="FC32" s="1092"/>
      <c r="FD32" s="1092"/>
      <c r="FE32" s="1092"/>
      <c r="FF32" s="1092"/>
      <c r="FG32" s="1092"/>
      <c r="FH32" s="1092"/>
      <c r="FI32" s="1092"/>
      <c r="FJ32" s="1092"/>
      <c r="FK32" s="1092"/>
      <c r="FL32" s="1092"/>
      <c r="FM32" s="1092"/>
      <c r="FN32" s="1092"/>
      <c r="FO32" s="1092"/>
      <c r="FP32" s="1092"/>
      <c r="FQ32" s="1092"/>
      <c r="FR32" s="1092"/>
      <c r="FS32" s="1092"/>
      <c r="FT32" s="1092"/>
      <c r="FU32" s="1092"/>
      <c r="FV32" s="1092"/>
      <c r="FW32" s="1092"/>
      <c r="FX32" s="1092"/>
      <c r="FY32" s="1092"/>
      <c r="FZ32" s="1092"/>
      <c r="GA32" s="1092"/>
      <c r="GB32" s="1092"/>
      <c r="GC32" s="1092"/>
      <c r="GD32" s="1092"/>
      <c r="GE32" s="1092"/>
      <c r="GF32" s="1092"/>
      <c r="GG32" s="1092"/>
      <c r="GH32" s="1092"/>
      <c r="GI32" s="1092"/>
      <c r="GJ32" s="1092"/>
      <c r="GK32" s="1092"/>
      <c r="GL32" s="1092"/>
      <c r="GM32" s="1092"/>
      <c r="GN32" s="1092"/>
      <c r="GO32" s="1092"/>
    </row>
    <row r="33" spans="1:197" ht="21">
      <c r="A33" s="1252"/>
      <c r="B33" s="1246"/>
      <c r="C33" s="1305"/>
      <c r="D33" s="1305"/>
      <c r="E33" s="1305"/>
      <c r="F33" s="1263"/>
      <c r="G33" s="1244"/>
      <c r="H33" s="1152"/>
      <c r="I33" s="1095"/>
      <c r="J33" s="1292"/>
      <c r="K33" s="1267"/>
      <c r="L33" s="1267"/>
      <c r="M33" s="1265"/>
      <c r="N33" s="1300"/>
      <c r="O33" s="1232"/>
      <c r="P33" s="1091"/>
      <c r="Q33" s="1091"/>
      <c r="R33" s="1094"/>
      <c r="S33" s="1094"/>
      <c r="T33" s="1092"/>
      <c r="U33" s="1092"/>
      <c r="V33" s="1092"/>
      <c r="W33" s="1267"/>
      <c r="X33" s="1267"/>
      <c r="Y33" s="1267"/>
      <c r="Z33" s="1146"/>
      <c r="AA33" s="1146"/>
      <c r="AB33" s="1092"/>
      <c r="AC33" s="1267"/>
      <c r="AD33" s="1277">
        <v>1</v>
      </c>
      <c r="AE33" s="1278"/>
      <c r="AF33" s="1279">
        <v>3320265</v>
      </c>
      <c r="AG33" s="1281">
        <v>3321448</v>
      </c>
      <c r="AH33" s="1278"/>
      <c r="AI33" s="1280">
        <v>6</v>
      </c>
      <c r="AJ33" s="1277">
        <v>1</v>
      </c>
      <c r="AK33" s="1278"/>
      <c r="AL33" s="1279">
        <v>3320267</v>
      </c>
      <c r="AM33" s="1281">
        <v>3321442</v>
      </c>
      <c r="AN33" s="1278"/>
      <c r="AO33" s="1280">
        <v>6</v>
      </c>
      <c r="AP33" s="1241">
        <v>1</v>
      </c>
      <c r="AQ33" s="1220" t="s">
        <v>129</v>
      </c>
      <c r="AR33" s="1306">
        <v>110496</v>
      </c>
      <c r="AS33" s="1230">
        <v>113986</v>
      </c>
      <c r="AT33" s="1220" t="s">
        <v>129</v>
      </c>
      <c r="AU33" s="1282">
        <v>6</v>
      </c>
      <c r="AV33" s="1092"/>
      <c r="AW33" s="1092"/>
      <c r="AX33" s="1092"/>
      <c r="AY33" s="1092"/>
      <c r="AZ33" s="1092"/>
      <c r="BA33" s="1092"/>
      <c r="BC33" s="1092"/>
      <c r="BD33" s="1218"/>
      <c r="BE33" s="1218"/>
      <c r="BF33" s="1218"/>
      <c r="BG33" s="1218"/>
      <c r="BH33" s="1218"/>
      <c r="BI33" s="1259"/>
      <c r="BJ33" s="1286"/>
      <c r="BK33" s="1304"/>
      <c r="BL33" s="1121"/>
      <c r="BM33" s="1092"/>
      <c r="BN33" s="1092"/>
      <c r="BO33" s="1092"/>
      <c r="BP33" s="1092"/>
      <c r="BQ33" s="1092"/>
      <c r="BR33" s="1092"/>
      <c r="BS33" s="1092"/>
      <c r="BT33" s="1092"/>
      <c r="BU33" s="1092"/>
      <c r="BV33" s="1092"/>
      <c r="BW33" s="1092"/>
      <c r="BX33" s="1092"/>
      <c r="BY33" s="1092"/>
      <c r="BZ33" s="1092"/>
      <c r="CA33" s="1092"/>
      <c r="CB33" s="1092"/>
      <c r="CC33" s="1092"/>
      <c r="CD33" s="1092"/>
      <c r="CE33" s="1092"/>
      <c r="CF33" s="1092"/>
      <c r="CG33" s="1092"/>
      <c r="CH33" s="1092"/>
      <c r="CI33" s="1092"/>
      <c r="CJ33" s="1092"/>
      <c r="CK33" s="1092"/>
      <c r="CL33" s="1092"/>
      <c r="CM33" s="1092"/>
      <c r="CN33" s="1092"/>
      <c r="CO33" s="1092"/>
      <c r="CP33" s="1092"/>
      <c r="CQ33" s="1092"/>
      <c r="CR33" s="1092"/>
      <c r="CS33" s="1092"/>
      <c r="CT33" s="1092"/>
      <c r="CU33" s="1092"/>
      <c r="CV33" s="1092"/>
      <c r="CW33" s="1092"/>
      <c r="CX33" s="1092"/>
      <c r="CY33" s="1092"/>
      <c r="CZ33" s="1092"/>
      <c r="DA33" s="1092"/>
      <c r="DB33" s="1092"/>
      <c r="DC33" s="1092"/>
      <c r="DD33" s="1092"/>
      <c r="DE33" s="1092"/>
      <c r="DF33" s="1092"/>
      <c r="DG33" s="1092"/>
      <c r="DH33" s="1092"/>
      <c r="DI33" s="1092"/>
      <c r="DJ33" s="1092"/>
      <c r="DK33" s="1092"/>
      <c r="DL33" s="1092"/>
      <c r="DM33" s="1092"/>
      <c r="DN33" s="1092"/>
      <c r="DO33" s="1092"/>
      <c r="DP33" s="1092"/>
      <c r="DQ33" s="1092"/>
      <c r="DR33" s="1092"/>
      <c r="DS33" s="1092"/>
      <c r="DT33" s="1092"/>
      <c r="DU33" s="1092"/>
      <c r="DV33" s="1092"/>
      <c r="DW33" s="1092"/>
      <c r="DX33" s="1092"/>
      <c r="DY33" s="1092"/>
      <c r="DZ33" s="1092"/>
      <c r="EA33" s="1092"/>
      <c r="EB33" s="1092"/>
      <c r="EC33" s="1092"/>
      <c r="ED33" s="1092"/>
      <c r="EE33" s="1092"/>
      <c r="EF33" s="1092"/>
      <c r="EG33" s="1092"/>
      <c r="EH33" s="1092"/>
      <c r="EI33" s="1092"/>
      <c r="EJ33" s="1092"/>
      <c r="EK33" s="1092"/>
      <c r="EL33" s="1092"/>
      <c r="EM33" s="1092"/>
      <c r="EN33" s="1092"/>
      <c r="EO33" s="1092"/>
      <c r="EP33" s="1092"/>
      <c r="EQ33" s="1092"/>
      <c r="ER33" s="1092"/>
      <c r="ES33" s="1092"/>
      <c r="ET33" s="1092"/>
      <c r="EU33" s="1092"/>
      <c r="EV33" s="1092"/>
      <c r="EW33" s="1092"/>
      <c r="EX33" s="1092"/>
      <c r="EY33" s="1092"/>
      <c r="EZ33" s="1092"/>
      <c r="FA33" s="1092"/>
      <c r="FB33" s="1092"/>
      <c r="FC33" s="1092"/>
      <c r="FD33" s="1092"/>
      <c r="FE33" s="1092"/>
      <c r="FF33" s="1092"/>
      <c r="FG33" s="1092"/>
      <c r="FH33" s="1092"/>
      <c r="FI33" s="1092"/>
      <c r="FJ33" s="1092"/>
      <c r="FK33" s="1092"/>
      <c r="FL33" s="1092"/>
      <c r="FM33" s="1092"/>
      <c r="FN33" s="1092"/>
      <c r="FO33" s="1092"/>
      <c r="FP33" s="1092"/>
      <c r="FQ33" s="1092"/>
      <c r="FR33" s="1092"/>
      <c r="FS33" s="1092"/>
      <c r="FT33" s="1092"/>
      <c r="FU33" s="1092"/>
      <c r="FV33" s="1092"/>
      <c r="FW33" s="1092"/>
      <c r="FX33" s="1092"/>
      <c r="FY33" s="1092"/>
      <c r="FZ33" s="1092"/>
      <c r="GA33" s="1092"/>
      <c r="GB33" s="1092"/>
      <c r="GC33" s="1092"/>
      <c r="GD33" s="1092"/>
      <c r="GE33" s="1092"/>
      <c r="GF33" s="1092"/>
      <c r="GG33" s="1092"/>
      <c r="GH33" s="1092"/>
      <c r="GI33" s="1092"/>
      <c r="GJ33" s="1092"/>
      <c r="GK33" s="1092"/>
      <c r="GL33" s="1092"/>
      <c r="GM33" s="1092"/>
      <c r="GN33" s="1092"/>
      <c r="GO33" s="1092"/>
    </row>
    <row r="34" spans="1:197" ht="21">
      <c r="A34" s="1252"/>
      <c r="B34" s="1246"/>
      <c r="C34" s="1232"/>
      <c r="D34" s="1245"/>
      <c r="E34" s="1245"/>
      <c r="F34" s="1263"/>
      <c r="G34" s="1244"/>
      <c r="H34" s="1092"/>
      <c r="I34" s="1095"/>
      <c r="J34" s="1292"/>
      <c r="K34" s="1292"/>
      <c r="L34" s="1292"/>
      <c r="M34" s="1262"/>
      <c r="N34" s="1307"/>
      <c r="O34" s="1307"/>
      <c r="P34" s="1232"/>
      <c r="Q34" s="1232"/>
      <c r="R34" s="1267"/>
      <c r="S34" s="1091"/>
      <c r="T34" s="1092"/>
      <c r="U34" s="1092"/>
      <c r="V34" s="1092"/>
      <c r="W34" s="1094"/>
      <c r="X34" s="1092"/>
      <c r="Y34" s="1092"/>
      <c r="Z34" s="1266"/>
      <c r="AA34" s="1266"/>
      <c r="AB34" s="1092"/>
      <c r="AC34" s="1267"/>
      <c r="AD34" s="1277">
        <v>2</v>
      </c>
      <c r="AE34" s="1278"/>
      <c r="AF34" s="1281">
        <v>3321446</v>
      </c>
      <c r="AG34" s="1281">
        <v>3321438</v>
      </c>
      <c r="AH34" s="1278"/>
      <c r="AI34" s="1280">
        <v>5</v>
      </c>
      <c r="AJ34" s="1277">
        <v>2</v>
      </c>
      <c r="AK34" s="1278"/>
      <c r="AL34" s="1279">
        <v>3321222</v>
      </c>
      <c r="AM34" s="1279">
        <v>3320228</v>
      </c>
      <c r="AN34" s="1278"/>
      <c r="AO34" s="1280">
        <v>5</v>
      </c>
      <c r="AP34" s="1241">
        <v>2</v>
      </c>
      <c r="AQ34" s="1220" t="s">
        <v>129</v>
      </c>
      <c r="AR34" s="1306">
        <v>112505</v>
      </c>
      <c r="AS34" s="1230">
        <v>112483</v>
      </c>
      <c r="AT34" s="1220" t="s">
        <v>129</v>
      </c>
      <c r="AU34" s="1282">
        <v>5</v>
      </c>
      <c r="AV34" s="1092"/>
      <c r="AW34" s="1092"/>
      <c r="AX34" s="1092"/>
      <c r="AY34" s="1092"/>
      <c r="AZ34" s="1092"/>
      <c r="BA34" s="1092"/>
      <c r="BC34" s="1092"/>
      <c r="BD34" s="1092"/>
      <c r="BE34" s="1092"/>
      <c r="BF34" s="1092"/>
      <c r="BG34" s="1092"/>
      <c r="BH34" s="1092"/>
      <c r="BI34" s="1259"/>
      <c r="BJ34" s="1114"/>
      <c r="BK34" s="1304"/>
      <c r="BL34" s="1121"/>
      <c r="BM34" s="1092"/>
      <c r="BN34" s="1092"/>
      <c r="BO34" s="1092"/>
      <c r="BP34" s="1092"/>
      <c r="BQ34" s="1092"/>
      <c r="BR34" s="1092"/>
      <c r="BS34" s="1092"/>
      <c r="BT34" s="1092"/>
      <c r="BU34" s="1092"/>
      <c r="BV34" s="1092"/>
      <c r="BW34" s="1092"/>
      <c r="BX34" s="1092"/>
      <c r="BY34" s="1092"/>
      <c r="BZ34" s="1092"/>
      <c r="CA34" s="1092"/>
      <c r="CB34" s="1092"/>
      <c r="CC34" s="1092"/>
      <c r="CD34" s="1092"/>
      <c r="CE34" s="1092"/>
      <c r="CF34" s="1092"/>
      <c r="CG34" s="1092"/>
      <c r="CH34" s="1092"/>
      <c r="CI34" s="1092"/>
      <c r="CJ34" s="1092"/>
      <c r="CK34" s="1092"/>
      <c r="CL34" s="1092"/>
      <c r="CM34" s="1092"/>
      <c r="CN34" s="1092"/>
      <c r="CO34" s="1092"/>
      <c r="CP34" s="1092"/>
      <c r="CQ34" s="1092"/>
      <c r="CR34" s="1092"/>
      <c r="CS34" s="1092"/>
      <c r="CT34" s="1092"/>
      <c r="CU34" s="1092"/>
      <c r="CV34" s="1092"/>
      <c r="CW34" s="1092"/>
      <c r="CX34" s="1092"/>
      <c r="CY34" s="1092"/>
      <c r="CZ34" s="1092"/>
      <c r="DA34" s="1092"/>
      <c r="DB34" s="1092"/>
      <c r="DC34" s="1092"/>
      <c r="DD34" s="1092"/>
      <c r="DE34" s="1092"/>
      <c r="DF34" s="1092"/>
      <c r="DG34" s="1092"/>
      <c r="DH34" s="1092"/>
      <c r="DI34" s="1092"/>
      <c r="DJ34" s="1092"/>
      <c r="DK34" s="1092"/>
      <c r="DL34" s="1092"/>
      <c r="DM34" s="1092"/>
      <c r="DN34" s="1092"/>
      <c r="DO34" s="1092"/>
      <c r="DP34" s="1092"/>
      <c r="DQ34" s="1092"/>
      <c r="DR34" s="1092"/>
      <c r="DS34" s="1092"/>
      <c r="DT34" s="1092"/>
      <c r="DU34" s="1092"/>
      <c r="DV34" s="1092"/>
      <c r="DW34" s="1092"/>
      <c r="DX34" s="1092"/>
      <c r="DY34" s="1092"/>
      <c r="DZ34" s="1092"/>
      <c r="EA34" s="1092"/>
      <c r="EB34" s="1092"/>
      <c r="EC34" s="1092"/>
      <c r="ED34" s="1092"/>
      <c r="EE34" s="1092"/>
      <c r="EF34" s="1092"/>
      <c r="EG34" s="1092"/>
      <c r="EH34" s="1092"/>
      <c r="EI34" s="1092"/>
      <c r="EJ34" s="1092"/>
      <c r="EK34" s="1092"/>
      <c r="EL34" s="1092"/>
      <c r="EM34" s="1092"/>
      <c r="EN34" s="1092"/>
      <c r="EO34" s="1092"/>
      <c r="EP34" s="1092"/>
      <c r="EQ34" s="1092"/>
      <c r="ER34" s="1092"/>
      <c r="ES34" s="1092"/>
      <c r="ET34" s="1092"/>
      <c r="EU34" s="1092"/>
      <c r="EV34" s="1092"/>
      <c r="EW34" s="1092"/>
      <c r="EX34" s="1092"/>
      <c r="EY34" s="1092"/>
      <c r="EZ34" s="1092"/>
      <c r="FA34" s="1092"/>
      <c r="FB34" s="1092"/>
      <c r="FC34" s="1092"/>
      <c r="FD34" s="1092"/>
      <c r="FE34" s="1092"/>
      <c r="FF34" s="1092"/>
      <c r="FG34" s="1092"/>
      <c r="FH34" s="1092"/>
      <c r="FI34" s="1092"/>
      <c r="FJ34" s="1092"/>
      <c r="FK34" s="1092"/>
      <c r="FL34" s="1092"/>
      <c r="FM34" s="1092"/>
      <c r="FN34" s="1092"/>
      <c r="FO34" s="1092"/>
      <c r="FP34" s="1092"/>
      <c r="FQ34" s="1092"/>
      <c r="FR34" s="1092"/>
      <c r="FS34" s="1092"/>
      <c r="FT34" s="1092"/>
      <c r="FU34" s="1092"/>
      <c r="FV34" s="1092"/>
      <c r="FW34" s="1092"/>
      <c r="FX34" s="1092"/>
      <c r="FY34" s="1092"/>
      <c r="FZ34" s="1092"/>
      <c r="GA34" s="1092"/>
      <c r="GB34" s="1092"/>
      <c r="GC34" s="1092"/>
      <c r="GD34" s="1092"/>
      <c r="GE34" s="1092"/>
      <c r="GF34" s="1092"/>
      <c r="GG34" s="1092"/>
      <c r="GH34" s="1092"/>
      <c r="GI34" s="1092"/>
      <c r="GJ34" s="1092"/>
      <c r="GK34" s="1092"/>
      <c r="GL34" s="1092"/>
      <c r="GM34" s="1092"/>
      <c r="GN34" s="1092"/>
      <c r="GO34" s="1092"/>
    </row>
    <row r="35" spans="1:197" ht="21">
      <c r="A35" s="1252"/>
      <c r="B35" s="1246"/>
      <c r="C35" s="1246"/>
      <c r="D35" s="1246"/>
      <c r="E35" s="1246"/>
      <c r="F35" s="1308"/>
      <c r="G35" s="1092"/>
      <c r="H35" s="1095"/>
      <c r="I35" s="1095"/>
      <c r="J35" s="1292"/>
      <c r="K35" s="1292"/>
      <c r="L35" s="1292"/>
      <c r="M35" s="1262"/>
      <c r="N35" s="1307"/>
      <c r="O35" s="1307"/>
      <c r="P35" s="1232"/>
      <c r="Q35" s="1232"/>
      <c r="S35" s="1232"/>
      <c r="T35" s="1309"/>
      <c r="U35" s="1092"/>
      <c r="Y35" s="1092"/>
      <c r="Z35" s="1092"/>
      <c r="AA35" s="1146"/>
      <c r="AB35" s="1092"/>
      <c r="AC35" s="1092"/>
      <c r="AD35" s="1277">
        <v>3</v>
      </c>
      <c r="AE35" s="1278"/>
      <c r="AF35" s="1281">
        <v>3320284</v>
      </c>
      <c r="AG35" s="1290">
        <v>3320258</v>
      </c>
      <c r="AH35" s="1278"/>
      <c r="AI35" s="1280">
        <v>4</v>
      </c>
      <c r="AJ35" s="1277">
        <v>3</v>
      </c>
      <c r="AK35" s="1278"/>
      <c r="AL35" s="1281">
        <v>3321223</v>
      </c>
      <c r="AM35" s="1281">
        <v>3322013</v>
      </c>
      <c r="AN35" s="1278"/>
      <c r="AO35" s="1280">
        <v>4</v>
      </c>
      <c r="AP35" s="1241">
        <v>3</v>
      </c>
      <c r="AQ35" s="1220" t="s">
        <v>129</v>
      </c>
      <c r="AR35" s="1160">
        <v>114882</v>
      </c>
      <c r="AS35" s="1230">
        <v>106557</v>
      </c>
      <c r="AT35" s="1220" t="s">
        <v>129</v>
      </c>
      <c r="AU35" s="1282">
        <v>4</v>
      </c>
      <c r="AV35" s="1310"/>
      <c r="AW35" s="1307"/>
      <c r="AX35" s="1232"/>
      <c r="AY35" s="1092"/>
      <c r="AZ35" s="1092"/>
      <c r="BA35" s="1092"/>
      <c r="BC35" s="1092"/>
      <c r="BD35" s="1092"/>
      <c r="BE35" s="1092"/>
      <c r="BF35" s="1092"/>
      <c r="BG35" s="1092"/>
      <c r="BH35" s="1092"/>
      <c r="BI35" s="1259"/>
      <c r="BJ35" s="1311"/>
      <c r="BK35" s="1304"/>
      <c r="BL35" s="1121"/>
      <c r="BM35" s="1092"/>
      <c r="BN35" s="1092"/>
      <c r="BO35" s="1092"/>
      <c r="BP35" s="1092"/>
      <c r="BQ35" s="1092"/>
      <c r="BR35" s="1092"/>
      <c r="BS35" s="1092"/>
      <c r="BT35" s="1092"/>
      <c r="BU35" s="1092"/>
      <c r="BV35" s="1092"/>
      <c r="BW35" s="1092"/>
      <c r="BX35" s="1092"/>
      <c r="BY35" s="1092"/>
      <c r="BZ35" s="1092"/>
      <c r="CA35" s="1092"/>
      <c r="CB35" s="1092"/>
      <c r="CC35" s="1092"/>
      <c r="CD35" s="1092"/>
      <c r="CE35" s="1092"/>
      <c r="CF35" s="1092"/>
      <c r="CG35" s="1092"/>
      <c r="CH35" s="1092"/>
      <c r="CI35" s="1092"/>
      <c r="CJ35" s="1092"/>
      <c r="CK35" s="1092"/>
      <c r="CL35" s="1092"/>
      <c r="CM35" s="1092"/>
      <c r="CN35" s="1092"/>
      <c r="CO35" s="1092"/>
      <c r="CP35" s="1092"/>
      <c r="CQ35" s="1092"/>
      <c r="CR35" s="1092"/>
      <c r="CS35" s="1092"/>
      <c r="CT35" s="1092"/>
      <c r="CU35" s="1092"/>
      <c r="CV35" s="1092"/>
      <c r="CW35" s="1092"/>
      <c r="CX35" s="1092"/>
      <c r="CY35" s="1092"/>
      <c r="CZ35" s="1092"/>
      <c r="DA35" s="1092"/>
      <c r="DB35" s="1092"/>
      <c r="DC35" s="1092"/>
      <c r="DD35" s="1092"/>
      <c r="DE35" s="1092"/>
      <c r="DF35" s="1092"/>
      <c r="DG35" s="1092"/>
      <c r="DH35" s="1092"/>
      <c r="DI35" s="1092"/>
      <c r="DJ35" s="1092"/>
      <c r="DK35" s="1092"/>
      <c r="DL35" s="1092"/>
      <c r="DM35" s="1092"/>
      <c r="DN35" s="1092"/>
      <c r="DO35" s="1092"/>
      <c r="DP35" s="1092"/>
      <c r="DQ35" s="1092"/>
      <c r="DR35" s="1092"/>
      <c r="DS35" s="1092"/>
      <c r="DT35" s="1092"/>
      <c r="DU35" s="1092"/>
      <c r="DV35" s="1092"/>
      <c r="DW35" s="1092"/>
      <c r="DX35" s="1092"/>
      <c r="DY35" s="1092"/>
      <c r="DZ35" s="1092"/>
      <c r="EA35" s="1092"/>
      <c r="EB35" s="1092"/>
      <c r="EC35" s="1092"/>
      <c r="ED35" s="1092"/>
      <c r="EE35" s="1092"/>
      <c r="EF35" s="1092"/>
      <c r="EG35" s="1092"/>
      <c r="EH35" s="1092"/>
      <c r="EI35" s="1092"/>
      <c r="EJ35" s="1092"/>
      <c r="EK35" s="1092"/>
      <c r="EL35" s="1092"/>
      <c r="EM35" s="1092"/>
      <c r="EN35" s="1092"/>
      <c r="EO35" s="1092"/>
      <c r="EP35" s="1092"/>
      <c r="EQ35" s="1092"/>
      <c r="ER35" s="1092"/>
      <c r="ES35" s="1092"/>
      <c r="ET35" s="1092"/>
      <c r="EU35" s="1092"/>
      <c r="EV35" s="1092"/>
      <c r="EW35" s="1092"/>
      <c r="EX35" s="1092"/>
      <c r="EY35" s="1092"/>
      <c r="EZ35" s="1092"/>
      <c r="FA35" s="1092"/>
      <c r="FB35" s="1092"/>
      <c r="FC35" s="1092"/>
      <c r="FD35" s="1092"/>
      <c r="FE35" s="1092"/>
      <c r="FF35" s="1092"/>
      <c r="FG35" s="1092"/>
      <c r="FH35" s="1092"/>
      <c r="FI35" s="1092"/>
      <c r="FJ35" s="1092"/>
      <c r="FK35" s="1092"/>
      <c r="FL35" s="1092"/>
      <c r="FM35" s="1092"/>
      <c r="FN35" s="1092"/>
      <c r="FO35" s="1092"/>
      <c r="FP35" s="1092"/>
      <c r="FQ35" s="1092"/>
      <c r="FR35" s="1092"/>
      <c r="FS35" s="1092"/>
      <c r="FT35" s="1092"/>
      <c r="FU35" s="1092"/>
      <c r="FV35" s="1092"/>
      <c r="FW35" s="1092"/>
      <c r="FX35" s="1092"/>
      <c r="FY35" s="1092"/>
      <c r="FZ35" s="1092"/>
      <c r="GA35" s="1092"/>
      <c r="GB35" s="1092"/>
      <c r="GC35" s="1092"/>
      <c r="GD35" s="1092"/>
      <c r="GE35" s="1092"/>
      <c r="GF35" s="1092"/>
      <c r="GG35" s="1092"/>
      <c r="GH35" s="1092"/>
      <c r="GI35" s="1092"/>
      <c r="GJ35" s="1092"/>
      <c r="GK35" s="1092"/>
      <c r="GL35" s="1092"/>
      <c r="GM35" s="1092"/>
      <c r="GN35" s="1092"/>
      <c r="GO35" s="1092"/>
    </row>
    <row r="36" spans="1:197" ht="21">
      <c r="A36" s="1252"/>
      <c r="B36" s="1246"/>
      <c r="C36" s="1246"/>
      <c r="D36" s="1246"/>
      <c r="E36" s="1246"/>
      <c r="F36" s="1308"/>
      <c r="G36" s="1146"/>
      <c r="H36" s="1095"/>
      <c r="I36" s="1292"/>
      <c r="J36" s="1292"/>
      <c r="K36" s="1292"/>
      <c r="L36" s="1292"/>
      <c r="M36" s="1262"/>
      <c r="N36" s="1092"/>
      <c r="O36" s="1307"/>
      <c r="P36" s="1307"/>
      <c r="Q36" s="1092"/>
      <c r="R36" s="1307"/>
      <c r="S36" s="1307"/>
      <c r="T36" s="1309"/>
      <c r="U36" s="1092"/>
      <c r="V36" s="1312"/>
      <c r="W36" s="1312"/>
      <c r="X36" s="1312"/>
      <c r="Y36" s="1312"/>
      <c r="Z36" s="1092"/>
      <c r="AC36" s="1094"/>
      <c r="AD36" s="1142"/>
      <c r="AE36" s="1142"/>
      <c r="AF36" s="1142"/>
      <c r="AG36" s="1142"/>
      <c r="AI36" s="1092"/>
      <c r="AJ36" s="1313" t="s">
        <v>177</v>
      </c>
      <c r="AK36" s="1092"/>
      <c r="AL36" s="1228"/>
      <c r="AM36" s="1228"/>
      <c r="AN36" s="1092"/>
      <c r="AO36" s="1092"/>
      <c r="AP36" s="1092"/>
      <c r="AQ36" s="1314"/>
      <c r="AR36" s="1220"/>
      <c r="AS36" s="1220"/>
      <c r="AT36" s="1314"/>
      <c r="AV36" s="1200"/>
      <c r="AW36" s="1091"/>
      <c r="AX36" s="1091"/>
      <c r="AY36" s="1092"/>
      <c r="AZ36" s="1092"/>
      <c r="BA36" s="1092"/>
      <c r="BC36" s="1112"/>
      <c r="BD36" s="1315"/>
      <c r="BE36" s="1315"/>
      <c r="BF36" s="1315"/>
      <c r="BG36" s="1315"/>
      <c r="BH36" s="1112"/>
      <c r="BI36" s="1181"/>
      <c r="BJ36" s="1114"/>
      <c r="BL36" s="1121"/>
      <c r="BM36" s="1092"/>
      <c r="BN36" s="1092"/>
      <c r="BO36" s="1092"/>
      <c r="BP36" s="1092"/>
      <c r="BQ36" s="1092"/>
      <c r="BR36" s="1092"/>
      <c r="BS36" s="1092"/>
      <c r="BT36" s="1092"/>
      <c r="BU36" s="1092"/>
      <c r="BV36" s="1092"/>
      <c r="BW36" s="1092"/>
      <c r="BX36" s="1092"/>
      <c r="BY36" s="1092"/>
      <c r="BZ36" s="1092"/>
      <c r="CA36" s="1092"/>
      <c r="CB36" s="1092"/>
      <c r="CC36" s="1092"/>
      <c r="CD36" s="1092"/>
      <c r="CE36" s="1092"/>
      <c r="CF36" s="1092"/>
      <c r="CG36" s="1092"/>
      <c r="CH36" s="1092"/>
      <c r="CI36" s="1092"/>
      <c r="CJ36" s="1092"/>
      <c r="CK36" s="1092"/>
      <c r="CL36" s="1092"/>
      <c r="CM36" s="1092"/>
      <c r="CN36" s="1092"/>
      <c r="CO36" s="1092"/>
      <c r="CP36" s="1092"/>
      <c r="CQ36" s="1092"/>
      <c r="CR36" s="1092"/>
      <c r="CS36" s="1092"/>
      <c r="CT36" s="1092"/>
      <c r="CU36" s="1092"/>
      <c r="CV36" s="1092"/>
      <c r="CW36" s="1092"/>
      <c r="CX36" s="1092"/>
      <c r="CY36" s="1092"/>
      <c r="CZ36" s="1092"/>
      <c r="DA36" s="1092"/>
      <c r="DB36" s="1092"/>
      <c r="DC36" s="1092"/>
      <c r="DD36" s="1092"/>
      <c r="DE36" s="1092"/>
      <c r="DF36" s="1092"/>
      <c r="DG36" s="1092"/>
      <c r="DH36" s="1092"/>
      <c r="DI36" s="1092"/>
      <c r="DJ36" s="1092"/>
      <c r="DK36" s="1092"/>
      <c r="DL36" s="1092"/>
      <c r="DM36" s="1092"/>
      <c r="DN36" s="1092"/>
      <c r="DO36" s="1092"/>
      <c r="DP36" s="1092"/>
      <c r="DQ36" s="1092"/>
      <c r="DR36" s="1092"/>
      <c r="DS36" s="1092"/>
      <c r="DT36" s="1092"/>
      <c r="DU36" s="1092"/>
      <c r="DV36" s="1092"/>
      <c r="DW36" s="1092"/>
      <c r="DX36" s="1092"/>
      <c r="DY36" s="1092"/>
      <c r="DZ36" s="1092"/>
      <c r="EA36" s="1092"/>
      <c r="EB36" s="1092"/>
      <c r="EC36" s="1092"/>
      <c r="ED36" s="1092"/>
      <c r="EE36" s="1092"/>
      <c r="EF36" s="1092"/>
      <c r="EG36" s="1092"/>
      <c r="EH36" s="1092"/>
      <c r="EI36" s="1092"/>
      <c r="EJ36" s="1092"/>
      <c r="EK36" s="1092"/>
      <c r="EL36" s="1092"/>
      <c r="EM36" s="1092"/>
      <c r="EN36" s="1092"/>
      <c r="EO36" s="1092"/>
      <c r="EP36" s="1092"/>
      <c r="EQ36" s="1092"/>
      <c r="ER36" s="1092"/>
      <c r="ES36" s="1092"/>
      <c r="ET36" s="1092"/>
      <c r="EU36" s="1092"/>
      <c r="EV36" s="1092"/>
      <c r="EW36" s="1092"/>
      <c r="EX36" s="1092"/>
      <c r="EY36" s="1092"/>
      <c r="EZ36" s="1092"/>
      <c r="FA36" s="1092"/>
      <c r="FB36" s="1092"/>
      <c r="FC36" s="1092"/>
      <c r="FD36" s="1092"/>
      <c r="FE36" s="1092"/>
      <c r="FF36" s="1092"/>
      <c r="FG36" s="1092"/>
      <c r="FH36" s="1092"/>
      <c r="FI36" s="1092"/>
      <c r="FJ36" s="1092"/>
      <c r="FK36" s="1092"/>
      <c r="FL36" s="1092"/>
      <c r="FM36" s="1092"/>
      <c r="FN36" s="1092"/>
      <c r="FO36" s="1092"/>
      <c r="FP36" s="1092"/>
      <c r="FQ36" s="1092"/>
      <c r="FR36" s="1092"/>
      <c r="FS36" s="1092"/>
      <c r="FT36" s="1092"/>
      <c r="FU36" s="1092"/>
      <c r="FV36" s="1092"/>
      <c r="FW36" s="1092"/>
      <c r="FX36" s="1092"/>
      <c r="FY36" s="1092"/>
      <c r="FZ36" s="1092"/>
      <c r="GA36" s="1092"/>
      <c r="GB36" s="1092"/>
      <c r="GC36" s="1092"/>
      <c r="GD36" s="1092"/>
      <c r="GE36" s="1092"/>
      <c r="GF36" s="1092"/>
      <c r="GG36" s="1092"/>
      <c r="GH36" s="1092"/>
      <c r="GI36" s="1092"/>
      <c r="GJ36" s="1092"/>
      <c r="GK36" s="1092"/>
      <c r="GL36" s="1092"/>
      <c r="GM36" s="1092"/>
      <c r="GN36" s="1092"/>
      <c r="GO36" s="1092"/>
    </row>
    <row r="37" spans="1:197" ht="21">
      <c r="A37" s="1252"/>
      <c r="B37" s="1246"/>
      <c r="C37" s="1246"/>
      <c r="D37" s="1246"/>
      <c r="E37" s="1246"/>
      <c r="F37" s="1246"/>
      <c r="G37" s="1121"/>
      <c r="H37" s="1095"/>
      <c r="I37" s="1292"/>
      <c r="J37" s="1292"/>
      <c r="K37" s="1292"/>
      <c r="L37" s="1292"/>
      <c r="M37" s="1262"/>
      <c r="N37" s="1092"/>
      <c r="O37" s="1307"/>
      <c r="P37" s="1307"/>
      <c r="Q37" s="1307"/>
      <c r="R37" s="1307"/>
      <c r="S37" s="1307"/>
      <c r="T37" s="1309"/>
      <c r="U37" s="1092"/>
      <c r="V37" s="1310"/>
      <c r="W37" s="1310"/>
      <c r="X37" s="1310"/>
      <c r="Y37" s="1310"/>
      <c r="Z37" s="1092"/>
      <c r="AC37" s="1273"/>
      <c r="AD37" s="1316"/>
      <c r="AE37" s="1316"/>
      <c r="AF37" s="1316"/>
      <c r="AG37" s="1316"/>
      <c r="AH37" s="1276"/>
      <c r="AI37" s="1092"/>
      <c r="AJ37" s="1092"/>
      <c r="AK37" s="1094"/>
      <c r="AL37" s="1256" t="s">
        <v>155</v>
      </c>
      <c r="AM37" s="1256"/>
      <c r="AN37" s="1317"/>
      <c r="AO37" s="1094"/>
      <c r="AP37" s="1092"/>
      <c r="AQ37" s="1092"/>
      <c r="AR37" s="1314"/>
      <c r="AS37" s="1314"/>
      <c r="AT37" s="1092"/>
      <c r="AW37" s="1092"/>
      <c r="AX37" s="1092"/>
      <c r="AY37" s="1092"/>
      <c r="AZ37" s="1092"/>
      <c r="BA37" s="1092"/>
      <c r="BC37" s="1112"/>
      <c r="BD37" s="1315"/>
      <c r="BE37" s="1315"/>
      <c r="BF37" s="1315"/>
      <c r="BG37" s="1092"/>
      <c r="BH37" s="1091"/>
      <c r="BI37" s="1094"/>
      <c r="BJ37" s="1318"/>
      <c r="BK37" s="1233"/>
      <c r="BL37" s="1121"/>
      <c r="BM37" s="1092"/>
      <c r="BN37" s="1092"/>
      <c r="BO37" s="1092"/>
      <c r="BP37" s="1092"/>
      <c r="BQ37" s="1092"/>
      <c r="BR37" s="1092"/>
      <c r="BS37" s="1092"/>
      <c r="BT37" s="1092"/>
      <c r="BU37" s="1092"/>
      <c r="BV37" s="1092"/>
      <c r="BW37" s="1092"/>
      <c r="BX37" s="1092"/>
      <c r="BY37" s="1092"/>
      <c r="BZ37" s="1092"/>
      <c r="CA37" s="1092"/>
      <c r="CB37" s="1092"/>
      <c r="CC37" s="1092"/>
      <c r="CD37" s="1092"/>
      <c r="CE37" s="1092"/>
      <c r="CF37" s="1092"/>
      <c r="CG37" s="1092"/>
      <c r="CH37" s="1092"/>
      <c r="CI37" s="1092"/>
      <c r="CJ37" s="1092"/>
      <c r="CK37" s="1092"/>
      <c r="CL37" s="1092"/>
      <c r="CM37" s="1092"/>
      <c r="CN37" s="1092"/>
      <c r="CO37" s="1092"/>
      <c r="CP37" s="1092"/>
      <c r="CQ37" s="1092"/>
      <c r="CR37" s="1092"/>
      <c r="CS37" s="1092"/>
      <c r="CT37" s="1092"/>
      <c r="CU37" s="1092"/>
      <c r="CV37" s="1092"/>
      <c r="CW37" s="1092"/>
      <c r="CX37" s="1092"/>
      <c r="CY37" s="1092"/>
      <c r="CZ37" s="1092"/>
      <c r="DA37" s="1092"/>
      <c r="DB37" s="1092"/>
      <c r="DC37" s="1092"/>
      <c r="DD37" s="1092"/>
      <c r="DE37" s="1092"/>
      <c r="DF37" s="1092"/>
      <c r="DG37" s="1092"/>
      <c r="DH37" s="1092"/>
      <c r="DI37" s="1092"/>
      <c r="DJ37" s="1092"/>
      <c r="DK37" s="1092"/>
      <c r="DL37" s="1092"/>
      <c r="DM37" s="1092"/>
      <c r="DN37" s="1092"/>
      <c r="DO37" s="1092"/>
      <c r="DP37" s="1092"/>
      <c r="DQ37" s="1092"/>
      <c r="DR37" s="1092"/>
      <c r="DS37" s="1092"/>
      <c r="DT37" s="1092"/>
      <c r="DU37" s="1092"/>
      <c r="DV37" s="1092"/>
      <c r="DW37" s="1092"/>
      <c r="DX37" s="1092"/>
      <c r="DY37" s="1092"/>
      <c r="DZ37" s="1092"/>
      <c r="EA37" s="1092"/>
      <c r="EB37" s="1092"/>
      <c r="EC37" s="1092"/>
      <c r="ED37" s="1092"/>
      <c r="EE37" s="1092"/>
      <c r="EF37" s="1092"/>
      <c r="EG37" s="1092"/>
      <c r="EH37" s="1092"/>
      <c r="EI37" s="1092"/>
      <c r="EJ37" s="1092"/>
      <c r="EK37" s="1092"/>
      <c r="EL37" s="1092"/>
      <c r="EM37" s="1092"/>
      <c r="EN37" s="1092"/>
      <c r="EO37" s="1092"/>
      <c r="EP37" s="1092"/>
      <c r="EQ37" s="1092"/>
      <c r="ER37" s="1092"/>
      <c r="ES37" s="1092"/>
      <c r="ET37" s="1092"/>
      <c r="EU37" s="1092"/>
      <c r="EV37" s="1092"/>
      <c r="EW37" s="1092"/>
      <c r="EX37" s="1092"/>
      <c r="EY37" s="1092"/>
      <c r="EZ37" s="1092"/>
      <c r="FA37" s="1092"/>
      <c r="FB37" s="1092"/>
      <c r="FC37" s="1092"/>
      <c r="FD37" s="1092"/>
      <c r="FE37" s="1092"/>
      <c r="FF37" s="1092"/>
      <c r="FG37" s="1092"/>
      <c r="FH37" s="1092"/>
      <c r="FI37" s="1092"/>
      <c r="FJ37" s="1092"/>
      <c r="FK37" s="1092"/>
      <c r="FL37" s="1092"/>
      <c r="FM37" s="1092"/>
      <c r="FN37" s="1092"/>
      <c r="FO37" s="1092"/>
      <c r="FP37" s="1092"/>
      <c r="FQ37" s="1092"/>
      <c r="FR37" s="1092"/>
      <c r="FS37" s="1092"/>
      <c r="FT37" s="1092"/>
      <c r="FU37" s="1092"/>
      <c r="FV37" s="1092"/>
      <c r="FW37" s="1092"/>
      <c r="FX37" s="1092"/>
      <c r="FY37" s="1092"/>
      <c r="FZ37" s="1092"/>
      <c r="GA37" s="1092"/>
      <c r="GB37" s="1092"/>
      <c r="GC37" s="1092"/>
      <c r="GD37" s="1092"/>
      <c r="GE37" s="1092"/>
      <c r="GF37" s="1092"/>
      <c r="GG37" s="1092"/>
      <c r="GH37" s="1092"/>
      <c r="GI37" s="1092"/>
      <c r="GJ37" s="1092"/>
      <c r="GK37" s="1092"/>
      <c r="GL37" s="1092"/>
      <c r="GM37" s="1092"/>
      <c r="GN37" s="1092"/>
      <c r="GO37" s="1092"/>
    </row>
    <row r="38" spans="1:197" ht="20.25">
      <c r="A38" s="1252"/>
      <c r="B38" s="1246"/>
      <c r="C38" s="1246"/>
      <c r="D38" s="1246"/>
      <c r="E38" s="1246"/>
      <c r="F38" s="1246"/>
      <c r="G38" s="1252"/>
      <c r="H38" s="1319"/>
      <c r="I38" s="1262"/>
      <c r="J38" s="1319"/>
      <c r="K38" s="1246"/>
      <c r="L38" s="1232"/>
      <c r="M38" s="1246"/>
      <c r="N38" s="1092"/>
      <c r="O38" s="1307"/>
      <c r="P38" s="1307"/>
      <c r="Q38" s="1307"/>
      <c r="R38" s="1307"/>
      <c r="S38" s="1307"/>
      <c r="T38" s="1309"/>
      <c r="U38" s="1310"/>
      <c r="V38" s="1218"/>
      <c r="W38" s="1218"/>
      <c r="X38" s="1218"/>
      <c r="Y38" s="1218"/>
      <c r="Z38" s="1310"/>
      <c r="AC38" s="1316"/>
      <c r="AD38" s="1218"/>
      <c r="AE38" s="1218"/>
      <c r="AF38" s="1218"/>
      <c r="AG38" s="1218"/>
      <c r="AH38" s="1316"/>
      <c r="AI38" s="1092"/>
      <c r="AJ38" s="1171"/>
      <c r="AK38" s="1094"/>
      <c r="AL38" s="1171"/>
      <c r="AM38" s="1320"/>
      <c r="AN38" s="1321"/>
      <c r="AO38" s="1232"/>
      <c r="AP38" s="1321"/>
      <c r="AQ38" s="1322"/>
      <c r="AR38" s="1103"/>
      <c r="AS38" s="1103"/>
      <c r="AT38" s="1103"/>
      <c r="AU38" s="1092"/>
      <c r="AW38" s="1153"/>
      <c r="AY38" s="1092"/>
      <c r="AZ38" s="1092"/>
      <c r="BA38" s="1092"/>
      <c r="BC38" s="1112"/>
      <c r="BD38" s="1315"/>
      <c r="BE38" s="1092"/>
      <c r="BF38" s="1092"/>
      <c r="BG38" s="1092"/>
      <c r="BH38" s="1092"/>
      <c r="BI38" s="1094"/>
      <c r="BJ38" s="1094"/>
      <c r="BK38" s="1168"/>
      <c r="BL38" s="1121"/>
      <c r="BM38" s="1092"/>
      <c r="BN38" s="1092"/>
      <c r="BO38" s="1092"/>
      <c r="BP38" s="1092"/>
      <c r="BQ38" s="1092"/>
      <c r="BR38" s="1092"/>
      <c r="BS38" s="1092"/>
      <c r="BT38" s="1092"/>
      <c r="BU38" s="1092"/>
      <c r="BV38" s="1092"/>
      <c r="BW38" s="1092"/>
      <c r="BX38" s="1092"/>
      <c r="BY38" s="1092"/>
      <c r="BZ38" s="1092"/>
      <c r="CA38" s="1092"/>
      <c r="CB38" s="1092"/>
      <c r="CC38" s="1092"/>
      <c r="CD38" s="1092"/>
      <c r="CE38" s="1092"/>
      <c r="CF38" s="1092"/>
      <c r="CG38" s="1092"/>
      <c r="CH38" s="1092"/>
      <c r="CI38" s="1092"/>
      <c r="CJ38" s="1092"/>
      <c r="CK38" s="1092"/>
      <c r="CL38" s="1092"/>
      <c r="CM38" s="1092"/>
      <c r="CN38" s="1092"/>
      <c r="CO38" s="1092"/>
      <c r="CP38" s="1092"/>
      <c r="CQ38" s="1092"/>
      <c r="CR38" s="1092"/>
      <c r="CS38" s="1092"/>
      <c r="CT38" s="1092"/>
      <c r="CU38" s="1092"/>
      <c r="CV38" s="1092"/>
      <c r="CW38" s="1092"/>
      <c r="CX38" s="1092"/>
      <c r="CY38" s="1092"/>
      <c r="CZ38" s="1092"/>
      <c r="DA38" s="1092"/>
      <c r="DB38" s="1092"/>
      <c r="DC38" s="1092"/>
      <c r="DD38" s="1092"/>
      <c r="DE38" s="1092"/>
      <c r="DF38" s="1092"/>
      <c r="DG38" s="1092"/>
      <c r="DH38" s="1092"/>
      <c r="DI38" s="1092"/>
      <c r="DJ38" s="1092"/>
      <c r="DK38" s="1092"/>
      <c r="DL38" s="1092"/>
      <c r="DM38" s="1092"/>
      <c r="DN38" s="1092"/>
      <c r="DO38" s="1092"/>
      <c r="DP38" s="1092"/>
      <c r="DQ38" s="1092"/>
      <c r="DR38" s="1092"/>
      <c r="DS38" s="1092"/>
      <c r="DT38" s="1092"/>
      <c r="DU38" s="1092"/>
      <c r="DV38" s="1092"/>
      <c r="DW38" s="1092"/>
      <c r="DX38" s="1092"/>
      <c r="DY38" s="1092"/>
      <c r="DZ38" s="1092"/>
      <c r="EA38" s="1092"/>
      <c r="EB38" s="1092"/>
      <c r="EC38" s="1092"/>
      <c r="ED38" s="1092"/>
      <c r="EE38" s="1092"/>
      <c r="EF38" s="1092"/>
      <c r="EG38" s="1092"/>
      <c r="EH38" s="1092"/>
      <c r="EI38" s="1092"/>
      <c r="EJ38" s="1092"/>
      <c r="EK38" s="1092"/>
      <c r="EL38" s="1092"/>
      <c r="EM38" s="1092"/>
      <c r="EN38" s="1092"/>
      <c r="EO38" s="1092"/>
      <c r="EP38" s="1092"/>
      <c r="EQ38" s="1092"/>
      <c r="ER38" s="1092"/>
      <c r="ES38" s="1092"/>
      <c r="ET38" s="1092"/>
      <c r="EU38" s="1092"/>
      <c r="EV38" s="1092"/>
      <c r="EW38" s="1092"/>
      <c r="EX38" s="1092"/>
      <c r="EY38" s="1092"/>
      <c r="EZ38" s="1092"/>
      <c r="FA38" s="1092"/>
      <c r="FB38" s="1092"/>
      <c r="FC38" s="1092"/>
      <c r="FD38" s="1092"/>
      <c r="FE38" s="1092"/>
      <c r="FF38" s="1092"/>
      <c r="FG38" s="1092"/>
      <c r="FH38" s="1092"/>
      <c r="FI38" s="1092"/>
      <c r="FJ38" s="1092"/>
      <c r="FK38" s="1092"/>
      <c r="FL38" s="1092"/>
      <c r="FM38" s="1092"/>
      <c r="FN38" s="1092"/>
      <c r="FO38" s="1092"/>
      <c r="FP38" s="1092"/>
      <c r="FQ38" s="1092"/>
      <c r="FR38" s="1092"/>
      <c r="FS38" s="1092"/>
      <c r="FT38" s="1092"/>
      <c r="FU38" s="1092"/>
      <c r="FV38" s="1092"/>
      <c r="FW38" s="1092"/>
      <c r="FX38" s="1092"/>
      <c r="FY38" s="1092"/>
      <c r="FZ38" s="1092"/>
      <c r="GA38" s="1092"/>
      <c r="GB38" s="1092"/>
      <c r="GC38" s="1092"/>
      <c r="GD38" s="1092"/>
      <c r="GE38" s="1092"/>
      <c r="GF38" s="1092"/>
      <c r="GG38" s="1092"/>
      <c r="GH38" s="1092"/>
      <c r="GI38" s="1092"/>
      <c r="GJ38" s="1092"/>
      <c r="GK38" s="1092"/>
      <c r="GL38" s="1092"/>
      <c r="GM38" s="1092"/>
      <c r="GN38" s="1092"/>
      <c r="GO38" s="1092"/>
    </row>
    <row r="39" spans="1:197" ht="20.25">
      <c r="A39" s="1252"/>
      <c r="B39" s="1246"/>
      <c r="C39" s="1246"/>
      <c r="D39" s="1246"/>
      <c r="E39" s="1246"/>
      <c r="F39" s="1246"/>
      <c r="G39" s="1252"/>
      <c r="H39" s="1323"/>
      <c r="I39" s="1246"/>
      <c r="J39" s="1323"/>
      <c r="K39" s="1246"/>
      <c r="L39" s="1307"/>
      <c r="M39" s="1246"/>
      <c r="N39" s="1092"/>
      <c r="O39" s="1307"/>
      <c r="P39" s="1307"/>
      <c r="Q39" s="1307"/>
      <c r="R39" s="1307"/>
      <c r="S39" s="1324"/>
      <c r="T39" s="1309"/>
      <c r="V39" s="1310"/>
      <c r="W39" s="1310"/>
      <c r="X39" s="1310"/>
      <c r="Y39" s="1310"/>
      <c r="AC39" s="1316"/>
      <c r="AD39" s="1218"/>
      <c r="AE39" s="1218"/>
      <c r="AF39" s="1218"/>
      <c r="AG39" s="1218"/>
      <c r="AH39" s="1316"/>
      <c r="AI39" s="1092"/>
      <c r="AJ39" s="1171"/>
      <c r="AK39" s="1094"/>
      <c r="AL39" s="1171"/>
      <c r="AM39" s="1320"/>
      <c r="AN39" s="1321"/>
      <c r="AO39" s="1094"/>
      <c r="AP39" s="1321"/>
      <c r="AQ39" s="1322"/>
      <c r="AR39" s="1103"/>
      <c r="AS39" s="1103"/>
      <c r="AT39" s="1103"/>
      <c r="AU39" s="1092"/>
      <c r="AW39" s="1153"/>
      <c r="AY39" s="1092"/>
      <c r="AZ39" s="1092"/>
      <c r="BA39" s="1092"/>
      <c r="BC39" s="1112"/>
      <c r="BD39" s="1315"/>
      <c r="BE39" s="1092"/>
      <c r="BF39" s="1092"/>
      <c r="BG39" s="1092"/>
      <c r="BH39" s="1092"/>
      <c r="BI39" s="1092"/>
      <c r="BJ39" s="1092"/>
      <c r="BK39" s="1325"/>
      <c r="BL39" s="1121"/>
      <c r="BM39" s="1092"/>
      <c r="BN39" s="1092"/>
      <c r="BO39" s="1092"/>
      <c r="BP39" s="1092"/>
      <c r="BQ39" s="1092"/>
      <c r="BR39" s="1092"/>
      <c r="BS39" s="1092"/>
      <c r="BT39" s="1092"/>
      <c r="BU39" s="1092"/>
      <c r="BV39" s="1092"/>
      <c r="BW39" s="1092"/>
      <c r="BX39" s="1092"/>
      <c r="BY39" s="1092"/>
      <c r="BZ39" s="1092"/>
      <c r="CA39" s="1092"/>
      <c r="CB39" s="1092"/>
      <c r="CC39" s="1092"/>
      <c r="CD39" s="1092"/>
      <c r="CE39" s="1092"/>
      <c r="CF39" s="1092"/>
      <c r="CG39" s="1092"/>
      <c r="CH39" s="1092"/>
      <c r="CI39" s="1092"/>
      <c r="CJ39" s="1092"/>
      <c r="CK39" s="1092"/>
      <c r="CL39" s="1092"/>
      <c r="CM39" s="1092"/>
      <c r="CN39" s="1092"/>
      <c r="CO39" s="1092"/>
      <c r="CP39" s="1092"/>
      <c r="CQ39" s="1092"/>
      <c r="CR39" s="1092"/>
      <c r="CS39" s="1092"/>
      <c r="CT39" s="1092"/>
      <c r="CU39" s="1092"/>
      <c r="CV39" s="1092"/>
      <c r="CW39" s="1092"/>
      <c r="CX39" s="1092"/>
      <c r="CY39" s="1092"/>
      <c r="CZ39" s="1092"/>
      <c r="DA39" s="1092"/>
      <c r="DB39" s="1092"/>
      <c r="DC39" s="1092"/>
      <c r="DD39" s="1092"/>
      <c r="DE39" s="1092"/>
      <c r="DF39" s="1092"/>
      <c r="DG39" s="1092"/>
      <c r="DH39" s="1092"/>
      <c r="DI39" s="1092"/>
      <c r="DJ39" s="1092"/>
      <c r="DK39" s="1092"/>
      <c r="DL39" s="1092"/>
      <c r="DM39" s="1092"/>
      <c r="DN39" s="1092"/>
      <c r="DO39" s="1092"/>
      <c r="DP39" s="1092"/>
      <c r="DQ39" s="1092"/>
      <c r="DR39" s="1092"/>
      <c r="DS39" s="1092"/>
      <c r="DT39" s="1092"/>
      <c r="DU39" s="1092"/>
      <c r="DV39" s="1092"/>
      <c r="DW39" s="1092"/>
      <c r="DX39" s="1092"/>
      <c r="DY39" s="1092"/>
      <c r="DZ39" s="1092"/>
      <c r="EA39" s="1092"/>
      <c r="EB39" s="1092"/>
      <c r="EC39" s="1092"/>
      <c r="ED39" s="1092"/>
      <c r="EE39" s="1092"/>
      <c r="EF39" s="1092"/>
      <c r="EG39" s="1092"/>
      <c r="EH39" s="1092"/>
      <c r="EI39" s="1092"/>
      <c r="EJ39" s="1092"/>
      <c r="EK39" s="1092"/>
      <c r="EL39" s="1092"/>
      <c r="EM39" s="1092"/>
      <c r="EN39" s="1092"/>
      <c r="EO39" s="1092"/>
      <c r="EP39" s="1092"/>
      <c r="EQ39" s="1092"/>
      <c r="ER39" s="1092"/>
      <c r="ES39" s="1092"/>
      <c r="ET39" s="1092"/>
      <c r="EU39" s="1092"/>
      <c r="EV39" s="1092"/>
      <c r="EW39" s="1092"/>
      <c r="EX39" s="1092"/>
      <c r="EY39" s="1092"/>
      <c r="EZ39" s="1092"/>
      <c r="FA39" s="1092"/>
      <c r="FB39" s="1092"/>
      <c r="FC39" s="1092"/>
      <c r="FD39" s="1092"/>
      <c r="FE39" s="1092"/>
      <c r="FF39" s="1092"/>
      <c r="FG39" s="1092"/>
      <c r="FH39" s="1092"/>
      <c r="FI39" s="1092"/>
      <c r="FJ39" s="1092"/>
      <c r="FK39" s="1092"/>
      <c r="FL39" s="1092"/>
      <c r="FM39" s="1092"/>
      <c r="FN39" s="1092"/>
      <c r="FO39" s="1092"/>
      <c r="FP39" s="1092"/>
      <c r="FQ39" s="1092"/>
      <c r="FR39" s="1092"/>
      <c r="FS39" s="1092"/>
      <c r="FT39" s="1092"/>
      <c r="FU39" s="1092"/>
      <c r="FV39" s="1092"/>
      <c r="FW39" s="1092"/>
      <c r="FX39" s="1092"/>
      <c r="FY39" s="1092"/>
      <c r="FZ39" s="1092"/>
      <c r="GA39" s="1092"/>
      <c r="GB39" s="1092"/>
      <c r="GC39" s="1092"/>
      <c r="GD39" s="1092"/>
      <c r="GE39" s="1092"/>
      <c r="GF39" s="1092"/>
      <c r="GG39" s="1092"/>
      <c r="GH39" s="1092"/>
      <c r="GI39" s="1092"/>
      <c r="GJ39" s="1092"/>
      <c r="GK39" s="1092"/>
      <c r="GL39" s="1092"/>
      <c r="GM39" s="1092"/>
      <c r="GN39" s="1092"/>
      <c r="GO39" s="1092"/>
    </row>
    <row r="40" spans="1:197" ht="20.25">
      <c r="A40" s="1252"/>
      <c r="B40" s="1246"/>
      <c r="C40" s="1246"/>
      <c r="D40" s="1246"/>
      <c r="E40" s="1246"/>
      <c r="F40" s="1246"/>
      <c r="G40" s="1252"/>
      <c r="H40" s="1323"/>
      <c r="I40" s="1246"/>
      <c r="J40" s="1323"/>
      <c r="K40" s="1246"/>
      <c r="L40" s="1246"/>
      <c r="M40" s="1246"/>
      <c r="N40" s="1246"/>
      <c r="O40" s="1307"/>
      <c r="P40" s="1307"/>
      <c r="Q40" s="1307"/>
      <c r="R40" s="1307"/>
      <c r="S40" s="1326"/>
      <c r="T40" s="1309"/>
      <c r="U40" s="1310"/>
      <c r="V40" s="1327"/>
      <c r="W40" s="1327"/>
      <c r="X40" s="1327"/>
      <c r="Y40" s="1327"/>
      <c r="AC40" s="1094"/>
      <c r="AD40" s="1316"/>
      <c r="AE40" s="1316"/>
      <c r="AF40" s="1316"/>
      <c r="AG40" s="1316"/>
      <c r="AH40" s="1092"/>
      <c r="AI40" s="1092"/>
      <c r="AJ40" s="1092"/>
      <c r="AK40" s="1094"/>
      <c r="AL40" s="1328"/>
      <c r="AM40" s="1092"/>
      <c r="AN40" s="1329"/>
      <c r="AO40" s="1094"/>
      <c r="AP40" s="1092"/>
      <c r="AQ40" s="1092"/>
      <c r="AR40" s="1092"/>
      <c r="AS40" s="1092"/>
      <c r="AT40" s="1092"/>
      <c r="AU40" s="1092"/>
      <c r="AV40" s="1092"/>
      <c r="AW40" s="1300"/>
      <c r="AY40" s="1092"/>
      <c r="AZ40" s="1092"/>
      <c r="BA40" s="1092"/>
      <c r="BC40" s="1112"/>
      <c r="BD40" s="1304"/>
      <c r="BE40" s="1304"/>
      <c r="BF40" s="1304"/>
      <c r="BG40" s="1304"/>
      <c r="BH40" s="1304"/>
      <c r="BI40" s="1092"/>
      <c r="BJ40" s="1092"/>
      <c r="BK40" s="1168"/>
      <c r="BL40" s="1121"/>
      <c r="BM40" s="1092"/>
      <c r="BN40" s="1092"/>
      <c r="BO40" s="1092"/>
      <c r="BP40" s="1092"/>
      <c r="BQ40" s="1092"/>
      <c r="BR40" s="1092"/>
      <c r="BS40" s="1092"/>
      <c r="BT40" s="1092"/>
      <c r="BU40" s="1092"/>
      <c r="BV40" s="1092"/>
      <c r="BW40" s="1092"/>
      <c r="BX40" s="1092"/>
      <c r="BY40" s="1092"/>
      <c r="BZ40" s="1092"/>
      <c r="CA40" s="1092"/>
      <c r="CB40" s="1092"/>
      <c r="CC40" s="1092"/>
      <c r="CD40" s="1092"/>
      <c r="CE40" s="1092"/>
      <c r="CF40" s="1092"/>
      <c r="CG40" s="1092"/>
      <c r="CH40" s="1092"/>
      <c r="CI40" s="1092"/>
      <c r="CJ40" s="1092"/>
      <c r="CK40" s="1092"/>
      <c r="CL40" s="1092"/>
      <c r="CM40" s="1092"/>
      <c r="CN40" s="1092"/>
      <c r="CO40" s="1092"/>
      <c r="CP40" s="1092"/>
      <c r="CQ40" s="1092"/>
      <c r="CR40" s="1092"/>
      <c r="CS40" s="1092"/>
      <c r="CT40" s="1092"/>
      <c r="CU40" s="1092"/>
      <c r="CV40" s="1092"/>
      <c r="CW40" s="1092"/>
      <c r="CX40" s="1092"/>
      <c r="CY40" s="1092"/>
      <c r="CZ40" s="1092"/>
      <c r="DA40" s="1092"/>
      <c r="DB40" s="1092"/>
      <c r="DC40" s="1092"/>
      <c r="DD40" s="1092"/>
      <c r="DE40" s="1092"/>
      <c r="DF40" s="1092"/>
      <c r="DG40" s="1092"/>
      <c r="DH40" s="1092"/>
      <c r="DI40" s="1092"/>
      <c r="DJ40" s="1092"/>
      <c r="DK40" s="1092"/>
      <c r="DL40" s="1092"/>
      <c r="DM40" s="1092"/>
      <c r="DN40" s="1092"/>
      <c r="DO40" s="1092"/>
      <c r="DP40" s="1092"/>
      <c r="DQ40" s="1092"/>
      <c r="DR40" s="1092"/>
      <c r="DS40" s="1092"/>
      <c r="DT40" s="1092"/>
      <c r="DU40" s="1092"/>
      <c r="DV40" s="1092"/>
      <c r="DW40" s="1092"/>
      <c r="DX40" s="1092"/>
      <c r="DY40" s="1092"/>
      <c r="DZ40" s="1092"/>
      <c r="EA40" s="1092"/>
      <c r="EB40" s="1092"/>
      <c r="EC40" s="1092"/>
      <c r="ED40" s="1092"/>
      <c r="EE40" s="1092"/>
      <c r="EF40" s="1092"/>
      <c r="EG40" s="1092"/>
      <c r="EH40" s="1092"/>
      <c r="EI40" s="1092"/>
      <c r="EJ40" s="1092"/>
      <c r="EK40" s="1092"/>
      <c r="EL40" s="1092"/>
      <c r="EM40" s="1092"/>
      <c r="EN40" s="1092"/>
      <c r="EO40" s="1092"/>
      <c r="EP40" s="1092"/>
      <c r="EQ40" s="1092"/>
      <c r="ER40" s="1092"/>
      <c r="ES40" s="1092"/>
      <c r="ET40" s="1092"/>
      <c r="EU40" s="1092"/>
      <c r="EV40" s="1092"/>
      <c r="EW40" s="1092"/>
      <c r="EX40" s="1092"/>
      <c r="EY40" s="1092"/>
      <c r="EZ40" s="1092"/>
      <c r="FA40" s="1092"/>
      <c r="FB40" s="1092"/>
      <c r="FC40" s="1092"/>
      <c r="FD40" s="1092"/>
      <c r="FE40" s="1092"/>
      <c r="FF40" s="1092"/>
      <c r="FG40" s="1092"/>
      <c r="FH40" s="1092"/>
      <c r="FI40" s="1092"/>
      <c r="FJ40" s="1092"/>
      <c r="FK40" s="1092"/>
      <c r="FL40" s="1092"/>
      <c r="FM40" s="1092"/>
      <c r="FN40" s="1092"/>
      <c r="FO40" s="1092"/>
      <c r="FP40" s="1092"/>
      <c r="FQ40" s="1092"/>
      <c r="FR40" s="1092"/>
      <c r="FS40" s="1092"/>
      <c r="FT40" s="1092"/>
      <c r="FU40" s="1092"/>
      <c r="FV40" s="1092"/>
      <c r="FW40" s="1092"/>
      <c r="FX40" s="1092"/>
      <c r="FY40" s="1092"/>
      <c r="FZ40" s="1092"/>
      <c r="GA40" s="1092"/>
      <c r="GB40" s="1092"/>
      <c r="GC40" s="1092"/>
      <c r="GD40" s="1092"/>
      <c r="GE40" s="1092"/>
      <c r="GF40" s="1092"/>
      <c r="GG40" s="1092"/>
      <c r="GH40" s="1092"/>
      <c r="GI40" s="1092"/>
      <c r="GJ40" s="1092"/>
      <c r="GK40" s="1092"/>
      <c r="GL40" s="1092"/>
      <c r="GM40" s="1092"/>
      <c r="GN40" s="1092"/>
      <c r="GO40" s="1092"/>
    </row>
    <row r="41" spans="1:197" ht="21" thickBot="1">
      <c r="A41" s="1252"/>
      <c r="B41" s="1246"/>
      <c r="C41" s="1246"/>
      <c r="D41" s="1246"/>
      <c r="E41" s="1246"/>
      <c r="F41" s="1246"/>
      <c r="G41" s="1330"/>
      <c r="H41" s="1331"/>
      <c r="I41" s="1332"/>
      <c r="J41" s="1331"/>
      <c r="K41" s="1246"/>
      <c r="L41" s="1246"/>
      <c r="M41" s="1246"/>
      <c r="N41" s="1246"/>
      <c r="O41" s="1307"/>
      <c r="P41" s="1307"/>
      <c r="Q41" s="1307"/>
      <c r="R41" s="1307"/>
      <c r="S41" s="1333"/>
      <c r="T41" s="1142"/>
      <c r="U41" s="1142"/>
      <c r="V41" s="1142"/>
      <c r="W41" s="1142"/>
      <c r="Y41" s="1092"/>
      <c r="Z41" s="1092"/>
      <c r="AC41" s="1092"/>
      <c r="AD41" s="1327"/>
      <c r="AE41" s="1327"/>
      <c r="AF41" s="1327"/>
      <c r="AG41" s="1327"/>
      <c r="AH41" s="1092"/>
      <c r="AI41" s="1334"/>
      <c r="AJ41" s="1335"/>
      <c r="AK41" s="1335"/>
      <c r="AL41" s="1092"/>
      <c r="AM41" s="1255"/>
      <c r="AN41" s="1092"/>
      <c r="AO41" s="1092"/>
      <c r="AP41" s="1255"/>
      <c r="AQ41" s="1255"/>
      <c r="AR41" s="1255"/>
      <c r="AS41" s="1255"/>
      <c r="AT41" s="1255"/>
      <c r="AU41" s="1255"/>
      <c r="AV41" s="1255"/>
      <c r="AW41" s="1181"/>
      <c r="AX41" s="1092"/>
      <c r="AY41" s="1092"/>
      <c r="AZ41" s="1092"/>
      <c r="BA41" s="1092"/>
      <c r="BC41" s="1336"/>
      <c r="BD41" s="1304"/>
      <c r="BE41" s="1304"/>
      <c r="BF41" s="1304"/>
      <c r="BG41" s="1304"/>
      <c r="BH41" s="1304"/>
      <c r="BI41" s="1092"/>
      <c r="BJ41" s="1092"/>
      <c r="BK41" s="1325"/>
      <c r="BL41" s="1121"/>
      <c r="BM41" s="1092"/>
      <c r="BN41" s="1092"/>
      <c r="BO41" s="1092"/>
      <c r="BP41" s="1092"/>
      <c r="BQ41" s="1092"/>
      <c r="BR41" s="1092"/>
      <c r="BS41" s="1092"/>
      <c r="BT41" s="1092"/>
      <c r="BU41" s="1092"/>
      <c r="BV41" s="1092"/>
      <c r="BW41" s="1092"/>
      <c r="BX41" s="1092"/>
      <c r="BY41" s="1092"/>
      <c r="BZ41" s="1092"/>
      <c r="CA41" s="1092"/>
      <c r="CB41" s="1092"/>
      <c r="CC41" s="1092"/>
      <c r="CD41" s="1092"/>
      <c r="CE41" s="1092"/>
      <c r="CF41" s="1092"/>
      <c r="CG41" s="1092"/>
      <c r="CH41" s="1092"/>
      <c r="CI41" s="1092"/>
      <c r="CJ41" s="1092"/>
      <c r="CK41" s="1092"/>
      <c r="CL41" s="1092"/>
      <c r="CM41" s="1092"/>
      <c r="CN41" s="1092"/>
      <c r="CO41" s="1092"/>
      <c r="CP41" s="1092"/>
      <c r="CQ41" s="1092"/>
      <c r="CR41" s="1092"/>
      <c r="CS41" s="1092"/>
      <c r="CT41" s="1092"/>
      <c r="CU41" s="1092"/>
      <c r="CV41" s="1092"/>
      <c r="CW41" s="1092"/>
      <c r="CX41" s="1092"/>
      <c r="CY41" s="1092"/>
      <c r="CZ41" s="1092"/>
      <c r="DA41" s="1092"/>
      <c r="DB41" s="1092"/>
      <c r="DC41" s="1092"/>
      <c r="DD41" s="1092"/>
      <c r="DE41" s="1092"/>
      <c r="DF41" s="1092"/>
      <c r="DG41" s="1092"/>
      <c r="DH41" s="1092"/>
      <c r="DI41" s="1092"/>
      <c r="DJ41" s="1092"/>
      <c r="DK41" s="1092"/>
      <c r="DL41" s="1092"/>
      <c r="DM41" s="1092"/>
      <c r="DN41" s="1092"/>
      <c r="DO41" s="1092"/>
      <c r="DP41" s="1092"/>
      <c r="DQ41" s="1092"/>
      <c r="DR41" s="1092"/>
      <c r="DS41" s="1092"/>
      <c r="DT41" s="1092"/>
      <c r="DU41" s="1092"/>
      <c r="DV41" s="1092"/>
      <c r="DW41" s="1092"/>
      <c r="DX41" s="1092"/>
      <c r="DY41" s="1092"/>
      <c r="DZ41" s="1092"/>
      <c r="EA41" s="1092"/>
      <c r="EB41" s="1092"/>
      <c r="EC41" s="1092"/>
      <c r="ED41" s="1092"/>
      <c r="EE41" s="1092"/>
      <c r="EF41" s="1092"/>
      <c r="EG41" s="1092"/>
      <c r="EH41" s="1092"/>
      <c r="EI41" s="1092"/>
      <c r="EJ41" s="1092"/>
      <c r="EK41" s="1092"/>
      <c r="EL41" s="1092"/>
      <c r="EM41" s="1092"/>
      <c r="EN41" s="1092"/>
      <c r="EO41" s="1092"/>
      <c r="EP41" s="1092"/>
      <c r="EQ41" s="1092"/>
      <c r="ER41" s="1092"/>
      <c r="ES41" s="1092"/>
      <c r="ET41" s="1092"/>
      <c r="EU41" s="1092"/>
      <c r="EV41" s="1092"/>
      <c r="EW41" s="1092"/>
      <c r="EX41" s="1092"/>
      <c r="EY41" s="1092"/>
      <c r="EZ41" s="1092"/>
      <c r="FA41" s="1092"/>
      <c r="FB41" s="1092"/>
      <c r="FC41" s="1092"/>
      <c r="FD41" s="1092"/>
      <c r="FE41" s="1092"/>
      <c r="FF41" s="1092"/>
      <c r="FG41" s="1092"/>
      <c r="FH41" s="1092"/>
      <c r="FI41" s="1092"/>
      <c r="FJ41" s="1092"/>
      <c r="FK41" s="1092"/>
      <c r="FL41" s="1092"/>
      <c r="FM41" s="1092"/>
      <c r="FN41" s="1092"/>
      <c r="FO41" s="1092"/>
      <c r="FP41" s="1092"/>
      <c r="FQ41" s="1092"/>
      <c r="FR41" s="1092"/>
      <c r="FS41" s="1092"/>
      <c r="FT41" s="1092"/>
      <c r="FU41" s="1092"/>
      <c r="FV41" s="1092"/>
      <c r="FW41" s="1092"/>
      <c r="FX41" s="1092"/>
      <c r="FY41" s="1092"/>
      <c r="FZ41" s="1092"/>
      <c r="GA41" s="1092"/>
      <c r="GB41" s="1092"/>
      <c r="GC41" s="1092"/>
      <c r="GD41" s="1092"/>
      <c r="GE41" s="1092"/>
      <c r="GF41" s="1092"/>
      <c r="GG41" s="1092"/>
      <c r="GH41" s="1092"/>
      <c r="GI41" s="1092"/>
      <c r="GJ41" s="1092"/>
      <c r="GK41" s="1092"/>
      <c r="GL41" s="1092"/>
      <c r="GM41" s="1092"/>
      <c r="GN41" s="1092"/>
      <c r="GO41" s="1092"/>
    </row>
    <row r="42" spans="1:197" ht="20.25">
      <c r="A42" s="1252"/>
      <c r="B42" s="1307"/>
      <c r="C42" s="1307"/>
      <c r="D42" s="1307"/>
      <c r="E42" s="1307"/>
      <c r="F42" s="1307"/>
      <c r="G42" s="1307"/>
      <c r="H42" s="1307"/>
      <c r="I42" s="1307"/>
      <c r="J42" s="1246"/>
      <c r="K42" s="1337"/>
      <c r="L42" s="1338"/>
      <c r="M42" s="1338"/>
      <c r="N42" s="1338"/>
      <c r="O42" s="1339"/>
      <c r="P42" s="1339"/>
      <c r="Q42" s="1339"/>
      <c r="R42" s="1339"/>
      <c r="S42" s="1340"/>
      <c r="T42" s="1341"/>
      <c r="U42" s="1341"/>
      <c r="V42" s="1341"/>
      <c r="W42" s="1341"/>
      <c r="X42" s="1342"/>
      <c r="Y42" s="1092"/>
      <c r="Z42" s="1092"/>
      <c r="AC42" s="1307"/>
      <c r="AD42" s="1307"/>
      <c r="AE42" s="1092"/>
      <c r="AF42" s="1307"/>
      <c r="AG42" s="1307"/>
      <c r="AH42" s="1246"/>
      <c r="AI42" s="1300"/>
      <c r="AJ42" s="1218"/>
      <c r="AK42" s="1218"/>
      <c r="AL42" s="1094"/>
      <c r="AM42" s="1092"/>
      <c r="AN42" s="1343"/>
      <c r="AO42" s="1343"/>
      <c r="AP42" s="1092"/>
      <c r="AQ42" s="1310"/>
      <c r="AR42" s="1343"/>
      <c r="AS42" s="1343"/>
      <c r="AT42" s="1310"/>
      <c r="AU42" s="1255"/>
      <c r="AV42" s="1255"/>
      <c r="AW42" s="1181"/>
      <c r="AX42" s="1092"/>
      <c r="AY42" s="1092"/>
      <c r="AZ42" s="1092"/>
      <c r="BA42" s="1118"/>
      <c r="BB42" s="1118"/>
      <c r="BC42" s="1092"/>
      <c r="BD42" s="1092"/>
      <c r="BE42" s="1315"/>
      <c r="BF42" s="1315"/>
      <c r="BG42" s="1315"/>
      <c r="BH42" s="1112"/>
      <c r="BI42" s="1092"/>
      <c r="BJ42" s="1092"/>
      <c r="BK42" s="1168"/>
      <c r="BL42" s="1121"/>
      <c r="BM42" s="1092"/>
      <c r="BN42" s="1092"/>
      <c r="BO42" s="1092"/>
      <c r="BP42" s="1092"/>
      <c r="BQ42" s="1092"/>
      <c r="BR42" s="1092"/>
      <c r="BS42" s="1092"/>
      <c r="BT42" s="1092"/>
      <c r="BU42" s="1092"/>
      <c r="BV42" s="1092"/>
      <c r="BW42" s="1092"/>
      <c r="BX42" s="1092"/>
      <c r="BY42" s="1092"/>
      <c r="BZ42" s="1092"/>
      <c r="CA42" s="1092"/>
      <c r="CB42" s="1092"/>
      <c r="CC42" s="1092"/>
      <c r="CD42" s="1092"/>
      <c r="CE42" s="1092"/>
      <c r="CF42" s="1092"/>
      <c r="CG42" s="1092"/>
      <c r="CH42" s="1092"/>
      <c r="CI42" s="1092"/>
      <c r="CJ42" s="1092"/>
      <c r="CK42" s="1092"/>
      <c r="CL42" s="1092"/>
      <c r="CM42" s="1092"/>
      <c r="CN42" s="1092"/>
      <c r="CO42" s="1092"/>
      <c r="CP42" s="1092"/>
      <c r="CQ42" s="1092"/>
      <c r="CR42" s="1092"/>
      <c r="CS42" s="1092"/>
      <c r="CT42" s="1092"/>
      <c r="CU42" s="1092"/>
      <c r="CV42" s="1092"/>
      <c r="CW42" s="1092"/>
      <c r="CX42" s="1092"/>
      <c r="CY42" s="1092"/>
      <c r="CZ42" s="1092"/>
      <c r="DA42" s="1092"/>
      <c r="DB42" s="1092"/>
      <c r="DC42" s="1092"/>
      <c r="DD42" s="1092"/>
      <c r="DE42" s="1092"/>
      <c r="DF42" s="1092"/>
      <c r="DG42" s="1092"/>
      <c r="DH42" s="1092"/>
      <c r="DI42" s="1092"/>
      <c r="DJ42" s="1092"/>
      <c r="DK42" s="1092"/>
      <c r="DL42" s="1092"/>
      <c r="DM42" s="1092"/>
      <c r="DN42" s="1092"/>
      <c r="DO42" s="1092"/>
      <c r="DP42" s="1092"/>
      <c r="DQ42" s="1092"/>
      <c r="DR42" s="1092"/>
      <c r="DS42" s="1092"/>
      <c r="DT42" s="1092"/>
      <c r="DU42" s="1092"/>
      <c r="DV42" s="1092"/>
      <c r="DW42" s="1092"/>
      <c r="DX42" s="1092"/>
      <c r="DY42" s="1092"/>
      <c r="DZ42" s="1092"/>
      <c r="EA42" s="1092"/>
      <c r="EB42" s="1092"/>
      <c r="EC42" s="1092"/>
      <c r="ED42" s="1092"/>
      <c r="EE42" s="1092"/>
      <c r="EF42" s="1092"/>
      <c r="EG42" s="1092"/>
      <c r="EH42" s="1092"/>
      <c r="EI42" s="1092"/>
      <c r="EJ42" s="1092"/>
      <c r="EK42" s="1092"/>
      <c r="EL42" s="1092"/>
      <c r="EM42" s="1092"/>
      <c r="EN42" s="1092"/>
      <c r="EO42" s="1092"/>
      <c r="EP42" s="1092"/>
      <c r="EQ42" s="1092"/>
      <c r="ER42" s="1092"/>
      <c r="ES42" s="1092"/>
      <c r="ET42" s="1092"/>
      <c r="EU42" s="1092"/>
      <c r="EV42" s="1092"/>
      <c r="EW42" s="1092"/>
      <c r="EX42" s="1092"/>
      <c r="EY42" s="1092"/>
      <c r="EZ42" s="1092"/>
      <c r="FA42" s="1092"/>
      <c r="FB42" s="1092"/>
      <c r="FC42" s="1092"/>
      <c r="FD42" s="1092"/>
      <c r="FE42" s="1092"/>
      <c r="FF42" s="1092"/>
      <c r="FG42" s="1092"/>
      <c r="FH42" s="1092"/>
      <c r="FI42" s="1092"/>
      <c r="FJ42" s="1092"/>
      <c r="FK42" s="1092"/>
      <c r="FL42" s="1092"/>
      <c r="FM42" s="1092"/>
      <c r="FN42" s="1092"/>
      <c r="FO42" s="1092"/>
      <c r="FP42" s="1092"/>
      <c r="FQ42" s="1092"/>
      <c r="FR42" s="1092"/>
      <c r="FS42" s="1092"/>
      <c r="FT42" s="1092"/>
      <c r="FU42" s="1092"/>
      <c r="FV42" s="1092"/>
      <c r="FW42" s="1092"/>
      <c r="FX42" s="1092"/>
      <c r="FY42" s="1092"/>
      <c r="FZ42" s="1092"/>
      <c r="GA42" s="1092"/>
      <c r="GB42" s="1092"/>
      <c r="GC42" s="1092"/>
      <c r="GD42" s="1092"/>
      <c r="GE42" s="1092"/>
      <c r="GF42" s="1092"/>
      <c r="GG42" s="1092"/>
      <c r="GH42" s="1092"/>
      <c r="GI42" s="1092"/>
      <c r="GJ42" s="1092"/>
      <c r="GK42" s="1092"/>
      <c r="GL42" s="1092"/>
      <c r="GM42" s="1092"/>
      <c r="GN42" s="1092"/>
      <c r="GO42" s="1092"/>
    </row>
    <row r="43" spans="1:197" ht="21" thickBot="1">
      <c r="A43" s="1252"/>
      <c r="B43" s="1344"/>
      <c r="C43" s="1344"/>
      <c r="D43" s="1344"/>
      <c r="E43" s="1344"/>
      <c r="F43" s="1344"/>
      <c r="G43" s="1344"/>
      <c r="H43" s="1344"/>
      <c r="I43" s="1344"/>
      <c r="J43" s="1344"/>
      <c r="K43" s="1252"/>
      <c r="L43" s="1345" t="s">
        <v>183</v>
      </c>
      <c r="M43" s="1345"/>
      <c r="N43" s="1345"/>
      <c r="O43" s="1345"/>
      <c r="P43" s="1345"/>
      <c r="Q43" s="1345"/>
      <c r="R43" s="1345"/>
      <c r="S43" s="1324"/>
      <c r="T43" s="1218"/>
      <c r="U43" s="1218"/>
      <c r="V43" s="1218"/>
      <c r="W43" s="1218"/>
      <c r="X43" s="1346"/>
      <c r="Y43" s="1347"/>
      <c r="Z43" s="1347"/>
      <c r="AC43" s="1307"/>
      <c r="AD43" s="1246"/>
      <c r="AE43" s="1092"/>
      <c r="AF43" s="1246"/>
      <c r="AG43" s="1092"/>
      <c r="AH43" s="1246"/>
      <c r="AI43" s="1300"/>
      <c r="AJ43" s="1218"/>
      <c r="AK43" s="1218"/>
      <c r="AL43" s="1094"/>
      <c r="AM43" s="1094"/>
      <c r="AN43" s="1348"/>
      <c r="AO43" s="1348"/>
      <c r="AP43" s="1092"/>
      <c r="AQ43" s="1092"/>
      <c r="AR43" s="1348"/>
      <c r="AS43" s="1348"/>
      <c r="AT43" s="1092"/>
      <c r="AU43" s="1255"/>
      <c r="AV43" s="1255"/>
      <c r="AW43" s="1181"/>
      <c r="AX43" s="1092"/>
      <c r="AY43" s="1092"/>
      <c r="AZ43" s="1092"/>
      <c r="BA43" s="1092"/>
      <c r="BB43" s="1092"/>
      <c r="BC43" s="1092"/>
      <c r="BD43" s="1092"/>
      <c r="BE43" s="1315"/>
      <c r="BF43" s="1315"/>
      <c r="BG43" s="1315"/>
      <c r="BH43" s="1349"/>
      <c r="BI43" s="1094"/>
      <c r="BJ43" s="1092"/>
      <c r="BK43" s="1350"/>
      <c r="BL43" s="1121"/>
      <c r="BM43" s="1092"/>
      <c r="BN43" s="1092"/>
      <c r="BO43" s="1092"/>
      <c r="BP43" s="1092"/>
      <c r="BQ43" s="1092"/>
      <c r="BR43" s="1092"/>
      <c r="BS43" s="1092"/>
      <c r="BT43" s="1092"/>
      <c r="BU43" s="1092"/>
      <c r="BV43" s="1092"/>
      <c r="BW43" s="1092"/>
      <c r="BX43" s="1092"/>
      <c r="BY43" s="1092"/>
      <c r="BZ43" s="1092"/>
      <c r="CA43" s="1092"/>
      <c r="CB43" s="1092"/>
      <c r="CC43" s="1092"/>
      <c r="CD43" s="1092"/>
      <c r="CE43" s="1092"/>
      <c r="CF43" s="1092"/>
      <c r="CG43" s="1092"/>
      <c r="CH43" s="1092"/>
      <c r="CI43" s="1092"/>
      <c r="CJ43" s="1092"/>
      <c r="CK43" s="1092"/>
      <c r="CL43" s="1092"/>
      <c r="CM43" s="1092"/>
      <c r="CN43" s="1092"/>
      <c r="CO43" s="1092"/>
      <c r="CP43" s="1092"/>
      <c r="CQ43" s="1092"/>
      <c r="CR43" s="1092"/>
      <c r="CS43" s="1092"/>
      <c r="CT43" s="1092"/>
      <c r="CU43" s="1092"/>
      <c r="CV43" s="1092"/>
      <c r="CW43" s="1092"/>
      <c r="CX43" s="1092"/>
      <c r="CY43" s="1092"/>
      <c r="CZ43" s="1092"/>
      <c r="DA43" s="1092"/>
      <c r="DB43" s="1092"/>
      <c r="DC43" s="1092"/>
      <c r="DD43" s="1092"/>
      <c r="DE43" s="1092"/>
      <c r="DF43" s="1092"/>
      <c r="DG43" s="1092"/>
      <c r="DH43" s="1092"/>
      <c r="DI43" s="1092"/>
      <c r="DJ43" s="1092"/>
      <c r="DK43" s="1092"/>
      <c r="DL43" s="1092"/>
      <c r="DM43" s="1092"/>
      <c r="DN43" s="1092"/>
      <c r="DO43" s="1092"/>
      <c r="DP43" s="1092"/>
      <c r="DQ43" s="1092"/>
      <c r="DR43" s="1092"/>
      <c r="DS43" s="1092"/>
      <c r="DT43" s="1092"/>
      <c r="DU43" s="1092"/>
      <c r="DV43" s="1092"/>
      <c r="DW43" s="1092"/>
      <c r="DX43" s="1092"/>
      <c r="DY43" s="1092"/>
      <c r="DZ43" s="1092"/>
      <c r="EA43" s="1092"/>
      <c r="EB43" s="1092"/>
      <c r="EC43" s="1092"/>
      <c r="ED43" s="1092"/>
      <c r="EE43" s="1092"/>
      <c r="EF43" s="1092"/>
      <c r="EG43" s="1092"/>
      <c r="EH43" s="1092"/>
      <c r="EI43" s="1092"/>
      <c r="EJ43" s="1092"/>
      <c r="EK43" s="1092"/>
      <c r="EL43" s="1092"/>
      <c r="EM43" s="1092"/>
      <c r="EN43" s="1092"/>
      <c r="EO43" s="1092"/>
      <c r="EP43" s="1092"/>
      <c r="EQ43" s="1092"/>
      <c r="ER43" s="1092"/>
      <c r="ES43" s="1092"/>
      <c r="ET43" s="1092"/>
      <c r="EU43" s="1092"/>
      <c r="EV43" s="1092"/>
      <c r="EW43" s="1092"/>
      <c r="EX43" s="1092"/>
      <c r="EY43" s="1092"/>
      <c r="EZ43" s="1092"/>
      <c r="FA43" s="1092"/>
      <c r="FB43" s="1092"/>
      <c r="FC43" s="1092"/>
      <c r="FD43" s="1092"/>
      <c r="FE43" s="1092"/>
      <c r="FF43" s="1092"/>
      <c r="FG43" s="1092"/>
      <c r="FH43" s="1092"/>
      <c r="FI43" s="1092"/>
      <c r="FJ43" s="1092"/>
      <c r="FK43" s="1092"/>
      <c r="FL43" s="1092"/>
      <c r="FM43" s="1092"/>
      <c r="FN43" s="1092"/>
      <c r="FO43" s="1092"/>
      <c r="FP43" s="1092"/>
      <c r="FQ43" s="1092"/>
      <c r="FR43" s="1092"/>
      <c r="FS43" s="1092"/>
      <c r="FT43" s="1092"/>
      <c r="FU43" s="1092"/>
      <c r="FV43" s="1092"/>
      <c r="FW43" s="1092"/>
      <c r="FX43" s="1092"/>
      <c r="FY43" s="1092"/>
      <c r="FZ43" s="1092"/>
      <c r="GA43" s="1092"/>
      <c r="GB43" s="1092"/>
      <c r="GC43" s="1092"/>
      <c r="GD43" s="1092"/>
      <c r="GE43" s="1092"/>
      <c r="GF43" s="1092"/>
      <c r="GG43" s="1092"/>
      <c r="GH43" s="1092"/>
      <c r="GI43" s="1092"/>
      <c r="GJ43" s="1092"/>
      <c r="GK43" s="1092"/>
      <c r="GL43" s="1092"/>
      <c r="GM43" s="1092"/>
      <c r="GN43" s="1092"/>
      <c r="GO43" s="1092"/>
    </row>
    <row r="44" spans="1:197" ht="16.5" thickBot="1">
      <c r="A44" s="1252"/>
      <c r="B44" s="1262"/>
      <c r="C44" s="1351"/>
      <c r="D44" s="1351"/>
      <c r="E44" s="1351"/>
      <c r="F44" s="1307"/>
      <c r="G44" s="1307"/>
      <c r="H44" s="1307"/>
      <c r="I44" s="1307"/>
      <c r="J44" s="1292"/>
      <c r="K44" s="1252"/>
      <c r="L44" s="1345"/>
      <c r="M44" s="1345"/>
      <c r="N44" s="1345"/>
      <c r="O44" s="1345"/>
      <c r="P44" s="1345"/>
      <c r="Q44" s="1345"/>
      <c r="R44" s="1345"/>
      <c r="S44" s="1324"/>
      <c r="T44" s="1352"/>
      <c r="U44" s="1353"/>
      <c r="V44" s="1353"/>
      <c r="W44" s="1353"/>
      <c r="X44" s="1353"/>
      <c r="Y44" s="1353"/>
      <c r="Z44" s="1354"/>
      <c r="AA44" s="1339"/>
      <c r="AB44" s="1340"/>
      <c r="AC44" s="1252"/>
      <c r="AD44" s="1246"/>
      <c r="AE44" s="1246"/>
      <c r="AF44" s="1246"/>
      <c r="AG44" s="1094"/>
      <c r="AH44" s="1246"/>
      <c r="AI44" s="1300"/>
      <c r="AJ44" s="1218"/>
      <c r="AK44" s="1218"/>
      <c r="AL44" s="1300"/>
      <c r="AM44" s="1300"/>
      <c r="AN44" s="1348"/>
      <c r="AO44" s="1348"/>
      <c r="AP44" s="1092"/>
      <c r="AQ44" s="1092"/>
      <c r="AR44" s="1348"/>
      <c r="AS44" s="1348"/>
      <c r="AT44" s="1092"/>
      <c r="AU44" s="1307"/>
      <c r="AV44" s="1355"/>
      <c r="AW44" s="1355"/>
      <c r="AX44" s="1092"/>
      <c r="AY44" s="1092"/>
      <c r="AZ44" s="1092"/>
      <c r="BA44" s="1118"/>
      <c r="BB44" s="1118"/>
      <c r="BC44" s="1092"/>
      <c r="BD44" s="1171"/>
      <c r="BE44" s="1321"/>
      <c r="BF44" s="1321"/>
      <c r="BG44" s="1321"/>
      <c r="BH44" s="1321"/>
      <c r="BI44" s="1092"/>
      <c r="BJ44" s="1092"/>
      <c r="BL44" s="1121"/>
      <c r="BM44" s="1092"/>
      <c r="BN44" s="1092"/>
      <c r="BO44" s="1092"/>
      <c r="BP44" s="1092"/>
      <c r="BQ44" s="1092"/>
      <c r="BR44" s="1092"/>
      <c r="BS44" s="1092"/>
      <c r="BT44" s="1092"/>
      <c r="BU44" s="1092"/>
      <c r="BV44" s="1092"/>
      <c r="BW44" s="1092"/>
      <c r="BX44" s="1092"/>
      <c r="BY44" s="1092"/>
      <c r="BZ44" s="1092"/>
      <c r="CA44" s="1092"/>
      <c r="CB44" s="1092"/>
      <c r="CC44" s="1092"/>
      <c r="CD44" s="1092"/>
      <c r="CE44" s="1092"/>
      <c r="CF44" s="1092"/>
      <c r="CG44" s="1092"/>
      <c r="CH44" s="1092"/>
      <c r="CI44" s="1092"/>
      <c r="CJ44" s="1092"/>
      <c r="CK44" s="1092"/>
      <c r="CL44" s="1092"/>
      <c r="CM44" s="1092"/>
      <c r="CN44" s="1092"/>
      <c r="CO44" s="1092"/>
      <c r="CP44" s="1092"/>
      <c r="CQ44" s="1092"/>
      <c r="CR44" s="1092"/>
      <c r="CS44" s="1092"/>
      <c r="CT44" s="1092"/>
      <c r="CU44" s="1092"/>
      <c r="CV44" s="1092"/>
      <c r="CW44" s="1092"/>
      <c r="CX44" s="1092"/>
      <c r="CY44" s="1092"/>
      <c r="CZ44" s="1092"/>
      <c r="DA44" s="1092"/>
      <c r="DB44" s="1092"/>
      <c r="DC44" s="1092"/>
      <c r="DD44" s="1092"/>
      <c r="DE44" s="1092"/>
      <c r="DF44" s="1092"/>
      <c r="DG44" s="1092"/>
      <c r="DH44" s="1092"/>
      <c r="DI44" s="1092"/>
      <c r="DJ44" s="1092"/>
      <c r="DK44" s="1092"/>
      <c r="DL44" s="1092"/>
      <c r="DM44" s="1092"/>
      <c r="DN44" s="1092"/>
      <c r="DO44" s="1092"/>
      <c r="DP44" s="1092"/>
      <c r="DQ44" s="1092"/>
      <c r="DR44" s="1092"/>
      <c r="DS44" s="1092"/>
      <c r="DT44" s="1092"/>
      <c r="DU44" s="1092"/>
      <c r="DV44" s="1092"/>
      <c r="DW44" s="1092"/>
      <c r="DX44" s="1092"/>
      <c r="DY44" s="1092"/>
      <c r="DZ44" s="1092"/>
      <c r="EA44" s="1092"/>
      <c r="EB44" s="1092"/>
      <c r="EC44" s="1092"/>
      <c r="ED44" s="1092"/>
      <c r="EE44" s="1092"/>
      <c r="EF44" s="1092"/>
      <c r="EG44" s="1092"/>
      <c r="EH44" s="1092"/>
      <c r="EI44" s="1092"/>
      <c r="EJ44" s="1092"/>
      <c r="EK44" s="1092"/>
      <c r="EL44" s="1092"/>
      <c r="EM44" s="1092"/>
      <c r="EN44" s="1092"/>
      <c r="EO44" s="1092"/>
      <c r="EP44" s="1092"/>
      <c r="EQ44" s="1092"/>
      <c r="ER44" s="1092"/>
      <c r="ES44" s="1092"/>
      <c r="ET44" s="1092"/>
      <c r="EU44" s="1092"/>
      <c r="EV44" s="1092"/>
      <c r="EW44" s="1092"/>
      <c r="EX44" s="1092"/>
      <c r="EY44" s="1092"/>
      <c r="EZ44" s="1092"/>
      <c r="FA44" s="1092"/>
      <c r="FB44" s="1092"/>
      <c r="FC44" s="1092"/>
      <c r="FD44" s="1092"/>
      <c r="FE44" s="1092"/>
      <c r="FF44" s="1092"/>
      <c r="FG44" s="1092"/>
      <c r="FH44" s="1092"/>
      <c r="FI44" s="1092"/>
      <c r="FJ44" s="1092"/>
      <c r="FK44" s="1092"/>
      <c r="FL44" s="1092"/>
      <c r="FM44" s="1092"/>
      <c r="FN44" s="1092"/>
      <c r="FO44" s="1092"/>
      <c r="FP44" s="1092"/>
      <c r="FQ44" s="1092"/>
      <c r="FR44" s="1092"/>
      <c r="FS44" s="1092"/>
      <c r="FT44" s="1092"/>
      <c r="FU44" s="1092"/>
      <c r="FV44" s="1092"/>
      <c r="FW44" s="1092"/>
      <c r="FX44" s="1092"/>
      <c r="FY44" s="1092"/>
      <c r="FZ44" s="1092"/>
      <c r="GA44" s="1092"/>
      <c r="GB44" s="1092"/>
      <c r="GC44" s="1092"/>
      <c r="GD44" s="1092"/>
      <c r="GE44" s="1092"/>
      <c r="GF44" s="1092"/>
      <c r="GG44" s="1092"/>
      <c r="GH44" s="1092"/>
      <c r="GI44" s="1092"/>
      <c r="GJ44" s="1092"/>
      <c r="GK44" s="1092"/>
      <c r="GL44" s="1092"/>
      <c r="GM44" s="1092"/>
      <c r="GN44" s="1092"/>
      <c r="GO44" s="1092"/>
    </row>
    <row r="45" spans="1:197" ht="16.5" thickBot="1">
      <c r="A45" s="1252"/>
      <c r="B45" s="1262"/>
      <c r="C45" s="1351"/>
      <c r="D45" s="1351"/>
      <c r="E45" s="1351"/>
      <c r="F45" s="1307"/>
      <c r="G45" s="1307"/>
      <c r="H45" s="1307"/>
      <c r="I45" s="1307"/>
      <c r="J45" s="1292"/>
      <c r="K45" s="1330"/>
      <c r="L45" s="1356"/>
      <c r="M45" s="1356"/>
      <c r="N45" s="1332"/>
      <c r="O45" s="1357"/>
      <c r="P45" s="1357"/>
      <c r="Q45" s="1357"/>
      <c r="R45" s="1356"/>
      <c r="S45" s="1358"/>
      <c r="T45" s="1252"/>
      <c r="U45" s="1246"/>
      <c r="V45" s="1246"/>
      <c r="W45" s="1246"/>
      <c r="X45" s="1246"/>
      <c r="Y45" s="1246"/>
      <c r="Z45" s="1246"/>
      <c r="AA45" s="1094"/>
      <c r="AB45" s="1324"/>
      <c r="AC45" s="1183"/>
      <c r="AD45" s="1359" t="s">
        <v>131</v>
      </c>
      <c r="AE45" s="1360"/>
      <c r="AF45" s="1361"/>
      <c r="AG45" s="1246"/>
      <c r="AH45" s="1246"/>
      <c r="AI45" s="1300"/>
      <c r="AJ45" s="1218"/>
      <c r="AK45" s="1218"/>
      <c r="AL45" s="1300"/>
      <c r="AM45" s="1300"/>
      <c r="AN45" s="1348"/>
      <c r="AO45" s="1348"/>
      <c r="AP45" s="1092"/>
      <c r="AQ45" s="1092"/>
      <c r="AR45" s="1348"/>
      <c r="AS45" s="1348"/>
      <c r="AT45" s="1092"/>
      <c r="AU45" s="1307"/>
      <c r="AV45" s="1355"/>
      <c r="AW45" s="1355"/>
      <c r="AX45" s="1092"/>
      <c r="AY45" s="1092"/>
      <c r="AZ45" s="1092"/>
      <c r="BA45" s="1092"/>
      <c r="BB45" s="1092"/>
      <c r="BC45" s="1092"/>
      <c r="BD45" s="1171"/>
      <c r="BE45" s="1321"/>
      <c r="BF45" s="1321"/>
      <c r="BG45" s="1321"/>
      <c r="BH45" s="1321"/>
      <c r="BI45" s="1092"/>
      <c r="BJ45" s="1092"/>
      <c r="BL45" s="1121"/>
      <c r="BM45" s="1092"/>
      <c r="BN45" s="1092"/>
      <c r="BO45" s="1092"/>
      <c r="BP45" s="1092"/>
      <c r="BQ45" s="1092"/>
      <c r="BR45" s="1092"/>
      <c r="BS45" s="1092"/>
      <c r="BT45" s="1092"/>
      <c r="BU45" s="1092"/>
      <c r="BV45" s="1092"/>
      <c r="BW45" s="1092"/>
      <c r="BX45" s="1092"/>
      <c r="BY45" s="1092"/>
      <c r="BZ45" s="1092"/>
      <c r="CA45" s="1092"/>
      <c r="CB45" s="1092"/>
      <c r="CC45" s="1092"/>
      <c r="CD45" s="1092"/>
      <c r="CE45" s="1092"/>
      <c r="CF45" s="1092"/>
      <c r="CG45" s="1092"/>
      <c r="CH45" s="1092"/>
      <c r="CI45" s="1092"/>
      <c r="CJ45" s="1092"/>
      <c r="CK45" s="1092"/>
      <c r="CL45" s="1092"/>
      <c r="CM45" s="1092"/>
      <c r="CN45" s="1092"/>
      <c r="CO45" s="1092"/>
      <c r="CP45" s="1092"/>
      <c r="CQ45" s="1092"/>
      <c r="CR45" s="1092"/>
      <c r="CS45" s="1092"/>
      <c r="CT45" s="1092"/>
      <c r="CU45" s="1092"/>
      <c r="CV45" s="1092"/>
      <c r="CW45" s="1092"/>
      <c r="CX45" s="1092"/>
      <c r="CY45" s="1092"/>
      <c r="CZ45" s="1092"/>
      <c r="DA45" s="1092"/>
      <c r="DB45" s="1092"/>
      <c r="DC45" s="1092"/>
      <c r="DD45" s="1092"/>
      <c r="DE45" s="1092"/>
      <c r="DF45" s="1092"/>
      <c r="DG45" s="1092"/>
      <c r="DH45" s="1092"/>
      <c r="DI45" s="1092"/>
      <c r="DJ45" s="1092"/>
      <c r="DK45" s="1092"/>
      <c r="DL45" s="1092"/>
      <c r="DM45" s="1092"/>
      <c r="DN45" s="1092"/>
      <c r="DO45" s="1092"/>
      <c r="DP45" s="1092"/>
      <c r="DQ45" s="1092"/>
      <c r="DR45" s="1092"/>
      <c r="DS45" s="1092"/>
      <c r="DT45" s="1092"/>
      <c r="DU45" s="1092"/>
      <c r="DV45" s="1092"/>
      <c r="DW45" s="1092"/>
      <c r="DX45" s="1092"/>
      <c r="DY45" s="1092"/>
      <c r="DZ45" s="1092"/>
      <c r="EA45" s="1092"/>
      <c r="EB45" s="1092"/>
      <c r="EC45" s="1092"/>
      <c r="ED45" s="1092"/>
      <c r="EE45" s="1092"/>
      <c r="EF45" s="1092"/>
      <c r="EG45" s="1092"/>
      <c r="EH45" s="1092"/>
      <c r="EI45" s="1092"/>
      <c r="EJ45" s="1092"/>
      <c r="EK45" s="1092"/>
      <c r="EL45" s="1092"/>
      <c r="EM45" s="1092"/>
      <c r="EN45" s="1092"/>
      <c r="EO45" s="1092"/>
      <c r="EP45" s="1092"/>
      <c r="EQ45" s="1092"/>
      <c r="ER45" s="1092"/>
      <c r="ES45" s="1092"/>
      <c r="ET45" s="1092"/>
      <c r="EU45" s="1092"/>
      <c r="EV45" s="1092"/>
      <c r="EW45" s="1092"/>
      <c r="EX45" s="1092"/>
      <c r="EY45" s="1092"/>
      <c r="EZ45" s="1092"/>
      <c r="FA45" s="1092"/>
      <c r="FB45" s="1092"/>
      <c r="FC45" s="1092"/>
      <c r="FD45" s="1092"/>
      <c r="FE45" s="1092"/>
      <c r="FF45" s="1092"/>
      <c r="FG45" s="1092"/>
      <c r="FH45" s="1092"/>
      <c r="FI45" s="1092"/>
      <c r="FJ45" s="1092"/>
      <c r="FK45" s="1092"/>
      <c r="FL45" s="1092"/>
      <c r="FM45" s="1092"/>
      <c r="FN45" s="1092"/>
      <c r="FO45" s="1092"/>
      <c r="FP45" s="1092"/>
      <c r="FQ45" s="1092"/>
      <c r="FR45" s="1092"/>
      <c r="FS45" s="1092"/>
      <c r="FT45" s="1092"/>
      <c r="FU45" s="1092"/>
      <c r="FV45" s="1092"/>
      <c r="FW45" s="1092"/>
      <c r="FX45" s="1092"/>
      <c r="FY45" s="1092"/>
      <c r="FZ45" s="1092"/>
      <c r="GA45" s="1092"/>
      <c r="GB45" s="1092"/>
      <c r="GC45" s="1092"/>
      <c r="GD45" s="1092"/>
      <c r="GE45" s="1092"/>
      <c r="GF45" s="1092"/>
      <c r="GG45" s="1092"/>
      <c r="GH45" s="1092"/>
      <c r="GI45" s="1092"/>
      <c r="GJ45" s="1092"/>
      <c r="GK45" s="1092"/>
      <c r="GL45" s="1092"/>
      <c r="GM45" s="1092"/>
      <c r="GN45" s="1092"/>
      <c r="GO45" s="1092"/>
    </row>
    <row r="46" spans="1:197" ht="16.5" thickBot="1">
      <c r="A46" s="1252"/>
      <c r="B46" s="1262"/>
      <c r="C46" s="1351"/>
      <c r="D46" s="1351"/>
      <c r="E46" s="1351"/>
      <c r="F46" s="1307"/>
      <c r="G46" s="1307"/>
      <c r="H46" s="1307"/>
      <c r="I46" s="1307"/>
      <c r="J46" s="1292"/>
      <c r="K46" s="1305"/>
      <c r="L46" s="1305"/>
      <c r="M46" s="1362"/>
      <c r="N46" s="1246"/>
      <c r="O46" s="1307"/>
      <c r="P46" s="1307"/>
      <c r="Q46" s="1307"/>
      <c r="R46" s="1363"/>
      <c r="S46" s="1363"/>
      <c r="T46" s="1307"/>
      <c r="U46" s="1246"/>
      <c r="V46" s="1246"/>
      <c r="W46" s="1246"/>
      <c r="X46" s="1246"/>
      <c r="Y46" s="1232"/>
      <c r="Z46" s="1246"/>
      <c r="AA46" s="1094"/>
      <c r="AB46" s="1307"/>
      <c r="AC46" s="1252"/>
      <c r="AD46" s="1364"/>
      <c r="AE46" s="1365"/>
      <c r="AF46" s="1366"/>
      <c r="AG46" s="1096"/>
      <c r="AH46" s="1307"/>
      <c r="AI46" s="1300"/>
      <c r="AJ46" s="1232"/>
      <c r="AK46" s="1232"/>
      <c r="AL46" s="1300"/>
      <c r="AM46" s="1300"/>
      <c r="AN46" s="1343"/>
      <c r="AO46" s="1343"/>
      <c r="AP46" s="1300"/>
      <c r="AQ46" s="1300"/>
      <c r="AR46" s="1343"/>
      <c r="AS46" s="1343"/>
      <c r="AT46" s="1300"/>
      <c r="AU46" s="1307"/>
      <c r="AV46" s="1355"/>
      <c r="AW46" s="1355"/>
      <c r="AX46" s="1092"/>
      <c r="AY46" s="1092"/>
      <c r="AZ46" s="1092"/>
      <c r="BA46" s="1092"/>
      <c r="BB46" s="1092"/>
      <c r="BC46" s="1092"/>
      <c r="BD46" s="1092"/>
      <c r="BE46" s="1094"/>
      <c r="BF46" s="1300"/>
      <c r="BG46" s="1232"/>
      <c r="BH46" s="1232"/>
      <c r="BI46" s="1092"/>
      <c r="BJ46" s="1092"/>
      <c r="BL46" s="1121"/>
      <c r="BM46" s="1092"/>
      <c r="BN46" s="1092"/>
      <c r="BO46" s="1092"/>
      <c r="BP46" s="1092"/>
      <c r="BQ46" s="1092"/>
      <c r="BR46" s="1092"/>
      <c r="BS46" s="1092"/>
      <c r="BT46" s="1092"/>
      <c r="BU46" s="1092"/>
      <c r="BV46" s="1092"/>
      <c r="BW46" s="1092"/>
      <c r="BX46" s="1092"/>
      <c r="BY46" s="1092"/>
      <c r="BZ46" s="1092"/>
      <c r="CA46" s="1092"/>
      <c r="CB46" s="1092"/>
      <c r="CC46" s="1092"/>
      <c r="CD46" s="1092"/>
      <c r="CE46" s="1092"/>
      <c r="CF46" s="1092"/>
      <c r="CG46" s="1092"/>
      <c r="CH46" s="1092"/>
      <c r="CI46" s="1092"/>
      <c r="CJ46" s="1092"/>
      <c r="CK46" s="1092"/>
      <c r="CL46" s="1092"/>
      <c r="CM46" s="1092"/>
      <c r="CN46" s="1092"/>
      <c r="CO46" s="1092"/>
      <c r="CP46" s="1092"/>
      <c r="CQ46" s="1092"/>
      <c r="CR46" s="1092"/>
      <c r="CS46" s="1092"/>
      <c r="CT46" s="1092"/>
      <c r="CU46" s="1092"/>
      <c r="CV46" s="1092"/>
      <c r="CW46" s="1092"/>
      <c r="CX46" s="1092"/>
      <c r="CY46" s="1092"/>
      <c r="CZ46" s="1092"/>
      <c r="DA46" s="1092"/>
      <c r="DB46" s="1092"/>
      <c r="DC46" s="1092"/>
      <c r="DD46" s="1092"/>
      <c r="DE46" s="1092"/>
      <c r="DF46" s="1092"/>
      <c r="DG46" s="1092"/>
      <c r="DH46" s="1092"/>
      <c r="DI46" s="1092"/>
      <c r="DJ46" s="1092"/>
      <c r="DK46" s="1092"/>
      <c r="DL46" s="1092"/>
      <c r="DM46" s="1092"/>
      <c r="DN46" s="1092"/>
      <c r="DO46" s="1092"/>
      <c r="DP46" s="1092"/>
      <c r="DQ46" s="1092"/>
      <c r="DR46" s="1092"/>
      <c r="DS46" s="1092"/>
      <c r="DT46" s="1092"/>
      <c r="DU46" s="1092"/>
      <c r="DV46" s="1092"/>
      <c r="DW46" s="1092"/>
      <c r="DX46" s="1092"/>
      <c r="DY46" s="1092"/>
      <c r="DZ46" s="1092"/>
      <c r="EA46" s="1092"/>
      <c r="EB46" s="1092"/>
      <c r="EC46" s="1092"/>
      <c r="ED46" s="1092"/>
      <c r="EE46" s="1092"/>
      <c r="EF46" s="1092"/>
      <c r="EG46" s="1092"/>
      <c r="EH46" s="1092"/>
      <c r="EI46" s="1092"/>
      <c r="EJ46" s="1092"/>
      <c r="EK46" s="1092"/>
      <c r="EL46" s="1092"/>
      <c r="EM46" s="1092"/>
      <c r="EN46" s="1092"/>
      <c r="EO46" s="1092"/>
      <c r="EP46" s="1092"/>
      <c r="EQ46" s="1092"/>
      <c r="ER46" s="1092"/>
      <c r="ES46" s="1092"/>
      <c r="ET46" s="1092"/>
      <c r="EU46" s="1092"/>
      <c r="EV46" s="1092"/>
      <c r="EW46" s="1092"/>
      <c r="EX46" s="1092"/>
      <c r="EY46" s="1092"/>
      <c r="EZ46" s="1092"/>
      <c r="FA46" s="1092"/>
      <c r="FB46" s="1092"/>
      <c r="FC46" s="1092"/>
      <c r="FD46" s="1092"/>
      <c r="FE46" s="1092"/>
      <c r="FF46" s="1092"/>
      <c r="FG46" s="1092"/>
      <c r="FH46" s="1092"/>
      <c r="FI46" s="1092"/>
      <c r="FJ46" s="1092"/>
      <c r="FK46" s="1092"/>
      <c r="FL46" s="1092"/>
      <c r="FM46" s="1092"/>
      <c r="FN46" s="1092"/>
      <c r="FO46" s="1092"/>
      <c r="FP46" s="1092"/>
      <c r="FQ46" s="1092"/>
      <c r="FR46" s="1092"/>
      <c r="FS46" s="1092"/>
      <c r="FT46" s="1092"/>
      <c r="FU46" s="1092"/>
      <c r="FV46" s="1092"/>
      <c r="FW46" s="1092"/>
      <c r="FX46" s="1092"/>
      <c r="FY46" s="1092"/>
      <c r="FZ46" s="1092"/>
      <c r="GA46" s="1092"/>
      <c r="GB46" s="1092"/>
      <c r="GC46" s="1092"/>
      <c r="GD46" s="1092"/>
      <c r="GE46" s="1092"/>
      <c r="GF46" s="1092"/>
      <c r="GG46" s="1092"/>
      <c r="GH46" s="1092"/>
      <c r="GI46" s="1092"/>
      <c r="GJ46" s="1092"/>
      <c r="GK46" s="1092"/>
      <c r="GL46" s="1092"/>
      <c r="GM46" s="1092"/>
      <c r="GN46" s="1092"/>
      <c r="GO46" s="1092"/>
    </row>
    <row r="47" spans="1:197" ht="15.75">
      <c r="A47" s="1252"/>
      <c r="B47" s="1262"/>
      <c r="C47" s="1351"/>
      <c r="D47" s="1351"/>
      <c r="E47" s="1351"/>
      <c r="F47" s="1307"/>
      <c r="G47" s="1307"/>
      <c r="H47" s="1307"/>
      <c r="I47" s="1307"/>
      <c r="J47" s="1292"/>
      <c r="K47" s="1305"/>
      <c r="L47" s="1305"/>
      <c r="M47" s="1363"/>
      <c r="N47" s="1363"/>
      <c r="O47" s="1363"/>
      <c r="P47" s="1363"/>
      <c r="Q47" s="1363"/>
      <c r="R47" s="1363"/>
      <c r="S47" s="1363"/>
      <c r="T47" s="1305"/>
      <c r="U47" s="1246"/>
      <c r="V47" s="1246"/>
      <c r="W47" s="1246"/>
      <c r="X47" s="1246"/>
      <c r="Y47" s="1246"/>
      <c r="Z47" s="1246"/>
      <c r="AA47" s="1094"/>
      <c r="AB47" s="1307"/>
      <c r="AC47" s="1252"/>
      <c r="AD47" s="1364"/>
      <c r="AE47" s="1365"/>
      <c r="AF47" s="1366"/>
      <c r="AG47" s="1094"/>
      <c r="AH47" s="1340"/>
      <c r="AI47" s="1300"/>
      <c r="AJ47" s="1232"/>
      <c r="AK47" s="1232"/>
      <c r="AL47" s="1232"/>
      <c r="AM47" s="1232"/>
      <c r="AN47" s="1232"/>
      <c r="AO47" s="1232"/>
      <c r="AP47" s="1232"/>
      <c r="AQ47" s="1232"/>
      <c r="AR47" s="1232"/>
      <c r="AS47" s="1232"/>
      <c r="AT47" s="1232"/>
      <c r="AU47" s="1307"/>
      <c r="AV47" s="1307"/>
      <c r="AW47" s="1362"/>
      <c r="AX47" s="1307"/>
      <c r="AY47" s="1092"/>
      <c r="AZ47" s="1092"/>
      <c r="BA47" s="1092"/>
      <c r="BB47" s="1092"/>
      <c r="BC47" s="1307"/>
      <c r="BD47" s="1092"/>
      <c r="BE47" s="1267"/>
      <c r="BF47" s="1267"/>
      <c r="BG47" s="1267"/>
      <c r="BH47" s="1267"/>
      <c r="BI47" s="1092"/>
      <c r="BJ47" s="1092"/>
      <c r="BL47" s="1121"/>
      <c r="BM47" s="1092"/>
      <c r="BN47" s="1092"/>
      <c r="BO47" s="1092"/>
      <c r="BP47" s="1092"/>
      <c r="BQ47" s="1092"/>
      <c r="BR47" s="1092"/>
      <c r="BS47" s="1092"/>
      <c r="BT47" s="1092"/>
      <c r="BU47" s="1092"/>
      <c r="BV47" s="1092"/>
      <c r="BW47" s="1092"/>
      <c r="BX47" s="1092"/>
      <c r="BY47" s="1092"/>
      <c r="BZ47" s="1092"/>
      <c r="CA47" s="1092"/>
      <c r="CB47" s="1092"/>
      <c r="CC47" s="1092"/>
      <c r="CD47" s="1092"/>
      <c r="CE47" s="1092"/>
      <c r="CF47" s="1092"/>
      <c r="CG47" s="1092"/>
      <c r="CH47" s="1092"/>
      <c r="CI47" s="1092"/>
      <c r="CJ47" s="1092"/>
      <c r="CK47" s="1092"/>
      <c r="CL47" s="1092"/>
      <c r="CM47" s="1092"/>
      <c r="CN47" s="1092"/>
      <c r="CO47" s="1092"/>
      <c r="CP47" s="1092"/>
      <c r="CQ47" s="1092"/>
      <c r="CR47" s="1092"/>
      <c r="CS47" s="1092"/>
      <c r="CT47" s="1092"/>
      <c r="CU47" s="1092"/>
      <c r="CV47" s="1092"/>
      <c r="CW47" s="1092"/>
      <c r="CX47" s="1092"/>
      <c r="CY47" s="1092"/>
      <c r="CZ47" s="1092"/>
      <c r="DA47" s="1092"/>
      <c r="DB47" s="1092"/>
      <c r="DC47" s="1092"/>
      <c r="DD47" s="1092"/>
      <c r="DE47" s="1092"/>
      <c r="DF47" s="1092"/>
      <c r="DG47" s="1092"/>
      <c r="DH47" s="1092"/>
      <c r="DI47" s="1092"/>
      <c r="DJ47" s="1092"/>
      <c r="DK47" s="1092"/>
      <c r="DL47" s="1092"/>
      <c r="DM47" s="1092"/>
      <c r="DN47" s="1092"/>
      <c r="DO47" s="1092"/>
      <c r="DP47" s="1092"/>
      <c r="DQ47" s="1092"/>
      <c r="DR47" s="1092"/>
      <c r="DS47" s="1092"/>
      <c r="DT47" s="1092"/>
      <c r="DU47" s="1092"/>
      <c r="DV47" s="1092"/>
      <c r="DW47" s="1092"/>
      <c r="DX47" s="1092"/>
      <c r="DY47" s="1092"/>
      <c r="DZ47" s="1092"/>
      <c r="EA47" s="1092"/>
      <c r="EB47" s="1092"/>
      <c r="EC47" s="1092"/>
      <c r="ED47" s="1092"/>
      <c r="EE47" s="1092"/>
      <c r="EF47" s="1092"/>
      <c r="EG47" s="1092"/>
      <c r="EH47" s="1092"/>
      <c r="EI47" s="1092"/>
      <c r="EJ47" s="1092"/>
      <c r="EK47" s="1092"/>
      <c r="EL47" s="1092"/>
      <c r="EM47" s="1092"/>
      <c r="EN47" s="1092"/>
      <c r="EO47" s="1092"/>
      <c r="EP47" s="1092"/>
      <c r="EQ47" s="1092"/>
      <c r="ER47" s="1092"/>
      <c r="ES47" s="1092"/>
      <c r="ET47" s="1092"/>
      <c r="EU47" s="1092"/>
      <c r="EV47" s="1092"/>
      <c r="EW47" s="1092"/>
      <c r="EX47" s="1092"/>
      <c r="EY47" s="1092"/>
      <c r="EZ47" s="1092"/>
      <c r="FA47" s="1092"/>
      <c r="FB47" s="1092"/>
      <c r="FC47" s="1092"/>
      <c r="FD47" s="1092"/>
      <c r="FE47" s="1092"/>
      <c r="FF47" s="1092"/>
      <c r="FG47" s="1092"/>
      <c r="FH47" s="1092"/>
      <c r="FI47" s="1092"/>
      <c r="FJ47" s="1092"/>
      <c r="FK47" s="1092"/>
      <c r="FL47" s="1092"/>
      <c r="FM47" s="1092"/>
      <c r="FN47" s="1092"/>
      <c r="FO47" s="1092"/>
      <c r="FP47" s="1092"/>
      <c r="FQ47" s="1092"/>
      <c r="FR47" s="1092"/>
      <c r="FS47" s="1092"/>
      <c r="FT47" s="1092"/>
      <c r="FU47" s="1092"/>
      <c r="FV47" s="1092"/>
      <c r="FW47" s="1092"/>
      <c r="FX47" s="1092"/>
      <c r="FY47" s="1092"/>
      <c r="FZ47" s="1092"/>
      <c r="GA47" s="1092"/>
      <c r="GB47" s="1092"/>
      <c r="GC47" s="1092"/>
      <c r="GD47" s="1092"/>
      <c r="GE47" s="1092"/>
      <c r="GF47" s="1092"/>
      <c r="GG47" s="1092"/>
      <c r="GH47" s="1092"/>
      <c r="GI47" s="1092"/>
      <c r="GJ47" s="1092"/>
      <c r="GK47" s="1092"/>
      <c r="GL47" s="1092"/>
      <c r="GM47" s="1092"/>
      <c r="GN47" s="1092"/>
      <c r="GO47" s="1092"/>
    </row>
    <row r="48" spans="1:197" ht="16.5" thickBot="1">
      <c r="A48" s="1252"/>
      <c r="B48" s="1262"/>
      <c r="C48" s="1351"/>
      <c r="D48" s="1307"/>
      <c r="E48" s="1307"/>
      <c r="F48" s="1307"/>
      <c r="G48" s="1307"/>
      <c r="H48" s="1307"/>
      <c r="I48" s="1307"/>
      <c r="J48" s="1292"/>
      <c r="K48" s="1307"/>
      <c r="L48" s="1307"/>
      <c r="M48" s="1245"/>
      <c r="N48" s="1351"/>
      <c r="O48" s="1307"/>
      <c r="P48" s="1246"/>
      <c r="Q48" s="1262"/>
      <c r="R48" s="1262"/>
      <c r="S48" s="1292"/>
      <c r="T48" s="1262"/>
      <c r="U48" s="1246"/>
      <c r="V48" s="1246"/>
      <c r="W48" s="1246"/>
      <c r="X48" s="1246"/>
      <c r="Y48" s="1246"/>
      <c r="Z48" s="1246"/>
      <c r="AA48" s="1095"/>
      <c r="AB48" s="1307"/>
      <c r="AC48" s="1252"/>
      <c r="AD48" s="1364"/>
      <c r="AE48" s="1365"/>
      <c r="AF48" s="1366"/>
      <c r="AG48" s="1307"/>
      <c r="AH48" s="1324"/>
      <c r="AI48" s="1095"/>
      <c r="AJ48" s="1095"/>
      <c r="AK48" s="1095"/>
      <c r="AL48" s="1095"/>
      <c r="AM48" s="1095"/>
      <c r="AN48" s="1095"/>
      <c r="AO48" s="1095"/>
      <c r="AP48" s="1095"/>
      <c r="AQ48" s="1307"/>
      <c r="AR48" s="1307"/>
      <c r="AS48" s="1307"/>
      <c r="AT48" s="1307"/>
      <c r="AU48" s="1092"/>
      <c r="AV48" s="1307"/>
      <c r="AW48" s="1362"/>
      <c r="AX48" s="1092"/>
      <c r="AY48" s="1092"/>
      <c r="AZ48" s="1092"/>
      <c r="BA48" s="1307"/>
      <c r="BB48" s="1307"/>
      <c r="BC48" s="1307"/>
      <c r="BD48" s="1321"/>
      <c r="BE48" s="1321"/>
      <c r="BF48" s="1321"/>
      <c r="BG48" s="1321"/>
      <c r="BH48" s="1321"/>
      <c r="BI48" s="1094"/>
      <c r="BJ48" s="1092"/>
      <c r="BK48" s="1092"/>
      <c r="BL48" s="1121"/>
      <c r="BM48" s="1092"/>
      <c r="BN48" s="1092"/>
      <c r="BO48" s="1092"/>
      <c r="BP48" s="1092"/>
      <c r="BQ48" s="1092"/>
      <c r="BR48" s="1092"/>
      <c r="BS48" s="1092"/>
      <c r="BT48" s="1092"/>
      <c r="BU48" s="1092"/>
      <c r="BV48" s="1092"/>
      <c r="BW48" s="1092"/>
      <c r="BX48" s="1092"/>
      <c r="BY48" s="1092"/>
      <c r="BZ48" s="1092"/>
      <c r="CA48" s="1092"/>
      <c r="CB48" s="1092"/>
      <c r="CC48" s="1092"/>
      <c r="CD48" s="1092"/>
      <c r="CE48" s="1092"/>
      <c r="CF48" s="1092"/>
      <c r="CG48" s="1092"/>
      <c r="CH48" s="1092"/>
      <c r="CI48" s="1092"/>
      <c r="CJ48" s="1092"/>
      <c r="CK48" s="1092"/>
      <c r="CL48" s="1092"/>
      <c r="CM48" s="1092"/>
      <c r="CN48" s="1092"/>
      <c r="CO48" s="1092"/>
      <c r="CP48" s="1092"/>
      <c r="CQ48" s="1092"/>
      <c r="CR48" s="1092"/>
      <c r="CS48" s="1092"/>
      <c r="CT48" s="1092"/>
      <c r="CU48" s="1092"/>
      <c r="CV48" s="1092"/>
      <c r="CW48" s="1092"/>
      <c r="CX48" s="1092"/>
      <c r="CY48" s="1092"/>
      <c r="CZ48" s="1092"/>
      <c r="DA48" s="1092"/>
      <c r="DB48" s="1092"/>
      <c r="DC48" s="1092"/>
      <c r="DD48" s="1092"/>
      <c r="DE48" s="1092"/>
      <c r="DF48" s="1092"/>
      <c r="DG48" s="1092"/>
      <c r="DH48" s="1092"/>
      <c r="DI48" s="1092"/>
      <c r="DJ48" s="1092"/>
      <c r="DK48" s="1092"/>
      <c r="DL48" s="1092"/>
      <c r="DM48" s="1092"/>
      <c r="DN48" s="1092"/>
      <c r="DO48" s="1092"/>
      <c r="DP48" s="1092"/>
      <c r="DQ48" s="1092"/>
      <c r="DR48" s="1092"/>
      <c r="DS48" s="1092"/>
      <c r="DT48" s="1092"/>
      <c r="DU48" s="1092"/>
      <c r="DV48" s="1092"/>
      <c r="DW48" s="1092"/>
      <c r="DX48" s="1092"/>
      <c r="DY48" s="1092"/>
      <c r="DZ48" s="1092"/>
      <c r="EA48" s="1092"/>
      <c r="EB48" s="1092"/>
      <c r="EC48" s="1092"/>
      <c r="ED48" s="1092"/>
      <c r="EE48" s="1092"/>
      <c r="EF48" s="1092"/>
      <c r="EG48" s="1092"/>
      <c r="EH48" s="1092"/>
      <c r="EI48" s="1092"/>
      <c r="EJ48" s="1092"/>
      <c r="EK48" s="1092"/>
      <c r="EL48" s="1092"/>
      <c r="EM48" s="1092"/>
      <c r="EN48" s="1092"/>
      <c r="EO48" s="1092"/>
      <c r="EP48" s="1092"/>
      <c r="EQ48" s="1092"/>
      <c r="ER48" s="1092"/>
      <c r="ES48" s="1092"/>
      <c r="ET48" s="1092"/>
      <c r="EU48" s="1092"/>
      <c r="EV48" s="1092"/>
      <c r="EW48" s="1092"/>
      <c r="EX48" s="1092"/>
      <c r="EY48" s="1092"/>
      <c r="EZ48" s="1092"/>
      <c r="FA48" s="1092"/>
      <c r="FB48" s="1092"/>
      <c r="FC48" s="1092"/>
      <c r="FD48" s="1092"/>
      <c r="FE48" s="1092"/>
      <c r="FF48" s="1092"/>
      <c r="FG48" s="1092"/>
      <c r="FH48" s="1092"/>
      <c r="FI48" s="1092"/>
      <c r="FJ48" s="1092"/>
      <c r="FK48" s="1092"/>
      <c r="FL48" s="1092"/>
      <c r="FM48" s="1092"/>
      <c r="FN48" s="1092"/>
      <c r="FO48" s="1092"/>
      <c r="FP48" s="1092"/>
      <c r="FQ48" s="1092"/>
      <c r="FR48" s="1092"/>
      <c r="FS48" s="1092"/>
      <c r="FT48" s="1092"/>
      <c r="FU48" s="1092"/>
      <c r="FV48" s="1092"/>
      <c r="FW48" s="1092"/>
      <c r="FX48" s="1092"/>
      <c r="FY48" s="1092"/>
      <c r="FZ48" s="1092"/>
      <c r="GA48" s="1092"/>
      <c r="GB48" s="1092"/>
      <c r="GC48" s="1092"/>
      <c r="GD48" s="1092"/>
      <c r="GE48" s="1092"/>
      <c r="GF48" s="1092"/>
      <c r="GG48" s="1092"/>
      <c r="GH48" s="1092"/>
      <c r="GI48" s="1092"/>
      <c r="GJ48" s="1092"/>
      <c r="GK48" s="1092"/>
      <c r="GL48" s="1092"/>
      <c r="GM48" s="1092"/>
      <c r="GN48" s="1092"/>
      <c r="GO48" s="1092"/>
    </row>
    <row r="49" spans="1:197" ht="16.5" thickBot="1">
      <c r="A49" s="1367"/>
      <c r="B49" s="1262"/>
      <c r="C49" s="1351"/>
      <c r="D49" s="1307"/>
      <c r="E49" s="1307"/>
      <c r="F49" s="1307"/>
      <c r="G49" s="1307"/>
      <c r="H49" s="1307"/>
      <c r="I49" s="1307"/>
      <c r="J49" s="1292"/>
      <c r="K49" s="1307"/>
      <c r="L49" s="1307"/>
      <c r="M49" s="1368"/>
      <c r="N49" s="1351"/>
      <c r="O49" s="1246"/>
      <c r="P49" s="1246"/>
      <c r="Q49" s="1262"/>
      <c r="R49" s="1262"/>
      <c r="S49" s="1292"/>
      <c r="T49" s="1262"/>
      <c r="U49" s="1246"/>
      <c r="V49" s="1246"/>
      <c r="W49" s="1246"/>
      <c r="X49" s="1246"/>
      <c r="Y49" s="1246"/>
      <c r="Z49" s="1246"/>
      <c r="AA49" s="1095"/>
      <c r="AB49" s="1307"/>
      <c r="AC49" s="1252"/>
      <c r="AD49" s="1369"/>
      <c r="AE49" s="1370"/>
      <c r="AF49" s="1371"/>
      <c r="AG49" s="1332"/>
      <c r="AH49" s="1358"/>
      <c r="AI49" s="1372" t="s">
        <v>185</v>
      </c>
      <c r="AJ49" s="1373"/>
      <c r="AK49" s="1373"/>
      <c r="AL49" s="1373"/>
      <c r="AM49" s="1373"/>
      <c r="AN49" s="1373"/>
      <c r="AO49" s="1373"/>
      <c r="AP49" s="1374"/>
      <c r="AQ49" s="1307"/>
      <c r="AR49" s="1307"/>
      <c r="AS49" s="1307"/>
      <c r="AT49" s="1375"/>
      <c r="AU49" s="1375"/>
      <c r="AV49" s="1307"/>
      <c r="AW49" s="1362"/>
      <c r="AX49" s="1307"/>
      <c r="AY49" s="1092"/>
      <c r="AZ49" s="1092"/>
      <c r="BA49" s="1307"/>
      <c r="BB49" s="1307"/>
      <c r="BC49" s="1307"/>
      <c r="BD49" s="1321"/>
      <c r="BE49" s="1321"/>
      <c r="BF49" s="1321"/>
      <c r="BG49" s="1321"/>
      <c r="BH49" s="1321"/>
      <c r="BI49" s="1094"/>
      <c r="BJ49" s="1095"/>
      <c r="BK49" s="1092"/>
      <c r="BL49" s="1121"/>
      <c r="BM49" s="1092"/>
      <c r="BN49" s="1092"/>
      <c r="BO49" s="1092"/>
      <c r="BP49" s="1092"/>
      <c r="BQ49" s="1092"/>
      <c r="BR49" s="1092"/>
      <c r="BS49" s="1092"/>
      <c r="BT49" s="1092"/>
      <c r="BU49" s="1092"/>
      <c r="BV49" s="1092"/>
      <c r="BW49" s="1092"/>
      <c r="BX49" s="1092"/>
      <c r="BY49" s="1092"/>
      <c r="BZ49" s="1092"/>
      <c r="CA49" s="1092"/>
      <c r="CB49" s="1092"/>
      <c r="CC49" s="1092"/>
      <c r="CD49" s="1092"/>
      <c r="CE49" s="1092"/>
      <c r="CF49" s="1092"/>
      <c r="CG49" s="1092"/>
      <c r="CH49" s="1092"/>
      <c r="CI49" s="1092"/>
      <c r="CJ49" s="1092"/>
      <c r="CK49" s="1092"/>
      <c r="CL49" s="1092"/>
      <c r="CM49" s="1092"/>
      <c r="CN49" s="1092"/>
      <c r="CO49" s="1092"/>
      <c r="CP49" s="1092"/>
      <c r="CQ49" s="1092"/>
      <c r="CR49" s="1092"/>
      <c r="CS49" s="1092"/>
      <c r="CT49" s="1092"/>
      <c r="CU49" s="1092"/>
      <c r="CV49" s="1092"/>
      <c r="CW49" s="1092"/>
      <c r="CX49" s="1092"/>
      <c r="CY49" s="1092"/>
      <c r="CZ49" s="1092"/>
      <c r="DA49" s="1092"/>
      <c r="DB49" s="1092"/>
      <c r="DC49" s="1092"/>
      <c r="DD49" s="1092"/>
      <c r="DE49" s="1092"/>
      <c r="DF49" s="1092"/>
      <c r="DG49" s="1092"/>
      <c r="DH49" s="1092"/>
      <c r="DI49" s="1092"/>
      <c r="DJ49" s="1092"/>
      <c r="DK49" s="1092"/>
      <c r="DL49" s="1092"/>
      <c r="DM49" s="1092"/>
      <c r="DN49" s="1092"/>
      <c r="DO49" s="1092"/>
      <c r="DP49" s="1092"/>
      <c r="DQ49" s="1092"/>
      <c r="DR49" s="1092"/>
      <c r="DS49" s="1092"/>
      <c r="DT49" s="1092"/>
      <c r="DU49" s="1092"/>
      <c r="DV49" s="1092"/>
      <c r="DW49" s="1092"/>
      <c r="DX49" s="1092"/>
      <c r="DY49" s="1092"/>
      <c r="DZ49" s="1092"/>
      <c r="EA49" s="1092"/>
      <c r="EB49" s="1092"/>
      <c r="EC49" s="1092"/>
      <c r="ED49" s="1092"/>
      <c r="EE49" s="1092"/>
      <c r="EF49" s="1092"/>
      <c r="EG49" s="1092"/>
      <c r="EH49" s="1092"/>
      <c r="EI49" s="1092"/>
      <c r="EJ49" s="1092"/>
      <c r="EK49" s="1092"/>
      <c r="EL49" s="1092"/>
      <c r="EM49" s="1092"/>
      <c r="EN49" s="1092"/>
      <c r="EO49" s="1092"/>
      <c r="EP49" s="1092"/>
      <c r="EQ49" s="1092"/>
      <c r="ER49" s="1092"/>
      <c r="ES49" s="1092"/>
      <c r="ET49" s="1092"/>
      <c r="EU49" s="1092"/>
      <c r="EV49" s="1092"/>
      <c r="EW49" s="1092"/>
      <c r="EX49" s="1092"/>
      <c r="EY49" s="1092"/>
      <c r="EZ49" s="1092"/>
      <c r="FA49" s="1092"/>
      <c r="FB49" s="1092"/>
      <c r="FC49" s="1092"/>
      <c r="FD49" s="1092"/>
      <c r="FE49" s="1092"/>
      <c r="FF49" s="1092"/>
      <c r="FG49" s="1092"/>
      <c r="FH49" s="1092"/>
      <c r="FI49" s="1092"/>
      <c r="FJ49" s="1092"/>
      <c r="FK49" s="1092"/>
      <c r="FL49" s="1092"/>
      <c r="FM49" s="1092"/>
      <c r="FN49" s="1092"/>
      <c r="FO49" s="1092"/>
      <c r="FP49" s="1092"/>
      <c r="FQ49" s="1092"/>
      <c r="FR49" s="1092"/>
      <c r="FS49" s="1092"/>
      <c r="FT49" s="1092"/>
      <c r="FU49" s="1092"/>
      <c r="FV49" s="1092"/>
      <c r="FW49" s="1092"/>
      <c r="FX49" s="1092"/>
      <c r="FY49" s="1092"/>
      <c r="FZ49" s="1092"/>
      <c r="GA49" s="1092"/>
      <c r="GB49" s="1092"/>
      <c r="GC49" s="1092"/>
      <c r="GD49" s="1092"/>
      <c r="GE49" s="1092"/>
      <c r="GF49" s="1092"/>
      <c r="GG49" s="1092"/>
      <c r="GH49" s="1092"/>
      <c r="GI49" s="1092"/>
      <c r="GJ49" s="1092"/>
      <c r="GK49" s="1092"/>
      <c r="GL49" s="1092"/>
      <c r="GM49" s="1092"/>
      <c r="GN49" s="1092"/>
      <c r="GO49" s="1092"/>
    </row>
    <row r="50" spans="1:197" ht="15.75" thickBot="1">
      <c r="A50" s="1367"/>
      <c r="B50" s="1262"/>
      <c r="C50" s="1351"/>
      <c r="D50" s="1307"/>
      <c r="E50" s="1307"/>
      <c r="F50" s="1307"/>
      <c r="G50" s="1307"/>
      <c r="H50" s="1307"/>
      <c r="I50" s="1307"/>
      <c r="J50" s="1292"/>
      <c r="K50" s="1307"/>
      <c r="L50" s="1307"/>
      <c r="M50" s="1368"/>
      <c r="N50" s="1351"/>
      <c r="O50" s="1246"/>
      <c r="P50" s="1246"/>
      <c r="Q50" s="1262"/>
      <c r="R50" s="1262"/>
      <c r="S50" s="1292"/>
      <c r="T50" s="1246"/>
      <c r="U50" s="1246"/>
      <c r="V50" s="1246"/>
      <c r="W50" s="1246"/>
      <c r="X50" s="1246"/>
      <c r="Y50" s="1246"/>
      <c r="Z50" s="1246"/>
      <c r="AA50" s="1094"/>
      <c r="AB50" s="1246"/>
      <c r="AC50" s="1252"/>
      <c r="AD50" s="1245"/>
      <c r="AE50" s="1376"/>
      <c r="AF50" s="1377" t="s">
        <v>186</v>
      </c>
      <c r="AG50" s="1378"/>
      <c r="AH50" s="1379"/>
      <c r="AI50" s="1380"/>
      <c r="AJ50" s="1381"/>
      <c r="AK50" s="1381"/>
      <c r="AL50" s="1381"/>
      <c r="AM50" s="1381"/>
      <c r="AN50" s="1381"/>
      <c r="AO50" s="1381"/>
      <c r="AP50" s="1382"/>
      <c r="AQ50" s="1307"/>
      <c r="AR50" s="1307"/>
      <c r="AS50" s="1307"/>
      <c r="AT50" s="1375"/>
      <c r="AU50" s="1375"/>
      <c r="AV50" s="1383"/>
      <c r="AW50" s="1383"/>
      <c r="AX50" s="1307"/>
      <c r="AY50" s="1092"/>
      <c r="AZ50" s="1092"/>
      <c r="BA50" s="1307"/>
      <c r="BB50" s="1307"/>
      <c r="BC50" s="1307"/>
      <c r="BD50" s="1232"/>
      <c r="BE50" s="1232"/>
      <c r="BF50" s="1232"/>
      <c r="BG50" s="1232"/>
      <c r="BH50" s="1232"/>
      <c r="BI50" s="1094"/>
      <c r="BJ50" s="1362"/>
      <c r="BK50" s="1362"/>
      <c r="BL50" s="1121"/>
      <c r="BM50" s="1092"/>
      <c r="BN50" s="1092"/>
      <c r="BO50" s="1092"/>
      <c r="BP50" s="1092"/>
      <c r="BQ50" s="1092"/>
      <c r="BR50" s="1092"/>
      <c r="BS50" s="1092"/>
      <c r="BT50" s="1092"/>
      <c r="BU50" s="1092"/>
      <c r="BV50" s="1092"/>
      <c r="BW50" s="1092"/>
      <c r="BX50" s="1092"/>
      <c r="BY50" s="1092"/>
      <c r="BZ50" s="1092"/>
      <c r="CA50" s="1092"/>
      <c r="CB50" s="1092"/>
      <c r="CC50" s="1092"/>
      <c r="CD50" s="1092"/>
      <c r="CE50" s="1092"/>
      <c r="CF50" s="1092"/>
      <c r="CG50" s="1092"/>
      <c r="CH50" s="1092"/>
      <c r="CI50" s="1092"/>
      <c r="CJ50" s="1092"/>
      <c r="CK50" s="1092"/>
      <c r="CL50" s="1092"/>
      <c r="CM50" s="1092"/>
      <c r="CN50" s="1092"/>
      <c r="CO50" s="1092"/>
      <c r="CP50" s="1092"/>
      <c r="CQ50" s="1092"/>
      <c r="CR50" s="1092"/>
      <c r="CS50" s="1092"/>
      <c r="CT50" s="1092"/>
      <c r="CU50" s="1092"/>
      <c r="CV50" s="1092"/>
      <c r="CW50" s="1092"/>
      <c r="CX50" s="1092"/>
      <c r="CY50" s="1092"/>
      <c r="CZ50" s="1092"/>
      <c r="DA50" s="1092"/>
      <c r="DB50" s="1092"/>
      <c r="DC50" s="1092"/>
      <c r="DD50" s="1092"/>
      <c r="DE50" s="1092"/>
      <c r="DF50" s="1092"/>
      <c r="DG50" s="1092"/>
      <c r="DH50" s="1092"/>
      <c r="DI50" s="1092"/>
      <c r="DJ50" s="1092"/>
      <c r="DK50" s="1092"/>
      <c r="DL50" s="1092"/>
      <c r="DM50" s="1092"/>
      <c r="DN50" s="1092"/>
      <c r="DO50" s="1092"/>
      <c r="DP50" s="1092"/>
      <c r="DQ50" s="1092"/>
      <c r="DR50" s="1092"/>
      <c r="DS50" s="1092"/>
      <c r="DT50" s="1092"/>
      <c r="DU50" s="1092"/>
      <c r="DV50" s="1092"/>
      <c r="DW50" s="1092"/>
      <c r="DX50" s="1092"/>
      <c r="DY50" s="1092"/>
      <c r="DZ50" s="1092"/>
      <c r="EA50" s="1092"/>
      <c r="EB50" s="1092"/>
      <c r="EC50" s="1092"/>
      <c r="ED50" s="1092"/>
      <c r="EE50" s="1092"/>
      <c r="EF50" s="1092"/>
      <c r="EG50" s="1092"/>
      <c r="EH50" s="1092"/>
      <c r="EI50" s="1092"/>
      <c r="EJ50" s="1092"/>
      <c r="EK50" s="1092"/>
      <c r="EL50" s="1092"/>
      <c r="EM50" s="1092"/>
      <c r="EN50" s="1092"/>
      <c r="EO50" s="1092"/>
      <c r="EP50" s="1092"/>
      <c r="EQ50" s="1092"/>
      <c r="ER50" s="1092"/>
      <c r="ES50" s="1092"/>
      <c r="ET50" s="1092"/>
      <c r="EU50" s="1092"/>
      <c r="EV50" s="1092"/>
      <c r="EW50" s="1092"/>
      <c r="EX50" s="1092"/>
      <c r="EY50" s="1092"/>
      <c r="EZ50" s="1092"/>
      <c r="FA50" s="1092"/>
      <c r="FB50" s="1092"/>
      <c r="FC50" s="1092"/>
      <c r="FD50" s="1092"/>
      <c r="FE50" s="1092"/>
      <c r="FF50" s="1092"/>
      <c r="FG50" s="1092"/>
      <c r="FH50" s="1092"/>
      <c r="FI50" s="1092"/>
      <c r="FJ50" s="1092"/>
      <c r="FK50" s="1092"/>
      <c r="FL50" s="1092"/>
      <c r="FM50" s="1092"/>
      <c r="FN50" s="1092"/>
      <c r="FO50" s="1092"/>
      <c r="FP50" s="1092"/>
      <c r="FQ50" s="1092"/>
      <c r="FR50" s="1092"/>
      <c r="FS50" s="1092"/>
      <c r="FT50" s="1092"/>
      <c r="FU50" s="1092"/>
      <c r="FV50" s="1092"/>
      <c r="FW50" s="1092"/>
      <c r="FX50" s="1092"/>
      <c r="FY50" s="1092"/>
      <c r="FZ50" s="1092"/>
      <c r="GA50" s="1092"/>
      <c r="GB50" s="1092"/>
      <c r="GC50" s="1092"/>
      <c r="GD50" s="1092"/>
      <c r="GE50" s="1092"/>
      <c r="GF50" s="1092"/>
      <c r="GG50" s="1092"/>
      <c r="GH50" s="1092"/>
      <c r="GI50" s="1092"/>
      <c r="GJ50" s="1092"/>
      <c r="GK50" s="1092"/>
      <c r="GL50" s="1092"/>
      <c r="GM50" s="1092"/>
      <c r="GN50" s="1092"/>
      <c r="GO50" s="1092"/>
    </row>
    <row r="51" spans="1:197">
      <c r="A51" s="1367"/>
      <c r="B51" s="1262"/>
      <c r="C51" s="1351"/>
      <c r="D51" s="1307"/>
      <c r="E51" s="1307"/>
      <c r="F51" s="1307"/>
      <c r="G51" s="1307"/>
      <c r="H51" s="1307"/>
      <c r="I51" s="1307"/>
      <c r="J51" s="1292"/>
      <c r="K51" s="1307"/>
      <c r="L51" s="1307"/>
      <c r="M51" s="1368"/>
      <c r="N51" s="1351"/>
      <c r="O51" s="1246"/>
      <c r="P51" s="1246"/>
      <c r="Q51" s="1262"/>
      <c r="R51" s="1262"/>
      <c r="S51" s="1292"/>
      <c r="T51" s="1262"/>
      <c r="U51" s="1262"/>
      <c r="V51" s="1262"/>
      <c r="W51" s="1262"/>
      <c r="X51" s="1262"/>
      <c r="Y51" s="1246"/>
      <c r="Z51" s="1246"/>
      <c r="AA51" s="1094"/>
      <c r="AB51" s="1246"/>
      <c r="AC51" s="1252"/>
      <c r="AD51" s="1246"/>
      <c r="AE51" s="1308"/>
      <c r="AF51" s="1384"/>
      <c r="AG51" s="1385"/>
      <c r="AH51" s="1386"/>
      <c r="AI51" s="1380"/>
      <c r="AJ51" s="1381"/>
      <c r="AK51" s="1381"/>
      <c r="AL51" s="1381"/>
      <c r="AM51" s="1381"/>
      <c r="AN51" s="1381"/>
      <c r="AO51" s="1381"/>
      <c r="AP51" s="1382"/>
      <c r="AQ51" s="1307"/>
      <c r="AR51" s="1307"/>
      <c r="AS51" s="1307"/>
      <c r="AT51" s="1307"/>
      <c r="AU51" s="1387" t="s">
        <v>187</v>
      </c>
      <c r="AV51" s="1388"/>
      <c r="AW51" s="1307"/>
      <c r="AX51" s="1307"/>
      <c r="AY51" s="1092"/>
      <c r="AZ51" s="1092"/>
      <c r="BA51" s="1307"/>
      <c r="BB51" s="1307"/>
      <c r="BC51" s="1307"/>
      <c r="BD51" s="1232"/>
      <c r="BE51" s="1232"/>
      <c r="BF51" s="1232"/>
      <c r="BG51" s="1232"/>
      <c r="BH51" s="1232"/>
      <c r="BI51" s="1094"/>
      <c r="BJ51" s="1362"/>
      <c r="BK51" s="1362"/>
      <c r="BL51" s="1121"/>
      <c r="BM51" s="1092"/>
      <c r="BN51" s="1092"/>
      <c r="BO51" s="1092"/>
      <c r="BP51" s="1092"/>
      <c r="BQ51" s="1092"/>
      <c r="BR51" s="1092"/>
      <c r="BS51" s="1092"/>
      <c r="BT51" s="1092"/>
      <c r="BU51" s="1092"/>
      <c r="BV51" s="1092"/>
      <c r="BW51" s="1092"/>
      <c r="BX51" s="1092"/>
      <c r="BY51" s="1092"/>
      <c r="BZ51" s="1092"/>
      <c r="CA51" s="1092"/>
      <c r="CB51" s="1092"/>
      <c r="CC51" s="1092"/>
      <c r="CD51" s="1092"/>
      <c r="CE51" s="1092"/>
      <c r="CF51" s="1092"/>
      <c r="CG51" s="1092"/>
      <c r="CH51" s="1092"/>
      <c r="CI51" s="1092"/>
      <c r="CJ51" s="1092"/>
      <c r="CK51" s="1092"/>
      <c r="CL51" s="1092"/>
      <c r="CM51" s="1092"/>
      <c r="CN51" s="1092"/>
      <c r="CO51" s="1092"/>
      <c r="CP51" s="1092"/>
      <c r="CQ51" s="1092"/>
      <c r="CR51" s="1092"/>
      <c r="CS51" s="1092"/>
      <c r="CT51" s="1092"/>
      <c r="CU51" s="1092"/>
      <c r="CV51" s="1092"/>
      <c r="CW51" s="1092"/>
      <c r="CX51" s="1092"/>
      <c r="CY51" s="1092"/>
      <c r="CZ51" s="1092"/>
      <c r="DA51" s="1092"/>
      <c r="DB51" s="1092"/>
      <c r="DC51" s="1092"/>
      <c r="DD51" s="1092"/>
      <c r="DE51" s="1092"/>
      <c r="DF51" s="1092"/>
      <c r="DG51" s="1092"/>
      <c r="DH51" s="1092"/>
      <c r="DI51" s="1092"/>
      <c r="DJ51" s="1092"/>
      <c r="DK51" s="1092"/>
      <c r="DL51" s="1092"/>
      <c r="DM51" s="1092"/>
      <c r="DN51" s="1092"/>
      <c r="DO51" s="1092"/>
      <c r="DP51" s="1092"/>
      <c r="DQ51" s="1092"/>
      <c r="DR51" s="1092"/>
      <c r="DS51" s="1092"/>
      <c r="DT51" s="1092"/>
      <c r="DU51" s="1092"/>
      <c r="DV51" s="1092"/>
      <c r="DW51" s="1092"/>
      <c r="DX51" s="1092"/>
      <c r="DY51" s="1092"/>
      <c r="DZ51" s="1092"/>
      <c r="EA51" s="1092"/>
      <c r="EB51" s="1092"/>
      <c r="EC51" s="1092"/>
      <c r="ED51" s="1092"/>
      <c r="EE51" s="1092"/>
      <c r="EF51" s="1092"/>
      <c r="EG51" s="1092"/>
      <c r="EH51" s="1092"/>
      <c r="EI51" s="1092"/>
      <c r="EJ51" s="1092"/>
      <c r="EK51" s="1092"/>
      <c r="EL51" s="1092"/>
      <c r="EM51" s="1092"/>
      <c r="EN51" s="1092"/>
      <c r="EO51" s="1092"/>
      <c r="EP51" s="1092"/>
      <c r="EQ51" s="1092"/>
      <c r="ER51" s="1092"/>
      <c r="ES51" s="1092"/>
      <c r="ET51" s="1092"/>
      <c r="EU51" s="1092"/>
      <c r="EV51" s="1092"/>
      <c r="EW51" s="1092"/>
      <c r="EX51" s="1092"/>
      <c r="EY51" s="1092"/>
      <c r="EZ51" s="1092"/>
      <c r="FA51" s="1092"/>
      <c r="FB51" s="1092"/>
      <c r="FC51" s="1092"/>
      <c r="FD51" s="1092"/>
      <c r="FE51" s="1092"/>
      <c r="FF51" s="1092"/>
      <c r="FG51" s="1092"/>
      <c r="FH51" s="1092"/>
      <c r="FI51" s="1092"/>
      <c r="FJ51" s="1092"/>
      <c r="FK51" s="1092"/>
      <c r="FL51" s="1092"/>
      <c r="FM51" s="1092"/>
      <c r="FN51" s="1092"/>
      <c r="FO51" s="1092"/>
      <c r="FP51" s="1092"/>
      <c r="FQ51" s="1092"/>
      <c r="FR51" s="1092"/>
      <c r="FS51" s="1092"/>
      <c r="FT51" s="1092"/>
      <c r="FU51" s="1092"/>
      <c r="FV51" s="1092"/>
      <c r="FW51" s="1092"/>
      <c r="FX51" s="1092"/>
      <c r="FY51" s="1092"/>
      <c r="FZ51" s="1092"/>
      <c r="GA51" s="1092"/>
      <c r="GB51" s="1092"/>
      <c r="GC51" s="1092"/>
      <c r="GD51" s="1092"/>
      <c r="GE51" s="1092"/>
      <c r="GF51" s="1092"/>
      <c r="GG51" s="1092"/>
      <c r="GH51" s="1092"/>
      <c r="GI51" s="1092"/>
      <c r="GJ51" s="1092"/>
      <c r="GK51" s="1092"/>
      <c r="GL51" s="1092"/>
      <c r="GM51" s="1092"/>
      <c r="GN51" s="1092"/>
      <c r="GO51" s="1092"/>
    </row>
    <row r="52" spans="1:197" ht="15.75" thickBot="1">
      <c r="A52" s="1367"/>
      <c r="B52" s="1262"/>
      <c r="C52" s="1351"/>
      <c r="D52" s="1307"/>
      <c r="E52" s="1307"/>
      <c r="F52" s="1307"/>
      <c r="G52" s="1307"/>
      <c r="H52" s="1307"/>
      <c r="I52" s="1307"/>
      <c r="J52" s="1292"/>
      <c r="K52" s="1307"/>
      <c r="L52" s="1307"/>
      <c r="M52" s="1368"/>
      <c r="N52" s="1351"/>
      <c r="O52" s="1246"/>
      <c r="P52" s="1246"/>
      <c r="Q52" s="1262"/>
      <c r="R52" s="1262"/>
      <c r="S52" s="1292"/>
      <c r="T52" s="1344"/>
      <c r="U52" s="1344"/>
      <c r="V52" s="1307"/>
      <c r="W52" s="1307"/>
      <c r="X52" s="1307"/>
      <c r="Y52" s="1307"/>
      <c r="Z52" s="1344"/>
      <c r="AA52" s="1094"/>
      <c r="AB52" s="1344"/>
      <c r="AC52" s="1330"/>
      <c r="AD52" s="1389"/>
      <c r="AE52" s="1390"/>
      <c r="AF52" s="1391"/>
      <c r="AG52" s="1392"/>
      <c r="AH52" s="1393"/>
      <c r="AI52" s="1394"/>
      <c r="AJ52" s="1395"/>
      <c r="AK52" s="1395"/>
      <c r="AL52" s="1395"/>
      <c r="AM52" s="1395"/>
      <c r="AN52" s="1395"/>
      <c r="AO52" s="1395"/>
      <c r="AP52" s="1396"/>
      <c r="AQ52" s="1389"/>
      <c r="AR52" s="1389"/>
      <c r="AS52" s="1389"/>
      <c r="AT52" s="1357"/>
      <c r="AU52" s="1397"/>
      <c r="AV52" s="1398"/>
      <c r="AW52" s="1357"/>
      <c r="AX52" s="1357"/>
      <c r="AY52" s="1357"/>
      <c r="AZ52" s="1357"/>
      <c r="BA52" s="1357"/>
      <c r="BB52" s="1357"/>
      <c r="BC52" s="1357"/>
      <c r="BD52" s="1399"/>
      <c r="BE52" s="1399"/>
      <c r="BF52" s="1399"/>
      <c r="BG52" s="1399"/>
      <c r="BH52" s="1399"/>
      <c r="BI52" s="1357"/>
      <c r="BJ52" s="1356"/>
      <c r="BK52" s="1356"/>
      <c r="BL52" s="1121"/>
      <c r="BM52" s="1092"/>
      <c r="BN52" s="1092"/>
      <c r="BO52" s="1092"/>
      <c r="BP52" s="1092"/>
      <c r="BQ52" s="1092"/>
      <c r="BR52" s="1092"/>
      <c r="BS52" s="1092"/>
      <c r="BT52" s="1092"/>
      <c r="BU52" s="1092"/>
      <c r="BV52" s="1092"/>
      <c r="BW52" s="1092"/>
      <c r="BX52" s="1092"/>
      <c r="BY52" s="1092"/>
      <c r="BZ52" s="1092"/>
      <c r="CA52" s="1092"/>
      <c r="CB52" s="1092"/>
      <c r="CC52" s="1092"/>
      <c r="CD52" s="1092"/>
      <c r="CE52" s="1092"/>
      <c r="CF52" s="1092"/>
      <c r="CG52" s="1092"/>
      <c r="CH52" s="1092"/>
      <c r="CI52" s="1092"/>
      <c r="CJ52" s="1092"/>
      <c r="CK52" s="1092"/>
      <c r="CL52" s="1092"/>
      <c r="CM52" s="1092"/>
      <c r="CN52" s="1092"/>
      <c r="CO52" s="1092"/>
      <c r="CP52" s="1092"/>
      <c r="CQ52" s="1092"/>
      <c r="CR52" s="1092"/>
      <c r="CS52" s="1092"/>
      <c r="CT52" s="1092"/>
      <c r="CU52" s="1092"/>
      <c r="CV52" s="1092"/>
      <c r="CW52" s="1092"/>
      <c r="CX52" s="1092"/>
      <c r="CY52" s="1092"/>
      <c r="CZ52" s="1092"/>
      <c r="DA52" s="1092"/>
      <c r="DB52" s="1092"/>
      <c r="DC52" s="1092"/>
      <c r="DD52" s="1092"/>
      <c r="DE52" s="1092"/>
      <c r="DF52" s="1092"/>
      <c r="DG52" s="1092"/>
      <c r="DH52" s="1092"/>
      <c r="DI52" s="1092"/>
      <c r="DJ52" s="1092"/>
      <c r="DK52" s="1092"/>
      <c r="DL52" s="1092"/>
      <c r="DM52" s="1092"/>
      <c r="DN52" s="1092"/>
      <c r="DO52" s="1092"/>
      <c r="DP52" s="1092"/>
      <c r="DQ52" s="1092"/>
      <c r="DR52" s="1092"/>
      <c r="DS52" s="1092"/>
      <c r="DT52" s="1092"/>
      <c r="DU52" s="1092"/>
      <c r="DV52" s="1092"/>
      <c r="DW52" s="1092"/>
      <c r="DX52" s="1092"/>
      <c r="DY52" s="1092"/>
      <c r="DZ52" s="1092"/>
      <c r="EA52" s="1092"/>
      <c r="EB52" s="1092"/>
      <c r="EC52" s="1092"/>
      <c r="ED52" s="1092"/>
      <c r="EE52" s="1092"/>
      <c r="EF52" s="1092"/>
      <c r="EG52" s="1092"/>
      <c r="EH52" s="1092"/>
      <c r="EI52" s="1092"/>
      <c r="EJ52" s="1092"/>
      <c r="EK52" s="1092"/>
      <c r="EL52" s="1092"/>
      <c r="EM52" s="1092"/>
      <c r="EN52" s="1092"/>
      <c r="EO52" s="1092"/>
      <c r="EP52" s="1092"/>
      <c r="EQ52" s="1092"/>
      <c r="ER52" s="1092"/>
      <c r="ES52" s="1092"/>
      <c r="ET52" s="1092"/>
      <c r="EU52" s="1092"/>
      <c r="EV52" s="1092"/>
      <c r="EW52" s="1092"/>
      <c r="EX52" s="1092"/>
      <c r="EY52" s="1092"/>
      <c r="EZ52" s="1092"/>
      <c r="FA52" s="1092"/>
      <c r="FB52" s="1092"/>
      <c r="FC52" s="1092"/>
      <c r="FD52" s="1092"/>
      <c r="FE52" s="1092"/>
      <c r="FF52" s="1092"/>
      <c r="FG52" s="1092"/>
      <c r="FH52" s="1092"/>
      <c r="FI52" s="1092"/>
      <c r="FJ52" s="1092"/>
      <c r="FK52" s="1092"/>
      <c r="FL52" s="1092"/>
      <c r="FM52" s="1092"/>
      <c r="FN52" s="1092"/>
      <c r="FO52" s="1092"/>
      <c r="FP52" s="1092"/>
      <c r="FQ52" s="1092"/>
      <c r="FR52" s="1092"/>
      <c r="FS52" s="1092"/>
      <c r="FT52" s="1092"/>
      <c r="FU52" s="1092"/>
      <c r="FV52" s="1092"/>
      <c r="FW52" s="1092"/>
      <c r="FX52" s="1092"/>
      <c r="FY52" s="1092"/>
      <c r="FZ52" s="1092"/>
      <c r="GA52" s="1092"/>
      <c r="GB52" s="1092"/>
      <c r="GC52" s="1092"/>
      <c r="GD52" s="1092"/>
      <c r="GE52" s="1092"/>
      <c r="GF52" s="1092"/>
      <c r="GG52" s="1092"/>
      <c r="GH52" s="1092"/>
      <c r="GI52" s="1092"/>
      <c r="GJ52" s="1092"/>
      <c r="GK52" s="1092"/>
      <c r="GL52" s="1092"/>
      <c r="GM52" s="1092"/>
      <c r="GN52" s="1092"/>
      <c r="GO52" s="1092"/>
    </row>
    <row r="53" spans="1:197">
      <c r="A53" s="1362"/>
      <c r="B53" s="1262"/>
      <c r="C53" s="1351"/>
      <c r="D53" s="1307"/>
      <c r="E53" s="1307"/>
      <c r="F53" s="1307"/>
      <c r="G53" s="1307"/>
      <c r="H53" s="1307"/>
      <c r="I53" s="1307"/>
      <c r="J53" s="1292"/>
      <c r="K53" s="1307"/>
      <c r="L53" s="1307"/>
      <c r="M53" s="1368"/>
      <c r="N53" s="1351"/>
      <c r="O53" s="1246"/>
      <c r="P53" s="1246"/>
      <c r="Q53" s="1262"/>
      <c r="R53" s="1262"/>
      <c r="S53" s="1292"/>
      <c r="T53" s="1344"/>
      <c r="U53" s="1344"/>
      <c r="V53" s="1307"/>
      <c r="W53" s="1307"/>
      <c r="X53" s="1307"/>
      <c r="Y53" s="1307"/>
      <c r="Z53" s="1344"/>
      <c r="AA53" s="1094"/>
      <c r="AB53" s="1344"/>
      <c r="AC53" s="1246"/>
      <c r="AD53" s="1344"/>
      <c r="AE53" s="1307"/>
      <c r="AF53" s="1307"/>
      <c r="AG53" s="1307"/>
      <c r="AH53" s="1307"/>
      <c r="AI53" s="1307"/>
      <c r="AJ53" s="1307"/>
      <c r="AK53" s="1307"/>
      <c r="AL53" s="1307"/>
      <c r="AM53" s="1307"/>
      <c r="AN53" s="1307"/>
      <c r="AO53" s="1307"/>
      <c r="AP53" s="1307"/>
      <c r="AQ53" s="1307"/>
      <c r="AR53" s="1307"/>
      <c r="AS53" s="1307"/>
      <c r="AT53" s="1307"/>
      <c r="AU53" s="1307"/>
      <c r="AV53" s="1307"/>
      <c r="AW53" s="1307"/>
      <c r="AX53" s="1307"/>
      <c r="AY53" s="1307"/>
      <c r="AZ53" s="1307"/>
      <c r="BA53" s="1307"/>
      <c r="BB53" s="1307"/>
      <c r="BC53" s="1307"/>
      <c r="BD53" s="1307"/>
      <c r="BE53" s="1307"/>
      <c r="BF53" s="1307"/>
      <c r="BG53" s="1307"/>
      <c r="BH53" s="1307"/>
      <c r="BI53" s="1307"/>
      <c r="BJ53" s="1362"/>
      <c r="BK53" s="1362"/>
      <c r="BL53" s="1146"/>
      <c r="BM53" s="1092"/>
      <c r="BN53" s="1092"/>
      <c r="BO53" s="1092"/>
      <c r="BP53" s="1092"/>
      <c r="BQ53" s="1092"/>
      <c r="BR53" s="1092"/>
      <c r="BS53" s="1092"/>
      <c r="BT53" s="1092"/>
      <c r="BU53" s="1092"/>
      <c r="BV53" s="1092"/>
      <c r="BW53" s="1092"/>
      <c r="BX53" s="1092"/>
      <c r="BY53" s="1092"/>
      <c r="BZ53" s="1092"/>
      <c r="CA53" s="1092"/>
      <c r="CB53" s="1092"/>
      <c r="CC53" s="1092"/>
      <c r="CD53" s="1092"/>
      <c r="CE53" s="1092"/>
      <c r="CF53" s="1092"/>
      <c r="CG53" s="1092"/>
      <c r="CH53" s="1092"/>
      <c r="CI53" s="1092"/>
      <c r="CJ53" s="1092"/>
      <c r="CK53" s="1092"/>
      <c r="CL53" s="1092"/>
      <c r="CM53" s="1092"/>
      <c r="CN53" s="1092"/>
      <c r="CO53" s="1092"/>
      <c r="CP53" s="1092"/>
      <c r="CQ53" s="1092"/>
      <c r="CR53" s="1092"/>
      <c r="CS53" s="1092"/>
      <c r="CT53" s="1092"/>
      <c r="CU53" s="1092"/>
      <c r="CV53" s="1092"/>
      <c r="CW53" s="1092"/>
      <c r="CX53" s="1092"/>
      <c r="CY53" s="1092"/>
      <c r="CZ53" s="1092"/>
      <c r="DA53" s="1092"/>
      <c r="DB53" s="1092"/>
      <c r="DC53" s="1092"/>
      <c r="DD53" s="1092"/>
      <c r="DE53" s="1092"/>
      <c r="DF53" s="1092"/>
      <c r="DG53" s="1092"/>
      <c r="DH53" s="1092"/>
      <c r="DI53" s="1092"/>
      <c r="DJ53" s="1092"/>
      <c r="DK53" s="1092"/>
      <c r="DL53" s="1092"/>
      <c r="DM53" s="1092"/>
      <c r="DN53" s="1092"/>
      <c r="DO53" s="1092"/>
      <c r="DP53" s="1092"/>
      <c r="DQ53" s="1092"/>
      <c r="DR53" s="1092"/>
      <c r="DS53" s="1092"/>
      <c r="DT53" s="1092"/>
      <c r="DU53" s="1092"/>
      <c r="DV53" s="1092"/>
      <c r="DW53" s="1092"/>
      <c r="DX53" s="1092"/>
      <c r="DY53" s="1092"/>
      <c r="DZ53" s="1092"/>
      <c r="EA53" s="1092"/>
      <c r="EB53" s="1092"/>
      <c r="EC53" s="1092"/>
      <c r="ED53" s="1092"/>
      <c r="EE53" s="1092"/>
      <c r="EF53" s="1092"/>
      <c r="EG53" s="1092"/>
      <c r="EH53" s="1092"/>
      <c r="EI53" s="1092"/>
      <c r="EJ53" s="1092"/>
      <c r="EK53" s="1092"/>
      <c r="EL53" s="1092"/>
      <c r="EM53" s="1092"/>
      <c r="EN53" s="1092"/>
      <c r="EO53" s="1092"/>
      <c r="EP53" s="1092"/>
      <c r="EQ53" s="1092"/>
      <c r="ER53" s="1092"/>
      <c r="ES53" s="1092"/>
      <c r="ET53" s="1092"/>
      <c r="EU53" s="1092"/>
      <c r="EV53" s="1092"/>
      <c r="EW53" s="1092"/>
      <c r="EX53" s="1092"/>
      <c r="EY53" s="1092"/>
      <c r="EZ53" s="1092"/>
      <c r="FA53" s="1092"/>
      <c r="FB53" s="1092"/>
      <c r="FC53" s="1092"/>
      <c r="FD53" s="1092"/>
      <c r="FE53" s="1092"/>
      <c r="FF53" s="1092"/>
      <c r="FG53" s="1092"/>
      <c r="FH53" s="1092"/>
      <c r="FI53" s="1092"/>
      <c r="FJ53" s="1092"/>
      <c r="FK53" s="1092"/>
      <c r="FL53" s="1092"/>
      <c r="FM53" s="1092"/>
      <c r="FN53" s="1092"/>
      <c r="FO53" s="1092"/>
      <c r="FP53" s="1092"/>
      <c r="FQ53" s="1092"/>
      <c r="FR53" s="1092"/>
      <c r="FS53" s="1092"/>
      <c r="FT53" s="1092"/>
      <c r="FU53" s="1092"/>
      <c r="FV53" s="1092"/>
      <c r="FW53" s="1092"/>
      <c r="FX53" s="1092"/>
      <c r="FY53" s="1092"/>
      <c r="FZ53" s="1092"/>
      <c r="GA53" s="1092"/>
      <c r="GB53" s="1092"/>
      <c r="GC53" s="1092"/>
      <c r="GD53" s="1092"/>
      <c r="GE53" s="1092"/>
      <c r="GF53" s="1092"/>
      <c r="GG53" s="1092"/>
      <c r="GH53" s="1092"/>
      <c r="GI53" s="1092"/>
      <c r="GJ53" s="1092"/>
      <c r="GK53" s="1092"/>
      <c r="GL53" s="1092"/>
      <c r="GM53" s="1092"/>
      <c r="GN53" s="1092"/>
      <c r="GO53" s="1092"/>
    </row>
    <row r="54" spans="1:197">
      <c r="A54" s="1362"/>
      <c r="B54" s="1262"/>
      <c r="C54" s="1351"/>
      <c r="D54" s="1307"/>
      <c r="E54" s="1307"/>
      <c r="F54" s="1307"/>
      <c r="G54" s="1307"/>
      <c r="H54" s="1307"/>
      <c r="I54" s="1307"/>
      <c r="J54" s="1292"/>
      <c r="K54" s="1307"/>
      <c r="L54" s="1307"/>
      <c r="M54" s="1368"/>
      <c r="N54" s="1351"/>
      <c r="O54" s="1246"/>
      <c r="P54" s="1246"/>
      <c r="Q54" s="1262"/>
      <c r="R54" s="1262"/>
      <c r="S54" s="1292"/>
      <c r="T54" s="1344"/>
      <c r="U54" s="1344"/>
      <c r="V54" s="1307"/>
      <c r="W54" s="1307"/>
      <c r="X54" s="1307"/>
      <c r="Y54" s="1307"/>
      <c r="Z54" s="1344"/>
      <c r="AA54" s="1094"/>
      <c r="AB54" s="1344"/>
      <c r="AC54" s="1246"/>
      <c r="AD54" s="1344"/>
      <c r="AE54" s="1307"/>
      <c r="AF54" s="1307"/>
      <c r="AG54" s="1307"/>
      <c r="AH54" s="1307"/>
      <c r="AI54" s="1307"/>
      <c r="AJ54" s="1307"/>
      <c r="AK54" s="1307"/>
      <c r="AL54" s="1307"/>
      <c r="AM54" s="1307"/>
      <c r="AN54" s="1307"/>
      <c r="AO54" s="1307"/>
      <c r="AP54" s="1307"/>
      <c r="AQ54" s="1307"/>
      <c r="AR54" s="1307"/>
      <c r="AS54" s="1307"/>
      <c r="AT54" s="1307"/>
      <c r="AU54" s="1307"/>
      <c r="AV54" s="1307"/>
      <c r="AW54" s="1307"/>
      <c r="AX54" s="1307"/>
      <c r="AY54" s="1307"/>
      <c r="AZ54" s="1307"/>
      <c r="BA54" s="1307"/>
      <c r="BB54" s="1307"/>
      <c r="BC54" s="1307"/>
      <c r="BD54" s="1307"/>
      <c r="BE54" s="1307"/>
      <c r="BF54" s="1307"/>
      <c r="BG54" s="1307"/>
      <c r="BH54" s="1307"/>
      <c r="BI54" s="1307"/>
      <c r="BJ54" s="1362"/>
      <c r="BK54" s="1362"/>
      <c r="BL54" s="1146"/>
      <c r="BM54" s="1092"/>
      <c r="BN54" s="1092"/>
      <c r="BO54" s="1092"/>
      <c r="BP54" s="1092"/>
      <c r="BQ54" s="1092"/>
      <c r="BR54" s="1092"/>
      <c r="BS54" s="1092"/>
      <c r="BT54" s="1092"/>
      <c r="BU54" s="1092"/>
      <c r="BV54" s="1092"/>
      <c r="BW54" s="1092"/>
      <c r="BX54" s="1092"/>
      <c r="BY54" s="1092"/>
      <c r="BZ54" s="1092"/>
      <c r="CA54" s="1092"/>
      <c r="CB54" s="1092"/>
      <c r="CC54" s="1092"/>
      <c r="CD54" s="1092"/>
      <c r="CE54" s="1092"/>
      <c r="CF54" s="1092"/>
      <c r="CG54" s="1092"/>
      <c r="CH54" s="1092"/>
      <c r="CI54" s="1092"/>
      <c r="CJ54" s="1092"/>
      <c r="CK54" s="1092"/>
      <c r="CL54" s="1092"/>
      <c r="CM54" s="1092"/>
      <c r="CN54" s="1092"/>
      <c r="CO54" s="1092"/>
      <c r="CP54" s="1092"/>
      <c r="CQ54" s="1092"/>
      <c r="CR54" s="1092"/>
      <c r="CS54" s="1092"/>
      <c r="CT54" s="1092"/>
      <c r="CU54" s="1092"/>
      <c r="CV54" s="1092"/>
      <c r="CW54" s="1092"/>
      <c r="CX54" s="1092"/>
      <c r="CY54" s="1092"/>
      <c r="CZ54" s="1092"/>
      <c r="DA54" s="1092"/>
      <c r="DB54" s="1092"/>
      <c r="DC54" s="1092"/>
      <c r="DD54" s="1092"/>
      <c r="DE54" s="1092"/>
      <c r="DF54" s="1092"/>
      <c r="DG54" s="1092"/>
      <c r="DH54" s="1092"/>
      <c r="DI54" s="1092"/>
      <c r="DJ54" s="1092"/>
      <c r="DK54" s="1092"/>
      <c r="DL54" s="1092"/>
      <c r="DM54" s="1092"/>
      <c r="DN54" s="1092"/>
      <c r="DO54" s="1092"/>
      <c r="DP54" s="1092"/>
      <c r="DQ54" s="1092"/>
      <c r="DR54" s="1092"/>
      <c r="DS54" s="1092"/>
      <c r="DT54" s="1092"/>
      <c r="DU54" s="1092"/>
      <c r="DV54" s="1092"/>
      <c r="DW54" s="1092"/>
      <c r="DX54" s="1092"/>
      <c r="DY54" s="1092"/>
      <c r="DZ54" s="1092"/>
      <c r="EA54" s="1092"/>
      <c r="EB54" s="1092"/>
      <c r="EC54" s="1092"/>
      <c r="ED54" s="1092"/>
      <c r="EE54" s="1092"/>
      <c r="EF54" s="1092"/>
      <c r="EG54" s="1092"/>
      <c r="EH54" s="1092"/>
      <c r="EI54" s="1092"/>
      <c r="EJ54" s="1092"/>
      <c r="EK54" s="1092"/>
      <c r="EL54" s="1092"/>
      <c r="EM54" s="1092"/>
      <c r="EN54" s="1092"/>
      <c r="EO54" s="1092"/>
      <c r="EP54" s="1092"/>
      <c r="EQ54" s="1092"/>
      <c r="ER54" s="1092"/>
      <c r="ES54" s="1092"/>
      <c r="ET54" s="1092"/>
      <c r="EU54" s="1092"/>
      <c r="EV54" s="1092"/>
      <c r="EW54" s="1092"/>
      <c r="EX54" s="1092"/>
      <c r="EY54" s="1092"/>
      <c r="EZ54" s="1092"/>
      <c r="FA54" s="1092"/>
      <c r="FB54" s="1092"/>
      <c r="FC54" s="1092"/>
      <c r="FD54" s="1092"/>
      <c r="FE54" s="1092"/>
      <c r="FF54" s="1092"/>
      <c r="FG54" s="1092"/>
      <c r="FH54" s="1092"/>
      <c r="FI54" s="1092"/>
      <c r="FJ54" s="1092"/>
      <c r="FK54" s="1092"/>
      <c r="FL54" s="1092"/>
      <c r="FM54" s="1092"/>
      <c r="FN54" s="1092"/>
      <c r="FO54" s="1092"/>
      <c r="FP54" s="1092"/>
      <c r="FQ54" s="1092"/>
      <c r="FR54" s="1092"/>
      <c r="FS54" s="1092"/>
      <c r="FT54" s="1092"/>
      <c r="FU54" s="1092"/>
      <c r="FV54" s="1092"/>
      <c r="FW54" s="1092"/>
      <c r="FX54" s="1092"/>
      <c r="FY54" s="1092"/>
      <c r="FZ54" s="1092"/>
      <c r="GA54" s="1092"/>
      <c r="GB54" s="1092"/>
      <c r="GC54" s="1092"/>
      <c r="GD54" s="1092"/>
      <c r="GE54" s="1092"/>
      <c r="GF54" s="1092"/>
      <c r="GG54" s="1092"/>
      <c r="GH54" s="1092"/>
      <c r="GI54" s="1092"/>
      <c r="GJ54" s="1092"/>
      <c r="GK54" s="1092"/>
      <c r="GL54" s="1092"/>
      <c r="GM54" s="1092"/>
      <c r="GN54" s="1092"/>
      <c r="GO54" s="1092"/>
    </row>
    <row r="55" spans="1:197">
      <c r="A55" s="1362"/>
      <c r="B55" s="1262"/>
      <c r="C55" s="1351"/>
      <c r="D55" s="1307"/>
      <c r="E55" s="1307"/>
      <c r="F55" s="1307"/>
      <c r="G55" s="1307"/>
      <c r="H55" s="1307"/>
      <c r="I55" s="1307"/>
      <c r="J55" s="1292"/>
      <c r="K55" s="1307"/>
      <c r="L55" s="1307"/>
      <c r="M55" s="1368"/>
      <c r="N55" s="1351"/>
      <c r="O55" s="1246"/>
      <c r="P55" s="1246"/>
      <c r="Q55" s="1262"/>
      <c r="R55" s="1262"/>
      <c r="S55" s="1292"/>
      <c r="T55" s="1344"/>
      <c r="U55" s="1344"/>
      <c r="V55" s="1307"/>
      <c r="W55" s="1307"/>
      <c r="X55" s="1307"/>
      <c r="Y55" s="1307"/>
      <c r="Z55" s="1344"/>
      <c r="AA55" s="1094"/>
      <c r="AB55" s="1344"/>
      <c r="AC55" s="1246"/>
      <c r="AD55" s="1344"/>
      <c r="AE55" s="1307"/>
      <c r="AF55" s="1307"/>
      <c r="AG55" s="1307"/>
      <c r="AH55" s="1307"/>
      <c r="AI55" s="1307"/>
      <c r="AJ55" s="1307"/>
      <c r="AK55" s="1307"/>
      <c r="AL55" s="1307"/>
      <c r="AM55" s="1307"/>
      <c r="AN55" s="1307"/>
      <c r="AO55" s="1307"/>
      <c r="AP55" s="1307"/>
      <c r="AQ55" s="1307"/>
      <c r="AR55" s="1307"/>
      <c r="AS55" s="1307"/>
      <c r="AT55" s="1307"/>
      <c r="AU55" s="1307"/>
      <c r="AV55" s="1307"/>
      <c r="AW55" s="1307"/>
      <c r="AX55" s="1307"/>
      <c r="AY55" s="1307"/>
      <c r="AZ55" s="1307"/>
      <c r="BA55" s="1307"/>
      <c r="BB55" s="1307"/>
      <c r="BC55" s="1307"/>
      <c r="BD55" s="1307"/>
      <c r="BE55" s="1307"/>
      <c r="BF55" s="1307"/>
      <c r="BG55" s="1307"/>
      <c r="BH55" s="1307"/>
      <c r="BI55" s="1307"/>
      <c r="BJ55" s="1362"/>
      <c r="BK55" s="1362"/>
      <c r="BL55" s="1146"/>
      <c r="BM55" s="1092"/>
      <c r="BN55" s="1092"/>
      <c r="BO55" s="1092"/>
      <c r="BP55" s="1092"/>
      <c r="BQ55" s="1092"/>
      <c r="BR55" s="1092"/>
      <c r="BS55" s="1092"/>
      <c r="BT55" s="1092"/>
      <c r="BU55" s="1092"/>
      <c r="BV55" s="1092"/>
      <c r="BW55" s="1092"/>
      <c r="BX55" s="1092"/>
      <c r="BY55" s="1092"/>
      <c r="BZ55" s="1092"/>
      <c r="CA55" s="1092"/>
      <c r="CB55" s="1092"/>
      <c r="CC55" s="1092"/>
      <c r="CD55" s="1092"/>
      <c r="CE55" s="1092"/>
      <c r="CF55" s="1092"/>
      <c r="CG55" s="1092"/>
      <c r="CH55" s="1092"/>
      <c r="CI55" s="1092"/>
      <c r="CJ55" s="1092"/>
      <c r="CK55" s="1092"/>
      <c r="CL55" s="1092"/>
      <c r="CM55" s="1092"/>
      <c r="CN55" s="1092"/>
      <c r="CO55" s="1092"/>
      <c r="CP55" s="1092"/>
      <c r="CQ55" s="1092"/>
      <c r="CR55" s="1092"/>
      <c r="CS55" s="1092"/>
      <c r="CT55" s="1092"/>
      <c r="CU55" s="1092"/>
      <c r="CV55" s="1092"/>
      <c r="CW55" s="1092"/>
      <c r="CX55" s="1092"/>
      <c r="CY55" s="1092"/>
      <c r="CZ55" s="1092"/>
      <c r="DA55" s="1092"/>
      <c r="DB55" s="1092"/>
      <c r="DC55" s="1092"/>
      <c r="DD55" s="1092"/>
      <c r="DE55" s="1092"/>
      <c r="DF55" s="1092"/>
      <c r="DG55" s="1092"/>
      <c r="DH55" s="1092"/>
      <c r="DI55" s="1092"/>
      <c r="DJ55" s="1092"/>
      <c r="DK55" s="1092"/>
      <c r="DL55" s="1092"/>
      <c r="DM55" s="1092"/>
      <c r="DN55" s="1092"/>
      <c r="DO55" s="1092"/>
      <c r="DP55" s="1092"/>
      <c r="DQ55" s="1092"/>
      <c r="DR55" s="1092"/>
      <c r="DS55" s="1092"/>
      <c r="DT55" s="1092"/>
      <c r="DU55" s="1092"/>
      <c r="DV55" s="1092"/>
      <c r="DW55" s="1092"/>
      <c r="DX55" s="1092"/>
      <c r="DY55" s="1092"/>
      <c r="DZ55" s="1092"/>
      <c r="EA55" s="1092"/>
      <c r="EB55" s="1092"/>
      <c r="EC55" s="1092"/>
      <c r="ED55" s="1092"/>
      <c r="EE55" s="1092"/>
      <c r="EF55" s="1092"/>
      <c r="EG55" s="1092"/>
      <c r="EH55" s="1092"/>
      <c r="EI55" s="1092"/>
      <c r="EJ55" s="1092"/>
      <c r="EK55" s="1092"/>
      <c r="EL55" s="1092"/>
      <c r="EM55" s="1092"/>
      <c r="EN55" s="1092"/>
      <c r="EO55" s="1092"/>
      <c r="EP55" s="1092"/>
      <c r="EQ55" s="1092"/>
      <c r="ER55" s="1092"/>
      <c r="ES55" s="1092"/>
      <c r="ET55" s="1092"/>
      <c r="EU55" s="1092"/>
      <c r="EV55" s="1092"/>
      <c r="EW55" s="1092"/>
      <c r="EX55" s="1092"/>
      <c r="EY55" s="1092"/>
      <c r="EZ55" s="1092"/>
      <c r="FA55" s="1092"/>
      <c r="FB55" s="1092"/>
      <c r="FC55" s="1092"/>
      <c r="FD55" s="1092"/>
      <c r="FE55" s="1092"/>
      <c r="FF55" s="1092"/>
      <c r="FG55" s="1092"/>
      <c r="FH55" s="1092"/>
      <c r="FI55" s="1092"/>
      <c r="FJ55" s="1092"/>
      <c r="FK55" s="1092"/>
      <c r="FL55" s="1092"/>
      <c r="FM55" s="1092"/>
      <c r="FN55" s="1092"/>
      <c r="FO55" s="1092"/>
      <c r="FP55" s="1092"/>
      <c r="FQ55" s="1092"/>
      <c r="FR55" s="1092"/>
      <c r="FS55" s="1092"/>
      <c r="FT55" s="1092"/>
      <c r="FU55" s="1092"/>
      <c r="FV55" s="1092"/>
      <c r="FW55" s="1092"/>
      <c r="FX55" s="1092"/>
      <c r="FY55" s="1092"/>
      <c r="FZ55" s="1092"/>
      <c r="GA55" s="1092"/>
      <c r="GB55" s="1092"/>
      <c r="GC55" s="1092"/>
      <c r="GD55" s="1092"/>
      <c r="GE55" s="1092"/>
      <c r="GF55" s="1092"/>
      <c r="GG55" s="1092"/>
      <c r="GH55" s="1092"/>
      <c r="GI55" s="1092"/>
      <c r="GJ55" s="1092"/>
      <c r="GK55" s="1092"/>
      <c r="GL55" s="1092"/>
      <c r="GM55" s="1092"/>
      <c r="GN55" s="1092"/>
      <c r="GO55" s="1092"/>
    </row>
    <row r="56" spans="1:197">
      <c r="A56" s="1092"/>
      <c r="B56" s="1092"/>
      <c r="C56" s="1092"/>
      <c r="D56" s="1092"/>
      <c r="E56" s="1092"/>
      <c r="F56" s="1092"/>
      <c r="G56" s="1092"/>
      <c r="H56" s="1092"/>
      <c r="I56" s="1092"/>
      <c r="J56" s="1092"/>
      <c r="K56" s="1092"/>
      <c r="L56" s="1092"/>
      <c r="M56" s="1092"/>
      <c r="N56" s="1092"/>
      <c r="O56" s="1092"/>
      <c r="P56" s="1092"/>
      <c r="Q56" s="1092"/>
      <c r="R56" s="1092"/>
      <c r="S56" s="1092"/>
      <c r="T56" s="1092"/>
      <c r="U56" s="1092"/>
      <c r="V56" s="1092"/>
      <c r="W56" s="1092"/>
      <c r="X56" s="1092"/>
      <c r="Y56" s="1092"/>
      <c r="Z56" s="1092"/>
      <c r="AA56" s="1092"/>
      <c r="AB56" s="1092"/>
      <c r="AC56" s="1092"/>
      <c r="AD56" s="1092"/>
      <c r="AE56" s="1092"/>
      <c r="AF56" s="1092"/>
      <c r="AG56" s="1092"/>
      <c r="AH56" s="1092"/>
      <c r="AI56" s="1092"/>
      <c r="AJ56" s="1092"/>
      <c r="AK56" s="1092"/>
      <c r="AL56" s="1092"/>
      <c r="AM56" s="1092"/>
      <c r="AN56" s="1092"/>
      <c r="AO56" s="1092"/>
      <c r="AP56" s="1092"/>
      <c r="AQ56" s="1092"/>
      <c r="AR56" s="1092"/>
      <c r="AS56" s="1092"/>
      <c r="AT56" s="1092"/>
      <c r="AU56" s="1092"/>
      <c r="AV56" s="1092"/>
      <c r="AW56" s="1092"/>
      <c r="AX56" s="1092"/>
      <c r="AY56" s="1092"/>
      <c r="AZ56" s="1092"/>
      <c r="BA56" s="1092"/>
      <c r="BB56" s="1092"/>
      <c r="BC56" s="1092"/>
      <c r="BD56" s="1092"/>
      <c r="BE56" s="1092"/>
      <c r="BF56" s="1092"/>
      <c r="BG56" s="1092"/>
      <c r="BH56" s="1092"/>
      <c r="BI56" s="1092"/>
      <c r="BJ56" s="1092"/>
      <c r="BK56" s="1092"/>
      <c r="BL56" s="1092"/>
      <c r="BM56" s="1092"/>
      <c r="BN56" s="1092"/>
      <c r="BO56" s="1092"/>
      <c r="BP56" s="1092"/>
      <c r="BQ56" s="1092"/>
      <c r="BR56" s="1092"/>
      <c r="BS56" s="1092"/>
      <c r="BT56" s="1092"/>
      <c r="BU56" s="1092"/>
      <c r="BV56" s="1092"/>
      <c r="BW56" s="1092"/>
      <c r="BX56" s="1092"/>
      <c r="BY56" s="1092"/>
      <c r="BZ56" s="1092"/>
      <c r="CA56" s="1092"/>
      <c r="CB56" s="1092"/>
      <c r="CC56" s="1092"/>
      <c r="CD56" s="1092"/>
      <c r="CE56" s="1092"/>
      <c r="CF56" s="1092"/>
      <c r="CG56" s="1092"/>
      <c r="CH56" s="1092"/>
      <c r="CI56" s="1092"/>
      <c r="CJ56" s="1092"/>
      <c r="CK56" s="1092"/>
      <c r="CL56" s="1092"/>
      <c r="CM56" s="1092"/>
      <c r="CN56" s="1092"/>
      <c r="CO56" s="1092"/>
      <c r="CP56" s="1092"/>
      <c r="CQ56" s="1092"/>
      <c r="CR56" s="1092"/>
      <c r="CS56" s="1092"/>
      <c r="CT56" s="1092"/>
      <c r="CU56" s="1092"/>
      <c r="CV56" s="1092"/>
      <c r="CW56" s="1092"/>
      <c r="CX56" s="1092"/>
      <c r="CY56" s="1092"/>
      <c r="CZ56" s="1092"/>
      <c r="DA56" s="1092"/>
      <c r="DB56" s="1092"/>
      <c r="DC56" s="1092"/>
      <c r="DD56" s="1092"/>
      <c r="DE56" s="1092"/>
      <c r="DF56" s="1092"/>
      <c r="DG56" s="1092"/>
      <c r="DH56" s="1092"/>
      <c r="DI56" s="1092"/>
      <c r="DJ56" s="1092"/>
      <c r="DK56" s="1092"/>
      <c r="DL56" s="1092"/>
      <c r="DM56" s="1092"/>
      <c r="DN56" s="1092"/>
      <c r="DO56" s="1092"/>
      <c r="DP56" s="1092"/>
      <c r="DQ56" s="1092"/>
      <c r="DR56" s="1092"/>
      <c r="DS56" s="1092"/>
      <c r="DT56" s="1092"/>
      <c r="DU56" s="1092"/>
      <c r="DV56" s="1092"/>
      <c r="DW56" s="1092"/>
      <c r="DX56" s="1092"/>
      <c r="DY56" s="1092"/>
      <c r="DZ56" s="1092"/>
      <c r="EA56" s="1092"/>
      <c r="EB56" s="1092"/>
      <c r="EC56" s="1092"/>
      <c r="ED56" s="1092"/>
      <c r="EE56" s="1092"/>
      <c r="EF56" s="1092"/>
      <c r="EG56" s="1092"/>
      <c r="EH56" s="1092"/>
      <c r="EI56" s="1092"/>
      <c r="EJ56" s="1092"/>
      <c r="EK56" s="1092"/>
      <c r="EL56" s="1092"/>
      <c r="EM56" s="1092"/>
      <c r="EN56" s="1092"/>
      <c r="EO56" s="1092"/>
      <c r="EP56" s="1092"/>
      <c r="EQ56" s="1092"/>
      <c r="ER56" s="1092"/>
      <c r="ES56" s="1092"/>
      <c r="ET56" s="1092"/>
      <c r="EU56" s="1092"/>
      <c r="EV56" s="1092"/>
      <c r="EW56" s="1092"/>
      <c r="EX56" s="1092"/>
      <c r="EY56" s="1092"/>
      <c r="EZ56" s="1092"/>
      <c r="FA56" s="1092"/>
      <c r="FB56" s="1092"/>
      <c r="FC56" s="1092"/>
      <c r="FD56" s="1092"/>
      <c r="FE56" s="1092"/>
      <c r="FF56" s="1092"/>
      <c r="FG56" s="1092"/>
      <c r="FH56" s="1092"/>
      <c r="FI56" s="1092"/>
      <c r="FJ56" s="1092"/>
      <c r="FK56" s="1092"/>
      <c r="FL56" s="1092"/>
      <c r="FM56" s="1092"/>
      <c r="FN56" s="1092"/>
      <c r="FO56" s="1092"/>
      <c r="FP56" s="1092"/>
      <c r="FQ56" s="1092"/>
      <c r="FR56" s="1092"/>
      <c r="FS56" s="1092"/>
      <c r="FT56" s="1092"/>
      <c r="FU56" s="1092"/>
      <c r="FV56" s="1092"/>
      <c r="FW56" s="1092"/>
      <c r="FX56" s="1092"/>
      <c r="FY56" s="1092"/>
      <c r="FZ56" s="1092"/>
      <c r="GA56" s="1092"/>
      <c r="GB56" s="1092"/>
      <c r="GC56" s="1092"/>
      <c r="GD56" s="1092"/>
      <c r="GE56" s="1092"/>
      <c r="GF56" s="1092"/>
      <c r="GG56" s="1092"/>
      <c r="GH56" s="1092"/>
      <c r="GI56" s="1092"/>
      <c r="GJ56" s="1092"/>
      <c r="GK56" s="1092"/>
      <c r="GL56" s="1092"/>
      <c r="GM56" s="1092"/>
      <c r="GN56" s="1092"/>
      <c r="GO56" s="1092"/>
    </row>
    <row r="57" spans="1:197">
      <c r="A57" s="1092"/>
      <c r="B57" s="1092"/>
      <c r="C57" s="1092"/>
      <c r="D57" s="1092"/>
      <c r="E57" s="1092"/>
      <c r="F57" s="1092"/>
      <c r="G57" s="1092"/>
      <c r="H57" s="1092"/>
      <c r="I57" s="1092"/>
      <c r="J57" s="1092"/>
      <c r="K57" s="1092"/>
      <c r="L57" s="1092"/>
      <c r="M57" s="1092"/>
      <c r="N57" s="1092"/>
      <c r="O57" s="1092"/>
      <c r="P57" s="1092"/>
      <c r="Q57" s="1092"/>
      <c r="R57" s="1092"/>
      <c r="S57" s="1092"/>
      <c r="T57" s="1092"/>
      <c r="U57" s="1092"/>
      <c r="V57" s="1092"/>
      <c r="W57" s="1092"/>
      <c r="X57" s="1092"/>
      <c r="Y57" s="1092"/>
      <c r="Z57" s="1092"/>
      <c r="AA57" s="1092"/>
      <c r="AB57" s="1092"/>
      <c r="AC57" s="1092"/>
      <c r="AD57" s="1092"/>
      <c r="AE57" s="1092"/>
      <c r="AF57" s="1092"/>
      <c r="AG57" s="1092"/>
      <c r="AH57" s="1092"/>
      <c r="AI57" s="1092"/>
      <c r="AJ57" s="1092"/>
      <c r="AK57" s="1092"/>
      <c r="AL57" s="1092"/>
      <c r="AM57" s="1092"/>
      <c r="AN57" s="1092"/>
      <c r="AO57" s="1092"/>
      <c r="AP57" s="1092"/>
      <c r="AQ57" s="1092"/>
      <c r="AR57" s="1092"/>
      <c r="AS57" s="1092"/>
      <c r="AT57" s="1092"/>
      <c r="AU57" s="1092"/>
      <c r="AV57" s="1092"/>
      <c r="AW57" s="1092"/>
      <c r="AX57" s="1092"/>
      <c r="AY57" s="1092"/>
      <c r="AZ57" s="1092"/>
      <c r="BA57" s="1092"/>
      <c r="BB57" s="1092"/>
      <c r="BC57" s="1092"/>
      <c r="BD57" s="1092"/>
      <c r="BE57" s="1092"/>
      <c r="BF57" s="1092"/>
      <c r="BG57" s="1092"/>
      <c r="BH57" s="1092"/>
      <c r="BI57" s="1092"/>
      <c r="BJ57" s="1092"/>
      <c r="BK57" s="1092"/>
      <c r="BL57" s="1092"/>
      <c r="BM57" s="1092"/>
      <c r="BN57" s="1092"/>
      <c r="BO57" s="1092"/>
      <c r="BP57" s="1092"/>
      <c r="BQ57" s="1092"/>
      <c r="BR57" s="1092"/>
      <c r="BS57" s="1092"/>
      <c r="BT57" s="1092"/>
      <c r="BU57" s="1092"/>
      <c r="BV57" s="1092"/>
      <c r="BW57" s="1092"/>
      <c r="BX57" s="1092"/>
      <c r="BY57" s="1092"/>
      <c r="BZ57" s="1092"/>
      <c r="CA57" s="1092"/>
      <c r="CB57" s="1092"/>
      <c r="CC57" s="1092"/>
      <c r="CD57" s="1092"/>
      <c r="CE57" s="1092"/>
      <c r="CF57" s="1092"/>
      <c r="CG57" s="1092"/>
      <c r="CH57" s="1092"/>
      <c r="CI57" s="1092"/>
      <c r="CJ57" s="1092"/>
      <c r="CK57" s="1092"/>
      <c r="CL57" s="1092"/>
      <c r="CM57" s="1092"/>
      <c r="CN57" s="1092"/>
      <c r="CO57" s="1092"/>
      <c r="CP57" s="1092"/>
      <c r="CQ57" s="1092"/>
      <c r="CR57" s="1092"/>
      <c r="CS57" s="1092"/>
      <c r="CT57" s="1092"/>
      <c r="CU57" s="1092"/>
      <c r="CV57" s="1092"/>
      <c r="CW57" s="1092"/>
      <c r="CX57" s="1092"/>
      <c r="CY57" s="1092"/>
      <c r="CZ57" s="1092"/>
      <c r="DA57" s="1092"/>
      <c r="DB57" s="1092"/>
      <c r="DC57" s="1092"/>
      <c r="DD57" s="1092"/>
      <c r="DE57" s="1092"/>
      <c r="DF57" s="1092"/>
      <c r="DG57" s="1092"/>
      <c r="DH57" s="1092"/>
      <c r="DI57" s="1092"/>
      <c r="DJ57" s="1092"/>
      <c r="DK57" s="1092"/>
      <c r="DL57" s="1092"/>
      <c r="DM57" s="1092"/>
      <c r="DN57" s="1092"/>
      <c r="DO57" s="1092"/>
      <c r="DP57" s="1092"/>
      <c r="DQ57" s="1092"/>
      <c r="DR57" s="1092"/>
      <c r="DS57" s="1092"/>
      <c r="DT57" s="1092"/>
      <c r="DU57" s="1092"/>
      <c r="DV57" s="1092"/>
      <c r="DW57" s="1092"/>
      <c r="DX57" s="1092"/>
      <c r="DY57" s="1092"/>
      <c r="DZ57" s="1092"/>
      <c r="EA57" s="1092"/>
      <c r="EB57" s="1092"/>
      <c r="EC57" s="1092"/>
      <c r="ED57" s="1092"/>
      <c r="EE57" s="1092"/>
      <c r="EF57" s="1092"/>
      <c r="EG57" s="1092"/>
      <c r="EH57" s="1092"/>
      <c r="EI57" s="1092"/>
      <c r="EJ57" s="1092"/>
      <c r="EK57" s="1092"/>
      <c r="EL57" s="1092"/>
      <c r="EM57" s="1092"/>
      <c r="EN57" s="1092"/>
      <c r="EO57" s="1092"/>
      <c r="EP57" s="1092"/>
      <c r="EQ57" s="1092"/>
      <c r="ER57" s="1092"/>
      <c r="ES57" s="1092"/>
      <c r="ET57" s="1092"/>
      <c r="EU57" s="1092"/>
      <c r="EV57" s="1092"/>
      <c r="EW57" s="1092"/>
      <c r="EX57" s="1092"/>
      <c r="EY57" s="1092"/>
      <c r="EZ57" s="1092"/>
      <c r="FA57" s="1092"/>
      <c r="FB57" s="1092"/>
      <c r="FC57" s="1092"/>
      <c r="FD57" s="1092"/>
      <c r="FE57" s="1092"/>
      <c r="FF57" s="1092"/>
      <c r="FG57" s="1092"/>
      <c r="FH57" s="1092"/>
      <c r="FI57" s="1092"/>
      <c r="FJ57" s="1092"/>
      <c r="FK57" s="1092"/>
      <c r="FL57" s="1092"/>
      <c r="FM57" s="1092"/>
      <c r="FN57" s="1092"/>
      <c r="FO57" s="1092"/>
      <c r="FP57" s="1092"/>
      <c r="FQ57" s="1092"/>
      <c r="FR57" s="1092"/>
      <c r="FS57" s="1092"/>
      <c r="FT57" s="1092"/>
      <c r="FU57" s="1092"/>
      <c r="FV57" s="1092"/>
      <c r="FW57" s="1092"/>
      <c r="FX57" s="1092"/>
      <c r="FY57" s="1092"/>
      <c r="FZ57" s="1092"/>
      <c r="GA57" s="1092"/>
      <c r="GB57" s="1092"/>
      <c r="GC57" s="1092"/>
      <c r="GD57" s="1092"/>
      <c r="GE57" s="1092"/>
      <c r="GF57" s="1092"/>
      <c r="GG57" s="1092"/>
      <c r="GH57" s="1092"/>
      <c r="GI57" s="1092"/>
      <c r="GJ57" s="1092"/>
      <c r="GK57" s="1092"/>
      <c r="GL57" s="1092"/>
      <c r="GM57" s="1092"/>
      <c r="GN57" s="1092"/>
      <c r="GO57" s="1092"/>
    </row>
    <row r="58" spans="1:197">
      <c r="A58" s="1092"/>
      <c r="B58" s="1092"/>
      <c r="C58" s="1092"/>
      <c r="D58" s="1092"/>
      <c r="E58" s="1092"/>
      <c r="F58" s="1092"/>
      <c r="G58" s="1092"/>
      <c r="H58" s="1092"/>
      <c r="I58" s="1092"/>
      <c r="J58" s="1092"/>
      <c r="K58" s="1092"/>
      <c r="L58" s="1092"/>
      <c r="M58" s="1092"/>
      <c r="N58" s="1092"/>
      <c r="O58" s="1092"/>
      <c r="P58" s="1092"/>
      <c r="Q58" s="1092"/>
      <c r="R58" s="1092"/>
      <c r="S58" s="1092"/>
      <c r="T58" s="1092"/>
      <c r="U58" s="1092"/>
      <c r="V58" s="1092"/>
      <c r="W58" s="1092"/>
      <c r="X58" s="1092"/>
      <c r="Y58" s="1092"/>
      <c r="Z58" s="1092"/>
      <c r="AA58" s="1092"/>
      <c r="AB58" s="1092"/>
      <c r="AC58" s="1092"/>
      <c r="AD58" s="1092"/>
      <c r="AE58" s="1092"/>
      <c r="AF58" s="1092"/>
      <c r="AG58" s="1092"/>
      <c r="AH58" s="1092"/>
      <c r="AI58" s="1092"/>
      <c r="AJ58" s="1092"/>
      <c r="AK58" s="1092"/>
      <c r="AL58" s="1092"/>
      <c r="AM58" s="1092"/>
      <c r="AN58" s="1092"/>
      <c r="AO58" s="1092"/>
      <c r="AP58" s="1092"/>
      <c r="AQ58" s="1092"/>
      <c r="AR58" s="1092"/>
      <c r="AS58" s="1092"/>
      <c r="AT58" s="1092"/>
      <c r="AU58" s="1092"/>
      <c r="AV58" s="1092"/>
      <c r="AW58" s="1092"/>
      <c r="AX58" s="1092"/>
      <c r="AY58" s="1092"/>
      <c r="AZ58" s="1092"/>
      <c r="BA58" s="1092"/>
      <c r="BB58" s="1092"/>
      <c r="BC58" s="1092"/>
      <c r="BD58" s="1092"/>
      <c r="BE58" s="1092"/>
      <c r="BF58" s="1092"/>
      <c r="BG58" s="1092"/>
      <c r="BH58" s="1092"/>
      <c r="BI58" s="1092"/>
      <c r="BJ58" s="1092"/>
      <c r="BK58" s="1092"/>
      <c r="BL58" s="1092"/>
      <c r="BM58" s="1092"/>
      <c r="BN58" s="1092"/>
      <c r="BO58" s="1092"/>
      <c r="BP58" s="1092"/>
      <c r="BQ58" s="1092"/>
      <c r="BR58" s="1092"/>
      <c r="BS58" s="1092"/>
      <c r="BT58" s="1092"/>
      <c r="BU58" s="1092"/>
      <c r="BV58" s="1092"/>
      <c r="BW58" s="1092"/>
      <c r="BX58" s="1092"/>
      <c r="BY58" s="1092"/>
      <c r="BZ58" s="1092"/>
      <c r="CA58" s="1092"/>
      <c r="CB58" s="1092"/>
      <c r="CC58" s="1092"/>
      <c r="CD58" s="1092"/>
      <c r="CE58" s="1092"/>
      <c r="CF58" s="1092"/>
      <c r="CG58" s="1092"/>
      <c r="CH58" s="1092"/>
      <c r="CI58" s="1092"/>
      <c r="CJ58" s="1092"/>
      <c r="CK58" s="1092"/>
      <c r="CL58" s="1092"/>
      <c r="CM58" s="1092"/>
      <c r="CN58" s="1092"/>
      <c r="CO58" s="1092"/>
      <c r="CP58" s="1092"/>
      <c r="CQ58" s="1092"/>
      <c r="CR58" s="1092"/>
      <c r="CS58" s="1092"/>
      <c r="CT58" s="1092"/>
      <c r="CU58" s="1092"/>
      <c r="CV58" s="1092"/>
      <c r="CW58" s="1092"/>
      <c r="CX58" s="1092"/>
      <c r="CY58" s="1092"/>
      <c r="CZ58" s="1092"/>
      <c r="DA58" s="1092"/>
      <c r="DB58" s="1092"/>
      <c r="DC58" s="1092"/>
      <c r="DD58" s="1092"/>
      <c r="DE58" s="1092"/>
      <c r="DF58" s="1092"/>
      <c r="DG58" s="1092"/>
      <c r="DH58" s="1092"/>
      <c r="DI58" s="1092"/>
      <c r="DJ58" s="1092"/>
      <c r="DK58" s="1092"/>
      <c r="DL58" s="1092"/>
      <c r="DM58" s="1092"/>
      <c r="DN58" s="1092"/>
      <c r="DO58" s="1092"/>
      <c r="DP58" s="1092"/>
      <c r="DQ58" s="1092"/>
      <c r="DR58" s="1092"/>
      <c r="DS58" s="1092"/>
      <c r="DT58" s="1092"/>
      <c r="DU58" s="1092"/>
      <c r="DV58" s="1092"/>
      <c r="DW58" s="1092"/>
      <c r="DX58" s="1092"/>
      <c r="DY58" s="1092"/>
      <c r="DZ58" s="1092"/>
      <c r="EA58" s="1092"/>
      <c r="EB58" s="1092"/>
      <c r="EC58" s="1092"/>
      <c r="ED58" s="1092"/>
      <c r="EE58" s="1092"/>
      <c r="EF58" s="1092"/>
      <c r="EG58" s="1092"/>
      <c r="EH58" s="1092"/>
      <c r="EI58" s="1092"/>
      <c r="EJ58" s="1092"/>
      <c r="EK58" s="1092"/>
      <c r="EL58" s="1092"/>
      <c r="EM58" s="1092"/>
      <c r="EN58" s="1092"/>
      <c r="EO58" s="1092"/>
      <c r="EP58" s="1092"/>
      <c r="EQ58" s="1092"/>
      <c r="ER58" s="1092"/>
      <c r="ES58" s="1092"/>
      <c r="ET58" s="1092"/>
      <c r="EU58" s="1092"/>
      <c r="EV58" s="1092"/>
      <c r="EW58" s="1092"/>
      <c r="EX58" s="1092"/>
      <c r="EY58" s="1092"/>
      <c r="EZ58" s="1092"/>
      <c r="FA58" s="1092"/>
      <c r="FB58" s="1092"/>
      <c r="FC58" s="1092"/>
      <c r="FD58" s="1092"/>
      <c r="FE58" s="1092"/>
      <c r="FF58" s="1092"/>
      <c r="FG58" s="1092"/>
      <c r="FH58" s="1092"/>
      <c r="FI58" s="1092"/>
      <c r="FJ58" s="1092"/>
      <c r="FK58" s="1092"/>
      <c r="FL58" s="1092"/>
      <c r="FM58" s="1092"/>
      <c r="FN58" s="1092"/>
      <c r="FO58" s="1092"/>
      <c r="FP58" s="1092"/>
      <c r="FQ58" s="1092"/>
      <c r="FR58" s="1092"/>
      <c r="FS58" s="1092"/>
      <c r="FT58" s="1092"/>
      <c r="FU58" s="1092"/>
      <c r="FV58" s="1092"/>
      <c r="FW58" s="1092"/>
      <c r="FX58" s="1092"/>
      <c r="FY58" s="1092"/>
      <c r="FZ58" s="1092"/>
      <c r="GA58" s="1092"/>
      <c r="GB58" s="1092"/>
      <c r="GC58" s="1092"/>
      <c r="GD58" s="1092"/>
      <c r="GE58" s="1092"/>
      <c r="GF58" s="1092"/>
      <c r="GG58" s="1092"/>
      <c r="GH58" s="1092"/>
      <c r="GI58" s="1092"/>
      <c r="GJ58" s="1092"/>
      <c r="GK58" s="1092"/>
      <c r="GL58" s="1092"/>
      <c r="GM58" s="1092"/>
      <c r="GN58" s="1092"/>
      <c r="GO58" s="1092"/>
    </row>
  </sheetData>
  <mergeCells count="19">
    <mergeCell ref="V36:Y36"/>
    <mergeCell ref="A1:BK1"/>
    <mergeCell ref="A3:A8"/>
    <mergeCell ref="P5:R7"/>
    <mergeCell ref="AC16:AD17"/>
    <mergeCell ref="AZ19:BB21"/>
    <mergeCell ref="N21:O21"/>
    <mergeCell ref="BB24:BB25"/>
    <mergeCell ref="N25:O25"/>
    <mergeCell ref="AF25:AG25"/>
    <mergeCell ref="AL25:AM25"/>
    <mergeCell ref="S32:T32"/>
    <mergeCell ref="AL37:AM37"/>
    <mergeCell ref="L43:R44"/>
    <mergeCell ref="AD45:AF49"/>
    <mergeCell ref="AI49:AP52"/>
    <mergeCell ref="AT49:AU50"/>
    <mergeCell ref="AF50:AH52"/>
    <mergeCell ref="AU51:AV52"/>
  </mergeCells>
  <phoneticPr fontId="0" type="noConversion"/>
  <conditionalFormatting sqref="K13">
    <cfRule type="expression" dxfId="69" priority="1">
      <formula>IF(N13="DESC",1,0)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/>
  <dimension ref="A1:GO457"/>
  <sheetViews>
    <sheetView zoomScale="40" zoomScaleNormal="40" workbookViewId="0">
      <selection activeCell="K13" sqref="K13"/>
    </sheetView>
  </sheetViews>
  <sheetFormatPr baseColWidth="10" defaultColWidth="16.7109375" defaultRowHeight="15"/>
  <sheetData>
    <row r="1" spans="1:197" ht="34.5" thickBot="1">
      <c r="A1" s="860" t="s">
        <v>119</v>
      </c>
      <c r="B1" s="861"/>
      <c r="C1" s="861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  <c r="O1" s="861"/>
      <c r="P1" s="861"/>
      <c r="Q1" s="861"/>
      <c r="R1" s="861"/>
      <c r="S1" s="861"/>
      <c r="T1" s="861"/>
      <c r="U1" s="861"/>
      <c r="V1" s="861"/>
      <c r="W1" s="861"/>
      <c r="X1" s="861"/>
      <c r="Y1" s="861"/>
      <c r="Z1" s="861"/>
      <c r="AA1" s="861"/>
      <c r="AB1" s="861"/>
      <c r="AC1" s="861"/>
      <c r="AD1" s="861"/>
      <c r="AE1" s="861"/>
      <c r="AF1" s="861"/>
      <c r="AG1" s="861"/>
      <c r="AH1" s="861"/>
      <c r="AI1" s="861"/>
      <c r="AJ1" s="861"/>
      <c r="AK1" s="861"/>
      <c r="AL1" s="861"/>
      <c r="AM1" s="861"/>
      <c r="AN1" s="861"/>
      <c r="AO1" s="861"/>
      <c r="AP1" s="861"/>
      <c r="AQ1" s="861"/>
      <c r="AR1" s="861"/>
      <c r="AS1" s="861"/>
      <c r="AT1" s="861"/>
      <c r="AU1" s="861"/>
      <c r="AV1" s="861"/>
      <c r="AW1" s="861"/>
      <c r="AX1" s="861"/>
      <c r="AY1" s="861"/>
      <c r="AZ1" s="861"/>
      <c r="BA1" s="861"/>
      <c r="BB1" s="861"/>
      <c r="BC1" s="861"/>
      <c r="BD1" s="861"/>
      <c r="BE1" s="861"/>
      <c r="BF1" s="861"/>
      <c r="BG1" s="861"/>
      <c r="BH1" s="861"/>
      <c r="BI1" s="861"/>
      <c r="BJ1" s="861"/>
      <c r="BK1" s="862"/>
      <c r="BL1" s="55"/>
      <c r="BM1" s="55"/>
      <c r="BN1" s="55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6"/>
      <c r="DF1" s="56"/>
      <c r="DG1" s="56"/>
      <c r="DH1" s="56"/>
      <c r="DI1" s="56"/>
      <c r="DJ1" s="56"/>
      <c r="DK1" s="56"/>
      <c r="DL1" s="56"/>
      <c r="DM1" s="56"/>
      <c r="DN1" s="56"/>
      <c r="DO1" s="56"/>
      <c r="DP1" s="56"/>
      <c r="DQ1" s="56"/>
      <c r="DR1" s="56"/>
      <c r="DS1" s="56"/>
      <c r="DT1" s="56"/>
      <c r="DU1" s="56"/>
      <c r="DV1" s="56"/>
      <c r="DW1" s="56"/>
      <c r="DX1" s="56"/>
      <c r="DY1" s="56"/>
      <c r="DZ1" s="56"/>
      <c r="EA1" s="56"/>
      <c r="EB1" s="56"/>
      <c r="EC1" s="56"/>
      <c r="ED1" s="56"/>
      <c r="EE1" s="56"/>
      <c r="EF1" s="56"/>
      <c r="EG1" s="56"/>
      <c r="EH1" s="56"/>
      <c r="EI1" s="56"/>
      <c r="EJ1" s="56"/>
      <c r="EK1" s="56"/>
      <c r="EL1" s="56"/>
      <c r="EM1" s="56"/>
      <c r="EN1" s="56"/>
      <c r="EO1" s="56"/>
      <c r="EP1" s="56"/>
      <c r="EQ1" s="56"/>
      <c r="ER1" s="56"/>
      <c r="ES1" s="56"/>
      <c r="ET1" s="56"/>
      <c r="EU1" s="56"/>
      <c r="EV1" s="56"/>
      <c r="EW1" s="56"/>
      <c r="EX1" s="56"/>
      <c r="EY1" s="56"/>
      <c r="EZ1" s="56"/>
      <c r="FA1" s="56"/>
      <c r="FB1" s="56"/>
      <c r="FC1" s="56"/>
      <c r="FD1" s="56"/>
      <c r="FE1" s="56"/>
      <c r="FF1" s="56"/>
      <c r="FG1" s="56"/>
      <c r="FH1" s="56"/>
      <c r="FI1" s="56"/>
      <c r="FJ1" s="56"/>
      <c r="FK1" s="56"/>
      <c r="FL1" s="56"/>
      <c r="FM1" s="56"/>
      <c r="FN1" s="56"/>
      <c r="FO1" s="56"/>
      <c r="FP1" s="56"/>
      <c r="FQ1" s="56"/>
      <c r="FR1" s="56"/>
      <c r="FS1" s="56"/>
      <c r="FT1" s="56"/>
      <c r="FU1" s="56"/>
      <c r="FV1" s="56"/>
      <c r="FW1" s="56"/>
      <c r="FX1" s="56"/>
      <c r="FY1" s="56"/>
      <c r="FZ1" s="56"/>
      <c r="GA1" s="56"/>
      <c r="GB1" s="56"/>
      <c r="GC1" s="56"/>
      <c r="GD1" s="56"/>
      <c r="GE1" s="56"/>
      <c r="GF1" s="56"/>
      <c r="GG1" s="56"/>
      <c r="GH1" s="56"/>
      <c r="GI1" s="56"/>
      <c r="GJ1" s="56"/>
      <c r="GK1" s="56"/>
      <c r="GL1" s="56"/>
      <c r="GM1" s="56"/>
      <c r="GN1" s="56"/>
      <c r="GO1" s="56"/>
    </row>
    <row r="2" spans="1:197" ht="15.75" thickBot="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58"/>
      <c r="P2" s="58"/>
      <c r="Q2" s="58"/>
      <c r="R2" s="58"/>
      <c r="S2" s="58"/>
      <c r="T2" s="59"/>
      <c r="U2" s="59"/>
      <c r="V2" s="60"/>
      <c r="W2" s="60"/>
      <c r="X2" s="60"/>
      <c r="Y2" s="60"/>
      <c r="Z2" s="60"/>
      <c r="AA2" s="60"/>
      <c r="AB2" s="59"/>
      <c r="AC2" s="60"/>
      <c r="AD2" s="60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56"/>
      <c r="FF2" s="56"/>
      <c r="FG2" s="56"/>
      <c r="FH2" s="56"/>
      <c r="FI2" s="56"/>
      <c r="FJ2" s="56"/>
      <c r="FK2" s="56"/>
      <c r="FL2" s="56"/>
      <c r="FM2" s="56"/>
      <c r="FN2" s="56"/>
      <c r="FO2" s="56"/>
      <c r="FP2" s="56"/>
      <c r="FQ2" s="56"/>
      <c r="FR2" s="56"/>
      <c r="FS2" s="56"/>
      <c r="FT2" s="56"/>
      <c r="FU2" s="56"/>
      <c r="FV2" s="56"/>
      <c r="FW2" s="56"/>
      <c r="FX2" s="56"/>
      <c r="FY2" s="56"/>
      <c r="FZ2" s="56"/>
      <c r="GA2" s="56"/>
      <c r="GB2" s="56"/>
      <c r="GC2" s="56"/>
      <c r="GD2" s="56"/>
      <c r="GE2" s="56"/>
      <c r="GF2" s="56"/>
      <c r="GG2" s="56"/>
      <c r="GH2" s="56"/>
      <c r="GI2" s="56"/>
      <c r="GJ2" s="56"/>
      <c r="GK2" s="56"/>
      <c r="GL2" s="56"/>
      <c r="GM2" s="56"/>
      <c r="GN2" s="56"/>
      <c r="GO2" s="56"/>
    </row>
    <row r="3" spans="1:197" ht="15" customHeight="1">
      <c r="A3" s="863" t="s">
        <v>120</v>
      </c>
      <c r="B3" s="61" t="s">
        <v>121</v>
      </c>
      <c r="C3" s="61" t="s">
        <v>121</v>
      </c>
      <c r="D3" s="61" t="s">
        <v>121</v>
      </c>
      <c r="E3" s="61" t="s">
        <v>121</v>
      </c>
      <c r="F3" s="62" t="s">
        <v>122</v>
      </c>
      <c r="G3" s="62" t="s">
        <v>122</v>
      </c>
      <c r="H3" s="62" t="s">
        <v>122</v>
      </c>
      <c r="I3" s="62" t="s">
        <v>122</v>
      </c>
      <c r="J3" s="62" t="s">
        <v>122</v>
      </c>
      <c r="K3" s="62" t="s">
        <v>122</v>
      </c>
      <c r="L3" s="62" t="s">
        <v>122</v>
      </c>
      <c r="M3" s="62" t="s">
        <v>122</v>
      </c>
      <c r="N3" s="63"/>
      <c r="O3" s="64"/>
      <c r="P3" s="64"/>
      <c r="Q3" s="64"/>
      <c r="R3" s="64"/>
      <c r="S3" s="64"/>
      <c r="T3" s="65" t="s">
        <v>123</v>
      </c>
      <c r="U3" s="65" t="s">
        <v>123</v>
      </c>
      <c r="V3" s="65" t="s">
        <v>123</v>
      </c>
      <c r="W3" s="65" t="s">
        <v>123</v>
      </c>
      <c r="X3" s="66"/>
      <c r="Y3" s="66"/>
      <c r="Z3" s="66"/>
      <c r="AA3" s="64"/>
      <c r="AB3" s="64"/>
      <c r="AC3" s="64"/>
      <c r="AD3" s="67"/>
      <c r="AE3" s="68"/>
      <c r="AF3" s="69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1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  <c r="DX3" s="56"/>
      <c r="DY3" s="56"/>
      <c r="DZ3" s="56"/>
      <c r="EA3" s="56"/>
      <c r="EB3" s="56"/>
      <c r="EC3" s="56"/>
      <c r="ED3" s="56"/>
      <c r="EE3" s="56"/>
      <c r="EF3" s="56"/>
      <c r="EG3" s="56"/>
      <c r="EH3" s="56"/>
      <c r="EI3" s="56"/>
      <c r="EJ3" s="56"/>
      <c r="EK3" s="56"/>
      <c r="EL3" s="56"/>
      <c r="EM3" s="56"/>
      <c r="EN3" s="56"/>
      <c r="EO3" s="56"/>
      <c r="EP3" s="56"/>
      <c r="EQ3" s="56"/>
      <c r="ER3" s="56"/>
      <c r="ES3" s="56"/>
      <c r="ET3" s="56"/>
      <c r="EU3" s="56"/>
      <c r="EV3" s="56"/>
      <c r="EW3" s="56"/>
      <c r="EX3" s="56"/>
      <c r="EY3" s="56"/>
      <c r="EZ3" s="56"/>
      <c r="FA3" s="56"/>
      <c r="FB3" s="56"/>
      <c r="FC3" s="56"/>
      <c r="FD3" s="56"/>
      <c r="FE3" s="56"/>
      <c r="FF3" s="56"/>
      <c r="FG3" s="56"/>
      <c r="FH3" s="56"/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6"/>
      <c r="FT3" s="56"/>
      <c r="FU3" s="56"/>
      <c r="FV3" s="56"/>
      <c r="FW3" s="56"/>
      <c r="FX3" s="56"/>
      <c r="FY3" s="56"/>
      <c r="FZ3" s="56"/>
      <c r="GA3" s="56"/>
      <c r="GB3" s="56"/>
      <c r="GC3" s="56"/>
      <c r="GD3" s="56"/>
      <c r="GE3" s="56"/>
      <c r="GF3" s="56"/>
      <c r="GG3" s="56"/>
      <c r="GH3" s="56"/>
      <c r="GI3" s="56"/>
      <c r="GJ3" s="56"/>
      <c r="GK3" s="56"/>
      <c r="GL3" s="56"/>
      <c r="GM3" s="56"/>
      <c r="GN3" s="56"/>
      <c r="GO3" s="56"/>
    </row>
    <row r="4" spans="1:197" ht="19.5" thickBot="1">
      <c r="A4" s="864"/>
      <c r="B4" s="58"/>
      <c r="C4" s="56"/>
      <c r="D4" s="72"/>
      <c r="E4" s="72"/>
      <c r="F4" s="72"/>
      <c r="G4" s="72"/>
      <c r="H4" s="72"/>
      <c r="I4" s="72"/>
      <c r="J4" s="72"/>
      <c r="K4" s="72"/>
      <c r="L4" s="72"/>
      <c r="M4" s="58"/>
      <c r="N4" s="73"/>
      <c r="O4" s="74"/>
      <c r="P4" s="74"/>
      <c r="Q4" s="74"/>
      <c r="R4" s="74"/>
      <c r="S4" s="74"/>
      <c r="T4" s="75"/>
      <c r="U4" s="76"/>
      <c r="V4" s="76"/>
      <c r="W4" s="75"/>
      <c r="X4" s="74"/>
      <c r="Y4" s="56"/>
      <c r="Z4" s="56"/>
      <c r="AA4" s="74"/>
      <c r="AB4" s="74"/>
      <c r="AC4" s="77"/>
      <c r="AD4" s="78"/>
      <c r="AE4" s="68"/>
      <c r="AF4" s="79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56"/>
      <c r="BJ4" s="57"/>
      <c r="BK4" s="81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56"/>
      <c r="DN4" s="56"/>
      <c r="DO4" s="56"/>
      <c r="DP4" s="56"/>
      <c r="DQ4" s="56"/>
      <c r="DR4" s="56"/>
      <c r="DS4" s="56"/>
      <c r="DT4" s="56"/>
      <c r="DU4" s="56"/>
      <c r="DV4" s="56"/>
      <c r="DW4" s="56"/>
      <c r="DX4" s="56"/>
      <c r="DY4" s="56"/>
      <c r="DZ4" s="56"/>
      <c r="EA4" s="56"/>
      <c r="EB4" s="56"/>
      <c r="EC4" s="56"/>
      <c r="ED4" s="56"/>
      <c r="EE4" s="56"/>
      <c r="EF4" s="56"/>
      <c r="EG4" s="56"/>
      <c r="EH4" s="56"/>
      <c r="EI4" s="56"/>
      <c r="EJ4" s="56"/>
      <c r="EK4" s="56"/>
      <c r="EL4" s="56"/>
      <c r="EM4" s="56"/>
      <c r="EN4" s="56"/>
      <c r="EO4" s="56"/>
      <c r="EP4" s="56"/>
      <c r="EQ4" s="56"/>
      <c r="ER4" s="56"/>
      <c r="ES4" s="56"/>
      <c r="ET4" s="56"/>
      <c r="EU4" s="56"/>
      <c r="EV4" s="56"/>
      <c r="EW4" s="56"/>
      <c r="EX4" s="56"/>
      <c r="EY4" s="56"/>
      <c r="EZ4" s="56"/>
      <c r="FA4" s="56"/>
      <c r="FB4" s="56"/>
      <c r="FC4" s="56"/>
      <c r="FD4" s="56"/>
      <c r="FE4" s="56"/>
      <c r="FF4" s="56"/>
      <c r="FG4" s="56"/>
      <c r="FH4" s="56"/>
      <c r="FI4" s="56"/>
      <c r="FJ4" s="56"/>
      <c r="FK4" s="56"/>
      <c r="FL4" s="56"/>
      <c r="FM4" s="56"/>
      <c r="FN4" s="56"/>
      <c r="FO4" s="56"/>
      <c r="FP4" s="56"/>
      <c r="FQ4" s="56"/>
      <c r="FR4" s="56"/>
      <c r="FS4" s="56"/>
      <c r="FT4" s="56"/>
      <c r="FU4" s="56"/>
      <c r="FV4" s="56"/>
      <c r="FW4" s="56"/>
      <c r="FX4" s="56"/>
      <c r="FY4" s="56"/>
      <c r="FZ4" s="56"/>
      <c r="GA4" s="56"/>
      <c r="GB4" s="56"/>
      <c r="GC4" s="56"/>
      <c r="GD4" s="56"/>
      <c r="GE4" s="56"/>
      <c r="GF4" s="56"/>
      <c r="GG4" s="56"/>
      <c r="GH4" s="56"/>
      <c r="GI4" s="56"/>
      <c r="GJ4" s="56"/>
      <c r="GK4" s="56"/>
      <c r="GL4" s="56"/>
      <c r="GM4" s="56"/>
      <c r="GN4" s="56"/>
      <c r="GO4" s="56"/>
    </row>
    <row r="5" spans="1:197" ht="15.75">
      <c r="A5" s="864"/>
      <c r="B5" s="82" t="s">
        <v>124</v>
      </c>
      <c r="C5" s="56"/>
      <c r="D5" s="56"/>
      <c r="E5" s="56"/>
      <c r="F5" s="56"/>
      <c r="G5" s="56"/>
      <c r="H5" s="56"/>
      <c r="I5" s="56"/>
      <c r="J5" s="56"/>
      <c r="K5" s="56"/>
      <c r="L5" s="72"/>
      <c r="M5" s="58"/>
      <c r="N5" s="83"/>
      <c r="O5" s="56"/>
      <c r="P5" s="865" t="s">
        <v>125</v>
      </c>
      <c r="Q5" s="866"/>
      <c r="R5" s="867"/>
      <c r="S5" s="84"/>
      <c r="T5" s="76"/>
      <c r="U5" s="85"/>
      <c r="V5" s="85"/>
      <c r="W5" s="76"/>
      <c r="X5" s="86"/>
      <c r="Y5" s="56"/>
      <c r="Z5" s="56"/>
      <c r="AA5" s="87"/>
      <c r="AB5" s="87"/>
      <c r="AC5" s="77"/>
      <c r="AD5" s="78"/>
      <c r="AE5" s="68"/>
      <c r="AF5" s="79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56"/>
      <c r="BJ5" s="57"/>
      <c r="BK5" s="81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6"/>
      <c r="DJ5" s="56"/>
      <c r="DK5" s="56"/>
      <c r="DL5" s="56"/>
      <c r="DM5" s="56"/>
      <c r="DN5" s="56"/>
      <c r="DO5" s="56"/>
      <c r="DP5" s="56"/>
      <c r="DQ5" s="56"/>
      <c r="DR5" s="56"/>
      <c r="DS5" s="56"/>
      <c r="DT5" s="56"/>
      <c r="DU5" s="56"/>
      <c r="DV5" s="56"/>
      <c r="DW5" s="56"/>
      <c r="DX5" s="56"/>
      <c r="DY5" s="56"/>
      <c r="DZ5" s="56"/>
      <c r="EA5" s="56"/>
      <c r="EB5" s="56"/>
      <c r="EC5" s="56"/>
      <c r="ED5" s="56"/>
      <c r="EE5" s="56"/>
      <c r="EF5" s="56"/>
      <c r="EG5" s="56"/>
      <c r="EH5" s="56"/>
      <c r="EI5" s="56"/>
      <c r="EJ5" s="56"/>
      <c r="EK5" s="56"/>
      <c r="EL5" s="56"/>
      <c r="EM5" s="56"/>
      <c r="EN5" s="56"/>
      <c r="EO5" s="56"/>
      <c r="EP5" s="56"/>
      <c r="EQ5" s="56"/>
      <c r="ER5" s="56"/>
      <c r="ES5" s="56"/>
      <c r="ET5" s="56"/>
      <c r="EU5" s="56"/>
      <c r="EV5" s="56"/>
      <c r="EW5" s="56"/>
      <c r="EX5" s="56"/>
      <c r="EY5" s="56"/>
      <c r="EZ5" s="56"/>
      <c r="FA5" s="56"/>
      <c r="FB5" s="56"/>
      <c r="FC5" s="56"/>
      <c r="FD5" s="56"/>
      <c r="FE5" s="56"/>
      <c r="FF5" s="56"/>
      <c r="FG5" s="56"/>
      <c r="FH5" s="56"/>
      <c r="FI5" s="56"/>
      <c r="FJ5" s="56"/>
      <c r="FK5" s="56"/>
      <c r="FL5" s="56"/>
      <c r="FM5" s="56"/>
      <c r="FN5" s="56"/>
      <c r="FO5" s="56"/>
      <c r="FP5" s="56"/>
      <c r="FQ5" s="56"/>
      <c r="FR5" s="56"/>
      <c r="FS5" s="56"/>
      <c r="FT5" s="56"/>
      <c r="FU5" s="56"/>
      <c r="FV5" s="56"/>
      <c r="FW5" s="56"/>
      <c r="FX5" s="56"/>
      <c r="FY5" s="56"/>
      <c r="FZ5" s="56"/>
      <c r="GA5" s="56"/>
      <c r="GB5" s="56"/>
      <c r="GC5" s="56"/>
      <c r="GD5" s="56"/>
      <c r="GE5" s="56"/>
      <c r="GF5" s="56"/>
      <c r="GG5" s="56"/>
      <c r="GH5" s="56"/>
      <c r="GI5" s="56"/>
      <c r="GJ5" s="56"/>
      <c r="GK5" s="56"/>
      <c r="GL5" s="56"/>
      <c r="GM5" s="56"/>
      <c r="GN5" s="56"/>
      <c r="GO5" s="56"/>
    </row>
    <row r="6" spans="1:197">
      <c r="A6" s="864"/>
      <c r="B6" s="58"/>
      <c r="C6" s="56"/>
      <c r="D6" s="56"/>
      <c r="E6" s="56"/>
      <c r="F6" s="56"/>
      <c r="G6" s="56"/>
      <c r="H6" s="56"/>
      <c r="J6" s="56"/>
      <c r="K6" s="56"/>
      <c r="L6" s="58"/>
      <c r="M6" s="58"/>
      <c r="N6" s="83"/>
      <c r="O6" s="56"/>
      <c r="P6" s="868"/>
      <c r="Q6" s="869"/>
      <c r="R6" s="870"/>
      <c r="S6" s="84"/>
      <c r="T6" s="88"/>
      <c r="U6" s="88"/>
      <c r="V6" s="88"/>
      <c r="W6" s="88"/>
      <c r="X6" s="86"/>
      <c r="Y6" s="56"/>
      <c r="Z6" s="56"/>
      <c r="AA6" s="74"/>
      <c r="AB6" s="89"/>
      <c r="AC6" s="77"/>
      <c r="AD6" s="78"/>
      <c r="AE6" s="68"/>
      <c r="AF6" s="79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56"/>
      <c r="BJ6" s="57"/>
      <c r="BK6" s="81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  <c r="EY6" s="56"/>
      <c r="EZ6" s="56"/>
      <c r="FA6" s="56"/>
      <c r="FB6" s="56"/>
      <c r="FC6" s="56"/>
      <c r="FD6" s="56"/>
      <c r="FE6" s="56"/>
      <c r="FF6" s="56"/>
      <c r="FG6" s="56"/>
      <c r="FH6" s="56"/>
      <c r="FI6" s="56"/>
      <c r="FJ6" s="56"/>
      <c r="FK6" s="56"/>
      <c r="FL6" s="56"/>
      <c r="FM6" s="56"/>
      <c r="FN6" s="56"/>
      <c r="FO6" s="56"/>
      <c r="FP6" s="56"/>
      <c r="FQ6" s="56"/>
      <c r="FR6" s="56"/>
      <c r="FS6" s="56"/>
      <c r="FT6" s="56"/>
      <c r="FU6" s="56"/>
      <c r="FV6" s="56"/>
      <c r="FW6" s="56"/>
      <c r="FX6" s="56"/>
      <c r="FY6" s="56"/>
      <c r="FZ6" s="56"/>
      <c r="GA6" s="56"/>
      <c r="GB6" s="56"/>
      <c r="GC6" s="56"/>
      <c r="GD6" s="56"/>
      <c r="GE6" s="56"/>
      <c r="GF6" s="56"/>
      <c r="GG6" s="56"/>
      <c r="GH6" s="56"/>
      <c r="GI6" s="56"/>
      <c r="GJ6" s="56"/>
      <c r="GK6" s="56"/>
      <c r="GL6" s="56"/>
      <c r="GM6" s="56"/>
      <c r="GN6" s="56"/>
      <c r="GO6" s="56"/>
    </row>
    <row r="7" spans="1:197" ht="16.5" thickBot="1">
      <c r="A7" s="864"/>
      <c r="B7" s="90" t="s">
        <v>126</v>
      </c>
      <c r="C7" s="56"/>
      <c r="D7" s="56"/>
      <c r="E7" s="56"/>
      <c r="F7" s="56"/>
      <c r="G7" s="56"/>
      <c r="H7" s="56"/>
      <c r="J7" s="56"/>
      <c r="K7" s="56"/>
      <c r="L7" s="58"/>
      <c r="M7" s="58"/>
      <c r="N7" s="83"/>
      <c r="O7" s="56"/>
      <c r="P7" s="871"/>
      <c r="Q7" s="872"/>
      <c r="R7" s="873"/>
      <c r="S7" s="84"/>
      <c r="T7" s="76"/>
      <c r="U7" s="85"/>
      <c r="V7" s="85"/>
      <c r="W7" s="76"/>
      <c r="X7" s="86"/>
      <c r="Y7" s="74"/>
      <c r="Z7" s="74"/>
      <c r="AA7" s="74"/>
      <c r="AB7" s="74"/>
      <c r="AC7" s="77"/>
      <c r="AD7" s="78"/>
      <c r="AE7" s="68"/>
      <c r="AF7" s="79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56"/>
      <c r="BJ7" s="57"/>
      <c r="BK7" s="81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  <c r="EY7" s="56"/>
      <c r="EZ7" s="56"/>
      <c r="FA7" s="56"/>
      <c r="FB7" s="56"/>
      <c r="FC7" s="56"/>
      <c r="FD7" s="56"/>
      <c r="FE7" s="56"/>
      <c r="FF7" s="56"/>
      <c r="FG7" s="56"/>
      <c r="FH7" s="56"/>
      <c r="FI7" s="56"/>
      <c r="FJ7" s="56"/>
      <c r="FK7" s="56"/>
      <c r="FL7" s="56"/>
      <c r="FM7" s="56"/>
      <c r="FN7" s="56"/>
      <c r="FO7" s="56"/>
      <c r="FP7" s="56"/>
      <c r="FQ7" s="56"/>
      <c r="FR7" s="56"/>
      <c r="FS7" s="56"/>
      <c r="FT7" s="56"/>
      <c r="FU7" s="56"/>
      <c r="FV7" s="56"/>
      <c r="FW7" s="56"/>
      <c r="FX7" s="56"/>
      <c r="FY7" s="56"/>
      <c r="FZ7" s="56"/>
      <c r="GA7" s="56"/>
      <c r="GB7" s="56"/>
      <c r="GC7" s="56"/>
      <c r="GD7" s="56"/>
      <c r="GE7" s="56"/>
      <c r="GF7" s="56"/>
      <c r="GG7" s="56"/>
      <c r="GH7" s="56"/>
      <c r="GI7" s="56"/>
      <c r="GJ7" s="56"/>
      <c r="GK7" s="56"/>
      <c r="GL7" s="56"/>
      <c r="GM7" s="56"/>
      <c r="GN7" s="56"/>
      <c r="GO7" s="56"/>
    </row>
    <row r="8" spans="1:197">
      <c r="A8" s="864"/>
      <c r="B8" s="58"/>
      <c r="C8" s="58"/>
      <c r="D8" s="72"/>
      <c r="E8" s="72"/>
      <c r="F8" s="72"/>
      <c r="G8" s="56"/>
      <c r="H8" s="56"/>
      <c r="I8" s="56"/>
      <c r="J8" s="56"/>
      <c r="K8" s="56"/>
      <c r="L8" s="58"/>
      <c r="M8" s="58"/>
      <c r="N8" s="83"/>
      <c r="O8" s="56"/>
      <c r="P8" s="56"/>
      <c r="Q8" s="56"/>
      <c r="R8" s="56"/>
      <c r="S8" s="84"/>
      <c r="T8" s="88"/>
      <c r="U8" s="88"/>
      <c r="V8" s="88"/>
      <c r="W8" s="88"/>
      <c r="X8" s="86"/>
      <c r="Y8" s="56"/>
      <c r="Z8" s="56"/>
      <c r="AA8" s="74"/>
      <c r="AB8" s="74"/>
      <c r="AC8" s="91"/>
      <c r="AD8" s="78"/>
      <c r="AE8" s="68"/>
      <c r="AF8" s="79"/>
      <c r="AG8" s="80"/>
      <c r="AH8" s="80"/>
      <c r="AI8" s="80"/>
      <c r="AJ8" s="80"/>
      <c r="AK8" s="80"/>
      <c r="AL8" s="80"/>
      <c r="AM8" s="56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56"/>
      <c r="BJ8" s="57"/>
      <c r="BK8" s="81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  <c r="CX8" s="56"/>
      <c r="CY8" s="56"/>
      <c r="CZ8" s="56"/>
      <c r="DA8" s="56"/>
      <c r="DB8" s="56"/>
      <c r="DC8" s="56"/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56"/>
      <c r="DP8" s="56"/>
      <c r="DQ8" s="56"/>
      <c r="DR8" s="56"/>
      <c r="DS8" s="56"/>
      <c r="DT8" s="56"/>
      <c r="DU8" s="56"/>
      <c r="DV8" s="56"/>
      <c r="DW8" s="56"/>
      <c r="DX8" s="56"/>
      <c r="DY8" s="56"/>
      <c r="DZ8" s="56"/>
      <c r="EA8" s="56"/>
      <c r="EB8" s="56"/>
      <c r="EC8" s="56"/>
      <c r="ED8" s="56"/>
      <c r="EE8" s="56"/>
      <c r="EF8" s="56"/>
      <c r="EG8" s="56"/>
      <c r="EH8" s="56"/>
      <c r="EI8" s="56"/>
      <c r="EJ8" s="56"/>
      <c r="EK8" s="56"/>
      <c r="EL8" s="56"/>
      <c r="EM8" s="56"/>
      <c r="EN8" s="56"/>
      <c r="EO8" s="56"/>
      <c r="EP8" s="56"/>
      <c r="EQ8" s="56"/>
      <c r="ER8" s="56"/>
      <c r="ES8" s="56"/>
      <c r="ET8" s="56"/>
      <c r="EU8" s="56"/>
      <c r="EV8" s="56"/>
      <c r="EW8" s="56"/>
      <c r="EX8" s="56"/>
      <c r="EY8" s="56"/>
      <c r="EZ8" s="56"/>
      <c r="FA8" s="56"/>
      <c r="FB8" s="56"/>
      <c r="FC8" s="56"/>
      <c r="FD8" s="56"/>
      <c r="FE8" s="56"/>
      <c r="FF8" s="56"/>
      <c r="FG8" s="56"/>
      <c r="FH8" s="56"/>
      <c r="FI8" s="56"/>
      <c r="FJ8" s="56"/>
      <c r="FK8" s="56"/>
      <c r="FL8" s="56"/>
      <c r="FM8" s="56"/>
      <c r="FN8" s="56"/>
      <c r="FO8" s="56"/>
      <c r="FP8" s="56"/>
      <c r="FQ8" s="56"/>
      <c r="FR8" s="56"/>
      <c r="FS8" s="56"/>
      <c r="FT8" s="56"/>
      <c r="FU8" s="56"/>
      <c r="FV8" s="56"/>
      <c r="FW8" s="56"/>
      <c r="FX8" s="56"/>
      <c r="FY8" s="56"/>
      <c r="FZ8" s="56"/>
      <c r="GA8" s="56"/>
      <c r="GB8" s="56"/>
      <c r="GC8" s="56"/>
      <c r="GD8" s="56"/>
      <c r="GE8" s="56"/>
      <c r="GF8" s="56"/>
      <c r="GG8" s="56"/>
      <c r="GH8" s="56"/>
      <c r="GI8" s="56"/>
      <c r="GJ8" s="56"/>
      <c r="GK8" s="56"/>
      <c r="GL8" s="56"/>
      <c r="GM8" s="56"/>
      <c r="GN8" s="56"/>
      <c r="GO8" s="56"/>
    </row>
    <row r="9" spans="1:197" ht="15.75">
      <c r="A9" s="92"/>
      <c r="B9" s="82" t="s">
        <v>124</v>
      </c>
      <c r="C9" s="58"/>
      <c r="D9" s="72"/>
      <c r="E9" s="72"/>
      <c r="F9" s="72"/>
      <c r="G9" s="72"/>
      <c r="H9" s="72"/>
      <c r="I9" s="72"/>
      <c r="J9" s="72"/>
      <c r="K9" s="72"/>
      <c r="L9" s="72"/>
      <c r="M9" s="58"/>
      <c r="N9" s="83"/>
      <c r="O9" s="56"/>
      <c r="P9" s="56"/>
      <c r="Q9" s="56"/>
      <c r="R9" s="56"/>
      <c r="S9" s="84"/>
      <c r="T9" s="76"/>
      <c r="U9" s="85"/>
      <c r="V9" s="85"/>
      <c r="W9" s="76"/>
      <c r="X9" s="86"/>
      <c r="Y9" s="56"/>
      <c r="Z9" s="56"/>
      <c r="AA9" s="56"/>
      <c r="AB9" s="74"/>
      <c r="AC9" s="91"/>
      <c r="AD9" s="78"/>
      <c r="AE9" s="68"/>
      <c r="AF9" s="79"/>
      <c r="AG9" s="80"/>
      <c r="AH9" s="80"/>
      <c r="AI9" s="56"/>
      <c r="AJ9" s="80"/>
      <c r="AK9" s="80"/>
      <c r="AL9" s="80"/>
      <c r="AM9" s="56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56"/>
      <c r="BJ9" s="57"/>
      <c r="BK9" s="81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  <c r="EK9" s="56"/>
      <c r="EL9" s="56"/>
      <c r="EM9" s="56"/>
      <c r="EN9" s="56"/>
      <c r="EO9" s="56"/>
      <c r="EP9" s="56"/>
      <c r="EQ9" s="56"/>
      <c r="ER9" s="56"/>
      <c r="ES9" s="56"/>
      <c r="ET9" s="56"/>
      <c r="EU9" s="56"/>
      <c r="EV9" s="56"/>
      <c r="EW9" s="56"/>
      <c r="EX9" s="56"/>
      <c r="EY9" s="56"/>
      <c r="EZ9" s="56"/>
      <c r="FA9" s="56"/>
      <c r="FB9" s="56"/>
      <c r="FC9" s="56"/>
      <c r="FD9" s="56"/>
      <c r="FE9" s="56"/>
      <c r="FF9" s="56"/>
      <c r="FG9" s="56"/>
      <c r="FH9" s="56"/>
      <c r="FI9" s="56"/>
      <c r="FJ9" s="56"/>
      <c r="FK9" s="56"/>
      <c r="FL9" s="56"/>
      <c r="FM9" s="56"/>
      <c r="FN9" s="56"/>
      <c r="FO9" s="56"/>
      <c r="FP9" s="56"/>
      <c r="FQ9" s="56"/>
      <c r="FR9" s="56"/>
      <c r="FS9" s="56"/>
      <c r="FT9" s="56"/>
      <c r="FU9" s="56"/>
      <c r="FV9" s="56"/>
      <c r="FW9" s="56"/>
      <c r="FX9" s="56"/>
      <c r="FY9" s="56"/>
      <c r="FZ9" s="56"/>
      <c r="GA9" s="56"/>
      <c r="GB9" s="56"/>
      <c r="GC9" s="56"/>
      <c r="GD9" s="56"/>
      <c r="GE9" s="56"/>
      <c r="GF9" s="56"/>
      <c r="GG9" s="56"/>
      <c r="GH9" s="56"/>
      <c r="GI9" s="56"/>
      <c r="GJ9" s="56"/>
      <c r="GK9" s="56"/>
      <c r="GL9" s="56"/>
      <c r="GM9" s="56"/>
      <c r="GN9" s="56"/>
      <c r="GO9" s="56"/>
    </row>
    <row r="10" spans="1:197" ht="15.75">
      <c r="A10" s="92"/>
      <c r="B10" s="58"/>
      <c r="C10" s="58"/>
      <c r="D10" s="58"/>
      <c r="E10" s="58"/>
      <c r="F10" s="58"/>
      <c r="G10" s="58"/>
      <c r="H10" s="58"/>
      <c r="I10" s="58"/>
      <c r="J10" s="72"/>
      <c r="K10" s="72"/>
      <c r="L10" s="72"/>
      <c r="M10" s="58"/>
      <c r="N10" s="83"/>
      <c r="O10" s="56"/>
      <c r="P10" s="56"/>
      <c r="Q10" s="56"/>
      <c r="R10" s="56"/>
      <c r="S10" s="84"/>
      <c r="T10" s="76"/>
      <c r="U10" s="85"/>
      <c r="V10" s="85"/>
      <c r="W10" s="76"/>
      <c r="X10" s="86"/>
      <c r="Y10" s="56"/>
      <c r="Z10" s="56"/>
      <c r="AA10" s="74"/>
      <c r="AB10" s="74"/>
      <c r="AC10" s="91"/>
      <c r="AD10" s="78"/>
      <c r="AE10" s="68"/>
      <c r="AF10" s="79"/>
      <c r="AG10" s="80"/>
      <c r="AH10" s="80"/>
      <c r="AI10" s="56"/>
      <c r="AJ10" s="80"/>
      <c r="AK10" s="80"/>
      <c r="AL10" s="80"/>
      <c r="AM10" s="56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56"/>
      <c r="BJ10" s="57"/>
      <c r="BK10" s="81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6"/>
      <c r="DP10" s="56"/>
      <c r="DQ10" s="56"/>
      <c r="DR10" s="56"/>
      <c r="DS10" s="56"/>
      <c r="DT10" s="56"/>
      <c r="DU10" s="56"/>
      <c r="DV10" s="56"/>
      <c r="DW10" s="56"/>
      <c r="DX10" s="56"/>
      <c r="DY10" s="56"/>
      <c r="DZ10" s="56"/>
      <c r="EA10" s="56"/>
      <c r="EB10" s="56"/>
      <c r="EC10" s="56"/>
      <c r="ED10" s="56"/>
      <c r="EE10" s="56"/>
      <c r="EF10" s="56"/>
      <c r="EG10" s="56"/>
      <c r="EH10" s="56"/>
      <c r="EI10" s="56"/>
      <c r="EJ10" s="56"/>
      <c r="EK10" s="56"/>
      <c r="EL10" s="56"/>
      <c r="EM10" s="56"/>
      <c r="EN10" s="56"/>
      <c r="EO10" s="56"/>
      <c r="EP10" s="56"/>
      <c r="EQ10" s="56"/>
      <c r="ER10" s="56"/>
      <c r="ES10" s="56"/>
      <c r="ET10" s="56"/>
      <c r="EU10" s="56"/>
      <c r="EV10" s="56"/>
      <c r="EW10" s="56"/>
      <c r="EX10" s="56"/>
      <c r="EY10" s="56"/>
      <c r="EZ10" s="56"/>
      <c r="FA10" s="56"/>
      <c r="FB10" s="56"/>
      <c r="FC10" s="56"/>
      <c r="FD10" s="56"/>
      <c r="FE10" s="56"/>
      <c r="FF10" s="56"/>
      <c r="FG10" s="56"/>
      <c r="FH10" s="56"/>
      <c r="FI10" s="56"/>
      <c r="FJ10" s="56"/>
      <c r="FK10" s="56"/>
      <c r="FL10" s="56"/>
      <c r="FM10" s="56"/>
      <c r="FN10" s="56"/>
      <c r="FO10" s="56"/>
      <c r="FP10" s="56"/>
      <c r="FQ10" s="56"/>
      <c r="FR10" s="56"/>
      <c r="FS10" s="56"/>
      <c r="FT10" s="56"/>
      <c r="FU10" s="56"/>
      <c r="FV10" s="56"/>
      <c r="FW10" s="56"/>
      <c r="FX10" s="56"/>
      <c r="FY10" s="56"/>
      <c r="FZ10" s="56"/>
      <c r="GA10" s="56"/>
      <c r="GB10" s="56"/>
      <c r="GC10" s="56"/>
      <c r="GD10" s="56"/>
      <c r="GE10" s="56"/>
      <c r="GF10" s="56"/>
      <c r="GG10" s="56"/>
      <c r="GH10" s="56"/>
      <c r="GI10" s="56"/>
      <c r="GJ10" s="56"/>
      <c r="GK10" s="56"/>
      <c r="GL10" s="56"/>
      <c r="GM10" s="56"/>
      <c r="GN10" s="56"/>
      <c r="GO10" s="56"/>
    </row>
    <row r="11" spans="1:197" ht="18">
      <c r="A11" s="93"/>
      <c r="B11" s="58"/>
      <c r="C11" s="58"/>
      <c r="D11" s="58"/>
      <c r="E11" s="58"/>
      <c r="H11" s="94"/>
      <c r="I11" s="94"/>
      <c r="J11" s="94"/>
      <c r="K11" s="95">
        <v>1</v>
      </c>
      <c r="L11" s="95">
        <v>2</v>
      </c>
      <c r="M11" s="95">
        <v>3</v>
      </c>
      <c r="N11" s="96"/>
      <c r="O11" s="56"/>
      <c r="P11" s="97" t="s">
        <v>127</v>
      </c>
      <c r="Q11" s="97" t="s">
        <v>127</v>
      </c>
      <c r="R11" s="56"/>
      <c r="S11" s="98"/>
      <c r="T11" s="88"/>
      <c r="U11" s="99"/>
      <c r="V11" s="99"/>
      <c r="W11" s="88"/>
      <c r="X11" s="74"/>
      <c r="Y11" s="56"/>
      <c r="Z11" s="56"/>
      <c r="AA11" s="56"/>
      <c r="AB11" s="77"/>
      <c r="AC11" s="91"/>
      <c r="AD11" s="78"/>
      <c r="AE11" s="68"/>
      <c r="AF11" s="79"/>
      <c r="AG11" s="80"/>
      <c r="AH11" s="80"/>
      <c r="AI11" s="56"/>
      <c r="AJ11" s="80"/>
      <c r="AK11" s="80"/>
      <c r="AL11" s="80"/>
      <c r="AM11" s="56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56"/>
      <c r="BJ11" s="57"/>
      <c r="BK11" s="81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V11" s="56"/>
      <c r="DW11" s="56"/>
      <c r="DX11" s="56"/>
      <c r="DY11" s="56"/>
      <c r="DZ11" s="56"/>
      <c r="EA11" s="56"/>
      <c r="EB11" s="56"/>
      <c r="EC11" s="56"/>
      <c r="ED11" s="56"/>
      <c r="EE11" s="56"/>
      <c r="EF11" s="56"/>
      <c r="EG11" s="56"/>
      <c r="EH11" s="56"/>
      <c r="EI11" s="56"/>
      <c r="EJ11" s="56"/>
      <c r="EK11" s="56"/>
      <c r="EL11" s="56"/>
      <c r="EM11" s="56"/>
      <c r="EN11" s="56"/>
      <c r="EO11" s="56"/>
      <c r="EP11" s="56"/>
      <c r="EQ11" s="56"/>
      <c r="ER11" s="56"/>
      <c r="ES11" s="56"/>
      <c r="ET11" s="56"/>
      <c r="EU11" s="56"/>
      <c r="EV11" s="56"/>
      <c r="EW11" s="56"/>
      <c r="EX11" s="56"/>
      <c r="EY11" s="56"/>
      <c r="EZ11" s="56"/>
      <c r="FA11" s="56"/>
      <c r="FB11" s="56"/>
      <c r="FC11" s="56"/>
      <c r="FD11" s="56"/>
      <c r="FE11" s="56"/>
      <c r="FF11" s="56"/>
      <c r="FG11" s="56"/>
      <c r="FH11" s="56"/>
      <c r="FI11" s="56"/>
      <c r="FJ11" s="56"/>
      <c r="FK11" s="56"/>
      <c r="FL11" s="56"/>
      <c r="FM11" s="56"/>
      <c r="FN11" s="56"/>
      <c r="FO11" s="56"/>
      <c r="FP11" s="56"/>
      <c r="FQ11" s="56"/>
      <c r="FR11" s="56"/>
      <c r="FS11" s="56"/>
      <c r="FT11" s="56"/>
      <c r="FU11" s="56"/>
      <c r="FV11" s="56"/>
      <c r="FW11" s="56"/>
      <c r="FX11" s="56"/>
      <c r="FY11" s="56"/>
      <c r="FZ11" s="56"/>
      <c r="GA11" s="56"/>
      <c r="GB11" s="56"/>
      <c r="GC11" s="56"/>
      <c r="GD11" s="56"/>
      <c r="GE11" s="56"/>
      <c r="GF11" s="56"/>
      <c r="GG11" s="56"/>
      <c r="GH11" s="56"/>
      <c r="GI11" s="56"/>
      <c r="GJ11" s="56"/>
      <c r="GK11" s="56"/>
      <c r="GL11" s="56"/>
      <c r="GM11" s="56"/>
      <c r="GN11" s="56"/>
      <c r="GO11" s="56"/>
    </row>
    <row r="12" spans="1:197" ht="20.25">
      <c r="A12" s="68"/>
      <c r="B12" s="58"/>
      <c r="C12" s="58"/>
      <c r="D12" s="58"/>
      <c r="E12" s="58"/>
      <c r="H12" s="100"/>
      <c r="J12" s="101" t="s">
        <v>128</v>
      </c>
      <c r="K12" s="102" t="s">
        <v>129</v>
      </c>
      <c r="L12" s="102" t="s">
        <v>129</v>
      </c>
      <c r="M12" s="102" t="s">
        <v>129</v>
      </c>
      <c r="N12" s="103" t="s">
        <v>130</v>
      </c>
      <c r="O12" s="104"/>
      <c r="P12" s="88"/>
      <c r="Q12" s="88"/>
      <c r="R12" s="104"/>
      <c r="S12" s="105"/>
      <c r="T12" s="106"/>
      <c r="U12" s="88"/>
      <c r="V12" s="88"/>
      <c r="W12" s="106"/>
      <c r="X12" s="107"/>
      <c r="Y12" s="56"/>
      <c r="Z12" s="56"/>
      <c r="AA12" s="74"/>
      <c r="AB12" s="56"/>
      <c r="AC12" s="91"/>
      <c r="AD12" s="78"/>
      <c r="AE12" s="68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56"/>
      <c r="BJ12" s="57"/>
      <c r="BK12" s="81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  <c r="CZ12" s="56"/>
      <c r="DA12" s="56"/>
      <c r="DB12" s="56"/>
      <c r="DC12" s="56"/>
      <c r="DD12" s="56"/>
      <c r="DE12" s="56"/>
      <c r="DF12" s="56"/>
      <c r="DG12" s="56"/>
      <c r="DH12" s="56"/>
      <c r="DI12" s="56"/>
      <c r="DJ12" s="56"/>
      <c r="DK12" s="56"/>
      <c r="DL12" s="56"/>
      <c r="DM12" s="56"/>
      <c r="DN12" s="56"/>
      <c r="DO12" s="56"/>
      <c r="DP12" s="56"/>
      <c r="DQ12" s="56"/>
      <c r="DR12" s="56"/>
      <c r="DS12" s="56"/>
      <c r="DT12" s="56"/>
      <c r="DU12" s="56"/>
      <c r="DV12" s="56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G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  <c r="FE12" s="56"/>
      <c r="FF12" s="56"/>
      <c r="FG12" s="56"/>
      <c r="FH12" s="56"/>
      <c r="FI12" s="56"/>
      <c r="FJ12" s="56"/>
      <c r="FK12" s="56"/>
      <c r="FL12" s="56"/>
      <c r="FM12" s="56"/>
      <c r="FN12" s="56"/>
      <c r="FO12" s="56"/>
      <c r="FP12" s="56"/>
      <c r="FQ12" s="56"/>
      <c r="FR12" s="56"/>
      <c r="FS12" s="56"/>
      <c r="FT12" s="56"/>
      <c r="FU12" s="56"/>
      <c r="FV12" s="56"/>
      <c r="FW12" s="56"/>
      <c r="FX12" s="56"/>
      <c r="FY12" s="56"/>
      <c r="FZ12" s="56"/>
      <c r="GA12" s="56"/>
      <c r="GB12" s="56"/>
      <c r="GC12" s="56"/>
      <c r="GD12" s="56"/>
      <c r="GE12" s="56"/>
      <c r="GF12" s="56"/>
      <c r="GG12" s="56"/>
      <c r="GH12" s="56"/>
      <c r="GI12" s="56"/>
      <c r="GJ12" s="56"/>
      <c r="GK12" s="56"/>
      <c r="GL12" s="56"/>
      <c r="GM12" s="56"/>
      <c r="GN12" s="56"/>
      <c r="GO12" s="56"/>
    </row>
    <row r="13" spans="1:197" ht="20.25">
      <c r="A13" s="108"/>
      <c r="B13" s="58"/>
      <c r="C13" s="58"/>
      <c r="D13" s="58"/>
      <c r="H13" s="1"/>
      <c r="I13" s="95"/>
      <c r="J13" s="102"/>
      <c r="K13" s="109" t="s">
        <v>34</v>
      </c>
      <c r="L13" s="110" t="s">
        <v>9</v>
      </c>
      <c r="M13" s="111" t="s">
        <v>31</v>
      </c>
      <c r="N13" s="88"/>
      <c r="O13" s="104"/>
      <c r="P13" s="97" t="s">
        <v>127</v>
      </c>
      <c r="Q13" s="97" t="s">
        <v>127</v>
      </c>
      <c r="R13" s="104"/>
      <c r="S13" s="112"/>
      <c r="T13" s="105"/>
      <c r="U13" s="113"/>
      <c r="V13" s="113"/>
      <c r="W13" s="113"/>
      <c r="X13" s="112"/>
      <c r="Y13" s="56"/>
      <c r="Z13" s="56"/>
      <c r="AA13" s="56"/>
      <c r="AB13" s="56"/>
      <c r="AC13" s="91"/>
      <c r="AD13" s="78"/>
      <c r="AE13" s="68"/>
      <c r="AF13" s="79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56"/>
      <c r="BJ13" s="57"/>
      <c r="BK13" s="81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  <c r="CX13" s="56"/>
      <c r="CY13" s="56"/>
      <c r="CZ13" s="56"/>
      <c r="DA13" s="56"/>
      <c r="DB13" s="56"/>
      <c r="DC13" s="56"/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56"/>
      <c r="DQ13" s="56"/>
      <c r="DR13" s="56"/>
      <c r="DS13" s="56"/>
      <c r="DT13" s="56"/>
      <c r="DU13" s="56"/>
      <c r="DV13" s="56"/>
      <c r="DW13" s="56"/>
      <c r="DX13" s="56"/>
      <c r="DY13" s="56"/>
      <c r="DZ13" s="56"/>
      <c r="EA13" s="56"/>
      <c r="EB13" s="56"/>
      <c r="EC13" s="56"/>
      <c r="ED13" s="56"/>
      <c r="EE13" s="56"/>
      <c r="EF13" s="56"/>
      <c r="EG13" s="56"/>
      <c r="EH13" s="56"/>
      <c r="EI13" s="56"/>
      <c r="EJ13" s="56"/>
      <c r="EK13" s="56"/>
      <c r="EL13" s="56"/>
      <c r="EM13" s="56"/>
      <c r="EN13" s="56"/>
      <c r="EO13" s="56"/>
      <c r="EP13" s="56"/>
      <c r="EQ13" s="56"/>
      <c r="ER13" s="56"/>
      <c r="ES13" s="56"/>
      <c r="ET13" s="56"/>
      <c r="EU13" s="56"/>
      <c r="EV13" s="56"/>
      <c r="EW13" s="56"/>
      <c r="EX13" s="56"/>
      <c r="EY13" s="56"/>
      <c r="EZ13" s="56"/>
      <c r="FA13" s="56"/>
      <c r="FB13" s="56"/>
      <c r="FC13" s="56"/>
      <c r="FD13" s="56"/>
      <c r="FE13" s="56"/>
      <c r="FF13" s="56"/>
      <c r="FG13" s="56"/>
      <c r="FH13" s="56"/>
      <c r="FI13" s="56"/>
      <c r="FJ13" s="56"/>
      <c r="FK13" s="56"/>
      <c r="FL13" s="56"/>
      <c r="FM13" s="56"/>
      <c r="FN13" s="56"/>
      <c r="FO13" s="56"/>
      <c r="FP13" s="56"/>
      <c r="FQ13" s="56"/>
      <c r="FR13" s="56"/>
      <c r="FS13" s="56"/>
      <c r="FT13" s="56"/>
      <c r="FU13" s="56"/>
      <c r="FV13" s="56"/>
      <c r="FW13" s="56"/>
      <c r="FX13" s="56"/>
      <c r="FY13" s="56"/>
      <c r="FZ13" s="56"/>
      <c r="GA13" s="56"/>
      <c r="GB13" s="56"/>
      <c r="GC13" s="56"/>
      <c r="GD13" s="56"/>
      <c r="GE13" s="56"/>
      <c r="GF13" s="56"/>
      <c r="GG13" s="56"/>
      <c r="GH13" s="56"/>
      <c r="GI13" s="56"/>
      <c r="GJ13" s="56"/>
      <c r="GK13" s="56"/>
      <c r="GL13" s="56"/>
      <c r="GM13" s="56"/>
      <c r="GN13" s="56"/>
      <c r="GO13" s="56"/>
    </row>
    <row r="14" spans="1:197" ht="20.25">
      <c r="A14" s="114" t="s">
        <v>131</v>
      </c>
      <c r="B14" s="58"/>
      <c r="C14" s="58"/>
      <c r="D14" s="58"/>
      <c r="H14" s="1"/>
      <c r="I14" s="95"/>
      <c r="J14" s="102"/>
      <c r="K14" s="115" t="s">
        <v>47</v>
      </c>
      <c r="L14" s="116" t="s">
        <v>2</v>
      </c>
      <c r="M14" s="117" t="s">
        <v>41</v>
      </c>
      <c r="N14" s="118" t="s">
        <v>130</v>
      </c>
      <c r="O14" s="104"/>
      <c r="P14" s="88"/>
      <c r="Q14" s="88"/>
      <c r="R14" s="104"/>
      <c r="S14" s="105"/>
      <c r="T14" s="105"/>
      <c r="U14" s="119" t="s">
        <v>132</v>
      </c>
      <c r="V14" s="120" t="s">
        <v>133</v>
      </c>
      <c r="W14" s="105"/>
      <c r="Y14" s="56"/>
      <c r="Z14" s="56"/>
      <c r="AA14" s="74"/>
      <c r="AB14" s="56"/>
      <c r="AC14" s="91"/>
      <c r="AD14" s="78"/>
      <c r="AE14" s="68"/>
      <c r="AF14" s="79"/>
      <c r="AG14" s="80"/>
      <c r="AH14" s="80"/>
      <c r="AI14" s="80"/>
      <c r="AJ14" s="80"/>
      <c r="AK14" s="80"/>
      <c r="AL14" s="80"/>
      <c r="AM14" s="56"/>
      <c r="AN14" s="56"/>
      <c r="AO14" s="56"/>
      <c r="AP14" s="56"/>
      <c r="AQ14" s="56"/>
      <c r="AR14" s="56"/>
      <c r="AS14" s="56"/>
      <c r="AT14" s="56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56"/>
      <c r="BJ14" s="57"/>
      <c r="BK14" s="81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  <c r="CX14" s="56"/>
      <c r="CY14" s="56"/>
      <c r="CZ14" s="56"/>
      <c r="DA14" s="56"/>
      <c r="DB14" s="56"/>
      <c r="DC14" s="56"/>
      <c r="DD14" s="56"/>
      <c r="DE14" s="56"/>
      <c r="DF14" s="56"/>
      <c r="DG14" s="56"/>
      <c r="DH14" s="56"/>
      <c r="DI14" s="56"/>
      <c r="DJ14" s="56"/>
      <c r="DK14" s="56"/>
      <c r="DL14" s="56"/>
      <c r="DM14" s="56"/>
      <c r="DN14" s="56"/>
      <c r="DO14" s="56"/>
      <c r="DP14" s="56"/>
      <c r="DQ14" s="56"/>
      <c r="DR14" s="56"/>
      <c r="DS14" s="56"/>
      <c r="DT14" s="56"/>
      <c r="DU14" s="56"/>
      <c r="DV14" s="56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G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6"/>
      <c r="FC14" s="56"/>
      <c r="FD14" s="56"/>
      <c r="FE14" s="56"/>
      <c r="FF14" s="56"/>
      <c r="FG14" s="56"/>
      <c r="FH14" s="56"/>
      <c r="FI14" s="56"/>
      <c r="FJ14" s="56"/>
      <c r="FK14" s="56"/>
      <c r="FL14" s="56"/>
      <c r="FM14" s="56"/>
      <c r="FN14" s="56"/>
      <c r="FO14" s="56"/>
      <c r="FP14" s="56"/>
      <c r="FQ14" s="56"/>
      <c r="FR14" s="56"/>
      <c r="FS14" s="56"/>
      <c r="FT14" s="56"/>
      <c r="FU14" s="56"/>
      <c r="FV14" s="56"/>
      <c r="FW14" s="56"/>
      <c r="FX14" s="56"/>
      <c r="FY14" s="56"/>
      <c r="FZ14" s="56"/>
      <c r="GA14" s="56"/>
      <c r="GB14" s="56"/>
      <c r="GC14" s="56"/>
      <c r="GD14" s="56"/>
      <c r="GE14" s="56"/>
      <c r="GF14" s="56"/>
      <c r="GG14" s="56"/>
      <c r="GH14" s="56"/>
      <c r="GI14" s="56"/>
      <c r="GJ14" s="56"/>
      <c r="GK14" s="56"/>
      <c r="GL14" s="56"/>
      <c r="GM14" s="56"/>
      <c r="GN14" s="56"/>
      <c r="GO14" s="56"/>
    </row>
    <row r="15" spans="1:197" ht="21" thickBot="1">
      <c r="A15" s="114"/>
      <c r="B15" s="58"/>
      <c r="C15" s="58"/>
      <c r="D15" s="58"/>
      <c r="E15" s="58"/>
      <c r="H15" s="100"/>
      <c r="J15" s="95"/>
      <c r="K15" s="102" t="s">
        <v>129</v>
      </c>
      <c r="L15" s="102" t="s">
        <v>129</v>
      </c>
      <c r="M15" s="102" t="s">
        <v>129</v>
      </c>
      <c r="N15" s="96"/>
      <c r="O15" s="74"/>
      <c r="P15" s="97" t="s">
        <v>127</v>
      </c>
      <c r="Q15" s="97" t="s">
        <v>127</v>
      </c>
      <c r="R15" s="56"/>
      <c r="S15" s="112"/>
      <c r="T15" s="105"/>
      <c r="U15" s="119" t="s">
        <v>132</v>
      </c>
      <c r="V15" s="121" t="s">
        <v>134</v>
      </c>
      <c r="W15" s="105"/>
      <c r="Y15" s="56"/>
      <c r="Z15" s="56"/>
      <c r="AA15" s="56"/>
      <c r="AB15" s="77"/>
      <c r="AC15" s="91"/>
      <c r="AD15" s="78"/>
      <c r="AE15" s="68"/>
      <c r="AF15" s="79"/>
      <c r="AG15" s="80"/>
      <c r="AH15" s="80"/>
      <c r="AI15" s="80"/>
      <c r="AJ15" s="80"/>
      <c r="AK15" s="80"/>
      <c r="AL15" s="80"/>
      <c r="AM15" s="56"/>
      <c r="AN15" s="56"/>
      <c r="AO15" s="56"/>
      <c r="AP15" s="56"/>
      <c r="AQ15" s="56"/>
      <c r="AR15" s="56"/>
      <c r="AS15" s="56"/>
      <c r="AT15" s="56"/>
      <c r="AU15" s="80"/>
      <c r="AV15" s="80"/>
      <c r="AW15" s="80"/>
      <c r="AX15" s="80"/>
      <c r="AY15" s="80"/>
      <c r="AZ15" s="56"/>
      <c r="BA15" s="56"/>
      <c r="BB15" s="56"/>
      <c r="BC15" s="80"/>
      <c r="BD15" s="80"/>
      <c r="BE15" s="80"/>
      <c r="BF15" s="80"/>
      <c r="BG15" s="80"/>
      <c r="BH15" s="80"/>
      <c r="BI15" s="56"/>
      <c r="BJ15" s="57"/>
      <c r="BK15" s="81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  <c r="CX15" s="56"/>
      <c r="CY15" s="56"/>
      <c r="CZ15" s="56"/>
      <c r="DA15" s="56"/>
      <c r="DB15" s="56"/>
      <c r="DC15" s="56"/>
      <c r="DD15" s="56"/>
      <c r="DE15" s="56"/>
      <c r="DF15" s="56"/>
      <c r="DG15" s="56"/>
      <c r="DH15" s="56"/>
      <c r="DI15" s="56"/>
      <c r="DJ15" s="56"/>
      <c r="DK15" s="56"/>
      <c r="DL15" s="56"/>
      <c r="DM15" s="56"/>
      <c r="DN15" s="56"/>
      <c r="DO15" s="56"/>
      <c r="DP15" s="56"/>
      <c r="DQ15" s="56"/>
      <c r="DR15" s="56"/>
      <c r="DS15" s="56"/>
      <c r="DT15" s="56"/>
      <c r="DU15" s="56"/>
      <c r="DV15" s="56"/>
      <c r="DW15" s="56"/>
      <c r="DX15" s="56"/>
      <c r="DY15" s="56"/>
      <c r="DZ15" s="56"/>
      <c r="EA15" s="56"/>
      <c r="EB15" s="56"/>
      <c r="EC15" s="56"/>
      <c r="ED15" s="56"/>
      <c r="EE15" s="56"/>
      <c r="EF15" s="56"/>
      <c r="EG15" s="56"/>
      <c r="EH15" s="56"/>
      <c r="EI15" s="56"/>
      <c r="EJ15" s="56"/>
      <c r="EK15" s="56"/>
      <c r="EL15" s="56"/>
      <c r="EM15" s="56"/>
      <c r="EN15" s="56"/>
      <c r="EO15" s="56"/>
      <c r="EP15" s="56"/>
      <c r="EQ15" s="56"/>
      <c r="ER15" s="56"/>
      <c r="ES15" s="56"/>
      <c r="ET15" s="56"/>
      <c r="EU15" s="56"/>
      <c r="EV15" s="56"/>
      <c r="EW15" s="56"/>
      <c r="EX15" s="56"/>
      <c r="EY15" s="56"/>
      <c r="EZ15" s="56"/>
      <c r="FA15" s="56"/>
      <c r="FB15" s="56"/>
      <c r="FC15" s="56"/>
      <c r="FD15" s="56"/>
      <c r="FE15" s="56"/>
      <c r="FF15" s="56"/>
      <c r="FG15" s="56"/>
      <c r="FH15" s="56"/>
      <c r="FI15" s="56"/>
      <c r="FJ15" s="56"/>
      <c r="FK15" s="56"/>
      <c r="FL15" s="56"/>
      <c r="FM15" s="56"/>
      <c r="FN15" s="56"/>
      <c r="FO15" s="56"/>
      <c r="FP15" s="56"/>
      <c r="FQ15" s="56"/>
      <c r="FR15" s="56"/>
      <c r="FS15" s="56"/>
      <c r="FT15" s="56"/>
      <c r="FU15" s="56"/>
      <c r="FV15" s="56"/>
      <c r="FW15" s="56"/>
      <c r="FX15" s="56"/>
      <c r="FY15" s="56"/>
      <c r="FZ15" s="56"/>
      <c r="GA15" s="56"/>
      <c r="GB15" s="56"/>
      <c r="GC15" s="56"/>
      <c r="GD15" s="56"/>
      <c r="GE15" s="56"/>
      <c r="GF15" s="56"/>
      <c r="GG15" s="56"/>
      <c r="GH15" s="56"/>
      <c r="GI15" s="56"/>
      <c r="GJ15" s="56"/>
      <c r="GK15" s="56"/>
      <c r="GL15" s="56"/>
      <c r="GM15" s="56"/>
      <c r="GN15" s="56"/>
      <c r="GO15" s="56"/>
    </row>
    <row r="16" spans="1:197" ht="15.75">
      <c r="A16" s="122"/>
      <c r="B16" s="58"/>
      <c r="C16" s="56"/>
      <c r="D16" s="58"/>
      <c r="E16" s="58"/>
      <c r="F16" s="58"/>
      <c r="G16" s="58"/>
      <c r="H16" s="94"/>
      <c r="I16" s="94"/>
      <c r="J16" s="94"/>
      <c r="K16" s="95">
        <v>6</v>
      </c>
      <c r="L16" s="95">
        <v>5</v>
      </c>
      <c r="M16" s="95">
        <v>4</v>
      </c>
      <c r="N16" s="123" t="s">
        <v>135</v>
      </c>
      <c r="O16" s="88"/>
      <c r="P16" s="124"/>
      <c r="Q16" s="104"/>
      <c r="R16" s="56"/>
      <c r="S16" s="105"/>
      <c r="T16" s="105"/>
      <c r="U16" s="120" t="s">
        <v>133</v>
      </c>
      <c r="V16" s="121" t="s">
        <v>134</v>
      </c>
      <c r="W16" s="105"/>
      <c r="Y16" s="56"/>
      <c r="Z16" s="56"/>
      <c r="AA16" s="74"/>
      <c r="AB16" s="77"/>
      <c r="AC16" s="874" t="s">
        <v>136</v>
      </c>
      <c r="AD16" s="875"/>
      <c r="AE16" s="58"/>
      <c r="AF16" s="79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56"/>
      <c r="BA16" s="56"/>
      <c r="BB16" s="56"/>
      <c r="BC16" s="80"/>
      <c r="BD16" s="80"/>
      <c r="BE16" s="80"/>
      <c r="BF16" s="80"/>
      <c r="BG16" s="80"/>
      <c r="BH16" s="80"/>
      <c r="BI16" s="56"/>
      <c r="BJ16" s="57"/>
      <c r="BK16" s="81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/>
      <c r="DB16" s="56"/>
      <c r="DC16" s="56"/>
      <c r="DD16" s="56"/>
      <c r="DE16" s="56"/>
      <c r="DF16" s="56"/>
      <c r="DG16" s="56"/>
      <c r="DH16" s="56"/>
      <c r="DI16" s="56"/>
      <c r="DJ16" s="56"/>
      <c r="DK16" s="56"/>
      <c r="DL16" s="56"/>
      <c r="DM16" s="56"/>
      <c r="DN16" s="56"/>
      <c r="DO16" s="56"/>
      <c r="DP16" s="56"/>
      <c r="DQ16" s="56"/>
      <c r="DR16" s="56"/>
      <c r="DS16" s="56"/>
      <c r="DT16" s="56"/>
      <c r="DU16" s="56"/>
      <c r="DV16" s="56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G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  <c r="FE16" s="56"/>
      <c r="FF16" s="56"/>
      <c r="FG16" s="56"/>
      <c r="FH16" s="56"/>
      <c r="FI16" s="56"/>
      <c r="FJ16" s="56"/>
      <c r="FK16" s="56"/>
      <c r="FL16" s="56"/>
      <c r="FM16" s="56"/>
      <c r="FN16" s="56"/>
      <c r="FO16" s="56"/>
      <c r="FP16" s="56"/>
      <c r="FQ16" s="56"/>
      <c r="FR16" s="56"/>
      <c r="FS16" s="56"/>
      <c r="FT16" s="56"/>
      <c r="FU16" s="56"/>
      <c r="FV16" s="56"/>
      <c r="FW16" s="56"/>
      <c r="FX16" s="56"/>
      <c r="FY16" s="56"/>
      <c r="FZ16" s="56"/>
      <c r="GA16" s="56"/>
      <c r="GB16" s="56"/>
      <c r="GC16" s="56"/>
      <c r="GD16" s="56"/>
      <c r="GE16" s="56"/>
      <c r="GF16" s="56"/>
      <c r="GG16" s="56"/>
      <c r="GH16" s="56"/>
      <c r="GI16" s="56"/>
      <c r="GJ16" s="56"/>
      <c r="GK16" s="56"/>
      <c r="GL16" s="56"/>
      <c r="GM16" s="56"/>
      <c r="GN16" s="56"/>
      <c r="GO16" s="56"/>
    </row>
    <row r="17" spans="1:197" ht="16.5" thickBot="1">
      <c r="A17" s="68"/>
      <c r="B17" s="58"/>
      <c r="C17" s="56"/>
      <c r="D17" s="58"/>
      <c r="E17" s="58"/>
      <c r="J17" s="58"/>
      <c r="K17" s="72"/>
      <c r="L17" s="72"/>
      <c r="M17" s="58"/>
      <c r="N17" s="123" t="s">
        <v>135</v>
      </c>
      <c r="O17" s="88"/>
      <c r="P17" s="88"/>
      <c r="Q17" s="74"/>
      <c r="R17" s="125"/>
      <c r="S17" s="112"/>
      <c r="T17" s="105"/>
      <c r="U17" s="121" t="s">
        <v>134</v>
      </c>
      <c r="V17" s="121" t="s">
        <v>134</v>
      </c>
      <c r="W17" s="105"/>
      <c r="Y17" s="126"/>
      <c r="Z17" s="126"/>
      <c r="AA17" s="126"/>
      <c r="AB17" s="127"/>
      <c r="AC17" s="876"/>
      <c r="AD17" s="877"/>
      <c r="AE17" s="58"/>
      <c r="AF17" s="79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56"/>
      <c r="BA17" s="56"/>
      <c r="BB17" s="56"/>
      <c r="BC17" s="80"/>
      <c r="BD17" s="80"/>
      <c r="BE17" s="80"/>
      <c r="BF17" s="80"/>
      <c r="BG17" s="80"/>
      <c r="BH17" s="80"/>
      <c r="BI17" s="56"/>
      <c r="BJ17" s="57"/>
      <c r="BK17" s="81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6"/>
      <c r="CR17" s="56"/>
      <c r="CS17" s="56"/>
      <c r="CT17" s="56"/>
      <c r="CU17" s="56"/>
      <c r="CV17" s="56"/>
      <c r="CW17" s="56"/>
      <c r="CX17" s="56"/>
      <c r="CY17" s="56"/>
      <c r="CZ17" s="56"/>
      <c r="DA17" s="56"/>
      <c r="DB17" s="56"/>
      <c r="DC17" s="56"/>
      <c r="DD17" s="56"/>
      <c r="DE17" s="56"/>
      <c r="DF17" s="56"/>
      <c r="DG17" s="56"/>
      <c r="DH17" s="56"/>
      <c r="DI17" s="56"/>
      <c r="DJ17" s="56"/>
      <c r="DK17" s="56"/>
      <c r="DL17" s="56"/>
      <c r="DM17" s="56"/>
      <c r="DN17" s="56"/>
      <c r="DO17" s="56"/>
      <c r="DP17" s="56"/>
      <c r="DQ17" s="56"/>
      <c r="DR17" s="56"/>
      <c r="DS17" s="56"/>
      <c r="DT17" s="56"/>
      <c r="DU17" s="56"/>
      <c r="DV17" s="56"/>
      <c r="DW17" s="56"/>
      <c r="DX17" s="56"/>
      <c r="DY17" s="56"/>
      <c r="DZ17" s="56"/>
      <c r="EA17" s="56"/>
      <c r="EB17" s="56"/>
      <c r="EC17" s="56"/>
      <c r="ED17" s="56"/>
      <c r="EE17" s="56"/>
      <c r="EF17" s="56"/>
      <c r="EG17" s="56"/>
      <c r="EH17" s="56"/>
      <c r="EI17" s="56"/>
      <c r="EJ17" s="56"/>
      <c r="EK17" s="56"/>
      <c r="EL17" s="56"/>
      <c r="EM17" s="56"/>
      <c r="EN17" s="56"/>
      <c r="EO17" s="56"/>
      <c r="EP17" s="56"/>
      <c r="EQ17" s="56"/>
      <c r="ER17" s="56"/>
      <c r="ES17" s="56"/>
      <c r="ET17" s="56"/>
      <c r="EU17" s="56"/>
      <c r="EV17" s="56"/>
      <c r="EW17" s="56"/>
      <c r="EX17" s="56"/>
      <c r="EY17" s="56"/>
      <c r="EZ17" s="56"/>
      <c r="FA17" s="56"/>
      <c r="FB17" s="56"/>
      <c r="FC17" s="56"/>
      <c r="FD17" s="56"/>
      <c r="FE17" s="56"/>
      <c r="FF17" s="56"/>
      <c r="FG17" s="56"/>
      <c r="FH17" s="56"/>
      <c r="FI17" s="56"/>
      <c r="FJ17" s="56"/>
      <c r="FK17" s="56"/>
      <c r="FL17" s="56"/>
      <c r="FM17" s="56"/>
      <c r="FN17" s="56"/>
      <c r="FO17" s="56"/>
      <c r="FP17" s="56"/>
      <c r="FQ17" s="56"/>
      <c r="FR17" s="56"/>
      <c r="FS17" s="56"/>
      <c r="FT17" s="56"/>
      <c r="FU17" s="56"/>
      <c r="FV17" s="56"/>
      <c r="FW17" s="56"/>
      <c r="FX17" s="56"/>
      <c r="FY17" s="56"/>
      <c r="FZ17" s="56"/>
      <c r="GA17" s="56"/>
      <c r="GB17" s="56"/>
      <c r="GC17" s="56"/>
      <c r="GD17" s="56"/>
      <c r="GE17" s="56"/>
      <c r="GF17" s="56"/>
      <c r="GG17" s="56"/>
      <c r="GH17" s="56"/>
      <c r="GI17" s="56"/>
      <c r="GJ17" s="56"/>
      <c r="GK17" s="56"/>
      <c r="GL17" s="56"/>
      <c r="GM17" s="56"/>
      <c r="GN17" s="56"/>
      <c r="GO17" s="56"/>
    </row>
    <row r="18" spans="1:197" ht="19.5" thickBot="1">
      <c r="A18" s="68"/>
      <c r="B18" s="58"/>
      <c r="C18" s="56"/>
      <c r="D18" s="58"/>
      <c r="E18" s="58"/>
      <c r="M18" s="128"/>
      <c r="N18" s="123" t="s">
        <v>135</v>
      </c>
      <c r="O18" s="88"/>
      <c r="P18" s="88"/>
      <c r="Q18" s="88"/>
      <c r="R18" s="88"/>
      <c r="S18" s="88"/>
      <c r="T18" s="88"/>
      <c r="U18" s="105"/>
      <c r="V18" s="105"/>
      <c r="W18" s="129"/>
      <c r="X18" s="56"/>
      <c r="Y18" s="56"/>
      <c r="Z18" s="56"/>
      <c r="AA18" s="56"/>
      <c r="AB18" s="56"/>
      <c r="AC18" s="130"/>
      <c r="AD18" s="78"/>
      <c r="AE18" s="68"/>
      <c r="AF18" s="79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56"/>
      <c r="BJ18" s="57"/>
      <c r="BK18" s="81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/>
      <c r="DD18" s="56"/>
      <c r="DE18" s="56"/>
      <c r="DF18" s="56"/>
      <c r="DG18" s="56"/>
      <c r="DH18" s="56"/>
      <c r="DI18" s="56"/>
      <c r="DJ18" s="56"/>
      <c r="DK18" s="56"/>
      <c r="DL18" s="56"/>
      <c r="DM18" s="56"/>
      <c r="DN18" s="56"/>
      <c r="DO18" s="56"/>
      <c r="DP18" s="56"/>
      <c r="DQ18" s="56"/>
      <c r="DR18" s="56"/>
      <c r="DS18" s="56"/>
      <c r="DT18" s="56"/>
      <c r="DU18" s="56"/>
      <c r="DV18" s="56"/>
      <c r="DW18" s="56"/>
      <c r="DX18" s="56"/>
      <c r="DY18" s="56"/>
      <c r="DZ18" s="56"/>
      <c r="EA18" s="56"/>
      <c r="EB18" s="56"/>
      <c r="EC18" s="56"/>
      <c r="ED18" s="56"/>
      <c r="EE18" s="56"/>
      <c r="EF18" s="56"/>
      <c r="EG18" s="56"/>
      <c r="EH18" s="56"/>
      <c r="EI18" s="56"/>
      <c r="EJ18" s="56"/>
      <c r="EK18" s="56"/>
      <c r="EL18" s="56"/>
      <c r="EM18" s="56"/>
      <c r="EN18" s="56"/>
      <c r="EO18" s="56"/>
      <c r="EP18" s="56"/>
      <c r="EQ18" s="56"/>
      <c r="ER18" s="56"/>
      <c r="ES18" s="56"/>
      <c r="ET18" s="56"/>
      <c r="EU18" s="56"/>
      <c r="EV18" s="56"/>
      <c r="EW18" s="56"/>
      <c r="EX18" s="56"/>
      <c r="EY18" s="56"/>
      <c r="EZ18" s="56"/>
      <c r="FA18" s="56"/>
      <c r="FB18" s="56"/>
      <c r="FC18" s="56"/>
      <c r="FD18" s="56"/>
      <c r="FE18" s="56"/>
      <c r="FF18" s="56"/>
      <c r="FG18" s="56"/>
      <c r="FH18" s="56"/>
      <c r="FI18" s="56"/>
      <c r="FJ18" s="56"/>
      <c r="FK18" s="56"/>
      <c r="FL18" s="56"/>
      <c r="FM18" s="56"/>
      <c r="FN18" s="56"/>
      <c r="FO18" s="56"/>
      <c r="FP18" s="56"/>
      <c r="FQ18" s="56"/>
      <c r="FR18" s="56"/>
      <c r="FS18" s="56"/>
      <c r="FT18" s="56"/>
      <c r="FU18" s="56"/>
      <c r="FV18" s="56"/>
      <c r="FW18" s="56"/>
      <c r="FX18" s="56"/>
      <c r="FY18" s="56"/>
      <c r="FZ18" s="56"/>
      <c r="GA18" s="56"/>
      <c r="GB18" s="56"/>
      <c r="GC18" s="56"/>
      <c r="GD18" s="56"/>
      <c r="GE18" s="56"/>
      <c r="GF18" s="56"/>
      <c r="GG18" s="56"/>
      <c r="GH18" s="56"/>
      <c r="GI18" s="56"/>
      <c r="GJ18" s="56"/>
      <c r="GK18" s="56"/>
      <c r="GL18" s="56"/>
      <c r="GM18" s="56"/>
      <c r="GN18" s="56"/>
      <c r="GO18" s="56"/>
    </row>
    <row r="19" spans="1:197" ht="18.75">
      <c r="A19" s="68"/>
      <c r="B19" s="58"/>
      <c r="C19" s="56"/>
      <c r="D19" s="58"/>
      <c r="F19" s="58"/>
      <c r="G19" s="58"/>
      <c r="H19" s="58"/>
      <c r="K19" s="131"/>
      <c r="L19" s="131"/>
      <c r="M19" s="128"/>
      <c r="N19" s="123" t="s">
        <v>135</v>
      </c>
      <c r="O19" s="88"/>
      <c r="P19" s="88"/>
      <c r="Q19" s="88"/>
      <c r="R19" s="88"/>
      <c r="S19" s="88"/>
      <c r="T19" s="88"/>
      <c r="V19" s="129"/>
      <c r="W19" s="56"/>
      <c r="X19" s="56"/>
      <c r="Y19" s="56"/>
      <c r="Z19" s="56"/>
      <c r="AA19" s="56"/>
      <c r="AB19" s="56"/>
      <c r="AC19" s="77"/>
      <c r="AD19" s="78"/>
      <c r="AE19" s="68"/>
      <c r="AF19" s="79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56"/>
      <c r="AY19" s="56"/>
      <c r="AZ19" s="878" t="s">
        <v>137</v>
      </c>
      <c r="BA19" s="879"/>
      <c r="BB19" s="880"/>
      <c r="BC19" s="80"/>
      <c r="BD19" s="80"/>
      <c r="BE19" s="80"/>
      <c r="BF19" s="80"/>
      <c r="BG19" s="80"/>
      <c r="BH19" s="80"/>
      <c r="BI19" s="56"/>
      <c r="BJ19" s="57"/>
      <c r="BK19" s="81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  <c r="CU19" s="56"/>
      <c r="CV19" s="56"/>
      <c r="CW19" s="56"/>
      <c r="CX19" s="56"/>
      <c r="CY19" s="56"/>
      <c r="CZ19" s="56"/>
      <c r="DA19" s="56"/>
      <c r="DB19" s="56"/>
      <c r="DC19" s="56"/>
      <c r="DD19" s="56"/>
      <c r="DE19" s="56"/>
      <c r="DF19" s="56"/>
      <c r="DG19" s="56"/>
      <c r="DH19" s="56"/>
      <c r="DI19" s="56"/>
      <c r="DJ19" s="56"/>
      <c r="DK19" s="56"/>
      <c r="DL19" s="56"/>
      <c r="DM19" s="56"/>
      <c r="DN19" s="56"/>
      <c r="DO19" s="56"/>
      <c r="DP19" s="56"/>
      <c r="DQ19" s="56"/>
      <c r="DR19" s="56"/>
      <c r="DS19" s="56"/>
      <c r="DT19" s="56"/>
      <c r="DU19" s="56"/>
      <c r="DV19" s="56"/>
      <c r="DW19" s="56"/>
      <c r="DX19" s="56"/>
      <c r="DY19" s="56"/>
      <c r="DZ19" s="56"/>
      <c r="EA19" s="56"/>
      <c r="EB19" s="56"/>
      <c r="EC19" s="56"/>
      <c r="ED19" s="56"/>
      <c r="EE19" s="56"/>
      <c r="EF19" s="56"/>
      <c r="EG19" s="56"/>
      <c r="EH19" s="56"/>
      <c r="EI19" s="56"/>
      <c r="EJ19" s="56"/>
      <c r="EK19" s="56"/>
      <c r="EL19" s="56"/>
      <c r="EM19" s="56"/>
      <c r="EN19" s="56"/>
      <c r="EO19" s="56"/>
      <c r="EP19" s="56"/>
      <c r="EQ19" s="56"/>
      <c r="ER19" s="56"/>
      <c r="ES19" s="56"/>
      <c r="ET19" s="56"/>
      <c r="EU19" s="56"/>
      <c r="EV19" s="56"/>
      <c r="EW19" s="56"/>
      <c r="EX19" s="56"/>
      <c r="EY19" s="56"/>
      <c r="EZ19" s="56"/>
      <c r="FA19" s="56"/>
      <c r="FB19" s="56"/>
      <c r="FC19" s="56"/>
      <c r="FD19" s="56"/>
      <c r="FE19" s="56"/>
      <c r="FF19" s="56"/>
      <c r="FG19" s="56"/>
      <c r="FH19" s="56"/>
      <c r="FI19" s="56"/>
      <c r="FJ19" s="56"/>
      <c r="FK19" s="56"/>
      <c r="FL19" s="56"/>
      <c r="FM19" s="56"/>
      <c r="FN19" s="56"/>
      <c r="FO19" s="56"/>
      <c r="FP19" s="56"/>
      <c r="FQ19" s="56"/>
      <c r="FR19" s="56"/>
      <c r="FS19" s="56"/>
      <c r="FT19" s="56"/>
      <c r="FU19" s="56"/>
      <c r="FV19" s="56"/>
      <c r="FW19" s="56"/>
      <c r="FX19" s="56"/>
      <c r="FY19" s="56"/>
      <c r="FZ19" s="56"/>
      <c r="GA19" s="56"/>
      <c r="GB19" s="56"/>
      <c r="GC19" s="56"/>
      <c r="GD19" s="56"/>
      <c r="GE19" s="56"/>
      <c r="GF19" s="56"/>
      <c r="GG19" s="56"/>
      <c r="GH19" s="56"/>
      <c r="GI19" s="56"/>
      <c r="GJ19" s="56"/>
      <c r="GK19" s="56"/>
      <c r="GL19" s="56"/>
      <c r="GM19" s="56"/>
      <c r="GN19" s="56"/>
      <c r="GO19" s="56"/>
    </row>
    <row r="20" spans="1:197" ht="19.5" thickBot="1">
      <c r="A20" s="56"/>
      <c r="B20" s="56"/>
      <c r="C20" s="56"/>
      <c r="D20" s="56"/>
      <c r="J20" s="132" t="s">
        <v>138</v>
      </c>
      <c r="K20" s="95">
        <v>1</v>
      </c>
      <c r="L20" s="95">
        <v>2</v>
      </c>
      <c r="N20" s="133"/>
      <c r="O20" s="88"/>
      <c r="P20" s="134"/>
      <c r="Q20" s="88"/>
      <c r="R20" s="88"/>
      <c r="S20" s="104"/>
      <c r="T20" s="104"/>
      <c r="U20" s="135"/>
      <c r="V20" s="56"/>
      <c r="W20" s="56"/>
      <c r="X20" s="56"/>
      <c r="Y20" s="56"/>
      <c r="Z20" s="56"/>
      <c r="AA20" s="56"/>
      <c r="AB20" s="56"/>
      <c r="AC20" s="136"/>
      <c r="AD20" s="137"/>
      <c r="AE20" s="68"/>
      <c r="AF20" s="79"/>
      <c r="AG20" s="56"/>
      <c r="AH20" s="138"/>
      <c r="AI20" s="56"/>
      <c r="AJ20" s="56"/>
      <c r="AK20" s="56"/>
      <c r="AL20" s="98"/>
      <c r="AM20" s="56"/>
      <c r="AN20" s="56"/>
      <c r="AO20" s="56"/>
      <c r="AP20" s="56"/>
      <c r="AQ20" s="56"/>
      <c r="AR20" s="56"/>
      <c r="AS20" s="56"/>
      <c r="AT20" s="80"/>
      <c r="AU20" s="80"/>
      <c r="AV20" s="80"/>
      <c r="AW20" s="80"/>
      <c r="AX20" s="56"/>
      <c r="AY20" s="56"/>
      <c r="AZ20" s="881"/>
      <c r="BA20" s="882"/>
      <c r="BB20" s="883"/>
      <c r="BC20" s="80"/>
      <c r="BD20" s="80"/>
      <c r="BE20" s="80"/>
      <c r="BF20" s="80"/>
      <c r="BG20" s="80"/>
      <c r="BH20" s="80"/>
      <c r="BI20" s="56"/>
      <c r="BJ20" s="57"/>
      <c r="BK20" s="81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56"/>
      <c r="DD20" s="56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6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  <c r="EY20" s="56"/>
      <c r="EZ20" s="56"/>
      <c r="FA20" s="56"/>
      <c r="FB20" s="56"/>
      <c r="FC20" s="56"/>
      <c r="FD20" s="56"/>
      <c r="FE20" s="56"/>
      <c r="FF20" s="56"/>
      <c r="FG20" s="56"/>
      <c r="FH20" s="56"/>
      <c r="FI20" s="56"/>
      <c r="FJ20" s="56"/>
      <c r="FK20" s="56"/>
      <c r="FL20" s="56"/>
      <c r="FM20" s="56"/>
      <c r="FN20" s="56"/>
      <c r="FO20" s="56"/>
      <c r="FP20" s="56"/>
      <c r="FQ20" s="56"/>
      <c r="FR20" s="56"/>
      <c r="FS20" s="56"/>
      <c r="FT20" s="56"/>
      <c r="FU20" s="56"/>
      <c r="FV20" s="56"/>
      <c r="FW20" s="56"/>
      <c r="FX20" s="56"/>
      <c r="FY20" s="56"/>
      <c r="FZ20" s="56"/>
      <c r="GA20" s="56"/>
      <c r="GB20" s="56"/>
      <c r="GC20" s="56"/>
      <c r="GD20" s="56"/>
      <c r="GE20" s="56"/>
      <c r="GF20" s="56"/>
      <c r="GG20" s="56"/>
      <c r="GH20" s="56"/>
      <c r="GI20" s="56"/>
      <c r="GJ20" s="56"/>
      <c r="GK20" s="56"/>
      <c r="GL20" s="56"/>
      <c r="GM20" s="56"/>
      <c r="GN20" s="56"/>
      <c r="GO20" s="56"/>
    </row>
    <row r="21" spans="1:197" ht="21.75" thickBot="1">
      <c r="A21" s="139" t="s">
        <v>139</v>
      </c>
      <c r="B21" s="139" t="s">
        <v>139</v>
      </c>
      <c r="C21" s="140" t="s">
        <v>140</v>
      </c>
      <c r="D21" s="140" t="s">
        <v>140</v>
      </c>
      <c r="J21" s="95"/>
      <c r="K21" s="141"/>
      <c r="L21" s="142"/>
      <c r="M21" s="95"/>
      <c r="N21" s="887" t="s">
        <v>141</v>
      </c>
      <c r="O21" s="888"/>
      <c r="P21" s="143"/>
      <c r="Q21" s="144"/>
      <c r="R21" s="144"/>
      <c r="S21" s="145" t="s">
        <v>142</v>
      </c>
      <c r="T21" s="145" t="s">
        <v>142</v>
      </c>
      <c r="U21" s="145" t="s">
        <v>142</v>
      </c>
      <c r="V21" s="145" t="s">
        <v>142</v>
      </c>
      <c r="X21" s="56"/>
      <c r="Y21" s="56"/>
      <c r="Z21" s="56"/>
      <c r="AA21" s="56"/>
      <c r="AB21" s="56"/>
      <c r="AC21" s="144"/>
      <c r="AD21" s="146"/>
      <c r="AE21" s="68"/>
      <c r="AF21" s="147"/>
      <c r="AG21" s="148"/>
      <c r="AH21" s="148"/>
      <c r="AI21" s="148"/>
      <c r="AJ21" s="148"/>
      <c r="AK21" s="148"/>
      <c r="AL21" s="149"/>
      <c r="AM21" s="149"/>
      <c r="AN21" s="149"/>
      <c r="AO21" s="149"/>
      <c r="AP21" s="149"/>
      <c r="AQ21" s="149"/>
      <c r="AR21" s="149"/>
      <c r="AS21" s="150"/>
      <c r="AT21" s="151"/>
      <c r="AU21" s="151"/>
      <c r="AV21" s="151"/>
      <c r="AW21" s="151"/>
      <c r="AX21" s="151"/>
      <c r="AY21" s="151"/>
      <c r="AZ21" s="884"/>
      <c r="BA21" s="885"/>
      <c r="BB21" s="886"/>
      <c r="BC21" s="80"/>
      <c r="BD21" s="80"/>
      <c r="BE21" s="80"/>
      <c r="BF21" s="80"/>
      <c r="BG21" s="80"/>
      <c r="BH21" s="80"/>
      <c r="BI21" s="151"/>
      <c r="BJ21" s="151"/>
      <c r="BK21" s="152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56"/>
      <c r="DD21" s="56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  <c r="EX21" s="56"/>
      <c r="EY21" s="56"/>
      <c r="EZ21" s="56"/>
      <c r="FA21" s="56"/>
      <c r="FB21" s="56"/>
      <c r="FC21" s="56"/>
      <c r="FD21" s="56"/>
      <c r="FE21" s="56"/>
      <c r="FF21" s="56"/>
      <c r="FG21" s="56"/>
      <c r="FH21" s="56"/>
      <c r="FI21" s="56"/>
      <c r="FJ21" s="56"/>
      <c r="FK21" s="56"/>
      <c r="FL21" s="56"/>
      <c r="FM21" s="56"/>
      <c r="FN21" s="56"/>
      <c r="FO21" s="56"/>
      <c r="FP21" s="56"/>
      <c r="FQ21" s="56"/>
      <c r="FR21" s="56"/>
      <c r="FS21" s="56"/>
      <c r="FT21" s="56"/>
      <c r="FU21" s="56"/>
      <c r="FV21" s="56"/>
      <c r="FW21" s="56"/>
      <c r="FX21" s="56"/>
      <c r="FY21" s="56"/>
      <c r="FZ21" s="56"/>
      <c r="GA21" s="56"/>
      <c r="GB21" s="56"/>
      <c r="GC21" s="56"/>
      <c r="GD21" s="56"/>
      <c r="GE21" s="56"/>
      <c r="GF21" s="56"/>
      <c r="GG21" s="56"/>
      <c r="GH21" s="56"/>
      <c r="GI21" s="56"/>
      <c r="GJ21" s="56"/>
      <c r="GK21" s="56"/>
      <c r="GL21" s="56"/>
      <c r="GM21" s="56"/>
      <c r="GN21" s="56"/>
      <c r="GO21" s="56"/>
    </row>
    <row r="22" spans="1:197" ht="21.75" thickBot="1">
      <c r="A22" s="59"/>
      <c r="B22" s="59"/>
      <c r="C22" s="59"/>
      <c r="D22" s="59"/>
      <c r="E22" s="59"/>
      <c r="F22" s="59"/>
      <c r="G22" s="59"/>
      <c r="H22" s="59"/>
      <c r="I22" s="95"/>
      <c r="J22" s="141"/>
      <c r="K22" s="153" t="s">
        <v>143</v>
      </c>
      <c r="L22" s="153" t="s">
        <v>143</v>
      </c>
      <c r="M22" s="154" t="s">
        <v>132</v>
      </c>
      <c r="N22" s="55"/>
      <c r="O22" s="55"/>
      <c r="P22" s="155" t="s">
        <v>48</v>
      </c>
      <c r="Q22" s="155" t="s">
        <v>48</v>
      </c>
      <c r="R22" s="155" t="s">
        <v>48</v>
      </c>
      <c r="S22" s="155" t="s">
        <v>48</v>
      </c>
      <c r="T22" s="155" t="s">
        <v>48</v>
      </c>
      <c r="U22" s="155" t="s">
        <v>48</v>
      </c>
      <c r="V22" s="155" t="s">
        <v>48</v>
      </c>
      <c r="W22" s="156"/>
      <c r="X22" s="155" t="s">
        <v>48</v>
      </c>
      <c r="Y22" s="156"/>
      <c r="Z22" s="155" t="s">
        <v>48</v>
      </c>
      <c r="AA22" s="156"/>
      <c r="AB22" s="155" t="s">
        <v>48</v>
      </c>
      <c r="AC22" s="57"/>
      <c r="AD22" s="57"/>
      <c r="AE22" s="157"/>
      <c r="AF22" s="141"/>
      <c r="AG22" s="158" t="s">
        <v>4</v>
      </c>
      <c r="AH22" s="158" t="s">
        <v>4</v>
      </c>
      <c r="AI22" s="159" t="s">
        <v>24</v>
      </c>
      <c r="AJ22" s="160" t="s">
        <v>6</v>
      </c>
      <c r="AK22" s="161" t="s">
        <v>68</v>
      </c>
      <c r="AL22" s="141"/>
      <c r="AM22" s="162"/>
      <c r="AN22" s="56"/>
      <c r="AO22" s="56"/>
      <c r="AP22" s="163" t="s">
        <v>144</v>
      </c>
      <c r="AQ22" s="163" t="s">
        <v>144</v>
      </c>
      <c r="AR22" s="164" t="s">
        <v>145</v>
      </c>
      <c r="AS22" s="164" t="s">
        <v>145</v>
      </c>
      <c r="AT22" s="165" t="s">
        <v>146</v>
      </c>
      <c r="AU22" s="165" t="s">
        <v>146</v>
      </c>
      <c r="AV22" s="166" t="s">
        <v>147</v>
      </c>
      <c r="AW22" s="166" t="s">
        <v>147</v>
      </c>
      <c r="AX22" s="56"/>
      <c r="AY22" s="56"/>
      <c r="AZ22" s="56"/>
      <c r="BA22" s="56"/>
      <c r="BB22" s="167"/>
      <c r="BC22" s="168" t="s">
        <v>71</v>
      </c>
      <c r="BD22" s="168" t="s">
        <v>71</v>
      </c>
      <c r="BE22" s="168" t="s">
        <v>71</v>
      </c>
      <c r="BF22" s="169" t="s">
        <v>84</v>
      </c>
      <c r="BG22" s="169" t="s">
        <v>84</v>
      </c>
      <c r="BH22" s="170" t="s">
        <v>31</v>
      </c>
      <c r="BI22" s="167"/>
      <c r="BJ22" s="171"/>
      <c r="BK22" s="172" t="s">
        <v>148</v>
      </c>
      <c r="BL22" s="83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  <c r="EU22" s="56"/>
      <c r="EV22" s="56"/>
      <c r="EW22" s="56"/>
      <c r="EX22" s="56"/>
      <c r="EY22" s="56"/>
      <c r="EZ22" s="56"/>
      <c r="FA22" s="56"/>
      <c r="FB22" s="56"/>
      <c r="FC22" s="56"/>
      <c r="FD22" s="56"/>
      <c r="FE22" s="56"/>
      <c r="FF22" s="56"/>
      <c r="FG22" s="56"/>
      <c r="FH22" s="56"/>
      <c r="FI22" s="56"/>
      <c r="FJ22" s="56"/>
      <c r="FK22" s="56"/>
      <c r="FL22" s="56"/>
      <c r="FM22" s="56"/>
      <c r="FN22" s="56"/>
      <c r="FO22" s="56"/>
      <c r="FP22" s="56"/>
      <c r="FQ22" s="56"/>
      <c r="FR22" s="56"/>
      <c r="FS22" s="56"/>
      <c r="FT22" s="56"/>
      <c r="FU22" s="56"/>
      <c r="FV22" s="56"/>
      <c r="FW22" s="56"/>
      <c r="FX22" s="56"/>
      <c r="FY22" s="56"/>
      <c r="FZ22" s="56"/>
      <c r="GA22" s="56"/>
      <c r="GB22" s="56"/>
      <c r="GC22" s="56"/>
      <c r="GD22" s="56"/>
      <c r="GE22" s="56"/>
      <c r="GF22" s="56"/>
      <c r="GG22" s="56"/>
      <c r="GH22" s="56"/>
      <c r="GI22" s="56"/>
      <c r="GJ22" s="56"/>
      <c r="GK22" s="56"/>
      <c r="GL22" s="56"/>
      <c r="GM22" s="56"/>
      <c r="GN22" s="56"/>
      <c r="GO22" s="56"/>
    </row>
    <row r="23" spans="1:197" ht="23.25">
      <c r="A23" s="173"/>
      <c r="B23" s="171"/>
      <c r="C23" s="171"/>
      <c r="D23" s="56"/>
      <c r="E23" s="174"/>
      <c r="F23" s="175"/>
      <c r="G23" s="56"/>
      <c r="H23" s="56"/>
      <c r="I23" s="56"/>
      <c r="J23" s="56"/>
      <c r="K23" s="56"/>
      <c r="L23" s="56"/>
      <c r="M23" s="56"/>
      <c r="N23" s="56"/>
      <c r="O23" s="55"/>
      <c r="P23" s="176"/>
      <c r="Q23" s="176"/>
      <c r="R23" s="176"/>
      <c r="S23" s="176"/>
      <c r="T23" s="176"/>
      <c r="U23" s="176"/>
      <c r="V23" s="177"/>
      <c r="W23" s="104"/>
      <c r="X23" s="177"/>
      <c r="Y23" s="178"/>
      <c r="Z23" s="177"/>
      <c r="AA23" s="179"/>
      <c r="AB23" s="177"/>
      <c r="AC23" s="57"/>
      <c r="AD23" s="57"/>
      <c r="AE23" s="57"/>
      <c r="AF23" s="101" t="s">
        <v>149</v>
      </c>
      <c r="AG23" s="141" t="s">
        <v>129</v>
      </c>
      <c r="AH23" s="141" t="s">
        <v>129</v>
      </c>
      <c r="AI23" s="141" t="s">
        <v>129</v>
      </c>
      <c r="AJ23" s="141" t="s">
        <v>129</v>
      </c>
      <c r="AK23" s="141" t="s">
        <v>129</v>
      </c>
      <c r="AL23" s="162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101" t="s">
        <v>150</v>
      </c>
      <c r="BC23" s="167" t="s">
        <v>129</v>
      </c>
      <c r="BD23" s="167" t="s">
        <v>129</v>
      </c>
      <c r="BE23" s="167" t="s">
        <v>129</v>
      </c>
      <c r="BF23" s="167" t="s">
        <v>129</v>
      </c>
      <c r="BG23" s="167" t="s">
        <v>129</v>
      </c>
      <c r="BH23" s="167" t="s">
        <v>129</v>
      </c>
      <c r="BI23" s="180"/>
      <c r="BJ23" s="181" t="s">
        <v>151</v>
      </c>
      <c r="BK23" s="182" t="s">
        <v>152</v>
      </c>
      <c r="BL23" s="83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  <c r="CZ23" s="56"/>
      <c r="DA23" s="56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  <c r="EX23" s="56"/>
      <c r="EY23" s="56"/>
      <c r="EZ23" s="56"/>
      <c r="FA23" s="56"/>
      <c r="FB23" s="56"/>
      <c r="FC23" s="56"/>
      <c r="FD23" s="56"/>
      <c r="FE23" s="56"/>
      <c r="FF23" s="56"/>
      <c r="FG23" s="56"/>
      <c r="FH23" s="56"/>
      <c r="FI23" s="56"/>
      <c r="FJ23" s="56"/>
      <c r="FK23" s="56"/>
      <c r="FL23" s="56"/>
      <c r="FM23" s="56"/>
      <c r="FN23" s="56"/>
      <c r="FO23" s="56"/>
      <c r="FP23" s="56"/>
      <c r="FQ23" s="56"/>
      <c r="FR23" s="56"/>
      <c r="FS23" s="56"/>
      <c r="FT23" s="56"/>
      <c r="FU23" s="56"/>
      <c r="FV23" s="56"/>
      <c r="FW23" s="56"/>
      <c r="FX23" s="56"/>
      <c r="FY23" s="56"/>
      <c r="FZ23" s="56"/>
      <c r="GA23" s="56"/>
      <c r="GB23" s="56"/>
      <c r="GC23" s="56"/>
      <c r="GD23" s="56"/>
      <c r="GE23" s="56"/>
      <c r="GF23" s="56"/>
      <c r="GG23" s="56"/>
      <c r="GH23" s="56"/>
      <c r="GI23" s="56"/>
      <c r="GJ23" s="56"/>
      <c r="GK23" s="56"/>
      <c r="GL23" s="56"/>
      <c r="GM23" s="56"/>
      <c r="GN23" s="56"/>
      <c r="GO23" s="56"/>
    </row>
    <row r="24" spans="1:197" ht="21">
      <c r="A24" s="173"/>
      <c r="B24" s="171"/>
      <c r="C24" s="171"/>
      <c r="D24" s="56"/>
      <c r="E24" s="56"/>
      <c r="F24" s="183"/>
      <c r="G24" s="184"/>
      <c r="H24" s="56"/>
      <c r="I24" s="56"/>
      <c r="J24" s="56"/>
      <c r="K24" s="56"/>
      <c r="L24" s="56"/>
      <c r="M24" s="56"/>
      <c r="N24" s="185"/>
      <c r="O24" s="186"/>
      <c r="P24" s="87"/>
      <c r="Q24" s="87"/>
      <c r="R24" s="87"/>
      <c r="S24" s="87"/>
      <c r="T24" s="87"/>
      <c r="U24" s="87"/>
      <c r="V24" s="55"/>
      <c r="W24" s="57"/>
      <c r="X24" s="57"/>
      <c r="Y24" s="57"/>
      <c r="Z24" s="57"/>
      <c r="AA24" s="57"/>
      <c r="AB24" s="57"/>
      <c r="AC24" s="57"/>
      <c r="AD24" s="57"/>
      <c r="AE24" s="57"/>
      <c r="AF24" s="187"/>
      <c r="AG24" s="188">
        <v>1</v>
      </c>
      <c r="AH24" s="188">
        <v>2</v>
      </c>
      <c r="AI24" s="188">
        <v>3</v>
      </c>
      <c r="AJ24" s="188">
        <v>4</v>
      </c>
      <c r="AK24" s="188">
        <v>5</v>
      </c>
      <c r="AL24" s="189"/>
      <c r="AM24" s="189"/>
      <c r="AN24" s="189"/>
      <c r="AO24" s="189"/>
      <c r="AP24" s="189"/>
      <c r="AQ24" s="189"/>
      <c r="AR24" s="189"/>
      <c r="AS24" s="189"/>
      <c r="AT24" s="189"/>
      <c r="AU24" s="189"/>
      <c r="AV24" s="189"/>
      <c r="AW24" s="189"/>
      <c r="AX24" s="189"/>
      <c r="AY24" s="189"/>
      <c r="AZ24" s="56"/>
      <c r="BB24" s="889" t="s">
        <v>153</v>
      </c>
      <c r="BC24" s="190">
        <v>1</v>
      </c>
      <c r="BD24" s="190">
        <v>2</v>
      </c>
      <c r="BE24" s="190">
        <v>3</v>
      </c>
      <c r="BF24" s="190">
        <v>4</v>
      </c>
      <c r="BG24" s="190">
        <v>5</v>
      </c>
      <c r="BH24" s="190">
        <v>6</v>
      </c>
      <c r="BI24" s="57"/>
      <c r="BJ24" s="57"/>
      <c r="BK24" s="191" t="s">
        <v>154</v>
      </c>
      <c r="BL24" s="83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6"/>
      <c r="DD24" s="56"/>
      <c r="DE24" s="56"/>
      <c r="DF24" s="56"/>
      <c r="DG24" s="56"/>
      <c r="DH24" s="56"/>
      <c r="DI24" s="56"/>
      <c r="DJ24" s="56"/>
      <c r="DK24" s="56"/>
      <c r="DL24" s="56"/>
      <c r="DM24" s="56"/>
      <c r="DN24" s="56"/>
      <c r="DO24" s="56"/>
      <c r="DP24" s="56"/>
      <c r="DQ24" s="56"/>
      <c r="DR24" s="56"/>
      <c r="DS24" s="56"/>
      <c r="DT24" s="56"/>
      <c r="DU24" s="56"/>
      <c r="DV24" s="56"/>
      <c r="DW24" s="56"/>
      <c r="DX24" s="56"/>
      <c r="DY24" s="56"/>
      <c r="DZ24" s="56"/>
      <c r="EA24" s="56"/>
      <c r="EB24" s="56"/>
      <c r="EC24" s="56"/>
      <c r="ED24" s="56"/>
      <c r="EE24" s="56"/>
      <c r="EF24" s="56"/>
      <c r="EG24" s="56"/>
      <c r="EH24" s="56"/>
      <c r="EI24" s="56"/>
      <c r="EJ24" s="56"/>
      <c r="EK24" s="56"/>
      <c r="EL24" s="56"/>
      <c r="EM24" s="56"/>
      <c r="EN24" s="56"/>
      <c r="EO24" s="56"/>
      <c r="EP24" s="56"/>
      <c r="EQ24" s="56"/>
      <c r="ER24" s="56"/>
      <c r="ES24" s="56"/>
      <c r="ET24" s="56"/>
      <c r="EU24" s="56"/>
      <c r="EV24" s="56"/>
      <c r="EW24" s="56"/>
      <c r="EX24" s="56"/>
      <c r="EY24" s="56"/>
      <c r="EZ24" s="56"/>
      <c r="FA24" s="56"/>
      <c r="FB24" s="56"/>
      <c r="FC24" s="56"/>
      <c r="FD24" s="56"/>
      <c r="FE24" s="56"/>
      <c r="FF24" s="56"/>
      <c r="FG24" s="56"/>
      <c r="FH24" s="56"/>
      <c r="FI24" s="56"/>
      <c r="FJ24" s="56"/>
      <c r="FK24" s="56"/>
      <c r="FL24" s="56"/>
      <c r="FM24" s="56"/>
      <c r="FN24" s="56"/>
      <c r="FO24" s="56"/>
      <c r="FP24" s="56"/>
      <c r="FQ24" s="56"/>
      <c r="FR24" s="56"/>
      <c r="FS24" s="56"/>
      <c r="FT24" s="56"/>
      <c r="FU24" s="56"/>
      <c r="FV24" s="56"/>
      <c r="FW24" s="56"/>
      <c r="FX24" s="56"/>
      <c r="FY24" s="56"/>
      <c r="FZ24" s="56"/>
      <c r="GA24" s="56"/>
      <c r="GB24" s="56"/>
      <c r="GC24" s="56"/>
      <c r="GD24" s="56"/>
      <c r="GE24" s="56"/>
      <c r="GF24" s="56"/>
      <c r="GG24" s="56"/>
      <c r="GH24" s="56"/>
      <c r="GI24" s="56"/>
      <c r="GJ24" s="56"/>
      <c r="GK24" s="56"/>
      <c r="GL24" s="56"/>
      <c r="GM24" s="56"/>
      <c r="GN24" s="56"/>
      <c r="GO24" s="56"/>
    </row>
    <row r="25" spans="1:197" ht="21">
      <c r="A25" s="192"/>
      <c r="B25" s="186"/>
      <c r="C25" s="186"/>
      <c r="D25" s="56"/>
      <c r="E25" s="56"/>
      <c r="F25" s="193"/>
      <c r="G25" s="184"/>
      <c r="H25" s="56"/>
      <c r="I25" s="56"/>
      <c r="K25" s="56"/>
      <c r="L25" s="56"/>
      <c r="M25" s="56"/>
      <c r="N25" s="1085"/>
      <c r="O25" s="1085"/>
      <c r="P25" s="55"/>
      <c r="Q25" s="55"/>
      <c r="R25" s="55"/>
      <c r="S25" s="55"/>
      <c r="T25" s="55"/>
      <c r="U25" s="55"/>
      <c r="V25" s="55"/>
      <c r="W25" s="56"/>
      <c r="X25" s="56"/>
      <c r="Y25" s="56"/>
      <c r="Z25" s="56"/>
      <c r="AA25" s="56"/>
      <c r="AB25" s="56"/>
      <c r="AC25" s="56"/>
      <c r="AD25" s="56"/>
      <c r="AE25" s="194"/>
      <c r="AF25" s="825" t="s">
        <v>155</v>
      </c>
      <c r="AG25" s="825"/>
      <c r="AH25" s="194"/>
      <c r="AI25" s="56"/>
      <c r="AJ25" s="56"/>
      <c r="AK25" s="56"/>
      <c r="AL25" s="825" t="s">
        <v>155</v>
      </c>
      <c r="AM25" s="825"/>
      <c r="AN25" s="56"/>
      <c r="AO25" s="56"/>
      <c r="AP25" s="56"/>
      <c r="AQ25" s="56"/>
      <c r="AR25" s="195"/>
      <c r="AS25" s="195"/>
      <c r="AT25" s="195"/>
      <c r="AU25" s="195"/>
      <c r="AV25" s="194"/>
      <c r="AW25" s="56"/>
      <c r="AX25" s="56"/>
      <c r="AY25" s="56"/>
      <c r="AZ25" s="56"/>
      <c r="BB25" s="889"/>
      <c r="BC25" s="196"/>
      <c r="BD25" s="197"/>
      <c r="BE25" s="197"/>
      <c r="BF25" s="197"/>
      <c r="BG25" s="197"/>
      <c r="BH25" s="197"/>
      <c r="BI25" s="98"/>
      <c r="BJ25" s="198" t="s">
        <v>151</v>
      </c>
      <c r="BK25" s="199" t="s">
        <v>156</v>
      </c>
      <c r="BL25" s="83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  <c r="CY25" s="56"/>
      <c r="CZ25" s="56"/>
      <c r="DA25" s="56"/>
      <c r="DB25" s="56"/>
      <c r="DC25" s="56"/>
      <c r="DD25" s="56"/>
      <c r="DE25" s="56"/>
      <c r="DF25" s="56"/>
      <c r="DG25" s="56"/>
      <c r="DH25" s="56"/>
      <c r="DI25" s="56"/>
      <c r="DJ25" s="56"/>
      <c r="DK25" s="56"/>
      <c r="DL25" s="56"/>
      <c r="DM25" s="56"/>
      <c r="DN25" s="56"/>
      <c r="DO25" s="56"/>
      <c r="DP25" s="56"/>
      <c r="DQ25" s="56"/>
      <c r="DR25" s="56"/>
      <c r="DS25" s="56"/>
      <c r="DT25" s="56"/>
      <c r="DU25" s="56"/>
      <c r="DV25" s="56"/>
      <c r="DW25" s="56"/>
      <c r="DX25" s="56"/>
      <c r="DY25" s="56"/>
      <c r="DZ25" s="56"/>
      <c r="EA25" s="56"/>
      <c r="EB25" s="56"/>
      <c r="EC25" s="56"/>
      <c r="ED25" s="56"/>
      <c r="EE25" s="56"/>
      <c r="EF25" s="56"/>
      <c r="EG25" s="56"/>
      <c r="EH25" s="56"/>
      <c r="EI25" s="56"/>
      <c r="EJ25" s="56"/>
      <c r="EK25" s="56"/>
      <c r="EL25" s="56"/>
      <c r="EM25" s="56"/>
      <c r="EN25" s="56"/>
      <c r="EO25" s="56"/>
      <c r="EP25" s="56"/>
      <c r="EQ25" s="56"/>
      <c r="ER25" s="56"/>
      <c r="ES25" s="56"/>
      <c r="ET25" s="56"/>
      <c r="EU25" s="56"/>
      <c r="EV25" s="56"/>
      <c r="EW25" s="56"/>
      <c r="EX25" s="56"/>
      <c r="EY25" s="56"/>
      <c r="EZ25" s="56"/>
      <c r="FA25" s="56"/>
      <c r="FB25" s="56"/>
      <c r="FC25" s="56"/>
      <c r="FD25" s="56"/>
      <c r="FE25" s="56"/>
      <c r="FF25" s="56"/>
      <c r="FG25" s="56"/>
      <c r="FH25" s="56"/>
      <c r="FI25" s="56"/>
      <c r="FJ25" s="56"/>
      <c r="FK25" s="56"/>
      <c r="FL25" s="56"/>
      <c r="FM25" s="56"/>
      <c r="FN25" s="56"/>
      <c r="FO25" s="56"/>
      <c r="FP25" s="56"/>
      <c r="FQ25" s="56"/>
      <c r="FR25" s="56"/>
      <c r="FS25" s="56"/>
      <c r="FT25" s="56"/>
      <c r="FU25" s="56"/>
      <c r="FV25" s="56"/>
      <c r="FW25" s="56"/>
      <c r="FX25" s="56"/>
      <c r="FY25" s="56"/>
      <c r="FZ25" s="56"/>
      <c r="GA25" s="56"/>
      <c r="GB25" s="56"/>
      <c r="GC25" s="56"/>
      <c r="GD25" s="56"/>
      <c r="GE25" s="56"/>
      <c r="GF25" s="56"/>
      <c r="GG25" s="56"/>
      <c r="GH25" s="56"/>
      <c r="GI25" s="56"/>
      <c r="GJ25" s="56"/>
      <c r="GK25" s="56"/>
      <c r="GL25" s="56"/>
      <c r="GM25" s="56"/>
      <c r="GN25" s="56"/>
      <c r="GO25" s="56"/>
    </row>
    <row r="26" spans="1:197" ht="23.25">
      <c r="A26" s="200"/>
      <c r="B26" s="201"/>
      <c r="C26" s="201"/>
      <c r="D26" s="57"/>
      <c r="E26" s="57"/>
      <c r="F26" s="202"/>
      <c r="G26" s="203" t="s">
        <v>157</v>
      </c>
      <c r="H26" s="56"/>
      <c r="I26" s="201"/>
      <c r="K26" s="201"/>
      <c r="L26" s="201"/>
      <c r="M26" s="201"/>
      <c r="N26" s="204"/>
      <c r="O26" s="204"/>
      <c r="P26" s="55"/>
      <c r="Q26" s="55"/>
      <c r="R26" s="205"/>
      <c r="S26" s="205"/>
      <c r="T26" s="205"/>
      <c r="U26" s="205"/>
      <c r="V26" s="55"/>
      <c r="W26" s="56"/>
      <c r="X26" s="206"/>
      <c r="Y26" s="206"/>
      <c r="Z26" s="206"/>
      <c r="AA26" s="56"/>
      <c r="AB26" s="205"/>
      <c r="AC26" s="205"/>
      <c r="AD26" s="56"/>
      <c r="AE26" s="75" t="s">
        <v>150</v>
      </c>
      <c r="AF26" s="167"/>
      <c r="AG26" s="167"/>
      <c r="AH26" s="207" t="s">
        <v>158</v>
      </c>
      <c r="AI26" s="208"/>
      <c r="AJ26" s="187"/>
      <c r="AK26" s="75" t="s">
        <v>159</v>
      </c>
      <c r="AL26" s="167"/>
      <c r="AM26" s="167"/>
      <c r="AN26" s="195"/>
      <c r="AO26" s="195"/>
      <c r="AP26" s="57"/>
      <c r="AQ26" s="101" t="s">
        <v>160</v>
      </c>
      <c r="AR26" s="141"/>
      <c r="AS26" s="141"/>
      <c r="AT26" s="209"/>
      <c r="AU26" s="207" t="s">
        <v>161</v>
      </c>
      <c r="AV26" s="56"/>
      <c r="AW26" s="56"/>
      <c r="AX26" s="56"/>
      <c r="AY26" s="56"/>
      <c r="AZ26" s="56"/>
      <c r="BA26" s="187"/>
      <c r="BB26" s="187"/>
      <c r="BC26" s="187"/>
      <c r="BD26" s="210" t="s">
        <v>162</v>
      </c>
      <c r="BE26" s="210" t="s">
        <v>162</v>
      </c>
      <c r="BF26" s="210" t="s">
        <v>162</v>
      </c>
      <c r="BG26" s="120" t="s">
        <v>133</v>
      </c>
      <c r="BH26" s="120" t="s">
        <v>133</v>
      </c>
      <c r="BI26" s="98"/>
      <c r="BJ26" s="76"/>
      <c r="BK26" s="211" t="s">
        <v>163</v>
      </c>
      <c r="BL26" s="83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  <c r="DQ26" s="56"/>
      <c r="DR26" s="56"/>
      <c r="DS26" s="56"/>
      <c r="DT26" s="56"/>
      <c r="DU26" s="56"/>
      <c r="DV26" s="56"/>
      <c r="DW26" s="56"/>
      <c r="DX26" s="56"/>
      <c r="DY26" s="56"/>
      <c r="DZ26" s="56"/>
      <c r="EA26" s="56"/>
      <c r="EB26" s="56"/>
      <c r="EC26" s="56"/>
      <c r="ED26" s="56"/>
      <c r="EE26" s="56"/>
      <c r="EF26" s="56"/>
      <c r="EG26" s="56"/>
      <c r="EH26" s="56"/>
      <c r="EI26" s="56"/>
      <c r="EJ26" s="56"/>
      <c r="EK26" s="56"/>
      <c r="EL26" s="56"/>
      <c r="EM26" s="56"/>
      <c r="EN26" s="56"/>
      <c r="EO26" s="56"/>
      <c r="EP26" s="56"/>
      <c r="EQ26" s="56"/>
      <c r="ER26" s="56"/>
      <c r="ES26" s="56"/>
      <c r="ET26" s="56"/>
      <c r="EU26" s="56"/>
      <c r="EV26" s="56"/>
      <c r="EW26" s="56"/>
      <c r="EX26" s="56"/>
      <c r="EY26" s="56"/>
      <c r="EZ26" s="56"/>
      <c r="FA26" s="56"/>
      <c r="FB26" s="56"/>
      <c r="FC26" s="56"/>
      <c r="FD26" s="56"/>
      <c r="FE26" s="56"/>
      <c r="FF26" s="56"/>
      <c r="FG26" s="56"/>
      <c r="FH26" s="56"/>
      <c r="FI26" s="56"/>
      <c r="FJ26" s="56"/>
      <c r="FK26" s="56"/>
      <c r="FL26" s="56"/>
      <c r="FM26" s="56"/>
      <c r="FN26" s="56"/>
      <c r="FO26" s="56"/>
      <c r="FP26" s="56"/>
      <c r="FQ26" s="56"/>
      <c r="FR26" s="56"/>
      <c r="FS26" s="56"/>
      <c r="FT26" s="56"/>
      <c r="FU26" s="56"/>
      <c r="FV26" s="56"/>
      <c r="FW26" s="56"/>
      <c r="FX26" s="56"/>
      <c r="FY26" s="56"/>
      <c r="FZ26" s="56"/>
      <c r="GA26" s="56"/>
      <c r="GB26" s="56"/>
      <c r="GC26" s="56"/>
      <c r="GD26" s="56"/>
      <c r="GE26" s="56"/>
      <c r="GF26" s="56"/>
      <c r="GG26" s="56"/>
      <c r="GH26" s="56"/>
      <c r="GI26" s="56"/>
      <c r="GJ26" s="56"/>
      <c r="GK26" s="56"/>
      <c r="GL26" s="56"/>
      <c r="GM26" s="56"/>
      <c r="GN26" s="56"/>
      <c r="GO26" s="56"/>
    </row>
    <row r="27" spans="1:197" ht="21">
      <c r="A27" s="192"/>
      <c r="B27" s="186"/>
      <c r="C27" s="212"/>
      <c r="D27" s="57"/>
      <c r="E27" s="57"/>
      <c r="F27" s="202"/>
      <c r="G27" s="203" t="s">
        <v>157</v>
      </c>
      <c r="H27" s="56"/>
      <c r="I27" s="58"/>
      <c r="K27" s="212"/>
      <c r="L27" s="213"/>
      <c r="M27" s="214"/>
      <c r="N27" s="214"/>
      <c r="O27" s="171"/>
      <c r="P27" s="171"/>
      <c r="Q27" s="55"/>
      <c r="R27" s="215"/>
      <c r="S27" s="216" t="s">
        <v>164</v>
      </c>
      <c r="T27" s="216" t="s">
        <v>164</v>
      </c>
      <c r="U27" s="104"/>
      <c r="V27" s="55"/>
      <c r="W27" s="56"/>
      <c r="X27" s="206"/>
      <c r="Y27" s="213" t="s">
        <v>159</v>
      </c>
      <c r="Z27" s="217"/>
      <c r="AA27" s="217"/>
      <c r="AB27" s="218" t="s">
        <v>165</v>
      </c>
      <c r="AC27" s="56"/>
      <c r="AD27" s="219">
        <v>1</v>
      </c>
      <c r="AE27" s="220"/>
      <c r="AF27" s="221" t="s">
        <v>61</v>
      </c>
      <c r="AG27" s="221" t="s">
        <v>61</v>
      </c>
      <c r="AH27" s="220"/>
      <c r="AI27" s="222">
        <v>6</v>
      </c>
      <c r="AJ27" s="219">
        <v>1</v>
      </c>
      <c r="AK27" s="220"/>
      <c r="AL27" s="223" t="s">
        <v>63</v>
      </c>
      <c r="AM27" s="223" t="s">
        <v>63</v>
      </c>
      <c r="AN27" s="220"/>
      <c r="AO27" s="222">
        <v>6</v>
      </c>
      <c r="AP27" s="180">
        <v>1</v>
      </c>
      <c r="AQ27" s="141" t="s">
        <v>129</v>
      </c>
      <c r="AR27" s="170" t="s">
        <v>31</v>
      </c>
      <c r="AS27" s="168" t="s">
        <v>71</v>
      </c>
      <c r="AT27" s="141" t="s">
        <v>129</v>
      </c>
      <c r="AU27" s="224">
        <v>6</v>
      </c>
      <c r="AV27" s="56"/>
      <c r="AW27" s="135"/>
      <c r="AX27" s="210" t="s">
        <v>162</v>
      </c>
      <c r="AY27" s="120" t="s">
        <v>133</v>
      </c>
      <c r="AZ27" s="225"/>
      <c r="BA27" s="187"/>
      <c r="BB27" s="187"/>
      <c r="BC27" s="187"/>
      <c r="BD27" s="226" t="s">
        <v>166</v>
      </c>
      <c r="BE27" s="226" t="s">
        <v>166</v>
      </c>
      <c r="BF27" s="226" t="s">
        <v>166</v>
      </c>
      <c r="BG27" s="227" t="s">
        <v>167</v>
      </c>
      <c r="BH27" s="227" t="s">
        <v>167</v>
      </c>
      <c r="BI27" s="98"/>
      <c r="BJ27" s="228" t="s">
        <v>151</v>
      </c>
      <c r="BK27" s="229" t="s">
        <v>168</v>
      </c>
      <c r="BL27" s="83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6"/>
      <c r="CO27" s="56"/>
      <c r="CP27" s="56"/>
      <c r="CQ27" s="56"/>
      <c r="CR27" s="56"/>
      <c r="CS27" s="56"/>
      <c r="CT27" s="56"/>
      <c r="CU27" s="56"/>
      <c r="CV27" s="56"/>
      <c r="CW27" s="56"/>
      <c r="CX27" s="56"/>
      <c r="CY27" s="56"/>
      <c r="CZ27" s="56"/>
      <c r="DA27" s="56"/>
      <c r="DB27" s="56"/>
      <c r="DC27" s="56"/>
      <c r="DD27" s="56"/>
      <c r="DE27" s="56"/>
      <c r="DF27" s="56"/>
      <c r="DG27" s="56"/>
      <c r="DH27" s="56"/>
      <c r="DI27" s="56"/>
      <c r="DJ27" s="56"/>
      <c r="DK27" s="56"/>
      <c r="DL27" s="56"/>
      <c r="DM27" s="56"/>
      <c r="DN27" s="56"/>
      <c r="DO27" s="56"/>
      <c r="DP27" s="56"/>
      <c r="DQ27" s="56"/>
      <c r="DR27" s="56"/>
      <c r="DS27" s="56"/>
      <c r="DT27" s="56"/>
      <c r="DU27" s="56"/>
      <c r="DV27" s="56"/>
      <c r="DW27" s="56"/>
      <c r="DX27" s="56"/>
      <c r="DY27" s="56"/>
      <c r="DZ27" s="56"/>
      <c r="EA27" s="56"/>
      <c r="EB27" s="56"/>
      <c r="EC27" s="56"/>
      <c r="ED27" s="56"/>
      <c r="EE27" s="56"/>
      <c r="EF27" s="56"/>
      <c r="EG27" s="56"/>
      <c r="EH27" s="56"/>
      <c r="EI27" s="56"/>
      <c r="EJ27" s="56"/>
      <c r="EK27" s="56"/>
      <c r="EL27" s="56"/>
      <c r="EM27" s="56"/>
      <c r="EN27" s="56"/>
      <c r="EO27" s="56"/>
      <c r="EP27" s="56"/>
      <c r="EQ27" s="56"/>
      <c r="ER27" s="56"/>
      <c r="ES27" s="56"/>
      <c r="ET27" s="56"/>
      <c r="EU27" s="56"/>
      <c r="EV27" s="56"/>
      <c r="EW27" s="56"/>
      <c r="EX27" s="56"/>
      <c r="EY27" s="56"/>
      <c r="EZ27" s="56"/>
      <c r="FA27" s="56"/>
      <c r="FB27" s="56"/>
      <c r="FC27" s="56"/>
      <c r="FD27" s="56"/>
      <c r="FE27" s="56"/>
      <c r="FF27" s="56"/>
      <c r="FG27" s="56"/>
      <c r="FH27" s="56"/>
      <c r="FI27" s="56"/>
      <c r="FJ27" s="56"/>
      <c r="FK27" s="56"/>
      <c r="FL27" s="56"/>
      <c r="FM27" s="56"/>
      <c r="FN27" s="56"/>
      <c r="FO27" s="56"/>
      <c r="FP27" s="56"/>
      <c r="FQ27" s="56"/>
      <c r="FR27" s="56"/>
      <c r="FS27" s="56"/>
      <c r="FT27" s="56"/>
      <c r="FU27" s="56"/>
      <c r="FV27" s="56"/>
      <c r="FW27" s="56"/>
      <c r="FX27" s="56"/>
      <c r="FY27" s="56"/>
      <c r="FZ27" s="56"/>
      <c r="GA27" s="56"/>
      <c r="GB27" s="56"/>
      <c r="GC27" s="56"/>
      <c r="GD27" s="56"/>
      <c r="GE27" s="56"/>
      <c r="GF27" s="56"/>
      <c r="GG27" s="56"/>
      <c r="GH27" s="56"/>
      <c r="GI27" s="56"/>
      <c r="GJ27" s="56"/>
      <c r="GK27" s="56"/>
      <c r="GL27" s="56"/>
      <c r="GM27" s="56"/>
      <c r="GN27" s="56"/>
      <c r="GO27" s="56"/>
    </row>
    <row r="28" spans="1:197" ht="21">
      <c r="A28" s="192"/>
      <c r="B28" s="186"/>
      <c r="C28" s="185"/>
      <c r="D28" s="57"/>
      <c r="E28" s="57"/>
      <c r="F28" s="202"/>
      <c r="G28" s="203" t="s">
        <v>157</v>
      </c>
      <c r="H28" s="56"/>
      <c r="I28" s="58"/>
      <c r="K28" s="230">
        <v>1</v>
      </c>
      <c r="L28" s="214" t="s">
        <v>169</v>
      </c>
      <c r="M28" s="155" t="s">
        <v>48</v>
      </c>
      <c r="N28" s="155" t="s">
        <v>48</v>
      </c>
      <c r="O28" s="214" t="s">
        <v>169</v>
      </c>
      <c r="P28" s="231">
        <v>6</v>
      </c>
      <c r="Q28" s="55"/>
      <c r="R28" s="56"/>
      <c r="S28" s="56"/>
      <c r="T28" s="56"/>
      <c r="U28" s="104"/>
      <c r="V28" s="55"/>
      <c r="W28" s="56"/>
      <c r="X28" s="206"/>
      <c r="Y28" s="232" t="s">
        <v>169</v>
      </c>
      <c r="Z28" s="155" t="s">
        <v>48</v>
      </c>
      <c r="AA28" s="155" t="s">
        <v>48</v>
      </c>
      <c r="AB28" s="232" t="s">
        <v>169</v>
      </c>
      <c r="AC28" s="56"/>
      <c r="AD28" s="219">
        <v>2</v>
      </c>
      <c r="AE28" s="220"/>
      <c r="AF28" s="233" t="s">
        <v>59</v>
      </c>
      <c r="AG28" s="233" t="s">
        <v>59</v>
      </c>
      <c r="AH28" s="220"/>
      <c r="AI28" s="222">
        <v>5</v>
      </c>
      <c r="AJ28" s="219">
        <v>2</v>
      </c>
      <c r="AK28" s="220"/>
      <c r="AL28" s="233" t="s">
        <v>59</v>
      </c>
      <c r="AM28" s="233" t="s">
        <v>59</v>
      </c>
      <c r="AN28" s="220"/>
      <c r="AO28" s="222">
        <v>5</v>
      </c>
      <c r="AP28" s="180">
        <v>2</v>
      </c>
      <c r="AQ28" s="141" t="s">
        <v>129</v>
      </c>
      <c r="AR28" s="170" t="s">
        <v>31</v>
      </c>
      <c r="AS28" s="168" t="s">
        <v>71</v>
      </c>
      <c r="AT28" s="141" t="s">
        <v>129</v>
      </c>
      <c r="AU28" s="224">
        <v>5</v>
      </c>
      <c r="AV28" s="56"/>
      <c r="AW28" s="135"/>
      <c r="AX28" s="210" t="s">
        <v>162</v>
      </c>
      <c r="AY28" s="120" t="s">
        <v>133</v>
      </c>
      <c r="AZ28" s="225"/>
      <c r="BA28" s="98"/>
      <c r="BC28" s="98"/>
      <c r="BD28" s="187"/>
      <c r="BE28" s="98"/>
      <c r="BF28" s="197"/>
      <c r="BG28" s="197"/>
      <c r="BH28" s="197"/>
      <c r="BI28" s="197"/>
      <c r="BJ28" s="76"/>
      <c r="BK28" s="229" t="s">
        <v>168</v>
      </c>
      <c r="BL28" s="83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56"/>
      <c r="CO28" s="56"/>
      <c r="CP28" s="56"/>
      <c r="CQ28" s="56"/>
      <c r="CR28" s="56"/>
      <c r="CS28" s="56"/>
      <c r="CT28" s="56"/>
      <c r="CU28" s="56"/>
      <c r="CV28" s="56"/>
      <c r="CW28" s="56"/>
      <c r="CX28" s="56"/>
      <c r="CY28" s="56"/>
      <c r="CZ28" s="56"/>
      <c r="DA28" s="56"/>
      <c r="DB28" s="56"/>
      <c r="DC28" s="56"/>
      <c r="DD28" s="56"/>
      <c r="DE28" s="56"/>
      <c r="DF28" s="56"/>
      <c r="DG28" s="56"/>
      <c r="DH28" s="56"/>
      <c r="DI28" s="56"/>
      <c r="DJ28" s="56"/>
      <c r="DK28" s="56"/>
      <c r="DL28" s="56"/>
      <c r="DM28" s="56"/>
      <c r="DN28" s="56"/>
      <c r="DO28" s="56"/>
      <c r="DP28" s="56"/>
      <c r="DQ28" s="56"/>
      <c r="DR28" s="56"/>
      <c r="DS28" s="56"/>
      <c r="DT28" s="56"/>
      <c r="DU28" s="56"/>
      <c r="DV28" s="56"/>
      <c r="DW28" s="56"/>
      <c r="DX28" s="56"/>
      <c r="DY28" s="56"/>
      <c r="DZ28" s="56"/>
      <c r="EA28" s="56"/>
      <c r="EB28" s="56"/>
      <c r="EC28" s="56"/>
      <c r="ED28" s="56"/>
      <c r="EE28" s="56"/>
      <c r="EF28" s="56"/>
      <c r="EG28" s="56"/>
      <c r="EH28" s="56"/>
      <c r="EI28" s="56"/>
      <c r="EJ28" s="56"/>
      <c r="EK28" s="56"/>
      <c r="EL28" s="56"/>
      <c r="EM28" s="56"/>
      <c r="EN28" s="56"/>
      <c r="EO28" s="56"/>
      <c r="EP28" s="56"/>
      <c r="EQ28" s="56"/>
      <c r="ER28" s="56"/>
      <c r="ES28" s="56"/>
      <c r="ET28" s="56"/>
      <c r="EU28" s="56"/>
      <c r="EV28" s="56"/>
      <c r="EW28" s="56"/>
      <c r="EX28" s="56"/>
      <c r="EY28" s="56"/>
      <c r="EZ28" s="56"/>
      <c r="FA28" s="56"/>
      <c r="FB28" s="56"/>
      <c r="FC28" s="56"/>
      <c r="FD28" s="56"/>
      <c r="FE28" s="56"/>
      <c r="FF28" s="56"/>
      <c r="FG28" s="56"/>
      <c r="FH28" s="56"/>
      <c r="FI28" s="56"/>
      <c r="FJ28" s="56"/>
      <c r="FK28" s="56"/>
      <c r="FL28" s="56"/>
      <c r="FM28" s="56"/>
      <c r="FN28" s="56"/>
      <c r="FO28" s="56"/>
      <c r="FP28" s="56"/>
      <c r="FQ28" s="56"/>
      <c r="FR28" s="56"/>
      <c r="FS28" s="56"/>
      <c r="FT28" s="56"/>
      <c r="FU28" s="56"/>
      <c r="FV28" s="56"/>
      <c r="FW28" s="56"/>
      <c r="FX28" s="56"/>
      <c r="FY28" s="56"/>
      <c r="FZ28" s="56"/>
      <c r="GA28" s="56"/>
      <c r="GB28" s="56"/>
      <c r="GC28" s="56"/>
      <c r="GD28" s="56"/>
      <c r="GE28" s="56"/>
      <c r="GF28" s="56"/>
      <c r="GG28" s="56"/>
      <c r="GH28" s="56"/>
      <c r="GI28" s="56"/>
      <c r="GJ28" s="56"/>
      <c r="GK28" s="56"/>
      <c r="GL28" s="56"/>
      <c r="GM28" s="56"/>
      <c r="GN28" s="56"/>
      <c r="GO28" s="56"/>
    </row>
    <row r="29" spans="1:197" ht="21">
      <c r="A29" s="192"/>
      <c r="B29" s="186"/>
      <c r="C29" s="185"/>
      <c r="D29" s="57"/>
      <c r="E29" s="57"/>
      <c r="F29" s="202"/>
      <c r="G29" s="203" t="s">
        <v>157</v>
      </c>
      <c r="H29" s="104"/>
      <c r="I29" s="58"/>
      <c r="K29" s="230">
        <v>2</v>
      </c>
      <c r="L29" s="214" t="s">
        <v>169</v>
      </c>
      <c r="M29" s="155" t="s">
        <v>48</v>
      </c>
      <c r="N29" s="155" t="s">
        <v>48</v>
      </c>
      <c r="O29" s="214" t="s">
        <v>169</v>
      </c>
      <c r="P29" s="231">
        <v>5</v>
      </c>
      <c r="Q29" s="55"/>
      <c r="R29" s="56"/>
      <c r="S29" s="216" t="s">
        <v>164</v>
      </c>
      <c r="T29" s="216" t="s">
        <v>164</v>
      </c>
      <c r="U29" s="104"/>
      <c r="V29" s="56"/>
      <c r="W29" s="56"/>
      <c r="X29" s="206"/>
      <c r="Y29" s="232" t="s">
        <v>169</v>
      </c>
      <c r="Z29" s="155" t="s">
        <v>48</v>
      </c>
      <c r="AA29" s="155" t="s">
        <v>48</v>
      </c>
      <c r="AB29" s="232" t="s">
        <v>169</v>
      </c>
      <c r="AC29" s="56"/>
      <c r="AD29" s="219">
        <v>3</v>
      </c>
      <c r="AE29" s="220"/>
      <c r="AF29" s="221" t="s">
        <v>61</v>
      </c>
      <c r="AG29" s="221" t="s">
        <v>61</v>
      </c>
      <c r="AH29" s="220"/>
      <c r="AI29" s="222">
        <v>4</v>
      </c>
      <c r="AJ29" s="219">
        <v>3</v>
      </c>
      <c r="AK29" s="220"/>
      <c r="AL29" s="233" t="s">
        <v>59</v>
      </c>
      <c r="AM29" s="233" t="s">
        <v>59</v>
      </c>
      <c r="AN29" s="220"/>
      <c r="AO29" s="222">
        <v>4</v>
      </c>
      <c r="AP29" s="180">
        <v>3</v>
      </c>
      <c r="AQ29" s="141" t="s">
        <v>129</v>
      </c>
      <c r="AR29" s="170" t="s">
        <v>31</v>
      </c>
      <c r="AS29" s="168" t="s">
        <v>71</v>
      </c>
      <c r="AT29" s="141" t="s">
        <v>129</v>
      </c>
      <c r="AU29" s="224">
        <v>4</v>
      </c>
      <c r="AV29" s="56"/>
      <c r="AW29" s="135"/>
      <c r="AX29" s="210" t="s">
        <v>162</v>
      </c>
      <c r="AY29" s="119" t="s">
        <v>132</v>
      </c>
      <c r="AZ29" s="56"/>
      <c r="BA29" s="56"/>
      <c r="BC29" s="196"/>
      <c r="BD29" s="197"/>
      <c r="BE29" s="197"/>
      <c r="BF29" s="197"/>
      <c r="BG29" s="197"/>
      <c r="BH29" s="197"/>
      <c r="BI29" s="129"/>
      <c r="BJ29" s="234" t="s">
        <v>151</v>
      </c>
      <c r="BK29" s="235" t="s">
        <v>170</v>
      </c>
      <c r="BL29" s="83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6"/>
      <c r="DC29" s="56"/>
      <c r="DD29" s="56"/>
      <c r="DE29" s="56"/>
      <c r="DF29" s="56"/>
      <c r="DG29" s="56"/>
      <c r="DH29" s="56"/>
      <c r="DI29" s="56"/>
      <c r="DJ29" s="56"/>
      <c r="DK29" s="56"/>
      <c r="DL29" s="56"/>
      <c r="DM29" s="56"/>
      <c r="DN29" s="56"/>
      <c r="DO29" s="56"/>
      <c r="DP29" s="56"/>
      <c r="DQ29" s="56"/>
      <c r="DR29" s="56"/>
      <c r="DS29" s="56"/>
      <c r="DT29" s="56"/>
      <c r="DU29" s="56"/>
      <c r="DV29" s="56"/>
      <c r="DW29" s="56"/>
      <c r="DX29" s="56"/>
      <c r="DY29" s="56"/>
      <c r="DZ29" s="56"/>
      <c r="EA29" s="56"/>
      <c r="EB29" s="56"/>
      <c r="EC29" s="56"/>
      <c r="ED29" s="56"/>
      <c r="EE29" s="56"/>
      <c r="EF29" s="56"/>
      <c r="EG29" s="56"/>
      <c r="EH29" s="56"/>
      <c r="EI29" s="56"/>
      <c r="EJ29" s="56"/>
      <c r="EK29" s="56"/>
      <c r="EL29" s="56"/>
      <c r="EM29" s="56"/>
      <c r="EN29" s="56"/>
      <c r="EO29" s="56"/>
      <c r="EP29" s="56"/>
      <c r="EQ29" s="56"/>
      <c r="ER29" s="56"/>
      <c r="ES29" s="56"/>
      <c r="ET29" s="56"/>
      <c r="EU29" s="56"/>
      <c r="EV29" s="56"/>
      <c r="EW29" s="56"/>
      <c r="EX29" s="56"/>
      <c r="EY29" s="56"/>
      <c r="EZ29" s="56"/>
      <c r="FA29" s="56"/>
      <c r="FB29" s="56"/>
      <c r="FC29" s="56"/>
      <c r="FD29" s="56"/>
      <c r="FE29" s="56"/>
      <c r="FF29" s="56"/>
      <c r="FG29" s="56"/>
      <c r="FH29" s="56"/>
      <c r="FI29" s="56"/>
      <c r="FJ29" s="56"/>
      <c r="FK29" s="56"/>
      <c r="FL29" s="56"/>
      <c r="FM29" s="56"/>
      <c r="FN29" s="56"/>
      <c r="FO29" s="56"/>
      <c r="FP29" s="56"/>
      <c r="FQ29" s="56"/>
      <c r="FR29" s="56"/>
      <c r="FS29" s="56"/>
      <c r="FT29" s="56"/>
      <c r="FU29" s="56"/>
      <c r="FV29" s="56"/>
      <c r="FW29" s="56"/>
      <c r="FX29" s="56"/>
      <c r="FY29" s="56"/>
      <c r="FZ29" s="56"/>
      <c r="GA29" s="56"/>
      <c r="GB29" s="56"/>
      <c r="GC29" s="56"/>
      <c r="GD29" s="56"/>
      <c r="GE29" s="56"/>
      <c r="GF29" s="56"/>
      <c r="GG29" s="56"/>
      <c r="GH29" s="56"/>
      <c r="GI29" s="56"/>
      <c r="GJ29" s="56"/>
      <c r="GK29" s="56"/>
      <c r="GL29" s="56"/>
      <c r="GM29" s="56"/>
      <c r="GN29" s="56"/>
      <c r="GO29" s="56"/>
    </row>
    <row r="30" spans="1:197" ht="21.75" thickBot="1">
      <c r="A30" s="192"/>
      <c r="B30" s="186"/>
      <c r="C30" s="185"/>
      <c r="D30" s="57"/>
      <c r="E30" s="57"/>
      <c r="F30" s="202"/>
      <c r="G30" s="203" t="s">
        <v>157</v>
      </c>
      <c r="H30" s="104"/>
      <c r="I30" s="58"/>
      <c r="J30" s="205"/>
      <c r="K30" s="230">
        <v>3</v>
      </c>
      <c r="L30" s="214" t="s">
        <v>169</v>
      </c>
      <c r="M30" s="155" t="s">
        <v>48</v>
      </c>
      <c r="N30" s="155" t="s">
        <v>48</v>
      </c>
      <c r="O30" s="214" t="s">
        <v>169</v>
      </c>
      <c r="P30" s="231">
        <v>4</v>
      </c>
      <c r="Q30" s="55"/>
      <c r="R30" s="56"/>
      <c r="S30" s="236"/>
      <c r="T30" s="171"/>
      <c r="U30" s="56"/>
      <c r="V30" s="237"/>
      <c r="W30" s="237"/>
      <c r="X30" s="206"/>
      <c r="Y30" s="232" t="s">
        <v>169</v>
      </c>
      <c r="Z30" s="155" t="s">
        <v>48</v>
      </c>
      <c r="AA30" s="155" t="s">
        <v>48</v>
      </c>
      <c r="AB30" s="232" t="s">
        <v>169</v>
      </c>
      <c r="AC30" s="56"/>
      <c r="AD30" s="238"/>
      <c r="AF30" s="167"/>
      <c r="AG30" s="167"/>
      <c r="AI30" s="222"/>
      <c r="AJ30" s="84"/>
      <c r="AK30" s="84"/>
      <c r="AL30" s="167"/>
      <c r="AM30" s="167"/>
      <c r="AN30" s="239"/>
      <c r="AO30" s="239"/>
      <c r="AP30" s="57"/>
      <c r="AQ30" s="224"/>
      <c r="AR30" s="141"/>
      <c r="AS30" s="141"/>
      <c r="AT30" s="224"/>
      <c r="AU30" s="57"/>
      <c r="AV30" s="56"/>
      <c r="AW30" s="135"/>
      <c r="AX30" s="210" t="s">
        <v>162</v>
      </c>
      <c r="AY30" s="119" t="s">
        <v>132</v>
      </c>
      <c r="AZ30" s="56"/>
      <c r="BA30" s="56"/>
      <c r="BC30" s="56"/>
      <c r="BD30" s="56"/>
      <c r="BE30" s="56"/>
      <c r="BF30" s="56"/>
      <c r="BG30" s="56"/>
      <c r="BH30" s="56"/>
      <c r="BI30" s="129"/>
      <c r="BJ30" s="76"/>
      <c r="BK30" s="199" t="s">
        <v>156</v>
      </c>
      <c r="BL30" s="83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  <c r="CO30" s="56"/>
      <c r="CP30" s="56"/>
      <c r="CQ30" s="56"/>
      <c r="CR30" s="56"/>
      <c r="CS30" s="56"/>
      <c r="CT30" s="56"/>
      <c r="CU30" s="56"/>
      <c r="CV30" s="56"/>
      <c r="CW30" s="56"/>
      <c r="CX30" s="56"/>
      <c r="CY30" s="56"/>
      <c r="CZ30" s="56"/>
      <c r="DA30" s="56"/>
      <c r="DB30" s="56"/>
      <c r="DC30" s="56"/>
      <c r="DD30" s="56"/>
      <c r="DE30" s="56"/>
      <c r="DF30" s="56"/>
      <c r="DG30" s="56"/>
      <c r="DH30" s="56"/>
      <c r="DI30" s="56"/>
      <c r="DJ30" s="56"/>
      <c r="DK30" s="56"/>
      <c r="DL30" s="56"/>
      <c r="DM30" s="56"/>
      <c r="DN30" s="56"/>
      <c r="DO30" s="56"/>
      <c r="DP30" s="56"/>
      <c r="DQ30" s="56"/>
      <c r="DR30" s="56"/>
      <c r="DS30" s="56"/>
      <c r="DT30" s="56"/>
      <c r="DU30" s="56"/>
      <c r="DV30" s="56"/>
      <c r="DW30" s="56"/>
      <c r="DX30" s="56"/>
      <c r="DY30" s="56"/>
      <c r="DZ30" s="56"/>
      <c r="EA30" s="56"/>
      <c r="EB30" s="56"/>
      <c r="EC30" s="56"/>
      <c r="ED30" s="56"/>
      <c r="EE30" s="56"/>
      <c r="EF30" s="56"/>
      <c r="EG30" s="56"/>
      <c r="EH30" s="56"/>
      <c r="EI30" s="56"/>
      <c r="EJ30" s="56"/>
      <c r="EK30" s="56"/>
      <c r="EL30" s="56"/>
      <c r="EM30" s="56"/>
      <c r="EN30" s="56"/>
      <c r="EO30" s="56"/>
      <c r="EP30" s="56"/>
      <c r="EQ30" s="56"/>
      <c r="ER30" s="56"/>
      <c r="ES30" s="56"/>
      <c r="ET30" s="56"/>
      <c r="EU30" s="56"/>
      <c r="EV30" s="56"/>
      <c r="EW30" s="56"/>
      <c r="EX30" s="56"/>
      <c r="EY30" s="56"/>
      <c r="EZ30" s="56"/>
      <c r="FA30" s="56"/>
      <c r="FB30" s="56"/>
      <c r="FC30" s="56"/>
      <c r="FD30" s="56"/>
      <c r="FE30" s="56"/>
      <c r="FF30" s="56"/>
      <c r="FG30" s="56"/>
      <c r="FH30" s="56"/>
      <c r="FI30" s="56"/>
      <c r="FJ30" s="56"/>
      <c r="FK30" s="56"/>
      <c r="FL30" s="56"/>
      <c r="FM30" s="56"/>
      <c r="FN30" s="56"/>
      <c r="FO30" s="56"/>
      <c r="FP30" s="56"/>
      <c r="FQ30" s="56"/>
      <c r="FR30" s="56"/>
      <c r="FS30" s="56"/>
      <c r="FT30" s="56"/>
      <c r="FU30" s="56"/>
      <c r="FV30" s="56"/>
      <c r="FW30" s="56"/>
      <c r="FX30" s="56"/>
      <c r="FY30" s="56"/>
      <c r="FZ30" s="56"/>
      <c r="GA30" s="56"/>
      <c r="GB30" s="56"/>
      <c r="GC30" s="56"/>
      <c r="GD30" s="56"/>
      <c r="GE30" s="56"/>
      <c r="GF30" s="56"/>
      <c r="GG30" s="56"/>
      <c r="GH30" s="56"/>
      <c r="GI30" s="56"/>
      <c r="GJ30" s="56"/>
      <c r="GK30" s="56"/>
      <c r="GL30" s="56"/>
      <c r="GM30" s="56"/>
      <c r="GN30" s="56"/>
      <c r="GO30" s="56"/>
    </row>
    <row r="31" spans="1:197" ht="20.25">
      <c r="A31" s="240"/>
      <c r="B31" s="241"/>
      <c r="C31" s="185"/>
      <c r="D31" s="57"/>
      <c r="E31" s="57"/>
      <c r="F31" s="202"/>
      <c r="G31" s="203" t="s">
        <v>157</v>
      </c>
      <c r="H31" s="104"/>
      <c r="I31" s="58"/>
      <c r="J31" s="205"/>
      <c r="K31" s="56"/>
      <c r="L31" s="56"/>
      <c r="M31" s="214"/>
      <c r="N31" s="214"/>
      <c r="O31" s="56"/>
      <c r="P31" s="171"/>
      <c r="Q31" s="55"/>
      <c r="R31" s="58"/>
      <c r="S31" s="216" t="s">
        <v>164</v>
      </c>
      <c r="T31" s="216" t="s">
        <v>164</v>
      </c>
      <c r="U31" s="171"/>
      <c r="V31" s="98"/>
      <c r="W31" s="242"/>
      <c r="X31" s="206"/>
      <c r="Y31" s="243"/>
      <c r="Z31" s="244"/>
      <c r="AA31" s="245"/>
      <c r="AB31" s="246"/>
      <c r="AC31" s="205"/>
      <c r="AD31" s="238"/>
      <c r="AI31" s="222"/>
      <c r="AJ31" s="84"/>
      <c r="AV31" s="56"/>
      <c r="AW31" s="135"/>
      <c r="AX31" s="210" t="s">
        <v>162</v>
      </c>
      <c r="AY31" s="227" t="s">
        <v>167</v>
      </c>
      <c r="AZ31" s="56"/>
      <c r="BA31" s="56"/>
      <c r="BC31" s="56"/>
      <c r="BD31" s="56"/>
      <c r="BE31" s="56"/>
      <c r="BF31" s="56"/>
      <c r="BG31" s="56"/>
      <c r="BH31" s="56"/>
      <c r="BI31" s="197"/>
      <c r="BJ31" s="234" t="s">
        <v>151</v>
      </c>
      <c r="BK31" s="247"/>
      <c r="BL31" s="83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  <c r="CW31" s="56"/>
      <c r="CX31" s="56"/>
      <c r="CY31" s="56"/>
      <c r="CZ31" s="56"/>
      <c r="DA31" s="56"/>
      <c r="DB31" s="56"/>
      <c r="DC31" s="56"/>
      <c r="DD31" s="56"/>
      <c r="DE31" s="56"/>
      <c r="DF31" s="56"/>
      <c r="DG31" s="56"/>
      <c r="DH31" s="56"/>
      <c r="DI31" s="56"/>
      <c r="DJ31" s="56"/>
      <c r="DK31" s="56"/>
      <c r="DL31" s="56"/>
      <c r="DM31" s="56"/>
      <c r="DN31" s="56"/>
      <c r="DO31" s="56"/>
      <c r="DP31" s="56"/>
      <c r="DQ31" s="56"/>
      <c r="DR31" s="56"/>
      <c r="DS31" s="56"/>
      <c r="DT31" s="56"/>
      <c r="DU31" s="56"/>
      <c r="DV31" s="56"/>
      <c r="DW31" s="56"/>
      <c r="DX31" s="56"/>
      <c r="DY31" s="56"/>
      <c r="DZ31" s="56"/>
      <c r="EA31" s="56"/>
      <c r="EB31" s="56"/>
      <c r="EC31" s="56"/>
      <c r="ED31" s="56"/>
      <c r="EE31" s="56"/>
      <c r="EF31" s="56"/>
      <c r="EG31" s="56"/>
      <c r="EH31" s="56"/>
      <c r="EI31" s="56"/>
      <c r="EJ31" s="56"/>
      <c r="EK31" s="56"/>
      <c r="EL31" s="56"/>
      <c r="EM31" s="56"/>
      <c r="EN31" s="56"/>
      <c r="EO31" s="56"/>
      <c r="EP31" s="56"/>
      <c r="EQ31" s="56"/>
      <c r="ER31" s="56"/>
      <c r="ES31" s="56"/>
      <c r="ET31" s="56"/>
      <c r="EU31" s="56"/>
      <c r="EV31" s="56"/>
      <c r="EW31" s="56"/>
      <c r="EX31" s="56"/>
      <c r="EY31" s="56"/>
      <c r="EZ31" s="56"/>
      <c r="FA31" s="56"/>
      <c r="FB31" s="56"/>
      <c r="FC31" s="56"/>
      <c r="FD31" s="56"/>
      <c r="FE31" s="56"/>
      <c r="FF31" s="56"/>
      <c r="FG31" s="56"/>
      <c r="FH31" s="56"/>
      <c r="FI31" s="56"/>
      <c r="FJ31" s="56"/>
      <c r="FK31" s="56"/>
      <c r="FL31" s="56"/>
      <c r="FM31" s="56"/>
      <c r="FN31" s="56"/>
      <c r="FO31" s="56"/>
      <c r="FP31" s="56"/>
      <c r="FQ31" s="56"/>
      <c r="FR31" s="56"/>
      <c r="FS31" s="56"/>
      <c r="FT31" s="56"/>
      <c r="FU31" s="56"/>
      <c r="FV31" s="56"/>
      <c r="FW31" s="56"/>
      <c r="FX31" s="56"/>
      <c r="FY31" s="56"/>
      <c r="FZ31" s="56"/>
      <c r="GA31" s="56"/>
      <c r="GB31" s="56"/>
      <c r="GC31" s="56"/>
      <c r="GD31" s="56"/>
      <c r="GE31" s="56"/>
      <c r="GF31" s="56"/>
      <c r="GG31" s="56"/>
      <c r="GH31" s="56"/>
      <c r="GI31" s="56"/>
      <c r="GJ31" s="56"/>
      <c r="GK31" s="56"/>
      <c r="GL31" s="56"/>
      <c r="GM31" s="56"/>
      <c r="GN31" s="56"/>
      <c r="GO31" s="56"/>
    </row>
    <row r="32" spans="1:197" ht="21">
      <c r="A32" s="192"/>
      <c r="B32" s="186"/>
      <c r="C32" s="186"/>
      <c r="D32" s="57"/>
      <c r="E32" s="57"/>
      <c r="F32" s="202"/>
      <c r="G32" s="184"/>
      <c r="H32" s="248"/>
      <c r="I32" s="58"/>
      <c r="J32" s="205"/>
      <c r="K32" s="205"/>
      <c r="L32" s="205"/>
      <c r="M32" s="186"/>
      <c r="N32" s="186"/>
      <c r="O32" s="171"/>
      <c r="P32" s="171"/>
      <c r="Q32" s="205"/>
      <c r="R32" s="58"/>
      <c r="S32" s="1086" t="s">
        <v>171</v>
      </c>
      <c r="T32" s="1086"/>
      <c r="U32" s="58"/>
      <c r="V32" s="205"/>
      <c r="W32" s="56"/>
      <c r="X32" s="206"/>
      <c r="Y32" s="58"/>
      <c r="Z32" s="205"/>
      <c r="AA32" s="56"/>
      <c r="AB32" s="56"/>
      <c r="AC32" s="205"/>
      <c r="AD32" s="238"/>
      <c r="AE32" s="75" t="s">
        <v>172</v>
      </c>
      <c r="AF32" s="167"/>
      <c r="AG32" s="167"/>
      <c r="AH32" s="222"/>
      <c r="AI32" s="222"/>
      <c r="AJ32" s="84"/>
      <c r="AK32" s="75" t="s">
        <v>173</v>
      </c>
      <c r="AL32" s="167"/>
      <c r="AM32" s="167"/>
      <c r="AN32" s="239"/>
      <c r="AO32" s="239"/>
      <c r="AP32" s="57"/>
      <c r="AQ32" s="101" t="s">
        <v>174</v>
      </c>
      <c r="AR32" s="141"/>
      <c r="AS32" s="141"/>
      <c r="AT32" s="224"/>
      <c r="AU32" s="57"/>
      <c r="AV32" s="56"/>
      <c r="AW32" s="135"/>
      <c r="AX32" s="210" t="s">
        <v>162</v>
      </c>
      <c r="AY32" s="227" t="s">
        <v>167</v>
      </c>
      <c r="AZ32" s="56"/>
      <c r="BA32" s="56"/>
      <c r="BC32" s="56"/>
      <c r="BD32" s="155" t="s">
        <v>48</v>
      </c>
      <c r="BE32" s="155" t="s">
        <v>48</v>
      </c>
      <c r="BF32" s="155" t="s">
        <v>48</v>
      </c>
      <c r="BG32" s="155" t="s">
        <v>48</v>
      </c>
      <c r="BH32" s="155" t="s">
        <v>48</v>
      </c>
      <c r="BI32" s="197"/>
      <c r="BJ32" s="76"/>
      <c r="BK32" s="249" t="s">
        <v>175</v>
      </c>
      <c r="BL32" s="83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  <c r="CZ32" s="56"/>
      <c r="DA32" s="56"/>
      <c r="DB32" s="56"/>
      <c r="DC32" s="56"/>
      <c r="DD32" s="56"/>
      <c r="DE32" s="56"/>
      <c r="DF32" s="56"/>
      <c r="DG32" s="56"/>
      <c r="DH32" s="56"/>
      <c r="DI32" s="56"/>
      <c r="DJ32" s="56"/>
      <c r="DK32" s="56"/>
      <c r="DL32" s="56"/>
      <c r="DM32" s="56"/>
      <c r="DN32" s="56"/>
      <c r="DO32" s="56"/>
      <c r="DP32" s="56"/>
      <c r="DQ32" s="56"/>
      <c r="DR32" s="56"/>
      <c r="DS32" s="56"/>
      <c r="DT32" s="56"/>
      <c r="DU32" s="56"/>
      <c r="DV32" s="56"/>
      <c r="DW32" s="56"/>
      <c r="DX32" s="56"/>
      <c r="DY32" s="56"/>
      <c r="DZ32" s="56"/>
      <c r="EA32" s="56"/>
      <c r="EB32" s="56"/>
      <c r="EC32" s="56"/>
      <c r="ED32" s="56"/>
      <c r="EE32" s="56"/>
      <c r="EF32" s="56"/>
      <c r="EG32" s="56"/>
      <c r="EH32" s="56"/>
      <c r="EI32" s="56"/>
      <c r="EJ32" s="56"/>
      <c r="EK32" s="56"/>
      <c r="EL32" s="56"/>
      <c r="EM32" s="56"/>
      <c r="EN32" s="56"/>
      <c r="EO32" s="56"/>
      <c r="EP32" s="56"/>
      <c r="EQ32" s="56"/>
      <c r="ER32" s="56"/>
      <c r="ES32" s="56"/>
      <c r="ET32" s="56"/>
      <c r="EU32" s="56"/>
      <c r="EV32" s="56"/>
      <c r="EW32" s="56"/>
      <c r="EX32" s="56"/>
      <c r="EY32" s="56"/>
      <c r="EZ32" s="56"/>
      <c r="FA32" s="56"/>
      <c r="FB32" s="56"/>
      <c r="FC32" s="56"/>
      <c r="FD32" s="56"/>
      <c r="FE32" s="56"/>
      <c r="FF32" s="56"/>
      <c r="FG32" s="56"/>
      <c r="FH32" s="56"/>
      <c r="FI32" s="56"/>
      <c r="FJ32" s="56"/>
      <c r="FK32" s="56"/>
      <c r="FL32" s="56"/>
      <c r="FM32" s="56"/>
      <c r="FN32" s="56"/>
      <c r="FO32" s="56"/>
      <c r="FP32" s="56"/>
      <c r="FQ32" s="56"/>
      <c r="FR32" s="56"/>
      <c r="FS32" s="56"/>
      <c r="FT32" s="56"/>
      <c r="FU32" s="56"/>
      <c r="FV32" s="56"/>
      <c r="FW32" s="56"/>
      <c r="FX32" s="56"/>
      <c r="FY32" s="56"/>
      <c r="FZ32" s="56"/>
      <c r="GA32" s="56"/>
      <c r="GB32" s="56"/>
      <c r="GC32" s="56"/>
      <c r="GD32" s="56"/>
      <c r="GE32" s="56"/>
      <c r="GF32" s="56"/>
      <c r="GG32" s="56"/>
      <c r="GH32" s="56"/>
      <c r="GI32" s="56"/>
      <c r="GJ32" s="56"/>
      <c r="GK32" s="56"/>
      <c r="GL32" s="56"/>
      <c r="GM32" s="56"/>
      <c r="GN32" s="56"/>
      <c r="GO32" s="56"/>
    </row>
    <row r="33" spans="1:197" ht="21">
      <c r="A33" s="192"/>
      <c r="B33" s="186"/>
      <c r="C33" s="250"/>
      <c r="D33" s="250"/>
      <c r="E33" s="250"/>
      <c r="F33" s="202"/>
      <c r="G33" s="184"/>
      <c r="H33" s="104"/>
      <c r="I33" s="58"/>
      <c r="J33" s="205"/>
      <c r="K33" s="205"/>
      <c r="L33" s="205"/>
      <c r="M33" s="201"/>
      <c r="N33" s="186"/>
      <c r="O33" s="171"/>
      <c r="P33" s="55"/>
      <c r="Q33" s="55"/>
      <c r="R33" s="58"/>
      <c r="S33" s="58"/>
      <c r="T33" s="56"/>
      <c r="U33" s="56"/>
      <c r="V33" s="56"/>
      <c r="W33" s="205"/>
      <c r="X33" s="205"/>
      <c r="Y33" s="205"/>
      <c r="Z33" s="98"/>
      <c r="AA33" s="98"/>
      <c r="AB33" s="56"/>
      <c r="AC33" s="205"/>
      <c r="AD33" s="219">
        <v>1</v>
      </c>
      <c r="AE33" s="220"/>
      <c r="AF33" s="221" t="s">
        <v>61</v>
      </c>
      <c r="AG33" s="223" t="s">
        <v>63</v>
      </c>
      <c r="AH33" s="220"/>
      <c r="AI33" s="222">
        <v>6</v>
      </c>
      <c r="AJ33" s="219">
        <v>1</v>
      </c>
      <c r="AK33" s="220"/>
      <c r="AL33" s="221" t="s">
        <v>61</v>
      </c>
      <c r="AM33" s="223" t="s">
        <v>63</v>
      </c>
      <c r="AN33" s="220"/>
      <c r="AO33" s="222">
        <v>6</v>
      </c>
      <c r="AP33" s="180">
        <v>1</v>
      </c>
      <c r="AQ33" s="141" t="s">
        <v>129</v>
      </c>
      <c r="AR33" s="251" t="s">
        <v>46</v>
      </c>
      <c r="AS33" s="169" t="s">
        <v>84</v>
      </c>
      <c r="AT33" s="141" t="s">
        <v>129</v>
      </c>
      <c r="AU33" s="224">
        <v>6</v>
      </c>
      <c r="AV33" s="56"/>
      <c r="AW33" s="56"/>
      <c r="AX33" s="56"/>
      <c r="AY33" s="56"/>
      <c r="AZ33" s="56"/>
      <c r="BA33" s="56"/>
      <c r="BC33" s="56"/>
      <c r="BD33" s="155" t="s">
        <v>48</v>
      </c>
      <c r="BE33" s="155" t="s">
        <v>48</v>
      </c>
      <c r="BF33" s="155" t="s">
        <v>48</v>
      </c>
      <c r="BG33" s="155" t="s">
        <v>48</v>
      </c>
      <c r="BH33" s="155" t="s">
        <v>48</v>
      </c>
      <c r="BI33" s="197"/>
      <c r="BJ33" s="228" t="s">
        <v>151</v>
      </c>
      <c r="BK33" s="249" t="s">
        <v>175</v>
      </c>
      <c r="BL33" s="83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  <c r="CX33" s="56"/>
      <c r="CY33" s="56"/>
      <c r="CZ33" s="56"/>
      <c r="DA33" s="56"/>
      <c r="DB33" s="56"/>
      <c r="DC33" s="56"/>
      <c r="DD33" s="56"/>
      <c r="DE33" s="56"/>
      <c r="DF33" s="56"/>
      <c r="DG33" s="56"/>
      <c r="DH33" s="56"/>
      <c r="DI33" s="56"/>
      <c r="DJ33" s="56"/>
      <c r="DK33" s="56"/>
      <c r="DL33" s="56"/>
      <c r="DM33" s="56"/>
      <c r="DN33" s="56"/>
      <c r="DO33" s="56"/>
      <c r="DP33" s="56"/>
      <c r="DQ33" s="56"/>
      <c r="DR33" s="56"/>
      <c r="DS33" s="56"/>
      <c r="DT33" s="56"/>
      <c r="DU33" s="56"/>
      <c r="DV33" s="56"/>
      <c r="DW33" s="56"/>
      <c r="DX33" s="56"/>
      <c r="DY33" s="56"/>
      <c r="DZ33" s="56"/>
      <c r="EA33" s="56"/>
      <c r="EB33" s="56"/>
      <c r="EC33" s="56"/>
      <c r="ED33" s="56"/>
      <c r="EE33" s="56"/>
      <c r="EF33" s="56"/>
      <c r="EG33" s="56"/>
      <c r="EH33" s="56"/>
      <c r="EI33" s="56"/>
      <c r="EJ33" s="56"/>
      <c r="EK33" s="56"/>
      <c r="EL33" s="56"/>
      <c r="EM33" s="56"/>
      <c r="EN33" s="56"/>
      <c r="EO33" s="56"/>
      <c r="EP33" s="56"/>
      <c r="EQ33" s="56"/>
      <c r="ER33" s="56"/>
      <c r="ES33" s="56"/>
      <c r="ET33" s="56"/>
      <c r="EU33" s="56"/>
      <c r="EV33" s="56"/>
      <c r="EW33" s="56"/>
      <c r="EX33" s="56"/>
      <c r="EY33" s="56"/>
      <c r="EZ33" s="56"/>
      <c r="FA33" s="56"/>
      <c r="FB33" s="56"/>
      <c r="FC33" s="56"/>
      <c r="FD33" s="56"/>
      <c r="FE33" s="56"/>
      <c r="FF33" s="56"/>
      <c r="FG33" s="56"/>
      <c r="FH33" s="56"/>
      <c r="FI33" s="56"/>
      <c r="FJ33" s="56"/>
      <c r="FK33" s="56"/>
      <c r="FL33" s="56"/>
      <c r="FM33" s="56"/>
      <c r="FN33" s="56"/>
      <c r="FO33" s="56"/>
      <c r="FP33" s="56"/>
      <c r="FQ33" s="56"/>
      <c r="FR33" s="56"/>
      <c r="FS33" s="56"/>
      <c r="FT33" s="56"/>
      <c r="FU33" s="56"/>
      <c r="FV33" s="56"/>
      <c r="FW33" s="56"/>
      <c r="FX33" s="56"/>
      <c r="FY33" s="56"/>
      <c r="FZ33" s="56"/>
      <c r="GA33" s="56"/>
      <c r="GB33" s="56"/>
      <c r="GC33" s="56"/>
      <c r="GD33" s="56"/>
      <c r="GE33" s="56"/>
      <c r="GF33" s="56"/>
      <c r="GG33" s="56"/>
      <c r="GH33" s="56"/>
      <c r="GI33" s="56"/>
      <c r="GJ33" s="56"/>
      <c r="GK33" s="56"/>
      <c r="GL33" s="56"/>
      <c r="GM33" s="56"/>
      <c r="GN33" s="56"/>
      <c r="GO33" s="56"/>
    </row>
    <row r="34" spans="1:197" ht="21">
      <c r="A34" s="192"/>
      <c r="B34" s="186"/>
      <c r="C34" s="212"/>
      <c r="D34" s="185"/>
      <c r="E34" s="185"/>
      <c r="F34" s="202"/>
      <c r="G34" s="184"/>
      <c r="H34" s="56"/>
      <c r="I34" s="58"/>
      <c r="J34" s="205"/>
      <c r="K34" s="205"/>
      <c r="L34" s="205"/>
      <c r="M34" s="201"/>
      <c r="N34" s="171"/>
      <c r="O34" s="171"/>
      <c r="P34" s="171"/>
      <c r="Q34" s="171"/>
      <c r="R34" s="205"/>
      <c r="S34" s="55"/>
      <c r="T34" s="56"/>
      <c r="U34" s="56"/>
      <c r="V34" s="56"/>
      <c r="W34" s="57"/>
      <c r="X34" s="56"/>
      <c r="Y34" s="56"/>
      <c r="Z34" s="204"/>
      <c r="AA34" s="204"/>
      <c r="AB34" s="56"/>
      <c r="AC34" s="205"/>
      <c r="AD34" s="219">
        <v>2</v>
      </c>
      <c r="AE34" s="220"/>
      <c r="AF34" s="223" t="s">
        <v>63</v>
      </c>
      <c r="AG34" s="223" t="s">
        <v>63</v>
      </c>
      <c r="AH34" s="220"/>
      <c r="AI34" s="222">
        <v>5</v>
      </c>
      <c r="AJ34" s="219">
        <v>2</v>
      </c>
      <c r="AK34" s="220"/>
      <c r="AL34" s="221" t="s">
        <v>61</v>
      </c>
      <c r="AM34" s="221" t="s">
        <v>61</v>
      </c>
      <c r="AN34" s="220"/>
      <c r="AO34" s="222">
        <v>5</v>
      </c>
      <c r="AP34" s="180">
        <v>2</v>
      </c>
      <c r="AQ34" s="141" t="s">
        <v>129</v>
      </c>
      <c r="AR34" s="251" t="s">
        <v>46</v>
      </c>
      <c r="AS34" s="169" t="s">
        <v>84</v>
      </c>
      <c r="AT34" s="141" t="s">
        <v>129</v>
      </c>
      <c r="AU34" s="224">
        <v>5</v>
      </c>
      <c r="AV34" s="56"/>
      <c r="AW34" s="56"/>
      <c r="AX34" s="56"/>
      <c r="AY34" s="56"/>
      <c r="AZ34" s="56"/>
      <c r="BA34" s="56"/>
      <c r="BC34" s="56"/>
      <c r="BD34" s="56"/>
      <c r="BE34" s="56"/>
      <c r="BF34" s="56"/>
      <c r="BG34" s="56"/>
      <c r="BH34" s="56"/>
      <c r="BI34" s="197"/>
      <c r="BJ34" s="76"/>
      <c r="BK34" s="249" t="s">
        <v>175</v>
      </c>
      <c r="BL34" s="83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  <c r="CO34" s="56"/>
      <c r="CP34" s="56"/>
      <c r="CQ34" s="56"/>
      <c r="CR34" s="56"/>
      <c r="CS34" s="56"/>
      <c r="CT34" s="56"/>
      <c r="CU34" s="56"/>
      <c r="CV34" s="56"/>
      <c r="CW34" s="56"/>
      <c r="CX34" s="56"/>
      <c r="CY34" s="56"/>
      <c r="CZ34" s="56"/>
      <c r="DA34" s="56"/>
      <c r="DB34" s="56"/>
      <c r="DC34" s="56"/>
      <c r="DD34" s="56"/>
      <c r="DE34" s="56"/>
      <c r="DF34" s="56"/>
      <c r="DG34" s="56"/>
      <c r="DH34" s="56"/>
      <c r="DI34" s="56"/>
      <c r="DJ34" s="56"/>
      <c r="DK34" s="56"/>
      <c r="DL34" s="56"/>
      <c r="DM34" s="56"/>
      <c r="DN34" s="56"/>
      <c r="DO34" s="56"/>
      <c r="DP34" s="56"/>
      <c r="DQ34" s="56"/>
      <c r="DR34" s="56"/>
      <c r="DS34" s="56"/>
      <c r="DT34" s="56"/>
      <c r="DU34" s="56"/>
      <c r="DV34" s="56"/>
      <c r="DW34" s="56"/>
      <c r="DX34" s="56"/>
      <c r="DY34" s="56"/>
      <c r="DZ34" s="56"/>
      <c r="EA34" s="56"/>
      <c r="EB34" s="56"/>
      <c r="EC34" s="56"/>
      <c r="ED34" s="56"/>
      <c r="EE34" s="56"/>
      <c r="EF34" s="56"/>
      <c r="EG34" s="56"/>
      <c r="EH34" s="56"/>
      <c r="EI34" s="56"/>
      <c r="EJ34" s="56"/>
      <c r="EK34" s="56"/>
      <c r="EL34" s="56"/>
      <c r="EM34" s="56"/>
      <c r="EN34" s="56"/>
      <c r="EO34" s="56"/>
      <c r="EP34" s="56"/>
      <c r="EQ34" s="56"/>
      <c r="ER34" s="56"/>
      <c r="ES34" s="56"/>
      <c r="ET34" s="56"/>
      <c r="EU34" s="56"/>
      <c r="EV34" s="56"/>
      <c r="EW34" s="56"/>
      <c r="EX34" s="56"/>
      <c r="EY34" s="56"/>
      <c r="EZ34" s="56"/>
      <c r="FA34" s="56"/>
      <c r="FB34" s="56"/>
      <c r="FC34" s="56"/>
      <c r="FD34" s="56"/>
      <c r="FE34" s="56"/>
      <c r="FF34" s="56"/>
      <c r="FG34" s="56"/>
      <c r="FH34" s="56"/>
      <c r="FI34" s="56"/>
      <c r="FJ34" s="56"/>
      <c r="FK34" s="56"/>
      <c r="FL34" s="56"/>
      <c r="FM34" s="56"/>
      <c r="FN34" s="56"/>
      <c r="FO34" s="56"/>
      <c r="FP34" s="56"/>
      <c r="FQ34" s="56"/>
      <c r="FR34" s="56"/>
      <c r="FS34" s="56"/>
      <c r="FT34" s="56"/>
      <c r="FU34" s="56"/>
      <c r="FV34" s="56"/>
      <c r="FW34" s="56"/>
      <c r="FX34" s="56"/>
      <c r="FY34" s="56"/>
      <c r="FZ34" s="56"/>
      <c r="GA34" s="56"/>
      <c r="GB34" s="56"/>
      <c r="GC34" s="56"/>
      <c r="GD34" s="56"/>
      <c r="GE34" s="56"/>
      <c r="GF34" s="56"/>
      <c r="GG34" s="56"/>
      <c r="GH34" s="56"/>
      <c r="GI34" s="56"/>
      <c r="GJ34" s="56"/>
      <c r="GK34" s="56"/>
      <c r="GL34" s="56"/>
      <c r="GM34" s="56"/>
      <c r="GN34" s="56"/>
      <c r="GO34" s="56"/>
    </row>
    <row r="35" spans="1:197" ht="21">
      <c r="A35" s="192"/>
      <c r="B35" s="186"/>
      <c r="C35" s="186"/>
      <c r="D35" s="186"/>
      <c r="E35" s="186"/>
      <c r="F35" s="252"/>
      <c r="G35" s="56"/>
      <c r="H35" s="58"/>
      <c r="I35" s="58"/>
      <c r="J35" s="205"/>
      <c r="K35" s="205"/>
      <c r="L35" s="205"/>
      <c r="M35" s="201"/>
      <c r="N35" s="171"/>
      <c r="O35" s="171"/>
      <c r="P35" s="171"/>
      <c r="Q35" s="171"/>
      <c r="S35" s="171"/>
      <c r="T35" s="253" t="s">
        <v>127</v>
      </c>
      <c r="U35" s="56"/>
      <c r="Y35" s="56"/>
      <c r="Z35" s="56"/>
      <c r="AA35" s="98"/>
      <c r="AB35" s="56"/>
      <c r="AC35" s="56"/>
      <c r="AD35" s="219">
        <v>3</v>
      </c>
      <c r="AE35" s="220"/>
      <c r="AF35" s="223" t="s">
        <v>63</v>
      </c>
      <c r="AG35" s="233" t="s">
        <v>59</v>
      </c>
      <c r="AH35" s="220"/>
      <c r="AI35" s="222">
        <v>4</v>
      </c>
      <c r="AJ35" s="219">
        <v>3</v>
      </c>
      <c r="AK35" s="220"/>
      <c r="AL35" s="223" t="s">
        <v>63</v>
      </c>
      <c r="AM35" s="223" t="s">
        <v>63</v>
      </c>
      <c r="AN35" s="220"/>
      <c r="AO35" s="222">
        <v>4</v>
      </c>
      <c r="AP35" s="180">
        <v>3</v>
      </c>
      <c r="AQ35" s="141" t="s">
        <v>129</v>
      </c>
      <c r="AR35" s="110" t="s">
        <v>9</v>
      </c>
      <c r="AS35" s="169" t="s">
        <v>84</v>
      </c>
      <c r="AT35" s="141" t="s">
        <v>129</v>
      </c>
      <c r="AU35" s="224">
        <v>4</v>
      </c>
      <c r="AV35" s="254"/>
      <c r="AW35" s="171"/>
      <c r="AX35" s="171"/>
      <c r="AY35" s="56"/>
      <c r="AZ35" s="56"/>
      <c r="BA35" s="56"/>
      <c r="BC35" s="56"/>
      <c r="BD35" s="56"/>
      <c r="BE35" s="56"/>
      <c r="BF35" s="56"/>
      <c r="BG35" s="56"/>
      <c r="BH35" s="56"/>
      <c r="BI35" s="197"/>
      <c r="BJ35" s="255">
        <v>1</v>
      </c>
      <c r="BK35" s="249" t="s">
        <v>175</v>
      </c>
      <c r="BL35" s="83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/>
      <c r="CS35" s="56"/>
      <c r="CT35" s="56"/>
      <c r="CU35" s="56"/>
      <c r="CV35" s="56"/>
      <c r="CW35" s="56"/>
      <c r="CX35" s="56"/>
      <c r="CY35" s="56"/>
      <c r="CZ35" s="56"/>
      <c r="DA35" s="56"/>
      <c r="DB35" s="56"/>
      <c r="DC35" s="56"/>
      <c r="DD35" s="56"/>
      <c r="DE35" s="56"/>
      <c r="DF35" s="56"/>
      <c r="DG35" s="56"/>
      <c r="DH35" s="56"/>
      <c r="DI35" s="56"/>
      <c r="DJ35" s="56"/>
      <c r="DK35" s="56"/>
      <c r="DL35" s="56"/>
      <c r="DM35" s="56"/>
      <c r="DN35" s="56"/>
      <c r="DO35" s="56"/>
      <c r="DP35" s="56"/>
      <c r="DQ35" s="56"/>
      <c r="DR35" s="56"/>
      <c r="DS35" s="56"/>
      <c r="DT35" s="56"/>
      <c r="DU35" s="56"/>
      <c r="DV35" s="56"/>
      <c r="DW35" s="56"/>
      <c r="DX35" s="56"/>
      <c r="DY35" s="56"/>
      <c r="DZ35" s="56"/>
      <c r="EA35" s="56"/>
      <c r="EB35" s="56"/>
      <c r="EC35" s="56"/>
      <c r="ED35" s="56"/>
      <c r="EE35" s="56"/>
      <c r="EF35" s="56"/>
      <c r="EG35" s="56"/>
      <c r="EH35" s="56"/>
      <c r="EI35" s="56"/>
      <c r="EJ35" s="56"/>
      <c r="EK35" s="56"/>
      <c r="EL35" s="56"/>
      <c r="EM35" s="56"/>
      <c r="EN35" s="56"/>
      <c r="EO35" s="56"/>
      <c r="EP35" s="56"/>
      <c r="EQ35" s="56"/>
      <c r="ER35" s="56"/>
      <c r="ES35" s="56"/>
      <c r="ET35" s="56"/>
      <c r="EU35" s="56"/>
      <c r="EV35" s="56"/>
      <c r="EW35" s="56"/>
      <c r="EX35" s="56"/>
      <c r="EY35" s="56"/>
      <c r="EZ35" s="56"/>
      <c r="FA35" s="56"/>
      <c r="FB35" s="56"/>
      <c r="FC35" s="56"/>
      <c r="FD35" s="56"/>
      <c r="FE35" s="56"/>
      <c r="FF35" s="56"/>
      <c r="FG35" s="56"/>
      <c r="FH35" s="56"/>
      <c r="FI35" s="56"/>
      <c r="FJ35" s="56"/>
      <c r="FK35" s="56"/>
      <c r="FL35" s="56"/>
      <c r="FM35" s="56"/>
      <c r="FN35" s="56"/>
      <c r="FO35" s="56"/>
      <c r="FP35" s="56"/>
      <c r="FQ35" s="56"/>
      <c r="FR35" s="56"/>
      <c r="FS35" s="56"/>
      <c r="FT35" s="56"/>
      <c r="FU35" s="56"/>
      <c r="FV35" s="56"/>
      <c r="FW35" s="56"/>
      <c r="FX35" s="56"/>
      <c r="FY35" s="56"/>
      <c r="FZ35" s="56"/>
      <c r="GA35" s="56"/>
      <c r="GB35" s="56"/>
      <c r="GC35" s="56"/>
      <c r="GD35" s="56"/>
      <c r="GE35" s="56"/>
      <c r="GF35" s="56"/>
      <c r="GG35" s="56"/>
      <c r="GH35" s="56"/>
      <c r="GI35" s="56"/>
      <c r="GJ35" s="56"/>
      <c r="GK35" s="56"/>
      <c r="GL35" s="56"/>
      <c r="GM35" s="56"/>
      <c r="GN35" s="56"/>
      <c r="GO35" s="56"/>
    </row>
    <row r="36" spans="1:197" ht="21">
      <c r="A36" s="192"/>
      <c r="B36" s="186"/>
      <c r="C36" s="186"/>
      <c r="D36" s="186"/>
      <c r="E36" s="186"/>
      <c r="F36" s="252"/>
      <c r="G36" s="112"/>
      <c r="H36" s="58"/>
      <c r="I36" s="205"/>
      <c r="J36" s="205"/>
      <c r="K36" s="205"/>
      <c r="L36" s="205"/>
      <c r="M36" s="201"/>
      <c r="N36" s="56"/>
      <c r="O36" s="171"/>
      <c r="P36" s="171"/>
      <c r="Q36" s="56"/>
      <c r="R36" s="171"/>
      <c r="S36" s="171"/>
      <c r="T36" s="253" t="s">
        <v>127</v>
      </c>
      <c r="U36" s="56"/>
      <c r="V36" s="1087" t="s">
        <v>176</v>
      </c>
      <c r="W36" s="1087"/>
      <c r="X36" s="1087"/>
      <c r="Y36" s="1087"/>
      <c r="Z36" s="56"/>
      <c r="AC36" s="57"/>
      <c r="AD36" s="94">
        <v>1</v>
      </c>
      <c r="AE36" s="94">
        <v>2</v>
      </c>
      <c r="AF36" s="94">
        <v>3</v>
      </c>
      <c r="AG36" s="94">
        <v>4</v>
      </c>
      <c r="AI36" s="56"/>
      <c r="AJ36" s="257" t="s">
        <v>177</v>
      </c>
      <c r="AK36" s="56"/>
      <c r="AL36" s="167"/>
      <c r="AM36" s="167"/>
      <c r="AN36" s="56"/>
      <c r="AO36" s="56"/>
      <c r="AP36" s="56"/>
      <c r="AQ36" s="258"/>
      <c r="AR36" s="141"/>
      <c r="AS36" s="141"/>
      <c r="AT36" s="258"/>
      <c r="AV36" s="259"/>
      <c r="AW36" s="55"/>
      <c r="AX36" s="55"/>
      <c r="AY36" s="56"/>
      <c r="AZ36" s="56"/>
      <c r="BA36" s="56"/>
      <c r="BC36" s="74"/>
      <c r="BD36" s="260"/>
      <c r="BE36" s="260"/>
      <c r="BF36" s="260"/>
      <c r="BG36" s="260"/>
      <c r="BH36" s="74"/>
      <c r="BI36" s="129"/>
      <c r="BJ36" s="76"/>
      <c r="BL36" s="83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6"/>
      <c r="CR36" s="56"/>
      <c r="CS36" s="56"/>
      <c r="CT36" s="56"/>
      <c r="CU36" s="56"/>
      <c r="CV36" s="56"/>
      <c r="CW36" s="56"/>
      <c r="CX36" s="56"/>
      <c r="CY36" s="56"/>
      <c r="CZ36" s="56"/>
      <c r="DA36" s="56"/>
      <c r="DB36" s="56"/>
      <c r="DC36" s="56"/>
      <c r="DD36" s="56"/>
      <c r="DE36" s="56"/>
      <c r="DF36" s="56"/>
      <c r="DG36" s="56"/>
      <c r="DH36" s="56"/>
      <c r="DI36" s="56"/>
      <c r="DJ36" s="56"/>
      <c r="DK36" s="56"/>
      <c r="DL36" s="56"/>
      <c r="DM36" s="56"/>
      <c r="DN36" s="56"/>
      <c r="DO36" s="56"/>
      <c r="DP36" s="56"/>
      <c r="DQ36" s="56"/>
      <c r="DR36" s="56"/>
      <c r="DS36" s="56"/>
      <c r="DT36" s="56"/>
      <c r="DU36" s="56"/>
      <c r="DV36" s="56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G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  <c r="EY36" s="56"/>
      <c r="EZ36" s="56"/>
      <c r="FA36" s="56"/>
      <c r="FB36" s="56"/>
      <c r="FC36" s="56"/>
      <c r="FD36" s="56"/>
      <c r="FE36" s="56"/>
      <c r="FF36" s="56"/>
      <c r="FG36" s="56"/>
      <c r="FH36" s="56"/>
      <c r="FI36" s="56"/>
      <c r="FJ36" s="56"/>
      <c r="FK36" s="56"/>
      <c r="FL36" s="56"/>
      <c r="FM36" s="56"/>
      <c r="FN36" s="56"/>
      <c r="FO36" s="56"/>
      <c r="FP36" s="56"/>
      <c r="FQ36" s="56"/>
      <c r="FR36" s="56"/>
      <c r="FS36" s="56"/>
      <c r="FT36" s="56"/>
      <c r="FU36" s="56"/>
      <c r="FV36" s="56"/>
      <c r="FW36" s="56"/>
      <c r="FX36" s="56"/>
      <c r="FY36" s="56"/>
      <c r="FZ36" s="56"/>
      <c r="GA36" s="56"/>
      <c r="GB36" s="56"/>
      <c r="GC36" s="56"/>
      <c r="GD36" s="56"/>
      <c r="GE36" s="56"/>
      <c r="GF36" s="56"/>
      <c r="GG36" s="56"/>
      <c r="GH36" s="56"/>
      <c r="GI36" s="56"/>
      <c r="GJ36" s="56"/>
      <c r="GK36" s="56"/>
      <c r="GL36" s="56"/>
      <c r="GM36" s="56"/>
      <c r="GN36" s="56"/>
      <c r="GO36" s="56"/>
    </row>
    <row r="37" spans="1:197" ht="21">
      <c r="A37" s="192"/>
      <c r="B37" s="186"/>
      <c r="C37" s="186"/>
      <c r="D37" s="186"/>
      <c r="E37" s="186"/>
      <c r="F37" s="186"/>
      <c r="G37" s="83"/>
      <c r="H37" s="58"/>
      <c r="I37" s="205"/>
      <c r="J37" s="205"/>
      <c r="K37" s="205"/>
      <c r="L37" s="205"/>
      <c r="M37" s="201"/>
      <c r="N37" s="56"/>
      <c r="O37" s="171"/>
      <c r="P37" s="171"/>
      <c r="Q37" s="171"/>
      <c r="R37" s="171"/>
      <c r="S37" s="171"/>
      <c r="T37" s="253" t="s">
        <v>127</v>
      </c>
      <c r="U37" s="56"/>
      <c r="V37" s="261"/>
      <c r="W37" s="261"/>
      <c r="X37" s="261"/>
      <c r="Y37" s="261"/>
      <c r="Z37" s="56"/>
      <c r="AC37" s="213" t="s">
        <v>173</v>
      </c>
      <c r="AD37" s="262" t="s">
        <v>178</v>
      </c>
      <c r="AE37" s="262" t="s">
        <v>178</v>
      </c>
      <c r="AF37" s="262" t="s">
        <v>178</v>
      </c>
      <c r="AG37" s="262" t="s">
        <v>178</v>
      </c>
      <c r="AH37" s="218" t="s">
        <v>179</v>
      </c>
      <c r="AI37" s="56"/>
      <c r="AJ37" s="56"/>
      <c r="AK37" s="57"/>
      <c r="AL37" s="825" t="s">
        <v>155</v>
      </c>
      <c r="AM37" s="825"/>
      <c r="AN37" s="263"/>
      <c r="AO37" s="57"/>
      <c r="AP37" s="56"/>
      <c r="AQ37" s="56"/>
      <c r="AR37" s="258"/>
      <c r="AS37" s="258"/>
      <c r="AT37" s="56"/>
      <c r="AW37" s="56"/>
      <c r="AX37" s="56"/>
      <c r="AY37" s="56"/>
      <c r="AZ37" s="56"/>
      <c r="BA37" s="56"/>
      <c r="BC37" s="74"/>
      <c r="BD37" s="260"/>
      <c r="BE37" s="260"/>
      <c r="BF37" s="260"/>
      <c r="BG37" s="56"/>
      <c r="BH37" s="55"/>
      <c r="BI37" s="57"/>
      <c r="BJ37" s="264"/>
      <c r="BK37" s="172" t="s">
        <v>148</v>
      </c>
      <c r="BL37" s="83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6"/>
      <c r="CO37" s="56"/>
      <c r="CP37" s="56"/>
      <c r="CQ37" s="56"/>
      <c r="CR37" s="56"/>
      <c r="CS37" s="56"/>
      <c r="CT37" s="56"/>
      <c r="CU37" s="56"/>
      <c r="CV37" s="56"/>
      <c r="CW37" s="56"/>
      <c r="CX37" s="56"/>
      <c r="CY37" s="56"/>
      <c r="CZ37" s="56"/>
      <c r="DA37" s="56"/>
      <c r="DB37" s="56"/>
      <c r="DC37" s="56"/>
      <c r="DD37" s="56"/>
      <c r="DE37" s="56"/>
      <c r="DF37" s="56"/>
      <c r="DG37" s="56"/>
      <c r="DH37" s="56"/>
      <c r="DI37" s="56"/>
      <c r="DJ37" s="56"/>
      <c r="DK37" s="56"/>
      <c r="DL37" s="56"/>
      <c r="DM37" s="56"/>
      <c r="DN37" s="56"/>
      <c r="DO37" s="56"/>
      <c r="DP37" s="56"/>
      <c r="DQ37" s="56"/>
      <c r="DR37" s="56"/>
      <c r="DS37" s="56"/>
      <c r="DT37" s="56"/>
      <c r="DU37" s="56"/>
      <c r="DV37" s="56"/>
      <c r="DW37" s="56"/>
      <c r="DX37" s="56"/>
      <c r="DY37" s="56"/>
      <c r="DZ37" s="56"/>
      <c r="EA37" s="56"/>
      <c r="EB37" s="56"/>
      <c r="EC37" s="56"/>
      <c r="ED37" s="56"/>
      <c r="EE37" s="56"/>
      <c r="EF37" s="56"/>
      <c r="EG37" s="56"/>
      <c r="EH37" s="56"/>
      <c r="EI37" s="56"/>
      <c r="EJ37" s="56"/>
      <c r="EK37" s="56"/>
      <c r="EL37" s="56"/>
      <c r="EM37" s="56"/>
      <c r="EN37" s="56"/>
      <c r="EO37" s="56"/>
      <c r="EP37" s="56"/>
      <c r="EQ37" s="56"/>
      <c r="ER37" s="56"/>
      <c r="ES37" s="56"/>
      <c r="ET37" s="56"/>
      <c r="EU37" s="56"/>
      <c r="EV37" s="56"/>
      <c r="EW37" s="56"/>
      <c r="EX37" s="56"/>
      <c r="EY37" s="56"/>
      <c r="EZ37" s="56"/>
      <c r="FA37" s="56"/>
      <c r="FB37" s="56"/>
      <c r="FC37" s="56"/>
      <c r="FD37" s="56"/>
      <c r="FE37" s="56"/>
      <c r="FF37" s="56"/>
      <c r="FG37" s="56"/>
      <c r="FH37" s="56"/>
      <c r="FI37" s="56"/>
      <c r="FJ37" s="56"/>
      <c r="FK37" s="56"/>
      <c r="FL37" s="56"/>
      <c r="FM37" s="56"/>
      <c r="FN37" s="56"/>
      <c r="FO37" s="56"/>
      <c r="FP37" s="56"/>
      <c r="FQ37" s="56"/>
      <c r="FR37" s="56"/>
      <c r="FS37" s="56"/>
      <c r="FT37" s="56"/>
      <c r="FU37" s="56"/>
      <c r="FV37" s="56"/>
      <c r="FW37" s="56"/>
      <c r="FX37" s="56"/>
      <c r="FY37" s="56"/>
      <c r="FZ37" s="56"/>
      <c r="GA37" s="56"/>
      <c r="GB37" s="56"/>
      <c r="GC37" s="56"/>
      <c r="GD37" s="56"/>
      <c r="GE37" s="56"/>
      <c r="GF37" s="56"/>
      <c r="GG37" s="56"/>
      <c r="GH37" s="56"/>
      <c r="GI37" s="56"/>
      <c r="GJ37" s="56"/>
      <c r="GK37" s="56"/>
      <c r="GL37" s="56"/>
      <c r="GM37" s="56"/>
      <c r="GN37" s="56"/>
      <c r="GO37" s="56"/>
    </row>
    <row r="38" spans="1:197" ht="20.25">
      <c r="A38" s="192"/>
      <c r="B38" s="186"/>
      <c r="C38" s="186"/>
      <c r="D38" s="186"/>
      <c r="E38" s="186"/>
      <c r="F38" s="186"/>
      <c r="G38" s="192"/>
      <c r="H38" s="265"/>
      <c r="I38" s="201"/>
      <c r="J38" s="265"/>
      <c r="K38" s="186"/>
      <c r="L38" s="212"/>
      <c r="M38" s="186"/>
      <c r="N38" s="56"/>
      <c r="O38" s="171"/>
      <c r="P38" s="171"/>
      <c r="Q38" s="171"/>
      <c r="R38" s="171"/>
      <c r="S38" s="171"/>
      <c r="T38" s="253" t="s">
        <v>127</v>
      </c>
      <c r="U38" s="261"/>
      <c r="V38" s="155" t="s">
        <v>48</v>
      </c>
      <c r="W38" s="155" t="s">
        <v>48</v>
      </c>
      <c r="X38" s="155" t="s">
        <v>48</v>
      </c>
      <c r="Y38" s="155" t="s">
        <v>48</v>
      </c>
      <c r="Z38" s="261"/>
      <c r="AC38" s="262"/>
      <c r="AD38" s="155" t="s">
        <v>48</v>
      </c>
      <c r="AE38" s="155" t="s">
        <v>48</v>
      </c>
      <c r="AF38" s="155" t="s">
        <v>48</v>
      </c>
      <c r="AG38" s="155" t="s">
        <v>48</v>
      </c>
      <c r="AH38" s="262"/>
      <c r="AI38" s="56"/>
      <c r="AJ38" s="123" t="s">
        <v>135</v>
      </c>
      <c r="AK38" s="57"/>
      <c r="AL38" s="123" t="s">
        <v>135</v>
      </c>
      <c r="AM38" s="266"/>
      <c r="AN38" s="267" t="s">
        <v>135</v>
      </c>
      <c r="AO38" s="212"/>
      <c r="AP38" s="267" t="s">
        <v>135</v>
      </c>
      <c r="AQ38" s="268"/>
      <c r="AR38" s="269" t="s">
        <v>180</v>
      </c>
      <c r="AS38" s="269" t="s">
        <v>180</v>
      </c>
      <c r="AT38" s="269" t="s">
        <v>180</v>
      </c>
      <c r="AU38" s="56"/>
      <c r="AW38" s="270"/>
      <c r="AY38" s="56"/>
      <c r="AZ38" s="56"/>
      <c r="BA38" s="56"/>
      <c r="BC38" s="74"/>
      <c r="BD38" s="260"/>
      <c r="BE38" s="56"/>
      <c r="BF38" s="56"/>
      <c r="BG38" s="56"/>
      <c r="BH38" s="56"/>
      <c r="BI38" s="57"/>
      <c r="BJ38" s="57"/>
      <c r="BK38" s="199" t="s">
        <v>156</v>
      </c>
      <c r="BL38" s="83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56"/>
      <c r="CX38" s="56"/>
      <c r="CY38" s="56"/>
      <c r="CZ38" s="56"/>
      <c r="DA38" s="56"/>
      <c r="DB38" s="56"/>
      <c r="DC38" s="56"/>
      <c r="DD38" s="56"/>
      <c r="DE38" s="56"/>
      <c r="DF38" s="56"/>
      <c r="DG38" s="56"/>
      <c r="DH38" s="56"/>
      <c r="DI38" s="56"/>
      <c r="DJ38" s="56"/>
      <c r="DK38" s="56"/>
      <c r="DL38" s="56"/>
      <c r="DM38" s="56"/>
      <c r="DN38" s="56"/>
      <c r="DO38" s="56"/>
      <c r="DP38" s="56"/>
      <c r="DQ38" s="56"/>
      <c r="DR38" s="56"/>
      <c r="DS38" s="56"/>
      <c r="DT38" s="56"/>
      <c r="DU38" s="56"/>
      <c r="DV38" s="56"/>
      <c r="DW38" s="56"/>
      <c r="DX38" s="56"/>
      <c r="DY38" s="56"/>
      <c r="DZ38" s="56"/>
      <c r="EA38" s="56"/>
      <c r="EB38" s="56"/>
      <c r="EC38" s="56"/>
      <c r="ED38" s="56"/>
      <c r="EE38" s="56"/>
      <c r="EF38" s="56"/>
      <c r="EG38" s="56"/>
      <c r="EH38" s="56"/>
      <c r="EI38" s="56"/>
      <c r="EJ38" s="56"/>
      <c r="EK38" s="56"/>
      <c r="EL38" s="56"/>
      <c r="EM38" s="56"/>
      <c r="EN38" s="56"/>
      <c r="EO38" s="56"/>
      <c r="EP38" s="56"/>
      <c r="EQ38" s="56"/>
      <c r="ER38" s="56"/>
      <c r="ES38" s="56"/>
      <c r="ET38" s="56"/>
      <c r="EU38" s="56"/>
      <c r="EV38" s="56"/>
      <c r="EW38" s="56"/>
      <c r="EX38" s="56"/>
      <c r="EY38" s="56"/>
      <c r="EZ38" s="56"/>
      <c r="FA38" s="56"/>
      <c r="FB38" s="56"/>
      <c r="FC38" s="56"/>
      <c r="FD38" s="56"/>
      <c r="FE38" s="56"/>
      <c r="FF38" s="56"/>
      <c r="FG38" s="56"/>
      <c r="FH38" s="56"/>
      <c r="FI38" s="56"/>
      <c r="FJ38" s="56"/>
      <c r="FK38" s="56"/>
      <c r="FL38" s="56"/>
      <c r="FM38" s="56"/>
      <c r="FN38" s="56"/>
      <c r="FO38" s="56"/>
      <c r="FP38" s="56"/>
      <c r="FQ38" s="56"/>
      <c r="FR38" s="56"/>
      <c r="FS38" s="56"/>
      <c r="FT38" s="56"/>
      <c r="FU38" s="56"/>
      <c r="FV38" s="56"/>
      <c r="FW38" s="56"/>
      <c r="FX38" s="56"/>
      <c r="FY38" s="56"/>
      <c r="FZ38" s="56"/>
      <c r="GA38" s="56"/>
      <c r="GB38" s="56"/>
      <c r="GC38" s="56"/>
      <c r="GD38" s="56"/>
      <c r="GE38" s="56"/>
      <c r="GF38" s="56"/>
      <c r="GG38" s="56"/>
      <c r="GH38" s="56"/>
      <c r="GI38" s="56"/>
      <c r="GJ38" s="56"/>
      <c r="GK38" s="56"/>
      <c r="GL38" s="56"/>
      <c r="GM38" s="56"/>
      <c r="GN38" s="56"/>
      <c r="GO38" s="56"/>
    </row>
    <row r="39" spans="1:197" ht="20.25">
      <c r="A39" s="192"/>
      <c r="B39" s="186"/>
      <c r="C39" s="186"/>
      <c r="D39" s="186"/>
      <c r="E39" s="186"/>
      <c r="F39" s="186"/>
      <c r="G39" s="192"/>
      <c r="H39" s="271"/>
      <c r="I39" s="186"/>
      <c r="J39" s="271"/>
      <c r="K39" s="186"/>
      <c r="L39" s="171"/>
      <c r="M39" s="186"/>
      <c r="N39" s="56"/>
      <c r="O39" s="171"/>
      <c r="P39" s="171"/>
      <c r="Q39" s="171"/>
      <c r="R39" s="171"/>
      <c r="S39" s="272"/>
      <c r="T39" s="253" t="s">
        <v>127</v>
      </c>
      <c r="V39" s="261" t="s">
        <v>178</v>
      </c>
      <c r="W39" s="261" t="s">
        <v>178</v>
      </c>
      <c r="X39" s="261" t="s">
        <v>178</v>
      </c>
      <c r="Y39" s="261" t="s">
        <v>178</v>
      </c>
      <c r="AC39" s="262"/>
      <c r="AD39" s="155" t="s">
        <v>48</v>
      </c>
      <c r="AE39" s="155" t="s">
        <v>48</v>
      </c>
      <c r="AF39" s="155" t="s">
        <v>48</v>
      </c>
      <c r="AG39" s="155" t="s">
        <v>48</v>
      </c>
      <c r="AH39" s="262"/>
      <c r="AI39" s="56"/>
      <c r="AJ39" s="123" t="s">
        <v>135</v>
      </c>
      <c r="AK39" s="57"/>
      <c r="AL39" s="123" t="s">
        <v>135</v>
      </c>
      <c r="AM39" s="266"/>
      <c r="AN39" s="267" t="s">
        <v>135</v>
      </c>
      <c r="AO39" s="57"/>
      <c r="AP39" s="267" t="s">
        <v>135</v>
      </c>
      <c r="AQ39" s="268"/>
      <c r="AR39" s="269" t="s">
        <v>180</v>
      </c>
      <c r="AS39" s="269" t="s">
        <v>180</v>
      </c>
      <c r="AT39" s="269" t="s">
        <v>180</v>
      </c>
      <c r="AU39" s="56"/>
      <c r="AW39" s="270"/>
      <c r="AY39" s="56"/>
      <c r="AZ39" s="56"/>
      <c r="BA39" s="56"/>
      <c r="BC39" s="74"/>
      <c r="BD39" s="260"/>
      <c r="BE39" s="56"/>
      <c r="BF39" s="56"/>
      <c r="BG39" s="56"/>
      <c r="BH39" s="56"/>
      <c r="BI39" s="56"/>
      <c r="BJ39" s="56"/>
      <c r="BK39" s="273" t="s">
        <v>124</v>
      </c>
      <c r="BL39" s="83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M39" s="56"/>
      <c r="CN39" s="56"/>
      <c r="CO39" s="56"/>
      <c r="CP39" s="56"/>
      <c r="CQ39" s="56"/>
      <c r="CR39" s="56"/>
      <c r="CS39" s="56"/>
      <c r="CT39" s="56"/>
      <c r="CU39" s="56"/>
      <c r="CV39" s="56"/>
      <c r="CW39" s="56"/>
      <c r="CX39" s="56"/>
      <c r="CY39" s="56"/>
      <c r="CZ39" s="56"/>
      <c r="DA39" s="56"/>
      <c r="DB39" s="56"/>
      <c r="DC39" s="56"/>
      <c r="DD39" s="56"/>
      <c r="DE39" s="56"/>
      <c r="DF39" s="56"/>
      <c r="DG39" s="56"/>
      <c r="DH39" s="56"/>
      <c r="DI39" s="56"/>
      <c r="DJ39" s="56"/>
      <c r="DK39" s="56"/>
      <c r="DL39" s="56"/>
      <c r="DM39" s="56"/>
      <c r="DN39" s="56"/>
      <c r="DO39" s="56"/>
      <c r="DP39" s="56"/>
      <c r="DQ39" s="56"/>
      <c r="DR39" s="56"/>
      <c r="DS39" s="56"/>
      <c r="DT39" s="56"/>
      <c r="DU39" s="56"/>
      <c r="DV39" s="56"/>
      <c r="DW39" s="56"/>
      <c r="DX39" s="56"/>
      <c r="DY39" s="56"/>
      <c r="DZ39" s="56"/>
      <c r="EA39" s="56"/>
      <c r="EB39" s="56"/>
      <c r="EC39" s="56"/>
      <c r="ED39" s="56"/>
      <c r="EE39" s="56"/>
      <c r="EF39" s="56"/>
      <c r="EG39" s="56"/>
      <c r="EH39" s="56"/>
      <c r="EI39" s="56"/>
      <c r="EJ39" s="56"/>
      <c r="EK39" s="56"/>
      <c r="EL39" s="56"/>
      <c r="EM39" s="56"/>
      <c r="EN39" s="56"/>
      <c r="EO39" s="56"/>
      <c r="EP39" s="56"/>
      <c r="EQ39" s="56"/>
      <c r="ER39" s="56"/>
      <c r="ES39" s="56"/>
      <c r="ET39" s="56"/>
      <c r="EU39" s="56"/>
      <c r="EV39" s="56"/>
      <c r="EW39" s="56"/>
      <c r="EX39" s="56"/>
      <c r="EY39" s="56"/>
      <c r="EZ39" s="56"/>
      <c r="FA39" s="56"/>
      <c r="FB39" s="56"/>
      <c r="FC39" s="56"/>
      <c r="FD39" s="56"/>
      <c r="FE39" s="56"/>
      <c r="FF39" s="56"/>
      <c r="FG39" s="56"/>
      <c r="FH39" s="56"/>
      <c r="FI39" s="56"/>
      <c r="FJ39" s="56"/>
      <c r="FK39" s="56"/>
      <c r="FL39" s="56"/>
      <c r="FM39" s="56"/>
      <c r="FN39" s="56"/>
      <c r="FO39" s="56"/>
      <c r="FP39" s="56"/>
      <c r="FQ39" s="56"/>
      <c r="FR39" s="56"/>
      <c r="FS39" s="56"/>
      <c r="FT39" s="56"/>
      <c r="FU39" s="56"/>
      <c r="FV39" s="56"/>
      <c r="FW39" s="56"/>
      <c r="FX39" s="56"/>
      <c r="FY39" s="56"/>
      <c r="FZ39" s="56"/>
      <c r="GA39" s="56"/>
      <c r="GB39" s="56"/>
      <c r="GC39" s="56"/>
      <c r="GD39" s="56"/>
      <c r="GE39" s="56"/>
      <c r="GF39" s="56"/>
      <c r="GG39" s="56"/>
      <c r="GH39" s="56"/>
      <c r="GI39" s="56"/>
      <c r="GJ39" s="56"/>
      <c r="GK39" s="56"/>
      <c r="GL39" s="56"/>
      <c r="GM39" s="56"/>
      <c r="GN39" s="56"/>
      <c r="GO39" s="56"/>
    </row>
    <row r="40" spans="1:197" ht="20.25">
      <c r="A40" s="192"/>
      <c r="B40" s="186"/>
      <c r="C40" s="186"/>
      <c r="D40" s="186"/>
      <c r="E40" s="186"/>
      <c r="F40" s="186"/>
      <c r="G40" s="192"/>
      <c r="H40" s="271"/>
      <c r="I40" s="186"/>
      <c r="J40" s="271"/>
      <c r="K40" s="186"/>
      <c r="L40" s="186"/>
      <c r="M40" s="186"/>
      <c r="N40" s="186"/>
      <c r="O40" s="171"/>
      <c r="P40" s="171"/>
      <c r="Q40" s="171"/>
      <c r="R40" s="171"/>
      <c r="S40" s="274"/>
      <c r="T40" s="253" t="s">
        <v>127</v>
      </c>
      <c r="U40" s="275"/>
      <c r="V40" s="276">
        <v>1</v>
      </c>
      <c r="W40" s="277">
        <v>2</v>
      </c>
      <c r="X40" s="277">
        <v>3</v>
      </c>
      <c r="Y40" s="277">
        <v>4</v>
      </c>
      <c r="AC40" s="57"/>
      <c r="AD40" s="262" t="s">
        <v>178</v>
      </c>
      <c r="AE40" s="262" t="s">
        <v>178</v>
      </c>
      <c r="AF40" s="262" t="s">
        <v>178</v>
      </c>
      <c r="AG40" s="262" t="s">
        <v>178</v>
      </c>
      <c r="AH40" s="56"/>
      <c r="AI40" s="56"/>
      <c r="AJ40" s="56"/>
      <c r="AK40" s="57"/>
      <c r="AL40" s="278"/>
      <c r="AM40" s="56"/>
      <c r="AN40" s="279"/>
      <c r="AO40" s="57"/>
      <c r="AP40" s="56"/>
      <c r="AQ40" s="56"/>
      <c r="AR40" s="56"/>
      <c r="AS40" s="56"/>
      <c r="AT40" s="56"/>
      <c r="AU40" s="56"/>
      <c r="AV40" s="56"/>
      <c r="AW40" s="280"/>
      <c r="AY40" s="56"/>
      <c r="AZ40" s="56"/>
      <c r="BA40" s="56"/>
      <c r="BC40" s="74"/>
      <c r="BD40" s="249" t="s">
        <v>175</v>
      </c>
      <c r="BE40" s="249" t="s">
        <v>175</v>
      </c>
      <c r="BF40" s="249" t="s">
        <v>175</v>
      </c>
      <c r="BG40" s="249" t="s">
        <v>175</v>
      </c>
      <c r="BH40" s="249" t="s">
        <v>175</v>
      </c>
      <c r="BI40" s="56"/>
      <c r="BJ40" s="56"/>
      <c r="BK40" s="211" t="s">
        <v>163</v>
      </c>
      <c r="BL40" s="83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M40" s="56"/>
      <c r="CN40" s="56"/>
      <c r="CO40" s="56"/>
      <c r="CP40" s="56"/>
      <c r="CQ40" s="56"/>
      <c r="CR40" s="56"/>
      <c r="CS40" s="56"/>
      <c r="CT40" s="56"/>
      <c r="CU40" s="56"/>
      <c r="CV40" s="56"/>
      <c r="CW40" s="56"/>
      <c r="CX40" s="56"/>
      <c r="CY40" s="56"/>
      <c r="CZ40" s="56"/>
      <c r="DA40" s="56"/>
      <c r="DB40" s="56"/>
      <c r="DC40" s="56"/>
      <c r="DD40" s="56"/>
      <c r="DE40" s="56"/>
      <c r="DF40" s="56"/>
      <c r="DG40" s="56"/>
      <c r="DH40" s="56"/>
      <c r="DI40" s="56"/>
      <c r="DJ40" s="56"/>
      <c r="DK40" s="56"/>
      <c r="DL40" s="56"/>
      <c r="DM40" s="56"/>
      <c r="DN40" s="56"/>
      <c r="DO40" s="56"/>
      <c r="DP40" s="56"/>
      <c r="DQ40" s="56"/>
      <c r="DR40" s="56"/>
      <c r="DS40" s="56"/>
      <c r="DT40" s="56"/>
      <c r="DU40" s="56"/>
      <c r="DV40" s="56"/>
      <c r="DW40" s="56"/>
      <c r="DX40" s="56"/>
      <c r="DY40" s="56"/>
      <c r="DZ40" s="56"/>
      <c r="EA40" s="56"/>
      <c r="EB40" s="56"/>
      <c r="EC40" s="56"/>
      <c r="ED40" s="56"/>
      <c r="EE40" s="56"/>
      <c r="EF40" s="56"/>
      <c r="EG40" s="56"/>
      <c r="EH40" s="56"/>
      <c r="EI40" s="56"/>
      <c r="EJ40" s="56"/>
      <c r="EK40" s="56"/>
      <c r="EL40" s="56"/>
      <c r="EM40" s="56"/>
      <c r="EN40" s="56"/>
      <c r="EO40" s="56"/>
      <c r="EP40" s="56"/>
      <c r="EQ40" s="56"/>
      <c r="ER40" s="56"/>
      <c r="ES40" s="56"/>
      <c r="ET40" s="56"/>
      <c r="EU40" s="56"/>
      <c r="EV40" s="56"/>
      <c r="EW40" s="56"/>
      <c r="EX40" s="56"/>
      <c r="EY40" s="56"/>
      <c r="EZ40" s="56"/>
      <c r="FA40" s="56"/>
      <c r="FB40" s="56"/>
      <c r="FC40" s="56"/>
      <c r="FD40" s="56"/>
      <c r="FE40" s="56"/>
      <c r="FF40" s="56"/>
      <c r="FG40" s="56"/>
      <c r="FH40" s="56"/>
      <c r="FI40" s="56"/>
      <c r="FJ40" s="56"/>
      <c r="FK40" s="56"/>
      <c r="FL40" s="56"/>
      <c r="FM40" s="56"/>
      <c r="FN40" s="56"/>
      <c r="FO40" s="56"/>
      <c r="FP40" s="56"/>
      <c r="FQ40" s="56"/>
      <c r="FR40" s="56"/>
      <c r="FS40" s="56"/>
      <c r="FT40" s="56"/>
      <c r="FU40" s="56"/>
      <c r="FV40" s="56"/>
      <c r="FW40" s="56"/>
      <c r="FX40" s="56"/>
      <c r="FY40" s="56"/>
      <c r="FZ40" s="56"/>
      <c r="GA40" s="56"/>
      <c r="GB40" s="56"/>
      <c r="GC40" s="56"/>
      <c r="GD40" s="56"/>
      <c r="GE40" s="56"/>
      <c r="GF40" s="56"/>
      <c r="GG40" s="56"/>
      <c r="GH40" s="56"/>
      <c r="GI40" s="56"/>
      <c r="GJ40" s="56"/>
      <c r="GK40" s="56"/>
      <c r="GL40" s="56"/>
      <c r="GM40" s="56"/>
      <c r="GN40" s="56"/>
      <c r="GO40" s="56"/>
    </row>
    <row r="41" spans="1:197" ht="21" thickBot="1">
      <c r="A41" s="192"/>
      <c r="B41" s="186"/>
      <c r="C41" s="186"/>
      <c r="D41" s="186"/>
      <c r="E41" s="186"/>
      <c r="F41" s="186"/>
      <c r="G41" s="281"/>
      <c r="H41" s="282"/>
      <c r="I41" s="283"/>
      <c r="J41" s="282"/>
      <c r="K41" s="186"/>
      <c r="L41" s="186"/>
      <c r="M41" s="186"/>
      <c r="N41" s="186"/>
      <c r="O41" s="171"/>
      <c r="P41" s="171"/>
      <c r="Q41" s="171"/>
      <c r="R41" s="171"/>
      <c r="S41" s="284"/>
      <c r="T41" s="94">
        <v>1</v>
      </c>
      <c r="U41" s="94">
        <v>2</v>
      </c>
      <c r="V41" s="94">
        <v>3</v>
      </c>
      <c r="W41" s="94">
        <v>4</v>
      </c>
      <c r="Y41" s="56"/>
      <c r="Z41" s="56"/>
      <c r="AC41" s="56"/>
      <c r="AD41" s="276">
        <v>8</v>
      </c>
      <c r="AE41" s="276">
        <v>7</v>
      </c>
      <c r="AF41" s="276">
        <v>6</v>
      </c>
      <c r="AG41" s="276">
        <v>5</v>
      </c>
      <c r="AH41" s="56"/>
      <c r="AI41" s="285"/>
      <c r="AJ41" s="286" t="s">
        <v>181</v>
      </c>
      <c r="AK41" s="286"/>
      <c r="AL41" s="56"/>
      <c r="AM41" s="194"/>
      <c r="AN41" s="56"/>
      <c r="AO41" s="56"/>
      <c r="AP41" s="194"/>
      <c r="AQ41" s="194"/>
      <c r="AR41" s="194"/>
      <c r="AS41" s="194"/>
      <c r="AT41" s="194"/>
      <c r="AU41" s="194"/>
      <c r="AV41" s="194"/>
      <c r="AW41" s="129"/>
      <c r="AX41" s="56"/>
      <c r="AY41" s="56"/>
      <c r="AZ41" s="56"/>
      <c r="BA41" s="56"/>
      <c r="BC41" s="260"/>
      <c r="BD41" s="249" t="s">
        <v>175</v>
      </c>
      <c r="BE41" s="249" t="s">
        <v>175</v>
      </c>
      <c r="BF41" s="249" t="s">
        <v>175</v>
      </c>
      <c r="BG41" s="249" t="s">
        <v>175</v>
      </c>
      <c r="BH41" s="249" t="s">
        <v>175</v>
      </c>
      <c r="BI41" s="56"/>
      <c r="BJ41" s="56"/>
      <c r="BK41" s="287" t="s">
        <v>182</v>
      </c>
      <c r="BL41" s="83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6"/>
      <c r="CR41" s="56"/>
      <c r="CS41" s="56"/>
      <c r="CT41" s="56"/>
      <c r="CU41" s="56"/>
      <c r="CV41" s="56"/>
      <c r="CW41" s="56"/>
      <c r="CX41" s="56"/>
      <c r="CY41" s="56"/>
      <c r="CZ41" s="56"/>
      <c r="DA41" s="56"/>
      <c r="DB41" s="56"/>
      <c r="DC41" s="56"/>
      <c r="DD41" s="56"/>
      <c r="DE41" s="56"/>
      <c r="DF41" s="56"/>
      <c r="DG41" s="56"/>
      <c r="DH41" s="56"/>
      <c r="DI41" s="56"/>
      <c r="DJ41" s="56"/>
      <c r="DK41" s="56"/>
      <c r="DL41" s="56"/>
      <c r="DM41" s="56"/>
      <c r="DN41" s="56"/>
      <c r="DO41" s="56"/>
      <c r="DP41" s="56"/>
      <c r="DQ41" s="56"/>
      <c r="DR41" s="56"/>
      <c r="DS41" s="56"/>
      <c r="DT41" s="56"/>
      <c r="DU41" s="56"/>
      <c r="DV41" s="56"/>
      <c r="DW41" s="56"/>
      <c r="DX41" s="56"/>
      <c r="DY41" s="56"/>
      <c r="DZ41" s="56"/>
      <c r="EA41" s="56"/>
      <c r="EB41" s="56"/>
      <c r="EC41" s="56"/>
      <c r="ED41" s="56"/>
      <c r="EE41" s="56"/>
      <c r="EF41" s="56"/>
      <c r="EG41" s="56"/>
      <c r="EH41" s="56"/>
      <c r="EI41" s="56"/>
      <c r="EJ41" s="56"/>
      <c r="EK41" s="56"/>
      <c r="EL41" s="56"/>
      <c r="EM41" s="56"/>
      <c r="EN41" s="56"/>
      <c r="EO41" s="56"/>
      <c r="EP41" s="56"/>
      <c r="EQ41" s="56"/>
      <c r="ER41" s="56"/>
      <c r="ES41" s="56"/>
      <c r="ET41" s="56"/>
      <c r="EU41" s="56"/>
      <c r="EV41" s="56"/>
      <c r="EW41" s="56"/>
      <c r="EX41" s="56"/>
      <c r="EY41" s="56"/>
      <c r="EZ41" s="56"/>
      <c r="FA41" s="56"/>
      <c r="FB41" s="56"/>
      <c r="FC41" s="56"/>
      <c r="FD41" s="56"/>
      <c r="FE41" s="56"/>
      <c r="FF41" s="56"/>
      <c r="FG41" s="56"/>
      <c r="FH41" s="56"/>
      <c r="FI41" s="56"/>
      <c r="FJ41" s="56"/>
      <c r="FK41" s="56"/>
      <c r="FL41" s="56"/>
      <c r="FM41" s="56"/>
      <c r="FN41" s="56"/>
      <c r="FO41" s="56"/>
      <c r="FP41" s="56"/>
      <c r="FQ41" s="56"/>
      <c r="FR41" s="56"/>
      <c r="FS41" s="56"/>
      <c r="FT41" s="56"/>
      <c r="FU41" s="56"/>
      <c r="FV41" s="56"/>
      <c r="FW41" s="56"/>
      <c r="FX41" s="56"/>
      <c r="FY41" s="56"/>
      <c r="FZ41" s="56"/>
      <c r="GA41" s="56"/>
      <c r="GB41" s="56"/>
      <c r="GC41" s="56"/>
      <c r="GD41" s="56"/>
      <c r="GE41" s="56"/>
      <c r="GF41" s="56"/>
      <c r="GG41" s="56"/>
      <c r="GH41" s="56"/>
      <c r="GI41" s="56"/>
      <c r="GJ41" s="56"/>
      <c r="GK41" s="56"/>
      <c r="GL41" s="56"/>
      <c r="GM41" s="56"/>
      <c r="GN41" s="56"/>
      <c r="GO41" s="56"/>
    </row>
    <row r="42" spans="1:197" ht="20.25">
      <c r="A42" s="192"/>
      <c r="B42" s="171"/>
      <c r="C42" s="171"/>
      <c r="D42" s="171"/>
      <c r="E42" s="171"/>
      <c r="F42" s="171"/>
      <c r="G42" s="171"/>
      <c r="H42" s="171"/>
      <c r="I42" s="171"/>
      <c r="J42" s="186"/>
      <c r="K42" s="288"/>
      <c r="L42" s="289"/>
      <c r="M42" s="289"/>
      <c r="N42" s="289"/>
      <c r="O42" s="290"/>
      <c r="P42" s="290"/>
      <c r="Q42" s="290"/>
      <c r="R42" s="290"/>
      <c r="S42" s="291"/>
      <c r="T42" s="292" t="s">
        <v>178</v>
      </c>
      <c r="U42" s="292" t="s">
        <v>178</v>
      </c>
      <c r="V42" s="292" t="s">
        <v>178</v>
      </c>
      <c r="W42" s="292" t="s">
        <v>178</v>
      </c>
      <c r="X42" s="293" t="s">
        <v>174</v>
      </c>
      <c r="Y42" s="56"/>
      <c r="Z42" s="56"/>
      <c r="AC42" s="171"/>
      <c r="AD42" s="171"/>
      <c r="AE42" s="56"/>
      <c r="AF42" s="171"/>
      <c r="AG42" s="171"/>
      <c r="AH42" s="186"/>
      <c r="AI42" s="186"/>
      <c r="AJ42" s="155" t="s">
        <v>48</v>
      </c>
      <c r="AK42" s="155" t="s">
        <v>48</v>
      </c>
      <c r="AL42" s="57"/>
      <c r="AM42" s="56"/>
      <c r="AN42" s="294" t="s">
        <v>130</v>
      </c>
      <c r="AO42" s="294" t="s">
        <v>130</v>
      </c>
      <c r="AP42" s="56"/>
      <c r="AQ42" s="254"/>
      <c r="AR42" s="294" t="s">
        <v>130</v>
      </c>
      <c r="AS42" s="294" t="s">
        <v>130</v>
      </c>
      <c r="AT42" s="254"/>
      <c r="AU42" s="194"/>
      <c r="AV42" s="194"/>
      <c r="AW42" s="129"/>
      <c r="AX42" s="56"/>
      <c r="AY42" s="56"/>
      <c r="AZ42" s="56"/>
      <c r="BA42" s="80"/>
      <c r="BB42" s="80"/>
      <c r="BC42" s="56"/>
      <c r="BD42" s="56"/>
      <c r="BE42" s="260"/>
      <c r="BF42" s="260"/>
      <c r="BG42" s="260"/>
      <c r="BH42" s="74"/>
      <c r="BI42" s="56"/>
      <c r="BJ42" s="56"/>
      <c r="BK42" s="235" t="s">
        <v>170</v>
      </c>
      <c r="BL42" s="83"/>
      <c r="BM42" s="56"/>
      <c r="BN42" s="56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  <c r="BZ42" s="56"/>
      <c r="CA42" s="56"/>
      <c r="CB42" s="56"/>
      <c r="CC42" s="56"/>
      <c r="CD42" s="56"/>
      <c r="CE42" s="56"/>
      <c r="CF42" s="56"/>
      <c r="CG42" s="56"/>
      <c r="CH42" s="56"/>
      <c r="CI42" s="56"/>
      <c r="CJ42" s="56"/>
      <c r="CK42" s="56"/>
      <c r="CL42" s="56"/>
      <c r="CM42" s="56"/>
      <c r="CN42" s="56"/>
      <c r="CO42" s="56"/>
      <c r="CP42" s="56"/>
      <c r="CQ42" s="56"/>
      <c r="CR42" s="56"/>
      <c r="CS42" s="56"/>
      <c r="CT42" s="56"/>
      <c r="CU42" s="56"/>
      <c r="CV42" s="56"/>
      <c r="CW42" s="56"/>
      <c r="CX42" s="56"/>
      <c r="CY42" s="56"/>
      <c r="CZ42" s="56"/>
      <c r="DA42" s="56"/>
      <c r="DB42" s="56"/>
      <c r="DC42" s="56"/>
      <c r="DD42" s="56"/>
      <c r="DE42" s="56"/>
      <c r="DF42" s="56"/>
      <c r="DG42" s="56"/>
      <c r="DH42" s="56"/>
      <c r="DI42" s="56"/>
      <c r="DJ42" s="56"/>
      <c r="DK42" s="56"/>
      <c r="DL42" s="56"/>
      <c r="DM42" s="56"/>
      <c r="DN42" s="56"/>
      <c r="DO42" s="56"/>
      <c r="DP42" s="56"/>
      <c r="DQ42" s="56"/>
      <c r="DR42" s="56"/>
      <c r="DS42" s="56"/>
      <c r="DT42" s="56"/>
      <c r="DU42" s="56"/>
      <c r="DV42" s="56"/>
      <c r="DW42" s="56"/>
      <c r="DX42" s="56"/>
      <c r="DY42" s="56"/>
      <c r="DZ42" s="56"/>
      <c r="EA42" s="56"/>
      <c r="EB42" s="56"/>
      <c r="EC42" s="56"/>
      <c r="ED42" s="56"/>
      <c r="EE42" s="56"/>
      <c r="EF42" s="56"/>
      <c r="EG42" s="56"/>
      <c r="EH42" s="56"/>
      <c r="EI42" s="56"/>
      <c r="EJ42" s="56"/>
      <c r="EK42" s="56"/>
      <c r="EL42" s="56"/>
      <c r="EM42" s="56"/>
      <c r="EN42" s="56"/>
      <c r="EO42" s="56"/>
      <c r="EP42" s="56"/>
      <c r="EQ42" s="56"/>
      <c r="ER42" s="56"/>
      <c r="ES42" s="56"/>
      <c r="ET42" s="56"/>
      <c r="EU42" s="56"/>
      <c r="EV42" s="56"/>
      <c r="EW42" s="56"/>
      <c r="EX42" s="56"/>
      <c r="EY42" s="56"/>
      <c r="EZ42" s="56"/>
      <c r="FA42" s="56"/>
      <c r="FB42" s="56"/>
      <c r="FC42" s="56"/>
      <c r="FD42" s="56"/>
      <c r="FE42" s="56"/>
      <c r="FF42" s="56"/>
      <c r="FG42" s="56"/>
      <c r="FH42" s="56"/>
      <c r="FI42" s="56"/>
      <c r="FJ42" s="56"/>
      <c r="FK42" s="56"/>
      <c r="FL42" s="56"/>
      <c r="FM42" s="56"/>
      <c r="FN42" s="56"/>
      <c r="FO42" s="56"/>
      <c r="FP42" s="56"/>
      <c r="FQ42" s="56"/>
      <c r="FR42" s="56"/>
      <c r="FS42" s="56"/>
      <c r="FT42" s="56"/>
      <c r="FU42" s="56"/>
      <c r="FV42" s="56"/>
      <c r="FW42" s="56"/>
      <c r="FX42" s="56"/>
      <c r="FY42" s="56"/>
      <c r="FZ42" s="56"/>
      <c r="GA42" s="56"/>
      <c r="GB42" s="56"/>
      <c r="GC42" s="56"/>
      <c r="GD42" s="56"/>
      <c r="GE42" s="56"/>
      <c r="GF42" s="56"/>
      <c r="GG42" s="56"/>
      <c r="GH42" s="56"/>
      <c r="GI42" s="56"/>
      <c r="GJ42" s="56"/>
      <c r="GK42" s="56"/>
      <c r="GL42" s="56"/>
      <c r="GM42" s="56"/>
      <c r="GN42" s="56"/>
      <c r="GO42" s="56"/>
    </row>
    <row r="43" spans="1:197" ht="21" thickBot="1">
      <c r="A43" s="192"/>
      <c r="B43" s="295"/>
      <c r="C43" s="295"/>
      <c r="D43" s="295"/>
      <c r="E43" s="295"/>
      <c r="F43" s="295"/>
      <c r="G43" s="295"/>
      <c r="H43" s="295"/>
      <c r="I43" s="295"/>
      <c r="J43" s="295"/>
      <c r="K43" s="192"/>
      <c r="L43" s="826" t="s">
        <v>183</v>
      </c>
      <c r="M43" s="826"/>
      <c r="N43" s="826"/>
      <c r="O43" s="826"/>
      <c r="P43" s="826"/>
      <c r="Q43" s="826"/>
      <c r="R43" s="826"/>
      <c r="S43" s="272"/>
      <c r="T43" s="155" t="s">
        <v>48</v>
      </c>
      <c r="U43" s="155" t="s">
        <v>48</v>
      </c>
      <c r="V43" s="155" t="s">
        <v>48</v>
      </c>
      <c r="W43" s="155" t="s">
        <v>48</v>
      </c>
      <c r="X43" s="296"/>
      <c r="Y43" s="297"/>
      <c r="Z43" s="297"/>
      <c r="AC43" s="171"/>
      <c r="AD43" s="186"/>
      <c r="AE43" s="56"/>
      <c r="AF43" s="186"/>
      <c r="AG43" s="56"/>
      <c r="AH43" s="186"/>
      <c r="AI43" s="186"/>
      <c r="AJ43" s="155" t="s">
        <v>48</v>
      </c>
      <c r="AK43" s="155" t="s">
        <v>48</v>
      </c>
      <c r="AL43" s="57"/>
      <c r="AM43" s="57"/>
      <c r="AN43" s="298" t="s">
        <v>130</v>
      </c>
      <c r="AO43" s="298" t="s">
        <v>130</v>
      </c>
      <c r="AP43" s="56"/>
      <c r="AQ43" s="56"/>
      <c r="AR43" s="298" t="s">
        <v>130</v>
      </c>
      <c r="AS43" s="298" t="s">
        <v>130</v>
      </c>
      <c r="AT43" s="56"/>
      <c r="AU43" s="194"/>
      <c r="AV43" s="194"/>
      <c r="AW43" s="129"/>
      <c r="AX43" s="56"/>
      <c r="AY43" s="56"/>
      <c r="AZ43" s="56"/>
      <c r="BA43" s="56"/>
      <c r="BB43" s="56"/>
      <c r="BC43" s="56"/>
      <c r="BD43" s="56"/>
      <c r="BE43" s="260"/>
      <c r="BF43" s="260"/>
      <c r="BG43" s="260"/>
      <c r="BH43" s="299"/>
      <c r="BI43" s="57"/>
      <c r="BJ43" s="56"/>
      <c r="BK43" s="300" t="s">
        <v>184</v>
      </c>
      <c r="BL43" s="83"/>
      <c r="BM43" s="56"/>
      <c r="BN43" s="56"/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  <c r="BZ43" s="56"/>
      <c r="CA43" s="56"/>
      <c r="CB43" s="56"/>
      <c r="CC43" s="56"/>
      <c r="CD43" s="56"/>
      <c r="CE43" s="56"/>
      <c r="CF43" s="56"/>
      <c r="CG43" s="56"/>
      <c r="CH43" s="56"/>
      <c r="CI43" s="56"/>
      <c r="CJ43" s="56"/>
      <c r="CK43" s="56"/>
      <c r="CL43" s="56"/>
      <c r="CM43" s="56"/>
      <c r="CN43" s="56"/>
      <c r="CO43" s="56"/>
      <c r="CP43" s="56"/>
      <c r="CQ43" s="56"/>
      <c r="CR43" s="56"/>
      <c r="CS43" s="56"/>
      <c r="CT43" s="56"/>
      <c r="CU43" s="56"/>
      <c r="CV43" s="56"/>
      <c r="CW43" s="56"/>
      <c r="CX43" s="56"/>
      <c r="CY43" s="56"/>
      <c r="CZ43" s="56"/>
      <c r="DA43" s="56"/>
      <c r="DB43" s="56"/>
      <c r="DC43" s="56"/>
      <c r="DD43" s="56"/>
      <c r="DE43" s="56"/>
      <c r="DF43" s="56"/>
      <c r="DG43" s="56"/>
      <c r="DH43" s="56"/>
      <c r="DI43" s="56"/>
      <c r="DJ43" s="56"/>
      <c r="DK43" s="56"/>
      <c r="DL43" s="56"/>
      <c r="DM43" s="56"/>
      <c r="DN43" s="56"/>
      <c r="DO43" s="56"/>
      <c r="DP43" s="56"/>
      <c r="DQ43" s="56"/>
      <c r="DR43" s="56"/>
      <c r="DS43" s="56"/>
      <c r="DT43" s="56"/>
      <c r="DU43" s="56"/>
      <c r="DV43" s="56"/>
      <c r="DW43" s="56"/>
      <c r="DX43" s="56"/>
      <c r="DY43" s="56"/>
      <c r="DZ43" s="56"/>
      <c r="EA43" s="56"/>
      <c r="EB43" s="56"/>
      <c r="EC43" s="56"/>
      <c r="ED43" s="56"/>
      <c r="EE43" s="56"/>
      <c r="EF43" s="56"/>
      <c r="EG43" s="56"/>
      <c r="EH43" s="56"/>
      <c r="EI43" s="56"/>
      <c r="EJ43" s="56"/>
      <c r="EK43" s="56"/>
      <c r="EL43" s="56"/>
      <c r="EM43" s="56"/>
      <c r="EN43" s="56"/>
      <c r="EO43" s="56"/>
      <c r="EP43" s="56"/>
      <c r="EQ43" s="56"/>
      <c r="ER43" s="56"/>
      <c r="ES43" s="56"/>
      <c r="ET43" s="56"/>
      <c r="EU43" s="56"/>
      <c r="EV43" s="56"/>
      <c r="EW43" s="56"/>
      <c r="EX43" s="56"/>
      <c r="EY43" s="56"/>
      <c r="EZ43" s="56"/>
      <c r="FA43" s="56"/>
      <c r="FB43" s="56"/>
      <c r="FC43" s="56"/>
      <c r="FD43" s="56"/>
      <c r="FE43" s="56"/>
      <c r="FF43" s="56"/>
      <c r="FG43" s="56"/>
      <c r="FH43" s="56"/>
      <c r="FI43" s="56"/>
      <c r="FJ43" s="56"/>
      <c r="FK43" s="56"/>
      <c r="FL43" s="56"/>
      <c r="FM43" s="56"/>
      <c r="FN43" s="56"/>
      <c r="FO43" s="56"/>
      <c r="FP43" s="56"/>
      <c r="FQ43" s="56"/>
      <c r="FR43" s="56"/>
      <c r="FS43" s="56"/>
      <c r="FT43" s="56"/>
      <c r="FU43" s="56"/>
      <c r="FV43" s="56"/>
      <c r="FW43" s="56"/>
      <c r="FX43" s="56"/>
      <c r="FY43" s="56"/>
      <c r="FZ43" s="56"/>
      <c r="GA43" s="56"/>
      <c r="GB43" s="56"/>
      <c r="GC43" s="56"/>
      <c r="GD43" s="56"/>
      <c r="GE43" s="56"/>
      <c r="GF43" s="56"/>
      <c r="GG43" s="56"/>
      <c r="GH43" s="56"/>
      <c r="GI43" s="56"/>
      <c r="GJ43" s="56"/>
      <c r="GK43" s="56"/>
      <c r="GL43" s="56"/>
      <c r="GM43" s="56"/>
      <c r="GN43" s="56"/>
      <c r="GO43" s="56"/>
    </row>
    <row r="44" spans="1:197" ht="16.5" thickBot="1">
      <c r="A44" s="192"/>
      <c r="B44" s="201"/>
      <c r="C44" s="301"/>
      <c r="D44" s="301"/>
      <c r="E44" s="301"/>
      <c r="F44" s="171"/>
      <c r="G44" s="171"/>
      <c r="H44" s="171"/>
      <c r="I44" s="171"/>
      <c r="J44" s="205"/>
      <c r="K44" s="192"/>
      <c r="L44" s="826"/>
      <c r="M44" s="826"/>
      <c r="N44" s="826"/>
      <c r="O44" s="826"/>
      <c r="P44" s="826"/>
      <c r="Q44" s="826"/>
      <c r="R44" s="826"/>
      <c r="S44" s="272"/>
      <c r="T44" s="302"/>
      <c r="U44" s="303"/>
      <c r="V44" s="303"/>
      <c r="W44" s="303"/>
      <c r="X44" s="303"/>
      <c r="Y44" s="303"/>
      <c r="Z44" s="290"/>
      <c r="AA44" s="290"/>
      <c r="AB44" s="291"/>
      <c r="AC44" s="192"/>
      <c r="AD44" s="186"/>
      <c r="AE44" s="186"/>
      <c r="AF44" s="186"/>
      <c r="AG44" s="57"/>
      <c r="AH44" s="186"/>
      <c r="AI44" s="186"/>
      <c r="AJ44" s="155" t="s">
        <v>48</v>
      </c>
      <c r="AK44" s="155" t="s">
        <v>48</v>
      </c>
      <c r="AL44" s="186"/>
      <c r="AM44" s="186"/>
      <c r="AN44" s="298" t="s">
        <v>130</v>
      </c>
      <c r="AO44" s="298" t="s">
        <v>130</v>
      </c>
      <c r="AP44" s="56"/>
      <c r="AQ44" s="56"/>
      <c r="AR44" s="298" t="s">
        <v>130</v>
      </c>
      <c r="AS44" s="298" t="s">
        <v>130</v>
      </c>
      <c r="AT44" s="56"/>
      <c r="AU44" s="171"/>
      <c r="AV44" s="184"/>
      <c r="AW44" s="184"/>
      <c r="AX44" s="56"/>
      <c r="AY44" s="56"/>
      <c r="AZ44" s="56"/>
      <c r="BA44" s="80"/>
      <c r="BB44" s="80"/>
      <c r="BC44" s="56"/>
      <c r="BD44" s="123" t="s">
        <v>135</v>
      </c>
      <c r="BE44" s="267" t="s">
        <v>135</v>
      </c>
      <c r="BF44" s="267" t="s">
        <v>135</v>
      </c>
      <c r="BG44" s="267" t="s">
        <v>135</v>
      </c>
      <c r="BH44" s="267" t="s">
        <v>135</v>
      </c>
      <c r="BI44" s="56"/>
      <c r="BJ44" s="56"/>
      <c r="BL44" s="83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6"/>
      <c r="CO44" s="56"/>
      <c r="CP44" s="56"/>
      <c r="CQ44" s="56"/>
      <c r="CR44" s="56"/>
      <c r="CS44" s="56"/>
      <c r="CT44" s="56"/>
      <c r="CU44" s="56"/>
      <c r="CV44" s="56"/>
      <c r="CW44" s="56"/>
      <c r="CX44" s="56"/>
      <c r="CY44" s="56"/>
      <c r="CZ44" s="56"/>
      <c r="DA44" s="56"/>
      <c r="DB44" s="56"/>
      <c r="DC44" s="56"/>
      <c r="DD44" s="56"/>
      <c r="DE44" s="56"/>
      <c r="DF44" s="56"/>
      <c r="DG44" s="56"/>
      <c r="DH44" s="56"/>
      <c r="DI44" s="56"/>
      <c r="DJ44" s="56"/>
      <c r="DK44" s="56"/>
      <c r="DL44" s="56"/>
      <c r="DM44" s="56"/>
      <c r="DN44" s="56"/>
      <c r="DO44" s="56"/>
      <c r="DP44" s="56"/>
      <c r="DQ44" s="56"/>
      <c r="DR44" s="56"/>
      <c r="DS44" s="56"/>
      <c r="DT44" s="56"/>
      <c r="DU44" s="56"/>
      <c r="DV44" s="56"/>
      <c r="DW44" s="56"/>
      <c r="DX44" s="56"/>
      <c r="DY44" s="56"/>
      <c r="DZ44" s="56"/>
      <c r="EA44" s="56"/>
      <c r="EB44" s="56"/>
      <c r="EC44" s="56"/>
      <c r="ED44" s="56"/>
      <c r="EE44" s="56"/>
      <c r="EF44" s="56"/>
      <c r="EG44" s="56"/>
      <c r="EH44" s="56"/>
      <c r="EI44" s="56"/>
      <c r="EJ44" s="56"/>
      <c r="EK44" s="56"/>
      <c r="EL44" s="56"/>
      <c r="EM44" s="56"/>
      <c r="EN44" s="56"/>
      <c r="EO44" s="56"/>
      <c r="EP44" s="56"/>
      <c r="EQ44" s="56"/>
      <c r="ER44" s="56"/>
      <c r="ES44" s="56"/>
      <c r="ET44" s="56"/>
      <c r="EU44" s="56"/>
      <c r="EV44" s="56"/>
      <c r="EW44" s="56"/>
      <c r="EX44" s="56"/>
      <c r="EY44" s="56"/>
      <c r="EZ44" s="56"/>
      <c r="FA44" s="56"/>
      <c r="FB44" s="56"/>
      <c r="FC44" s="56"/>
      <c r="FD44" s="56"/>
      <c r="FE44" s="56"/>
      <c r="FF44" s="56"/>
      <c r="FG44" s="56"/>
      <c r="FH44" s="56"/>
      <c r="FI44" s="56"/>
      <c r="FJ44" s="56"/>
      <c r="FK44" s="56"/>
      <c r="FL44" s="56"/>
      <c r="FM44" s="56"/>
      <c r="FN44" s="56"/>
      <c r="FO44" s="56"/>
      <c r="FP44" s="56"/>
      <c r="FQ44" s="56"/>
      <c r="FR44" s="56"/>
      <c r="FS44" s="56"/>
      <c r="FT44" s="56"/>
      <c r="FU44" s="56"/>
      <c r="FV44" s="56"/>
      <c r="FW44" s="56"/>
      <c r="FX44" s="56"/>
      <c r="FY44" s="56"/>
      <c r="FZ44" s="56"/>
      <c r="GA44" s="56"/>
      <c r="GB44" s="56"/>
      <c r="GC44" s="56"/>
      <c r="GD44" s="56"/>
      <c r="GE44" s="56"/>
      <c r="GF44" s="56"/>
      <c r="GG44" s="56"/>
      <c r="GH44" s="56"/>
      <c r="GI44" s="56"/>
      <c r="GJ44" s="56"/>
      <c r="GK44" s="56"/>
      <c r="GL44" s="56"/>
      <c r="GM44" s="56"/>
      <c r="GN44" s="56"/>
      <c r="GO44" s="56"/>
    </row>
    <row r="45" spans="1:197" ht="16.5" thickBot="1">
      <c r="A45" s="192"/>
      <c r="B45" s="201"/>
      <c r="C45" s="301"/>
      <c r="D45" s="301"/>
      <c r="E45" s="301"/>
      <c r="F45" s="171"/>
      <c r="G45" s="171"/>
      <c r="H45" s="171"/>
      <c r="I45" s="171"/>
      <c r="J45" s="205"/>
      <c r="K45" s="281"/>
      <c r="L45" s="304"/>
      <c r="M45" s="304"/>
      <c r="N45" s="283"/>
      <c r="O45" s="305"/>
      <c r="P45" s="305"/>
      <c r="Q45" s="305"/>
      <c r="R45" s="304"/>
      <c r="S45" s="306"/>
      <c r="T45" s="192"/>
      <c r="U45" s="186"/>
      <c r="V45" s="186"/>
      <c r="W45" s="186"/>
      <c r="X45" s="186"/>
      <c r="Y45" s="186"/>
      <c r="Z45" s="186"/>
      <c r="AA45" s="57"/>
      <c r="AB45" s="272"/>
      <c r="AC45" s="307"/>
      <c r="AD45" s="827" t="s">
        <v>131</v>
      </c>
      <c r="AE45" s="828"/>
      <c r="AF45" s="829"/>
      <c r="AG45" s="186"/>
      <c r="AH45" s="186"/>
      <c r="AI45" s="186"/>
      <c r="AJ45" s="155" t="s">
        <v>48</v>
      </c>
      <c r="AK45" s="155" t="s">
        <v>48</v>
      </c>
      <c r="AL45" s="186"/>
      <c r="AM45" s="186"/>
      <c r="AN45" s="298" t="s">
        <v>130</v>
      </c>
      <c r="AO45" s="298" t="s">
        <v>130</v>
      </c>
      <c r="AP45" s="56"/>
      <c r="AQ45" s="56"/>
      <c r="AR45" s="298" t="s">
        <v>130</v>
      </c>
      <c r="AS45" s="298" t="s">
        <v>130</v>
      </c>
      <c r="AT45" s="56"/>
      <c r="AU45" s="171"/>
      <c r="AV45" s="184"/>
      <c r="AW45" s="184"/>
      <c r="AX45" s="56"/>
      <c r="AY45" s="56"/>
      <c r="AZ45" s="56"/>
      <c r="BA45" s="56"/>
      <c r="BB45" s="56"/>
      <c r="BC45" s="56"/>
      <c r="BD45" s="123" t="s">
        <v>135</v>
      </c>
      <c r="BE45" s="267" t="s">
        <v>135</v>
      </c>
      <c r="BF45" s="267" t="s">
        <v>135</v>
      </c>
      <c r="BG45" s="267" t="s">
        <v>135</v>
      </c>
      <c r="BH45" s="267" t="s">
        <v>135</v>
      </c>
      <c r="BI45" s="56"/>
      <c r="BJ45" s="56"/>
      <c r="BL45" s="83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  <c r="CG45" s="56"/>
      <c r="CH45" s="56"/>
      <c r="CI45" s="56"/>
      <c r="CJ45" s="56"/>
      <c r="CK45" s="56"/>
      <c r="CL45" s="56"/>
      <c r="CM45" s="56"/>
      <c r="CN45" s="56"/>
      <c r="CO45" s="56"/>
      <c r="CP45" s="56"/>
      <c r="CQ45" s="56"/>
      <c r="CR45" s="56"/>
      <c r="CS45" s="56"/>
      <c r="CT45" s="56"/>
      <c r="CU45" s="56"/>
      <c r="CV45" s="56"/>
      <c r="CW45" s="56"/>
      <c r="CX45" s="56"/>
      <c r="CY45" s="56"/>
      <c r="CZ45" s="56"/>
      <c r="DA45" s="56"/>
      <c r="DB45" s="56"/>
      <c r="DC45" s="56"/>
      <c r="DD45" s="56"/>
      <c r="DE45" s="56"/>
      <c r="DF45" s="56"/>
      <c r="DG45" s="56"/>
      <c r="DH45" s="56"/>
      <c r="DI45" s="56"/>
      <c r="DJ45" s="56"/>
      <c r="DK45" s="56"/>
      <c r="DL45" s="56"/>
      <c r="DM45" s="56"/>
      <c r="DN45" s="56"/>
      <c r="DO45" s="56"/>
      <c r="DP45" s="56"/>
      <c r="DQ45" s="56"/>
      <c r="DR45" s="56"/>
      <c r="DS45" s="56"/>
      <c r="DT45" s="56"/>
      <c r="DU45" s="56"/>
      <c r="DV45" s="56"/>
      <c r="DW45" s="56"/>
      <c r="DX45" s="56"/>
      <c r="DY45" s="56"/>
      <c r="DZ45" s="56"/>
      <c r="EA45" s="56"/>
      <c r="EB45" s="56"/>
      <c r="EC45" s="56"/>
      <c r="ED45" s="56"/>
      <c r="EE45" s="56"/>
      <c r="EF45" s="56"/>
      <c r="EG45" s="56"/>
      <c r="EH45" s="56"/>
      <c r="EI45" s="56"/>
      <c r="EJ45" s="56"/>
      <c r="EK45" s="56"/>
      <c r="EL45" s="56"/>
      <c r="EM45" s="56"/>
      <c r="EN45" s="56"/>
      <c r="EO45" s="56"/>
      <c r="EP45" s="56"/>
      <c r="EQ45" s="56"/>
      <c r="ER45" s="56"/>
      <c r="ES45" s="56"/>
      <c r="ET45" s="56"/>
      <c r="EU45" s="56"/>
      <c r="EV45" s="56"/>
      <c r="EW45" s="56"/>
      <c r="EX45" s="56"/>
      <c r="EY45" s="56"/>
      <c r="EZ45" s="56"/>
      <c r="FA45" s="56"/>
      <c r="FB45" s="56"/>
      <c r="FC45" s="56"/>
      <c r="FD45" s="56"/>
      <c r="FE45" s="56"/>
      <c r="FF45" s="56"/>
      <c r="FG45" s="56"/>
      <c r="FH45" s="56"/>
      <c r="FI45" s="56"/>
      <c r="FJ45" s="56"/>
      <c r="FK45" s="56"/>
      <c r="FL45" s="56"/>
      <c r="FM45" s="56"/>
      <c r="FN45" s="56"/>
      <c r="FO45" s="56"/>
      <c r="FP45" s="56"/>
      <c r="FQ45" s="56"/>
      <c r="FR45" s="56"/>
      <c r="FS45" s="56"/>
      <c r="FT45" s="56"/>
      <c r="FU45" s="56"/>
      <c r="FV45" s="56"/>
      <c r="FW45" s="56"/>
      <c r="FX45" s="56"/>
      <c r="FY45" s="56"/>
      <c r="FZ45" s="56"/>
      <c r="GA45" s="56"/>
      <c r="GB45" s="56"/>
      <c r="GC45" s="56"/>
      <c r="GD45" s="56"/>
      <c r="GE45" s="56"/>
      <c r="GF45" s="56"/>
      <c r="GG45" s="56"/>
      <c r="GH45" s="56"/>
      <c r="GI45" s="56"/>
      <c r="GJ45" s="56"/>
      <c r="GK45" s="56"/>
      <c r="GL45" s="56"/>
      <c r="GM45" s="56"/>
      <c r="GN45" s="56"/>
      <c r="GO45" s="56"/>
    </row>
    <row r="46" spans="1:197" ht="16.5" thickBot="1">
      <c r="A46" s="192"/>
      <c r="B46" s="201"/>
      <c r="C46" s="301"/>
      <c r="D46" s="301"/>
      <c r="E46" s="301"/>
      <c r="F46" s="171"/>
      <c r="G46" s="171"/>
      <c r="H46" s="171"/>
      <c r="I46" s="171"/>
      <c r="J46" s="205"/>
      <c r="K46" s="250"/>
      <c r="L46" s="250"/>
      <c r="M46" s="308"/>
      <c r="N46" s="186"/>
      <c r="O46" s="171"/>
      <c r="P46" s="171"/>
      <c r="Q46" s="171"/>
      <c r="R46" s="309"/>
      <c r="S46" s="309"/>
      <c r="T46" s="171"/>
      <c r="U46" s="186"/>
      <c r="V46" s="186"/>
      <c r="W46" s="186"/>
      <c r="X46" s="186"/>
      <c r="Y46" s="212"/>
      <c r="Z46" s="186"/>
      <c r="AA46" s="57"/>
      <c r="AB46" s="171"/>
      <c r="AC46" s="192"/>
      <c r="AD46" s="830"/>
      <c r="AE46" s="831"/>
      <c r="AF46" s="832"/>
      <c r="AG46" s="59"/>
      <c r="AH46" s="171"/>
      <c r="AI46" s="186"/>
      <c r="AJ46" s="171"/>
      <c r="AK46" s="171"/>
      <c r="AL46" s="186"/>
      <c r="AM46" s="186"/>
      <c r="AN46" s="294" t="s">
        <v>130</v>
      </c>
      <c r="AO46" s="294" t="s">
        <v>130</v>
      </c>
      <c r="AP46" s="186"/>
      <c r="AQ46" s="186"/>
      <c r="AR46" s="294" t="s">
        <v>130</v>
      </c>
      <c r="AS46" s="294" t="s">
        <v>130</v>
      </c>
      <c r="AT46" s="186"/>
      <c r="AU46" s="171"/>
      <c r="AV46" s="184"/>
      <c r="AW46" s="184"/>
      <c r="AX46" s="56"/>
      <c r="AY46" s="56"/>
      <c r="AZ46" s="56"/>
      <c r="BA46" s="56"/>
      <c r="BB46" s="56"/>
      <c r="BC46" s="56"/>
      <c r="BD46" s="56"/>
      <c r="BE46" s="57"/>
      <c r="BF46" s="186"/>
      <c r="BG46" s="171"/>
      <c r="BH46" s="171"/>
      <c r="BI46" s="56"/>
      <c r="BJ46" s="56"/>
      <c r="BL46" s="83"/>
      <c r="BM46" s="56"/>
      <c r="BN46" s="56"/>
      <c r="BO46" s="56"/>
      <c r="BP46" s="56"/>
      <c r="BQ46" s="56"/>
      <c r="BR46" s="56"/>
      <c r="BS46" s="56"/>
      <c r="BT46" s="56"/>
      <c r="BU46" s="56"/>
      <c r="BV46" s="56"/>
      <c r="BW46" s="56"/>
      <c r="BX46" s="56"/>
      <c r="BY46" s="56"/>
      <c r="BZ46" s="56"/>
      <c r="CA46" s="56"/>
      <c r="CB46" s="56"/>
      <c r="CC46" s="56"/>
      <c r="CD46" s="56"/>
      <c r="CE46" s="56"/>
      <c r="CF46" s="56"/>
      <c r="CG46" s="56"/>
      <c r="CH46" s="56"/>
      <c r="CI46" s="56"/>
      <c r="CJ46" s="56"/>
      <c r="CK46" s="56"/>
      <c r="CL46" s="56"/>
      <c r="CM46" s="56"/>
      <c r="CN46" s="56"/>
      <c r="CO46" s="56"/>
      <c r="CP46" s="56"/>
      <c r="CQ46" s="56"/>
      <c r="CR46" s="56"/>
      <c r="CS46" s="56"/>
      <c r="CT46" s="56"/>
      <c r="CU46" s="56"/>
      <c r="CV46" s="56"/>
      <c r="CW46" s="56"/>
      <c r="CX46" s="56"/>
      <c r="CY46" s="56"/>
      <c r="CZ46" s="56"/>
      <c r="DA46" s="56"/>
      <c r="DB46" s="56"/>
      <c r="DC46" s="56"/>
      <c r="DD46" s="56"/>
      <c r="DE46" s="56"/>
      <c r="DF46" s="56"/>
      <c r="DG46" s="56"/>
      <c r="DH46" s="56"/>
      <c r="DI46" s="56"/>
      <c r="DJ46" s="56"/>
      <c r="DK46" s="56"/>
      <c r="DL46" s="56"/>
      <c r="DM46" s="56"/>
      <c r="DN46" s="56"/>
      <c r="DO46" s="56"/>
      <c r="DP46" s="56"/>
      <c r="DQ46" s="56"/>
      <c r="DR46" s="56"/>
      <c r="DS46" s="56"/>
      <c r="DT46" s="56"/>
      <c r="DU46" s="56"/>
      <c r="DV46" s="56"/>
      <c r="DW46" s="56"/>
      <c r="DX46" s="56"/>
      <c r="DY46" s="56"/>
      <c r="DZ46" s="56"/>
      <c r="EA46" s="56"/>
      <c r="EB46" s="56"/>
      <c r="EC46" s="56"/>
      <c r="ED46" s="56"/>
      <c r="EE46" s="56"/>
      <c r="EF46" s="56"/>
      <c r="EG46" s="56"/>
      <c r="EH46" s="56"/>
      <c r="EI46" s="56"/>
      <c r="EJ46" s="56"/>
      <c r="EK46" s="56"/>
      <c r="EL46" s="56"/>
      <c r="EM46" s="56"/>
      <c r="EN46" s="56"/>
      <c r="EO46" s="56"/>
      <c r="EP46" s="56"/>
      <c r="EQ46" s="56"/>
      <c r="ER46" s="56"/>
      <c r="ES46" s="56"/>
      <c r="ET46" s="56"/>
      <c r="EU46" s="56"/>
      <c r="EV46" s="56"/>
      <c r="EW46" s="56"/>
      <c r="EX46" s="56"/>
      <c r="EY46" s="56"/>
      <c r="EZ46" s="56"/>
      <c r="FA46" s="56"/>
      <c r="FB46" s="56"/>
      <c r="FC46" s="56"/>
      <c r="FD46" s="56"/>
      <c r="FE46" s="56"/>
      <c r="FF46" s="56"/>
      <c r="FG46" s="56"/>
      <c r="FH46" s="56"/>
      <c r="FI46" s="56"/>
      <c r="FJ46" s="56"/>
      <c r="FK46" s="56"/>
      <c r="FL46" s="56"/>
      <c r="FM46" s="56"/>
      <c r="FN46" s="56"/>
      <c r="FO46" s="56"/>
      <c r="FP46" s="56"/>
      <c r="FQ46" s="56"/>
      <c r="FR46" s="56"/>
      <c r="FS46" s="56"/>
      <c r="FT46" s="56"/>
      <c r="FU46" s="56"/>
      <c r="FV46" s="56"/>
      <c r="FW46" s="56"/>
      <c r="FX46" s="56"/>
      <c r="FY46" s="56"/>
      <c r="FZ46" s="56"/>
      <c r="GA46" s="56"/>
      <c r="GB46" s="56"/>
      <c r="GC46" s="56"/>
      <c r="GD46" s="56"/>
      <c r="GE46" s="56"/>
      <c r="GF46" s="56"/>
      <c r="GG46" s="56"/>
      <c r="GH46" s="56"/>
      <c r="GI46" s="56"/>
      <c r="GJ46" s="56"/>
      <c r="GK46" s="56"/>
      <c r="GL46" s="56"/>
      <c r="GM46" s="56"/>
      <c r="GN46" s="56"/>
      <c r="GO46" s="56"/>
    </row>
    <row r="47" spans="1:197" ht="15.75">
      <c r="A47" s="192"/>
      <c r="B47" s="201"/>
      <c r="C47" s="301"/>
      <c r="D47" s="301"/>
      <c r="E47" s="301"/>
      <c r="F47" s="171"/>
      <c r="G47" s="171"/>
      <c r="H47" s="171"/>
      <c r="I47" s="171"/>
      <c r="J47" s="205"/>
      <c r="K47" s="250"/>
      <c r="L47" s="250"/>
      <c r="M47" s="309"/>
      <c r="N47" s="309"/>
      <c r="O47" s="309"/>
      <c r="P47" s="309"/>
      <c r="Q47" s="309"/>
      <c r="R47" s="309"/>
      <c r="S47" s="309"/>
      <c r="T47" s="250"/>
      <c r="U47" s="186"/>
      <c r="V47" s="186"/>
      <c r="W47" s="186"/>
      <c r="X47" s="186"/>
      <c r="Y47" s="186"/>
      <c r="Z47" s="186"/>
      <c r="AA47" s="57"/>
      <c r="AB47" s="171"/>
      <c r="AC47" s="192"/>
      <c r="AD47" s="830"/>
      <c r="AE47" s="831"/>
      <c r="AF47" s="832"/>
      <c r="AG47" s="57"/>
      <c r="AH47" s="291"/>
      <c r="AI47" s="186"/>
      <c r="AJ47" s="171"/>
      <c r="AK47" s="171"/>
      <c r="AL47" s="171"/>
      <c r="AM47" s="171"/>
      <c r="AN47" s="171"/>
      <c r="AO47" s="171"/>
      <c r="AP47" s="171"/>
      <c r="AQ47" s="171"/>
      <c r="AR47" s="171"/>
      <c r="AS47" s="171"/>
      <c r="AT47" s="171"/>
      <c r="AU47" s="171"/>
      <c r="AV47" s="171"/>
      <c r="AW47" s="308"/>
      <c r="AX47" s="171"/>
      <c r="AY47" s="56"/>
      <c r="AZ47" s="56"/>
      <c r="BA47" s="56"/>
      <c r="BB47" s="56"/>
      <c r="BC47" s="171"/>
      <c r="BD47" s="56"/>
      <c r="BE47" s="205"/>
      <c r="BF47" s="205"/>
      <c r="BG47" s="205"/>
      <c r="BH47" s="205"/>
      <c r="BI47" s="56"/>
      <c r="BJ47" s="56"/>
      <c r="BL47" s="83"/>
      <c r="BM47" s="56"/>
      <c r="BN47" s="56"/>
      <c r="BO47" s="56"/>
      <c r="BP47" s="56"/>
      <c r="BQ47" s="56"/>
      <c r="BR47" s="56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6"/>
      <c r="CO47" s="56"/>
      <c r="CP47" s="56"/>
      <c r="CQ47" s="56"/>
      <c r="CR47" s="56"/>
      <c r="CS47" s="56"/>
      <c r="CT47" s="56"/>
      <c r="CU47" s="56"/>
      <c r="CV47" s="56"/>
      <c r="CW47" s="56"/>
      <c r="CX47" s="56"/>
      <c r="CY47" s="56"/>
      <c r="CZ47" s="56"/>
      <c r="DA47" s="56"/>
      <c r="DB47" s="56"/>
      <c r="DC47" s="56"/>
      <c r="DD47" s="56"/>
      <c r="DE47" s="56"/>
      <c r="DF47" s="56"/>
      <c r="DG47" s="56"/>
      <c r="DH47" s="56"/>
      <c r="DI47" s="56"/>
      <c r="DJ47" s="56"/>
      <c r="DK47" s="56"/>
      <c r="DL47" s="56"/>
      <c r="DM47" s="56"/>
      <c r="DN47" s="56"/>
      <c r="DO47" s="56"/>
      <c r="DP47" s="56"/>
      <c r="DQ47" s="56"/>
      <c r="DR47" s="56"/>
      <c r="DS47" s="56"/>
      <c r="DT47" s="56"/>
      <c r="DU47" s="56"/>
      <c r="DV47" s="56"/>
      <c r="DW47" s="56"/>
      <c r="DX47" s="56"/>
      <c r="DY47" s="56"/>
      <c r="DZ47" s="56"/>
      <c r="EA47" s="56"/>
      <c r="EB47" s="56"/>
      <c r="EC47" s="56"/>
      <c r="ED47" s="56"/>
      <c r="EE47" s="56"/>
      <c r="EF47" s="56"/>
      <c r="EG47" s="56"/>
      <c r="EH47" s="56"/>
      <c r="EI47" s="56"/>
      <c r="EJ47" s="56"/>
      <c r="EK47" s="56"/>
      <c r="EL47" s="56"/>
      <c r="EM47" s="56"/>
      <c r="EN47" s="56"/>
      <c r="EO47" s="56"/>
      <c r="EP47" s="56"/>
      <c r="EQ47" s="56"/>
      <c r="ER47" s="56"/>
      <c r="ES47" s="56"/>
      <c r="ET47" s="56"/>
      <c r="EU47" s="56"/>
      <c r="EV47" s="56"/>
      <c r="EW47" s="56"/>
      <c r="EX47" s="56"/>
      <c r="EY47" s="56"/>
      <c r="EZ47" s="56"/>
      <c r="FA47" s="56"/>
      <c r="FB47" s="56"/>
      <c r="FC47" s="56"/>
      <c r="FD47" s="56"/>
      <c r="FE47" s="56"/>
      <c r="FF47" s="56"/>
      <c r="FG47" s="56"/>
      <c r="FH47" s="56"/>
      <c r="FI47" s="56"/>
      <c r="FJ47" s="56"/>
      <c r="FK47" s="56"/>
      <c r="FL47" s="56"/>
      <c r="FM47" s="56"/>
      <c r="FN47" s="56"/>
      <c r="FO47" s="56"/>
      <c r="FP47" s="56"/>
      <c r="FQ47" s="56"/>
      <c r="FR47" s="56"/>
      <c r="FS47" s="56"/>
      <c r="FT47" s="56"/>
      <c r="FU47" s="56"/>
      <c r="FV47" s="56"/>
      <c r="FW47" s="56"/>
      <c r="FX47" s="56"/>
      <c r="FY47" s="56"/>
      <c r="FZ47" s="56"/>
      <c r="GA47" s="56"/>
      <c r="GB47" s="56"/>
      <c r="GC47" s="56"/>
      <c r="GD47" s="56"/>
      <c r="GE47" s="56"/>
      <c r="GF47" s="56"/>
      <c r="GG47" s="56"/>
      <c r="GH47" s="56"/>
      <c r="GI47" s="56"/>
      <c r="GJ47" s="56"/>
      <c r="GK47" s="56"/>
      <c r="GL47" s="56"/>
      <c r="GM47" s="56"/>
      <c r="GN47" s="56"/>
      <c r="GO47" s="56"/>
    </row>
    <row r="48" spans="1:197" ht="16.5" thickBot="1">
      <c r="A48" s="192"/>
      <c r="B48" s="201"/>
      <c r="C48" s="301"/>
      <c r="D48" s="171"/>
      <c r="E48" s="171"/>
      <c r="F48" s="171"/>
      <c r="G48" s="171"/>
      <c r="H48" s="171"/>
      <c r="I48" s="171"/>
      <c r="J48" s="205"/>
      <c r="K48" s="171"/>
      <c r="L48" s="171"/>
      <c r="M48" s="185"/>
      <c r="N48" s="301"/>
      <c r="O48" s="171"/>
      <c r="P48" s="186"/>
      <c r="Q48" s="201"/>
      <c r="R48" s="201"/>
      <c r="S48" s="205"/>
      <c r="T48" s="201"/>
      <c r="U48" s="186"/>
      <c r="V48" s="186"/>
      <c r="W48" s="186"/>
      <c r="X48" s="186"/>
      <c r="Y48" s="186"/>
      <c r="Z48" s="186"/>
      <c r="AA48" s="58"/>
      <c r="AB48" s="171"/>
      <c r="AC48" s="192"/>
      <c r="AD48" s="830"/>
      <c r="AE48" s="831"/>
      <c r="AF48" s="832"/>
      <c r="AG48" s="171"/>
      <c r="AH48" s="272"/>
      <c r="AI48" s="58"/>
      <c r="AJ48" s="58"/>
      <c r="AK48" s="58"/>
      <c r="AL48" s="58"/>
      <c r="AM48" s="58"/>
      <c r="AN48" s="58"/>
      <c r="AO48" s="58"/>
      <c r="AP48" s="58"/>
      <c r="AQ48" s="171"/>
      <c r="AR48" s="171"/>
      <c r="AS48" s="171"/>
      <c r="AT48" s="171"/>
      <c r="AU48" s="56"/>
      <c r="AV48" s="171"/>
      <c r="AW48" s="308"/>
      <c r="AX48" s="56"/>
      <c r="AY48" s="56"/>
      <c r="AZ48" s="56"/>
      <c r="BA48" s="171"/>
      <c r="BB48" s="171"/>
      <c r="BC48" s="171"/>
      <c r="BD48" s="267" t="s">
        <v>135</v>
      </c>
      <c r="BE48" s="267" t="s">
        <v>135</v>
      </c>
      <c r="BF48" s="267" t="s">
        <v>135</v>
      </c>
      <c r="BG48" s="267" t="s">
        <v>135</v>
      </c>
      <c r="BH48" s="267" t="s">
        <v>135</v>
      </c>
      <c r="BI48" s="57"/>
      <c r="BJ48" s="56"/>
      <c r="BK48" s="56"/>
      <c r="BL48" s="83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56"/>
      <c r="CC48" s="56"/>
      <c r="CD48" s="56"/>
      <c r="CE48" s="56"/>
      <c r="CF48" s="56"/>
      <c r="CG48" s="56"/>
      <c r="CH48" s="56"/>
      <c r="CI48" s="56"/>
      <c r="CJ48" s="56"/>
      <c r="CK48" s="56"/>
      <c r="CL48" s="56"/>
      <c r="CM48" s="56"/>
      <c r="CN48" s="56"/>
      <c r="CO48" s="56"/>
      <c r="CP48" s="56"/>
      <c r="CQ48" s="56"/>
      <c r="CR48" s="56"/>
      <c r="CS48" s="56"/>
      <c r="CT48" s="56"/>
      <c r="CU48" s="56"/>
      <c r="CV48" s="56"/>
      <c r="CW48" s="56"/>
      <c r="CX48" s="56"/>
      <c r="CY48" s="56"/>
      <c r="CZ48" s="56"/>
      <c r="DA48" s="56"/>
      <c r="DB48" s="56"/>
      <c r="DC48" s="56"/>
      <c r="DD48" s="56"/>
      <c r="DE48" s="56"/>
      <c r="DF48" s="56"/>
      <c r="DG48" s="56"/>
      <c r="DH48" s="56"/>
      <c r="DI48" s="56"/>
      <c r="DJ48" s="56"/>
      <c r="DK48" s="56"/>
      <c r="DL48" s="56"/>
      <c r="DM48" s="56"/>
      <c r="DN48" s="56"/>
      <c r="DO48" s="56"/>
      <c r="DP48" s="56"/>
      <c r="DQ48" s="56"/>
      <c r="DR48" s="56"/>
      <c r="DS48" s="56"/>
      <c r="DT48" s="56"/>
      <c r="DU48" s="56"/>
      <c r="DV48" s="56"/>
      <c r="DW48" s="56"/>
      <c r="DX48" s="56"/>
      <c r="DY48" s="56"/>
      <c r="DZ48" s="56"/>
      <c r="EA48" s="56"/>
      <c r="EB48" s="56"/>
      <c r="EC48" s="56"/>
      <c r="ED48" s="56"/>
      <c r="EE48" s="56"/>
      <c r="EF48" s="56"/>
      <c r="EG48" s="56"/>
      <c r="EH48" s="56"/>
      <c r="EI48" s="56"/>
      <c r="EJ48" s="56"/>
      <c r="EK48" s="56"/>
      <c r="EL48" s="56"/>
      <c r="EM48" s="56"/>
      <c r="EN48" s="56"/>
      <c r="EO48" s="56"/>
      <c r="EP48" s="56"/>
      <c r="EQ48" s="56"/>
      <c r="ER48" s="56"/>
      <c r="ES48" s="56"/>
      <c r="ET48" s="56"/>
      <c r="EU48" s="56"/>
      <c r="EV48" s="56"/>
      <c r="EW48" s="56"/>
      <c r="EX48" s="56"/>
      <c r="EY48" s="56"/>
      <c r="EZ48" s="56"/>
      <c r="FA48" s="56"/>
      <c r="FB48" s="56"/>
      <c r="FC48" s="56"/>
      <c r="FD48" s="56"/>
      <c r="FE48" s="56"/>
      <c r="FF48" s="56"/>
      <c r="FG48" s="56"/>
      <c r="FH48" s="56"/>
      <c r="FI48" s="56"/>
      <c r="FJ48" s="56"/>
      <c r="FK48" s="56"/>
      <c r="FL48" s="56"/>
      <c r="FM48" s="56"/>
      <c r="FN48" s="56"/>
      <c r="FO48" s="56"/>
      <c r="FP48" s="56"/>
      <c r="FQ48" s="56"/>
      <c r="FR48" s="56"/>
      <c r="FS48" s="56"/>
      <c r="FT48" s="56"/>
      <c r="FU48" s="56"/>
      <c r="FV48" s="56"/>
      <c r="FW48" s="56"/>
      <c r="FX48" s="56"/>
      <c r="FY48" s="56"/>
      <c r="FZ48" s="56"/>
      <c r="GA48" s="56"/>
      <c r="GB48" s="56"/>
      <c r="GC48" s="56"/>
      <c r="GD48" s="56"/>
      <c r="GE48" s="56"/>
      <c r="GF48" s="56"/>
      <c r="GG48" s="56"/>
      <c r="GH48" s="56"/>
      <c r="GI48" s="56"/>
      <c r="GJ48" s="56"/>
      <c r="GK48" s="56"/>
      <c r="GL48" s="56"/>
      <c r="GM48" s="56"/>
      <c r="GN48" s="56"/>
      <c r="GO48" s="56"/>
    </row>
    <row r="49" spans="1:197" ht="16.5" thickBot="1">
      <c r="A49" s="310"/>
      <c r="B49" s="201"/>
      <c r="C49" s="301"/>
      <c r="D49" s="171"/>
      <c r="E49" s="171"/>
      <c r="F49" s="171"/>
      <c r="G49" s="171"/>
      <c r="H49" s="171"/>
      <c r="I49" s="171"/>
      <c r="J49" s="205"/>
      <c r="K49" s="171"/>
      <c r="L49" s="171"/>
      <c r="M49" s="311"/>
      <c r="N49" s="301"/>
      <c r="O49" s="186"/>
      <c r="P49" s="186"/>
      <c r="Q49" s="201"/>
      <c r="R49" s="201"/>
      <c r="S49" s="205"/>
      <c r="T49" s="201"/>
      <c r="U49" s="186"/>
      <c r="V49" s="186"/>
      <c r="W49" s="186"/>
      <c r="X49" s="186"/>
      <c r="Y49" s="186"/>
      <c r="Z49" s="186"/>
      <c r="AA49" s="58"/>
      <c r="AB49" s="171"/>
      <c r="AC49" s="192"/>
      <c r="AD49" s="833"/>
      <c r="AE49" s="834"/>
      <c r="AF49" s="835"/>
      <c r="AG49" s="283"/>
      <c r="AH49" s="306"/>
      <c r="AI49" s="836" t="s">
        <v>185</v>
      </c>
      <c r="AJ49" s="837"/>
      <c r="AK49" s="837"/>
      <c r="AL49" s="837"/>
      <c r="AM49" s="837"/>
      <c r="AN49" s="837"/>
      <c r="AO49" s="837"/>
      <c r="AP49" s="838"/>
      <c r="AQ49" s="171"/>
      <c r="AR49" s="171"/>
      <c r="AS49" s="171"/>
      <c r="AT49" s="845"/>
      <c r="AU49" s="845"/>
      <c r="AV49" s="171"/>
      <c r="AW49" s="308"/>
      <c r="AX49" s="171"/>
      <c r="AY49" s="56"/>
      <c r="AZ49" s="56"/>
      <c r="BA49" s="171"/>
      <c r="BB49" s="171"/>
      <c r="BC49" s="171"/>
      <c r="BD49" s="267" t="s">
        <v>135</v>
      </c>
      <c r="BE49" s="267" t="s">
        <v>135</v>
      </c>
      <c r="BF49" s="267" t="s">
        <v>135</v>
      </c>
      <c r="BG49" s="267" t="s">
        <v>135</v>
      </c>
      <c r="BH49" s="267" t="s">
        <v>135</v>
      </c>
      <c r="BI49" s="57"/>
      <c r="BJ49" s="58"/>
      <c r="BK49" s="56"/>
      <c r="BL49" s="83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56"/>
      <c r="CR49" s="56"/>
      <c r="CS49" s="56"/>
      <c r="CT49" s="56"/>
      <c r="CU49" s="56"/>
      <c r="CV49" s="56"/>
      <c r="CW49" s="56"/>
      <c r="CX49" s="56"/>
      <c r="CY49" s="56"/>
      <c r="CZ49" s="56"/>
      <c r="DA49" s="56"/>
      <c r="DB49" s="56"/>
      <c r="DC49" s="56"/>
      <c r="DD49" s="56"/>
      <c r="DE49" s="56"/>
      <c r="DF49" s="56"/>
      <c r="DG49" s="56"/>
      <c r="DH49" s="56"/>
      <c r="DI49" s="56"/>
      <c r="DJ49" s="56"/>
      <c r="DK49" s="56"/>
      <c r="DL49" s="56"/>
      <c r="DM49" s="56"/>
      <c r="DN49" s="56"/>
      <c r="DO49" s="56"/>
      <c r="DP49" s="56"/>
      <c r="DQ49" s="56"/>
      <c r="DR49" s="56"/>
      <c r="DS49" s="56"/>
      <c r="DT49" s="56"/>
      <c r="DU49" s="56"/>
      <c r="DV49" s="56"/>
      <c r="DW49" s="56"/>
      <c r="DX49" s="56"/>
      <c r="DY49" s="56"/>
      <c r="DZ49" s="56"/>
      <c r="EA49" s="56"/>
      <c r="EB49" s="56"/>
      <c r="EC49" s="56"/>
      <c r="ED49" s="56"/>
      <c r="EE49" s="56"/>
      <c r="EF49" s="56"/>
      <c r="EG49" s="56"/>
      <c r="EH49" s="56"/>
      <c r="EI49" s="56"/>
      <c r="EJ49" s="56"/>
      <c r="EK49" s="56"/>
      <c r="EL49" s="56"/>
      <c r="EM49" s="56"/>
      <c r="EN49" s="56"/>
      <c r="EO49" s="56"/>
      <c r="EP49" s="56"/>
      <c r="EQ49" s="56"/>
      <c r="ER49" s="56"/>
      <c r="ES49" s="56"/>
      <c r="ET49" s="56"/>
      <c r="EU49" s="56"/>
      <c r="EV49" s="56"/>
      <c r="EW49" s="56"/>
      <c r="EX49" s="56"/>
      <c r="EY49" s="56"/>
      <c r="EZ49" s="56"/>
      <c r="FA49" s="56"/>
      <c r="FB49" s="56"/>
      <c r="FC49" s="56"/>
      <c r="FD49" s="56"/>
      <c r="FE49" s="56"/>
      <c r="FF49" s="56"/>
      <c r="FG49" s="56"/>
      <c r="FH49" s="56"/>
      <c r="FI49" s="56"/>
      <c r="FJ49" s="56"/>
      <c r="FK49" s="56"/>
      <c r="FL49" s="56"/>
      <c r="FM49" s="56"/>
      <c r="FN49" s="56"/>
      <c r="FO49" s="56"/>
      <c r="FP49" s="56"/>
      <c r="FQ49" s="56"/>
      <c r="FR49" s="56"/>
      <c r="FS49" s="56"/>
      <c r="FT49" s="56"/>
      <c r="FU49" s="56"/>
      <c r="FV49" s="56"/>
      <c r="FW49" s="56"/>
      <c r="FX49" s="56"/>
      <c r="FY49" s="56"/>
      <c r="FZ49" s="56"/>
      <c r="GA49" s="56"/>
      <c r="GB49" s="56"/>
      <c r="GC49" s="56"/>
      <c r="GD49" s="56"/>
      <c r="GE49" s="56"/>
      <c r="GF49" s="56"/>
      <c r="GG49" s="56"/>
      <c r="GH49" s="56"/>
      <c r="GI49" s="56"/>
      <c r="GJ49" s="56"/>
      <c r="GK49" s="56"/>
      <c r="GL49" s="56"/>
      <c r="GM49" s="56"/>
      <c r="GN49" s="56"/>
      <c r="GO49" s="56"/>
    </row>
    <row r="50" spans="1:197" ht="15.75" thickBot="1">
      <c r="A50" s="310"/>
      <c r="B50" s="201"/>
      <c r="C50" s="301"/>
      <c r="D50" s="171"/>
      <c r="E50" s="171"/>
      <c r="F50" s="171"/>
      <c r="G50" s="171"/>
      <c r="H50" s="171"/>
      <c r="I50" s="171"/>
      <c r="J50" s="205"/>
      <c r="K50" s="171"/>
      <c r="L50" s="171"/>
      <c r="M50" s="311"/>
      <c r="N50" s="301"/>
      <c r="O50" s="186"/>
      <c r="P50" s="186"/>
      <c r="Q50" s="201"/>
      <c r="R50" s="201"/>
      <c r="S50" s="205"/>
      <c r="T50" s="186"/>
      <c r="U50" s="186"/>
      <c r="V50" s="186"/>
      <c r="W50" s="186"/>
      <c r="X50" s="186"/>
      <c r="Y50" s="186"/>
      <c r="Z50" s="186"/>
      <c r="AA50" s="57"/>
      <c r="AB50" s="186"/>
      <c r="AC50" s="192"/>
      <c r="AD50" s="185"/>
      <c r="AE50" s="312"/>
      <c r="AF50" s="846" t="s">
        <v>186</v>
      </c>
      <c r="AG50" s="847"/>
      <c r="AH50" s="848"/>
      <c r="AI50" s="839"/>
      <c r="AJ50" s="840"/>
      <c r="AK50" s="840"/>
      <c r="AL50" s="840"/>
      <c r="AM50" s="840"/>
      <c r="AN50" s="840"/>
      <c r="AO50" s="840"/>
      <c r="AP50" s="841"/>
      <c r="AQ50" s="171"/>
      <c r="AR50" s="171"/>
      <c r="AS50" s="171"/>
      <c r="AT50" s="845"/>
      <c r="AU50" s="845"/>
      <c r="AV50" s="313"/>
      <c r="AW50" s="313"/>
      <c r="AX50" s="171"/>
      <c r="AY50" s="56"/>
      <c r="AZ50" s="56"/>
      <c r="BA50" s="171"/>
      <c r="BB50" s="171"/>
      <c r="BC50" s="171"/>
      <c r="BD50" s="171"/>
      <c r="BE50" s="171"/>
      <c r="BF50" s="171"/>
      <c r="BG50" s="171"/>
      <c r="BH50" s="171"/>
      <c r="BI50" s="57"/>
      <c r="BJ50" s="308"/>
      <c r="BK50" s="308"/>
      <c r="BL50" s="83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56"/>
      <c r="CC50" s="56"/>
      <c r="CD50" s="56"/>
      <c r="CE50" s="56"/>
      <c r="CF50" s="56"/>
      <c r="CG50" s="56"/>
      <c r="CH50" s="56"/>
      <c r="CI50" s="56"/>
      <c r="CJ50" s="56"/>
      <c r="CK50" s="56"/>
      <c r="CL50" s="56"/>
      <c r="CM50" s="56"/>
      <c r="CN50" s="56"/>
      <c r="CO50" s="56"/>
      <c r="CP50" s="56"/>
      <c r="CQ50" s="56"/>
      <c r="CR50" s="56"/>
      <c r="CS50" s="56"/>
      <c r="CT50" s="56"/>
      <c r="CU50" s="56"/>
      <c r="CV50" s="56"/>
      <c r="CW50" s="56"/>
      <c r="CX50" s="56"/>
      <c r="CY50" s="56"/>
      <c r="CZ50" s="56"/>
      <c r="DA50" s="56"/>
      <c r="DB50" s="56"/>
      <c r="DC50" s="56"/>
      <c r="DD50" s="56"/>
      <c r="DE50" s="56"/>
      <c r="DF50" s="56"/>
      <c r="DG50" s="56"/>
      <c r="DH50" s="56"/>
      <c r="DI50" s="56"/>
      <c r="DJ50" s="56"/>
      <c r="DK50" s="56"/>
      <c r="DL50" s="56"/>
      <c r="DM50" s="56"/>
      <c r="DN50" s="56"/>
      <c r="DO50" s="56"/>
      <c r="DP50" s="56"/>
      <c r="DQ50" s="56"/>
      <c r="DR50" s="56"/>
      <c r="DS50" s="56"/>
      <c r="DT50" s="56"/>
      <c r="DU50" s="56"/>
      <c r="DV50" s="56"/>
      <c r="DW50" s="56"/>
      <c r="DX50" s="56"/>
      <c r="DY50" s="56"/>
      <c r="DZ50" s="56"/>
      <c r="EA50" s="56"/>
      <c r="EB50" s="56"/>
      <c r="EC50" s="56"/>
      <c r="ED50" s="56"/>
      <c r="EE50" s="56"/>
      <c r="EF50" s="56"/>
      <c r="EG50" s="56"/>
      <c r="EH50" s="56"/>
      <c r="EI50" s="56"/>
      <c r="EJ50" s="56"/>
      <c r="EK50" s="56"/>
      <c r="EL50" s="56"/>
      <c r="EM50" s="56"/>
      <c r="EN50" s="56"/>
      <c r="EO50" s="56"/>
      <c r="EP50" s="56"/>
      <c r="EQ50" s="56"/>
      <c r="ER50" s="56"/>
      <c r="ES50" s="56"/>
      <c r="ET50" s="56"/>
      <c r="EU50" s="56"/>
      <c r="EV50" s="56"/>
      <c r="EW50" s="56"/>
      <c r="EX50" s="56"/>
      <c r="EY50" s="56"/>
      <c r="EZ50" s="56"/>
      <c r="FA50" s="56"/>
      <c r="FB50" s="56"/>
      <c r="FC50" s="56"/>
      <c r="FD50" s="56"/>
      <c r="FE50" s="56"/>
      <c r="FF50" s="56"/>
      <c r="FG50" s="56"/>
      <c r="FH50" s="56"/>
      <c r="FI50" s="56"/>
      <c r="FJ50" s="56"/>
      <c r="FK50" s="56"/>
      <c r="FL50" s="56"/>
      <c r="FM50" s="56"/>
      <c r="FN50" s="56"/>
      <c r="FO50" s="56"/>
      <c r="FP50" s="56"/>
      <c r="FQ50" s="56"/>
      <c r="FR50" s="56"/>
      <c r="FS50" s="56"/>
      <c r="FT50" s="56"/>
      <c r="FU50" s="56"/>
      <c r="FV50" s="56"/>
      <c r="FW50" s="56"/>
      <c r="FX50" s="56"/>
      <c r="FY50" s="56"/>
      <c r="FZ50" s="56"/>
      <c r="GA50" s="56"/>
      <c r="GB50" s="56"/>
      <c r="GC50" s="56"/>
      <c r="GD50" s="56"/>
      <c r="GE50" s="56"/>
      <c r="GF50" s="56"/>
      <c r="GG50" s="56"/>
      <c r="GH50" s="56"/>
      <c r="GI50" s="56"/>
      <c r="GJ50" s="56"/>
      <c r="GK50" s="56"/>
      <c r="GL50" s="56"/>
      <c r="GM50" s="56"/>
      <c r="GN50" s="56"/>
      <c r="GO50" s="56"/>
    </row>
    <row r="51" spans="1:197">
      <c r="A51" s="310"/>
      <c r="B51" s="201"/>
      <c r="C51" s="301"/>
      <c r="D51" s="171"/>
      <c r="E51" s="171"/>
      <c r="F51" s="171"/>
      <c r="G51" s="171"/>
      <c r="H51" s="171"/>
      <c r="I51" s="171"/>
      <c r="J51" s="205"/>
      <c r="K51" s="171"/>
      <c r="L51" s="171"/>
      <c r="M51" s="311"/>
      <c r="N51" s="301"/>
      <c r="O51" s="186"/>
      <c r="P51" s="186"/>
      <c r="Q51" s="201"/>
      <c r="R51" s="201"/>
      <c r="S51" s="205"/>
      <c r="T51" s="201"/>
      <c r="U51" s="201"/>
      <c r="V51" s="201"/>
      <c r="W51" s="201"/>
      <c r="X51" s="201"/>
      <c r="Y51" s="186"/>
      <c r="Z51" s="186"/>
      <c r="AA51" s="57"/>
      <c r="AB51" s="186"/>
      <c r="AC51" s="192"/>
      <c r="AD51" s="186"/>
      <c r="AE51" s="252"/>
      <c r="AF51" s="849"/>
      <c r="AG51" s="850"/>
      <c r="AH51" s="851"/>
      <c r="AI51" s="839"/>
      <c r="AJ51" s="840"/>
      <c r="AK51" s="840"/>
      <c r="AL51" s="840"/>
      <c r="AM51" s="840"/>
      <c r="AN51" s="840"/>
      <c r="AO51" s="840"/>
      <c r="AP51" s="841"/>
      <c r="AQ51" s="171"/>
      <c r="AR51" s="171"/>
      <c r="AS51" s="171"/>
      <c r="AT51" s="171"/>
      <c r="AU51" s="855" t="s">
        <v>187</v>
      </c>
      <c r="AV51" s="856"/>
      <c r="AW51" s="171"/>
      <c r="AX51" s="171"/>
      <c r="AY51" s="56"/>
      <c r="AZ51" s="56"/>
      <c r="BA51" s="171"/>
      <c r="BB51" s="171"/>
      <c r="BC51" s="171"/>
      <c r="BD51" s="171"/>
      <c r="BE51" s="171"/>
      <c r="BF51" s="171"/>
      <c r="BG51" s="171"/>
      <c r="BH51" s="171"/>
      <c r="BI51" s="57"/>
      <c r="BJ51" s="308"/>
      <c r="BK51" s="308"/>
      <c r="BL51" s="83"/>
      <c r="BM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56"/>
      <c r="CD51" s="56"/>
      <c r="CE51" s="56"/>
      <c r="CF51" s="56"/>
      <c r="CG51" s="56"/>
      <c r="CH51" s="56"/>
      <c r="CI51" s="56"/>
      <c r="CJ51" s="56"/>
      <c r="CK51" s="56"/>
      <c r="CL51" s="56"/>
      <c r="CM51" s="56"/>
      <c r="CN51" s="56"/>
      <c r="CO51" s="56"/>
      <c r="CP51" s="56"/>
      <c r="CQ51" s="56"/>
      <c r="CR51" s="56"/>
      <c r="CS51" s="56"/>
      <c r="CT51" s="56"/>
      <c r="CU51" s="56"/>
      <c r="CV51" s="56"/>
      <c r="CW51" s="56"/>
      <c r="CX51" s="56"/>
      <c r="CY51" s="56"/>
      <c r="CZ51" s="56"/>
      <c r="DA51" s="56"/>
      <c r="DB51" s="56"/>
      <c r="DC51" s="56"/>
      <c r="DD51" s="56"/>
      <c r="DE51" s="56"/>
      <c r="DF51" s="56"/>
      <c r="DG51" s="56"/>
      <c r="DH51" s="56"/>
      <c r="DI51" s="56"/>
      <c r="DJ51" s="56"/>
      <c r="DK51" s="56"/>
      <c r="DL51" s="56"/>
      <c r="DM51" s="56"/>
      <c r="DN51" s="56"/>
      <c r="DO51" s="56"/>
      <c r="DP51" s="56"/>
      <c r="DQ51" s="56"/>
      <c r="DR51" s="56"/>
      <c r="DS51" s="56"/>
      <c r="DT51" s="56"/>
      <c r="DU51" s="56"/>
      <c r="DV51" s="56"/>
      <c r="DW51" s="56"/>
      <c r="DX51" s="56"/>
      <c r="DY51" s="56"/>
      <c r="DZ51" s="56"/>
      <c r="EA51" s="56"/>
      <c r="EB51" s="56"/>
      <c r="EC51" s="56"/>
      <c r="ED51" s="56"/>
      <c r="EE51" s="56"/>
      <c r="EF51" s="56"/>
      <c r="EG51" s="56"/>
      <c r="EH51" s="56"/>
      <c r="EI51" s="56"/>
      <c r="EJ51" s="56"/>
      <c r="EK51" s="56"/>
      <c r="EL51" s="56"/>
      <c r="EM51" s="56"/>
      <c r="EN51" s="56"/>
      <c r="EO51" s="56"/>
      <c r="EP51" s="56"/>
      <c r="EQ51" s="56"/>
      <c r="ER51" s="56"/>
      <c r="ES51" s="56"/>
      <c r="ET51" s="56"/>
      <c r="EU51" s="56"/>
      <c r="EV51" s="56"/>
      <c r="EW51" s="56"/>
      <c r="EX51" s="56"/>
      <c r="EY51" s="56"/>
      <c r="EZ51" s="56"/>
      <c r="FA51" s="56"/>
      <c r="FB51" s="56"/>
      <c r="FC51" s="56"/>
      <c r="FD51" s="56"/>
      <c r="FE51" s="56"/>
      <c r="FF51" s="56"/>
      <c r="FG51" s="56"/>
      <c r="FH51" s="56"/>
      <c r="FI51" s="56"/>
      <c r="FJ51" s="56"/>
      <c r="FK51" s="56"/>
      <c r="FL51" s="56"/>
      <c r="FM51" s="56"/>
      <c r="FN51" s="56"/>
      <c r="FO51" s="56"/>
      <c r="FP51" s="56"/>
      <c r="FQ51" s="56"/>
      <c r="FR51" s="56"/>
      <c r="FS51" s="56"/>
      <c r="FT51" s="56"/>
      <c r="FU51" s="56"/>
      <c r="FV51" s="56"/>
      <c r="FW51" s="56"/>
      <c r="FX51" s="56"/>
      <c r="FY51" s="56"/>
      <c r="FZ51" s="56"/>
      <c r="GA51" s="56"/>
      <c r="GB51" s="56"/>
      <c r="GC51" s="56"/>
      <c r="GD51" s="56"/>
      <c r="GE51" s="56"/>
      <c r="GF51" s="56"/>
      <c r="GG51" s="56"/>
      <c r="GH51" s="56"/>
      <c r="GI51" s="56"/>
      <c r="GJ51" s="56"/>
      <c r="GK51" s="56"/>
      <c r="GL51" s="56"/>
      <c r="GM51" s="56"/>
      <c r="GN51" s="56"/>
      <c r="GO51" s="56"/>
    </row>
    <row r="52" spans="1:197" ht="15.75" thickBot="1">
      <c r="A52" s="310"/>
      <c r="B52" s="201"/>
      <c r="C52" s="301"/>
      <c r="D52" s="171"/>
      <c r="E52" s="171"/>
      <c r="F52" s="171"/>
      <c r="G52" s="171"/>
      <c r="H52" s="171"/>
      <c r="I52" s="171"/>
      <c r="J52" s="205"/>
      <c r="K52" s="171"/>
      <c r="L52" s="171"/>
      <c r="M52" s="311"/>
      <c r="N52" s="301"/>
      <c r="O52" s="186"/>
      <c r="P52" s="186"/>
      <c r="Q52" s="201"/>
      <c r="R52" s="201"/>
      <c r="S52" s="205"/>
      <c r="T52" s="295"/>
      <c r="U52" s="295"/>
      <c r="V52" s="171"/>
      <c r="W52" s="171"/>
      <c r="X52" s="171"/>
      <c r="Y52" s="171"/>
      <c r="Z52" s="295"/>
      <c r="AA52" s="57"/>
      <c r="AB52" s="295"/>
      <c r="AC52" s="281"/>
      <c r="AD52" s="314"/>
      <c r="AE52" s="315"/>
      <c r="AF52" s="852"/>
      <c r="AG52" s="853"/>
      <c r="AH52" s="854"/>
      <c r="AI52" s="842"/>
      <c r="AJ52" s="843"/>
      <c r="AK52" s="843"/>
      <c r="AL52" s="843"/>
      <c r="AM52" s="843"/>
      <c r="AN52" s="843"/>
      <c r="AO52" s="843"/>
      <c r="AP52" s="844"/>
      <c r="AQ52" s="314"/>
      <c r="AR52" s="314"/>
      <c r="AS52" s="314"/>
      <c r="AT52" s="305"/>
      <c r="AU52" s="857"/>
      <c r="AV52" s="858"/>
      <c r="AW52" s="305"/>
      <c r="AX52" s="305"/>
      <c r="AY52" s="305"/>
      <c r="AZ52" s="305"/>
      <c r="BA52" s="305"/>
      <c r="BB52" s="305"/>
      <c r="BC52" s="305"/>
      <c r="BD52" s="305"/>
      <c r="BE52" s="305"/>
      <c r="BF52" s="305"/>
      <c r="BG52" s="305"/>
      <c r="BH52" s="305"/>
      <c r="BI52" s="305"/>
      <c r="BJ52" s="304"/>
      <c r="BK52" s="304"/>
      <c r="BL52" s="83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6"/>
      <c r="CO52" s="56"/>
      <c r="CP52" s="56"/>
      <c r="CQ52" s="56"/>
      <c r="CR52" s="56"/>
      <c r="CS52" s="56"/>
      <c r="CT52" s="56"/>
      <c r="CU52" s="56"/>
      <c r="CV52" s="56"/>
      <c r="CW52" s="56"/>
      <c r="CX52" s="56"/>
      <c r="CY52" s="56"/>
      <c r="CZ52" s="56"/>
      <c r="DA52" s="56"/>
      <c r="DB52" s="56"/>
      <c r="DC52" s="56"/>
      <c r="DD52" s="56"/>
      <c r="DE52" s="56"/>
      <c r="DF52" s="56"/>
      <c r="DG52" s="56"/>
      <c r="DH52" s="56"/>
      <c r="DI52" s="56"/>
      <c r="DJ52" s="56"/>
      <c r="DK52" s="56"/>
      <c r="DL52" s="56"/>
      <c r="DM52" s="56"/>
      <c r="DN52" s="56"/>
      <c r="DO52" s="56"/>
      <c r="DP52" s="56"/>
      <c r="DQ52" s="56"/>
      <c r="DR52" s="56"/>
      <c r="DS52" s="56"/>
      <c r="DT52" s="56"/>
      <c r="DU52" s="56"/>
      <c r="DV52" s="56"/>
      <c r="DW52" s="56"/>
      <c r="DX52" s="56"/>
      <c r="DY52" s="56"/>
      <c r="DZ52" s="56"/>
      <c r="EA52" s="56"/>
      <c r="EB52" s="56"/>
      <c r="EC52" s="56"/>
      <c r="ED52" s="56"/>
      <c r="EE52" s="56"/>
      <c r="EF52" s="56"/>
      <c r="EG52" s="56"/>
      <c r="EH52" s="56"/>
      <c r="EI52" s="56"/>
      <c r="EJ52" s="56"/>
      <c r="EK52" s="56"/>
      <c r="EL52" s="56"/>
      <c r="EM52" s="56"/>
      <c r="EN52" s="56"/>
      <c r="EO52" s="56"/>
      <c r="EP52" s="56"/>
      <c r="EQ52" s="56"/>
      <c r="ER52" s="56"/>
      <c r="ES52" s="56"/>
      <c r="ET52" s="56"/>
      <c r="EU52" s="56"/>
      <c r="EV52" s="56"/>
      <c r="EW52" s="56"/>
      <c r="EX52" s="56"/>
      <c r="EY52" s="56"/>
      <c r="EZ52" s="56"/>
      <c r="FA52" s="56"/>
      <c r="FB52" s="56"/>
      <c r="FC52" s="56"/>
      <c r="FD52" s="56"/>
      <c r="FE52" s="56"/>
      <c r="FF52" s="56"/>
      <c r="FG52" s="56"/>
      <c r="FH52" s="56"/>
      <c r="FI52" s="56"/>
      <c r="FJ52" s="56"/>
      <c r="FK52" s="56"/>
      <c r="FL52" s="56"/>
      <c r="FM52" s="56"/>
      <c r="FN52" s="56"/>
      <c r="FO52" s="56"/>
      <c r="FP52" s="56"/>
      <c r="FQ52" s="56"/>
      <c r="FR52" s="56"/>
      <c r="FS52" s="56"/>
      <c r="FT52" s="56"/>
      <c r="FU52" s="56"/>
      <c r="FV52" s="56"/>
      <c r="FW52" s="56"/>
      <c r="FX52" s="56"/>
      <c r="FY52" s="56"/>
      <c r="FZ52" s="56"/>
      <c r="GA52" s="56"/>
      <c r="GB52" s="56"/>
      <c r="GC52" s="56"/>
      <c r="GD52" s="56"/>
      <c r="GE52" s="56"/>
      <c r="GF52" s="56"/>
      <c r="GG52" s="56"/>
      <c r="GH52" s="56"/>
      <c r="GI52" s="56"/>
      <c r="GJ52" s="56"/>
      <c r="GK52" s="56"/>
      <c r="GL52" s="56"/>
      <c r="GM52" s="56"/>
      <c r="GN52" s="56"/>
      <c r="GO52" s="56"/>
    </row>
    <row r="53" spans="1:197">
      <c r="A53" s="308"/>
      <c r="B53" s="201"/>
      <c r="C53" s="301"/>
      <c r="D53" s="171"/>
      <c r="E53" s="171"/>
      <c r="F53" s="171"/>
      <c r="G53" s="171"/>
      <c r="H53" s="171"/>
      <c r="I53" s="171"/>
      <c r="J53" s="205"/>
      <c r="K53" s="171"/>
      <c r="L53" s="171"/>
      <c r="M53" s="311"/>
      <c r="N53" s="301"/>
      <c r="O53" s="186"/>
      <c r="P53" s="186"/>
      <c r="Q53" s="201"/>
      <c r="R53" s="201"/>
      <c r="S53" s="205"/>
      <c r="T53" s="295"/>
      <c r="U53" s="295"/>
      <c r="V53" s="171"/>
      <c r="W53" s="171"/>
      <c r="X53" s="171"/>
      <c r="Y53" s="171"/>
      <c r="Z53" s="295"/>
      <c r="AA53" s="57"/>
      <c r="AB53" s="295"/>
      <c r="AC53" s="186"/>
      <c r="AD53" s="295"/>
      <c r="AE53" s="171"/>
      <c r="AF53" s="171"/>
      <c r="AG53" s="171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  <c r="AX53" s="171"/>
      <c r="AY53" s="171"/>
      <c r="AZ53" s="171"/>
      <c r="BA53" s="171"/>
      <c r="BB53" s="171"/>
      <c r="BC53" s="171"/>
      <c r="BD53" s="171"/>
      <c r="BE53" s="171"/>
      <c r="BF53" s="171"/>
      <c r="BG53" s="171"/>
      <c r="BH53" s="171"/>
      <c r="BI53" s="171"/>
      <c r="BJ53" s="308"/>
      <c r="BK53" s="308"/>
      <c r="BL53" s="112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6"/>
      <c r="CS53" s="56"/>
      <c r="CT53" s="56"/>
      <c r="CU53" s="56"/>
      <c r="CV53" s="56"/>
      <c r="CW53" s="56"/>
      <c r="CX53" s="56"/>
      <c r="CY53" s="56"/>
      <c r="CZ53" s="56"/>
      <c r="DA53" s="56"/>
      <c r="DB53" s="56"/>
      <c r="DC53" s="56"/>
      <c r="DD53" s="56"/>
      <c r="DE53" s="56"/>
      <c r="DF53" s="56"/>
      <c r="DG53" s="56"/>
      <c r="DH53" s="56"/>
      <c r="DI53" s="56"/>
      <c r="DJ53" s="56"/>
      <c r="DK53" s="56"/>
      <c r="DL53" s="56"/>
      <c r="DM53" s="56"/>
      <c r="DN53" s="56"/>
      <c r="DO53" s="56"/>
      <c r="DP53" s="56"/>
      <c r="DQ53" s="56"/>
      <c r="DR53" s="56"/>
      <c r="DS53" s="56"/>
      <c r="DT53" s="56"/>
      <c r="DU53" s="56"/>
      <c r="DV53" s="56"/>
      <c r="DW53" s="56"/>
      <c r="DX53" s="56"/>
      <c r="DY53" s="56"/>
      <c r="DZ53" s="56"/>
      <c r="EA53" s="56"/>
      <c r="EB53" s="56"/>
      <c r="EC53" s="56"/>
      <c r="ED53" s="56"/>
      <c r="EE53" s="56"/>
      <c r="EF53" s="56"/>
      <c r="EG53" s="56"/>
      <c r="EH53" s="56"/>
      <c r="EI53" s="56"/>
      <c r="EJ53" s="56"/>
      <c r="EK53" s="56"/>
      <c r="EL53" s="56"/>
      <c r="EM53" s="56"/>
      <c r="EN53" s="56"/>
      <c r="EO53" s="56"/>
      <c r="EP53" s="56"/>
      <c r="EQ53" s="56"/>
      <c r="ER53" s="56"/>
      <c r="ES53" s="56"/>
      <c r="ET53" s="56"/>
      <c r="EU53" s="56"/>
      <c r="EV53" s="56"/>
      <c r="EW53" s="56"/>
      <c r="EX53" s="56"/>
      <c r="EY53" s="56"/>
      <c r="EZ53" s="56"/>
      <c r="FA53" s="56"/>
      <c r="FB53" s="56"/>
      <c r="FC53" s="56"/>
      <c r="FD53" s="56"/>
      <c r="FE53" s="56"/>
      <c r="FF53" s="56"/>
      <c r="FG53" s="56"/>
      <c r="FH53" s="56"/>
      <c r="FI53" s="56"/>
      <c r="FJ53" s="56"/>
      <c r="FK53" s="56"/>
      <c r="FL53" s="56"/>
      <c r="FM53" s="56"/>
      <c r="FN53" s="56"/>
      <c r="FO53" s="56"/>
      <c r="FP53" s="56"/>
      <c r="FQ53" s="56"/>
      <c r="FR53" s="56"/>
      <c r="FS53" s="56"/>
      <c r="FT53" s="56"/>
      <c r="FU53" s="56"/>
      <c r="FV53" s="56"/>
      <c r="FW53" s="56"/>
      <c r="FX53" s="56"/>
      <c r="FY53" s="56"/>
      <c r="FZ53" s="56"/>
      <c r="GA53" s="56"/>
      <c r="GB53" s="56"/>
      <c r="GC53" s="56"/>
      <c r="GD53" s="56"/>
      <c r="GE53" s="56"/>
      <c r="GF53" s="56"/>
      <c r="GG53" s="56"/>
      <c r="GH53" s="56"/>
      <c r="GI53" s="56"/>
      <c r="GJ53" s="56"/>
      <c r="GK53" s="56"/>
      <c r="GL53" s="56"/>
      <c r="GM53" s="56"/>
      <c r="GN53" s="56"/>
      <c r="GO53" s="56"/>
    </row>
    <row r="54" spans="1:197">
      <c r="A54" s="308"/>
      <c r="B54" s="201"/>
      <c r="C54" s="301"/>
      <c r="D54" s="171"/>
      <c r="E54" s="171"/>
      <c r="F54" s="171"/>
      <c r="G54" s="171"/>
      <c r="H54" s="171"/>
      <c r="I54" s="171"/>
      <c r="J54" s="205"/>
      <c r="K54" s="171"/>
      <c r="L54" s="171"/>
      <c r="M54" s="311"/>
      <c r="N54" s="301"/>
      <c r="O54" s="186"/>
      <c r="P54" s="186"/>
      <c r="Q54" s="201"/>
      <c r="R54" s="201"/>
      <c r="S54" s="205"/>
      <c r="T54" s="295"/>
      <c r="U54" s="295"/>
      <c r="V54" s="171"/>
      <c r="W54" s="171"/>
      <c r="X54" s="171"/>
      <c r="Y54" s="171"/>
      <c r="Z54" s="295"/>
      <c r="AA54" s="57"/>
      <c r="AB54" s="295"/>
      <c r="AC54" s="186"/>
      <c r="AD54" s="295"/>
      <c r="AE54" s="171"/>
      <c r="AF54" s="171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  <c r="AX54" s="171"/>
      <c r="AY54" s="171"/>
      <c r="AZ54" s="171"/>
      <c r="BA54" s="171"/>
      <c r="BB54" s="171"/>
      <c r="BC54" s="171"/>
      <c r="BD54" s="171"/>
      <c r="BE54" s="171"/>
      <c r="BF54" s="171"/>
      <c r="BG54" s="171"/>
      <c r="BH54" s="171"/>
      <c r="BI54" s="171"/>
      <c r="BJ54" s="308"/>
      <c r="BK54" s="308"/>
      <c r="BL54" s="112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6"/>
      <c r="CR54" s="56"/>
      <c r="CS54" s="56"/>
      <c r="CT54" s="56"/>
      <c r="CU54" s="56"/>
      <c r="CV54" s="56"/>
      <c r="CW54" s="56"/>
      <c r="CX54" s="56"/>
      <c r="CY54" s="56"/>
      <c r="CZ54" s="56"/>
      <c r="DA54" s="56"/>
      <c r="DB54" s="56"/>
      <c r="DC54" s="56"/>
      <c r="DD54" s="56"/>
      <c r="DE54" s="56"/>
      <c r="DF54" s="56"/>
      <c r="DG54" s="56"/>
      <c r="DH54" s="56"/>
      <c r="DI54" s="56"/>
      <c r="DJ54" s="56"/>
      <c r="DK54" s="56"/>
      <c r="DL54" s="56"/>
      <c r="DM54" s="56"/>
      <c r="DN54" s="56"/>
      <c r="DO54" s="56"/>
      <c r="DP54" s="56"/>
      <c r="DQ54" s="56"/>
      <c r="DR54" s="56"/>
      <c r="DS54" s="56"/>
      <c r="DT54" s="56"/>
      <c r="DU54" s="56"/>
      <c r="DV54" s="56"/>
      <c r="DW54" s="56"/>
      <c r="DX54" s="56"/>
      <c r="DY54" s="56"/>
      <c r="DZ54" s="56"/>
      <c r="EA54" s="56"/>
      <c r="EB54" s="56"/>
      <c r="EC54" s="56"/>
      <c r="ED54" s="56"/>
      <c r="EE54" s="56"/>
      <c r="EF54" s="56"/>
      <c r="EG54" s="56"/>
      <c r="EH54" s="56"/>
      <c r="EI54" s="56"/>
      <c r="EJ54" s="56"/>
      <c r="EK54" s="56"/>
      <c r="EL54" s="56"/>
      <c r="EM54" s="56"/>
      <c r="EN54" s="56"/>
      <c r="EO54" s="56"/>
      <c r="EP54" s="56"/>
      <c r="EQ54" s="56"/>
      <c r="ER54" s="56"/>
      <c r="ES54" s="56"/>
      <c r="ET54" s="56"/>
      <c r="EU54" s="56"/>
      <c r="EV54" s="56"/>
      <c r="EW54" s="56"/>
      <c r="EX54" s="56"/>
      <c r="EY54" s="56"/>
      <c r="EZ54" s="56"/>
      <c r="FA54" s="56"/>
      <c r="FB54" s="56"/>
      <c r="FC54" s="56"/>
      <c r="FD54" s="56"/>
      <c r="FE54" s="56"/>
      <c r="FF54" s="56"/>
      <c r="FG54" s="56"/>
      <c r="FH54" s="56"/>
      <c r="FI54" s="56"/>
      <c r="FJ54" s="56"/>
      <c r="FK54" s="56"/>
      <c r="FL54" s="56"/>
      <c r="FM54" s="56"/>
      <c r="FN54" s="56"/>
      <c r="FO54" s="56"/>
      <c r="FP54" s="56"/>
      <c r="FQ54" s="56"/>
      <c r="FR54" s="56"/>
      <c r="FS54" s="56"/>
      <c r="FT54" s="56"/>
      <c r="FU54" s="56"/>
      <c r="FV54" s="56"/>
      <c r="FW54" s="56"/>
      <c r="FX54" s="56"/>
      <c r="FY54" s="56"/>
      <c r="FZ54" s="56"/>
      <c r="GA54" s="56"/>
      <c r="GB54" s="56"/>
      <c r="GC54" s="56"/>
      <c r="GD54" s="56"/>
      <c r="GE54" s="56"/>
      <c r="GF54" s="56"/>
      <c r="GG54" s="56"/>
      <c r="GH54" s="56"/>
      <c r="GI54" s="56"/>
      <c r="GJ54" s="56"/>
      <c r="GK54" s="56"/>
      <c r="GL54" s="56"/>
      <c r="GM54" s="56"/>
      <c r="GN54" s="56"/>
      <c r="GO54" s="56"/>
    </row>
    <row r="55" spans="1:197">
      <c r="A55" s="308"/>
      <c r="B55" s="201"/>
      <c r="C55" s="301"/>
      <c r="D55" s="171"/>
      <c r="E55" s="171"/>
      <c r="F55" s="171"/>
      <c r="G55" s="171"/>
      <c r="H55" s="171"/>
      <c r="I55" s="171"/>
      <c r="J55" s="205"/>
      <c r="K55" s="171"/>
      <c r="L55" s="171"/>
      <c r="M55" s="311"/>
      <c r="N55" s="301"/>
      <c r="O55" s="186"/>
      <c r="P55" s="186"/>
      <c r="Q55" s="201"/>
      <c r="R55" s="201"/>
      <c r="S55" s="205"/>
      <c r="T55" s="295"/>
      <c r="U55" s="295"/>
      <c r="V55" s="171"/>
      <c r="W55" s="171"/>
      <c r="X55" s="171"/>
      <c r="Y55" s="171"/>
      <c r="Z55" s="295"/>
      <c r="AA55" s="57"/>
      <c r="AB55" s="295"/>
      <c r="AC55" s="186"/>
      <c r="AD55" s="295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  <c r="BD55" s="171"/>
      <c r="BE55" s="171"/>
      <c r="BF55" s="171"/>
      <c r="BG55" s="171"/>
      <c r="BH55" s="171"/>
      <c r="BI55" s="171"/>
      <c r="BJ55" s="308"/>
      <c r="BK55" s="308"/>
      <c r="BL55" s="112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56"/>
      <c r="CP55" s="56"/>
      <c r="CQ55" s="56"/>
      <c r="CR55" s="56"/>
      <c r="CS55" s="56"/>
      <c r="CT55" s="56"/>
      <c r="CU55" s="56"/>
      <c r="CV55" s="56"/>
      <c r="CW55" s="56"/>
      <c r="CX55" s="56"/>
      <c r="CY55" s="56"/>
      <c r="CZ55" s="56"/>
      <c r="DA55" s="56"/>
      <c r="DB55" s="56"/>
      <c r="DC55" s="56"/>
      <c r="DD55" s="56"/>
      <c r="DE55" s="56"/>
      <c r="DF55" s="56"/>
      <c r="DG55" s="56"/>
      <c r="DH55" s="56"/>
      <c r="DI55" s="56"/>
      <c r="DJ55" s="56"/>
      <c r="DK55" s="56"/>
      <c r="DL55" s="56"/>
      <c r="DM55" s="56"/>
      <c r="DN55" s="56"/>
      <c r="DO55" s="56"/>
      <c r="DP55" s="56"/>
      <c r="DQ55" s="56"/>
      <c r="DR55" s="56"/>
      <c r="DS55" s="56"/>
      <c r="DT55" s="56"/>
      <c r="DU55" s="56"/>
      <c r="DV55" s="56"/>
      <c r="DW55" s="56"/>
      <c r="DX55" s="56"/>
      <c r="DY55" s="56"/>
      <c r="DZ55" s="56"/>
      <c r="EA55" s="56"/>
      <c r="EB55" s="56"/>
      <c r="EC55" s="56"/>
      <c r="ED55" s="56"/>
      <c r="EE55" s="56"/>
      <c r="EF55" s="56"/>
      <c r="EG55" s="56"/>
      <c r="EH55" s="56"/>
      <c r="EI55" s="56"/>
      <c r="EJ55" s="56"/>
      <c r="EK55" s="56"/>
      <c r="EL55" s="56"/>
      <c r="EM55" s="56"/>
      <c r="EN55" s="56"/>
      <c r="EO55" s="56"/>
      <c r="EP55" s="56"/>
      <c r="EQ55" s="56"/>
      <c r="ER55" s="56"/>
      <c r="ES55" s="56"/>
      <c r="ET55" s="56"/>
      <c r="EU55" s="56"/>
      <c r="EV55" s="56"/>
      <c r="EW55" s="56"/>
      <c r="EX55" s="56"/>
      <c r="EY55" s="56"/>
      <c r="EZ55" s="56"/>
      <c r="FA55" s="56"/>
      <c r="FB55" s="56"/>
      <c r="FC55" s="56"/>
      <c r="FD55" s="56"/>
      <c r="FE55" s="56"/>
      <c r="FF55" s="56"/>
      <c r="FG55" s="56"/>
      <c r="FH55" s="56"/>
      <c r="FI55" s="56"/>
      <c r="FJ55" s="56"/>
      <c r="FK55" s="56"/>
      <c r="FL55" s="56"/>
      <c r="FM55" s="56"/>
      <c r="FN55" s="56"/>
      <c r="FO55" s="56"/>
      <c r="FP55" s="56"/>
      <c r="FQ55" s="56"/>
      <c r="FR55" s="56"/>
      <c r="FS55" s="56"/>
      <c r="FT55" s="56"/>
      <c r="FU55" s="56"/>
      <c r="FV55" s="56"/>
      <c r="FW55" s="56"/>
      <c r="FX55" s="56"/>
      <c r="FY55" s="56"/>
      <c r="FZ55" s="56"/>
      <c r="GA55" s="56"/>
      <c r="GB55" s="56"/>
      <c r="GC55" s="56"/>
      <c r="GD55" s="56"/>
      <c r="GE55" s="56"/>
      <c r="GF55" s="56"/>
      <c r="GG55" s="56"/>
      <c r="GH55" s="56"/>
      <c r="GI55" s="56"/>
      <c r="GJ55" s="56"/>
      <c r="GK55" s="56"/>
      <c r="GL55" s="56"/>
      <c r="GM55" s="56"/>
      <c r="GN55" s="56"/>
      <c r="GO55" s="56"/>
    </row>
    <row r="56" spans="1:197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6"/>
      <c r="CR56" s="56"/>
      <c r="CS56" s="56"/>
      <c r="CT56" s="56"/>
      <c r="CU56" s="56"/>
      <c r="CV56" s="56"/>
      <c r="CW56" s="56"/>
      <c r="CX56" s="56"/>
      <c r="CY56" s="56"/>
      <c r="CZ56" s="56"/>
      <c r="DA56" s="56"/>
      <c r="DB56" s="56"/>
      <c r="DC56" s="56"/>
      <c r="DD56" s="56"/>
      <c r="DE56" s="56"/>
      <c r="DF56" s="56"/>
      <c r="DG56" s="56"/>
      <c r="DH56" s="56"/>
      <c r="DI56" s="56"/>
      <c r="DJ56" s="56"/>
      <c r="DK56" s="56"/>
      <c r="DL56" s="56"/>
      <c r="DM56" s="56"/>
      <c r="DN56" s="56"/>
      <c r="DO56" s="56"/>
      <c r="DP56" s="56"/>
      <c r="DQ56" s="56"/>
      <c r="DR56" s="56"/>
      <c r="DS56" s="56"/>
      <c r="DT56" s="56"/>
      <c r="DU56" s="56"/>
      <c r="DV56" s="56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G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  <c r="FE56" s="56"/>
      <c r="FF56" s="56"/>
      <c r="FG56" s="56"/>
      <c r="FH56" s="56"/>
      <c r="FI56" s="56"/>
      <c r="FJ56" s="56"/>
      <c r="FK56" s="56"/>
      <c r="FL56" s="56"/>
      <c r="FM56" s="56"/>
      <c r="FN56" s="56"/>
      <c r="FO56" s="56"/>
      <c r="FP56" s="56"/>
      <c r="FQ56" s="56"/>
      <c r="FR56" s="56"/>
      <c r="FS56" s="56"/>
      <c r="FT56" s="56"/>
      <c r="FU56" s="56"/>
      <c r="FV56" s="56"/>
      <c r="FW56" s="56"/>
      <c r="FX56" s="56"/>
      <c r="FY56" s="56"/>
      <c r="FZ56" s="56"/>
      <c r="GA56" s="56"/>
      <c r="GB56" s="56"/>
      <c r="GC56" s="56"/>
      <c r="GD56" s="56"/>
      <c r="GE56" s="56"/>
      <c r="GF56" s="56"/>
      <c r="GG56" s="56"/>
      <c r="GH56" s="56"/>
      <c r="GI56" s="56"/>
      <c r="GJ56" s="56"/>
      <c r="GK56" s="56"/>
      <c r="GL56" s="56"/>
      <c r="GM56" s="56"/>
      <c r="GN56" s="56"/>
      <c r="GO56" s="56"/>
    </row>
    <row r="57" spans="1:197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56"/>
      <c r="CR57" s="56"/>
      <c r="CS57" s="56"/>
      <c r="CT57" s="56"/>
      <c r="CU57" s="56"/>
      <c r="CV57" s="56"/>
      <c r="CW57" s="56"/>
      <c r="CX57" s="56"/>
      <c r="CY57" s="56"/>
      <c r="CZ57" s="56"/>
      <c r="DA57" s="56"/>
      <c r="DB57" s="56"/>
      <c r="DC57" s="56"/>
      <c r="DD57" s="56"/>
      <c r="DE57" s="56"/>
      <c r="DF57" s="56"/>
      <c r="DG57" s="56"/>
      <c r="DH57" s="56"/>
      <c r="DI57" s="56"/>
      <c r="DJ57" s="56"/>
      <c r="DK57" s="56"/>
      <c r="DL57" s="56"/>
      <c r="DM57" s="56"/>
      <c r="DN57" s="56"/>
      <c r="DO57" s="56"/>
      <c r="DP57" s="56"/>
      <c r="DQ57" s="56"/>
      <c r="DR57" s="56"/>
      <c r="DS57" s="56"/>
      <c r="DT57" s="56"/>
      <c r="DU57" s="56"/>
      <c r="DV57" s="56"/>
      <c r="DW57" s="56"/>
      <c r="DX57" s="56"/>
      <c r="DY57" s="56"/>
      <c r="DZ57" s="56"/>
      <c r="EA57" s="56"/>
      <c r="EB57" s="56"/>
      <c r="EC57" s="56"/>
      <c r="ED57" s="56"/>
      <c r="EE57" s="56"/>
      <c r="EF57" s="56"/>
      <c r="EG57" s="56"/>
      <c r="EH57" s="56"/>
      <c r="EI57" s="56"/>
      <c r="EJ57" s="56"/>
      <c r="EK57" s="56"/>
      <c r="EL57" s="56"/>
      <c r="EM57" s="56"/>
      <c r="EN57" s="56"/>
      <c r="EO57" s="56"/>
      <c r="EP57" s="56"/>
      <c r="EQ57" s="56"/>
      <c r="ER57" s="56"/>
      <c r="ES57" s="56"/>
      <c r="ET57" s="56"/>
      <c r="EU57" s="56"/>
      <c r="EV57" s="56"/>
      <c r="EW57" s="56"/>
      <c r="EX57" s="56"/>
      <c r="EY57" s="56"/>
      <c r="EZ57" s="56"/>
      <c r="FA57" s="56"/>
      <c r="FB57" s="56"/>
      <c r="FC57" s="56"/>
      <c r="FD57" s="56"/>
      <c r="FE57" s="56"/>
      <c r="FF57" s="56"/>
      <c r="FG57" s="56"/>
      <c r="FH57" s="56"/>
      <c r="FI57" s="56"/>
      <c r="FJ57" s="56"/>
      <c r="FK57" s="56"/>
      <c r="FL57" s="56"/>
      <c r="FM57" s="56"/>
      <c r="FN57" s="56"/>
      <c r="FO57" s="56"/>
      <c r="FP57" s="56"/>
      <c r="FQ57" s="56"/>
      <c r="FR57" s="56"/>
      <c r="FS57" s="56"/>
      <c r="FT57" s="56"/>
      <c r="FU57" s="56"/>
      <c r="FV57" s="56"/>
      <c r="FW57" s="56"/>
      <c r="FX57" s="56"/>
      <c r="FY57" s="56"/>
      <c r="FZ57" s="56"/>
      <c r="GA57" s="56"/>
      <c r="GB57" s="56"/>
      <c r="GC57" s="56"/>
      <c r="GD57" s="56"/>
      <c r="GE57" s="56"/>
      <c r="GF57" s="56"/>
      <c r="GG57" s="56"/>
      <c r="GH57" s="56"/>
      <c r="GI57" s="56"/>
      <c r="GJ57" s="56"/>
      <c r="GK57" s="56"/>
      <c r="GL57" s="56"/>
      <c r="GM57" s="56"/>
      <c r="GN57" s="56"/>
      <c r="GO57" s="56"/>
    </row>
    <row r="58" spans="1:197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BX58" s="56"/>
      <c r="BY58" s="56"/>
      <c r="BZ58" s="56"/>
      <c r="CA58" s="56"/>
      <c r="CB58" s="56"/>
      <c r="CC58" s="56"/>
      <c r="CD58" s="56"/>
      <c r="CE58" s="56"/>
      <c r="CF58" s="56"/>
      <c r="CG58" s="56"/>
      <c r="CH58" s="56"/>
      <c r="CI58" s="56"/>
      <c r="CJ58" s="56"/>
      <c r="CK58" s="56"/>
      <c r="CL58" s="56"/>
      <c r="CM58" s="56"/>
      <c r="CN58" s="56"/>
      <c r="CO58" s="56"/>
      <c r="CP58" s="56"/>
      <c r="CQ58" s="56"/>
      <c r="CR58" s="56"/>
      <c r="CS58" s="56"/>
      <c r="CT58" s="56"/>
      <c r="CU58" s="56"/>
      <c r="CV58" s="56"/>
      <c r="CW58" s="56"/>
      <c r="CX58" s="56"/>
      <c r="CY58" s="56"/>
      <c r="CZ58" s="56"/>
      <c r="DA58" s="56"/>
      <c r="DB58" s="56"/>
      <c r="DC58" s="56"/>
      <c r="DD58" s="56"/>
      <c r="DE58" s="56"/>
      <c r="DF58" s="56"/>
      <c r="DG58" s="56"/>
      <c r="DH58" s="56"/>
      <c r="DI58" s="56"/>
      <c r="DJ58" s="56"/>
      <c r="DK58" s="56"/>
      <c r="DL58" s="56"/>
      <c r="DM58" s="56"/>
      <c r="DN58" s="56"/>
      <c r="DO58" s="56"/>
      <c r="DP58" s="56"/>
      <c r="DQ58" s="56"/>
      <c r="DR58" s="56"/>
      <c r="DS58" s="56"/>
      <c r="DT58" s="56"/>
      <c r="DU58" s="56"/>
      <c r="DV58" s="56"/>
      <c r="DW58" s="56"/>
      <c r="DX58" s="56"/>
      <c r="DY58" s="56"/>
      <c r="DZ58" s="56"/>
      <c r="EA58" s="56"/>
      <c r="EB58" s="56"/>
      <c r="EC58" s="56"/>
      <c r="ED58" s="56"/>
      <c r="EE58" s="56"/>
      <c r="EF58" s="56"/>
      <c r="EG58" s="56"/>
      <c r="EH58" s="56"/>
      <c r="EI58" s="56"/>
      <c r="EJ58" s="56"/>
      <c r="EK58" s="56"/>
      <c r="EL58" s="56"/>
      <c r="EM58" s="56"/>
      <c r="EN58" s="56"/>
      <c r="EO58" s="56"/>
      <c r="EP58" s="56"/>
      <c r="EQ58" s="56"/>
      <c r="ER58" s="56"/>
      <c r="ES58" s="56"/>
      <c r="ET58" s="56"/>
      <c r="EU58" s="56"/>
      <c r="EV58" s="56"/>
      <c r="EW58" s="56"/>
      <c r="EX58" s="56"/>
      <c r="EY58" s="56"/>
      <c r="EZ58" s="56"/>
      <c r="FA58" s="56"/>
      <c r="FB58" s="56"/>
      <c r="FC58" s="56"/>
      <c r="FD58" s="56"/>
      <c r="FE58" s="56"/>
      <c r="FF58" s="56"/>
      <c r="FG58" s="56"/>
      <c r="FH58" s="56"/>
      <c r="FI58" s="56"/>
      <c r="FJ58" s="56"/>
      <c r="FK58" s="56"/>
      <c r="FL58" s="56"/>
      <c r="FM58" s="56"/>
      <c r="FN58" s="56"/>
      <c r="FO58" s="56"/>
      <c r="FP58" s="56"/>
      <c r="FQ58" s="56"/>
      <c r="FR58" s="56"/>
      <c r="FS58" s="56"/>
      <c r="FT58" s="56"/>
      <c r="FU58" s="56"/>
      <c r="FV58" s="56"/>
      <c r="FW58" s="56"/>
      <c r="FX58" s="56"/>
      <c r="FY58" s="56"/>
      <c r="FZ58" s="56"/>
      <c r="GA58" s="56"/>
      <c r="GB58" s="56"/>
      <c r="GC58" s="56"/>
      <c r="GD58" s="56"/>
      <c r="GE58" s="56"/>
      <c r="GF58" s="56"/>
      <c r="GG58" s="56"/>
      <c r="GH58" s="56"/>
      <c r="GI58" s="56"/>
      <c r="GJ58" s="56"/>
      <c r="GK58" s="56"/>
      <c r="GL58" s="56"/>
      <c r="GM58" s="56"/>
      <c r="GN58" s="56"/>
      <c r="GO58" s="56"/>
    </row>
    <row r="59" spans="1:197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56"/>
      <c r="BZ59" s="56"/>
      <c r="CA59" s="56"/>
      <c r="CB59" s="56"/>
      <c r="CC59" s="56"/>
      <c r="CD59" s="56"/>
      <c r="CE59" s="56"/>
      <c r="CF59" s="56"/>
      <c r="CG59" s="56"/>
      <c r="CH59" s="56"/>
      <c r="CI59" s="56"/>
      <c r="CJ59" s="56"/>
      <c r="CK59" s="56"/>
      <c r="CL59" s="56"/>
      <c r="CM59" s="56"/>
      <c r="CN59" s="56"/>
      <c r="CO59" s="56"/>
      <c r="CP59" s="56"/>
      <c r="CQ59" s="56"/>
      <c r="CR59" s="56"/>
      <c r="CS59" s="56"/>
      <c r="CT59" s="56"/>
      <c r="CU59" s="56"/>
      <c r="CV59" s="56"/>
      <c r="CW59" s="56"/>
      <c r="CX59" s="56"/>
      <c r="CY59" s="56"/>
      <c r="CZ59" s="56"/>
      <c r="DA59" s="56"/>
      <c r="DB59" s="56"/>
      <c r="DC59" s="56"/>
      <c r="DD59" s="56"/>
      <c r="DE59" s="56"/>
      <c r="DF59" s="56"/>
      <c r="DG59" s="56"/>
      <c r="DH59" s="56"/>
      <c r="DI59" s="56"/>
      <c r="DJ59" s="56"/>
      <c r="DK59" s="56"/>
      <c r="DL59" s="56"/>
      <c r="DM59" s="56"/>
      <c r="DN59" s="56"/>
      <c r="DO59" s="56"/>
      <c r="DP59" s="56"/>
      <c r="DQ59" s="56"/>
      <c r="DR59" s="56"/>
      <c r="DS59" s="56"/>
      <c r="DT59" s="56"/>
      <c r="DU59" s="56"/>
      <c r="DV59" s="56"/>
      <c r="DW59" s="56"/>
      <c r="DX59" s="56"/>
      <c r="DY59" s="56"/>
      <c r="DZ59" s="56"/>
      <c r="EA59" s="56"/>
      <c r="EB59" s="56"/>
      <c r="EC59" s="56"/>
      <c r="ED59" s="56"/>
      <c r="EE59" s="56"/>
      <c r="EF59" s="56"/>
      <c r="EG59" s="56"/>
      <c r="EH59" s="56"/>
      <c r="EI59" s="56"/>
      <c r="EJ59" s="56"/>
      <c r="EK59" s="56"/>
      <c r="EL59" s="56"/>
      <c r="EM59" s="56"/>
      <c r="EN59" s="56"/>
      <c r="EO59" s="56"/>
      <c r="EP59" s="56"/>
      <c r="EQ59" s="56"/>
      <c r="ER59" s="56"/>
      <c r="ES59" s="56"/>
      <c r="ET59" s="56"/>
      <c r="EU59" s="56"/>
      <c r="EV59" s="56"/>
      <c r="EW59" s="56"/>
      <c r="EX59" s="56"/>
      <c r="EY59" s="56"/>
      <c r="EZ59" s="56"/>
      <c r="FA59" s="56"/>
      <c r="FB59" s="56"/>
      <c r="FC59" s="56"/>
      <c r="FD59" s="56"/>
      <c r="FE59" s="56"/>
      <c r="FF59" s="56"/>
      <c r="FG59" s="56"/>
      <c r="FH59" s="56"/>
      <c r="FI59" s="56"/>
      <c r="FJ59" s="56"/>
      <c r="FK59" s="56"/>
      <c r="FL59" s="56"/>
      <c r="FM59" s="56"/>
      <c r="FN59" s="56"/>
      <c r="FO59" s="56"/>
      <c r="FP59" s="56"/>
      <c r="FQ59" s="56"/>
      <c r="FR59" s="56"/>
      <c r="FS59" s="56"/>
      <c r="FT59" s="56"/>
      <c r="FU59" s="56"/>
      <c r="FV59" s="56"/>
      <c r="FW59" s="56"/>
      <c r="FX59" s="56"/>
      <c r="FY59" s="56"/>
      <c r="FZ59" s="56"/>
      <c r="GA59" s="56"/>
      <c r="GB59" s="56"/>
      <c r="GC59" s="56"/>
      <c r="GD59" s="56"/>
      <c r="GE59" s="56"/>
      <c r="GF59" s="56"/>
      <c r="GG59" s="56"/>
      <c r="GH59" s="56"/>
      <c r="GI59" s="56"/>
      <c r="GJ59" s="56"/>
      <c r="GK59" s="56"/>
      <c r="GL59" s="56"/>
      <c r="GM59" s="56"/>
      <c r="GN59" s="56"/>
      <c r="GO59" s="56"/>
    </row>
    <row r="63" spans="1:197">
      <c r="M63" s="316"/>
    </row>
    <row r="64" spans="1:197">
      <c r="M64" s="316"/>
    </row>
    <row r="65" spans="1:33">
      <c r="M65" s="316"/>
    </row>
    <row r="70" spans="1:33">
      <c r="M70" s="316"/>
    </row>
    <row r="71" spans="1:33">
      <c r="M71" s="316"/>
    </row>
    <row r="72" spans="1:33" ht="15.75" thickBot="1">
      <c r="M72" s="316"/>
    </row>
    <row r="73" spans="1:33" ht="29.25" thickBot="1">
      <c r="A73" s="1077" t="s">
        <v>188</v>
      </c>
      <c r="B73" s="1078"/>
      <c r="C73" s="1078"/>
      <c r="D73" s="1078"/>
      <c r="E73" s="1078"/>
      <c r="F73" s="1078"/>
      <c r="G73" s="1078"/>
      <c r="H73" s="1078"/>
      <c r="I73" s="1079"/>
      <c r="J73" s="1080">
        <f>IFERROR(SUM(AE90:AE206)+G75,"")</f>
        <v>289</v>
      </c>
      <c r="K73" s="1081"/>
      <c r="L73" s="1081"/>
      <c r="M73" s="1082"/>
      <c r="Q73" s="1083" t="s">
        <v>189</v>
      </c>
      <c r="R73" s="1083"/>
      <c r="S73" s="1083"/>
      <c r="T73" s="1083"/>
      <c r="W73" s="1083" t="s">
        <v>190</v>
      </c>
      <c r="X73" s="1083"/>
      <c r="Y73" s="1083"/>
      <c r="Z73" s="1083"/>
      <c r="AB73" s="317"/>
      <c r="AC73" s="317"/>
      <c r="AD73" s="317"/>
      <c r="AE73" s="317"/>
      <c r="AF73" s="317"/>
      <c r="AG73" s="317"/>
    </row>
    <row r="74" spans="1:33" ht="24" thickBot="1">
      <c r="A74" s="318" t="s">
        <v>191</v>
      </c>
      <c r="B74" s="319"/>
      <c r="C74" s="319"/>
      <c r="D74" s="319"/>
      <c r="E74" s="319"/>
      <c r="F74" s="319"/>
      <c r="G74" s="319"/>
      <c r="H74" s="319"/>
      <c r="I74" s="319"/>
      <c r="J74" s="319"/>
      <c r="K74" s="319"/>
      <c r="L74" s="319"/>
      <c r="M74" s="320"/>
      <c r="Q74" s="1084" t="s">
        <v>192</v>
      </c>
      <c r="R74" s="1084"/>
      <c r="S74" s="1084" t="s">
        <v>193</v>
      </c>
      <c r="T74" s="1084"/>
      <c r="W74" s="1084" t="s">
        <v>192</v>
      </c>
      <c r="X74" s="1084"/>
      <c r="Y74" s="1084" t="s">
        <v>193</v>
      </c>
      <c r="Z74" s="1084"/>
      <c r="AB74" s="321"/>
      <c r="AC74" s="321"/>
      <c r="AD74" s="321"/>
      <c r="AE74" s="321"/>
      <c r="AF74" s="321"/>
      <c r="AG74" s="321"/>
    </row>
    <row r="75" spans="1:33" ht="24" thickBot="1">
      <c r="A75" s="1069" t="s">
        <v>194</v>
      </c>
      <c r="B75" s="1070"/>
      <c r="C75" s="1070"/>
      <c r="D75" s="1070"/>
      <c r="E75" s="1070"/>
      <c r="F75" s="1071"/>
      <c r="G75" s="1072">
        <f>I90+V90</f>
        <v>53</v>
      </c>
      <c r="H75" s="1073"/>
      <c r="I75" s="1074"/>
      <c r="Q75" s="1075">
        <v>44987</v>
      </c>
      <c r="R75" s="1075"/>
      <c r="S75" s="1076" t="s">
        <v>195</v>
      </c>
      <c r="T75" s="1076"/>
      <c r="W75" s="1075">
        <v>45163</v>
      </c>
      <c r="X75" s="1075"/>
      <c r="Y75" s="1076" t="s">
        <v>196</v>
      </c>
      <c r="Z75" s="1076"/>
      <c r="AB75" s="321"/>
      <c r="AC75" s="321"/>
      <c r="AD75" s="321"/>
      <c r="AE75" s="321"/>
      <c r="AF75" s="321"/>
      <c r="AG75" s="321"/>
    </row>
    <row r="76" spans="1:33" ht="24" thickBot="1">
      <c r="A76" s="322"/>
      <c r="B76" s="322"/>
      <c r="C76" s="322"/>
      <c r="D76" s="322"/>
      <c r="E76" s="322"/>
      <c r="F76" s="322"/>
      <c r="G76" s="322"/>
      <c r="H76" s="322"/>
      <c r="I76" s="322"/>
      <c r="Q76" s="323" t="s">
        <v>197</v>
      </c>
      <c r="R76" s="324" t="s">
        <v>198</v>
      </c>
      <c r="S76" s="325" t="s">
        <v>199</v>
      </c>
      <c r="T76" s="325" t="s">
        <v>200</v>
      </c>
      <c r="U76" s="1062" t="s">
        <v>201</v>
      </c>
      <c r="V76" s="1063"/>
      <c r="W76" s="323" t="s">
        <v>197</v>
      </c>
      <c r="X76" s="324" t="s">
        <v>198</v>
      </c>
      <c r="Y76" s="325" t="s">
        <v>199</v>
      </c>
      <c r="Z76" s="325" t="s">
        <v>200</v>
      </c>
      <c r="AF76" s="326"/>
      <c r="AG76" s="326"/>
    </row>
    <row r="77" spans="1:33" ht="22.5" thickTop="1" thickBot="1">
      <c r="A77" s="1064" t="s">
        <v>202</v>
      </c>
      <c r="B77" s="1065"/>
      <c r="C77" s="1065"/>
      <c r="D77" s="1065"/>
      <c r="E77" s="327">
        <f>I86+V86</f>
        <v>29</v>
      </c>
      <c r="F77" s="322"/>
      <c r="G77" s="322"/>
      <c r="H77" s="322"/>
      <c r="I77" s="322"/>
      <c r="Q77" s="328" t="s">
        <v>203</v>
      </c>
      <c r="R77" s="329" t="str">
        <f>IF(ISBLANK(Q76)," ",IFERROR(VLOOKUP("TOTAL",#REF!,13,0),""))</f>
        <v/>
      </c>
      <c r="S77" s="329" t="str">
        <f>IF(ISBLANK(Q76)," ",IFERROR(VLOOKUP("TOTAL F POWER",#REF!,13,0),""))</f>
        <v/>
      </c>
      <c r="T77" s="329" t="str">
        <f>IF(ISBLANK(Q76)," ",IFERROR(VLOOKUP("TOTAL SIN F POWER",#REF!,13,0),""))</f>
        <v/>
      </c>
      <c r="W77" s="328" t="s">
        <v>203</v>
      </c>
      <c r="X77" s="329" t="str">
        <f>IF(ISBLANK(W76)," ",IFERROR(VLOOKUP("TOTAL",#REF!,13,0),""))</f>
        <v/>
      </c>
      <c r="Y77" s="329" t="str">
        <f>IF(ISBLANK(W76)," ",IFERROR(VLOOKUP("TOTAL F POWER",#REF!,13,0),""))</f>
        <v/>
      </c>
      <c r="Z77" s="329" t="str">
        <f>IF(ISBLANK(W76)," ",IFERROR(VLOOKUP("TOTAL SIN F POWER",#REF!,13,0),""))</f>
        <v/>
      </c>
      <c r="AF77" s="330"/>
      <c r="AG77" s="330"/>
    </row>
    <row r="78" spans="1:33" ht="23.25" thickTop="1" thickBot="1">
      <c r="A78" s="1064" t="s">
        <v>204</v>
      </c>
      <c r="B78" s="1065"/>
      <c r="C78" s="1065"/>
      <c r="D78" s="1065"/>
      <c r="E78" s="327">
        <f>I87+V87</f>
        <v>0</v>
      </c>
      <c r="F78" s="322"/>
      <c r="G78" s="322"/>
      <c r="H78" s="322"/>
      <c r="I78" s="331"/>
      <c r="Q78" s="332" t="s">
        <v>205</v>
      </c>
      <c r="R78" s="333" t="str">
        <f>IF(ISBLANK(Q76)," ",IFERROR(VLOOKUP("TOTAL",#REF!,4,0),""))</f>
        <v/>
      </c>
      <c r="S78" s="333" t="str">
        <f>IF(ISBLANK(Q76)," ",IFERROR(VLOOKUP("TOTAL F POWER",#REF!,4,0),""))</f>
        <v/>
      </c>
      <c r="T78" s="333" t="str">
        <f>IF(ISBLANK(Q76)," ",IFERROR(VLOOKUP("TOTAL SIN F POWER",#REF!,4,0),""))</f>
        <v/>
      </c>
      <c r="W78" s="332" t="s">
        <v>205</v>
      </c>
      <c r="X78" s="334" t="str">
        <f>IF(ISBLANK(W76)," ",IFERROR(VLOOKUP("TOTAL",#REF!,4,0),""))</f>
        <v/>
      </c>
      <c r="Y78" s="334" t="str">
        <f>IF(ISBLANK(W76)," ",IFERROR(VLOOKUP("TOTAL F POWER",#REF!,4,0),""))</f>
        <v/>
      </c>
      <c r="Z78" s="334" t="str">
        <f>IF(ISBLANK(W76)," ",IFERROR(VLOOKUP("TOTAL SIN F POWER",#REF!,4,0),""))</f>
        <v/>
      </c>
      <c r="AF78" s="330"/>
      <c r="AG78" s="330"/>
    </row>
    <row r="79" spans="1:33" ht="47.25" thickBot="1">
      <c r="F79" s="335"/>
      <c r="G79" s="322"/>
      <c r="H79" s="322"/>
      <c r="I79" s="322"/>
      <c r="Q79" s="336" t="s">
        <v>206</v>
      </c>
      <c r="R79" s="337" t="str">
        <f>IF(ISBLANK(Q77)," ",IFERROR(VLOOKUP("TOTAL",#REF!,14,0),""))</f>
        <v/>
      </c>
      <c r="S79" s="337" t="str">
        <f>IF(ISBLANK(Q77)," ",IFERROR(VLOOKUP("TOTAL F POWER",#REF!,14,0),""))</f>
        <v/>
      </c>
      <c r="T79" s="337" t="str">
        <f>IF(ISBLANK(Q77)," ",IFERROR(VLOOKUP("TOTAL SIN F POWER",#REF!,14,0),""))</f>
        <v/>
      </c>
      <c r="W79" s="336" t="s">
        <v>206</v>
      </c>
      <c r="X79" s="337" t="str">
        <f>IF(ISBLANK(W76)," ",IFERROR(VLOOKUP("TOTAL",#REF!,14,0),""))</f>
        <v/>
      </c>
      <c r="Y79" s="337" t="str">
        <f>IF(ISBLANK(W76)," ",IFERROR(VLOOKUP("TOTAL F POWER",#REF!,14,0),""))</f>
        <v/>
      </c>
      <c r="Z79" s="337" t="str">
        <f>IF(ISBLANK(W76)," ",IFERROR(VLOOKUP("TOTAL SIN F POWER",#REF!,14,0),""))</f>
        <v/>
      </c>
      <c r="AF79" s="338"/>
      <c r="AG79" s="338"/>
    </row>
    <row r="80" spans="1:33" ht="21.75" thickBot="1">
      <c r="A80" s="1066" t="s">
        <v>207</v>
      </c>
      <c r="B80" s="1067"/>
      <c r="C80" s="1067"/>
      <c r="D80" s="1068"/>
      <c r="E80" s="339">
        <f>K190+X190</f>
        <v>48</v>
      </c>
      <c r="F80" s="322"/>
      <c r="G80" s="322"/>
      <c r="H80" s="322"/>
      <c r="I80" s="322"/>
      <c r="Q80" s="340" t="s">
        <v>208</v>
      </c>
      <c r="R80" s="341" t="str">
        <f>IF(ISBLANK(Q76)," ",IFERROR(VLOOKUP("TOTAL",#REF!,11,0),""))</f>
        <v/>
      </c>
      <c r="S80" s="341" t="str">
        <f>IF(ISBLANK(Q76)," ",IFERROR(VLOOKUP("TOTAL F POWER",#REF!,11,0),""))</f>
        <v/>
      </c>
      <c r="T80" s="341" t="str">
        <f>IF(ISBLANK(Q76)," ",IFERROR(VLOOKUP("TOTAL SIN F POWER",#REF!,11,0),""))</f>
        <v/>
      </c>
      <c r="W80" s="340" t="s">
        <v>208</v>
      </c>
      <c r="X80" s="342" t="str">
        <f>IF(ISBLANK(W76)," ",IFERROR(VLOOKUP("TOTAL",#REF!,11,0),""))</f>
        <v/>
      </c>
      <c r="Y80" s="342" t="str">
        <f>IF(ISBLANK(W76)," ",IFERROR(VLOOKUP("TOTAL F POWER",#REF!,11,0),""))</f>
        <v/>
      </c>
      <c r="Z80" s="342" t="str">
        <f>IF(ISBLANK(W76)," ",IFERROR(VLOOKUP("TOTAL SIN F POWER",#REF!,11,0),""))</f>
        <v/>
      </c>
    </row>
    <row r="81" spans="1:58" ht="21.75" thickBot="1">
      <c r="A81" s="1066" t="s">
        <v>209</v>
      </c>
      <c r="B81" s="1067"/>
      <c r="C81" s="1067"/>
      <c r="D81" s="1068"/>
      <c r="E81" s="343">
        <f>L190+Y190</f>
        <v>53</v>
      </c>
      <c r="F81" s="322"/>
      <c r="G81" s="322"/>
      <c r="H81" s="322"/>
      <c r="I81" s="322"/>
      <c r="Q81" s="344" t="s">
        <v>210</v>
      </c>
      <c r="R81" s="345" t="str">
        <f>IF(ISBLANK(Q76)," ",IFERROR(VLOOKUP("TOTAL",#REF!,15,0),""))</f>
        <v/>
      </c>
      <c r="S81" s="345" t="str">
        <f>IF(ISBLANK(Q76)," ",IFERROR(VLOOKUP("TOTAL F POWER",#REF!,15,0),""))</f>
        <v/>
      </c>
      <c r="T81" s="345" t="str">
        <f>IF(ISBLANK(Q76)," ",IFERROR(VLOOKUP("TOTAL SIN F POWER",#REF!,15,0),""))</f>
        <v/>
      </c>
      <c r="W81" s="344" t="s">
        <v>210</v>
      </c>
      <c r="X81" s="346" t="str">
        <f>IF(ISBLANK(W76)," ",IFERROR(VLOOKUP("TOTAL",#REF!,15,0),""))</f>
        <v/>
      </c>
      <c r="Y81" s="346" t="str">
        <f>IF(ISBLANK(W76)," ",IFERROR(VLOOKUP("TOTAL F POWER",#REF!,15,0),""))</f>
        <v/>
      </c>
      <c r="Z81" s="346" t="str">
        <f>IF(ISBLANK(W76)," ",IFERROR(VLOOKUP("TOTAL SIN F POWER",#REF!,15,0),""))</f>
        <v/>
      </c>
    </row>
    <row r="82" spans="1:58" ht="30.75" thickBot="1">
      <c r="A82" s="1066" t="s">
        <v>211</v>
      </c>
      <c r="B82" s="1067"/>
      <c r="C82" s="1067"/>
      <c r="D82" s="1068"/>
      <c r="E82" s="347">
        <f>J190+W190</f>
        <v>24</v>
      </c>
      <c r="Q82" s="348" t="s">
        <v>212</v>
      </c>
      <c r="R82" s="349" t="str">
        <f>IF(ISBLANK(Q76)," ",IFERROR(VLOOKUP("TOTAL",#REF!,16,0),""))</f>
        <v/>
      </c>
      <c r="S82" s="349" t="str">
        <f>IF(ISBLANK(Q76)," ",IFERROR(VLOOKUP("TOTAL F POWER",#REF!,16,0),""))</f>
        <v/>
      </c>
      <c r="T82" s="349" t="str">
        <f>IF(ISBLANK(Q76)," ",IFERROR(VLOOKUP("TOTAL SIN F POWER",#REF!,16,0),""))</f>
        <v/>
      </c>
      <c r="W82" s="348" t="s">
        <v>212</v>
      </c>
      <c r="X82" s="350" t="str">
        <f>IF(ISBLANK(W76)," ",IFERROR(VLOOKUP("TOTAL",#REF!,16,0),""))</f>
        <v/>
      </c>
      <c r="Y82" s="350" t="str">
        <f>IF(ISBLANK(W76)," ",IFERROR(VLOOKUP("TOTAL F POWER",#REF!,16,0),""))</f>
        <v/>
      </c>
      <c r="Z82" s="350" t="str">
        <f>IF(ISBLANK(W76)," ",IFERROR(VLOOKUP("TOTAL SIN F POWER",#REF!,16,0),""))</f>
        <v/>
      </c>
    </row>
    <row r="85" spans="1:58" ht="47.25" thickBot="1">
      <c r="A85" s="1052" t="s">
        <v>213</v>
      </c>
      <c r="B85" s="1053"/>
      <c r="C85" s="1053"/>
      <c r="D85" s="1053"/>
      <c r="E85" s="1053"/>
      <c r="F85" s="1053"/>
      <c r="G85" s="1053"/>
      <c r="H85" s="1053"/>
      <c r="I85" s="1053"/>
      <c r="J85" s="1053"/>
      <c r="K85" s="1053"/>
      <c r="L85" s="1053"/>
      <c r="M85" s="1053"/>
      <c r="N85" s="1053"/>
      <c r="O85" s="1053"/>
      <c r="P85" s="1053"/>
      <c r="Q85" s="1053"/>
      <c r="R85" s="1053"/>
      <c r="S85" s="1053"/>
      <c r="T85" s="1053"/>
      <c r="U85" s="1053"/>
      <c r="V85" s="1053"/>
      <c r="W85" s="1053"/>
      <c r="X85" s="1053"/>
      <c r="Y85" s="1053"/>
      <c r="Z85" s="1053"/>
      <c r="AA85" s="320"/>
    </row>
    <row r="86" spans="1:58" ht="27.75" thickTop="1" thickBot="1">
      <c r="D86" s="1040" t="s">
        <v>214</v>
      </c>
      <c r="E86" s="1041"/>
      <c r="F86" s="1041"/>
      <c r="G86" s="1042"/>
      <c r="H86" s="1042"/>
      <c r="I86" s="1054">
        <f>COUNTIF($N$1:$BK$52,"25C")</f>
        <v>23</v>
      </c>
      <c r="J86" s="1055"/>
      <c r="M86" s="316"/>
      <c r="Q86" s="1040" t="s">
        <v>215</v>
      </c>
      <c r="R86" s="1041"/>
      <c r="S86" s="1041"/>
      <c r="T86" s="1042"/>
      <c r="U86" s="1042"/>
      <c r="V86" s="1054">
        <f>COUNTIF($A$1:$M$22,"25C")</f>
        <v>6</v>
      </c>
      <c r="W86" s="1055"/>
      <c r="AA86" s="351"/>
      <c r="AB86" s="352"/>
      <c r="AC86" s="1056" t="s">
        <v>216</v>
      </c>
      <c r="AD86" s="1057"/>
      <c r="AE86" s="1057"/>
      <c r="AF86" s="1058"/>
      <c r="AG86" s="352"/>
      <c r="AI86" s="353"/>
      <c r="AJ86" s="354"/>
      <c r="AK86" s="354"/>
      <c r="AL86" s="354"/>
      <c r="AM86" s="354"/>
      <c r="AN86" s="354"/>
      <c r="AO86" s="354"/>
      <c r="AP86" s="354"/>
      <c r="AQ86" s="354"/>
      <c r="AR86" s="354"/>
      <c r="AS86" s="354"/>
      <c r="AT86" s="354"/>
      <c r="AU86" s="354"/>
      <c r="AV86" s="354"/>
      <c r="AW86" s="354"/>
      <c r="AX86" s="354"/>
      <c r="AY86" s="354"/>
      <c r="AZ86" s="354"/>
      <c r="BA86" s="355"/>
    </row>
    <row r="87" spans="1:58" ht="22.5" thickTop="1" thickBot="1">
      <c r="D87" s="1040" t="s">
        <v>217</v>
      </c>
      <c r="E87" s="1041"/>
      <c r="F87" s="1041"/>
      <c r="G87" s="1042"/>
      <c r="H87" s="1042"/>
      <c r="I87" s="1054">
        <f>COUNTIF($N$1:$BK$52,"50C")</f>
        <v>0</v>
      </c>
      <c r="J87" s="1055"/>
      <c r="M87" s="316"/>
      <c r="Q87" s="1040" t="s">
        <v>218</v>
      </c>
      <c r="R87" s="1041"/>
      <c r="S87" s="1041"/>
      <c r="T87" s="1042"/>
      <c r="U87" s="1042"/>
      <c r="V87" s="1054">
        <f>COUNTIF($A$1:$M$22,"50C")</f>
        <v>0</v>
      </c>
      <c r="W87" s="1055"/>
      <c r="AA87" s="351"/>
      <c r="AC87" s="1059"/>
      <c r="AD87" s="1060"/>
      <c r="AE87" s="1060"/>
      <c r="AF87" s="1061"/>
      <c r="AH87" s="356"/>
      <c r="AI87" s="1047" t="s">
        <v>219</v>
      </c>
      <c r="AJ87" s="1048"/>
      <c r="AK87" s="1048"/>
      <c r="AL87" s="1048"/>
      <c r="AM87" s="1048"/>
      <c r="AN87" s="1049"/>
      <c r="AO87" s="357" t="s">
        <v>198</v>
      </c>
      <c r="AP87" s="358"/>
      <c r="AQ87" s="356"/>
      <c r="AR87" s="910" t="s">
        <v>220</v>
      </c>
      <c r="AS87" s="911"/>
      <c r="AT87" s="911"/>
      <c r="AU87" s="911"/>
      <c r="AV87" s="911"/>
      <c r="AW87" s="907"/>
      <c r="AX87" s="357" t="s">
        <v>198</v>
      </c>
      <c r="AY87" s="358"/>
      <c r="AZ87" s="356"/>
      <c r="BA87" s="359"/>
    </row>
    <row r="88" spans="1:58" ht="27" thickBot="1">
      <c r="A88" s="319"/>
      <c r="B88" s="319"/>
      <c r="C88" s="319"/>
      <c r="D88" s="1040" t="s">
        <v>221</v>
      </c>
      <c r="E88" s="1041"/>
      <c r="F88" s="1041"/>
      <c r="G88" s="1042"/>
      <c r="H88" s="1043"/>
      <c r="I88" s="1044">
        <f>G114</f>
        <v>14</v>
      </c>
      <c r="J88" s="1045"/>
      <c r="K88" s="319"/>
      <c r="L88" s="360"/>
      <c r="M88" s="351"/>
      <c r="N88" s="351"/>
      <c r="O88" s="361"/>
      <c r="P88" s="361"/>
      <c r="Q88" s="1040" t="s">
        <v>222</v>
      </c>
      <c r="R88" s="1041"/>
      <c r="S88" s="1041"/>
      <c r="T88" s="1041"/>
      <c r="U88" s="1046"/>
      <c r="V88" s="1044">
        <f>T114</f>
        <v>1</v>
      </c>
      <c r="W88" s="1045"/>
      <c r="X88" s="361"/>
      <c r="Y88" s="361"/>
      <c r="Z88" s="362"/>
      <c r="AA88" s="351"/>
      <c r="AC88" s="1050" t="s">
        <v>223</v>
      </c>
      <c r="AD88" s="1051"/>
      <c r="AE88" s="363" t="s">
        <v>224</v>
      </c>
      <c r="AF88" s="364" t="s">
        <v>225</v>
      </c>
      <c r="AH88" s="356"/>
      <c r="AI88" s="899" t="s">
        <v>226</v>
      </c>
      <c r="AJ88" s="900"/>
      <c r="AK88" s="900"/>
      <c r="AL88" s="900"/>
      <c r="AM88" s="900"/>
      <c r="AN88" s="365" t="s">
        <v>227</v>
      </c>
      <c r="AO88" s="366">
        <f t="shared" ref="AO88:AO151" si="0">COUNTIF($A$1:$GO$65,AN88)</f>
        <v>0</v>
      </c>
      <c r="AP88" s="367"/>
      <c r="AQ88" s="356"/>
      <c r="AR88" s="914" t="s">
        <v>228</v>
      </c>
      <c r="AS88" s="915"/>
      <c r="AT88" s="915"/>
      <c r="AU88" s="915"/>
      <c r="AV88" s="915"/>
      <c r="AW88" s="273" t="s">
        <v>229</v>
      </c>
      <c r="AX88" s="366">
        <f t="shared" ref="AX88:AX128" si="1">COUNTIF($A$1:$GO$65,AW88)</f>
        <v>0</v>
      </c>
      <c r="AY88" s="370"/>
      <c r="AZ88" s="356"/>
      <c r="BA88" s="359"/>
      <c r="BC88" s="371"/>
      <c r="BD88" s="371"/>
      <c r="BE88" s="371"/>
      <c r="BF88" s="371"/>
    </row>
    <row r="89" spans="1:58" ht="21.75" thickBot="1">
      <c r="C89" s="372" t="b">
        <v>0</v>
      </c>
      <c r="D89" s="1040" t="s">
        <v>230</v>
      </c>
      <c r="E89" s="1041"/>
      <c r="F89" s="1041"/>
      <c r="G89" s="1042"/>
      <c r="H89" s="1043"/>
      <c r="I89" s="1044">
        <f>G138</f>
        <v>0</v>
      </c>
      <c r="J89" s="1045"/>
      <c r="M89" s="316"/>
      <c r="Q89" s="1040" t="s">
        <v>231</v>
      </c>
      <c r="R89" s="1041"/>
      <c r="S89" s="1041"/>
      <c r="T89" s="1041"/>
      <c r="U89" s="1046"/>
      <c r="V89" s="1044">
        <f>T138</f>
        <v>0</v>
      </c>
      <c r="W89" s="1045"/>
      <c r="AA89" s="372"/>
      <c r="AC89" s="1030" t="s">
        <v>232</v>
      </c>
      <c r="AD89" s="1031"/>
      <c r="AE89" s="1031"/>
      <c r="AF89" s="1031"/>
      <c r="AH89" s="356"/>
      <c r="AI89" s="899" t="s">
        <v>233</v>
      </c>
      <c r="AJ89" s="900"/>
      <c r="AK89" s="900"/>
      <c r="AL89" s="900"/>
      <c r="AM89" s="900"/>
      <c r="AN89" s="373" t="s">
        <v>234</v>
      </c>
      <c r="AO89" s="366">
        <f t="shared" si="0"/>
        <v>0</v>
      </c>
      <c r="AP89" s="367"/>
      <c r="AQ89" s="356"/>
      <c r="AR89" s="914" t="s">
        <v>235</v>
      </c>
      <c r="AS89" s="915"/>
      <c r="AT89" s="915"/>
      <c r="AU89" s="915"/>
      <c r="AV89" s="915"/>
      <c r="AW89" s="374" t="s">
        <v>236</v>
      </c>
      <c r="AX89" s="366">
        <f t="shared" si="1"/>
        <v>0</v>
      </c>
      <c r="AY89" s="375"/>
      <c r="AZ89" s="356"/>
      <c r="BA89" s="359"/>
      <c r="BC89" s="376"/>
      <c r="BD89" s="376"/>
      <c r="BE89" s="377"/>
      <c r="BF89" s="377"/>
    </row>
    <row r="90" spans="1:58" ht="21.75" thickBot="1">
      <c r="C90" s="372" t="b">
        <v>0</v>
      </c>
      <c r="D90" s="1035" t="s">
        <v>237</v>
      </c>
      <c r="E90" s="1036"/>
      <c r="F90" s="1036"/>
      <c r="G90" s="1036"/>
      <c r="H90" s="1037"/>
      <c r="I90" s="1038">
        <f>G190</f>
        <v>47</v>
      </c>
      <c r="J90" s="1039"/>
      <c r="M90" s="316"/>
      <c r="Q90" s="1035" t="s">
        <v>238</v>
      </c>
      <c r="R90" s="1036"/>
      <c r="S90" s="1036"/>
      <c r="T90" s="1036"/>
      <c r="U90" s="1037"/>
      <c r="V90" s="1038">
        <f>T190</f>
        <v>6</v>
      </c>
      <c r="W90" s="1039"/>
      <c r="AA90" s="316"/>
      <c r="AC90" s="378" t="s">
        <v>219</v>
      </c>
      <c r="AD90" s="379" t="s">
        <v>219</v>
      </c>
      <c r="AE90" s="380">
        <f>AO164</f>
        <v>43</v>
      </c>
      <c r="AF90" s="381" t="str">
        <f>IFERROR(AE90/$J$4,"")</f>
        <v/>
      </c>
      <c r="AH90" s="356"/>
      <c r="AI90" s="899" t="s">
        <v>239</v>
      </c>
      <c r="AJ90" s="900"/>
      <c r="AK90" s="900"/>
      <c r="AL90" s="900"/>
      <c r="AM90" s="900"/>
      <c r="AN90" s="382" t="s">
        <v>240</v>
      </c>
      <c r="AO90" s="366">
        <f t="shared" si="0"/>
        <v>0</v>
      </c>
      <c r="AP90" s="367"/>
      <c r="AQ90" s="356"/>
      <c r="AR90" s="914" t="s">
        <v>241</v>
      </c>
      <c r="AS90" s="915"/>
      <c r="AT90" s="915"/>
      <c r="AU90" s="915"/>
      <c r="AV90" s="915"/>
      <c r="AW90" s="383" t="s">
        <v>242</v>
      </c>
      <c r="AX90" s="366">
        <f t="shared" si="1"/>
        <v>0</v>
      </c>
      <c r="AY90" s="375"/>
      <c r="AZ90" s="356"/>
      <c r="BA90" s="359"/>
      <c r="BC90" s="376"/>
      <c r="BD90" s="376"/>
      <c r="BE90" s="377"/>
      <c r="BF90" s="377"/>
    </row>
    <row r="91" spans="1:58" ht="21">
      <c r="A91" s="384"/>
      <c r="B91" s="384"/>
      <c r="C91" s="385"/>
      <c r="D91" s="386"/>
      <c r="E91" s="386"/>
      <c r="F91" s="386"/>
      <c r="G91" s="386"/>
      <c r="H91" s="386"/>
      <c r="I91" s="387"/>
      <c r="J91" s="387"/>
      <c r="K91" s="384"/>
      <c r="L91" s="384"/>
      <c r="M91" s="388"/>
      <c r="N91" s="384"/>
      <c r="O91" s="384"/>
      <c r="P91" s="384"/>
      <c r="Q91" s="386"/>
      <c r="R91" s="386"/>
      <c r="S91" s="386"/>
      <c r="T91" s="386"/>
      <c r="U91" s="386"/>
      <c r="V91" s="387"/>
      <c r="W91" s="387"/>
      <c r="X91" s="384"/>
      <c r="Y91" s="384"/>
      <c r="Z91" s="384"/>
      <c r="AA91" s="372"/>
      <c r="AC91" s="378" t="s">
        <v>243</v>
      </c>
      <c r="AD91" s="389" t="s">
        <v>244</v>
      </c>
      <c r="AE91" s="380">
        <f>AX264</f>
        <v>0</v>
      </c>
      <c r="AF91" s="381" t="str">
        <f t="shared" ref="AF91:AF112" si="2">IFERROR(AE91/$J$4,"")</f>
        <v/>
      </c>
      <c r="AH91" s="356"/>
      <c r="AI91" s="899" t="s">
        <v>245</v>
      </c>
      <c r="AJ91" s="900"/>
      <c r="AK91" s="900"/>
      <c r="AL91" s="900"/>
      <c r="AM91" s="900"/>
      <c r="AN91" s="390" t="s">
        <v>246</v>
      </c>
      <c r="AO91" s="366">
        <f t="shared" si="0"/>
        <v>0</v>
      </c>
      <c r="AP91" s="367"/>
      <c r="AQ91" s="356"/>
      <c r="AR91" s="914" t="s">
        <v>247</v>
      </c>
      <c r="AS91" s="915"/>
      <c r="AT91" s="915"/>
      <c r="AU91" s="915"/>
      <c r="AV91" s="915"/>
      <c r="AW91" s="391" t="s">
        <v>248</v>
      </c>
      <c r="AX91" s="366">
        <f t="shared" si="1"/>
        <v>0</v>
      </c>
      <c r="AY91" s="375"/>
      <c r="AZ91" s="356"/>
      <c r="BA91" s="359"/>
      <c r="BC91" s="392"/>
      <c r="BD91" s="392"/>
      <c r="BE91" s="393"/>
      <c r="BF91" s="393"/>
    </row>
    <row r="92" spans="1:58" ht="18.75" thickBot="1">
      <c r="A92" s="1032" t="s">
        <v>249</v>
      </c>
      <c r="B92" s="1033"/>
      <c r="C92" s="1033"/>
      <c r="D92" s="1033"/>
      <c r="E92" s="1033"/>
      <c r="F92" s="1033"/>
      <c r="G92" s="1033"/>
      <c r="H92" s="1033"/>
      <c r="I92" s="1034"/>
      <c r="J92" s="394" t="s">
        <v>250</v>
      </c>
      <c r="K92" s="394" t="s">
        <v>251</v>
      </c>
      <c r="L92" s="394" t="s">
        <v>252</v>
      </c>
      <c r="M92" s="372"/>
      <c r="N92" s="1032" t="s">
        <v>249</v>
      </c>
      <c r="O92" s="1033"/>
      <c r="P92" s="1033"/>
      <c r="Q92" s="1033"/>
      <c r="R92" s="1033"/>
      <c r="S92" s="1033"/>
      <c r="T92" s="1033"/>
      <c r="U92" s="1033"/>
      <c r="V92" s="1034"/>
      <c r="W92" s="395" t="s">
        <v>250</v>
      </c>
      <c r="X92" s="395" t="s">
        <v>251</v>
      </c>
      <c r="Y92" s="395" t="s">
        <v>252</v>
      </c>
      <c r="Z92" s="395" t="s">
        <v>253</v>
      </c>
      <c r="AA92" s="372"/>
      <c r="AC92" s="378" t="s">
        <v>254</v>
      </c>
      <c r="AD92" s="396" t="s">
        <v>255</v>
      </c>
      <c r="AE92" s="380">
        <f>AO197</f>
        <v>4</v>
      </c>
      <c r="AF92" s="381" t="str">
        <f t="shared" si="2"/>
        <v/>
      </c>
      <c r="AH92" s="356"/>
      <c r="AI92" s="899" t="s">
        <v>256</v>
      </c>
      <c r="AJ92" s="900"/>
      <c r="AK92" s="900"/>
      <c r="AL92" s="900"/>
      <c r="AM92" s="900"/>
      <c r="AN92" s="397" t="s">
        <v>257</v>
      </c>
      <c r="AO92" s="366">
        <f t="shared" si="0"/>
        <v>0</v>
      </c>
      <c r="AP92" s="367"/>
      <c r="AQ92" s="356"/>
      <c r="AR92" s="914" t="s">
        <v>258</v>
      </c>
      <c r="AS92" s="915"/>
      <c r="AT92" s="915"/>
      <c r="AU92" s="915"/>
      <c r="AV92" s="915"/>
      <c r="AW92" s="391" t="s">
        <v>259</v>
      </c>
      <c r="AX92" s="366">
        <f t="shared" si="1"/>
        <v>0</v>
      </c>
      <c r="AY92" s="375"/>
      <c r="AZ92" s="356"/>
      <c r="BA92" s="359"/>
      <c r="BC92" s="376"/>
      <c r="BD92" s="376"/>
      <c r="BE92" s="398"/>
      <c r="BF92" s="398"/>
    </row>
    <row r="93" spans="1:58" ht="18.75" thickBot="1">
      <c r="A93" s="981" t="s">
        <v>70</v>
      </c>
      <c r="B93" s="982"/>
      <c r="C93" s="983"/>
      <c r="D93" s="399" t="s">
        <v>25</v>
      </c>
      <c r="E93" s="400"/>
      <c r="F93" s="3" t="s">
        <v>69</v>
      </c>
      <c r="G93" s="929">
        <f t="shared" ref="G93:G113" si="3">COUNTIF($N$1:$BK$52,F93)</f>
        <v>0</v>
      </c>
      <c r="H93" s="930"/>
      <c r="I93" s="931"/>
      <c r="J93" s="401">
        <v>0</v>
      </c>
      <c r="K93" s="402">
        <v>0</v>
      </c>
      <c r="L93" s="403">
        <f>G93-K93-J93</f>
        <v>0</v>
      </c>
      <c r="M93" s="372"/>
      <c r="N93" s="981" t="s">
        <v>70</v>
      </c>
      <c r="O93" s="982"/>
      <c r="P93" s="983"/>
      <c r="Q93" s="399" t="s">
        <v>25</v>
      </c>
      <c r="R93" s="400"/>
      <c r="S93" s="3" t="s">
        <v>69</v>
      </c>
      <c r="T93" s="932">
        <f t="shared" ref="T93:T113" si="4">COUNTIF($A$1:$M$22,S93)</f>
        <v>0</v>
      </c>
      <c r="U93" s="932"/>
      <c r="V93" s="932"/>
      <c r="W93" s="401">
        <v>0</v>
      </c>
      <c r="X93" s="402">
        <v>0</v>
      </c>
      <c r="Y93" s="403">
        <f t="shared" ref="Y93:Y113" si="5">T93-X93-W93</f>
        <v>0</v>
      </c>
      <c r="Z93" s="404">
        <f t="shared" ref="Z93:Z157" si="6">T93+G93</f>
        <v>0</v>
      </c>
      <c r="AA93" s="372"/>
      <c r="AC93" s="378" t="s">
        <v>260</v>
      </c>
      <c r="AD93" s="405" t="s">
        <v>261</v>
      </c>
      <c r="AE93" s="380">
        <f>AX241</f>
        <v>0</v>
      </c>
      <c r="AF93" s="381" t="str">
        <f t="shared" si="2"/>
        <v/>
      </c>
      <c r="AH93" s="356"/>
      <c r="AI93" s="899" t="s">
        <v>262</v>
      </c>
      <c r="AJ93" s="900"/>
      <c r="AK93" s="900"/>
      <c r="AL93" s="900"/>
      <c r="AM93" s="900"/>
      <c r="AN93" s="406" t="s">
        <v>263</v>
      </c>
      <c r="AO93" s="366">
        <f t="shared" si="0"/>
        <v>0</v>
      </c>
      <c r="AP93" s="367"/>
      <c r="AQ93" s="356"/>
      <c r="AR93" s="914" t="s">
        <v>264</v>
      </c>
      <c r="AS93" s="915"/>
      <c r="AT93" s="915"/>
      <c r="AU93" s="915"/>
      <c r="AV93" s="915"/>
      <c r="AW93" s="407" t="s">
        <v>265</v>
      </c>
      <c r="AX93" s="366">
        <f t="shared" si="1"/>
        <v>0</v>
      </c>
      <c r="AY93" s="375"/>
      <c r="AZ93" s="356"/>
      <c r="BA93" s="359"/>
      <c r="BC93" s="376"/>
      <c r="BD93" s="376"/>
      <c r="BE93" s="376"/>
      <c r="BF93" s="376"/>
    </row>
    <row r="94" spans="1:58" ht="18.75" thickBot="1">
      <c r="A94" s="981" t="s">
        <v>28</v>
      </c>
      <c r="B94" s="982"/>
      <c r="C94" s="983"/>
      <c r="D94" s="399"/>
      <c r="E94" s="400" t="s">
        <v>266</v>
      </c>
      <c r="F94" s="4" t="s">
        <v>25</v>
      </c>
      <c r="G94" s="929">
        <f t="shared" si="3"/>
        <v>0</v>
      </c>
      <c r="H94" s="930"/>
      <c r="I94" s="931"/>
      <c r="J94" s="401">
        <v>0</v>
      </c>
      <c r="K94" s="402">
        <v>0</v>
      </c>
      <c r="L94" s="403">
        <f t="shared" ref="L94:L113" si="7">G94-K94-J94</f>
        <v>0</v>
      </c>
      <c r="M94" s="372"/>
      <c r="N94" s="981" t="s">
        <v>28</v>
      </c>
      <c r="O94" s="982"/>
      <c r="P94" s="983"/>
      <c r="Q94" s="399"/>
      <c r="R94" s="400" t="s">
        <v>266</v>
      </c>
      <c r="S94" s="4" t="s">
        <v>25</v>
      </c>
      <c r="T94" s="932">
        <f t="shared" si="4"/>
        <v>0</v>
      </c>
      <c r="U94" s="932"/>
      <c r="V94" s="932"/>
      <c r="W94" s="401">
        <v>0</v>
      </c>
      <c r="X94" s="402">
        <v>0</v>
      </c>
      <c r="Y94" s="403">
        <f t="shared" si="5"/>
        <v>0</v>
      </c>
      <c r="Z94" s="404">
        <f t="shared" si="6"/>
        <v>0</v>
      </c>
      <c r="AA94" s="372"/>
      <c r="AC94" s="378" t="s">
        <v>267</v>
      </c>
      <c r="AD94" s="408" t="s">
        <v>267</v>
      </c>
      <c r="AE94" s="380">
        <f>AX186</f>
        <v>19</v>
      </c>
      <c r="AF94" s="381" t="str">
        <f t="shared" si="2"/>
        <v/>
      </c>
      <c r="AH94" s="356"/>
      <c r="AI94" s="899" t="s">
        <v>268</v>
      </c>
      <c r="AJ94" s="900"/>
      <c r="AK94" s="900"/>
      <c r="AL94" s="900"/>
      <c r="AM94" s="900"/>
      <c r="AN94" s="409" t="s">
        <v>269</v>
      </c>
      <c r="AO94" s="366">
        <f t="shared" si="0"/>
        <v>0</v>
      </c>
      <c r="AP94" s="367"/>
      <c r="AQ94" s="356"/>
      <c r="AR94" s="914" t="s">
        <v>270</v>
      </c>
      <c r="AS94" s="915"/>
      <c r="AT94" s="915"/>
      <c r="AU94" s="915"/>
      <c r="AV94" s="915"/>
      <c r="AW94" s="410" t="s">
        <v>271</v>
      </c>
      <c r="AX94" s="366">
        <f t="shared" si="1"/>
        <v>0</v>
      </c>
      <c r="AY94" s="375"/>
      <c r="AZ94" s="356"/>
      <c r="BA94" s="359"/>
      <c r="BC94" s="376"/>
      <c r="BD94" s="376"/>
      <c r="BE94" s="377"/>
      <c r="BF94" s="377"/>
    </row>
    <row r="95" spans="1:58" ht="18.75" thickBot="1">
      <c r="A95" s="981" t="s">
        <v>22</v>
      </c>
      <c r="B95" s="982"/>
      <c r="C95" s="983"/>
      <c r="D95" s="399"/>
      <c r="E95" s="400" t="s">
        <v>266</v>
      </c>
      <c r="F95" s="5" t="s">
        <v>71</v>
      </c>
      <c r="G95" s="929">
        <f t="shared" si="3"/>
        <v>6</v>
      </c>
      <c r="H95" s="930"/>
      <c r="I95" s="931"/>
      <c r="J95" s="401">
        <v>0</v>
      </c>
      <c r="K95" s="402">
        <v>0</v>
      </c>
      <c r="L95" s="403">
        <f t="shared" si="7"/>
        <v>6</v>
      </c>
      <c r="M95" s="372"/>
      <c r="N95" s="981" t="s">
        <v>22</v>
      </c>
      <c r="O95" s="982"/>
      <c r="P95" s="983"/>
      <c r="Q95" s="399"/>
      <c r="R95" s="400" t="s">
        <v>266</v>
      </c>
      <c r="S95" s="5" t="s">
        <v>71</v>
      </c>
      <c r="T95" s="932">
        <f t="shared" si="4"/>
        <v>0</v>
      </c>
      <c r="U95" s="932"/>
      <c r="V95" s="932"/>
      <c r="W95" s="401">
        <v>0</v>
      </c>
      <c r="X95" s="402">
        <v>0</v>
      </c>
      <c r="Y95" s="403">
        <f t="shared" si="5"/>
        <v>0</v>
      </c>
      <c r="Z95" s="404">
        <f t="shared" si="6"/>
        <v>6</v>
      </c>
      <c r="AA95" s="372"/>
      <c r="AC95" s="378" t="s">
        <v>272</v>
      </c>
      <c r="AD95" s="411" t="s">
        <v>272</v>
      </c>
      <c r="AE95" s="380">
        <f>AO203</f>
        <v>0</v>
      </c>
      <c r="AF95" s="381" t="str">
        <f t="shared" si="2"/>
        <v/>
      </c>
      <c r="AH95" s="356"/>
      <c r="AI95" s="899" t="s">
        <v>273</v>
      </c>
      <c r="AJ95" s="900"/>
      <c r="AK95" s="900"/>
      <c r="AL95" s="900"/>
      <c r="AM95" s="900"/>
      <c r="AN95" s="412" t="s">
        <v>274</v>
      </c>
      <c r="AO95" s="366">
        <f t="shared" si="0"/>
        <v>0</v>
      </c>
      <c r="AP95" s="367"/>
      <c r="AQ95" s="356"/>
      <c r="AR95" s="914" t="s">
        <v>275</v>
      </c>
      <c r="AS95" s="915"/>
      <c r="AT95" s="915"/>
      <c r="AU95" s="915"/>
      <c r="AV95" s="915"/>
      <c r="AW95" s="413" t="s">
        <v>276</v>
      </c>
      <c r="AX95" s="366">
        <f t="shared" si="1"/>
        <v>0</v>
      </c>
      <c r="AY95" s="375"/>
      <c r="AZ95" s="356"/>
      <c r="BA95" s="359"/>
      <c r="BC95" s="392"/>
      <c r="BD95" s="392"/>
      <c r="BE95" s="414"/>
      <c r="BF95" s="414"/>
    </row>
    <row r="96" spans="1:58" ht="18.75" thickBot="1">
      <c r="A96" s="981" t="s">
        <v>73</v>
      </c>
      <c r="B96" s="982"/>
      <c r="C96" s="983"/>
      <c r="D96" s="399" t="s">
        <v>277</v>
      </c>
      <c r="E96" s="400" t="s">
        <v>266</v>
      </c>
      <c r="F96" s="6" t="s">
        <v>72</v>
      </c>
      <c r="G96" s="929">
        <f t="shared" si="3"/>
        <v>0</v>
      </c>
      <c r="H96" s="930"/>
      <c r="I96" s="931"/>
      <c r="J96" s="401">
        <v>0</v>
      </c>
      <c r="K96" s="402">
        <v>0</v>
      </c>
      <c r="L96" s="403">
        <f t="shared" si="7"/>
        <v>0</v>
      </c>
      <c r="M96" s="372"/>
      <c r="N96" s="981" t="s">
        <v>73</v>
      </c>
      <c r="O96" s="982"/>
      <c r="P96" s="983"/>
      <c r="Q96" s="399" t="s">
        <v>277</v>
      </c>
      <c r="R96" s="400" t="s">
        <v>266</v>
      </c>
      <c r="S96" s="6" t="s">
        <v>72</v>
      </c>
      <c r="T96" s="932">
        <f t="shared" si="4"/>
        <v>0</v>
      </c>
      <c r="U96" s="932"/>
      <c r="V96" s="932"/>
      <c r="W96" s="401">
        <v>0</v>
      </c>
      <c r="X96" s="402">
        <v>0</v>
      </c>
      <c r="Y96" s="403">
        <f t="shared" si="5"/>
        <v>0</v>
      </c>
      <c r="Z96" s="404">
        <f t="shared" si="6"/>
        <v>0</v>
      </c>
      <c r="AA96" s="372"/>
      <c r="AC96" s="378" t="s">
        <v>278</v>
      </c>
      <c r="AD96" s="415" t="s">
        <v>279</v>
      </c>
      <c r="AE96" s="380">
        <f>AO214</f>
        <v>0</v>
      </c>
      <c r="AF96" s="381" t="str">
        <f t="shared" si="2"/>
        <v/>
      </c>
      <c r="AH96" s="356"/>
      <c r="AI96" s="899" t="s">
        <v>280</v>
      </c>
      <c r="AJ96" s="900"/>
      <c r="AK96" s="900"/>
      <c r="AL96" s="900"/>
      <c r="AM96" s="900"/>
      <c r="AN96" s="227" t="s">
        <v>281</v>
      </c>
      <c r="AO96" s="366">
        <f t="shared" si="0"/>
        <v>0</v>
      </c>
      <c r="AP96" s="367"/>
      <c r="AQ96" s="356"/>
      <c r="AR96" s="914" t="s">
        <v>282</v>
      </c>
      <c r="AS96" s="915"/>
      <c r="AT96" s="915"/>
      <c r="AU96" s="915"/>
      <c r="AV96" s="915"/>
      <c r="AW96" s="416" t="s">
        <v>283</v>
      </c>
      <c r="AX96" s="366">
        <f t="shared" si="1"/>
        <v>0</v>
      </c>
      <c r="AY96" s="375"/>
      <c r="AZ96" s="356"/>
      <c r="BA96" s="359"/>
    </row>
    <row r="97" spans="1:58" ht="18.75" thickBot="1">
      <c r="A97" s="981" t="s">
        <v>45</v>
      </c>
      <c r="B97" s="982"/>
      <c r="C97" s="983"/>
      <c r="D97" s="399"/>
      <c r="E97" s="400" t="s">
        <v>266</v>
      </c>
      <c r="F97" s="7" t="s">
        <v>46</v>
      </c>
      <c r="G97" s="929">
        <f t="shared" si="3"/>
        <v>2</v>
      </c>
      <c r="H97" s="930"/>
      <c r="I97" s="931"/>
      <c r="J97" s="401">
        <v>0</v>
      </c>
      <c r="K97" s="402">
        <v>0</v>
      </c>
      <c r="L97" s="403">
        <f t="shared" si="7"/>
        <v>2</v>
      </c>
      <c r="M97" s="372"/>
      <c r="N97" s="981" t="s">
        <v>45</v>
      </c>
      <c r="O97" s="982"/>
      <c r="P97" s="983"/>
      <c r="Q97" s="399"/>
      <c r="R97" s="400" t="s">
        <v>266</v>
      </c>
      <c r="S97" s="7" t="s">
        <v>46</v>
      </c>
      <c r="T97" s="932">
        <f t="shared" si="4"/>
        <v>0</v>
      </c>
      <c r="U97" s="932"/>
      <c r="V97" s="932"/>
      <c r="W97" s="401">
        <v>0</v>
      </c>
      <c r="X97" s="402">
        <v>0</v>
      </c>
      <c r="Y97" s="403">
        <f t="shared" si="5"/>
        <v>0</v>
      </c>
      <c r="Z97" s="404">
        <f t="shared" si="6"/>
        <v>2</v>
      </c>
      <c r="AA97" s="372" t="b">
        <f>IFERROR(T99&gt;0.5,FALSE)</f>
        <v>1</v>
      </c>
      <c r="AC97" s="378" t="s">
        <v>284</v>
      </c>
      <c r="AD97" s="417" t="s">
        <v>285</v>
      </c>
      <c r="AE97" s="380">
        <f>AO270</f>
        <v>0</v>
      </c>
      <c r="AF97" s="381" t="str">
        <f t="shared" si="2"/>
        <v/>
      </c>
      <c r="AH97" s="356"/>
      <c r="AI97" s="899" t="s">
        <v>286</v>
      </c>
      <c r="AJ97" s="900"/>
      <c r="AK97" s="900"/>
      <c r="AL97" s="900"/>
      <c r="AM97" s="900"/>
      <c r="AN97" s="418" t="s">
        <v>287</v>
      </c>
      <c r="AO97" s="366">
        <f t="shared" si="0"/>
        <v>0</v>
      </c>
      <c r="AP97" s="367"/>
      <c r="AQ97" s="356"/>
      <c r="AR97" s="914" t="s">
        <v>288</v>
      </c>
      <c r="AS97" s="915"/>
      <c r="AT97" s="915"/>
      <c r="AU97" s="915"/>
      <c r="AV97" s="915"/>
      <c r="AW97" s="419" t="s">
        <v>289</v>
      </c>
      <c r="AX97" s="366">
        <f t="shared" si="1"/>
        <v>0</v>
      </c>
      <c r="AY97" s="375"/>
      <c r="AZ97" s="356"/>
      <c r="BA97" s="359"/>
    </row>
    <row r="98" spans="1:58" ht="18.75" thickBot="1">
      <c r="A98" s="981" t="s">
        <v>75</v>
      </c>
      <c r="B98" s="982"/>
      <c r="C98" s="983"/>
      <c r="D98" s="399" t="s">
        <v>290</v>
      </c>
      <c r="E98" s="400" t="s">
        <v>266</v>
      </c>
      <c r="F98" s="8" t="s">
        <v>74</v>
      </c>
      <c r="G98" s="929">
        <f t="shared" si="3"/>
        <v>0</v>
      </c>
      <c r="H98" s="930"/>
      <c r="I98" s="931"/>
      <c r="J98" s="401">
        <v>0</v>
      </c>
      <c r="K98" s="402">
        <v>0</v>
      </c>
      <c r="L98" s="403">
        <f t="shared" si="7"/>
        <v>0</v>
      </c>
      <c r="M98" s="372"/>
      <c r="N98" s="981" t="s">
        <v>75</v>
      </c>
      <c r="O98" s="982"/>
      <c r="P98" s="983"/>
      <c r="Q98" s="399" t="s">
        <v>290</v>
      </c>
      <c r="R98" s="400" t="s">
        <v>266</v>
      </c>
      <c r="S98" s="8" t="s">
        <v>74</v>
      </c>
      <c r="T98" s="932">
        <f t="shared" si="4"/>
        <v>0</v>
      </c>
      <c r="U98" s="932"/>
      <c r="V98" s="932"/>
      <c r="W98" s="401">
        <v>0</v>
      </c>
      <c r="X98" s="402">
        <v>0</v>
      </c>
      <c r="Y98" s="403">
        <f t="shared" si="5"/>
        <v>0</v>
      </c>
      <c r="Z98" s="404">
        <f t="shared" si="6"/>
        <v>0</v>
      </c>
      <c r="AA98" s="372" t="b">
        <f>IFERROR(T100&gt;0.5,FALSE)</f>
        <v>0</v>
      </c>
      <c r="AC98" s="378" t="s">
        <v>291</v>
      </c>
      <c r="AD98" s="420" t="s">
        <v>292</v>
      </c>
      <c r="AE98" s="380">
        <f>AO234</f>
        <v>0</v>
      </c>
      <c r="AF98" s="381" t="str">
        <f t="shared" si="2"/>
        <v/>
      </c>
      <c r="AH98" s="356"/>
      <c r="AI98" s="899" t="s">
        <v>293</v>
      </c>
      <c r="AJ98" s="900"/>
      <c r="AK98" s="900"/>
      <c r="AL98" s="900"/>
      <c r="AM98" s="900"/>
      <c r="AN98" s="421" t="s">
        <v>294</v>
      </c>
      <c r="AO98" s="366">
        <f t="shared" si="0"/>
        <v>0</v>
      </c>
      <c r="AP98" s="367"/>
      <c r="AQ98" s="356"/>
      <c r="AR98" s="914" t="s">
        <v>295</v>
      </c>
      <c r="AS98" s="915"/>
      <c r="AT98" s="915"/>
      <c r="AU98" s="915"/>
      <c r="AV98" s="915"/>
      <c r="AW98" s="422" t="s">
        <v>296</v>
      </c>
      <c r="AX98" s="366">
        <f t="shared" si="1"/>
        <v>0</v>
      </c>
      <c r="AY98" s="375"/>
      <c r="AZ98" s="356"/>
      <c r="BA98" s="359"/>
    </row>
    <row r="99" spans="1:58" ht="18.75" thickBot="1">
      <c r="A99" s="981" t="s">
        <v>8</v>
      </c>
      <c r="B99" s="982"/>
      <c r="C99" s="983"/>
      <c r="D99" s="399"/>
      <c r="E99" s="400" t="s">
        <v>266</v>
      </c>
      <c r="F99" s="9" t="s">
        <v>9</v>
      </c>
      <c r="G99" s="929">
        <f t="shared" si="3"/>
        <v>1</v>
      </c>
      <c r="H99" s="930"/>
      <c r="I99" s="931"/>
      <c r="J99" s="401">
        <v>0</v>
      </c>
      <c r="K99" s="402">
        <v>0</v>
      </c>
      <c r="L99" s="403">
        <f t="shared" si="7"/>
        <v>1</v>
      </c>
      <c r="M99" s="372"/>
      <c r="N99" s="981" t="s">
        <v>8</v>
      </c>
      <c r="O99" s="982"/>
      <c r="P99" s="983"/>
      <c r="Q99" s="399"/>
      <c r="R99" s="400" t="s">
        <v>266</v>
      </c>
      <c r="S99" s="9" t="s">
        <v>9</v>
      </c>
      <c r="T99" s="932">
        <f t="shared" si="4"/>
        <v>1</v>
      </c>
      <c r="U99" s="932"/>
      <c r="V99" s="932"/>
      <c r="W99" s="401">
        <v>0</v>
      </c>
      <c r="X99" s="402">
        <v>0</v>
      </c>
      <c r="Y99" s="403">
        <f t="shared" si="5"/>
        <v>1</v>
      </c>
      <c r="Z99" s="404">
        <f t="shared" si="6"/>
        <v>2</v>
      </c>
      <c r="AA99" s="372"/>
      <c r="AC99" s="378" t="s">
        <v>297</v>
      </c>
      <c r="AD99" s="423" t="s">
        <v>57</v>
      </c>
      <c r="AE99" s="380">
        <f>AX227</f>
        <v>0</v>
      </c>
      <c r="AF99" s="381" t="str">
        <f t="shared" si="2"/>
        <v/>
      </c>
      <c r="AH99" s="356"/>
      <c r="AI99" s="899" t="s">
        <v>298</v>
      </c>
      <c r="AJ99" s="900"/>
      <c r="AK99" s="900"/>
      <c r="AL99" s="900"/>
      <c r="AM99" s="900"/>
      <c r="AN99" s="424" t="s">
        <v>299</v>
      </c>
      <c r="AO99" s="366">
        <f t="shared" si="0"/>
        <v>0</v>
      </c>
      <c r="AP99" s="367"/>
      <c r="AQ99" s="356"/>
      <c r="AR99" s="914" t="s">
        <v>300</v>
      </c>
      <c r="AS99" s="915"/>
      <c r="AT99" s="915"/>
      <c r="AU99" s="915"/>
      <c r="AV99" s="915"/>
      <c r="AW99" s="425" t="s">
        <v>301</v>
      </c>
      <c r="AX99" s="366">
        <f t="shared" si="1"/>
        <v>0</v>
      </c>
      <c r="AY99" s="375"/>
      <c r="AZ99" s="356"/>
      <c r="BA99" s="359"/>
    </row>
    <row r="100" spans="1:58" ht="18.75" thickBot="1">
      <c r="A100" s="981" t="s">
        <v>15</v>
      </c>
      <c r="B100" s="982"/>
      <c r="C100" s="983"/>
      <c r="D100" s="399"/>
      <c r="E100" s="400"/>
      <c r="F100" s="10" t="s">
        <v>14</v>
      </c>
      <c r="G100" s="929">
        <f t="shared" si="3"/>
        <v>0</v>
      </c>
      <c r="H100" s="930"/>
      <c r="I100" s="931"/>
      <c r="J100" s="401">
        <v>0</v>
      </c>
      <c r="K100" s="402">
        <v>0</v>
      </c>
      <c r="L100" s="403">
        <f t="shared" si="7"/>
        <v>0</v>
      </c>
      <c r="M100" s="372"/>
      <c r="N100" s="981" t="s">
        <v>15</v>
      </c>
      <c r="O100" s="982"/>
      <c r="P100" s="983"/>
      <c r="Q100" s="399"/>
      <c r="R100" s="400"/>
      <c r="S100" s="10" t="s">
        <v>14</v>
      </c>
      <c r="T100" s="932">
        <f t="shared" si="4"/>
        <v>0</v>
      </c>
      <c r="U100" s="932"/>
      <c r="V100" s="932"/>
      <c r="W100" s="401">
        <v>0</v>
      </c>
      <c r="X100" s="402">
        <v>0</v>
      </c>
      <c r="Y100" s="403">
        <f t="shared" si="5"/>
        <v>0</v>
      </c>
      <c r="Z100" s="404">
        <f t="shared" si="6"/>
        <v>0</v>
      </c>
      <c r="AA100" s="372"/>
      <c r="AC100" s="378" t="s">
        <v>302</v>
      </c>
      <c r="AD100" s="426" t="s">
        <v>302</v>
      </c>
      <c r="AE100" s="380">
        <f>AX232</f>
        <v>0</v>
      </c>
      <c r="AF100" s="381" t="str">
        <f t="shared" si="2"/>
        <v/>
      </c>
      <c r="AH100" s="356"/>
      <c r="AI100" s="899" t="s">
        <v>303</v>
      </c>
      <c r="AJ100" s="900"/>
      <c r="AK100" s="900"/>
      <c r="AL100" s="900"/>
      <c r="AM100" s="900"/>
      <c r="AN100" s="424" t="s">
        <v>304</v>
      </c>
      <c r="AO100" s="366">
        <f t="shared" si="0"/>
        <v>0</v>
      </c>
      <c r="AP100" s="367"/>
      <c r="AQ100" s="356"/>
      <c r="AR100" s="914" t="s">
        <v>305</v>
      </c>
      <c r="AS100" s="915"/>
      <c r="AT100" s="915"/>
      <c r="AU100" s="915"/>
      <c r="AV100" s="915"/>
      <c r="AW100" s="427" t="s">
        <v>306</v>
      </c>
      <c r="AX100" s="366">
        <f t="shared" si="1"/>
        <v>0</v>
      </c>
      <c r="AY100" s="375"/>
      <c r="AZ100" s="356"/>
      <c r="BA100" s="359"/>
    </row>
    <row r="101" spans="1:58" ht="18.75" thickBot="1">
      <c r="A101" s="981" t="s">
        <v>29</v>
      </c>
      <c r="B101" s="982"/>
      <c r="C101" s="983"/>
      <c r="D101" s="399"/>
      <c r="E101" s="400"/>
      <c r="F101" s="11" t="s">
        <v>26</v>
      </c>
      <c r="G101" s="929">
        <f t="shared" si="3"/>
        <v>0</v>
      </c>
      <c r="H101" s="930"/>
      <c r="I101" s="931"/>
      <c r="J101" s="401">
        <v>0</v>
      </c>
      <c r="K101" s="402">
        <v>0</v>
      </c>
      <c r="L101" s="403">
        <f t="shared" si="7"/>
        <v>0</v>
      </c>
      <c r="M101" s="372"/>
      <c r="N101" s="981" t="s">
        <v>29</v>
      </c>
      <c r="O101" s="982"/>
      <c r="P101" s="983"/>
      <c r="Q101" s="399"/>
      <c r="R101" s="400"/>
      <c r="S101" s="11" t="s">
        <v>26</v>
      </c>
      <c r="T101" s="932">
        <f t="shared" si="4"/>
        <v>0</v>
      </c>
      <c r="U101" s="932"/>
      <c r="V101" s="932"/>
      <c r="W101" s="401">
        <v>0</v>
      </c>
      <c r="X101" s="402">
        <v>0</v>
      </c>
      <c r="Y101" s="403">
        <f t="shared" si="5"/>
        <v>0</v>
      </c>
      <c r="Z101" s="404">
        <f t="shared" si="6"/>
        <v>0</v>
      </c>
      <c r="AA101" s="372"/>
      <c r="AC101" s="428" t="s">
        <v>307</v>
      </c>
      <c r="AD101" s="429" t="s">
        <v>308</v>
      </c>
      <c r="AE101" s="380">
        <f>AX245</f>
        <v>0</v>
      </c>
      <c r="AF101" s="381" t="str">
        <f t="shared" si="2"/>
        <v/>
      </c>
      <c r="AH101" s="356"/>
      <c r="AI101" s="899" t="s">
        <v>309</v>
      </c>
      <c r="AJ101" s="900"/>
      <c r="AK101" s="900"/>
      <c r="AL101" s="900"/>
      <c r="AM101" s="900"/>
      <c r="AN101" s="430" t="s">
        <v>310</v>
      </c>
      <c r="AO101" s="366">
        <f t="shared" si="0"/>
        <v>0</v>
      </c>
      <c r="AP101" s="367"/>
      <c r="AQ101" s="356"/>
      <c r="AR101" s="914" t="s">
        <v>311</v>
      </c>
      <c r="AS101" s="915"/>
      <c r="AT101" s="915"/>
      <c r="AU101" s="915"/>
      <c r="AV101" s="915"/>
      <c r="AW101" s="431" t="s">
        <v>312</v>
      </c>
      <c r="AX101" s="366">
        <f t="shared" si="1"/>
        <v>0</v>
      </c>
      <c r="AY101" s="375"/>
      <c r="AZ101" s="356"/>
      <c r="BA101" s="359"/>
    </row>
    <row r="102" spans="1:58" ht="18">
      <c r="A102" s="981" t="s">
        <v>77</v>
      </c>
      <c r="B102" s="982"/>
      <c r="C102" s="983"/>
      <c r="D102" s="399"/>
      <c r="E102" s="400" t="s">
        <v>266</v>
      </c>
      <c r="F102" s="2" t="s">
        <v>76</v>
      </c>
      <c r="G102" s="929">
        <f t="shared" si="3"/>
        <v>0</v>
      </c>
      <c r="H102" s="930"/>
      <c r="I102" s="931"/>
      <c r="J102" s="401">
        <v>0</v>
      </c>
      <c r="K102" s="402">
        <v>0</v>
      </c>
      <c r="L102" s="403">
        <f t="shared" si="7"/>
        <v>0</v>
      </c>
      <c r="M102" s="372"/>
      <c r="N102" s="981" t="s">
        <v>77</v>
      </c>
      <c r="O102" s="982"/>
      <c r="P102" s="983"/>
      <c r="Q102" s="399"/>
      <c r="R102" s="400" t="s">
        <v>266</v>
      </c>
      <c r="S102" s="2" t="s">
        <v>76</v>
      </c>
      <c r="T102" s="932">
        <f t="shared" si="4"/>
        <v>0</v>
      </c>
      <c r="U102" s="932"/>
      <c r="V102" s="932"/>
      <c r="W102" s="401">
        <v>0</v>
      </c>
      <c r="X102" s="402">
        <v>0</v>
      </c>
      <c r="Y102" s="403">
        <f t="shared" si="5"/>
        <v>0</v>
      </c>
      <c r="Z102" s="404">
        <f t="shared" si="6"/>
        <v>0</v>
      </c>
      <c r="AA102" s="372"/>
      <c r="AC102" s="428" t="s">
        <v>313</v>
      </c>
      <c r="AD102" s="432" t="s">
        <v>314</v>
      </c>
      <c r="AE102" s="380" t="s">
        <v>315</v>
      </c>
      <c r="AF102" s="381" t="str">
        <f t="shared" si="2"/>
        <v/>
      </c>
      <c r="AH102" s="356"/>
      <c r="AI102" s="899" t="s">
        <v>316</v>
      </c>
      <c r="AJ102" s="900"/>
      <c r="AK102" s="900"/>
      <c r="AL102" s="900"/>
      <c r="AM102" s="900"/>
      <c r="AN102" s="433" t="s">
        <v>317</v>
      </c>
      <c r="AO102" s="366">
        <f t="shared" si="0"/>
        <v>0</v>
      </c>
      <c r="AP102" s="367"/>
      <c r="AQ102" s="356"/>
      <c r="AR102" s="914" t="s">
        <v>318</v>
      </c>
      <c r="AS102" s="915"/>
      <c r="AT102" s="915"/>
      <c r="AU102" s="915"/>
      <c r="AV102" s="915"/>
      <c r="AW102" s="434" t="s">
        <v>319</v>
      </c>
      <c r="AX102" s="366">
        <f t="shared" si="1"/>
        <v>0</v>
      </c>
      <c r="AY102" s="375"/>
      <c r="AZ102" s="356"/>
      <c r="BA102" s="359"/>
    </row>
    <row r="103" spans="1:58" ht="18.75" thickBot="1">
      <c r="A103" s="981" t="s">
        <v>79</v>
      </c>
      <c r="B103" s="982"/>
      <c r="C103" s="983"/>
      <c r="D103" s="399"/>
      <c r="E103" s="400" t="s">
        <v>266</v>
      </c>
      <c r="F103" s="12" t="s">
        <v>78</v>
      </c>
      <c r="G103" s="929">
        <f t="shared" si="3"/>
        <v>0</v>
      </c>
      <c r="H103" s="930"/>
      <c r="I103" s="931"/>
      <c r="J103" s="401">
        <v>0</v>
      </c>
      <c r="K103" s="402">
        <v>0</v>
      </c>
      <c r="L103" s="403">
        <f t="shared" si="7"/>
        <v>0</v>
      </c>
      <c r="M103" s="372"/>
      <c r="N103" s="981" t="s">
        <v>79</v>
      </c>
      <c r="O103" s="982"/>
      <c r="P103" s="983"/>
      <c r="Q103" s="399"/>
      <c r="R103" s="400" t="s">
        <v>266</v>
      </c>
      <c r="S103" s="12" t="s">
        <v>78</v>
      </c>
      <c r="T103" s="932">
        <f t="shared" si="4"/>
        <v>0</v>
      </c>
      <c r="U103" s="932"/>
      <c r="V103" s="932"/>
      <c r="W103" s="401">
        <v>0</v>
      </c>
      <c r="X103" s="402">
        <v>0</v>
      </c>
      <c r="Y103" s="403">
        <f t="shared" si="5"/>
        <v>0</v>
      </c>
      <c r="Z103" s="404">
        <f t="shared" si="6"/>
        <v>0</v>
      </c>
      <c r="AA103" s="372"/>
      <c r="AC103" s="428" t="s">
        <v>320</v>
      </c>
      <c r="AD103" s="435" t="s">
        <v>321</v>
      </c>
      <c r="AE103" s="380">
        <f>AX249</f>
        <v>0</v>
      </c>
      <c r="AF103" s="381" t="str">
        <f t="shared" si="2"/>
        <v/>
      </c>
      <c r="AH103" s="356"/>
      <c r="AI103" s="899" t="s">
        <v>322</v>
      </c>
      <c r="AJ103" s="900"/>
      <c r="AK103" s="900"/>
      <c r="AL103" s="900"/>
      <c r="AM103" s="900"/>
      <c r="AN103" s="436" t="s">
        <v>323</v>
      </c>
      <c r="AO103" s="366">
        <f t="shared" si="0"/>
        <v>0</v>
      </c>
      <c r="AP103" s="367"/>
      <c r="AQ103" s="356"/>
      <c r="AR103" s="914" t="s">
        <v>324</v>
      </c>
      <c r="AS103" s="915"/>
      <c r="AT103" s="915"/>
      <c r="AU103" s="915"/>
      <c r="AV103" s="915"/>
      <c r="AW103" s="437" t="s">
        <v>325</v>
      </c>
      <c r="AX103" s="366">
        <f t="shared" si="1"/>
        <v>0</v>
      </c>
      <c r="AY103" s="375"/>
      <c r="AZ103" s="356"/>
      <c r="BA103" s="359"/>
    </row>
    <row r="104" spans="1:58" ht="18.75" thickBot="1">
      <c r="A104" s="981" t="s">
        <v>80</v>
      </c>
      <c r="B104" s="982"/>
      <c r="C104" s="983"/>
      <c r="D104" s="399"/>
      <c r="E104" s="400"/>
      <c r="F104" s="13" t="s">
        <v>115</v>
      </c>
      <c r="G104" s="929">
        <f t="shared" si="3"/>
        <v>0</v>
      </c>
      <c r="H104" s="930"/>
      <c r="I104" s="931"/>
      <c r="J104" s="401">
        <v>0</v>
      </c>
      <c r="K104" s="402">
        <v>0</v>
      </c>
      <c r="L104" s="403">
        <f t="shared" si="7"/>
        <v>0</v>
      </c>
      <c r="M104" s="372"/>
      <c r="N104" s="981" t="s">
        <v>80</v>
      </c>
      <c r="O104" s="982"/>
      <c r="P104" s="983"/>
      <c r="Q104" s="399"/>
      <c r="R104" s="400"/>
      <c r="S104" s="13" t="s">
        <v>115</v>
      </c>
      <c r="T104" s="932">
        <f t="shared" si="4"/>
        <v>0</v>
      </c>
      <c r="U104" s="932"/>
      <c r="V104" s="932"/>
      <c r="W104" s="401">
        <v>0</v>
      </c>
      <c r="X104" s="402">
        <v>0</v>
      </c>
      <c r="Y104" s="403">
        <f t="shared" si="5"/>
        <v>0</v>
      </c>
      <c r="Z104" s="404">
        <f t="shared" si="6"/>
        <v>0</v>
      </c>
      <c r="AA104" s="372"/>
      <c r="AC104" s="428" t="s">
        <v>326</v>
      </c>
      <c r="AD104" s="438" t="s">
        <v>327</v>
      </c>
      <c r="AE104" s="380">
        <f>AO252</f>
        <v>0</v>
      </c>
      <c r="AF104" s="381" t="str">
        <f t="shared" si="2"/>
        <v/>
      </c>
      <c r="AH104" s="356"/>
      <c r="AI104" s="899" t="s">
        <v>328</v>
      </c>
      <c r="AJ104" s="900"/>
      <c r="AK104" s="900"/>
      <c r="AL104" s="900"/>
      <c r="AM104" s="900"/>
      <c r="AN104" s="439" t="s">
        <v>329</v>
      </c>
      <c r="AO104" s="366">
        <f t="shared" si="0"/>
        <v>0</v>
      </c>
      <c r="AP104" s="367"/>
      <c r="AQ104" s="356"/>
      <c r="AR104" s="914" t="s">
        <v>330</v>
      </c>
      <c r="AS104" s="915"/>
      <c r="AT104" s="915"/>
      <c r="AU104" s="915"/>
      <c r="AV104" s="915"/>
      <c r="AW104" s="440" t="s">
        <v>331</v>
      </c>
      <c r="AX104" s="366">
        <f t="shared" si="1"/>
        <v>0</v>
      </c>
      <c r="AY104" s="375"/>
      <c r="AZ104" s="356"/>
      <c r="BA104" s="359"/>
    </row>
    <row r="105" spans="1:58" ht="18.75" thickBot="1">
      <c r="A105" s="981" t="s">
        <v>36</v>
      </c>
      <c r="B105" s="982"/>
      <c r="C105" s="983"/>
      <c r="D105" s="399"/>
      <c r="E105" s="400" t="s">
        <v>266</v>
      </c>
      <c r="F105" s="14" t="s">
        <v>37</v>
      </c>
      <c r="G105" s="929">
        <f t="shared" si="3"/>
        <v>0</v>
      </c>
      <c r="H105" s="930"/>
      <c r="I105" s="931"/>
      <c r="J105" s="401">
        <v>0</v>
      </c>
      <c r="K105" s="402">
        <v>0</v>
      </c>
      <c r="L105" s="403">
        <f t="shared" si="7"/>
        <v>0</v>
      </c>
      <c r="M105" s="372"/>
      <c r="N105" s="981" t="s">
        <v>36</v>
      </c>
      <c r="O105" s="982"/>
      <c r="P105" s="983"/>
      <c r="Q105" s="399"/>
      <c r="R105" s="400" t="s">
        <v>266</v>
      </c>
      <c r="S105" s="14" t="s">
        <v>37</v>
      </c>
      <c r="T105" s="932">
        <f t="shared" si="4"/>
        <v>0</v>
      </c>
      <c r="U105" s="932"/>
      <c r="V105" s="932"/>
      <c r="W105" s="401">
        <v>0</v>
      </c>
      <c r="X105" s="402">
        <v>0</v>
      </c>
      <c r="Y105" s="403">
        <f t="shared" si="5"/>
        <v>0</v>
      </c>
      <c r="Z105" s="404">
        <f t="shared" si="6"/>
        <v>0</v>
      </c>
      <c r="AA105" s="372"/>
      <c r="AC105" s="428" t="s">
        <v>220</v>
      </c>
      <c r="AD105" s="441" t="s">
        <v>332</v>
      </c>
      <c r="AE105" s="380">
        <f>AX129</f>
        <v>0</v>
      </c>
      <c r="AF105" s="381" t="str">
        <f t="shared" si="2"/>
        <v/>
      </c>
      <c r="AH105" s="356"/>
      <c r="AI105" s="899" t="s">
        <v>333</v>
      </c>
      <c r="AJ105" s="900"/>
      <c r="AK105" s="900"/>
      <c r="AL105" s="900"/>
      <c r="AM105" s="900"/>
      <c r="AN105" s="442" t="s">
        <v>334</v>
      </c>
      <c r="AO105" s="366">
        <f t="shared" si="0"/>
        <v>0</v>
      </c>
      <c r="AP105" s="367"/>
      <c r="AQ105" s="356"/>
      <c r="AR105" s="914" t="s">
        <v>335</v>
      </c>
      <c r="AS105" s="915"/>
      <c r="AT105" s="915"/>
      <c r="AU105" s="915"/>
      <c r="AV105" s="915"/>
      <c r="AW105" s="440" t="s">
        <v>336</v>
      </c>
      <c r="AX105" s="366">
        <f t="shared" si="1"/>
        <v>0</v>
      </c>
      <c r="AY105" s="375"/>
      <c r="AZ105" s="356"/>
      <c r="BA105" s="359"/>
    </row>
    <row r="106" spans="1:58" ht="18">
      <c r="A106" s="981" t="s">
        <v>43</v>
      </c>
      <c r="B106" s="982"/>
      <c r="C106" s="983"/>
      <c r="D106" s="399"/>
      <c r="E106" s="400"/>
      <c r="F106" s="15" t="s">
        <v>44</v>
      </c>
      <c r="G106" s="929">
        <f t="shared" si="3"/>
        <v>0</v>
      </c>
      <c r="H106" s="930"/>
      <c r="I106" s="931"/>
      <c r="J106" s="401">
        <v>0</v>
      </c>
      <c r="K106" s="402">
        <v>0</v>
      </c>
      <c r="L106" s="403">
        <f t="shared" si="7"/>
        <v>0</v>
      </c>
      <c r="M106" s="372"/>
      <c r="N106" s="981" t="s">
        <v>43</v>
      </c>
      <c r="O106" s="982"/>
      <c r="P106" s="983"/>
      <c r="Q106" s="399"/>
      <c r="R106" s="400"/>
      <c r="S106" s="15" t="s">
        <v>44</v>
      </c>
      <c r="T106" s="932">
        <f t="shared" si="4"/>
        <v>0</v>
      </c>
      <c r="U106" s="932"/>
      <c r="V106" s="932"/>
      <c r="W106" s="401">
        <v>0</v>
      </c>
      <c r="X106" s="402">
        <v>0</v>
      </c>
      <c r="Y106" s="403">
        <f t="shared" si="5"/>
        <v>0</v>
      </c>
      <c r="Z106" s="404">
        <f t="shared" si="6"/>
        <v>0</v>
      </c>
      <c r="AA106" s="372"/>
      <c r="AC106" s="443" t="s">
        <v>135</v>
      </c>
      <c r="AD106" s="444" t="s">
        <v>337</v>
      </c>
      <c r="AE106" s="380">
        <f t="shared" ref="AE106" si="8">COUNTIF($P$1:$Q$1,AD106)</f>
        <v>0</v>
      </c>
      <c r="AF106" s="381" t="str">
        <f t="shared" si="2"/>
        <v/>
      </c>
      <c r="AH106" s="356"/>
      <c r="AI106" s="899" t="s">
        <v>338</v>
      </c>
      <c r="AJ106" s="900"/>
      <c r="AK106" s="900"/>
      <c r="AL106" s="900"/>
      <c r="AM106" s="900"/>
      <c r="AN106" s="165" t="s">
        <v>339</v>
      </c>
      <c r="AO106" s="366">
        <f t="shared" si="0"/>
        <v>0</v>
      </c>
      <c r="AP106" s="367"/>
      <c r="AQ106" s="356"/>
      <c r="AR106" s="914" t="s">
        <v>340</v>
      </c>
      <c r="AS106" s="915"/>
      <c r="AT106" s="915"/>
      <c r="AU106" s="915"/>
      <c r="AV106" s="915"/>
      <c r="AW106" s="445" t="s">
        <v>341</v>
      </c>
      <c r="AX106" s="366">
        <f t="shared" si="1"/>
        <v>0</v>
      </c>
      <c r="AY106" s="375"/>
      <c r="AZ106" s="356"/>
      <c r="BA106" s="359"/>
      <c r="BB106" s="356"/>
      <c r="BC106" s="356"/>
      <c r="BD106" s="356"/>
      <c r="BE106" s="356"/>
      <c r="BF106" s="356"/>
    </row>
    <row r="107" spans="1:58" ht="18.75" thickBot="1">
      <c r="A107" s="981" t="s">
        <v>16</v>
      </c>
      <c r="B107" s="982"/>
      <c r="C107" s="983"/>
      <c r="D107" s="399"/>
      <c r="E107" s="400"/>
      <c r="F107" s="16" t="s">
        <v>7</v>
      </c>
      <c r="G107" s="929">
        <f t="shared" si="3"/>
        <v>0</v>
      </c>
      <c r="H107" s="930"/>
      <c r="I107" s="931"/>
      <c r="J107" s="401">
        <v>0</v>
      </c>
      <c r="K107" s="402">
        <v>0</v>
      </c>
      <c r="L107" s="403">
        <f t="shared" si="7"/>
        <v>0</v>
      </c>
      <c r="M107" s="372"/>
      <c r="N107" s="981" t="s">
        <v>16</v>
      </c>
      <c r="O107" s="982"/>
      <c r="P107" s="983"/>
      <c r="Q107" s="399"/>
      <c r="R107" s="400"/>
      <c r="S107" s="16" t="s">
        <v>7</v>
      </c>
      <c r="T107" s="932">
        <f t="shared" si="4"/>
        <v>0</v>
      </c>
      <c r="U107" s="932"/>
      <c r="V107" s="932"/>
      <c r="W107" s="401">
        <v>0</v>
      </c>
      <c r="X107" s="402">
        <v>0</v>
      </c>
      <c r="Y107" s="403">
        <f t="shared" si="5"/>
        <v>0</v>
      </c>
      <c r="Z107" s="404">
        <f t="shared" si="6"/>
        <v>0</v>
      </c>
      <c r="AA107" s="372"/>
      <c r="AC107" s="428" t="s">
        <v>342</v>
      </c>
      <c r="AD107" s="446" t="s">
        <v>343</v>
      </c>
      <c r="AE107" s="380">
        <f>COUNTIF($P$1:$Q$1,AD107)</f>
        <v>0</v>
      </c>
      <c r="AF107" s="381" t="str">
        <f t="shared" si="2"/>
        <v/>
      </c>
      <c r="AH107" s="356"/>
      <c r="AI107" s="899" t="s">
        <v>344</v>
      </c>
      <c r="AJ107" s="900"/>
      <c r="AK107" s="900"/>
      <c r="AL107" s="900"/>
      <c r="AM107" s="900"/>
      <c r="AN107" s="163" t="s">
        <v>144</v>
      </c>
      <c r="AO107" s="366">
        <f t="shared" si="0"/>
        <v>2</v>
      </c>
      <c r="AP107" s="367"/>
      <c r="AQ107" s="356"/>
      <c r="AR107" s="914" t="s">
        <v>345</v>
      </c>
      <c r="AS107" s="915"/>
      <c r="AT107" s="915"/>
      <c r="AU107" s="915"/>
      <c r="AV107" s="915"/>
      <c r="AW107" s="447" t="s">
        <v>346</v>
      </c>
      <c r="AX107" s="366">
        <f t="shared" si="1"/>
        <v>0</v>
      </c>
      <c r="AY107" s="375"/>
      <c r="AZ107" s="356"/>
      <c r="BA107" s="359"/>
      <c r="BB107" s="356"/>
      <c r="BC107" s="356"/>
      <c r="BD107" s="356"/>
      <c r="BE107" s="356"/>
      <c r="BF107" s="356"/>
    </row>
    <row r="108" spans="1:58" ht="18.75" thickBot="1">
      <c r="A108" s="981" t="s">
        <v>21</v>
      </c>
      <c r="B108" s="982"/>
      <c r="C108" s="983"/>
      <c r="D108" s="399"/>
      <c r="E108" s="400"/>
      <c r="F108" s="17" t="s">
        <v>11</v>
      </c>
      <c r="G108" s="929">
        <f t="shared" si="3"/>
        <v>0</v>
      </c>
      <c r="H108" s="930"/>
      <c r="I108" s="931"/>
      <c r="J108" s="401">
        <v>0</v>
      </c>
      <c r="K108" s="402">
        <v>0</v>
      </c>
      <c r="L108" s="403">
        <f t="shared" si="7"/>
        <v>0</v>
      </c>
      <c r="M108" s="372"/>
      <c r="N108" s="981" t="s">
        <v>21</v>
      </c>
      <c r="O108" s="982"/>
      <c r="P108" s="983"/>
      <c r="Q108" s="399"/>
      <c r="R108" s="400"/>
      <c r="S108" s="17" t="s">
        <v>11</v>
      </c>
      <c r="T108" s="932">
        <f t="shared" si="4"/>
        <v>0</v>
      </c>
      <c r="U108" s="932"/>
      <c r="V108" s="932"/>
      <c r="W108" s="401">
        <v>0</v>
      </c>
      <c r="X108" s="402">
        <v>0</v>
      </c>
      <c r="Y108" s="403">
        <f t="shared" si="5"/>
        <v>0</v>
      </c>
      <c r="Z108" s="404">
        <f t="shared" si="6"/>
        <v>0</v>
      </c>
      <c r="AA108" s="372"/>
      <c r="AC108" s="428" t="s">
        <v>347</v>
      </c>
      <c r="AD108" s="448" t="s">
        <v>348</v>
      </c>
      <c r="AE108" s="380">
        <f>AO265</f>
        <v>0</v>
      </c>
      <c r="AF108" s="381" t="str">
        <f t="shared" si="2"/>
        <v/>
      </c>
      <c r="AH108" s="356"/>
      <c r="AI108" s="899" t="s">
        <v>349</v>
      </c>
      <c r="AJ108" s="900"/>
      <c r="AK108" s="900"/>
      <c r="AL108" s="900"/>
      <c r="AM108" s="900"/>
      <c r="AN108" s="164" t="s">
        <v>350</v>
      </c>
      <c r="AO108" s="366">
        <f t="shared" si="0"/>
        <v>0</v>
      </c>
      <c r="AP108" s="367"/>
      <c r="AQ108" s="356"/>
      <c r="AR108" s="914" t="s">
        <v>351</v>
      </c>
      <c r="AS108" s="915"/>
      <c r="AT108" s="915"/>
      <c r="AU108" s="915"/>
      <c r="AV108" s="915"/>
      <c r="AW108" s="449" t="s">
        <v>352</v>
      </c>
      <c r="AX108" s="366">
        <f t="shared" si="1"/>
        <v>0</v>
      </c>
      <c r="AY108" s="375"/>
      <c r="AZ108" s="356"/>
      <c r="BA108" s="359"/>
    </row>
    <row r="109" spans="1:58" ht="18.75" thickBot="1">
      <c r="A109" s="981" t="s">
        <v>81</v>
      </c>
      <c r="B109" s="982"/>
      <c r="C109" s="983"/>
      <c r="D109" s="399"/>
      <c r="E109" s="400" t="s">
        <v>266</v>
      </c>
      <c r="F109" s="18" t="s">
        <v>35</v>
      </c>
      <c r="G109" s="929">
        <f t="shared" si="3"/>
        <v>0</v>
      </c>
      <c r="H109" s="930"/>
      <c r="I109" s="931"/>
      <c r="J109" s="401">
        <v>0</v>
      </c>
      <c r="K109" s="402">
        <v>0</v>
      </c>
      <c r="L109" s="403">
        <f t="shared" si="7"/>
        <v>0</v>
      </c>
      <c r="M109" s="372"/>
      <c r="N109" s="981" t="s">
        <v>81</v>
      </c>
      <c r="O109" s="982"/>
      <c r="P109" s="983"/>
      <c r="Q109" s="399"/>
      <c r="R109" s="400" t="s">
        <v>266</v>
      </c>
      <c r="S109" s="18" t="s">
        <v>35</v>
      </c>
      <c r="T109" s="932">
        <f t="shared" si="4"/>
        <v>0</v>
      </c>
      <c r="U109" s="932"/>
      <c r="V109" s="932"/>
      <c r="W109" s="401">
        <v>0</v>
      </c>
      <c r="X109" s="402">
        <v>0</v>
      </c>
      <c r="Y109" s="403">
        <f t="shared" si="5"/>
        <v>0</v>
      </c>
      <c r="Z109" s="404">
        <f t="shared" si="6"/>
        <v>0</v>
      </c>
      <c r="AA109" s="372"/>
      <c r="AC109" s="428" t="s">
        <v>353</v>
      </c>
      <c r="AD109" s="450" t="s">
        <v>354</v>
      </c>
      <c r="AE109" s="380">
        <f>AX257</f>
        <v>0</v>
      </c>
      <c r="AF109" s="381" t="str">
        <f t="shared" si="2"/>
        <v/>
      </c>
      <c r="AH109" s="356"/>
      <c r="AI109" s="899" t="s">
        <v>355</v>
      </c>
      <c r="AJ109" s="900"/>
      <c r="AK109" s="900"/>
      <c r="AL109" s="900"/>
      <c r="AM109" s="900"/>
      <c r="AN109" s="166" t="s">
        <v>356</v>
      </c>
      <c r="AO109" s="366">
        <f t="shared" si="0"/>
        <v>0</v>
      </c>
      <c r="AP109" s="367"/>
      <c r="AQ109" s="356"/>
      <c r="AR109" s="914" t="s">
        <v>357</v>
      </c>
      <c r="AS109" s="915"/>
      <c r="AT109" s="915"/>
      <c r="AU109" s="915"/>
      <c r="AV109" s="915"/>
      <c r="AW109" s="422" t="s">
        <v>358</v>
      </c>
      <c r="AX109" s="366">
        <f t="shared" si="1"/>
        <v>0</v>
      </c>
      <c r="AY109" s="375"/>
      <c r="AZ109" s="356"/>
      <c r="BA109" s="359"/>
    </row>
    <row r="110" spans="1:58" ht="18.75" thickBot="1">
      <c r="A110" s="981" t="s">
        <v>12</v>
      </c>
      <c r="B110" s="982"/>
      <c r="C110" s="983"/>
      <c r="D110" s="399"/>
      <c r="E110" s="400"/>
      <c r="F110" s="19" t="s">
        <v>13</v>
      </c>
      <c r="G110" s="929">
        <f t="shared" si="3"/>
        <v>0</v>
      </c>
      <c r="H110" s="930"/>
      <c r="I110" s="931"/>
      <c r="J110" s="401">
        <v>0</v>
      </c>
      <c r="K110" s="402">
        <v>0</v>
      </c>
      <c r="L110" s="403">
        <f t="shared" si="7"/>
        <v>0</v>
      </c>
      <c r="M110" s="372"/>
      <c r="N110" s="981" t="s">
        <v>12</v>
      </c>
      <c r="O110" s="982"/>
      <c r="P110" s="983"/>
      <c r="Q110" s="399"/>
      <c r="R110" s="400"/>
      <c r="S110" s="19" t="s">
        <v>13</v>
      </c>
      <c r="T110" s="932">
        <f t="shared" si="4"/>
        <v>0</v>
      </c>
      <c r="U110" s="932"/>
      <c r="V110" s="932"/>
      <c r="W110" s="401">
        <v>0</v>
      </c>
      <c r="X110" s="402">
        <v>0</v>
      </c>
      <c r="Y110" s="403">
        <f t="shared" si="5"/>
        <v>0</v>
      </c>
      <c r="Z110" s="404">
        <f t="shared" si="6"/>
        <v>0</v>
      </c>
      <c r="AA110" s="372"/>
      <c r="AC110" s="428" t="s">
        <v>359</v>
      </c>
      <c r="AD110" s="451" t="s">
        <v>360</v>
      </c>
      <c r="AE110" s="380">
        <f>AO247</f>
        <v>0</v>
      </c>
      <c r="AF110" s="381" t="str">
        <f t="shared" si="2"/>
        <v/>
      </c>
      <c r="AH110" s="356"/>
      <c r="AI110" s="899" t="s">
        <v>361</v>
      </c>
      <c r="AJ110" s="900"/>
      <c r="AK110" s="900"/>
      <c r="AL110" s="900"/>
      <c r="AM110" s="900"/>
      <c r="AN110" s="163" t="s">
        <v>362</v>
      </c>
      <c r="AO110" s="366">
        <f t="shared" si="0"/>
        <v>0</v>
      </c>
      <c r="AP110" s="367"/>
      <c r="AQ110" s="356"/>
      <c r="AR110" s="914" t="s">
        <v>363</v>
      </c>
      <c r="AS110" s="915"/>
      <c r="AT110" s="915"/>
      <c r="AU110" s="915"/>
      <c r="AV110" s="915"/>
      <c r="AW110" s="452" t="s">
        <v>364</v>
      </c>
      <c r="AX110" s="366">
        <f t="shared" si="1"/>
        <v>0</v>
      </c>
      <c r="AY110" s="375"/>
      <c r="AZ110" s="356"/>
      <c r="BA110" s="359"/>
    </row>
    <row r="111" spans="1:58" ht="18.75" thickBot="1">
      <c r="A111" s="981" t="s">
        <v>83</v>
      </c>
      <c r="B111" s="982"/>
      <c r="C111" s="983"/>
      <c r="D111" s="399" t="s">
        <v>46</v>
      </c>
      <c r="E111" s="400"/>
      <c r="F111" s="20" t="s">
        <v>82</v>
      </c>
      <c r="G111" s="929">
        <f t="shared" si="3"/>
        <v>0</v>
      </c>
      <c r="H111" s="930"/>
      <c r="I111" s="931"/>
      <c r="J111" s="401">
        <v>0</v>
      </c>
      <c r="K111" s="402">
        <v>0</v>
      </c>
      <c r="L111" s="403">
        <f t="shared" si="7"/>
        <v>0</v>
      </c>
      <c r="M111" s="372"/>
      <c r="N111" s="981" t="s">
        <v>83</v>
      </c>
      <c r="O111" s="982"/>
      <c r="P111" s="983"/>
      <c r="Q111" s="399" t="s">
        <v>46</v>
      </c>
      <c r="R111" s="400"/>
      <c r="S111" s="20" t="s">
        <v>82</v>
      </c>
      <c r="T111" s="932">
        <f t="shared" si="4"/>
        <v>0</v>
      </c>
      <c r="U111" s="932"/>
      <c r="V111" s="932"/>
      <c r="W111" s="401">
        <v>0</v>
      </c>
      <c r="X111" s="402">
        <v>0</v>
      </c>
      <c r="Y111" s="403">
        <f t="shared" si="5"/>
        <v>0</v>
      </c>
      <c r="Z111" s="404">
        <f t="shared" si="6"/>
        <v>0</v>
      </c>
      <c r="AA111" s="372"/>
      <c r="AC111" s="443" t="s">
        <v>365</v>
      </c>
      <c r="AD111" s="453" t="s">
        <v>366</v>
      </c>
      <c r="AE111" s="380">
        <f>AX253</f>
        <v>0</v>
      </c>
      <c r="AF111" s="381" t="str">
        <f t="shared" si="2"/>
        <v/>
      </c>
      <c r="AH111" s="356"/>
      <c r="AI111" s="899" t="s">
        <v>367</v>
      </c>
      <c r="AJ111" s="900"/>
      <c r="AK111" s="900"/>
      <c r="AL111" s="900"/>
      <c r="AM111" s="900"/>
      <c r="AN111" s="454" t="s">
        <v>132</v>
      </c>
      <c r="AO111" s="366">
        <f t="shared" si="0"/>
        <v>5</v>
      </c>
      <c r="AP111" s="367"/>
      <c r="AQ111" s="356"/>
      <c r="AR111" s="914" t="s">
        <v>368</v>
      </c>
      <c r="AS111" s="915"/>
      <c r="AT111" s="915"/>
      <c r="AU111" s="915"/>
      <c r="AV111" s="915"/>
      <c r="AW111" s="455" t="s">
        <v>369</v>
      </c>
      <c r="AX111" s="366">
        <f t="shared" si="1"/>
        <v>0</v>
      </c>
      <c r="AY111" s="375"/>
      <c r="AZ111" s="356"/>
      <c r="BA111" s="359"/>
    </row>
    <row r="112" spans="1:58" ht="18.75" thickBot="1">
      <c r="A112" s="981" t="s">
        <v>85</v>
      </c>
      <c r="B112" s="982"/>
      <c r="C112" s="983"/>
      <c r="D112" s="399"/>
      <c r="E112" s="400" t="s">
        <v>266</v>
      </c>
      <c r="F112" s="21" t="s">
        <v>84</v>
      </c>
      <c r="G112" s="929">
        <f t="shared" si="3"/>
        <v>5</v>
      </c>
      <c r="H112" s="930"/>
      <c r="I112" s="931"/>
      <c r="J112" s="401">
        <v>0</v>
      </c>
      <c r="K112" s="402">
        <v>0</v>
      </c>
      <c r="L112" s="403">
        <f t="shared" si="7"/>
        <v>5</v>
      </c>
      <c r="M112" s="372"/>
      <c r="N112" s="981" t="s">
        <v>85</v>
      </c>
      <c r="O112" s="982"/>
      <c r="P112" s="983"/>
      <c r="Q112" s="399"/>
      <c r="R112" s="400" t="s">
        <v>266</v>
      </c>
      <c r="S112" s="21" t="s">
        <v>84</v>
      </c>
      <c r="T112" s="932">
        <f t="shared" si="4"/>
        <v>0</v>
      </c>
      <c r="U112" s="932"/>
      <c r="V112" s="932"/>
      <c r="W112" s="401">
        <v>0</v>
      </c>
      <c r="X112" s="402">
        <v>0</v>
      </c>
      <c r="Y112" s="403">
        <f t="shared" si="5"/>
        <v>0</v>
      </c>
      <c r="Z112" s="404">
        <f t="shared" si="6"/>
        <v>5</v>
      </c>
      <c r="AA112" s="372"/>
      <c r="AC112" s="428" t="s">
        <v>370</v>
      </c>
      <c r="AD112" s="451" t="s">
        <v>371</v>
      </c>
      <c r="AE112" s="380">
        <f>COUNTIF($A$1:$GO$65,AD112)</f>
        <v>0</v>
      </c>
      <c r="AF112" s="381" t="str">
        <f t="shared" si="2"/>
        <v/>
      </c>
      <c r="AH112" s="356"/>
      <c r="AI112" s="899" t="s">
        <v>372</v>
      </c>
      <c r="AJ112" s="900"/>
      <c r="AK112" s="900"/>
      <c r="AL112" s="900"/>
      <c r="AM112" s="900"/>
      <c r="AN112" s="456" t="s">
        <v>373</v>
      </c>
      <c r="AO112" s="366">
        <f t="shared" si="0"/>
        <v>0</v>
      </c>
      <c r="AP112" s="367"/>
      <c r="AQ112" s="356"/>
      <c r="AR112" s="914" t="s">
        <v>374</v>
      </c>
      <c r="AS112" s="915"/>
      <c r="AT112" s="915"/>
      <c r="AU112" s="915"/>
      <c r="AV112" s="915"/>
      <c r="AW112" s="457" t="s">
        <v>375</v>
      </c>
      <c r="AX112" s="366">
        <f t="shared" si="1"/>
        <v>0</v>
      </c>
      <c r="AY112" s="375"/>
      <c r="AZ112" s="356"/>
      <c r="BA112" s="359"/>
    </row>
    <row r="113" spans="1:58" ht="18.75" thickBot="1">
      <c r="A113" s="981" t="s">
        <v>87</v>
      </c>
      <c r="B113" s="982"/>
      <c r="C113" s="983"/>
      <c r="D113" s="399" t="s">
        <v>9</v>
      </c>
      <c r="E113" s="400" t="s">
        <v>266</v>
      </c>
      <c r="F113" s="22" t="s">
        <v>86</v>
      </c>
      <c r="G113" s="929">
        <f t="shared" si="3"/>
        <v>0</v>
      </c>
      <c r="H113" s="930"/>
      <c r="I113" s="931"/>
      <c r="J113" s="401">
        <v>0</v>
      </c>
      <c r="K113" s="402">
        <v>0</v>
      </c>
      <c r="L113" s="403">
        <f t="shared" si="7"/>
        <v>0</v>
      </c>
      <c r="M113" s="372"/>
      <c r="N113" s="981" t="s">
        <v>87</v>
      </c>
      <c r="O113" s="982"/>
      <c r="P113" s="983"/>
      <c r="Q113" s="399" t="s">
        <v>9</v>
      </c>
      <c r="R113" s="400" t="s">
        <v>266</v>
      </c>
      <c r="S113" s="22" t="s">
        <v>86</v>
      </c>
      <c r="T113" s="929">
        <f t="shared" si="4"/>
        <v>0</v>
      </c>
      <c r="U113" s="930"/>
      <c r="V113" s="931"/>
      <c r="W113" s="401">
        <v>0</v>
      </c>
      <c r="X113" s="402">
        <v>0</v>
      </c>
      <c r="Y113" s="403">
        <f t="shared" si="5"/>
        <v>0</v>
      </c>
      <c r="Z113" s="404">
        <f t="shared" si="6"/>
        <v>0</v>
      </c>
      <c r="AA113" s="372"/>
      <c r="AC113" s="1030" t="s">
        <v>376</v>
      </c>
      <c r="AD113" s="1031"/>
      <c r="AE113" s="1031"/>
      <c r="AF113" s="1031"/>
      <c r="AH113" s="356"/>
      <c r="AI113" s="899" t="s">
        <v>377</v>
      </c>
      <c r="AJ113" s="900"/>
      <c r="AK113" s="900"/>
      <c r="AL113" s="900"/>
      <c r="AM113" s="900"/>
      <c r="AN113" s="458" t="s">
        <v>378</v>
      </c>
      <c r="AO113" s="366">
        <f t="shared" si="0"/>
        <v>0</v>
      </c>
      <c r="AP113" s="367"/>
      <c r="AQ113" s="356"/>
      <c r="AR113" s="914" t="s">
        <v>379</v>
      </c>
      <c r="AS113" s="915"/>
      <c r="AT113" s="915"/>
      <c r="AU113" s="915"/>
      <c r="AV113" s="915"/>
      <c r="AW113" s="459" t="s">
        <v>380</v>
      </c>
      <c r="AX113" s="366">
        <f t="shared" si="1"/>
        <v>0</v>
      </c>
      <c r="AY113" s="375"/>
      <c r="AZ113" s="356"/>
      <c r="BA113" s="460"/>
    </row>
    <row r="114" spans="1:58" ht="18">
      <c r="A114" s="1027" t="s">
        <v>198</v>
      </c>
      <c r="B114" s="1028"/>
      <c r="C114" s="1028"/>
      <c r="D114" s="1028"/>
      <c r="E114" s="1028"/>
      <c r="F114" s="461"/>
      <c r="G114" s="1029">
        <f>SUM(G93:I113)</f>
        <v>14</v>
      </c>
      <c r="H114" s="1029"/>
      <c r="I114" s="1029"/>
      <c r="J114" s="462">
        <f>SUM(J93:J113)</f>
        <v>0</v>
      </c>
      <c r="K114" s="463">
        <f>SUM(K93:K113)</f>
        <v>0</v>
      </c>
      <c r="L114" s="403">
        <f>SUM(L93:L113)</f>
        <v>14</v>
      </c>
      <c r="M114" s="372"/>
      <c r="N114" s="1004" t="s">
        <v>198</v>
      </c>
      <c r="O114" s="1005"/>
      <c r="P114" s="1005"/>
      <c r="Q114" s="1005"/>
      <c r="R114" s="1005"/>
      <c r="S114" s="464"/>
      <c r="T114" s="1003">
        <f>SUM(T93:V113)</f>
        <v>1</v>
      </c>
      <c r="U114" s="1003"/>
      <c r="V114" s="1003"/>
      <c r="W114" s="462">
        <f>SUM(W93:W113)</f>
        <v>0</v>
      </c>
      <c r="X114" s="463">
        <f>SUM(X93:X113)</f>
        <v>0</v>
      </c>
      <c r="Y114" s="403">
        <f>SUM(Y93:Y113)</f>
        <v>1</v>
      </c>
      <c r="Z114" s="404">
        <f t="shared" si="6"/>
        <v>15</v>
      </c>
      <c r="AA114" s="372"/>
      <c r="AC114" s="465" t="s">
        <v>381</v>
      </c>
      <c r="AD114" s="466" t="s">
        <v>175</v>
      </c>
      <c r="AE114" s="380">
        <f t="shared" ref="AE114:AE177" si="9">COUNTIF($A$1:$GO$65,AD114)</f>
        <v>14</v>
      </c>
      <c r="AF114" s="381" t="str">
        <f>IFERROR(AE114/$J$4,"")</f>
        <v/>
      </c>
      <c r="AH114" s="356"/>
      <c r="AI114" s="899" t="s">
        <v>382</v>
      </c>
      <c r="AJ114" s="900"/>
      <c r="AK114" s="900"/>
      <c r="AL114" s="900"/>
      <c r="AM114" s="900"/>
      <c r="AN114" s="467" t="s">
        <v>133</v>
      </c>
      <c r="AO114" s="366">
        <f t="shared" si="0"/>
        <v>6</v>
      </c>
      <c r="AP114" s="367"/>
      <c r="AQ114" s="356"/>
      <c r="AR114" s="914" t="s">
        <v>383</v>
      </c>
      <c r="AS114" s="915"/>
      <c r="AT114" s="915"/>
      <c r="AU114" s="915"/>
      <c r="AV114" s="915"/>
      <c r="AW114" s="468" t="s">
        <v>384</v>
      </c>
      <c r="AX114" s="366">
        <f t="shared" si="1"/>
        <v>0</v>
      </c>
      <c r="AY114" s="375"/>
      <c r="AZ114" s="356"/>
      <c r="BA114" s="460"/>
    </row>
    <row r="115" spans="1:58" ht="18">
      <c r="A115" s="1024" t="s">
        <v>385</v>
      </c>
      <c r="B115" s="1025"/>
      <c r="C115" s="1025"/>
      <c r="D115" s="1025"/>
      <c r="E115" s="1025"/>
      <c r="F115" s="1025"/>
      <c r="G115" s="1025"/>
      <c r="H115" s="1025"/>
      <c r="I115" s="1026"/>
      <c r="J115" s="394" t="s">
        <v>250</v>
      </c>
      <c r="K115" s="394" t="s">
        <v>251</v>
      </c>
      <c r="L115" s="394" t="s">
        <v>252</v>
      </c>
      <c r="M115" s="372"/>
      <c r="N115" s="1024" t="s">
        <v>385</v>
      </c>
      <c r="O115" s="1025"/>
      <c r="P115" s="1025"/>
      <c r="Q115" s="1025"/>
      <c r="R115" s="1025"/>
      <c r="S115" s="1025"/>
      <c r="T115" s="1025"/>
      <c r="U115" s="1025"/>
      <c r="V115" s="1026"/>
      <c r="W115" s="395" t="s">
        <v>250</v>
      </c>
      <c r="X115" s="395" t="s">
        <v>251</v>
      </c>
      <c r="Y115" s="395" t="s">
        <v>252</v>
      </c>
      <c r="Z115" s="469"/>
      <c r="AA115" s="372"/>
      <c r="AC115" s="465" t="s">
        <v>386</v>
      </c>
      <c r="AD115" s="470" t="s">
        <v>387</v>
      </c>
      <c r="AE115" s="380">
        <f t="shared" si="9"/>
        <v>0</v>
      </c>
      <c r="AF115" s="381" t="str">
        <f t="shared" ref="AF115:AF178" si="10">IFERROR(AE115/$J$4,"")</f>
        <v/>
      </c>
      <c r="AH115" s="356"/>
      <c r="AI115" s="899" t="s">
        <v>388</v>
      </c>
      <c r="AJ115" s="900"/>
      <c r="AK115" s="900"/>
      <c r="AL115" s="900"/>
      <c r="AM115" s="900"/>
      <c r="AN115" s="471" t="s">
        <v>162</v>
      </c>
      <c r="AO115" s="366">
        <f t="shared" si="0"/>
        <v>9</v>
      </c>
      <c r="AP115" s="367"/>
      <c r="AQ115" s="356"/>
      <c r="AR115" s="914" t="s">
        <v>389</v>
      </c>
      <c r="AS115" s="915"/>
      <c r="AT115" s="915"/>
      <c r="AU115" s="915"/>
      <c r="AV115" s="915"/>
      <c r="AW115" s="472" t="s">
        <v>390</v>
      </c>
      <c r="AX115" s="366">
        <f t="shared" si="1"/>
        <v>0</v>
      </c>
      <c r="AY115" s="375"/>
      <c r="AZ115" s="356"/>
      <c r="BA115" s="359"/>
    </row>
    <row r="116" spans="1:58" ht="18">
      <c r="A116" s="1019" t="s">
        <v>17</v>
      </c>
      <c r="B116" s="1020"/>
      <c r="C116" s="1021"/>
      <c r="D116" s="473"/>
      <c r="E116" s="474" t="s">
        <v>266</v>
      </c>
      <c r="F116" s="23" t="s">
        <v>6</v>
      </c>
      <c r="G116" s="1022">
        <f t="shared" ref="G116:G133" si="11">COUNTIF($N$1:$BK$52,F116)</f>
        <v>1</v>
      </c>
      <c r="H116" s="989"/>
      <c r="I116" s="990"/>
      <c r="J116" s="401">
        <v>0</v>
      </c>
      <c r="K116" s="402">
        <v>0</v>
      </c>
      <c r="L116" s="403">
        <f t="shared" ref="L116:L133" si="12">G116-K116-J116</f>
        <v>1</v>
      </c>
      <c r="M116" s="372"/>
      <c r="N116" s="1019" t="s">
        <v>17</v>
      </c>
      <c r="O116" s="1020"/>
      <c r="P116" s="1021"/>
      <c r="Q116" s="473"/>
      <c r="R116" s="474" t="s">
        <v>266</v>
      </c>
      <c r="S116" s="23" t="s">
        <v>6</v>
      </c>
      <c r="T116" s="932">
        <f t="shared" ref="T116:T133" si="13">COUNTIF($A$1:$M$22,S116)</f>
        <v>0</v>
      </c>
      <c r="U116" s="932"/>
      <c r="V116" s="932"/>
      <c r="W116" s="401">
        <v>0</v>
      </c>
      <c r="X116" s="402">
        <v>0</v>
      </c>
      <c r="Y116" s="403">
        <f t="shared" ref="Y116:Y133" si="14">T116-X116-W116</f>
        <v>0</v>
      </c>
      <c r="Z116" s="404">
        <f t="shared" ref="Z116:Z134" si="15">T116+G116</f>
        <v>1</v>
      </c>
      <c r="AA116" s="372"/>
      <c r="AC116" s="465" t="s">
        <v>391</v>
      </c>
      <c r="AD116" s="475" t="s">
        <v>392</v>
      </c>
      <c r="AE116" s="380">
        <f t="shared" si="9"/>
        <v>0</v>
      </c>
      <c r="AF116" s="381" t="str">
        <f t="shared" si="10"/>
        <v/>
      </c>
      <c r="AH116" s="356"/>
      <c r="AI116" s="899" t="s">
        <v>393</v>
      </c>
      <c r="AJ116" s="900"/>
      <c r="AK116" s="900"/>
      <c r="AL116" s="900"/>
      <c r="AM116" s="900"/>
      <c r="AN116" s="476" t="s">
        <v>394</v>
      </c>
      <c r="AO116" s="366">
        <f t="shared" si="0"/>
        <v>0</v>
      </c>
      <c r="AP116" s="367"/>
      <c r="AQ116" s="356"/>
      <c r="AR116" s="914" t="s">
        <v>395</v>
      </c>
      <c r="AS116" s="915"/>
      <c r="AT116" s="915"/>
      <c r="AU116" s="915"/>
      <c r="AV116" s="915"/>
      <c r="AW116" s="477" t="s">
        <v>396</v>
      </c>
      <c r="AX116" s="366">
        <f t="shared" si="1"/>
        <v>0</v>
      </c>
      <c r="AY116" s="375"/>
      <c r="AZ116" s="356"/>
      <c r="BA116" s="359"/>
    </row>
    <row r="117" spans="1:58" ht="18.75" thickBot="1">
      <c r="A117" s="1013" t="s">
        <v>89</v>
      </c>
      <c r="B117" s="1014"/>
      <c r="C117" s="1015"/>
      <c r="D117" s="399" t="s">
        <v>31</v>
      </c>
      <c r="E117" s="478"/>
      <c r="F117" s="479" t="s">
        <v>88</v>
      </c>
      <c r="G117" s="929">
        <f t="shared" si="11"/>
        <v>0</v>
      </c>
      <c r="H117" s="930"/>
      <c r="I117" s="931"/>
      <c r="J117" s="401">
        <v>0</v>
      </c>
      <c r="K117" s="402">
        <v>0</v>
      </c>
      <c r="L117" s="403">
        <f t="shared" si="12"/>
        <v>0</v>
      </c>
      <c r="M117" s="372"/>
      <c r="N117" s="1013" t="s">
        <v>89</v>
      </c>
      <c r="O117" s="1014"/>
      <c r="P117" s="1015"/>
      <c r="Q117" s="399" t="s">
        <v>31</v>
      </c>
      <c r="R117" s="400"/>
      <c r="S117" s="24" t="s">
        <v>88</v>
      </c>
      <c r="T117" s="932">
        <f t="shared" si="13"/>
        <v>0</v>
      </c>
      <c r="U117" s="932"/>
      <c r="V117" s="932"/>
      <c r="W117" s="401">
        <v>0</v>
      </c>
      <c r="X117" s="402">
        <v>0</v>
      </c>
      <c r="Y117" s="403">
        <f t="shared" si="14"/>
        <v>0</v>
      </c>
      <c r="Z117" s="404">
        <f t="shared" si="15"/>
        <v>0</v>
      </c>
      <c r="AA117" s="372"/>
      <c r="AC117" s="465" t="s">
        <v>397</v>
      </c>
      <c r="AD117" s="480" t="s">
        <v>398</v>
      </c>
      <c r="AE117" s="380">
        <f t="shared" si="9"/>
        <v>0</v>
      </c>
      <c r="AF117" s="381" t="str">
        <f t="shared" si="10"/>
        <v/>
      </c>
      <c r="AH117" s="356"/>
      <c r="AI117" s="899" t="s">
        <v>399</v>
      </c>
      <c r="AJ117" s="900"/>
      <c r="AK117" s="900"/>
      <c r="AL117" s="900"/>
      <c r="AM117" s="900"/>
      <c r="AN117" s="481" t="s">
        <v>400</v>
      </c>
      <c r="AO117" s="366">
        <f t="shared" si="0"/>
        <v>0</v>
      </c>
      <c r="AP117" s="367"/>
      <c r="AQ117" s="356"/>
      <c r="AR117" s="914" t="s">
        <v>401</v>
      </c>
      <c r="AS117" s="915"/>
      <c r="AT117" s="915"/>
      <c r="AU117" s="915"/>
      <c r="AV117" s="915"/>
      <c r="AW117" s="477" t="s">
        <v>402</v>
      </c>
      <c r="AX117" s="366">
        <f t="shared" si="1"/>
        <v>0</v>
      </c>
      <c r="AY117" s="375"/>
      <c r="AZ117" s="356"/>
      <c r="BA117" s="359"/>
    </row>
    <row r="118" spans="1:58" ht="18">
      <c r="A118" s="1013" t="s">
        <v>403</v>
      </c>
      <c r="B118" s="1014"/>
      <c r="C118" s="1015"/>
      <c r="D118" s="399"/>
      <c r="E118" s="400"/>
      <c r="F118" s="482" t="s">
        <v>404</v>
      </c>
      <c r="G118" s="929">
        <f t="shared" si="11"/>
        <v>0</v>
      </c>
      <c r="H118" s="930"/>
      <c r="I118" s="931"/>
      <c r="J118" s="401">
        <v>0</v>
      </c>
      <c r="K118" s="402">
        <v>0</v>
      </c>
      <c r="L118" s="403">
        <f t="shared" si="12"/>
        <v>0</v>
      </c>
      <c r="M118" s="372"/>
      <c r="N118" s="1013" t="s">
        <v>403</v>
      </c>
      <c r="O118" s="1014"/>
      <c r="P118" s="1015"/>
      <c r="Q118" s="399"/>
      <c r="R118" s="400"/>
      <c r="S118" s="482" t="s">
        <v>404</v>
      </c>
      <c r="T118" s="932">
        <f t="shared" si="13"/>
        <v>0</v>
      </c>
      <c r="U118" s="932"/>
      <c r="V118" s="932"/>
      <c r="W118" s="401">
        <v>0</v>
      </c>
      <c r="X118" s="402">
        <v>0</v>
      </c>
      <c r="Y118" s="403">
        <f t="shared" si="14"/>
        <v>0</v>
      </c>
      <c r="Z118" s="404">
        <f t="shared" si="15"/>
        <v>0</v>
      </c>
      <c r="AA118" s="372"/>
      <c r="AC118" s="465" t="s">
        <v>135</v>
      </c>
      <c r="AD118" s="444" t="s">
        <v>135</v>
      </c>
      <c r="AE118" s="380">
        <f t="shared" si="9"/>
        <v>32</v>
      </c>
      <c r="AF118" s="381" t="str">
        <f t="shared" si="10"/>
        <v/>
      </c>
      <c r="AH118" s="356"/>
      <c r="AI118" s="899" t="s">
        <v>405</v>
      </c>
      <c r="AJ118" s="900"/>
      <c r="AK118" s="900"/>
      <c r="AL118" s="900"/>
      <c r="AM118" s="900"/>
      <c r="AN118" s="164" t="s">
        <v>145</v>
      </c>
      <c r="AO118" s="366">
        <f t="shared" si="0"/>
        <v>2</v>
      </c>
      <c r="AP118" s="367"/>
      <c r="AQ118" s="356"/>
      <c r="AR118" s="914" t="s">
        <v>406</v>
      </c>
      <c r="AS118" s="915"/>
      <c r="AT118" s="915"/>
      <c r="AU118" s="915"/>
      <c r="AV118" s="915"/>
      <c r="AW118" s="483" t="s">
        <v>407</v>
      </c>
      <c r="AX118" s="366">
        <f t="shared" si="1"/>
        <v>0</v>
      </c>
      <c r="AY118" s="375"/>
      <c r="AZ118" s="356"/>
      <c r="BA118" s="359"/>
    </row>
    <row r="119" spans="1:58" ht="18.75" thickBot="1">
      <c r="A119" s="1013" t="s">
        <v>408</v>
      </c>
      <c r="B119" s="1014"/>
      <c r="C119" s="1015"/>
      <c r="D119" s="399"/>
      <c r="E119" s="400"/>
      <c r="F119" s="484" t="s">
        <v>409</v>
      </c>
      <c r="G119" s="929">
        <f t="shared" si="11"/>
        <v>0</v>
      </c>
      <c r="H119" s="930"/>
      <c r="I119" s="931"/>
      <c r="J119" s="401">
        <v>0</v>
      </c>
      <c r="K119" s="402">
        <v>0</v>
      </c>
      <c r="L119" s="403">
        <f t="shared" si="12"/>
        <v>0</v>
      </c>
      <c r="M119" s="372"/>
      <c r="N119" s="1013" t="s">
        <v>408</v>
      </c>
      <c r="O119" s="1014"/>
      <c r="P119" s="1015"/>
      <c r="Q119" s="399"/>
      <c r="R119" s="400"/>
      <c r="S119" s="484" t="s">
        <v>409</v>
      </c>
      <c r="T119" s="932">
        <f t="shared" si="13"/>
        <v>0</v>
      </c>
      <c r="U119" s="932"/>
      <c r="V119" s="932"/>
      <c r="W119" s="401">
        <v>0</v>
      </c>
      <c r="X119" s="402">
        <v>0</v>
      </c>
      <c r="Y119" s="403">
        <f t="shared" si="14"/>
        <v>0</v>
      </c>
      <c r="Z119" s="404">
        <f t="shared" si="15"/>
        <v>0</v>
      </c>
      <c r="AA119" s="372"/>
      <c r="AC119" s="465" t="s">
        <v>410</v>
      </c>
      <c r="AD119" s="485" t="s">
        <v>411</v>
      </c>
      <c r="AE119" s="380">
        <f t="shared" si="9"/>
        <v>0</v>
      </c>
      <c r="AF119" s="381" t="str">
        <f t="shared" si="10"/>
        <v/>
      </c>
      <c r="AH119" s="356"/>
      <c r="AI119" s="899" t="s">
        <v>412</v>
      </c>
      <c r="AJ119" s="900"/>
      <c r="AK119" s="900"/>
      <c r="AL119" s="900"/>
      <c r="AM119" s="900"/>
      <c r="AN119" s="486" t="s">
        <v>413</v>
      </c>
      <c r="AO119" s="366">
        <f t="shared" si="0"/>
        <v>0</v>
      </c>
      <c r="AP119" s="367"/>
      <c r="AQ119" s="356"/>
      <c r="AR119" s="914" t="s">
        <v>414</v>
      </c>
      <c r="AS119" s="915"/>
      <c r="AT119" s="915"/>
      <c r="AU119" s="915"/>
      <c r="AV119" s="915"/>
      <c r="AW119" s="287" t="s">
        <v>415</v>
      </c>
      <c r="AX119" s="366">
        <f t="shared" si="1"/>
        <v>0</v>
      </c>
      <c r="AY119" s="375"/>
      <c r="AZ119" s="356"/>
      <c r="BA119" s="359"/>
    </row>
    <row r="120" spans="1:58" ht="18.75" thickBot="1">
      <c r="A120" s="1013" t="s">
        <v>30</v>
      </c>
      <c r="B120" s="1014"/>
      <c r="C120" s="1015"/>
      <c r="D120" s="399"/>
      <c r="E120" s="400" t="s">
        <v>266</v>
      </c>
      <c r="F120" s="25" t="s">
        <v>31</v>
      </c>
      <c r="G120" s="929">
        <f t="shared" si="11"/>
        <v>4</v>
      </c>
      <c r="H120" s="930"/>
      <c r="I120" s="931"/>
      <c r="J120" s="401">
        <v>0</v>
      </c>
      <c r="K120" s="402">
        <v>0</v>
      </c>
      <c r="L120" s="403">
        <f t="shared" si="12"/>
        <v>4</v>
      </c>
      <c r="M120" s="372"/>
      <c r="N120" s="1013" t="s">
        <v>30</v>
      </c>
      <c r="O120" s="1014"/>
      <c r="P120" s="1015"/>
      <c r="Q120" s="399"/>
      <c r="R120" s="400" t="s">
        <v>266</v>
      </c>
      <c r="S120" s="25" t="s">
        <v>31</v>
      </c>
      <c r="T120" s="932">
        <f t="shared" si="13"/>
        <v>1</v>
      </c>
      <c r="U120" s="932"/>
      <c r="V120" s="932"/>
      <c r="W120" s="401">
        <v>0</v>
      </c>
      <c r="X120" s="402">
        <v>0</v>
      </c>
      <c r="Y120" s="403">
        <f t="shared" si="14"/>
        <v>1</v>
      </c>
      <c r="Z120" s="404">
        <f t="shared" si="15"/>
        <v>5</v>
      </c>
      <c r="AA120" s="372"/>
      <c r="AC120" s="465" t="s">
        <v>416</v>
      </c>
      <c r="AD120" s="487" t="s">
        <v>417</v>
      </c>
      <c r="AE120" s="380">
        <f t="shared" si="9"/>
        <v>0</v>
      </c>
      <c r="AF120" s="381" t="str">
        <f t="shared" si="10"/>
        <v/>
      </c>
      <c r="AH120" s="356"/>
      <c r="AI120" s="899" t="s">
        <v>418</v>
      </c>
      <c r="AJ120" s="900"/>
      <c r="AK120" s="900"/>
      <c r="AL120" s="900"/>
      <c r="AM120" s="900"/>
      <c r="AN120" s="488" t="s">
        <v>419</v>
      </c>
      <c r="AO120" s="366">
        <f t="shared" si="0"/>
        <v>0</v>
      </c>
      <c r="AP120" s="367"/>
      <c r="AQ120" s="356"/>
      <c r="AR120" s="914" t="s">
        <v>420</v>
      </c>
      <c r="AS120" s="915"/>
      <c r="AT120" s="915"/>
      <c r="AU120" s="915"/>
      <c r="AV120" s="915"/>
      <c r="AW120" s="489" t="s">
        <v>421</v>
      </c>
      <c r="AX120" s="366">
        <f t="shared" si="1"/>
        <v>0</v>
      </c>
      <c r="AY120" s="375"/>
      <c r="AZ120" s="356"/>
      <c r="BA120" s="359"/>
    </row>
    <row r="121" spans="1:58" ht="18.75" thickBot="1">
      <c r="A121" s="1013" t="s">
        <v>27</v>
      </c>
      <c r="B121" s="1014"/>
      <c r="C121" s="1015"/>
      <c r="D121" s="399"/>
      <c r="E121" s="400"/>
      <c r="F121" s="26" t="s">
        <v>24</v>
      </c>
      <c r="G121" s="929">
        <f t="shared" si="11"/>
        <v>1</v>
      </c>
      <c r="H121" s="930"/>
      <c r="I121" s="931"/>
      <c r="J121" s="401">
        <v>0</v>
      </c>
      <c r="K121" s="402">
        <v>0</v>
      </c>
      <c r="L121" s="403">
        <f t="shared" si="12"/>
        <v>1</v>
      </c>
      <c r="M121" s="372"/>
      <c r="N121" s="1013" t="s">
        <v>27</v>
      </c>
      <c r="O121" s="1014"/>
      <c r="P121" s="1015"/>
      <c r="Q121" s="399"/>
      <c r="R121" s="400"/>
      <c r="S121" s="26" t="s">
        <v>24</v>
      </c>
      <c r="T121" s="932">
        <f t="shared" si="13"/>
        <v>0</v>
      </c>
      <c r="U121" s="932"/>
      <c r="V121" s="932"/>
      <c r="W121" s="401">
        <v>0</v>
      </c>
      <c r="X121" s="402">
        <v>0</v>
      </c>
      <c r="Y121" s="403">
        <f t="shared" si="14"/>
        <v>0</v>
      </c>
      <c r="Z121" s="404">
        <f t="shared" si="15"/>
        <v>1</v>
      </c>
      <c r="AA121" s="372"/>
      <c r="AC121" s="465" t="s">
        <v>422</v>
      </c>
      <c r="AD121" s="490" t="s">
        <v>422</v>
      </c>
      <c r="AE121" s="380">
        <f t="shared" si="9"/>
        <v>0</v>
      </c>
      <c r="AF121" s="381" t="str">
        <f t="shared" si="10"/>
        <v/>
      </c>
      <c r="AH121" s="356"/>
      <c r="AI121" s="899" t="s">
        <v>423</v>
      </c>
      <c r="AJ121" s="900"/>
      <c r="AK121" s="900"/>
      <c r="AL121" s="900"/>
      <c r="AM121" s="900"/>
      <c r="AN121" s="491" t="s">
        <v>424</v>
      </c>
      <c r="AO121" s="366">
        <f t="shared" si="0"/>
        <v>0</v>
      </c>
      <c r="AP121" s="367"/>
      <c r="AQ121" s="356"/>
      <c r="AR121" s="914" t="s">
        <v>425</v>
      </c>
      <c r="AS121" s="915"/>
      <c r="AT121" s="915"/>
      <c r="AU121" s="915"/>
      <c r="AV121" s="915"/>
      <c r="AW121" s="492" t="s">
        <v>426</v>
      </c>
      <c r="AX121" s="366">
        <f t="shared" si="1"/>
        <v>0</v>
      </c>
      <c r="AY121" s="493"/>
      <c r="AZ121" s="356"/>
      <c r="BA121" s="359"/>
    </row>
    <row r="122" spans="1:58" ht="18">
      <c r="A122" s="1013" t="s">
        <v>114</v>
      </c>
      <c r="B122" s="1014"/>
      <c r="C122" s="1015"/>
      <c r="D122" s="399"/>
      <c r="E122" s="400"/>
      <c r="F122" s="27" t="s">
        <v>113</v>
      </c>
      <c r="G122" s="929">
        <f t="shared" si="11"/>
        <v>0</v>
      </c>
      <c r="H122" s="930"/>
      <c r="I122" s="931"/>
      <c r="J122" s="401">
        <v>0</v>
      </c>
      <c r="K122" s="402">
        <v>0</v>
      </c>
      <c r="L122" s="403">
        <f t="shared" si="12"/>
        <v>0</v>
      </c>
      <c r="M122" s="372"/>
      <c r="N122" s="1013" t="s">
        <v>114</v>
      </c>
      <c r="O122" s="1014"/>
      <c r="P122" s="1015"/>
      <c r="Q122" s="399"/>
      <c r="R122" s="400"/>
      <c r="S122" s="27" t="s">
        <v>113</v>
      </c>
      <c r="T122" s="932">
        <f t="shared" si="13"/>
        <v>0</v>
      </c>
      <c r="U122" s="932"/>
      <c r="V122" s="932"/>
      <c r="W122" s="401">
        <v>0</v>
      </c>
      <c r="X122" s="402">
        <v>0</v>
      </c>
      <c r="Y122" s="403">
        <f t="shared" si="14"/>
        <v>0</v>
      </c>
      <c r="Z122" s="404">
        <f t="shared" si="15"/>
        <v>0</v>
      </c>
      <c r="AA122" s="372"/>
      <c r="AC122" s="465" t="s">
        <v>427</v>
      </c>
      <c r="AD122" s="494" t="s">
        <v>428</v>
      </c>
      <c r="AE122" s="380">
        <f t="shared" si="9"/>
        <v>0</v>
      </c>
      <c r="AF122" s="381" t="str">
        <f t="shared" si="10"/>
        <v/>
      </c>
      <c r="AH122" s="356"/>
      <c r="AI122" s="899" t="s">
        <v>429</v>
      </c>
      <c r="AJ122" s="900"/>
      <c r="AK122" s="900"/>
      <c r="AL122" s="900"/>
      <c r="AM122" s="900"/>
      <c r="AN122" s="495" t="s">
        <v>430</v>
      </c>
      <c r="AO122" s="366">
        <f t="shared" si="0"/>
        <v>0</v>
      </c>
      <c r="AP122" s="367"/>
      <c r="AQ122" s="356"/>
      <c r="AR122" s="914" t="s">
        <v>431</v>
      </c>
      <c r="AS122" s="915"/>
      <c r="AT122" s="915"/>
      <c r="AU122" s="915"/>
      <c r="AV122" s="915"/>
      <c r="AW122" s="496" t="s">
        <v>432</v>
      </c>
      <c r="AX122" s="366">
        <f t="shared" si="1"/>
        <v>0</v>
      </c>
      <c r="AY122" s="493"/>
      <c r="AZ122" s="356"/>
      <c r="BA122" s="359"/>
    </row>
    <row r="123" spans="1:58" ht="18.75" thickBot="1">
      <c r="A123" s="1013" t="s">
        <v>112</v>
      </c>
      <c r="B123" s="1014"/>
      <c r="C123" s="1015"/>
      <c r="D123" s="399"/>
      <c r="E123" s="400"/>
      <c r="F123" s="497" t="s">
        <v>111</v>
      </c>
      <c r="G123" s="929">
        <f t="shared" si="11"/>
        <v>0</v>
      </c>
      <c r="H123" s="930"/>
      <c r="I123" s="931"/>
      <c r="J123" s="401">
        <v>0</v>
      </c>
      <c r="K123" s="402">
        <v>0</v>
      </c>
      <c r="L123" s="403">
        <f t="shared" si="12"/>
        <v>0</v>
      </c>
      <c r="M123" s="372"/>
      <c r="N123" s="1013" t="s">
        <v>112</v>
      </c>
      <c r="O123" s="1014"/>
      <c r="P123" s="1015"/>
      <c r="Q123" s="399"/>
      <c r="R123" s="400"/>
      <c r="S123" s="28" t="s">
        <v>111</v>
      </c>
      <c r="T123" s="932">
        <f t="shared" si="13"/>
        <v>0</v>
      </c>
      <c r="U123" s="932"/>
      <c r="V123" s="932"/>
      <c r="W123" s="401">
        <v>0</v>
      </c>
      <c r="X123" s="402">
        <v>0</v>
      </c>
      <c r="Y123" s="403">
        <f t="shared" si="14"/>
        <v>0</v>
      </c>
      <c r="Z123" s="404">
        <f t="shared" si="15"/>
        <v>0</v>
      </c>
      <c r="AA123" s="372"/>
      <c r="AC123" s="465" t="s">
        <v>433</v>
      </c>
      <c r="AD123" s="498" t="s">
        <v>434</v>
      </c>
      <c r="AE123" s="380">
        <f t="shared" si="9"/>
        <v>0</v>
      </c>
      <c r="AF123" s="381" t="str">
        <f t="shared" si="10"/>
        <v/>
      </c>
      <c r="AH123" s="356"/>
      <c r="AI123" s="899" t="s">
        <v>435</v>
      </c>
      <c r="AJ123" s="900"/>
      <c r="AK123" s="900"/>
      <c r="AL123" s="900"/>
      <c r="AM123" s="900"/>
      <c r="AN123" s="407" t="s">
        <v>436</v>
      </c>
      <c r="AO123" s="366">
        <f t="shared" si="0"/>
        <v>0</v>
      </c>
      <c r="AP123" s="367"/>
      <c r="AQ123" s="356"/>
      <c r="AR123" s="914" t="s">
        <v>437</v>
      </c>
      <c r="AS123" s="915"/>
      <c r="AT123" s="915"/>
      <c r="AU123" s="915"/>
      <c r="AV123" s="915"/>
      <c r="AW123" s="499" t="s">
        <v>438</v>
      </c>
      <c r="AX123" s="366">
        <f t="shared" si="1"/>
        <v>0</v>
      </c>
      <c r="AY123" s="375"/>
      <c r="AZ123" s="356"/>
      <c r="BA123" s="359"/>
    </row>
    <row r="124" spans="1:58" ht="18">
      <c r="A124" s="1013" t="s">
        <v>439</v>
      </c>
      <c r="B124" s="1014"/>
      <c r="C124" s="1015"/>
      <c r="D124" s="399"/>
      <c r="E124" s="400"/>
      <c r="F124" s="500" t="s">
        <v>440</v>
      </c>
      <c r="G124" s="929">
        <f t="shared" si="11"/>
        <v>0</v>
      </c>
      <c r="H124" s="930"/>
      <c r="I124" s="931"/>
      <c r="J124" s="501"/>
      <c r="K124" s="502"/>
      <c r="L124" s="403"/>
      <c r="M124" s="372"/>
      <c r="N124" s="1013" t="s">
        <v>439</v>
      </c>
      <c r="O124" s="1014"/>
      <c r="P124" s="1015"/>
      <c r="Q124" s="399"/>
      <c r="R124" s="400"/>
      <c r="S124" s="500" t="s">
        <v>440</v>
      </c>
      <c r="T124" s="932">
        <f t="shared" si="13"/>
        <v>0</v>
      </c>
      <c r="U124" s="932"/>
      <c r="V124" s="932"/>
      <c r="W124" s="401">
        <v>0</v>
      </c>
      <c r="X124" s="402">
        <v>0</v>
      </c>
      <c r="Y124" s="403">
        <f t="shared" si="14"/>
        <v>0</v>
      </c>
      <c r="Z124" s="404">
        <f t="shared" si="15"/>
        <v>0</v>
      </c>
      <c r="AA124" s="372"/>
      <c r="AC124" s="465" t="s">
        <v>441</v>
      </c>
      <c r="AD124" s="503" t="s">
        <v>441</v>
      </c>
      <c r="AE124" s="380">
        <f t="shared" si="9"/>
        <v>0</v>
      </c>
      <c r="AF124" s="381" t="str">
        <f t="shared" si="10"/>
        <v/>
      </c>
      <c r="AH124" s="356"/>
      <c r="AI124" s="899" t="s">
        <v>442</v>
      </c>
      <c r="AJ124" s="900"/>
      <c r="AK124" s="900"/>
      <c r="AL124" s="900"/>
      <c r="AM124" s="900"/>
      <c r="AN124" s="488" t="s">
        <v>443</v>
      </c>
      <c r="AO124" s="366">
        <f t="shared" si="0"/>
        <v>0</v>
      </c>
      <c r="AP124" s="367"/>
      <c r="AQ124" s="356"/>
      <c r="AR124" s="914" t="s">
        <v>444</v>
      </c>
      <c r="AS124" s="915"/>
      <c r="AT124" s="915"/>
      <c r="AU124" s="915"/>
      <c r="AV124" s="915"/>
      <c r="AW124" s="504" t="s">
        <v>445</v>
      </c>
      <c r="AX124" s="366">
        <f t="shared" si="1"/>
        <v>0</v>
      </c>
      <c r="AY124" s="375"/>
      <c r="AZ124" s="356"/>
      <c r="BA124" s="359"/>
      <c r="BC124" s="356"/>
      <c r="BD124" s="356"/>
      <c r="BE124" s="356"/>
      <c r="BF124" s="356"/>
    </row>
    <row r="125" spans="1:58" ht="18.75" thickBot="1">
      <c r="A125" s="1013" t="s">
        <v>42</v>
      </c>
      <c r="B125" s="1014"/>
      <c r="C125" s="1015"/>
      <c r="D125" s="399"/>
      <c r="E125" s="400"/>
      <c r="F125" s="505" t="s">
        <v>42</v>
      </c>
      <c r="G125" s="929">
        <f t="shared" si="11"/>
        <v>0</v>
      </c>
      <c r="H125" s="930"/>
      <c r="I125" s="931"/>
      <c r="J125" s="401">
        <v>0</v>
      </c>
      <c r="K125" s="402">
        <v>0</v>
      </c>
      <c r="L125" s="403">
        <f t="shared" si="12"/>
        <v>0</v>
      </c>
      <c r="M125" s="372"/>
      <c r="N125" s="1013" t="s">
        <v>42</v>
      </c>
      <c r="O125" s="1014"/>
      <c r="P125" s="1015"/>
      <c r="Q125" s="399"/>
      <c r="R125" s="400"/>
      <c r="S125" s="29" t="s">
        <v>42</v>
      </c>
      <c r="T125" s="932">
        <f t="shared" si="13"/>
        <v>0</v>
      </c>
      <c r="U125" s="932"/>
      <c r="V125" s="932"/>
      <c r="W125" s="401">
        <v>0</v>
      </c>
      <c r="X125" s="402">
        <v>0</v>
      </c>
      <c r="Y125" s="403">
        <f t="shared" si="14"/>
        <v>0</v>
      </c>
      <c r="Z125" s="404">
        <f t="shared" si="15"/>
        <v>0</v>
      </c>
      <c r="AA125" s="372"/>
      <c r="AC125" s="465" t="s">
        <v>446</v>
      </c>
      <c r="AD125" s="365" t="s">
        <v>447</v>
      </c>
      <c r="AE125" s="380">
        <f t="shared" si="9"/>
        <v>0</v>
      </c>
      <c r="AF125" s="381" t="str">
        <f t="shared" si="10"/>
        <v/>
      </c>
      <c r="AH125" s="356"/>
      <c r="AI125" s="899" t="s">
        <v>448</v>
      </c>
      <c r="AJ125" s="900"/>
      <c r="AK125" s="900"/>
      <c r="AL125" s="900"/>
      <c r="AM125" s="900"/>
      <c r="AN125" s="166" t="s">
        <v>147</v>
      </c>
      <c r="AO125" s="366">
        <f t="shared" si="0"/>
        <v>2</v>
      </c>
      <c r="AP125" s="367"/>
      <c r="AQ125" s="356"/>
      <c r="AR125" s="368" t="s">
        <v>449</v>
      </c>
      <c r="AS125" s="369"/>
      <c r="AT125" s="369"/>
      <c r="AU125" s="369"/>
      <c r="AV125" s="369"/>
      <c r="AW125" s="506" t="s">
        <v>450</v>
      </c>
      <c r="AX125" s="366">
        <f t="shared" si="1"/>
        <v>0</v>
      </c>
      <c r="AY125" s="493"/>
      <c r="AZ125" s="356"/>
      <c r="BA125" s="359"/>
      <c r="BB125" s="356"/>
      <c r="BC125" s="356"/>
      <c r="BD125" s="356"/>
      <c r="BE125" s="356"/>
      <c r="BF125" s="356"/>
    </row>
    <row r="126" spans="1:58" ht="18">
      <c r="A126" s="1013" t="s">
        <v>451</v>
      </c>
      <c r="B126" s="1014"/>
      <c r="C126" s="1015"/>
      <c r="D126" s="399"/>
      <c r="E126" s="400"/>
      <c r="F126" s="507" t="s">
        <v>452</v>
      </c>
      <c r="G126" s="929">
        <f t="shared" si="11"/>
        <v>0</v>
      </c>
      <c r="H126" s="930"/>
      <c r="I126" s="931"/>
      <c r="J126" s="401">
        <v>0</v>
      </c>
      <c r="K126" s="402">
        <v>0</v>
      </c>
      <c r="L126" s="403">
        <f t="shared" si="12"/>
        <v>0</v>
      </c>
      <c r="M126" s="372"/>
      <c r="N126" s="1013" t="s">
        <v>451</v>
      </c>
      <c r="O126" s="1014"/>
      <c r="P126" s="1015"/>
      <c r="Q126" s="399"/>
      <c r="R126" s="400"/>
      <c r="S126" s="507" t="s">
        <v>452</v>
      </c>
      <c r="T126" s="932">
        <f t="shared" si="13"/>
        <v>0</v>
      </c>
      <c r="U126" s="932"/>
      <c r="V126" s="932"/>
      <c r="W126" s="401">
        <v>0</v>
      </c>
      <c r="X126" s="402">
        <v>0</v>
      </c>
      <c r="Y126" s="403">
        <f t="shared" si="14"/>
        <v>0</v>
      </c>
      <c r="Z126" s="404">
        <f t="shared" si="15"/>
        <v>0</v>
      </c>
      <c r="AA126" s="372"/>
      <c r="AC126" s="465" t="s">
        <v>453</v>
      </c>
      <c r="AD126" s="508" t="s">
        <v>164</v>
      </c>
      <c r="AE126" s="380">
        <f t="shared" si="9"/>
        <v>6</v>
      </c>
      <c r="AF126" s="381" t="str">
        <f t="shared" si="10"/>
        <v/>
      </c>
      <c r="AH126" s="356"/>
      <c r="AI126" s="899" t="s">
        <v>454</v>
      </c>
      <c r="AJ126" s="900"/>
      <c r="AK126" s="900"/>
      <c r="AL126" s="900"/>
      <c r="AM126" s="900"/>
      <c r="AN126" s="488" t="s">
        <v>455</v>
      </c>
      <c r="AO126" s="366">
        <f t="shared" si="0"/>
        <v>0</v>
      </c>
      <c r="AP126" s="367"/>
      <c r="AQ126" s="356"/>
      <c r="AR126" s="368" t="s">
        <v>456</v>
      </c>
      <c r="AS126" s="369"/>
      <c r="AT126" s="369"/>
      <c r="AU126" s="369"/>
      <c r="AV126" s="369"/>
      <c r="AW126" s="440" t="s">
        <v>457</v>
      </c>
      <c r="AX126" s="366">
        <f t="shared" si="1"/>
        <v>0</v>
      </c>
      <c r="AY126" s="493"/>
      <c r="AZ126" s="356"/>
      <c r="BA126" s="359"/>
      <c r="BB126" s="356"/>
      <c r="BC126" s="356"/>
      <c r="BD126" s="356"/>
      <c r="BE126" s="356"/>
      <c r="BF126" s="356"/>
    </row>
    <row r="127" spans="1:58" ht="18.75" thickBot="1">
      <c r="A127" s="981" t="s">
        <v>91</v>
      </c>
      <c r="B127" s="982"/>
      <c r="C127" s="983"/>
      <c r="D127" s="399"/>
      <c r="E127" s="400" t="s">
        <v>266</v>
      </c>
      <c r="F127" s="30" t="s">
        <v>90</v>
      </c>
      <c r="G127" s="929">
        <f t="shared" si="11"/>
        <v>0</v>
      </c>
      <c r="H127" s="930"/>
      <c r="I127" s="931"/>
      <c r="J127" s="401">
        <v>0</v>
      </c>
      <c r="K127" s="402">
        <v>0</v>
      </c>
      <c r="L127" s="403">
        <f t="shared" si="12"/>
        <v>0</v>
      </c>
      <c r="M127" s="372"/>
      <c r="N127" s="981" t="s">
        <v>91</v>
      </c>
      <c r="O127" s="982"/>
      <c r="P127" s="983"/>
      <c r="Q127" s="399"/>
      <c r="R127" s="400" t="s">
        <v>266</v>
      </c>
      <c r="S127" s="30" t="s">
        <v>90</v>
      </c>
      <c r="T127" s="932">
        <f t="shared" si="13"/>
        <v>0</v>
      </c>
      <c r="U127" s="932"/>
      <c r="V127" s="932"/>
      <c r="W127" s="401">
        <v>0</v>
      </c>
      <c r="X127" s="402">
        <v>0</v>
      </c>
      <c r="Y127" s="403">
        <f t="shared" si="14"/>
        <v>0</v>
      </c>
      <c r="Z127" s="404">
        <f t="shared" si="15"/>
        <v>0</v>
      </c>
      <c r="AA127" s="372"/>
      <c r="AC127" s="465" t="s">
        <v>458</v>
      </c>
      <c r="AD127" s="470" t="s">
        <v>459</v>
      </c>
      <c r="AE127" s="380">
        <f t="shared" si="9"/>
        <v>0</v>
      </c>
      <c r="AF127" s="381" t="str">
        <f t="shared" si="10"/>
        <v/>
      </c>
      <c r="AH127" s="356"/>
      <c r="AI127" s="899" t="s">
        <v>460</v>
      </c>
      <c r="AJ127" s="900"/>
      <c r="AK127" s="900"/>
      <c r="AL127" s="900"/>
      <c r="AM127" s="900"/>
      <c r="AN127" s="509" t="s">
        <v>461</v>
      </c>
      <c r="AO127" s="366">
        <f t="shared" si="0"/>
        <v>0</v>
      </c>
      <c r="AP127" s="367"/>
      <c r="AQ127" s="356"/>
      <c r="AR127" s="951" t="s">
        <v>462</v>
      </c>
      <c r="AS127" s="952"/>
      <c r="AT127" s="952"/>
      <c r="AU127" s="952"/>
      <c r="AV127" s="1023"/>
      <c r="AW127" s="510" t="s">
        <v>463</v>
      </c>
      <c r="AX127" s="366">
        <f t="shared" si="1"/>
        <v>0</v>
      </c>
      <c r="AY127" s="375"/>
      <c r="AZ127" s="356"/>
      <c r="BA127" s="359"/>
      <c r="BB127" s="356"/>
      <c r="BC127" s="356"/>
      <c r="BD127" s="356"/>
      <c r="BE127" s="356"/>
      <c r="BF127" s="356"/>
    </row>
    <row r="128" spans="1:58" ht="18.75" thickBot="1">
      <c r="A128" s="1013" t="s">
        <v>93</v>
      </c>
      <c r="B128" s="1014"/>
      <c r="C128" s="1015"/>
      <c r="D128" s="399"/>
      <c r="E128" s="400" t="s">
        <v>266</v>
      </c>
      <c r="F128" s="31" t="s">
        <v>92</v>
      </c>
      <c r="G128" s="929">
        <f t="shared" si="11"/>
        <v>0</v>
      </c>
      <c r="H128" s="930"/>
      <c r="I128" s="931"/>
      <c r="J128" s="401">
        <v>0</v>
      </c>
      <c r="K128" s="402">
        <v>0</v>
      </c>
      <c r="L128" s="403">
        <f t="shared" si="12"/>
        <v>0</v>
      </c>
      <c r="M128" s="372"/>
      <c r="N128" s="1013" t="s">
        <v>93</v>
      </c>
      <c r="O128" s="1014"/>
      <c r="P128" s="1015"/>
      <c r="Q128" s="399"/>
      <c r="R128" s="400" t="s">
        <v>266</v>
      </c>
      <c r="S128" s="31" t="s">
        <v>92</v>
      </c>
      <c r="T128" s="932">
        <f t="shared" si="13"/>
        <v>0</v>
      </c>
      <c r="U128" s="932"/>
      <c r="V128" s="932"/>
      <c r="W128" s="401">
        <v>0</v>
      </c>
      <c r="X128" s="402">
        <v>0</v>
      </c>
      <c r="Y128" s="403">
        <f t="shared" si="14"/>
        <v>0</v>
      </c>
      <c r="Z128" s="404">
        <f t="shared" si="15"/>
        <v>0</v>
      </c>
      <c r="AA128" s="372"/>
      <c r="AC128" s="465" t="s">
        <v>464</v>
      </c>
      <c r="AD128" s="511" t="s">
        <v>465</v>
      </c>
      <c r="AE128" s="380">
        <f t="shared" si="9"/>
        <v>0</v>
      </c>
      <c r="AF128" s="381" t="str">
        <f t="shared" si="10"/>
        <v/>
      </c>
      <c r="AH128" s="356"/>
      <c r="AI128" s="899" t="s">
        <v>466</v>
      </c>
      <c r="AJ128" s="900"/>
      <c r="AK128" s="900"/>
      <c r="AL128" s="900"/>
      <c r="AM128" s="900"/>
      <c r="AN128" s="488" t="s">
        <v>467</v>
      </c>
      <c r="AO128" s="366">
        <f t="shared" si="0"/>
        <v>0</v>
      </c>
      <c r="AP128" s="367"/>
      <c r="AQ128" s="356"/>
      <c r="AR128" s="917" t="s">
        <v>468</v>
      </c>
      <c r="AS128" s="918"/>
      <c r="AT128" s="918"/>
      <c r="AU128" s="918"/>
      <c r="AV128" s="918"/>
      <c r="AW128" s="512" t="s">
        <v>469</v>
      </c>
      <c r="AX128" s="366">
        <f t="shared" si="1"/>
        <v>0</v>
      </c>
      <c r="AY128" s="513"/>
      <c r="AZ128" s="356"/>
      <c r="BA128" s="359"/>
      <c r="BB128" s="356"/>
      <c r="BC128" s="356"/>
      <c r="BD128" s="356"/>
      <c r="BE128" s="356"/>
      <c r="BF128" s="356"/>
    </row>
    <row r="129" spans="1:58" ht="18.75" thickBot="1">
      <c r="A129" s="1013" t="s">
        <v>116</v>
      </c>
      <c r="B129" s="1014"/>
      <c r="C129" s="1015"/>
      <c r="D129" s="399" t="s">
        <v>6</v>
      </c>
      <c r="E129" s="400" t="s">
        <v>266</v>
      </c>
      <c r="F129" s="32" t="s">
        <v>117</v>
      </c>
      <c r="G129" s="929">
        <f t="shared" si="11"/>
        <v>0</v>
      </c>
      <c r="H129" s="930"/>
      <c r="I129" s="931"/>
      <c r="J129" s="401">
        <v>0</v>
      </c>
      <c r="K129" s="402">
        <v>0</v>
      </c>
      <c r="L129" s="403">
        <f t="shared" si="12"/>
        <v>0</v>
      </c>
      <c r="M129" s="372"/>
      <c r="N129" s="1013" t="s">
        <v>116</v>
      </c>
      <c r="O129" s="1014"/>
      <c r="P129" s="1015"/>
      <c r="Q129" s="399" t="s">
        <v>6</v>
      </c>
      <c r="R129" s="400" t="s">
        <v>266</v>
      </c>
      <c r="S129" s="32" t="s">
        <v>117</v>
      </c>
      <c r="T129" s="932">
        <f t="shared" si="13"/>
        <v>0</v>
      </c>
      <c r="U129" s="932"/>
      <c r="V129" s="932"/>
      <c r="W129" s="401">
        <v>0</v>
      </c>
      <c r="X129" s="402">
        <v>0</v>
      </c>
      <c r="Y129" s="403">
        <f t="shared" si="14"/>
        <v>0</v>
      </c>
      <c r="Z129" s="404">
        <f t="shared" si="15"/>
        <v>0</v>
      </c>
      <c r="AA129" s="372"/>
      <c r="AC129" s="465" t="s">
        <v>470</v>
      </c>
      <c r="AD129" s="432" t="s">
        <v>471</v>
      </c>
      <c r="AE129" s="380">
        <f t="shared" si="9"/>
        <v>0</v>
      </c>
      <c r="AF129" s="381" t="str">
        <f t="shared" si="10"/>
        <v/>
      </c>
      <c r="AH129" s="356"/>
      <c r="AI129" s="899" t="s">
        <v>472</v>
      </c>
      <c r="AJ129" s="900"/>
      <c r="AK129" s="900"/>
      <c r="AL129" s="900"/>
      <c r="AM129" s="900"/>
      <c r="AN129" s="514" t="s">
        <v>473</v>
      </c>
      <c r="AO129" s="366">
        <f t="shared" si="0"/>
        <v>0</v>
      </c>
      <c r="AP129" s="367"/>
      <c r="AQ129" s="356"/>
      <c r="AR129" s="954" t="s">
        <v>474</v>
      </c>
      <c r="AS129" s="955"/>
      <c r="AT129" s="955"/>
      <c r="AU129" s="955"/>
      <c r="AV129" s="956"/>
      <c r="AW129" s="515"/>
      <c r="AX129" s="516">
        <f>SUM(AX88:AX128)</f>
        <v>0</v>
      </c>
      <c r="AY129" s="356"/>
      <c r="AZ129" s="356"/>
      <c r="BA129" s="359"/>
      <c r="BB129" s="356"/>
      <c r="BC129" s="356"/>
      <c r="BD129" s="356"/>
      <c r="BE129" s="356"/>
      <c r="BF129" s="356"/>
    </row>
    <row r="130" spans="1:58" ht="18.75" thickBot="1">
      <c r="A130" s="1013" t="s">
        <v>33</v>
      </c>
      <c r="B130" s="1014"/>
      <c r="C130" s="1015"/>
      <c r="D130" s="399"/>
      <c r="E130" s="400" t="s">
        <v>266</v>
      </c>
      <c r="F130" s="33" t="s">
        <v>34</v>
      </c>
      <c r="G130" s="929">
        <f t="shared" si="11"/>
        <v>0</v>
      </c>
      <c r="H130" s="930"/>
      <c r="I130" s="931"/>
      <c r="J130" s="401">
        <v>0</v>
      </c>
      <c r="K130" s="402">
        <v>0</v>
      </c>
      <c r="L130" s="403">
        <f t="shared" si="12"/>
        <v>0</v>
      </c>
      <c r="M130" s="372"/>
      <c r="N130" s="1013" t="s">
        <v>33</v>
      </c>
      <c r="O130" s="1014"/>
      <c r="P130" s="1015"/>
      <c r="Q130" s="399"/>
      <c r="R130" s="400" t="s">
        <v>266</v>
      </c>
      <c r="S130" s="33" t="s">
        <v>34</v>
      </c>
      <c r="T130" s="932">
        <f t="shared" si="13"/>
        <v>1</v>
      </c>
      <c r="U130" s="932"/>
      <c r="V130" s="932"/>
      <c r="W130" s="401">
        <v>0</v>
      </c>
      <c r="X130" s="402">
        <v>0</v>
      </c>
      <c r="Y130" s="403">
        <f t="shared" si="14"/>
        <v>1</v>
      </c>
      <c r="Z130" s="404">
        <f t="shared" si="15"/>
        <v>1</v>
      </c>
      <c r="AA130" s="372"/>
      <c r="AC130" s="465" t="s">
        <v>307</v>
      </c>
      <c r="AD130" s="517" t="s">
        <v>475</v>
      </c>
      <c r="AE130" s="380">
        <f t="shared" si="9"/>
        <v>0</v>
      </c>
      <c r="AF130" s="381" t="str">
        <f t="shared" si="10"/>
        <v/>
      </c>
      <c r="AH130" s="356"/>
      <c r="AI130" s="899" t="s">
        <v>476</v>
      </c>
      <c r="AJ130" s="900"/>
      <c r="AK130" s="900"/>
      <c r="AL130" s="900"/>
      <c r="AM130" s="900"/>
      <c r="AN130" s="518" t="s">
        <v>477</v>
      </c>
      <c r="AO130" s="366">
        <f t="shared" si="0"/>
        <v>0</v>
      </c>
      <c r="AP130" s="367"/>
      <c r="AQ130" s="356"/>
      <c r="AR130" s="356"/>
      <c r="AS130" s="356"/>
      <c r="AT130" s="356"/>
      <c r="AU130" s="356"/>
      <c r="AV130" s="356"/>
      <c r="AW130" s="356"/>
      <c r="AX130" s="356"/>
      <c r="AY130" s="356"/>
      <c r="AZ130" s="356"/>
      <c r="BA130" s="359"/>
      <c r="BB130" s="356"/>
      <c r="BC130" s="356"/>
      <c r="BD130" s="356"/>
      <c r="BE130" s="356"/>
      <c r="BF130" s="356"/>
    </row>
    <row r="131" spans="1:58" ht="18.75" thickBot="1">
      <c r="A131" s="1013" t="s">
        <v>95</v>
      </c>
      <c r="B131" s="1014"/>
      <c r="C131" s="1015"/>
      <c r="D131" s="399"/>
      <c r="E131" s="400" t="s">
        <v>266</v>
      </c>
      <c r="F131" s="34" t="s">
        <v>94</v>
      </c>
      <c r="G131" s="929">
        <f t="shared" si="11"/>
        <v>0</v>
      </c>
      <c r="H131" s="930"/>
      <c r="I131" s="931"/>
      <c r="J131" s="401">
        <v>0</v>
      </c>
      <c r="K131" s="402">
        <v>0</v>
      </c>
      <c r="L131" s="403">
        <f t="shared" si="12"/>
        <v>0</v>
      </c>
      <c r="M131" s="372"/>
      <c r="N131" s="1013" t="s">
        <v>95</v>
      </c>
      <c r="O131" s="1014"/>
      <c r="P131" s="1015"/>
      <c r="Q131" s="399"/>
      <c r="R131" s="400" t="s">
        <v>266</v>
      </c>
      <c r="S131" s="34" t="s">
        <v>94</v>
      </c>
      <c r="T131" s="932">
        <f t="shared" si="13"/>
        <v>0</v>
      </c>
      <c r="U131" s="932"/>
      <c r="V131" s="932"/>
      <c r="W131" s="401">
        <v>0</v>
      </c>
      <c r="X131" s="402">
        <v>0</v>
      </c>
      <c r="Y131" s="403">
        <f t="shared" si="14"/>
        <v>0</v>
      </c>
      <c r="Z131" s="404">
        <f t="shared" si="15"/>
        <v>0</v>
      </c>
      <c r="AA131" s="372"/>
      <c r="AC131" s="465" t="s">
        <v>478</v>
      </c>
      <c r="AD131" s="519" t="s">
        <v>479</v>
      </c>
      <c r="AE131" s="380">
        <f t="shared" si="9"/>
        <v>0</v>
      </c>
      <c r="AF131" s="381" t="str">
        <f t="shared" si="10"/>
        <v/>
      </c>
      <c r="AH131" s="356"/>
      <c r="AI131" s="899" t="s">
        <v>480</v>
      </c>
      <c r="AJ131" s="900"/>
      <c r="AK131" s="900"/>
      <c r="AL131" s="900"/>
      <c r="AM131" s="900"/>
      <c r="AN131" s="518" t="s">
        <v>481</v>
      </c>
      <c r="AO131" s="366">
        <f t="shared" si="0"/>
        <v>0</v>
      </c>
      <c r="AP131" s="367"/>
      <c r="AQ131" s="356"/>
      <c r="AR131" s="910" t="s">
        <v>267</v>
      </c>
      <c r="AS131" s="911"/>
      <c r="AT131" s="911"/>
      <c r="AU131" s="911"/>
      <c r="AV131" s="911"/>
      <c r="AW131" s="907"/>
      <c r="AX131" s="357" t="s">
        <v>198</v>
      </c>
      <c r="AY131" s="358"/>
      <c r="AZ131" s="356"/>
      <c r="BA131" s="359"/>
      <c r="BB131" s="356"/>
      <c r="BC131" s="356"/>
      <c r="BD131" s="356"/>
      <c r="BE131" s="356"/>
      <c r="BF131" s="356"/>
    </row>
    <row r="132" spans="1:58" ht="19.5" thickBot="1">
      <c r="A132" s="1013" t="s">
        <v>97</v>
      </c>
      <c r="B132" s="1014"/>
      <c r="C132" s="1015"/>
      <c r="D132" s="399"/>
      <c r="E132" s="400" t="s">
        <v>266</v>
      </c>
      <c r="F132" s="35" t="s">
        <v>96</v>
      </c>
      <c r="G132" s="929">
        <f t="shared" si="11"/>
        <v>0</v>
      </c>
      <c r="H132" s="930"/>
      <c r="I132" s="931"/>
      <c r="J132" s="401">
        <v>0</v>
      </c>
      <c r="K132" s="402">
        <v>0</v>
      </c>
      <c r="L132" s="403">
        <f t="shared" si="12"/>
        <v>0</v>
      </c>
      <c r="M132" s="372"/>
      <c r="N132" s="1013" t="s">
        <v>97</v>
      </c>
      <c r="O132" s="1014"/>
      <c r="P132" s="1015"/>
      <c r="Q132" s="399"/>
      <c r="R132" s="400" t="s">
        <v>266</v>
      </c>
      <c r="S132" s="35" t="s">
        <v>96</v>
      </c>
      <c r="T132" s="932">
        <f t="shared" si="13"/>
        <v>0</v>
      </c>
      <c r="U132" s="932"/>
      <c r="V132" s="932"/>
      <c r="W132" s="401">
        <v>0</v>
      </c>
      <c r="X132" s="402">
        <v>0</v>
      </c>
      <c r="Y132" s="403">
        <f t="shared" si="14"/>
        <v>0</v>
      </c>
      <c r="Z132" s="404">
        <f t="shared" si="15"/>
        <v>0</v>
      </c>
      <c r="AA132" s="372"/>
      <c r="AC132" s="520" t="s">
        <v>48</v>
      </c>
      <c r="AD132" s="521" t="s">
        <v>48</v>
      </c>
      <c r="AE132" s="380">
        <f t="shared" si="9"/>
        <v>56</v>
      </c>
      <c r="AF132" s="381" t="str">
        <f t="shared" si="10"/>
        <v/>
      </c>
      <c r="AH132" s="356"/>
      <c r="AI132" s="899" t="s">
        <v>482</v>
      </c>
      <c r="AJ132" s="900"/>
      <c r="AK132" s="900"/>
      <c r="AL132" s="900"/>
      <c r="AM132" s="900"/>
      <c r="AN132" s="522" t="s">
        <v>142</v>
      </c>
      <c r="AO132" s="366">
        <f t="shared" si="0"/>
        <v>4</v>
      </c>
      <c r="AP132" s="367"/>
      <c r="AQ132" s="356"/>
      <c r="AR132" s="957" t="s">
        <v>483</v>
      </c>
      <c r="AS132" s="958"/>
      <c r="AT132" s="958"/>
      <c r="AU132" s="958"/>
      <c r="AV132" s="958"/>
      <c r="AW132" s="523" t="s">
        <v>484</v>
      </c>
      <c r="AX132" s="366">
        <f t="shared" ref="AX132:AX185" si="16">COUNTIF($A$1:$GO$65,AW132)</f>
        <v>0</v>
      </c>
      <c r="AY132" s="524"/>
      <c r="AZ132" s="356"/>
      <c r="BA132" s="359"/>
      <c r="BB132" s="356"/>
    </row>
    <row r="133" spans="1:58" ht="18.75">
      <c r="A133" s="1013" t="s">
        <v>485</v>
      </c>
      <c r="B133" s="1014"/>
      <c r="C133" s="1015"/>
      <c r="D133" s="525"/>
      <c r="E133" s="478"/>
      <c r="F133" s="526" t="s">
        <v>486</v>
      </c>
      <c r="G133" s="929">
        <f t="shared" si="11"/>
        <v>0</v>
      </c>
      <c r="H133" s="930"/>
      <c r="I133" s="931"/>
      <c r="J133" s="401">
        <v>0</v>
      </c>
      <c r="K133" s="402">
        <v>0</v>
      </c>
      <c r="L133" s="403">
        <f t="shared" si="12"/>
        <v>0</v>
      </c>
      <c r="M133" s="372"/>
      <c r="N133" s="1013" t="s">
        <v>485</v>
      </c>
      <c r="O133" s="1014"/>
      <c r="P133" s="1015"/>
      <c r="Q133" s="527"/>
      <c r="R133" s="528"/>
      <c r="S133" s="526" t="s">
        <v>486</v>
      </c>
      <c r="T133" s="932">
        <f t="shared" si="13"/>
        <v>0</v>
      </c>
      <c r="U133" s="932"/>
      <c r="V133" s="932"/>
      <c r="W133" s="401">
        <v>0</v>
      </c>
      <c r="X133" s="402">
        <v>0</v>
      </c>
      <c r="Y133" s="403">
        <f t="shared" si="14"/>
        <v>0</v>
      </c>
      <c r="Z133" s="404">
        <f t="shared" si="15"/>
        <v>0</v>
      </c>
      <c r="AA133" s="372"/>
      <c r="AC133" s="465" t="s">
        <v>487</v>
      </c>
      <c r="AD133" s="273" t="s">
        <v>488</v>
      </c>
      <c r="AE133" s="380">
        <f t="shared" si="9"/>
        <v>0</v>
      </c>
      <c r="AF133" s="381" t="str">
        <f t="shared" si="10"/>
        <v/>
      </c>
      <c r="AH133" s="356"/>
      <c r="AI133" s="899" t="s">
        <v>489</v>
      </c>
      <c r="AJ133" s="900"/>
      <c r="AK133" s="900"/>
      <c r="AL133" s="900"/>
      <c r="AM133" s="900"/>
      <c r="AN133" s="165" t="s">
        <v>146</v>
      </c>
      <c r="AO133" s="366">
        <f t="shared" si="0"/>
        <v>2</v>
      </c>
      <c r="AP133" s="367"/>
      <c r="AQ133" s="356"/>
      <c r="AR133" s="957" t="s">
        <v>490</v>
      </c>
      <c r="AS133" s="958"/>
      <c r="AT133" s="958"/>
      <c r="AU133" s="958"/>
      <c r="AV133" s="958"/>
      <c r="AW133" s="529" t="s">
        <v>491</v>
      </c>
      <c r="AX133" s="366">
        <f t="shared" si="16"/>
        <v>0</v>
      </c>
      <c r="AY133" s="524"/>
      <c r="AZ133" s="356"/>
      <c r="BA133" s="359"/>
      <c r="BB133" s="356"/>
    </row>
    <row r="134" spans="1:58" ht="18">
      <c r="A134" s="975" t="s">
        <v>198</v>
      </c>
      <c r="B134" s="976"/>
      <c r="C134" s="976"/>
      <c r="D134" s="976"/>
      <c r="E134" s="976"/>
      <c r="F134" s="530"/>
      <c r="G134" s="1003">
        <f>SUM(G116:I133)</f>
        <v>6</v>
      </c>
      <c r="H134" s="1003"/>
      <c r="I134" s="1003"/>
      <c r="J134" s="462">
        <f>SUM(J116:J133)</f>
        <v>0</v>
      </c>
      <c r="K134" s="463">
        <f>SUM(K116:K133)</f>
        <v>0</v>
      </c>
      <c r="L134" s="403">
        <f>SUM(L116:L133)</f>
        <v>6</v>
      </c>
      <c r="M134" s="372"/>
      <c r="N134" s="1004" t="s">
        <v>198</v>
      </c>
      <c r="O134" s="1005"/>
      <c r="P134" s="1005"/>
      <c r="Q134" s="1005"/>
      <c r="R134" s="1005"/>
      <c r="S134" s="531"/>
      <c r="T134" s="1006">
        <f>SUM(T116:V133)</f>
        <v>2</v>
      </c>
      <c r="U134" s="1006"/>
      <c r="V134" s="1006"/>
      <c r="W134" s="462">
        <f>SUM(W116:W133)</f>
        <v>0</v>
      </c>
      <c r="X134" s="463">
        <f>SUM(X116:X133)</f>
        <v>0</v>
      </c>
      <c r="Y134" s="403">
        <f>SUM(Y116:Y133)</f>
        <v>2</v>
      </c>
      <c r="Z134" s="404">
        <f t="shared" si="15"/>
        <v>8</v>
      </c>
      <c r="AA134" s="372"/>
      <c r="AC134" s="465" t="s">
        <v>492</v>
      </c>
      <c r="AD134" s="532" t="s">
        <v>493</v>
      </c>
      <c r="AE134" s="380">
        <f t="shared" si="9"/>
        <v>0</v>
      </c>
      <c r="AF134" s="381" t="str">
        <f t="shared" si="10"/>
        <v/>
      </c>
      <c r="AH134" s="356"/>
      <c r="AI134" s="899" t="s">
        <v>494</v>
      </c>
      <c r="AJ134" s="900"/>
      <c r="AK134" s="900"/>
      <c r="AL134" s="900"/>
      <c r="AM134" s="900"/>
      <c r="AN134" s="533" t="s">
        <v>495</v>
      </c>
      <c r="AO134" s="366">
        <f t="shared" si="0"/>
        <v>0</v>
      </c>
      <c r="AP134" s="367"/>
      <c r="AQ134" s="356"/>
      <c r="AR134" s="957" t="s">
        <v>496</v>
      </c>
      <c r="AS134" s="958"/>
      <c r="AT134" s="958"/>
      <c r="AU134" s="958"/>
      <c r="AV134" s="958"/>
      <c r="AW134" s="529" t="s">
        <v>497</v>
      </c>
      <c r="AX134" s="366">
        <f t="shared" si="16"/>
        <v>0</v>
      </c>
      <c r="AY134" s="524"/>
      <c r="AZ134" s="356"/>
      <c r="BA134" s="359"/>
      <c r="BB134" s="356"/>
    </row>
    <row r="135" spans="1:58" ht="18.75">
      <c r="A135" s="1016" t="s">
        <v>498</v>
      </c>
      <c r="B135" s="1017"/>
      <c r="C135" s="1017"/>
      <c r="D135" s="1017"/>
      <c r="E135" s="1017"/>
      <c r="F135" s="1017"/>
      <c r="G135" s="1017"/>
      <c r="H135" s="1017"/>
      <c r="I135" s="1018"/>
      <c r="J135" s="394" t="s">
        <v>250</v>
      </c>
      <c r="K135" s="394" t="s">
        <v>251</v>
      </c>
      <c r="L135" s="394" t="s">
        <v>252</v>
      </c>
      <c r="M135" s="372"/>
      <c r="N135" s="1016" t="s">
        <v>498</v>
      </c>
      <c r="O135" s="1017"/>
      <c r="P135" s="1017"/>
      <c r="Q135" s="1017"/>
      <c r="R135" s="1017"/>
      <c r="S135" s="1017"/>
      <c r="T135" s="1017"/>
      <c r="U135" s="1017"/>
      <c r="V135" s="1018"/>
      <c r="W135" s="395" t="s">
        <v>250</v>
      </c>
      <c r="X135" s="395" t="s">
        <v>251</v>
      </c>
      <c r="Y135" s="395" t="s">
        <v>252</v>
      </c>
      <c r="Z135" s="469"/>
      <c r="AA135" s="372"/>
      <c r="AC135" s="465" t="s">
        <v>499</v>
      </c>
      <c r="AD135" s="534" t="s">
        <v>500</v>
      </c>
      <c r="AE135" s="380">
        <f t="shared" si="9"/>
        <v>0</v>
      </c>
      <c r="AF135" s="381" t="str">
        <f t="shared" si="10"/>
        <v/>
      </c>
      <c r="AH135" s="356"/>
      <c r="AI135" s="899" t="s">
        <v>501</v>
      </c>
      <c r="AJ135" s="900"/>
      <c r="AK135" s="900"/>
      <c r="AL135" s="900"/>
      <c r="AM135" s="900"/>
      <c r="AN135" s="488" t="s">
        <v>502</v>
      </c>
      <c r="AO135" s="366">
        <f t="shared" si="0"/>
        <v>0</v>
      </c>
      <c r="AP135" s="367"/>
      <c r="AQ135" s="356"/>
      <c r="AR135" s="957" t="s">
        <v>503</v>
      </c>
      <c r="AS135" s="958"/>
      <c r="AT135" s="958"/>
      <c r="AU135" s="958"/>
      <c r="AV135" s="958"/>
      <c r="AW135" s="535" t="s">
        <v>504</v>
      </c>
      <c r="AX135" s="366">
        <f t="shared" si="16"/>
        <v>0</v>
      </c>
      <c r="AY135" s="524"/>
      <c r="AZ135" s="356"/>
      <c r="BA135" s="359"/>
    </row>
    <row r="136" spans="1:58" ht="18.75" thickBot="1">
      <c r="A136" s="1019" t="s">
        <v>505</v>
      </c>
      <c r="B136" s="1020"/>
      <c r="C136" s="1021"/>
      <c r="D136" s="473"/>
      <c r="E136" s="474"/>
      <c r="F136" s="5" t="s">
        <v>506</v>
      </c>
      <c r="G136" s="1022">
        <f>COUNTIF($N$1:$BK$52,F136)</f>
        <v>0</v>
      </c>
      <c r="H136" s="989"/>
      <c r="I136" s="990"/>
      <c r="J136" s="401">
        <v>0</v>
      </c>
      <c r="K136" s="402">
        <v>0</v>
      </c>
      <c r="L136" s="403">
        <f t="shared" ref="L136:L137" si="17">G136-K136-J136</f>
        <v>0</v>
      </c>
      <c r="M136" s="372"/>
      <c r="N136" s="1019" t="s">
        <v>505</v>
      </c>
      <c r="O136" s="1020"/>
      <c r="P136" s="1021"/>
      <c r="Q136" s="473"/>
      <c r="R136" s="474"/>
      <c r="S136" s="5" t="s">
        <v>506</v>
      </c>
      <c r="T136" s="932">
        <f>COUNTIF($A$1:$M$22,S136)</f>
        <v>0</v>
      </c>
      <c r="U136" s="932"/>
      <c r="V136" s="932"/>
      <c r="W136" s="401">
        <v>0</v>
      </c>
      <c r="X136" s="402">
        <v>0</v>
      </c>
      <c r="Y136" s="403">
        <f t="shared" ref="Y136:Y137" si="18">T136-X136-W136</f>
        <v>0</v>
      </c>
      <c r="Z136" s="404">
        <f t="shared" ref="Z136:Z138" si="19">T136+G136</f>
        <v>0</v>
      </c>
      <c r="AA136" s="372"/>
      <c r="AC136" s="465" t="s">
        <v>507</v>
      </c>
      <c r="AD136" s="536" t="s">
        <v>508</v>
      </c>
      <c r="AE136" s="380">
        <f t="shared" si="9"/>
        <v>0</v>
      </c>
      <c r="AF136" s="381" t="str">
        <f t="shared" si="10"/>
        <v/>
      </c>
      <c r="AH136" s="356"/>
      <c r="AI136" s="899" t="s">
        <v>509</v>
      </c>
      <c r="AJ136" s="900"/>
      <c r="AK136" s="900"/>
      <c r="AL136" s="900"/>
      <c r="AM136" s="900"/>
      <c r="AN136" s="537" t="s">
        <v>510</v>
      </c>
      <c r="AO136" s="366">
        <f t="shared" si="0"/>
        <v>0</v>
      </c>
      <c r="AP136" s="367"/>
      <c r="AQ136" s="356"/>
      <c r="AR136" s="957" t="s">
        <v>511</v>
      </c>
      <c r="AS136" s="958"/>
      <c r="AT136" s="958"/>
      <c r="AU136" s="958"/>
      <c r="AV136" s="958"/>
      <c r="AW136" s="445" t="s">
        <v>170</v>
      </c>
      <c r="AX136" s="366">
        <f t="shared" si="16"/>
        <v>2</v>
      </c>
      <c r="AY136" s="524"/>
      <c r="AZ136" s="356"/>
      <c r="BA136" s="359"/>
    </row>
    <row r="137" spans="1:58" ht="19.5" thickBot="1">
      <c r="A137" s="1013" t="s">
        <v>512</v>
      </c>
      <c r="B137" s="1014"/>
      <c r="C137" s="1015"/>
      <c r="D137" s="399"/>
      <c r="E137" s="400"/>
      <c r="F137" s="25" t="s">
        <v>513</v>
      </c>
      <c r="G137" s="929">
        <f>COUNTIF($N$1:$BK$52,F137)</f>
        <v>0</v>
      </c>
      <c r="H137" s="930"/>
      <c r="I137" s="931"/>
      <c r="J137" s="401">
        <v>0</v>
      </c>
      <c r="K137" s="402">
        <v>0</v>
      </c>
      <c r="L137" s="403">
        <f t="shared" si="17"/>
        <v>0</v>
      </c>
      <c r="M137" s="372"/>
      <c r="N137" s="1013" t="s">
        <v>512</v>
      </c>
      <c r="O137" s="1014"/>
      <c r="P137" s="1015"/>
      <c r="Q137" s="399"/>
      <c r="R137" s="400"/>
      <c r="S137" s="25" t="s">
        <v>513</v>
      </c>
      <c r="T137" s="932">
        <f>COUNTIF($A$1:$M$22,S137)</f>
        <v>0</v>
      </c>
      <c r="U137" s="932"/>
      <c r="V137" s="932"/>
      <c r="W137" s="401">
        <v>0</v>
      </c>
      <c r="X137" s="402">
        <v>0</v>
      </c>
      <c r="Y137" s="403">
        <f t="shared" si="18"/>
        <v>0</v>
      </c>
      <c r="Z137" s="404">
        <f t="shared" si="19"/>
        <v>0</v>
      </c>
      <c r="AA137" s="372"/>
      <c r="AC137" s="465" t="s">
        <v>514</v>
      </c>
      <c r="AD137" s="538" t="s">
        <v>514</v>
      </c>
      <c r="AE137" s="380">
        <f t="shared" si="9"/>
        <v>0</v>
      </c>
      <c r="AF137" s="381" t="str">
        <f t="shared" si="10"/>
        <v/>
      </c>
      <c r="AH137" s="356"/>
      <c r="AI137" s="899" t="s">
        <v>515</v>
      </c>
      <c r="AJ137" s="900"/>
      <c r="AK137" s="900"/>
      <c r="AL137" s="900"/>
      <c r="AM137" s="900"/>
      <c r="AN137" s="539" t="s">
        <v>516</v>
      </c>
      <c r="AO137" s="366">
        <f t="shared" si="0"/>
        <v>0</v>
      </c>
      <c r="AP137" s="367"/>
      <c r="AQ137" s="356"/>
      <c r="AR137" s="957" t="s">
        <v>517</v>
      </c>
      <c r="AS137" s="958"/>
      <c r="AT137" s="958"/>
      <c r="AU137" s="958"/>
      <c r="AV137" s="958"/>
      <c r="AW137" s="445" t="s">
        <v>518</v>
      </c>
      <c r="AX137" s="366">
        <f t="shared" si="16"/>
        <v>0</v>
      </c>
      <c r="AY137" s="524"/>
      <c r="AZ137" s="356"/>
      <c r="BA137" s="359"/>
    </row>
    <row r="138" spans="1:58" ht="18.75">
      <c r="A138" s="975" t="s">
        <v>198</v>
      </c>
      <c r="B138" s="976"/>
      <c r="C138" s="976"/>
      <c r="D138" s="976"/>
      <c r="E138" s="976"/>
      <c r="F138" s="530"/>
      <c r="G138" s="1003">
        <f>SUM(G136:I137)</f>
        <v>0</v>
      </c>
      <c r="H138" s="1003"/>
      <c r="I138" s="1003"/>
      <c r="J138" s="462">
        <f>SUM(J136:J137)</f>
        <v>0</v>
      </c>
      <c r="K138" s="463">
        <f>SUM(K136:K137)</f>
        <v>0</v>
      </c>
      <c r="L138" s="403">
        <f>SUM(L136:L137)</f>
        <v>0</v>
      </c>
      <c r="M138" s="372"/>
      <c r="N138" s="1004" t="s">
        <v>198</v>
      </c>
      <c r="O138" s="1005"/>
      <c r="P138" s="1005"/>
      <c r="Q138" s="1005"/>
      <c r="R138" s="1005"/>
      <c r="S138" s="531"/>
      <c r="T138" s="1006">
        <f>SUM(T136:V137)</f>
        <v>0</v>
      </c>
      <c r="U138" s="1006"/>
      <c r="V138" s="1006"/>
      <c r="W138" s="462">
        <f>SUM(W136:W137)</f>
        <v>0</v>
      </c>
      <c r="X138" s="463">
        <f>SUM(X136:X137)</f>
        <v>0</v>
      </c>
      <c r="Y138" s="403">
        <f>SUM(Y136:Y137)</f>
        <v>0</v>
      </c>
      <c r="Z138" s="404">
        <f t="shared" si="19"/>
        <v>0</v>
      </c>
      <c r="AA138" s="372"/>
      <c r="AC138" s="465" t="s">
        <v>519</v>
      </c>
      <c r="AD138" s="540" t="s">
        <v>520</v>
      </c>
      <c r="AE138" s="380">
        <f t="shared" si="9"/>
        <v>0</v>
      </c>
      <c r="AF138" s="381" t="str">
        <f t="shared" si="10"/>
        <v/>
      </c>
      <c r="AH138" s="356"/>
      <c r="AI138" s="899" t="s">
        <v>521</v>
      </c>
      <c r="AJ138" s="900"/>
      <c r="AK138" s="900"/>
      <c r="AL138" s="900"/>
      <c r="AM138" s="900"/>
      <c r="AN138" s="541" t="s">
        <v>522</v>
      </c>
      <c r="AO138" s="366">
        <f t="shared" si="0"/>
        <v>0</v>
      </c>
      <c r="AP138" s="367"/>
      <c r="AQ138" s="356"/>
      <c r="AR138" s="957" t="s">
        <v>523</v>
      </c>
      <c r="AS138" s="958"/>
      <c r="AT138" s="958"/>
      <c r="AU138" s="958"/>
      <c r="AV138" s="958"/>
      <c r="AW138" s="445" t="s">
        <v>524</v>
      </c>
      <c r="AX138" s="366">
        <f t="shared" si="16"/>
        <v>0</v>
      </c>
      <c r="AY138" s="542"/>
      <c r="AZ138" s="356"/>
      <c r="BA138" s="359"/>
    </row>
    <row r="139" spans="1:58" ht="18.75">
      <c r="A139" s="1007" t="s">
        <v>525</v>
      </c>
      <c r="B139" s="1008"/>
      <c r="C139" s="1008"/>
      <c r="D139" s="1008"/>
      <c r="E139" s="1008"/>
      <c r="F139" s="1008"/>
      <c r="G139" s="1008"/>
      <c r="H139" s="1008"/>
      <c r="I139" s="1009"/>
      <c r="J139" s="394" t="s">
        <v>250</v>
      </c>
      <c r="K139" s="394" t="s">
        <v>251</v>
      </c>
      <c r="L139" s="394" t="s">
        <v>252</v>
      </c>
      <c r="M139" s="372"/>
      <c r="N139" s="1007" t="s">
        <v>525</v>
      </c>
      <c r="O139" s="1008"/>
      <c r="P139" s="1008"/>
      <c r="Q139" s="1008"/>
      <c r="R139" s="1008"/>
      <c r="S139" s="1008"/>
      <c r="T139" s="1008"/>
      <c r="U139" s="1008"/>
      <c r="V139" s="1009"/>
      <c r="W139" s="395" t="s">
        <v>250</v>
      </c>
      <c r="X139" s="395" t="s">
        <v>251</v>
      </c>
      <c r="Y139" s="395" t="s">
        <v>252</v>
      </c>
      <c r="Z139" s="469"/>
      <c r="AA139" s="372"/>
      <c r="AC139" s="465" t="s">
        <v>526</v>
      </c>
      <c r="AD139" s="543" t="s">
        <v>527</v>
      </c>
      <c r="AE139" s="380">
        <f t="shared" si="9"/>
        <v>0</v>
      </c>
      <c r="AF139" s="381" t="str">
        <f t="shared" si="10"/>
        <v/>
      </c>
      <c r="AH139" s="356"/>
      <c r="AI139" s="899" t="s">
        <v>528</v>
      </c>
      <c r="AJ139" s="900"/>
      <c r="AK139" s="900"/>
      <c r="AL139" s="900"/>
      <c r="AM139" s="900"/>
      <c r="AN139" s="544" t="s">
        <v>528</v>
      </c>
      <c r="AO139" s="366">
        <f t="shared" si="0"/>
        <v>0</v>
      </c>
      <c r="AP139" s="367"/>
      <c r="AQ139" s="356"/>
      <c r="AR139" s="957" t="s">
        <v>529</v>
      </c>
      <c r="AS139" s="958"/>
      <c r="AT139" s="958"/>
      <c r="AU139" s="958"/>
      <c r="AV139" s="958"/>
      <c r="AW139" s="300" t="s">
        <v>126</v>
      </c>
      <c r="AX139" s="366">
        <f t="shared" si="16"/>
        <v>1</v>
      </c>
      <c r="AY139" s="542"/>
      <c r="AZ139" s="356"/>
      <c r="BA139" s="359"/>
    </row>
    <row r="140" spans="1:58" ht="19.5" thickBot="1">
      <c r="A140" s="981" t="s">
        <v>99</v>
      </c>
      <c r="B140" s="982"/>
      <c r="C140" s="983"/>
      <c r="D140" s="399" t="s">
        <v>530</v>
      </c>
      <c r="E140" s="400" t="s">
        <v>266</v>
      </c>
      <c r="F140" s="36" t="s">
        <v>98</v>
      </c>
      <c r="G140" s="1010">
        <f t="shared" ref="G140:G156" si="20">COUNTIF($N$1:$BK$52,F140)</f>
        <v>0</v>
      </c>
      <c r="H140" s="1011"/>
      <c r="I140" s="1012"/>
      <c r="J140" s="401">
        <v>0</v>
      </c>
      <c r="K140" s="402">
        <v>0</v>
      </c>
      <c r="L140" s="403">
        <f t="shared" ref="L140:L156" si="21">G140-K140-J140</f>
        <v>0</v>
      </c>
      <c r="M140" s="372"/>
      <c r="N140" s="981" t="s">
        <v>99</v>
      </c>
      <c r="O140" s="982"/>
      <c r="P140" s="983"/>
      <c r="Q140" s="399" t="s">
        <v>530</v>
      </c>
      <c r="R140" s="400" t="s">
        <v>266</v>
      </c>
      <c r="S140" s="36" t="s">
        <v>98</v>
      </c>
      <c r="T140" s="932">
        <f t="shared" ref="T140:T156" si="22">COUNTIF($A$1:$M$22,S140)</f>
        <v>0</v>
      </c>
      <c r="U140" s="932"/>
      <c r="V140" s="932"/>
      <c r="W140" s="401">
        <v>0</v>
      </c>
      <c r="X140" s="402">
        <v>0</v>
      </c>
      <c r="Y140" s="403">
        <f t="shared" ref="Y140:Y156" si="23">T140-X140-W140</f>
        <v>0</v>
      </c>
      <c r="Z140" s="404">
        <f t="shared" si="6"/>
        <v>0</v>
      </c>
      <c r="AA140" s="372" t="b">
        <f>IFERROR(#REF!&gt;0.5,FALSE)</f>
        <v>0</v>
      </c>
      <c r="AC140" s="465" t="s">
        <v>531</v>
      </c>
      <c r="AD140" s="545" t="s">
        <v>532</v>
      </c>
      <c r="AE140" s="380">
        <f t="shared" si="9"/>
        <v>0</v>
      </c>
      <c r="AF140" s="381" t="str">
        <f t="shared" si="10"/>
        <v/>
      </c>
      <c r="AH140" s="356"/>
      <c r="AI140" s="899" t="s">
        <v>533</v>
      </c>
      <c r="AJ140" s="900"/>
      <c r="AK140" s="900"/>
      <c r="AL140" s="900"/>
      <c r="AM140" s="900"/>
      <c r="AN140" s="121" t="s">
        <v>134</v>
      </c>
      <c r="AO140" s="366">
        <f t="shared" si="0"/>
        <v>4</v>
      </c>
      <c r="AP140" s="367"/>
      <c r="AQ140" s="356"/>
      <c r="AR140" s="957" t="s">
        <v>534</v>
      </c>
      <c r="AS140" s="958"/>
      <c r="AT140" s="958"/>
      <c r="AU140" s="958"/>
      <c r="AV140" s="958"/>
      <c r="AW140" s="300" t="s">
        <v>184</v>
      </c>
      <c r="AX140" s="366">
        <f t="shared" si="16"/>
        <v>1</v>
      </c>
      <c r="AY140" s="542"/>
      <c r="AZ140" s="356"/>
      <c r="BA140" s="359"/>
    </row>
    <row r="141" spans="1:58" ht="18">
      <c r="A141" s="981" t="s">
        <v>535</v>
      </c>
      <c r="B141" s="982"/>
      <c r="C141" s="983"/>
      <c r="D141" s="399"/>
      <c r="E141" s="400"/>
      <c r="F141" s="546" t="s">
        <v>536</v>
      </c>
      <c r="G141" s="930">
        <f t="shared" si="20"/>
        <v>0</v>
      </c>
      <c r="H141" s="930"/>
      <c r="I141" s="931"/>
      <c r="J141" s="401">
        <v>0</v>
      </c>
      <c r="K141" s="402">
        <v>0</v>
      </c>
      <c r="L141" s="403">
        <f t="shared" si="21"/>
        <v>0</v>
      </c>
      <c r="M141" s="372"/>
      <c r="N141" s="981" t="s">
        <v>535</v>
      </c>
      <c r="O141" s="982"/>
      <c r="P141" s="983"/>
      <c r="Q141" s="399"/>
      <c r="R141" s="400"/>
      <c r="S141" s="546" t="s">
        <v>536</v>
      </c>
      <c r="T141" s="931">
        <f t="shared" si="22"/>
        <v>0</v>
      </c>
      <c r="U141" s="932"/>
      <c r="V141" s="932"/>
      <c r="W141" s="401">
        <v>0</v>
      </c>
      <c r="X141" s="402">
        <v>0</v>
      </c>
      <c r="Y141" s="403">
        <f t="shared" si="23"/>
        <v>0</v>
      </c>
      <c r="Z141" s="404">
        <f t="shared" si="6"/>
        <v>0</v>
      </c>
      <c r="AA141" s="372"/>
      <c r="AC141" s="443" t="s">
        <v>537</v>
      </c>
      <c r="AD141" s="547" t="s">
        <v>538</v>
      </c>
      <c r="AE141" s="380">
        <f t="shared" si="9"/>
        <v>0</v>
      </c>
      <c r="AF141" s="381" t="str">
        <f t="shared" si="10"/>
        <v/>
      </c>
      <c r="AH141" s="356"/>
      <c r="AI141" s="899" t="s">
        <v>539</v>
      </c>
      <c r="AJ141" s="900"/>
      <c r="AK141" s="900"/>
      <c r="AL141" s="900"/>
      <c r="AM141" s="900"/>
      <c r="AN141" s="548" t="s">
        <v>540</v>
      </c>
      <c r="AO141" s="366">
        <f t="shared" si="0"/>
        <v>0</v>
      </c>
      <c r="AP141" s="367"/>
      <c r="AQ141" s="356"/>
      <c r="AR141" s="957" t="s">
        <v>541</v>
      </c>
      <c r="AS141" s="958"/>
      <c r="AT141" s="958"/>
      <c r="AU141" s="958"/>
      <c r="AV141" s="958"/>
      <c r="AW141" s="549" t="s">
        <v>542</v>
      </c>
      <c r="AX141" s="366">
        <f t="shared" si="16"/>
        <v>0</v>
      </c>
      <c r="AY141" s="542"/>
      <c r="AZ141" s="356"/>
      <c r="BA141" s="359"/>
    </row>
    <row r="142" spans="1:58" ht="19.5" thickBot="1">
      <c r="A142" s="981" t="s">
        <v>100</v>
      </c>
      <c r="B142" s="982"/>
      <c r="C142" s="983"/>
      <c r="D142" s="399"/>
      <c r="E142" s="400"/>
      <c r="F142" s="37" t="s">
        <v>0</v>
      </c>
      <c r="G142" s="930">
        <f t="shared" si="20"/>
        <v>0</v>
      </c>
      <c r="H142" s="930"/>
      <c r="I142" s="931"/>
      <c r="J142" s="401">
        <v>0</v>
      </c>
      <c r="K142" s="402">
        <v>0</v>
      </c>
      <c r="L142" s="403">
        <f t="shared" si="21"/>
        <v>0</v>
      </c>
      <c r="M142" s="372"/>
      <c r="N142" s="981" t="s">
        <v>100</v>
      </c>
      <c r="O142" s="982"/>
      <c r="P142" s="983"/>
      <c r="Q142" s="399"/>
      <c r="R142" s="400"/>
      <c r="S142" s="37" t="s">
        <v>0</v>
      </c>
      <c r="T142" s="931">
        <f t="shared" si="22"/>
        <v>0</v>
      </c>
      <c r="U142" s="932"/>
      <c r="V142" s="932"/>
      <c r="W142" s="401">
        <v>0</v>
      </c>
      <c r="X142" s="402">
        <v>0</v>
      </c>
      <c r="Y142" s="403">
        <f t="shared" si="23"/>
        <v>0</v>
      </c>
      <c r="Z142" s="404">
        <f t="shared" si="6"/>
        <v>0</v>
      </c>
      <c r="AA142" s="372"/>
      <c r="AC142" s="465" t="s">
        <v>543</v>
      </c>
      <c r="AD142" s="550" t="s">
        <v>544</v>
      </c>
      <c r="AE142" s="380">
        <f t="shared" si="9"/>
        <v>0</v>
      </c>
      <c r="AF142" s="381" t="str">
        <f t="shared" si="10"/>
        <v/>
      </c>
      <c r="AH142" s="356"/>
      <c r="AI142" s="899" t="s">
        <v>545</v>
      </c>
      <c r="AJ142" s="900"/>
      <c r="AK142" s="900"/>
      <c r="AL142" s="900"/>
      <c r="AM142" s="900"/>
      <c r="AN142" s="551" t="s">
        <v>546</v>
      </c>
      <c r="AO142" s="366">
        <f t="shared" si="0"/>
        <v>0</v>
      </c>
      <c r="AP142" s="552"/>
      <c r="AQ142" s="356"/>
      <c r="AR142" s="957" t="s">
        <v>547</v>
      </c>
      <c r="AS142" s="958"/>
      <c r="AT142" s="958"/>
      <c r="AU142" s="958"/>
      <c r="AV142" s="958"/>
      <c r="AW142" s="300" t="s">
        <v>548</v>
      </c>
      <c r="AX142" s="366">
        <f t="shared" si="16"/>
        <v>0</v>
      </c>
      <c r="AY142" s="524"/>
      <c r="AZ142" s="356"/>
      <c r="BA142" s="359"/>
    </row>
    <row r="143" spans="1:58" ht="19.5" thickBot="1">
      <c r="A143" s="981" t="s">
        <v>102</v>
      </c>
      <c r="B143" s="982"/>
      <c r="C143" s="983"/>
      <c r="D143" s="399" t="s">
        <v>0</v>
      </c>
      <c r="E143" s="400"/>
      <c r="F143" s="38" t="s">
        <v>101</v>
      </c>
      <c r="G143" s="930">
        <f t="shared" si="20"/>
        <v>0</v>
      </c>
      <c r="H143" s="930"/>
      <c r="I143" s="931"/>
      <c r="J143" s="401">
        <v>0</v>
      </c>
      <c r="K143" s="402">
        <v>0</v>
      </c>
      <c r="L143" s="403">
        <f t="shared" si="21"/>
        <v>0</v>
      </c>
      <c r="M143" s="372"/>
      <c r="N143" s="981" t="s">
        <v>102</v>
      </c>
      <c r="O143" s="982"/>
      <c r="P143" s="983"/>
      <c r="Q143" s="399" t="s">
        <v>0</v>
      </c>
      <c r="R143" s="400"/>
      <c r="S143" s="38" t="s">
        <v>101</v>
      </c>
      <c r="T143" s="931">
        <f t="shared" si="22"/>
        <v>0</v>
      </c>
      <c r="U143" s="932"/>
      <c r="V143" s="932"/>
      <c r="W143" s="401">
        <v>0</v>
      </c>
      <c r="X143" s="402">
        <v>0</v>
      </c>
      <c r="Y143" s="403">
        <f t="shared" si="23"/>
        <v>0</v>
      </c>
      <c r="Z143" s="404">
        <f t="shared" si="6"/>
        <v>0</v>
      </c>
      <c r="AA143" s="372"/>
      <c r="AC143" s="465" t="s">
        <v>549</v>
      </c>
      <c r="AD143" s="553" t="s">
        <v>130</v>
      </c>
      <c r="AE143" s="380">
        <f t="shared" si="9"/>
        <v>22</v>
      </c>
      <c r="AF143" s="381" t="str">
        <f t="shared" si="10"/>
        <v/>
      </c>
      <c r="AH143" s="356"/>
      <c r="AI143" s="899" t="s">
        <v>550</v>
      </c>
      <c r="AJ143" s="900"/>
      <c r="AK143" s="900"/>
      <c r="AL143" s="900"/>
      <c r="AM143" s="900"/>
      <c r="AN143" s="470" t="s">
        <v>551</v>
      </c>
      <c r="AO143" s="366">
        <f t="shared" si="0"/>
        <v>0</v>
      </c>
      <c r="AP143" s="367"/>
      <c r="AQ143" s="356"/>
      <c r="AR143" s="957" t="s">
        <v>552</v>
      </c>
      <c r="AS143" s="958"/>
      <c r="AT143" s="958"/>
      <c r="AU143" s="958"/>
      <c r="AV143" s="958"/>
      <c r="AW143" s="554" t="s">
        <v>553</v>
      </c>
      <c r="AX143" s="366">
        <f t="shared" si="16"/>
        <v>0</v>
      </c>
      <c r="AY143" s="524"/>
      <c r="AZ143" s="356"/>
      <c r="BA143" s="460"/>
    </row>
    <row r="144" spans="1:58" ht="19.5" thickBot="1">
      <c r="A144" s="981" t="s">
        <v>18</v>
      </c>
      <c r="B144" s="982"/>
      <c r="C144" s="983"/>
      <c r="D144" s="399"/>
      <c r="E144" s="400"/>
      <c r="F144" s="39" t="s">
        <v>1</v>
      </c>
      <c r="G144" s="930">
        <f t="shared" si="20"/>
        <v>0</v>
      </c>
      <c r="H144" s="930"/>
      <c r="I144" s="931"/>
      <c r="J144" s="401">
        <v>0</v>
      </c>
      <c r="K144" s="402">
        <v>0</v>
      </c>
      <c r="L144" s="403">
        <f t="shared" si="21"/>
        <v>0</v>
      </c>
      <c r="M144" s="372"/>
      <c r="N144" s="981" t="s">
        <v>18</v>
      </c>
      <c r="O144" s="982"/>
      <c r="P144" s="983"/>
      <c r="Q144" s="399"/>
      <c r="R144" s="400"/>
      <c r="S144" s="39" t="s">
        <v>1</v>
      </c>
      <c r="T144" s="931">
        <f t="shared" si="22"/>
        <v>0</v>
      </c>
      <c r="U144" s="932"/>
      <c r="V144" s="932"/>
      <c r="W144" s="401">
        <v>0</v>
      </c>
      <c r="X144" s="402">
        <v>0</v>
      </c>
      <c r="Y144" s="403">
        <f t="shared" si="23"/>
        <v>0</v>
      </c>
      <c r="Z144" s="404">
        <f t="shared" si="6"/>
        <v>0</v>
      </c>
      <c r="AC144" s="465" t="s">
        <v>127</v>
      </c>
      <c r="AD144" s="253" t="s">
        <v>127</v>
      </c>
      <c r="AE144" s="380">
        <f t="shared" si="9"/>
        <v>12</v>
      </c>
      <c r="AF144" s="381" t="str">
        <f t="shared" si="10"/>
        <v/>
      </c>
      <c r="AH144" s="356"/>
      <c r="AI144" s="899" t="s">
        <v>554</v>
      </c>
      <c r="AJ144" s="900"/>
      <c r="AK144" s="900"/>
      <c r="AL144" s="900"/>
      <c r="AM144" s="900"/>
      <c r="AN144" s="121" t="s">
        <v>555</v>
      </c>
      <c r="AO144" s="366">
        <f t="shared" si="0"/>
        <v>0</v>
      </c>
      <c r="AP144" s="367"/>
      <c r="AQ144" s="356"/>
      <c r="AR144" s="957" t="s">
        <v>556</v>
      </c>
      <c r="AS144" s="958"/>
      <c r="AT144" s="958"/>
      <c r="AU144" s="958"/>
      <c r="AV144" s="958"/>
      <c r="AW144" s="555" t="s">
        <v>557</v>
      </c>
      <c r="AX144" s="366">
        <f t="shared" si="16"/>
        <v>0</v>
      </c>
      <c r="AY144" s="524"/>
      <c r="AZ144" s="356"/>
      <c r="BA144" s="460"/>
    </row>
    <row r="145" spans="1:53" ht="18.75">
      <c r="A145" s="981" t="s">
        <v>558</v>
      </c>
      <c r="B145" s="982"/>
      <c r="C145" s="983"/>
      <c r="D145" s="399"/>
      <c r="E145" s="400"/>
      <c r="F145" s="556" t="s">
        <v>559</v>
      </c>
      <c r="G145" s="929">
        <f t="shared" si="20"/>
        <v>0</v>
      </c>
      <c r="H145" s="930"/>
      <c r="I145" s="931"/>
      <c r="J145" s="401">
        <v>0</v>
      </c>
      <c r="K145" s="402">
        <v>0</v>
      </c>
      <c r="L145" s="403">
        <f t="shared" si="21"/>
        <v>0</v>
      </c>
      <c r="M145" s="372"/>
      <c r="N145" s="981" t="s">
        <v>558</v>
      </c>
      <c r="O145" s="982"/>
      <c r="P145" s="983"/>
      <c r="Q145" s="399"/>
      <c r="R145" s="400"/>
      <c r="S145" s="556" t="s">
        <v>559</v>
      </c>
      <c r="T145" s="932">
        <f t="shared" si="22"/>
        <v>0</v>
      </c>
      <c r="U145" s="932"/>
      <c r="V145" s="932"/>
      <c r="W145" s="401">
        <v>0</v>
      </c>
      <c r="X145" s="402">
        <v>0</v>
      </c>
      <c r="Y145" s="403">
        <f t="shared" si="23"/>
        <v>0</v>
      </c>
      <c r="Z145" s="404">
        <f t="shared" si="6"/>
        <v>0</v>
      </c>
      <c r="AC145" s="465" t="s">
        <v>560</v>
      </c>
      <c r="AD145" s="557" t="s">
        <v>561</v>
      </c>
      <c r="AE145" s="380">
        <f t="shared" si="9"/>
        <v>0</v>
      </c>
      <c r="AF145" s="381" t="str">
        <f t="shared" si="10"/>
        <v/>
      </c>
      <c r="AH145" s="356"/>
      <c r="AI145" s="899" t="s">
        <v>562</v>
      </c>
      <c r="AJ145" s="900"/>
      <c r="AK145" s="900"/>
      <c r="AL145" s="900"/>
      <c r="AM145" s="900"/>
      <c r="AN145" s="558" t="s">
        <v>563</v>
      </c>
      <c r="AO145" s="366">
        <f t="shared" si="0"/>
        <v>0</v>
      </c>
      <c r="AP145" s="367"/>
      <c r="AQ145" s="356"/>
      <c r="AR145" s="957" t="s">
        <v>564</v>
      </c>
      <c r="AS145" s="958"/>
      <c r="AT145" s="958"/>
      <c r="AU145" s="958"/>
      <c r="AV145" s="958"/>
      <c r="AW145" s="559" t="s">
        <v>565</v>
      </c>
      <c r="AX145" s="366">
        <f t="shared" si="16"/>
        <v>0</v>
      </c>
      <c r="AY145" s="524"/>
      <c r="AZ145" s="356"/>
      <c r="BA145" s="460"/>
    </row>
    <row r="146" spans="1:53" ht="18.75">
      <c r="A146" s="981" t="s">
        <v>32</v>
      </c>
      <c r="B146" s="982"/>
      <c r="C146" s="983"/>
      <c r="D146" s="399"/>
      <c r="E146" s="400" t="s">
        <v>266</v>
      </c>
      <c r="F146" s="9" t="s">
        <v>68</v>
      </c>
      <c r="G146" s="929">
        <f t="shared" si="20"/>
        <v>1</v>
      </c>
      <c r="H146" s="930"/>
      <c r="I146" s="931"/>
      <c r="J146" s="401">
        <v>0</v>
      </c>
      <c r="K146" s="402">
        <v>0</v>
      </c>
      <c r="L146" s="403">
        <f t="shared" si="21"/>
        <v>1</v>
      </c>
      <c r="M146" s="372"/>
      <c r="N146" s="981" t="s">
        <v>32</v>
      </c>
      <c r="O146" s="982"/>
      <c r="P146" s="983"/>
      <c r="Q146" s="399"/>
      <c r="R146" s="400" t="s">
        <v>266</v>
      </c>
      <c r="S146" s="9" t="s">
        <v>68</v>
      </c>
      <c r="T146" s="932">
        <f t="shared" si="22"/>
        <v>0</v>
      </c>
      <c r="U146" s="932"/>
      <c r="V146" s="932"/>
      <c r="W146" s="401">
        <v>0</v>
      </c>
      <c r="X146" s="402">
        <v>0</v>
      </c>
      <c r="Y146" s="403">
        <f t="shared" si="23"/>
        <v>0</v>
      </c>
      <c r="Z146" s="404">
        <f t="shared" si="6"/>
        <v>1</v>
      </c>
      <c r="AC146" s="465" t="s">
        <v>566</v>
      </c>
      <c r="AD146" s="560" t="s">
        <v>567</v>
      </c>
      <c r="AE146" s="380">
        <f t="shared" si="9"/>
        <v>0</v>
      </c>
      <c r="AF146" s="381" t="str">
        <f t="shared" si="10"/>
        <v/>
      </c>
      <c r="AH146" s="356"/>
      <c r="AI146" s="899" t="s">
        <v>568</v>
      </c>
      <c r="AJ146" s="900"/>
      <c r="AK146" s="900"/>
      <c r="AL146" s="900"/>
      <c r="AM146" s="900"/>
      <c r="AN146" s="488" t="s">
        <v>569</v>
      </c>
      <c r="AO146" s="366">
        <f t="shared" si="0"/>
        <v>0</v>
      </c>
      <c r="AP146" s="367"/>
      <c r="AQ146" s="356"/>
      <c r="AR146" s="957" t="s">
        <v>570</v>
      </c>
      <c r="AS146" s="958"/>
      <c r="AT146" s="958"/>
      <c r="AU146" s="958"/>
      <c r="AV146" s="958"/>
      <c r="AW146" s="561" t="s">
        <v>163</v>
      </c>
      <c r="AX146" s="366">
        <f t="shared" si="16"/>
        <v>2</v>
      </c>
      <c r="AY146" s="524"/>
      <c r="AZ146" s="356"/>
      <c r="BA146" s="460"/>
    </row>
    <row r="147" spans="1:53" ht="18.75">
      <c r="A147" s="981" t="s">
        <v>110</v>
      </c>
      <c r="B147" s="982"/>
      <c r="C147" s="983"/>
      <c r="D147" s="399"/>
      <c r="E147" s="400"/>
      <c r="F147" s="40" t="s">
        <v>109</v>
      </c>
      <c r="G147" s="929">
        <f t="shared" si="20"/>
        <v>0</v>
      </c>
      <c r="H147" s="930"/>
      <c r="I147" s="931"/>
      <c r="J147" s="401">
        <v>0</v>
      </c>
      <c r="K147" s="402">
        <v>0</v>
      </c>
      <c r="L147" s="403">
        <f t="shared" si="21"/>
        <v>0</v>
      </c>
      <c r="M147" s="372"/>
      <c r="N147" s="981" t="s">
        <v>110</v>
      </c>
      <c r="O147" s="982"/>
      <c r="P147" s="983"/>
      <c r="Q147" s="399"/>
      <c r="R147" s="400"/>
      <c r="S147" s="40" t="s">
        <v>109</v>
      </c>
      <c r="T147" s="932">
        <f t="shared" si="22"/>
        <v>0</v>
      </c>
      <c r="U147" s="932"/>
      <c r="V147" s="932"/>
      <c r="W147" s="401">
        <v>0</v>
      </c>
      <c r="X147" s="402">
        <v>0</v>
      </c>
      <c r="Y147" s="403">
        <f t="shared" si="23"/>
        <v>0</v>
      </c>
      <c r="Z147" s="404">
        <f t="shared" si="6"/>
        <v>0</v>
      </c>
      <c r="AC147" s="465" t="s">
        <v>571</v>
      </c>
      <c r="AD147" s="562" t="s">
        <v>572</v>
      </c>
      <c r="AE147" s="380">
        <f t="shared" si="9"/>
        <v>0</v>
      </c>
      <c r="AF147" s="381" t="str">
        <f t="shared" si="10"/>
        <v/>
      </c>
      <c r="AH147" s="356"/>
      <c r="AI147" s="899" t="s">
        <v>573</v>
      </c>
      <c r="AJ147" s="900"/>
      <c r="AK147" s="900"/>
      <c r="AL147" s="900"/>
      <c r="AM147" s="900"/>
      <c r="AN147" s="563" t="s">
        <v>574</v>
      </c>
      <c r="AO147" s="366">
        <f t="shared" si="0"/>
        <v>0</v>
      </c>
      <c r="AP147" s="367"/>
      <c r="AQ147" s="356"/>
      <c r="AR147" s="957" t="s">
        <v>575</v>
      </c>
      <c r="AS147" s="958"/>
      <c r="AT147" s="958"/>
      <c r="AU147" s="958"/>
      <c r="AV147" s="958"/>
      <c r="AW147" s="564" t="s">
        <v>576</v>
      </c>
      <c r="AX147" s="366">
        <f t="shared" si="16"/>
        <v>0</v>
      </c>
      <c r="AY147" s="542"/>
      <c r="AZ147" s="356"/>
      <c r="BA147" s="359"/>
    </row>
    <row r="148" spans="1:53" ht="18">
      <c r="A148" s="981" t="s">
        <v>106</v>
      </c>
      <c r="B148" s="982"/>
      <c r="C148" s="983"/>
      <c r="D148" s="399"/>
      <c r="E148" s="400"/>
      <c r="F148" s="41" t="s">
        <v>105</v>
      </c>
      <c r="G148" s="929">
        <f t="shared" si="20"/>
        <v>0</v>
      </c>
      <c r="H148" s="930"/>
      <c r="I148" s="931"/>
      <c r="J148" s="401">
        <v>0</v>
      </c>
      <c r="K148" s="402">
        <v>0</v>
      </c>
      <c r="L148" s="403">
        <f t="shared" si="21"/>
        <v>0</v>
      </c>
      <c r="M148" s="372"/>
      <c r="N148" s="981" t="s">
        <v>106</v>
      </c>
      <c r="O148" s="982"/>
      <c r="P148" s="983"/>
      <c r="Q148" s="399"/>
      <c r="R148" s="400"/>
      <c r="S148" s="41" t="s">
        <v>105</v>
      </c>
      <c r="T148" s="932">
        <f t="shared" si="22"/>
        <v>0</v>
      </c>
      <c r="U148" s="932"/>
      <c r="V148" s="932"/>
      <c r="W148" s="401">
        <v>0</v>
      </c>
      <c r="X148" s="402">
        <v>0</v>
      </c>
      <c r="Y148" s="403">
        <f t="shared" si="23"/>
        <v>0</v>
      </c>
      <c r="Z148" s="404">
        <f t="shared" si="6"/>
        <v>0</v>
      </c>
      <c r="AC148" s="465" t="s">
        <v>577</v>
      </c>
      <c r="AD148" s="562" t="s">
        <v>578</v>
      </c>
      <c r="AE148" s="380">
        <f t="shared" si="9"/>
        <v>0</v>
      </c>
      <c r="AF148" s="381" t="str">
        <f t="shared" si="10"/>
        <v/>
      </c>
      <c r="AH148" s="356"/>
      <c r="AI148" s="899" t="s">
        <v>579</v>
      </c>
      <c r="AJ148" s="900"/>
      <c r="AK148" s="900"/>
      <c r="AL148" s="900"/>
      <c r="AM148" s="900"/>
      <c r="AN148" s="565" t="s">
        <v>580</v>
      </c>
      <c r="AO148" s="366">
        <f t="shared" si="0"/>
        <v>0</v>
      </c>
      <c r="AP148" s="367"/>
      <c r="AQ148" s="356"/>
      <c r="AR148" s="957" t="s">
        <v>581</v>
      </c>
      <c r="AS148" s="958"/>
      <c r="AT148" s="958"/>
      <c r="AU148" s="958"/>
      <c r="AV148" s="958"/>
      <c r="AW148" s="566" t="s">
        <v>582</v>
      </c>
      <c r="AX148" s="366">
        <f t="shared" si="16"/>
        <v>0</v>
      </c>
      <c r="AY148" s="524"/>
      <c r="AZ148" s="356"/>
      <c r="BA148" s="359"/>
    </row>
    <row r="149" spans="1:53" ht="19.5" thickBot="1">
      <c r="A149" s="981" t="s">
        <v>10</v>
      </c>
      <c r="B149" s="982"/>
      <c r="C149" s="983"/>
      <c r="D149" s="399"/>
      <c r="E149" s="400"/>
      <c r="F149" s="38" t="s">
        <v>47</v>
      </c>
      <c r="G149" s="929">
        <f t="shared" si="20"/>
        <v>0</v>
      </c>
      <c r="H149" s="930"/>
      <c r="I149" s="931"/>
      <c r="J149" s="401">
        <v>0</v>
      </c>
      <c r="K149" s="402">
        <v>0</v>
      </c>
      <c r="L149" s="403">
        <f t="shared" si="21"/>
        <v>0</v>
      </c>
      <c r="M149" s="372"/>
      <c r="N149" s="981" t="s">
        <v>10</v>
      </c>
      <c r="O149" s="982"/>
      <c r="P149" s="983"/>
      <c r="Q149" s="399"/>
      <c r="R149" s="400"/>
      <c r="S149" s="38" t="s">
        <v>47</v>
      </c>
      <c r="T149" s="932">
        <f t="shared" si="22"/>
        <v>1</v>
      </c>
      <c r="U149" s="932"/>
      <c r="V149" s="932"/>
      <c r="W149" s="401">
        <v>0</v>
      </c>
      <c r="X149" s="402">
        <v>0</v>
      </c>
      <c r="Y149" s="403">
        <f t="shared" si="23"/>
        <v>1</v>
      </c>
      <c r="Z149" s="404">
        <f t="shared" si="6"/>
        <v>1</v>
      </c>
      <c r="AC149" s="465" t="s">
        <v>583</v>
      </c>
      <c r="AD149" s="269" t="s">
        <v>584</v>
      </c>
      <c r="AE149" s="380">
        <f t="shared" si="9"/>
        <v>0</v>
      </c>
      <c r="AF149" s="381" t="str">
        <f t="shared" si="10"/>
        <v/>
      </c>
      <c r="AH149" s="356"/>
      <c r="AI149" s="899" t="s">
        <v>585</v>
      </c>
      <c r="AJ149" s="900"/>
      <c r="AK149" s="900"/>
      <c r="AL149" s="900"/>
      <c r="AM149" s="900"/>
      <c r="AN149" s="567" t="s">
        <v>586</v>
      </c>
      <c r="AO149" s="366">
        <f t="shared" si="0"/>
        <v>0</v>
      </c>
      <c r="AP149" s="367"/>
      <c r="AQ149" s="356"/>
      <c r="AR149" s="957" t="s">
        <v>587</v>
      </c>
      <c r="AS149" s="958"/>
      <c r="AT149" s="958"/>
      <c r="AU149" s="958"/>
      <c r="AV149" s="958"/>
      <c r="AW149" s="568" t="s">
        <v>588</v>
      </c>
      <c r="AX149" s="366">
        <f t="shared" si="16"/>
        <v>0</v>
      </c>
      <c r="AY149" s="524"/>
      <c r="AZ149" s="356"/>
      <c r="BA149" s="460"/>
    </row>
    <row r="150" spans="1:53" ht="18.75" thickBot="1">
      <c r="A150" s="981" t="s">
        <v>38</v>
      </c>
      <c r="B150" s="982"/>
      <c r="C150" s="983"/>
      <c r="D150" s="399"/>
      <c r="E150" s="400"/>
      <c r="F150" s="42" t="s">
        <v>39</v>
      </c>
      <c r="G150" s="929">
        <f t="shared" si="20"/>
        <v>0</v>
      </c>
      <c r="H150" s="930"/>
      <c r="I150" s="931"/>
      <c r="J150" s="401">
        <v>0</v>
      </c>
      <c r="K150" s="402">
        <v>0</v>
      </c>
      <c r="L150" s="403">
        <f t="shared" si="21"/>
        <v>0</v>
      </c>
      <c r="M150" s="372"/>
      <c r="N150" s="981" t="s">
        <v>38</v>
      </c>
      <c r="O150" s="982"/>
      <c r="P150" s="983"/>
      <c r="Q150" s="399"/>
      <c r="R150" s="400"/>
      <c r="S150" s="42" t="s">
        <v>39</v>
      </c>
      <c r="T150" s="932">
        <f t="shared" si="22"/>
        <v>0</v>
      </c>
      <c r="U150" s="932"/>
      <c r="V150" s="932"/>
      <c r="W150" s="401">
        <v>0</v>
      </c>
      <c r="X150" s="402">
        <v>0</v>
      </c>
      <c r="Y150" s="403">
        <f t="shared" si="23"/>
        <v>0</v>
      </c>
      <c r="Z150" s="404">
        <f t="shared" si="6"/>
        <v>0</v>
      </c>
      <c r="AC150" s="465" t="s">
        <v>589</v>
      </c>
      <c r="AD150" s="569" t="s">
        <v>590</v>
      </c>
      <c r="AE150" s="380">
        <f t="shared" si="9"/>
        <v>0</v>
      </c>
      <c r="AF150" s="381" t="str">
        <f t="shared" si="10"/>
        <v/>
      </c>
      <c r="AH150" s="356"/>
      <c r="AI150" s="899" t="s">
        <v>591</v>
      </c>
      <c r="AJ150" s="900"/>
      <c r="AK150" s="900"/>
      <c r="AL150" s="900"/>
      <c r="AM150" s="900"/>
      <c r="AN150" s="570" t="s">
        <v>592</v>
      </c>
      <c r="AO150" s="366">
        <f t="shared" si="0"/>
        <v>0</v>
      </c>
      <c r="AP150" s="367"/>
      <c r="AQ150" s="356"/>
      <c r="AR150" s="957" t="s">
        <v>593</v>
      </c>
      <c r="AS150" s="958"/>
      <c r="AT150" s="958"/>
      <c r="AU150" s="958"/>
      <c r="AV150" s="958"/>
      <c r="AW150" s="568" t="s">
        <v>594</v>
      </c>
      <c r="AX150" s="366">
        <f t="shared" si="16"/>
        <v>0</v>
      </c>
      <c r="AY150" s="524"/>
      <c r="AZ150" s="356"/>
      <c r="BA150" s="460"/>
    </row>
    <row r="151" spans="1:53" ht="19.5" thickBot="1">
      <c r="A151" s="981" t="s">
        <v>104</v>
      </c>
      <c r="B151" s="982"/>
      <c r="C151" s="983"/>
      <c r="D151" s="399" t="s">
        <v>2</v>
      </c>
      <c r="E151" s="400"/>
      <c r="F151" s="38" t="s">
        <v>103</v>
      </c>
      <c r="G151" s="929">
        <f t="shared" si="20"/>
        <v>0</v>
      </c>
      <c r="H151" s="930"/>
      <c r="I151" s="931"/>
      <c r="J151" s="401">
        <v>0</v>
      </c>
      <c r="K151" s="402">
        <v>0</v>
      </c>
      <c r="L151" s="403">
        <f t="shared" si="21"/>
        <v>0</v>
      </c>
      <c r="M151" s="372"/>
      <c r="N151" s="981" t="s">
        <v>104</v>
      </c>
      <c r="O151" s="982"/>
      <c r="P151" s="983"/>
      <c r="Q151" s="399" t="s">
        <v>2</v>
      </c>
      <c r="R151" s="400"/>
      <c r="S151" s="38" t="s">
        <v>103</v>
      </c>
      <c r="T151" s="932">
        <f t="shared" si="22"/>
        <v>0</v>
      </c>
      <c r="U151" s="932"/>
      <c r="V151" s="932"/>
      <c r="W151" s="401">
        <v>0</v>
      </c>
      <c r="X151" s="402">
        <v>0</v>
      </c>
      <c r="Y151" s="403">
        <f t="shared" si="23"/>
        <v>0</v>
      </c>
      <c r="Z151" s="404">
        <f t="shared" si="6"/>
        <v>0</v>
      </c>
      <c r="AC151" s="465" t="s">
        <v>595</v>
      </c>
      <c r="AD151" s="569" t="s">
        <v>596</v>
      </c>
      <c r="AE151" s="380">
        <f t="shared" si="9"/>
        <v>0</v>
      </c>
      <c r="AF151" s="381" t="str">
        <f t="shared" si="10"/>
        <v/>
      </c>
      <c r="AH151" s="356"/>
      <c r="AI151" s="899" t="s">
        <v>597</v>
      </c>
      <c r="AJ151" s="900"/>
      <c r="AK151" s="900"/>
      <c r="AL151" s="900"/>
      <c r="AM151" s="900"/>
      <c r="AN151" s="571" t="s">
        <v>598</v>
      </c>
      <c r="AO151" s="366">
        <f t="shared" si="0"/>
        <v>0</v>
      </c>
      <c r="AP151" s="367"/>
      <c r="AQ151" s="356"/>
      <c r="AR151" s="957" t="s">
        <v>599</v>
      </c>
      <c r="AS151" s="958"/>
      <c r="AT151" s="958"/>
      <c r="AU151" s="958"/>
      <c r="AV151" s="958"/>
      <c r="AW151" s="572" t="s">
        <v>600</v>
      </c>
      <c r="AX151" s="366">
        <f t="shared" si="16"/>
        <v>0</v>
      </c>
      <c r="AY151" s="524"/>
      <c r="AZ151" s="356"/>
      <c r="BA151" s="460"/>
    </row>
    <row r="152" spans="1:53" ht="19.5" thickBot="1">
      <c r="A152" s="981" t="s">
        <v>23</v>
      </c>
      <c r="B152" s="982"/>
      <c r="C152" s="983"/>
      <c r="D152" s="399"/>
      <c r="E152" s="400" t="s">
        <v>266</v>
      </c>
      <c r="F152" s="43" t="s">
        <v>4</v>
      </c>
      <c r="G152" s="929">
        <f t="shared" si="20"/>
        <v>2</v>
      </c>
      <c r="H152" s="930"/>
      <c r="I152" s="931"/>
      <c r="J152" s="401">
        <v>0</v>
      </c>
      <c r="K152" s="402">
        <v>0</v>
      </c>
      <c r="L152" s="403">
        <f t="shared" si="21"/>
        <v>2</v>
      </c>
      <c r="M152" s="372"/>
      <c r="N152" s="981" t="s">
        <v>23</v>
      </c>
      <c r="O152" s="982"/>
      <c r="P152" s="983"/>
      <c r="Q152" s="399"/>
      <c r="R152" s="400" t="s">
        <v>266</v>
      </c>
      <c r="S152" s="43" t="s">
        <v>4</v>
      </c>
      <c r="T152" s="932">
        <f t="shared" si="22"/>
        <v>0</v>
      </c>
      <c r="U152" s="932"/>
      <c r="V152" s="932"/>
      <c r="W152" s="401">
        <v>0</v>
      </c>
      <c r="X152" s="402">
        <v>0</v>
      </c>
      <c r="Y152" s="403">
        <f t="shared" si="23"/>
        <v>0</v>
      </c>
      <c r="Z152" s="404">
        <f t="shared" si="6"/>
        <v>2</v>
      </c>
      <c r="AC152" s="465" t="s">
        <v>601</v>
      </c>
      <c r="AD152" s="573" t="s">
        <v>602</v>
      </c>
      <c r="AE152" s="380">
        <f t="shared" si="9"/>
        <v>0</v>
      </c>
      <c r="AF152" s="381" t="str">
        <f t="shared" si="10"/>
        <v/>
      </c>
      <c r="AH152" s="356"/>
      <c r="AI152" s="899" t="s">
        <v>603</v>
      </c>
      <c r="AJ152" s="900"/>
      <c r="AK152" s="900"/>
      <c r="AL152" s="900"/>
      <c r="AM152" s="901"/>
      <c r="AN152" s="518" t="s">
        <v>604</v>
      </c>
      <c r="AO152" s="366">
        <f t="shared" ref="AO152:AO163" si="24">COUNTIF($A$1:$GO$65,AN152)</f>
        <v>0</v>
      </c>
      <c r="AP152" s="367"/>
      <c r="AQ152" s="356"/>
      <c r="AR152" s="957" t="s">
        <v>605</v>
      </c>
      <c r="AS152" s="958"/>
      <c r="AT152" s="958"/>
      <c r="AU152" s="958"/>
      <c r="AV152" s="958"/>
      <c r="AW152" s="574" t="s">
        <v>606</v>
      </c>
      <c r="AX152" s="366">
        <f t="shared" si="16"/>
        <v>0</v>
      </c>
      <c r="AY152" s="524"/>
      <c r="AZ152" s="356"/>
      <c r="BA152" s="460"/>
    </row>
    <row r="153" spans="1:53" ht="18.75">
      <c r="A153" s="981" t="s">
        <v>19</v>
      </c>
      <c r="B153" s="982"/>
      <c r="C153" s="983"/>
      <c r="D153" s="399"/>
      <c r="E153" s="400"/>
      <c r="F153" s="44" t="s">
        <v>2</v>
      </c>
      <c r="G153" s="929">
        <f t="shared" si="20"/>
        <v>0</v>
      </c>
      <c r="H153" s="930"/>
      <c r="I153" s="931"/>
      <c r="J153" s="401">
        <v>0</v>
      </c>
      <c r="K153" s="402">
        <v>0</v>
      </c>
      <c r="L153" s="403">
        <f t="shared" si="21"/>
        <v>0</v>
      </c>
      <c r="M153" s="372"/>
      <c r="N153" s="981" t="s">
        <v>19</v>
      </c>
      <c r="O153" s="982"/>
      <c r="P153" s="983"/>
      <c r="Q153" s="399"/>
      <c r="R153" s="400"/>
      <c r="S153" s="44" t="s">
        <v>2</v>
      </c>
      <c r="T153" s="932">
        <f t="shared" si="22"/>
        <v>1</v>
      </c>
      <c r="U153" s="932"/>
      <c r="V153" s="932"/>
      <c r="W153" s="401">
        <v>0</v>
      </c>
      <c r="X153" s="402">
        <v>0</v>
      </c>
      <c r="Y153" s="403">
        <f t="shared" si="23"/>
        <v>1</v>
      </c>
      <c r="Z153" s="404">
        <f t="shared" si="6"/>
        <v>1</v>
      </c>
      <c r="AC153" s="465" t="s">
        <v>607</v>
      </c>
      <c r="AD153" s="575" t="s">
        <v>608</v>
      </c>
      <c r="AE153" s="380">
        <f t="shared" si="9"/>
        <v>0</v>
      </c>
      <c r="AF153" s="381" t="str">
        <f t="shared" si="10"/>
        <v/>
      </c>
      <c r="AH153" s="356"/>
      <c r="AI153" s="899" t="s">
        <v>609</v>
      </c>
      <c r="AJ153" s="900"/>
      <c r="AK153" s="900"/>
      <c r="AL153" s="900"/>
      <c r="AM153" s="900"/>
      <c r="AN153" s="227" t="s">
        <v>610</v>
      </c>
      <c r="AO153" s="366">
        <f t="shared" si="24"/>
        <v>0</v>
      </c>
      <c r="AP153" s="367"/>
      <c r="AQ153" s="356"/>
      <c r="AR153" s="957" t="s">
        <v>611</v>
      </c>
      <c r="AS153" s="958"/>
      <c r="AT153" s="958"/>
      <c r="AU153" s="958"/>
      <c r="AV153" s="958"/>
      <c r="AW153" s="574" t="s">
        <v>612</v>
      </c>
      <c r="AX153" s="366">
        <f t="shared" si="16"/>
        <v>0</v>
      </c>
      <c r="AY153" s="524"/>
      <c r="AZ153" s="356"/>
      <c r="BA153" s="460"/>
    </row>
    <row r="154" spans="1:53" ht="18">
      <c r="A154" s="981" t="s">
        <v>40</v>
      </c>
      <c r="B154" s="982"/>
      <c r="C154" s="983"/>
      <c r="D154" s="399"/>
      <c r="E154" s="400"/>
      <c r="F154" s="45" t="s">
        <v>41</v>
      </c>
      <c r="G154" s="929">
        <f t="shared" si="20"/>
        <v>0</v>
      </c>
      <c r="H154" s="930"/>
      <c r="I154" s="931"/>
      <c r="J154" s="401">
        <v>0</v>
      </c>
      <c r="K154" s="402">
        <v>0</v>
      </c>
      <c r="L154" s="403">
        <f t="shared" si="21"/>
        <v>0</v>
      </c>
      <c r="M154" s="372"/>
      <c r="N154" s="981" t="s">
        <v>40</v>
      </c>
      <c r="O154" s="982"/>
      <c r="P154" s="983"/>
      <c r="Q154" s="399"/>
      <c r="R154" s="400"/>
      <c r="S154" s="45" t="s">
        <v>41</v>
      </c>
      <c r="T154" s="932">
        <f t="shared" si="22"/>
        <v>1</v>
      </c>
      <c r="U154" s="932"/>
      <c r="V154" s="932"/>
      <c r="W154" s="401">
        <v>0</v>
      </c>
      <c r="X154" s="402">
        <v>0</v>
      </c>
      <c r="Y154" s="403">
        <f t="shared" si="23"/>
        <v>1</v>
      </c>
      <c r="Z154" s="404">
        <f t="shared" si="6"/>
        <v>1</v>
      </c>
      <c r="AC154" s="465" t="s">
        <v>613</v>
      </c>
      <c r="AD154" s="576" t="s">
        <v>614</v>
      </c>
      <c r="AE154" s="380">
        <f t="shared" si="9"/>
        <v>0</v>
      </c>
      <c r="AF154" s="381" t="str">
        <f t="shared" si="10"/>
        <v/>
      </c>
      <c r="AH154" s="356"/>
      <c r="AI154" s="899" t="s">
        <v>615</v>
      </c>
      <c r="AJ154" s="900"/>
      <c r="AK154" s="900"/>
      <c r="AL154" s="900"/>
      <c r="AM154" s="900"/>
      <c r="AN154" s="226" t="s">
        <v>166</v>
      </c>
      <c r="AO154" s="366">
        <f t="shared" si="24"/>
        <v>3</v>
      </c>
      <c r="AP154" s="367"/>
      <c r="AQ154" s="356"/>
      <c r="AR154" s="957" t="s">
        <v>616</v>
      </c>
      <c r="AS154" s="958"/>
      <c r="AT154" s="958"/>
      <c r="AU154" s="958"/>
      <c r="AV154" s="958"/>
      <c r="AW154" s="577" t="s">
        <v>617</v>
      </c>
      <c r="AX154" s="366">
        <f t="shared" si="16"/>
        <v>0</v>
      </c>
      <c r="AY154" s="524"/>
      <c r="AZ154" s="356"/>
      <c r="BA154" s="460"/>
    </row>
    <row r="155" spans="1:53" ht="18">
      <c r="A155" s="981" t="s">
        <v>20</v>
      </c>
      <c r="B155" s="982"/>
      <c r="C155" s="983"/>
      <c r="D155" s="399"/>
      <c r="E155" s="400"/>
      <c r="F155" s="46" t="s">
        <v>3</v>
      </c>
      <c r="G155" s="929">
        <f t="shared" si="20"/>
        <v>0</v>
      </c>
      <c r="H155" s="930"/>
      <c r="I155" s="931"/>
      <c r="J155" s="401">
        <v>0</v>
      </c>
      <c r="K155" s="402">
        <v>0</v>
      </c>
      <c r="L155" s="403">
        <f t="shared" si="21"/>
        <v>0</v>
      </c>
      <c r="M155" s="372"/>
      <c r="N155" s="981" t="s">
        <v>20</v>
      </c>
      <c r="O155" s="982"/>
      <c r="P155" s="983"/>
      <c r="Q155" s="399"/>
      <c r="R155" s="400"/>
      <c r="S155" s="46" t="s">
        <v>3</v>
      </c>
      <c r="T155" s="932">
        <f t="shared" si="22"/>
        <v>0</v>
      </c>
      <c r="U155" s="932"/>
      <c r="V155" s="932"/>
      <c r="W155" s="401">
        <v>0</v>
      </c>
      <c r="X155" s="402">
        <v>0</v>
      </c>
      <c r="Y155" s="403">
        <f t="shared" si="23"/>
        <v>0</v>
      </c>
      <c r="Z155" s="404">
        <f t="shared" si="6"/>
        <v>0</v>
      </c>
      <c r="AC155" s="465" t="s">
        <v>122</v>
      </c>
      <c r="AD155" s="578" t="s">
        <v>122</v>
      </c>
      <c r="AE155" s="380">
        <f t="shared" si="9"/>
        <v>8</v>
      </c>
      <c r="AF155" s="381" t="str">
        <f t="shared" si="10"/>
        <v/>
      </c>
      <c r="AH155" s="356"/>
      <c r="AI155" s="899" t="s">
        <v>618</v>
      </c>
      <c r="AJ155" s="900"/>
      <c r="AK155" s="900"/>
      <c r="AL155" s="900"/>
      <c r="AM155" s="900"/>
      <c r="AN155" s="579" t="s">
        <v>619</v>
      </c>
      <c r="AO155" s="366">
        <f t="shared" si="24"/>
        <v>0</v>
      </c>
      <c r="AP155" s="367"/>
      <c r="AQ155" s="356"/>
      <c r="AR155" s="957" t="s">
        <v>620</v>
      </c>
      <c r="AS155" s="958"/>
      <c r="AT155" s="958"/>
      <c r="AU155" s="958"/>
      <c r="AV155" s="958"/>
      <c r="AW155" s="529" t="s">
        <v>621</v>
      </c>
      <c r="AX155" s="366">
        <f t="shared" si="16"/>
        <v>0</v>
      </c>
      <c r="AY155" s="524"/>
      <c r="AZ155" s="356"/>
      <c r="BA155" s="460"/>
    </row>
    <row r="156" spans="1:53" ht="19.5" thickBot="1">
      <c r="A156" s="981" t="s">
        <v>108</v>
      </c>
      <c r="B156" s="982"/>
      <c r="C156" s="983"/>
      <c r="D156" s="399" t="s">
        <v>3</v>
      </c>
      <c r="E156" s="400" t="s">
        <v>266</v>
      </c>
      <c r="F156" s="47" t="s">
        <v>107</v>
      </c>
      <c r="G156" s="929">
        <f t="shared" si="20"/>
        <v>0</v>
      </c>
      <c r="H156" s="930"/>
      <c r="I156" s="931"/>
      <c r="J156" s="401">
        <v>0</v>
      </c>
      <c r="K156" s="402">
        <v>0</v>
      </c>
      <c r="L156" s="403">
        <f t="shared" si="21"/>
        <v>0</v>
      </c>
      <c r="M156" s="372"/>
      <c r="N156" s="981" t="s">
        <v>108</v>
      </c>
      <c r="O156" s="982"/>
      <c r="P156" s="983"/>
      <c r="Q156" s="399" t="s">
        <v>3</v>
      </c>
      <c r="R156" s="400" t="s">
        <v>266</v>
      </c>
      <c r="S156" s="47" t="s">
        <v>107</v>
      </c>
      <c r="T156" s="932">
        <f t="shared" si="22"/>
        <v>0</v>
      </c>
      <c r="U156" s="932"/>
      <c r="V156" s="932"/>
      <c r="W156" s="401">
        <v>0</v>
      </c>
      <c r="X156" s="402">
        <v>0</v>
      </c>
      <c r="Y156" s="403">
        <f t="shared" si="23"/>
        <v>0</v>
      </c>
      <c r="Z156" s="404">
        <f t="shared" si="6"/>
        <v>0</v>
      </c>
      <c r="AC156" s="465" t="s">
        <v>622</v>
      </c>
      <c r="AD156" s="580" t="s">
        <v>623</v>
      </c>
      <c r="AE156" s="380">
        <f t="shared" si="9"/>
        <v>0</v>
      </c>
      <c r="AF156" s="381" t="str">
        <f t="shared" si="10"/>
        <v/>
      </c>
      <c r="AH156" s="356"/>
      <c r="AI156" s="899" t="s">
        <v>624</v>
      </c>
      <c r="AJ156" s="900"/>
      <c r="AK156" s="900"/>
      <c r="AL156" s="900"/>
      <c r="AM156" s="900"/>
      <c r="AN156" s="227" t="s">
        <v>625</v>
      </c>
      <c r="AO156" s="366">
        <f t="shared" si="24"/>
        <v>0</v>
      </c>
      <c r="AP156" s="367"/>
      <c r="AQ156" s="356"/>
      <c r="AR156" s="957" t="s">
        <v>626</v>
      </c>
      <c r="AS156" s="958"/>
      <c r="AT156" s="958"/>
      <c r="AU156" s="958"/>
      <c r="AV156" s="958"/>
      <c r="AW156" s="383" t="s">
        <v>627</v>
      </c>
      <c r="AX156" s="366">
        <f t="shared" si="16"/>
        <v>0</v>
      </c>
      <c r="AY156" s="524"/>
      <c r="AZ156" s="356"/>
      <c r="BA156" s="460"/>
    </row>
    <row r="157" spans="1:53" ht="18.75">
      <c r="A157" s="975" t="s">
        <v>198</v>
      </c>
      <c r="B157" s="976"/>
      <c r="C157" s="976"/>
      <c r="D157" s="976"/>
      <c r="E157" s="976"/>
      <c r="F157" s="530"/>
      <c r="G157" s="1003">
        <f>SUM(G140:I156)</f>
        <v>3</v>
      </c>
      <c r="H157" s="1003"/>
      <c r="I157" s="1003"/>
      <c r="J157" s="462">
        <f>SUM(J140:J156)</f>
        <v>0</v>
      </c>
      <c r="K157" s="463">
        <f>SUM(K140:K156)</f>
        <v>0</v>
      </c>
      <c r="L157" s="403">
        <f>SUM(L140:L156)</f>
        <v>3</v>
      </c>
      <c r="M157" s="372"/>
      <c r="N157" s="1004" t="s">
        <v>198</v>
      </c>
      <c r="O157" s="1005"/>
      <c r="P157" s="1005"/>
      <c r="Q157" s="1005"/>
      <c r="R157" s="1005"/>
      <c r="S157" s="531"/>
      <c r="T157" s="1006">
        <f>SUM(T140:V156)</f>
        <v>3</v>
      </c>
      <c r="U157" s="1006"/>
      <c r="V157" s="1006"/>
      <c r="W157" s="462">
        <f>SUM(W140:W156)</f>
        <v>0</v>
      </c>
      <c r="X157" s="463">
        <f>SUM(X140:X156)</f>
        <v>0</v>
      </c>
      <c r="Y157" s="403">
        <f>SUM(Y140:Y156)</f>
        <v>3</v>
      </c>
      <c r="Z157" s="404">
        <f t="shared" si="6"/>
        <v>6</v>
      </c>
      <c r="AC157" s="465" t="s">
        <v>628</v>
      </c>
      <c r="AD157" s="581" t="s">
        <v>629</v>
      </c>
      <c r="AE157" s="380">
        <f t="shared" si="9"/>
        <v>0</v>
      </c>
      <c r="AF157" s="381" t="str">
        <f t="shared" si="10"/>
        <v/>
      </c>
      <c r="AH157" s="356"/>
      <c r="AI157" s="899" t="s">
        <v>630</v>
      </c>
      <c r="AJ157" s="900"/>
      <c r="AK157" s="900"/>
      <c r="AL157" s="900"/>
      <c r="AM157" s="900"/>
      <c r="AN157" s="582" t="s">
        <v>631</v>
      </c>
      <c r="AO157" s="366">
        <f t="shared" si="24"/>
        <v>0</v>
      </c>
      <c r="AP157" s="367"/>
      <c r="AQ157" s="356"/>
      <c r="AR157" s="957" t="s">
        <v>632</v>
      </c>
      <c r="AS157" s="958"/>
      <c r="AT157" s="958"/>
      <c r="AU157" s="958"/>
      <c r="AV157" s="958"/>
      <c r="AW157" s="383" t="s">
        <v>633</v>
      </c>
      <c r="AX157" s="366">
        <f t="shared" si="16"/>
        <v>0</v>
      </c>
      <c r="AY157" s="524"/>
      <c r="AZ157" s="356"/>
      <c r="BA157" s="460"/>
    </row>
    <row r="158" spans="1:53" ht="18">
      <c r="A158" s="583"/>
      <c r="B158" s="583"/>
      <c r="C158" s="583"/>
      <c r="D158" s="583"/>
      <c r="E158" s="583"/>
      <c r="F158" s="584"/>
      <c r="J158" s="585"/>
      <c r="K158" s="585"/>
      <c r="M158" s="316"/>
      <c r="N158" s="583"/>
      <c r="O158" s="583"/>
      <c r="P158" s="583"/>
      <c r="Q158" s="583"/>
      <c r="R158" s="583"/>
      <c r="S158" s="584"/>
      <c r="W158" s="585"/>
      <c r="X158" s="585"/>
      <c r="AC158" s="443" t="s">
        <v>634</v>
      </c>
      <c r="AD158" s="453" t="s">
        <v>635</v>
      </c>
      <c r="AE158" s="380">
        <f t="shared" si="9"/>
        <v>0</v>
      </c>
      <c r="AF158" s="381" t="str">
        <f t="shared" si="10"/>
        <v/>
      </c>
      <c r="AH158" s="356"/>
      <c r="AI158" s="899" t="s">
        <v>636</v>
      </c>
      <c r="AJ158" s="900"/>
      <c r="AK158" s="900"/>
      <c r="AL158" s="900"/>
      <c r="AM158" s="900"/>
      <c r="AN158" s="227" t="s">
        <v>167</v>
      </c>
      <c r="AO158" s="366">
        <f t="shared" si="24"/>
        <v>4</v>
      </c>
      <c r="AP158" s="367"/>
      <c r="AQ158" s="356"/>
      <c r="AR158" s="957" t="s">
        <v>637</v>
      </c>
      <c r="AS158" s="958"/>
      <c r="AT158" s="958"/>
      <c r="AU158" s="958"/>
      <c r="AV158" s="958"/>
      <c r="AW158" s="440" t="s">
        <v>638</v>
      </c>
      <c r="AX158" s="366">
        <f t="shared" si="16"/>
        <v>0</v>
      </c>
      <c r="AY158" s="524"/>
      <c r="AZ158" s="356"/>
      <c r="BA158" s="460"/>
    </row>
    <row r="159" spans="1:53" ht="18">
      <c r="A159" s="583"/>
      <c r="B159" s="583"/>
      <c r="C159" s="583"/>
      <c r="D159" s="583"/>
      <c r="E159" s="583"/>
      <c r="F159" s="584"/>
      <c r="J159" s="585"/>
      <c r="K159" s="585"/>
      <c r="M159" s="316"/>
      <c r="N159" s="583"/>
      <c r="O159" s="583"/>
      <c r="P159" s="583"/>
      <c r="Q159" s="583"/>
      <c r="R159" s="583"/>
      <c r="S159" s="584"/>
      <c r="W159" s="585"/>
      <c r="X159" s="585"/>
      <c r="AC159" s="465" t="s">
        <v>639</v>
      </c>
      <c r="AD159" s="453" t="s">
        <v>640</v>
      </c>
      <c r="AE159" s="380">
        <f t="shared" si="9"/>
        <v>0</v>
      </c>
      <c r="AF159" s="381" t="str">
        <f t="shared" si="10"/>
        <v/>
      </c>
      <c r="AH159" s="356"/>
      <c r="AI159" s="899" t="s">
        <v>641</v>
      </c>
      <c r="AJ159" s="900"/>
      <c r="AK159" s="900"/>
      <c r="AL159" s="900"/>
      <c r="AM159" s="900"/>
      <c r="AN159" s="226" t="s">
        <v>642</v>
      </c>
      <c r="AO159" s="366">
        <f t="shared" si="24"/>
        <v>0</v>
      </c>
      <c r="AP159" s="367"/>
      <c r="AQ159" s="356"/>
      <c r="AR159" s="957" t="s">
        <v>643</v>
      </c>
      <c r="AS159" s="958"/>
      <c r="AT159" s="958"/>
      <c r="AU159" s="958"/>
      <c r="AV159" s="958"/>
      <c r="AW159" s="586" t="s">
        <v>644</v>
      </c>
      <c r="AX159" s="366">
        <f t="shared" si="16"/>
        <v>0</v>
      </c>
      <c r="AY159" s="524"/>
      <c r="AZ159" s="356"/>
      <c r="BA159" s="460"/>
    </row>
    <row r="160" spans="1:53" ht="18.75">
      <c r="A160" s="1000" t="s">
        <v>645</v>
      </c>
      <c r="B160" s="1001"/>
      <c r="C160" s="1001"/>
      <c r="D160" s="1001"/>
      <c r="E160" s="1002"/>
      <c r="F160" s="587"/>
      <c r="G160" s="989"/>
      <c r="H160" s="989"/>
      <c r="I160" s="990"/>
      <c r="J160" s="588" t="s">
        <v>250</v>
      </c>
      <c r="K160" s="589" t="s">
        <v>251</v>
      </c>
      <c r="L160" s="588" t="s">
        <v>252</v>
      </c>
      <c r="M160" s="316"/>
      <c r="N160" s="1000" t="s">
        <v>645</v>
      </c>
      <c r="O160" s="1001"/>
      <c r="P160" s="1001"/>
      <c r="Q160" s="1001"/>
      <c r="R160" s="1002"/>
      <c r="S160" s="587"/>
      <c r="T160" s="989"/>
      <c r="U160" s="989"/>
      <c r="V160" s="990"/>
      <c r="W160" s="588" t="s">
        <v>250</v>
      </c>
      <c r="X160" s="589" t="s">
        <v>251</v>
      </c>
      <c r="Y160" s="588" t="s">
        <v>252</v>
      </c>
      <c r="AC160" s="465" t="s">
        <v>646</v>
      </c>
      <c r="AD160" s="453" t="s">
        <v>647</v>
      </c>
      <c r="AE160" s="380">
        <f t="shared" si="9"/>
        <v>0</v>
      </c>
      <c r="AF160" s="381" t="str">
        <f t="shared" si="10"/>
        <v/>
      </c>
      <c r="AH160" s="356"/>
      <c r="AI160" s="899" t="s">
        <v>648</v>
      </c>
      <c r="AJ160" s="900"/>
      <c r="AK160" s="900"/>
      <c r="AL160" s="900"/>
      <c r="AM160" s="900"/>
      <c r="AN160" s="579" t="s">
        <v>649</v>
      </c>
      <c r="AO160" s="366">
        <f t="shared" si="24"/>
        <v>0</v>
      </c>
      <c r="AP160" s="367"/>
      <c r="AQ160" s="356"/>
      <c r="AR160" s="957" t="s">
        <v>650</v>
      </c>
      <c r="AS160" s="958"/>
      <c r="AT160" s="958"/>
      <c r="AU160" s="958"/>
      <c r="AV160" s="958"/>
      <c r="AW160" s="586" t="s">
        <v>651</v>
      </c>
      <c r="AX160" s="366">
        <f t="shared" si="16"/>
        <v>0</v>
      </c>
      <c r="AY160" s="542"/>
      <c r="AZ160" s="356"/>
      <c r="BA160" s="460"/>
    </row>
    <row r="161" spans="1:58" ht="18">
      <c r="A161" s="981" t="s">
        <v>56</v>
      </c>
      <c r="B161" s="982"/>
      <c r="C161" s="983"/>
      <c r="D161" s="984"/>
      <c r="E161" s="985"/>
      <c r="F161" s="48" t="s">
        <v>55</v>
      </c>
      <c r="G161" s="929">
        <f>COUNTIF($N$1:$BK$52,F161)</f>
        <v>0</v>
      </c>
      <c r="H161" s="930"/>
      <c r="I161" s="931"/>
      <c r="J161" s="401">
        <v>0</v>
      </c>
      <c r="K161" s="402">
        <v>0</v>
      </c>
      <c r="L161" s="403">
        <f t="shared" ref="L161:L164" si="25">G161-K161-J161</f>
        <v>0</v>
      </c>
      <c r="M161" s="316"/>
      <c r="N161" s="981" t="s">
        <v>56</v>
      </c>
      <c r="O161" s="982"/>
      <c r="P161" s="983"/>
      <c r="Q161" s="984"/>
      <c r="R161" s="985"/>
      <c r="S161" s="48" t="s">
        <v>55</v>
      </c>
      <c r="T161" s="932">
        <f>COUNTIF($A$1:$M$22,S161)</f>
        <v>0</v>
      </c>
      <c r="U161" s="932"/>
      <c r="V161" s="932"/>
      <c r="W161" s="401">
        <v>0</v>
      </c>
      <c r="X161" s="402">
        <v>0</v>
      </c>
      <c r="Y161" s="403">
        <f t="shared" ref="Y161:Y164" si="26">T161-X161-W161</f>
        <v>0</v>
      </c>
      <c r="Z161" s="404">
        <f t="shared" ref="Z161:Z165" si="27">T161+G161</f>
        <v>0</v>
      </c>
      <c r="AC161" s="465" t="s">
        <v>652</v>
      </c>
      <c r="AD161" s="590" t="s">
        <v>653</v>
      </c>
      <c r="AE161" s="380">
        <f t="shared" si="9"/>
        <v>0</v>
      </c>
      <c r="AF161" s="381" t="str">
        <f t="shared" si="10"/>
        <v/>
      </c>
      <c r="AH161" s="356"/>
      <c r="AI161" s="899" t="s">
        <v>654</v>
      </c>
      <c r="AJ161" s="900"/>
      <c r="AK161" s="900"/>
      <c r="AL161" s="900"/>
      <c r="AM161" s="900"/>
      <c r="AN161" s="591" t="s">
        <v>655</v>
      </c>
      <c r="AO161" s="366">
        <f t="shared" si="24"/>
        <v>0</v>
      </c>
      <c r="AP161" s="367"/>
      <c r="AQ161" s="356"/>
      <c r="AR161" s="957" t="s">
        <v>656</v>
      </c>
      <c r="AS161" s="958"/>
      <c r="AT161" s="958"/>
      <c r="AU161" s="958"/>
      <c r="AV161" s="958"/>
      <c r="AW161" s="586" t="s">
        <v>657</v>
      </c>
      <c r="AX161" s="366">
        <f t="shared" si="16"/>
        <v>0</v>
      </c>
      <c r="AY161" s="542"/>
      <c r="AZ161" s="356"/>
      <c r="BA161" s="359"/>
    </row>
    <row r="162" spans="1:58" ht="18.75">
      <c r="A162" s="981" t="s">
        <v>53</v>
      </c>
      <c r="B162" s="982"/>
      <c r="C162" s="983"/>
      <c r="D162" s="984"/>
      <c r="E162" s="985"/>
      <c r="F162" s="49" t="s">
        <v>54</v>
      </c>
      <c r="G162" s="929">
        <f>COUNTIF($N$1:$BK$52,F162)</f>
        <v>0</v>
      </c>
      <c r="H162" s="930"/>
      <c r="I162" s="931"/>
      <c r="J162" s="401">
        <v>0</v>
      </c>
      <c r="K162" s="402">
        <v>0</v>
      </c>
      <c r="L162" s="403">
        <f t="shared" si="25"/>
        <v>0</v>
      </c>
      <c r="M162" s="316"/>
      <c r="N162" s="981" t="s">
        <v>53</v>
      </c>
      <c r="O162" s="982"/>
      <c r="P162" s="983"/>
      <c r="Q162" s="984"/>
      <c r="R162" s="985"/>
      <c r="S162" s="49" t="s">
        <v>54</v>
      </c>
      <c r="T162" s="932">
        <f>COUNTIF($A$1:$M$22,S162)</f>
        <v>0</v>
      </c>
      <c r="U162" s="932"/>
      <c r="V162" s="932"/>
      <c r="W162" s="401">
        <v>0</v>
      </c>
      <c r="X162" s="402">
        <v>0</v>
      </c>
      <c r="Y162" s="403">
        <f t="shared" si="26"/>
        <v>0</v>
      </c>
      <c r="Z162" s="404">
        <f t="shared" si="27"/>
        <v>0</v>
      </c>
      <c r="AC162" s="465" t="s">
        <v>658</v>
      </c>
      <c r="AD162" s="592" t="s">
        <v>658</v>
      </c>
      <c r="AE162" s="380">
        <f t="shared" si="9"/>
        <v>0</v>
      </c>
      <c r="AF162" s="381" t="str">
        <f t="shared" si="10"/>
        <v/>
      </c>
      <c r="AH162" s="356"/>
      <c r="AI162" s="899" t="s">
        <v>659</v>
      </c>
      <c r="AJ162" s="900"/>
      <c r="AK162" s="900"/>
      <c r="AL162" s="900"/>
      <c r="AM162" s="900"/>
      <c r="AN162" s="593" t="s">
        <v>660</v>
      </c>
      <c r="AO162" s="366">
        <f t="shared" si="24"/>
        <v>0</v>
      </c>
      <c r="AP162" s="367"/>
      <c r="AQ162" s="356"/>
      <c r="AR162" s="957" t="s">
        <v>661</v>
      </c>
      <c r="AS162" s="958"/>
      <c r="AT162" s="958"/>
      <c r="AU162" s="958"/>
      <c r="AV162" s="958"/>
      <c r="AW162" s="594" t="s">
        <v>662</v>
      </c>
      <c r="AX162" s="366">
        <f t="shared" si="16"/>
        <v>0</v>
      </c>
      <c r="AY162" s="542"/>
      <c r="BA162" s="359"/>
    </row>
    <row r="163" spans="1:58" ht="18">
      <c r="A163" s="981" t="s">
        <v>51</v>
      </c>
      <c r="B163" s="982"/>
      <c r="C163" s="983"/>
      <c r="D163" s="984"/>
      <c r="E163" s="985"/>
      <c r="F163" s="50" t="s">
        <v>52</v>
      </c>
      <c r="G163" s="929">
        <f>COUNTIF($N$1:$BK$52,F163)</f>
        <v>0</v>
      </c>
      <c r="H163" s="930"/>
      <c r="I163" s="931"/>
      <c r="J163" s="401">
        <v>0</v>
      </c>
      <c r="K163" s="402">
        <v>0</v>
      </c>
      <c r="L163" s="403">
        <f t="shared" si="25"/>
        <v>0</v>
      </c>
      <c r="M163" s="316"/>
      <c r="N163" s="981" t="s">
        <v>51</v>
      </c>
      <c r="O163" s="982"/>
      <c r="P163" s="983"/>
      <c r="Q163" s="984"/>
      <c r="R163" s="985"/>
      <c r="S163" s="50" t="s">
        <v>52</v>
      </c>
      <c r="T163" s="932">
        <f>COUNTIF($A$1:$M$22,S163)</f>
        <v>0</v>
      </c>
      <c r="U163" s="932"/>
      <c r="V163" s="932"/>
      <c r="W163" s="401">
        <v>0</v>
      </c>
      <c r="X163" s="402">
        <v>0</v>
      </c>
      <c r="Y163" s="403">
        <f t="shared" si="26"/>
        <v>0</v>
      </c>
      <c r="Z163" s="404">
        <f t="shared" si="27"/>
        <v>0</v>
      </c>
      <c r="AC163" s="465" t="s">
        <v>663</v>
      </c>
      <c r="AD163" s="417" t="s">
        <v>664</v>
      </c>
      <c r="AE163" s="380">
        <f t="shared" si="9"/>
        <v>0</v>
      </c>
      <c r="AF163" s="381" t="str">
        <f t="shared" si="10"/>
        <v/>
      </c>
      <c r="AH163" s="356"/>
      <c r="AI163" s="899" t="s">
        <v>665</v>
      </c>
      <c r="AJ163" s="900"/>
      <c r="AK163" s="900"/>
      <c r="AL163" s="900"/>
      <c r="AM163" s="900"/>
      <c r="AN163" s="595" t="s">
        <v>666</v>
      </c>
      <c r="AO163" s="366">
        <f t="shared" si="24"/>
        <v>0</v>
      </c>
      <c r="AP163" s="367"/>
      <c r="AQ163" s="356"/>
      <c r="AR163" s="957" t="s">
        <v>667</v>
      </c>
      <c r="AS163" s="958"/>
      <c r="AT163" s="958"/>
      <c r="AU163" s="958"/>
      <c r="AV163" s="958"/>
      <c r="AW163" s="596" t="s">
        <v>668</v>
      </c>
      <c r="AX163" s="366">
        <f t="shared" si="16"/>
        <v>0</v>
      </c>
      <c r="AY163" s="542"/>
      <c r="BA163" s="359"/>
    </row>
    <row r="164" spans="1:58" ht="19.5" thickBot="1">
      <c r="A164" s="981" t="s">
        <v>49</v>
      </c>
      <c r="B164" s="982"/>
      <c r="C164" s="983"/>
      <c r="D164" s="984"/>
      <c r="E164" s="985"/>
      <c r="F164" s="51" t="s">
        <v>50</v>
      </c>
      <c r="G164" s="929">
        <f>COUNTIF($N$1:$BK$52,F164)</f>
        <v>0</v>
      </c>
      <c r="H164" s="930"/>
      <c r="I164" s="931"/>
      <c r="J164" s="401">
        <v>0</v>
      </c>
      <c r="K164" s="402">
        <v>0</v>
      </c>
      <c r="L164" s="403">
        <f t="shared" si="25"/>
        <v>0</v>
      </c>
      <c r="M164" s="316"/>
      <c r="N164" s="981" t="s">
        <v>49</v>
      </c>
      <c r="O164" s="982"/>
      <c r="P164" s="983"/>
      <c r="Q164" s="984"/>
      <c r="R164" s="985"/>
      <c r="S164" s="51" t="s">
        <v>50</v>
      </c>
      <c r="T164" s="932">
        <f>COUNTIF($A$1:$M$22,S164)</f>
        <v>0</v>
      </c>
      <c r="U164" s="932"/>
      <c r="V164" s="932"/>
      <c r="W164" s="401">
        <v>0</v>
      </c>
      <c r="X164" s="402">
        <v>0</v>
      </c>
      <c r="Y164" s="403">
        <f t="shared" si="26"/>
        <v>0</v>
      </c>
      <c r="Z164" s="404">
        <f t="shared" si="27"/>
        <v>0</v>
      </c>
      <c r="AC164" s="465" t="s">
        <v>669</v>
      </c>
      <c r="AD164" s="597" t="s">
        <v>670</v>
      </c>
      <c r="AE164" s="380">
        <f t="shared" si="9"/>
        <v>0</v>
      </c>
      <c r="AF164" s="381" t="str">
        <f t="shared" si="10"/>
        <v/>
      </c>
      <c r="AH164" s="356"/>
      <c r="AI164" s="999" t="s">
        <v>671</v>
      </c>
      <c r="AJ164" s="955"/>
      <c r="AK164" s="955"/>
      <c r="AL164" s="955"/>
      <c r="AM164" s="956"/>
      <c r="AN164" s="598"/>
      <c r="AO164" s="516">
        <f>SUM(AO88:AO162)</f>
        <v>43</v>
      </c>
      <c r="AQ164" s="356"/>
      <c r="AR164" s="957" t="s">
        <v>672</v>
      </c>
      <c r="AS164" s="958"/>
      <c r="AT164" s="958"/>
      <c r="AU164" s="958"/>
      <c r="AV164" s="958"/>
      <c r="AW164" s="121" t="s">
        <v>673</v>
      </c>
      <c r="AX164" s="366">
        <f t="shared" si="16"/>
        <v>0</v>
      </c>
      <c r="AY164" s="542"/>
      <c r="BA164" s="359"/>
    </row>
    <row r="165" spans="1:58" ht="19.5" thickBot="1">
      <c r="A165" s="979" t="s">
        <v>674</v>
      </c>
      <c r="B165" s="979"/>
      <c r="C165" s="979"/>
      <c r="D165" s="979"/>
      <c r="E165" s="979"/>
      <c r="F165" s="584"/>
      <c r="G165" s="980">
        <f>SUM(G161:I164)</f>
        <v>0</v>
      </c>
      <c r="H165" s="980"/>
      <c r="I165" s="980"/>
      <c r="J165" s="599">
        <f t="shared" ref="J165:L165" si="28">SUM(J161:J164)</f>
        <v>0</v>
      </c>
      <c r="K165" s="600">
        <f t="shared" si="28"/>
        <v>0</v>
      </c>
      <c r="L165" s="601">
        <f t="shared" si="28"/>
        <v>0</v>
      </c>
      <c r="M165" s="316"/>
      <c r="N165" s="979" t="s">
        <v>674</v>
      </c>
      <c r="O165" s="979"/>
      <c r="P165" s="979"/>
      <c r="Q165" s="979"/>
      <c r="R165" s="979"/>
      <c r="S165" s="584"/>
      <c r="T165" s="980">
        <f>SUM(T161:V164)</f>
        <v>0</v>
      </c>
      <c r="U165" s="980"/>
      <c r="V165" s="980"/>
      <c r="W165" s="599">
        <f t="shared" ref="W165:Y165" si="29">SUM(W161:W164)</f>
        <v>0</v>
      </c>
      <c r="X165" s="600">
        <f t="shared" si="29"/>
        <v>0</v>
      </c>
      <c r="Y165" s="601">
        <f t="shared" si="29"/>
        <v>0</v>
      </c>
      <c r="Z165" s="404">
        <f t="shared" si="27"/>
        <v>0</v>
      </c>
      <c r="AC165" s="465" t="s">
        <v>675</v>
      </c>
      <c r="AD165" s="203" t="s">
        <v>157</v>
      </c>
      <c r="AE165" s="380">
        <f t="shared" si="9"/>
        <v>6</v>
      </c>
      <c r="AF165" s="381" t="str">
        <f t="shared" si="10"/>
        <v/>
      </c>
      <c r="AH165" s="356"/>
      <c r="AI165" s="997" t="s">
        <v>676</v>
      </c>
      <c r="AJ165" s="998"/>
      <c r="AK165" s="998"/>
      <c r="AL165" s="998"/>
      <c r="AM165" s="998"/>
      <c r="AN165" s="602" t="s">
        <v>677</v>
      </c>
      <c r="AO165" s="366">
        <f>COUNTIF($P$1:$Q$1,"O-FUT")</f>
        <v>0</v>
      </c>
      <c r="AQ165" s="356"/>
      <c r="AR165" s="957" t="s">
        <v>678</v>
      </c>
      <c r="AS165" s="958"/>
      <c r="AT165" s="958"/>
      <c r="AU165" s="958"/>
      <c r="AV165" s="958"/>
      <c r="AW165" s="489" t="s">
        <v>152</v>
      </c>
      <c r="AX165" s="366">
        <f t="shared" si="16"/>
        <v>1</v>
      </c>
      <c r="AY165" s="542"/>
      <c r="BA165" s="359"/>
    </row>
    <row r="166" spans="1:58" ht="18.75">
      <c r="A166" s="583"/>
      <c r="B166" s="583"/>
      <c r="C166" s="583"/>
      <c r="D166" s="583"/>
      <c r="E166" s="583"/>
      <c r="F166" s="584"/>
      <c r="J166" s="585"/>
      <c r="K166" s="585"/>
      <c r="M166" s="316"/>
      <c r="N166" s="583"/>
      <c r="O166" s="583"/>
      <c r="P166" s="583"/>
      <c r="Q166" s="583"/>
      <c r="R166" s="583"/>
      <c r="S166" s="584"/>
      <c r="W166" s="585"/>
      <c r="X166" s="585"/>
      <c r="AA166" s="372"/>
      <c r="AC166" s="465" t="s">
        <v>679</v>
      </c>
      <c r="AD166" s="603" t="s">
        <v>680</v>
      </c>
      <c r="AE166" s="380">
        <f t="shared" si="9"/>
        <v>0</v>
      </c>
      <c r="AF166" s="381" t="str">
        <f t="shared" si="10"/>
        <v/>
      </c>
      <c r="AH166" s="356"/>
      <c r="AI166" s="604"/>
      <c r="AJ166" s="605"/>
      <c r="AK166" s="605"/>
      <c r="AL166" s="605"/>
      <c r="AM166" s="605"/>
      <c r="AQ166" s="356"/>
      <c r="AR166" s="957" t="s">
        <v>681</v>
      </c>
      <c r="AS166" s="958"/>
      <c r="AT166" s="958"/>
      <c r="AU166" s="958"/>
      <c r="AV166" s="958"/>
      <c r="AW166" s="431" t="s">
        <v>682</v>
      </c>
      <c r="AX166" s="366">
        <f t="shared" si="16"/>
        <v>0</v>
      </c>
      <c r="AY166" s="542"/>
      <c r="BA166" s="359"/>
    </row>
    <row r="167" spans="1:58" ht="18.75">
      <c r="A167" s="583"/>
      <c r="B167" s="583"/>
      <c r="C167" s="583"/>
      <c r="D167" s="583"/>
      <c r="E167" s="583"/>
      <c r="F167" s="584"/>
      <c r="J167" s="585"/>
      <c r="K167" s="585"/>
      <c r="M167" s="316"/>
      <c r="N167" s="583"/>
      <c r="O167" s="583"/>
      <c r="P167" s="583"/>
      <c r="Q167" s="583"/>
      <c r="R167" s="583"/>
      <c r="S167" s="584"/>
      <c r="W167" s="585"/>
      <c r="X167" s="585"/>
      <c r="AA167" s="372"/>
      <c r="AC167" s="465" t="s">
        <v>683</v>
      </c>
      <c r="AD167" s="606" t="s">
        <v>121</v>
      </c>
      <c r="AE167" s="380">
        <f t="shared" si="9"/>
        <v>4</v>
      </c>
      <c r="AF167" s="381" t="str">
        <f t="shared" si="10"/>
        <v/>
      </c>
      <c r="AH167" s="356"/>
      <c r="AI167" s="921" t="s">
        <v>254</v>
      </c>
      <c r="AJ167" s="911"/>
      <c r="AK167" s="911"/>
      <c r="AL167" s="911"/>
      <c r="AM167" s="911"/>
      <c r="AN167" s="907"/>
      <c r="AO167" s="357" t="s">
        <v>198</v>
      </c>
      <c r="AP167" s="607"/>
      <c r="AQ167" s="356"/>
      <c r="AR167" s="957" t="s">
        <v>684</v>
      </c>
      <c r="AS167" s="958"/>
      <c r="AT167" s="958"/>
      <c r="AU167" s="958"/>
      <c r="AV167" s="958"/>
      <c r="AW167" s="431" t="s">
        <v>168</v>
      </c>
      <c r="AX167" s="366">
        <f t="shared" si="16"/>
        <v>2</v>
      </c>
      <c r="AY167" s="542"/>
      <c r="BA167" s="359"/>
    </row>
    <row r="168" spans="1:58" ht="18">
      <c r="A168" s="994" t="s">
        <v>685</v>
      </c>
      <c r="B168" s="995"/>
      <c r="C168" s="995"/>
      <c r="D168" s="995"/>
      <c r="E168" s="996"/>
      <c r="F168" s="587"/>
      <c r="G168" s="989"/>
      <c r="H168" s="989"/>
      <c r="I168" s="990"/>
      <c r="J168" s="588" t="s">
        <v>250</v>
      </c>
      <c r="K168" s="589" t="s">
        <v>251</v>
      </c>
      <c r="L168" s="588" t="s">
        <v>252</v>
      </c>
      <c r="M168" s="316"/>
      <c r="N168" s="994" t="s">
        <v>685</v>
      </c>
      <c r="O168" s="995"/>
      <c r="P168" s="995"/>
      <c r="Q168" s="995"/>
      <c r="R168" s="996"/>
      <c r="S168" s="587"/>
      <c r="T168" s="989"/>
      <c r="U168" s="989"/>
      <c r="V168" s="990"/>
      <c r="W168" s="588" t="s">
        <v>250</v>
      </c>
      <c r="X168" s="589" t="s">
        <v>251</v>
      </c>
      <c r="Y168" s="588" t="s">
        <v>252</v>
      </c>
      <c r="AA168" s="372"/>
      <c r="AC168" s="465" t="s">
        <v>686</v>
      </c>
      <c r="AD168" s="597" t="s">
        <v>687</v>
      </c>
      <c r="AE168" s="380">
        <f t="shared" si="9"/>
        <v>0</v>
      </c>
      <c r="AF168" s="381" t="str">
        <f t="shared" si="10"/>
        <v/>
      </c>
      <c r="AH168" s="356"/>
      <c r="AI168" s="917" t="s">
        <v>688</v>
      </c>
      <c r="AJ168" s="918"/>
      <c r="AK168" s="918"/>
      <c r="AL168" s="918"/>
      <c r="AM168" s="918"/>
      <c r="AN168" s="608" t="s">
        <v>140</v>
      </c>
      <c r="AO168" s="366">
        <f t="shared" ref="AO168:AO196" si="30">COUNTIF($A$1:$GO$65,AN168)</f>
        <v>2</v>
      </c>
      <c r="AP168" s="609"/>
      <c r="AQ168" s="356"/>
      <c r="AR168" s="957" t="s">
        <v>689</v>
      </c>
      <c r="AS168" s="958"/>
      <c r="AT168" s="958"/>
      <c r="AU168" s="958"/>
      <c r="AV168" s="958"/>
      <c r="AW168" s="434" t="s">
        <v>156</v>
      </c>
      <c r="AX168" s="366">
        <f t="shared" si="16"/>
        <v>3</v>
      </c>
      <c r="AY168" s="542"/>
      <c r="BA168" s="359"/>
    </row>
    <row r="169" spans="1:58" ht="18.75">
      <c r="A169" s="981" t="s">
        <v>690</v>
      </c>
      <c r="B169" s="982"/>
      <c r="C169" s="983"/>
      <c r="D169" s="984"/>
      <c r="E169" s="985"/>
      <c r="F169" s="610" t="s">
        <v>65</v>
      </c>
      <c r="G169" s="929">
        <f>COUNTIF($N$1:$BK$52,F169)</f>
        <v>0</v>
      </c>
      <c r="H169" s="930"/>
      <c r="I169" s="931"/>
      <c r="J169" s="401">
        <v>0</v>
      </c>
      <c r="K169" s="402">
        <v>0</v>
      </c>
      <c r="L169" s="403">
        <f t="shared" ref="L169:L171" si="31">G169-K169-J169</f>
        <v>0</v>
      </c>
      <c r="M169" s="316"/>
      <c r="N169" s="981" t="s">
        <v>690</v>
      </c>
      <c r="O169" s="982"/>
      <c r="P169" s="983"/>
      <c r="Q169" s="984"/>
      <c r="R169" s="985"/>
      <c r="S169" s="610" t="s">
        <v>65</v>
      </c>
      <c r="T169" s="932">
        <f>COUNTIF($A$1:$M$22,S169)</f>
        <v>0</v>
      </c>
      <c r="U169" s="932"/>
      <c r="V169" s="932"/>
      <c r="W169" s="401">
        <v>0</v>
      </c>
      <c r="X169" s="402">
        <v>0</v>
      </c>
      <c r="Y169" s="403">
        <f t="shared" ref="Y169:Y171" si="32">T169-X169-W169</f>
        <v>0</v>
      </c>
      <c r="Z169" s="404">
        <f t="shared" ref="Z169:Z172" si="33">T169+G169</f>
        <v>0</v>
      </c>
      <c r="AA169" s="372"/>
      <c r="AC169" s="465" t="s">
        <v>691</v>
      </c>
      <c r="AD169" s="611" t="s">
        <v>692</v>
      </c>
      <c r="AE169" s="380">
        <f t="shared" si="9"/>
        <v>0</v>
      </c>
      <c r="AF169" s="381" t="str">
        <f t="shared" si="10"/>
        <v/>
      </c>
      <c r="AH169" s="356"/>
      <c r="AI169" s="917" t="s">
        <v>693</v>
      </c>
      <c r="AJ169" s="918"/>
      <c r="AK169" s="918"/>
      <c r="AL169" s="918"/>
      <c r="AM169" s="918"/>
      <c r="AN169" s="612" t="s">
        <v>694</v>
      </c>
      <c r="AO169" s="366">
        <f t="shared" si="30"/>
        <v>0</v>
      </c>
      <c r="AP169" s="609"/>
      <c r="AQ169" s="356"/>
      <c r="AR169" s="957" t="s">
        <v>695</v>
      </c>
      <c r="AS169" s="958"/>
      <c r="AT169" s="958"/>
      <c r="AU169" s="958"/>
      <c r="AV169" s="958"/>
      <c r="AW169" s="287" t="s">
        <v>696</v>
      </c>
      <c r="AX169" s="366">
        <f t="shared" si="16"/>
        <v>0</v>
      </c>
      <c r="AY169" s="542"/>
      <c r="BA169" s="359"/>
    </row>
    <row r="170" spans="1:58" ht="18.75">
      <c r="A170" s="981" t="s">
        <v>697</v>
      </c>
      <c r="B170" s="982"/>
      <c r="C170" s="983"/>
      <c r="D170" s="984"/>
      <c r="E170" s="985"/>
      <c r="F170" s="613" t="s">
        <v>64</v>
      </c>
      <c r="G170" s="929">
        <f>COUNTIF($N$1:$BK$52,F170)</f>
        <v>0</v>
      </c>
      <c r="H170" s="930"/>
      <c r="I170" s="931"/>
      <c r="J170" s="401">
        <v>0</v>
      </c>
      <c r="K170" s="402">
        <v>0</v>
      </c>
      <c r="L170" s="403">
        <f t="shared" si="31"/>
        <v>0</v>
      </c>
      <c r="M170" s="316"/>
      <c r="N170" s="981" t="s">
        <v>697</v>
      </c>
      <c r="O170" s="982"/>
      <c r="P170" s="983"/>
      <c r="Q170" s="984"/>
      <c r="R170" s="985"/>
      <c r="S170" s="613" t="s">
        <v>64</v>
      </c>
      <c r="T170" s="932">
        <f>COUNTIF($A$1:$M$22,S170)</f>
        <v>0</v>
      </c>
      <c r="U170" s="932"/>
      <c r="V170" s="932"/>
      <c r="W170" s="401">
        <v>0</v>
      </c>
      <c r="X170" s="402">
        <v>0</v>
      </c>
      <c r="Y170" s="403">
        <f t="shared" si="32"/>
        <v>0</v>
      </c>
      <c r="Z170" s="404">
        <f t="shared" si="33"/>
        <v>0</v>
      </c>
      <c r="AA170" s="372"/>
      <c r="AC170" s="465" t="s">
        <v>698</v>
      </c>
      <c r="AD170" s="614" t="s">
        <v>699</v>
      </c>
      <c r="AE170" s="380">
        <f t="shared" si="9"/>
        <v>0</v>
      </c>
      <c r="AF170" s="381" t="str">
        <f t="shared" si="10"/>
        <v/>
      </c>
      <c r="AH170" s="356"/>
      <c r="AI170" s="917" t="s">
        <v>700</v>
      </c>
      <c r="AJ170" s="918"/>
      <c r="AK170" s="918"/>
      <c r="AL170" s="918"/>
      <c r="AM170" s="918"/>
      <c r="AN170" s="615" t="s">
        <v>701</v>
      </c>
      <c r="AO170" s="366">
        <f t="shared" si="30"/>
        <v>0</v>
      </c>
      <c r="AP170" s="609"/>
      <c r="AQ170" s="356"/>
      <c r="AR170" s="957" t="s">
        <v>702</v>
      </c>
      <c r="AS170" s="958"/>
      <c r="AT170" s="958"/>
      <c r="AU170" s="958"/>
      <c r="AV170" s="958"/>
      <c r="AW170" s="287" t="s">
        <v>703</v>
      </c>
      <c r="AX170" s="366">
        <f t="shared" si="16"/>
        <v>0</v>
      </c>
      <c r="AY170" s="542"/>
      <c r="BA170" s="359"/>
    </row>
    <row r="171" spans="1:58" ht="18.75">
      <c r="A171" s="981" t="s">
        <v>66</v>
      </c>
      <c r="B171" s="982"/>
      <c r="C171" s="983"/>
      <c r="D171" s="984"/>
      <c r="E171" s="985"/>
      <c r="F171" s="616" t="s">
        <v>67</v>
      </c>
      <c r="G171" s="929">
        <f>COUNTIF($N$1:$BK$52,F171)</f>
        <v>0</v>
      </c>
      <c r="H171" s="930"/>
      <c r="I171" s="931"/>
      <c r="J171" s="401">
        <v>0</v>
      </c>
      <c r="K171" s="402">
        <v>0</v>
      </c>
      <c r="L171" s="403">
        <f t="shared" si="31"/>
        <v>0</v>
      </c>
      <c r="M171" s="316"/>
      <c r="N171" s="981" t="s">
        <v>66</v>
      </c>
      <c r="O171" s="982"/>
      <c r="P171" s="983"/>
      <c r="Q171" s="984"/>
      <c r="R171" s="985"/>
      <c r="S171" s="616" t="s">
        <v>67</v>
      </c>
      <c r="T171" s="932">
        <f>COUNTIF($A$1:$M$22,S171)</f>
        <v>0</v>
      </c>
      <c r="U171" s="932"/>
      <c r="V171" s="932"/>
      <c r="W171" s="401">
        <v>0</v>
      </c>
      <c r="X171" s="402">
        <v>0</v>
      </c>
      <c r="Y171" s="403">
        <f t="shared" si="32"/>
        <v>0</v>
      </c>
      <c r="Z171" s="404">
        <f t="shared" si="33"/>
        <v>0</v>
      </c>
      <c r="AA171" s="372"/>
      <c r="AC171" s="465" t="s">
        <v>704</v>
      </c>
      <c r="AD171" s="617" t="s">
        <v>705</v>
      </c>
      <c r="AE171" s="380">
        <f t="shared" si="9"/>
        <v>0</v>
      </c>
      <c r="AF171" s="381" t="str">
        <f t="shared" si="10"/>
        <v/>
      </c>
      <c r="AH171" s="356"/>
      <c r="AI171" s="917" t="s">
        <v>706</v>
      </c>
      <c r="AJ171" s="918"/>
      <c r="AK171" s="918"/>
      <c r="AL171" s="918"/>
      <c r="AM171" s="918"/>
      <c r="AN171" s="618" t="s">
        <v>707</v>
      </c>
      <c r="AO171" s="366">
        <f t="shared" si="30"/>
        <v>0</v>
      </c>
      <c r="AP171" s="609"/>
      <c r="AQ171" s="356"/>
      <c r="AR171" s="957" t="s">
        <v>708</v>
      </c>
      <c r="AS171" s="958"/>
      <c r="AT171" s="958"/>
      <c r="AU171" s="958"/>
      <c r="AV171" s="958"/>
      <c r="AW171" s="287" t="s">
        <v>182</v>
      </c>
      <c r="AX171" s="366">
        <f t="shared" si="16"/>
        <v>1</v>
      </c>
      <c r="AY171" s="542"/>
      <c r="BA171" s="359"/>
    </row>
    <row r="172" spans="1:58" ht="18">
      <c r="A172" s="979" t="s">
        <v>709</v>
      </c>
      <c r="B172" s="979"/>
      <c r="C172" s="979"/>
      <c r="D172" s="979"/>
      <c r="E172" s="979"/>
      <c r="F172" s="584"/>
      <c r="G172" s="980">
        <f t="shared" ref="G172:L172" si="34">SUM(G169:I171)</f>
        <v>0</v>
      </c>
      <c r="H172" s="980"/>
      <c r="I172" s="980"/>
      <c r="J172" s="599">
        <f t="shared" si="34"/>
        <v>0</v>
      </c>
      <c r="K172" s="600">
        <f t="shared" si="34"/>
        <v>0</v>
      </c>
      <c r="L172" s="403">
        <f t="shared" si="34"/>
        <v>0</v>
      </c>
      <c r="M172" s="316"/>
      <c r="N172" s="979" t="s">
        <v>709</v>
      </c>
      <c r="O172" s="979"/>
      <c r="P172" s="979"/>
      <c r="Q172" s="979"/>
      <c r="R172" s="979"/>
      <c r="S172" s="584"/>
      <c r="T172" s="980">
        <f t="shared" ref="T172" si="35">SUM(T169:V171)</f>
        <v>0</v>
      </c>
      <c r="U172" s="980"/>
      <c r="V172" s="980"/>
      <c r="W172" s="599">
        <f t="shared" ref="W172:X172" si="36">SUM(W169:Y171)</f>
        <v>0</v>
      </c>
      <c r="X172" s="600">
        <f t="shared" si="36"/>
        <v>0</v>
      </c>
      <c r="Y172" s="403">
        <f>SUM(Y165:AA167)</f>
        <v>0</v>
      </c>
      <c r="Z172" s="404">
        <f t="shared" si="33"/>
        <v>0</v>
      </c>
      <c r="AA172" s="372" t="b">
        <f>IFERROR(#REF!&gt;0.5,FALSE)</f>
        <v>0</v>
      </c>
      <c r="AC172" s="465" t="s">
        <v>710</v>
      </c>
      <c r="AD172" s="619" t="s">
        <v>711</v>
      </c>
      <c r="AE172" s="380">
        <f t="shared" si="9"/>
        <v>0</v>
      </c>
      <c r="AF172" s="381" t="str">
        <f t="shared" si="10"/>
        <v/>
      </c>
      <c r="AH172" s="356"/>
      <c r="AI172" s="917" t="s">
        <v>712</v>
      </c>
      <c r="AJ172" s="918"/>
      <c r="AK172" s="918"/>
      <c r="AL172" s="918"/>
      <c r="AM172" s="918"/>
      <c r="AN172" s="620" t="s">
        <v>713</v>
      </c>
      <c r="AO172" s="366">
        <f t="shared" si="30"/>
        <v>0</v>
      </c>
      <c r="AP172" s="609"/>
      <c r="AQ172" s="356"/>
      <c r="AR172" s="957" t="s">
        <v>714</v>
      </c>
      <c r="AS172" s="958"/>
      <c r="AT172" s="958"/>
      <c r="AU172" s="958"/>
      <c r="AV172" s="958"/>
      <c r="AW172" s="483" t="s">
        <v>148</v>
      </c>
      <c r="AX172" s="366">
        <f t="shared" si="16"/>
        <v>2</v>
      </c>
      <c r="AY172" s="542"/>
      <c r="BA172" s="359"/>
    </row>
    <row r="173" spans="1:58" ht="18.75">
      <c r="A173" s="583"/>
      <c r="B173" s="583"/>
      <c r="C173" s="583"/>
      <c r="D173" s="583"/>
      <c r="E173" s="583"/>
      <c r="F173" s="584"/>
      <c r="J173" s="585"/>
      <c r="K173" s="585"/>
      <c r="M173" s="316"/>
      <c r="N173" s="583"/>
      <c r="O173" s="583"/>
      <c r="P173" s="583"/>
      <c r="Q173" s="583"/>
      <c r="R173" s="583"/>
      <c r="S173" s="584"/>
      <c r="W173" s="585"/>
      <c r="X173" s="585"/>
      <c r="AA173" s="372"/>
      <c r="AC173" s="465" t="s">
        <v>715</v>
      </c>
      <c r="AD173" s="619" t="s">
        <v>715</v>
      </c>
      <c r="AE173" s="380">
        <f t="shared" si="9"/>
        <v>0</v>
      </c>
      <c r="AF173" s="381" t="str">
        <f t="shared" si="10"/>
        <v/>
      </c>
      <c r="AH173" s="356"/>
      <c r="AI173" s="917" t="s">
        <v>716</v>
      </c>
      <c r="AJ173" s="918"/>
      <c r="AK173" s="918"/>
      <c r="AL173" s="918"/>
      <c r="AM173" s="918"/>
      <c r="AN173" s="621" t="s">
        <v>717</v>
      </c>
      <c r="AO173" s="366">
        <f t="shared" si="30"/>
        <v>0</v>
      </c>
      <c r="AP173" s="609"/>
      <c r="AQ173" s="356"/>
      <c r="AR173" s="957" t="s">
        <v>718</v>
      </c>
      <c r="AS173" s="958"/>
      <c r="AT173" s="958"/>
      <c r="AU173" s="958"/>
      <c r="AV173" s="958"/>
      <c r="AW173" s="483" t="s">
        <v>719</v>
      </c>
      <c r="AX173" s="366">
        <f t="shared" si="16"/>
        <v>0</v>
      </c>
      <c r="AY173" s="542"/>
      <c r="BA173" s="359"/>
    </row>
    <row r="174" spans="1:58" ht="18">
      <c r="A174" s="583"/>
      <c r="B174" s="583"/>
      <c r="C174" s="583"/>
      <c r="D174" s="583"/>
      <c r="E174" s="583"/>
      <c r="F174" s="584"/>
      <c r="J174" s="585"/>
      <c r="K174" s="585"/>
      <c r="M174" s="316"/>
      <c r="N174" s="583"/>
      <c r="O174" s="583"/>
      <c r="P174" s="583"/>
      <c r="Q174" s="583"/>
      <c r="R174" s="583"/>
      <c r="S174" s="584"/>
      <c r="W174" s="585"/>
      <c r="X174" s="585"/>
      <c r="AA174" s="372"/>
      <c r="AC174" s="465" t="s">
        <v>260</v>
      </c>
      <c r="AD174" s="622" t="s">
        <v>720</v>
      </c>
      <c r="AE174" s="380">
        <f t="shared" si="9"/>
        <v>0</v>
      </c>
      <c r="AF174" s="381" t="str">
        <f t="shared" si="10"/>
        <v/>
      </c>
      <c r="AH174" s="356"/>
      <c r="AI174" s="917" t="s">
        <v>721</v>
      </c>
      <c r="AJ174" s="918"/>
      <c r="AK174" s="918"/>
      <c r="AL174" s="918"/>
      <c r="AM174" s="918"/>
      <c r="AN174" s="431" t="s">
        <v>722</v>
      </c>
      <c r="AO174" s="366">
        <f t="shared" si="30"/>
        <v>0</v>
      </c>
      <c r="AP174" s="609"/>
      <c r="AQ174" s="356"/>
      <c r="AR174" s="957" t="s">
        <v>723</v>
      </c>
      <c r="AS174" s="958"/>
      <c r="AT174" s="958"/>
      <c r="AU174" s="958"/>
      <c r="AV174" s="958"/>
      <c r="AW174" s="273" t="s">
        <v>124</v>
      </c>
      <c r="AX174" s="366">
        <f t="shared" si="16"/>
        <v>3</v>
      </c>
      <c r="AY174" s="542"/>
      <c r="BA174" s="359"/>
      <c r="BC174" s="623"/>
      <c r="BD174" s="623"/>
      <c r="BE174" s="623"/>
      <c r="BF174" s="623"/>
    </row>
    <row r="175" spans="1:58" ht="18.75">
      <c r="A175" s="991" t="s">
        <v>724</v>
      </c>
      <c r="B175" s="992"/>
      <c r="C175" s="992"/>
      <c r="D175" s="992"/>
      <c r="E175" s="993"/>
      <c r="F175" s="587"/>
      <c r="G175" s="989"/>
      <c r="H175" s="989"/>
      <c r="I175" s="990"/>
      <c r="J175" s="588" t="s">
        <v>250</v>
      </c>
      <c r="K175" s="589" t="s">
        <v>251</v>
      </c>
      <c r="L175" s="588" t="s">
        <v>252</v>
      </c>
      <c r="M175" s="316"/>
      <c r="N175" s="991" t="s">
        <v>724</v>
      </c>
      <c r="O175" s="992"/>
      <c r="P175" s="992"/>
      <c r="Q175" s="992"/>
      <c r="R175" s="993"/>
      <c r="S175" s="587"/>
      <c r="T175" s="989"/>
      <c r="U175" s="989"/>
      <c r="V175" s="990"/>
      <c r="W175" s="588" t="s">
        <v>250</v>
      </c>
      <c r="X175" s="589" t="s">
        <v>251</v>
      </c>
      <c r="Y175" s="588" t="s">
        <v>252</v>
      </c>
      <c r="AA175" s="372"/>
      <c r="AC175" s="465" t="s">
        <v>725</v>
      </c>
      <c r="AD175" s="65" t="s">
        <v>123</v>
      </c>
      <c r="AE175" s="380">
        <f t="shared" si="9"/>
        <v>4</v>
      </c>
      <c r="AF175" s="381" t="str">
        <f t="shared" si="10"/>
        <v/>
      </c>
      <c r="AH175" s="356"/>
      <c r="AI175" s="917" t="s">
        <v>726</v>
      </c>
      <c r="AJ175" s="918"/>
      <c r="AK175" s="918"/>
      <c r="AL175" s="918"/>
      <c r="AM175" s="918"/>
      <c r="AN175" s="273" t="s">
        <v>727</v>
      </c>
      <c r="AO175" s="366">
        <f t="shared" si="30"/>
        <v>0</v>
      </c>
      <c r="AP175" s="609"/>
      <c r="AQ175" s="356"/>
      <c r="AR175" s="957" t="s">
        <v>728</v>
      </c>
      <c r="AS175" s="958"/>
      <c r="AT175" s="958"/>
      <c r="AU175" s="958"/>
      <c r="AV175" s="958"/>
      <c r="AW175" s="624" t="s">
        <v>729</v>
      </c>
      <c r="AX175" s="366">
        <f t="shared" si="16"/>
        <v>0</v>
      </c>
      <c r="AY175" s="542"/>
      <c r="BA175" s="359"/>
      <c r="BC175" s="625"/>
      <c r="BD175" s="625"/>
      <c r="BE175" s="625"/>
      <c r="BF175" s="625"/>
    </row>
    <row r="176" spans="1:58" ht="18">
      <c r="A176" s="981" t="s">
        <v>730</v>
      </c>
      <c r="B176" s="982"/>
      <c r="C176" s="983"/>
      <c r="D176" s="984"/>
      <c r="E176" s="985"/>
      <c r="F176" s="626" t="s">
        <v>731</v>
      </c>
      <c r="G176" s="929">
        <f>COUNTIF($N$1:$BK$52,F176)</f>
        <v>0</v>
      </c>
      <c r="H176" s="930"/>
      <c r="I176" s="931"/>
      <c r="J176" s="401">
        <v>0</v>
      </c>
      <c r="K176" s="402">
        <v>0</v>
      </c>
      <c r="L176" s="403">
        <f t="shared" ref="L176:L179" si="37">G176-K176-J176</f>
        <v>0</v>
      </c>
      <c r="M176" s="316"/>
      <c r="N176" s="981" t="s">
        <v>730</v>
      </c>
      <c r="O176" s="982"/>
      <c r="P176" s="983"/>
      <c r="Q176" s="984"/>
      <c r="R176" s="985"/>
      <c r="S176" s="626" t="s">
        <v>731</v>
      </c>
      <c r="T176" s="932">
        <f>COUNTIF($A$1:$M$22,S176)</f>
        <v>0</v>
      </c>
      <c r="U176" s="932"/>
      <c r="V176" s="932"/>
      <c r="W176" s="401">
        <v>0</v>
      </c>
      <c r="X176" s="402">
        <v>0</v>
      </c>
      <c r="Y176" s="403">
        <f t="shared" ref="Y176:Y179" si="38">T176-X176-W176</f>
        <v>0</v>
      </c>
      <c r="Z176" s="404">
        <f t="shared" ref="Z176:Z180" si="39">T176+G176</f>
        <v>0</v>
      </c>
      <c r="AA176" s="372"/>
      <c r="AC176" s="465" t="s">
        <v>732</v>
      </c>
      <c r="AD176" s="627" t="s">
        <v>733</v>
      </c>
      <c r="AE176" s="380">
        <f t="shared" si="9"/>
        <v>0</v>
      </c>
      <c r="AF176" s="381" t="str">
        <f t="shared" si="10"/>
        <v/>
      </c>
      <c r="AH176" s="356"/>
      <c r="AI176" s="917" t="s">
        <v>734</v>
      </c>
      <c r="AJ176" s="918"/>
      <c r="AK176" s="918"/>
      <c r="AL176" s="918"/>
      <c r="AM176" s="918"/>
      <c r="AN176" s="483" t="s">
        <v>735</v>
      </c>
      <c r="AO176" s="366">
        <f t="shared" si="30"/>
        <v>0</v>
      </c>
      <c r="AP176" s="609"/>
      <c r="AQ176" s="356"/>
      <c r="AR176" s="957" t="s">
        <v>736</v>
      </c>
      <c r="AS176" s="958"/>
      <c r="AT176" s="958"/>
      <c r="AU176" s="958"/>
      <c r="AV176" s="958"/>
      <c r="AW176" s="628" t="s">
        <v>737</v>
      </c>
      <c r="AX176" s="366">
        <f t="shared" si="16"/>
        <v>0</v>
      </c>
      <c r="AY176" s="542"/>
      <c r="BA176" s="359"/>
      <c r="BC176" s="623"/>
      <c r="BD176" s="623"/>
      <c r="BE176" s="623"/>
      <c r="BF176" s="623"/>
    </row>
    <row r="177" spans="1:58" ht="18">
      <c r="A177" s="981" t="s">
        <v>738</v>
      </c>
      <c r="B177" s="982"/>
      <c r="C177" s="983"/>
      <c r="D177" s="984"/>
      <c r="E177" s="985"/>
      <c r="F177" s="629" t="s">
        <v>739</v>
      </c>
      <c r="G177" s="929">
        <f>COUNTIF($N$1:$BK$52,F177)</f>
        <v>0</v>
      </c>
      <c r="H177" s="930"/>
      <c r="I177" s="931"/>
      <c r="J177" s="401">
        <v>0</v>
      </c>
      <c r="K177" s="402">
        <v>0</v>
      </c>
      <c r="L177" s="403">
        <f t="shared" si="37"/>
        <v>0</v>
      </c>
      <c r="M177" s="316"/>
      <c r="N177" s="981" t="s">
        <v>738</v>
      </c>
      <c r="O177" s="982"/>
      <c r="P177" s="983"/>
      <c r="Q177" s="984"/>
      <c r="R177" s="985"/>
      <c r="S177" s="629" t="s">
        <v>739</v>
      </c>
      <c r="T177" s="932">
        <f>COUNTIF($A$1:$M$22,S177)</f>
        <v>0</v>
      </c>
      <c r="U177" s="932"/>
      <c r="V177" s="932"/>
      <c r="W177" s="401">
        <v>0</v>
      </c>
      <c r="X177" s="402">
        <v>0</v>
      </c>
      <c r="Y177" s="403">
        <f t="shared" si="38"/>
        <v>0</v>
      </c>
      <c r="Z177" s="404">
        <f t="shared" si="39"/>
        <v>0</v>
      </c>
      <c r="AA177" s="372"/>
      <c r="AC177" s="465" t="s">
        <v>740</v>
      </c>
      <c r="AD177" s="630" t="s">
        <v>741</v>
      </c>
      <c r="AE177" s="380">
        <f t="shared" si="9"/>
        <v>0</v>
      </c>
      <c r="AF177" s="381" t="str">
        <f t="shared" si="10"/>
        <v/>
      </c>
      <c r="AH177" s="356"/>
      <c r="AI177" s="917" t="s">
        <v>742</v>
      </c>
      <c r="AJ177" s="918"/>
      <c r="AK177" s="918"/>
      <c r="AL177" s="918"/>
      <c r="AM177" s="918"/>
      <c r="AN177" s="483" t="s">
        <v>5</v>
      </c>
      <c r="AO177" s="366">
        <f t="shared" si="30"/>
        <v>0</v>
      </c>
      <c r="AP177" s="609"/>
      <c r="AQ177" s="356"/>
      <c r="AR177" s="957" t="s">
        <v>743</v>
      </c>
      <c r="AS177" s="958"/>
      <c r="AT177" s="958"/>
      <c r="AU177" s="958"/>
      <c r="AV177" s="958"/>
      <c r="AW177" s="631" t="s">
        <v>744</v>
      </c>
      <c r="AX177" s="366">
        <f t="shared" si="16"/>
        <v>0</v>
      </c>
      <c r="AY177" s="542"/>
      <c r="BA177" s="359"/>
      <c r="BC177" s="632"/>
      <c r="BD177" s="632"/>
      <c r="BE177" s="632"/>
      <c r="BF177" s="632"/>
    </row>
    <row r="178" spans="1:58" ht="18">
      <c r="A178" s="981" t="s">
        <v>745</v>
      </c>
      <c r="B178" s="982"/>
      <c r="C178" s="983"/>
      <c r="D178" s="984"/>
      <c r="E178" s="985"/>
      <c r="F178" s="633" t="s">
        <v>746</v>
      </c>
      <c r="G178" s="929">
        <f>COUNTIF($N$1:$BK$52,F178)</f>
        <v>0</v>
      </c>
      <c r="H178" s="930"/>
      <c r="I178" s="931"/>
      <c r="J178" s="401">
        <v>0</v>
      </c>
      <c r="K178" s="402">
        <v>0</v>
      </c>
      <c r="L178" s="403">
        <f t="shared" si="37"/>
        <v>0</v>
      </c>
      <c r="M178" s="316"/>
      <c r="N178" s="981" t="s">
        <v>745</v>
      </c>
      <c r="O178" s="982"/>
      <c r="P178" s="983"/>
      <c r="Q178" s="984"/>
      <c r="R178" s="985"/>
      <c r="S178" s="633" t="s">
        <v>746</v>
      </c>
      <c r="T178" s="932">
        <f>COUNTIF($A$1:$M$22,S178)</f>
        <v>0</v>
      </c>
      <c r="U178" s="932"/>
      <c r="V178" s="932"/>
      <c r="W178" s="401">
        <v>0</v>
      </c>
      <c r="X178" s="402">
        <v>0</v>
      </c>
      <c r="Y178" s="403">
        <f t="shared" si="38"/>
        <v>0</v>
      </c>
      <c r="Z178" s="404">
        <f t="shared" si="39"/>
        <v>0</v>
      </c>
      <c r="AA178" s="372"/>
      <c r="AC178" s="465" t="s">
        <v>747</v>
      </c>
      <c r="AD178" s="630" t="s">
        <v>748</v>
      </c>
      <c r="AE178" s="380">
        <f t="shared" ref="AE178:AE186" si="40">COUNTIF($A$1:$GO$65,AD178)</f>
        <v>0</v>
      </c>
      <c r="AF178" s="381" t="str">
        <f t="shared" si="10"/>
        <v/>
      </c>
      <c r="AH178" s="356"/>
      <c r="AI178" s="917" t="s">
        <v>749</v>
      </c>
      <c r="AJ178" s="918"/>
      <c r="AK178" s="918"/>
      <c r="AL178" s="918"/>
      <c r="AM178" s="918"/>
      <c r="AN178" s="634" t="s">
        <v>750</v>
      </c>
      <c r="AO178" s="366">
        <f t="shared" si="30"/>
        <v>0</v>
      </c>
      <c r="AP178" s="609"/>
      <c r="AQ178" s="356"/>
      <c r="AR178" s="957" t="s">
        <v>751</v>
      </c>
      <c r="AS178" s="958"/>
      <c r="AT178" s="958"/>
      <c r="AU178" s="958"/>
      <c r="AV178" s="958"/>
      <c r="AW178" s="631" t="s">
        <v>752</v>
      </c>
      <c r="AX178" s="366">
        <f t="shared" si="16"/>
        <v>0</v>
      </c>
      <c r="AY178" s="542"/>
      <c r="BA178" s="359"/>
    </row>
    <row r="179" spans="1:58" ht="18">
      <c r="A179" s="981" t="s">
        <v>753</v>
      </c>
      <c r="B179" s="982"/>
      <c r="C179" s="983"/>
      <c r="D179" s="984"/>
      <c r="E179" s="985"/>
      <c r="F179" s="635" t="s">
        <v>754</v>
      </c>
      <c r="G179" s="929">
        <f>COUNTIF($N$1:$BK$52,F179)</f>
        <v>0</v>
      </c>
      <c r="H179" s="930"/>
      <c r="I179" s="931"/>
      <c r="J179" s="401">
        <v>0</v>
      </c>
      <c r="K179" s="402">
        <v>0</v>
      </c>
      <c r="L179" s="403">
        <f t="shared" si="37"/>
        <v>0</v>
      </c>
      <c r="M179" s="316"/>
      <c r="N179" s="981" t="s">
        <v>753</v>
      </c>
      <c r="O179" s="982"/>
      <c r="P179" s="983"/>
      <c r="Q179" s="984"/>
      <c r="R179" s="985"/>
      <c r="S179" s="635" t="s">
        <v>754</v>
      </c>
      <c r="T179" s="932">
        <f>COUNTIF($A$1:$M$22,S179)</f>
        <v>0</v>
      </c>
      <c r="U179" s="932"/>
      <c r="V179" s="932"/>
      <c r="W179" s="401">
        <v>0</v>
      </c>
      <c r="X179" s="402">
        <v>0</v>
      </c>
      <c r="Y179" s="403">
        <f t="shared" si="38"/>
        <v>0</v>
      </c>
      <c r="Z179" s="404">
        <f t="shared" si="39"/>
        <v>0</v>
      </c>
      <c r="AA179" s="372"/>
      <c r="AC179" s="465" t="s">
        <v>755</v>
      </c>
      <c r="AD179" s="636" t="s">
        <v>756</v>
      </c>
      <c r="AE179" s="380">
        <f t="shared" si="40"/>
        <v>0</v>
      </c>
      <c r="AF179" s="381" t="str">
        <f t="shared" ref="AF179:AF186" si="41">IFERROR(AE179/$J$4,"")</f>
        <v/>
      </c>
      <c r="AH179" s="356"/>
      <c r="AI179" s="917" t="s">
        <v>757</v>
      </c>
      <c r="AJ179" s="918"/>
      <c r="AK179" s="918"/>
      <c r="AL179" s="918"/>
      <c r="AM179" s="918"/>
      <c r="AN179" s="383" t="s">
        <v>758</v>
      </c>
      <c r="AO179" s="366">
        <f t="shared" si="30"/>
        <v>0</v>
      </c>
      <c r="AP179" s="609"/>
      <c r="AQ179" s="356"/>
      <c r="AR179" s="957" t="s">
        <v>759</v>
      </c>
      <c r="AS179" s="958"/>
      <c r="AT179" s="958"/>
      <c r="AU179" s="958"/>
      <c r="AV179" s="958"/>
      <c r="AW179" s="637" t="s">
        <v>760</v>
      </c>
      <c r="AX179" s="366">
        <f t="shared" si="16"/>
        <v>0</v>
      </c>
      <c r="AY179" s="542"/>
      <c r="BA179" s="359"/>
      <c r="BC179" s="623"/>
      <c r="BD179" s="623"/>
      <c r="BE179" s="623"/>
      <c r="BF179" s="623"/>
    </row>
    <row r="180" spans="1:58" ht="18.75">
      <c r="A180" s="979" t="s">
        <v>761</v>
      </c>
      <c r="B180" s="979"/>
      <c r="C180" s="979"/>
      <c r="D180" s="979"/>
      <c r="E180" s="979"/>
      <c r="F180" s="584"/>
      <c r="G180" s="980">
        <f>SUM(G176:I179)</f>
        <v>0</v>
      </c>
      <c r="H180" s="980"/>
      <c r="I180" s="980"/>
      <c r="J180" s="599">
        <f t="shared" ref="J180:L180" si="42">SUM(J176:J179)</f>
        <v>0</v>
      </c>
      <c r="K180" s="600">
        <f t="shared" si="42"/>
        <v>0</v>
      </c>
      <c r="L180" s="601">
        <f t="shared" si="42"/>
        <v>0</v>
      </c>
      <c r="M180" s="316"/>
      <c r="N180" s="979" t="s">
        <v>761</v>
      </c>
      <c r="O180" s="979"/>
      <c r="P180" s="979"/>
      <c r="Q180" s="979"/>
      <c r="R180" s="979"/>
      <c r="S180" s="584"/>
      <c r="T180" s="980">
        <f>SUM(T176:V179)</f>
        <v>0</v>
      </c>
      <c r="U180" s="980"/>
      <c r="V180" s="980"/>
      <c r="W180" s="599">
        <f t="shared" ref="W180:Y180" si="43">SUM(W176:W179)</f>
        <v>0</v>
      </c>
      <c r="X180" s="600">
        <f t="shared" si="43"/>
        <v>0</v>
      </c>
      <c r="Y180" s="601">
        <f t="shared" si="43"/>
        <v>0</v>
      </c>
      <c r="Z180" s="404">
        <f t="shared" si="39"/>
        <v>0</v>
      </c>
      <c r="AA180" s="372"/>
      <c r="AC180" s="465" t="s">
        <v>762</v>
      </c>
      <c r="AD180" s="606" t="s">
        <v>763</v>
      </c>
      <c r="AE180" s="380">
        <f t="shared" si="40"/>
        <v>0</v>
      </c>
      <c r="AF180" s="381" t="str">
        <f t="shared" si="41"/>
        <v/>
      </c>
      <c r="AI180" s="917" t="s">
        <v>764</v>
      </c>
      <c r="AJ180" s="918"/>
      <c r="AK180" s="918"/>
      <c r="AL180" s="918"/>
      <c r="AM180" s="918"/>
      <c r="AN180" s="445" t="s">
        <v>765</v>
      </c>
      <c r="AO180" s="366">
        <f t="shared" si="30"/>
        <v>0</v>
      </c>
      <c r="AP180" s="609"/>
      <c r="AQ180" s="356"/>
      <c r="AR180" s="957" t="s">
        <v>766</v>
      </c>
      <c r="AS180" s="958"/>
      <c r="AT180" s="958"/>
      <c r="AU180" s="958"/>
      <c r="AV180" s="958"/>
      <c r="AW180" s="638" t="s">
        <v>767</v>
      </c>
      <c r="AX180" s="366">
        <f t="shared" si="16"/>
        <v>0</v>
      </c>
      <c r="AY180" s="542"/>
      <c r="BA180" s="359"/>
      <c r="BC180" s="625"/>
      <c r="BD180" s="625"/>
      <c r="BE180" s="625"/>
      <c r="BF180" s="625"/>
    </row>
    <row r="181" spans="1:58" ht="18">
      <c r="A181" s="583"/>
      <c r="B181" s="583"/>
      <c r="C181" s="583"/>
      <c r="D181" s="583"/>
      <c r="E181" s="583"/>
      <c r="F181" s="584"/>
      <c r="J181" s="585"/>
      <c r="K181" s="585"/>
      <c r="M181" s="316"/>
      <c r="N181" s="583"/>
      <c r="O181" s="583"/>
      <c r="P181" s="583"/>
      <c r="Q181" s="583"/>
      <c r="R181" s="583"/>
      <c r="S181" s="584"/>
      <c r="W181" s="585"/>
      <c r="X181" s="585"/>
      <c r="AA181" s="372"/>
      <c r="AC181" s="465" t="s">
        <v>768</v>
      </c>
      <c r="AD181" s="627" t="s">
        <v>769</v>
      </c>
      <c r="AE181" s="380">
        <f t="shared" si="40"/>
        <v>0</v>
      </c>
      <c r="AF181" s="381" t="str">
        <f t="shared" si="41"/>
        <v/>
      </c>
      <c r="AI181" s="917" t="s">
        <v>770</v>
      </c>
      <c r="AJ181" s="918"/>
      <c r="AK181" s="918"/>
      <c r="AL181" s="918"/>
      <c r="AM181" s="918"/>
      <c r="AN181" s="489" t="s">
        <v>771</v>
      </c>
      <c r="AO181" s="366">
        <f t="shared" si="30"/>
        <v>0</v>
      </c>
      <c r="AP181" s="609"/>
      <c r="AQ181" s="356"/>
      <c r="AR181" s="957" t="s">
        <v>772</v>
      </c>
      <c r="AS181" s="958"/>
      <c r="AT181" s="958"/>
      <c r="AU181" s="958"/>
      <c r="AV181" s="958"/>
      <c r="AW181" s="639" t="s">
        <v>773</v>
      </c>
      <c r="AX181" s="366">
        <f t="shared" si="16"/>
        <v>0</v>
      </c>
      <c r="AY181" s="542"/>
      <c r="BA181" s="359"/>
      <c r="BC181" s="623"/>
      <c r="BD181" s="623"/>
      <c r="BE181" s="623"/>
      <c r="BF181" s="623"/>
    </row>
    <row r="182" spans="1:58" ht="18.75">
      <c r="A182" s="583"/>
      <c r="B182" s="583"/>
      <c r="C182" s="583"/>
      <c r="D182" s="583"/>
      <c r="E182" s="583"/>
      <c r="F182" s="584"/>
      <c r="J182" s="585"/>
      <c r="K182" s="585"/>
      <c r="M182" s="316"/>
      <c r="N182" s="583"/>
      <c r="O182" s="583"/>
      <c r="P182" s="583"/>
      <c r="Q182" s="583"/>
      <c r="R182" s="583"/>
      <c r="S182" s="584"/>
      <c r="W182" s="585"/>
      <c r="X182" s="585"/>
      <c r="AA182" s="372"/>
      <c r="AC182" s="465" t="s">
        <v>774</v>
      </c>
      <c r="AD182" s="640" t="s">
        <v>775</v>
      </c>
      <c r="AE182" s="380">
        <f t="shared" si="40"/>
        <v>0</v>
      </c>
      <c r="AF182" s="381" t="str">
        <f t="shared" si="41"/>
        <v/>
      </c>
      <c r="AI182" s="917" t="s">
        <v>776</v>
      </c>
      <c r="AJ182" s="918"/>
      <c r="AK182" s="918"/>
      <c r="AL182" s="918"/>
      <c r="AM182" s="918"/>
      <c r="AN182" s="287" t="s">
        <v>777</v>
      </c>
      <c r="AO182" s="366">
        <f t="shared" si="30"/>
        <v>0</v>
      </c>
      <c r="AP182" s="609"/>
      <c r="AQ182" s="356"/>
      <c r="AR182" s="957" t="s">
        <v>778</v>
      </c>
      <c r="AS182" s="958"/>
      <c r="AT182" s="958"/>
      <c r="AU182" s="958"/>
      <c r="AV182" s="958"/>
      <c r="AW182" s="641" t="s">
        <v>779</v>
      </c>
      <c r="AX182" s="366">
        <f t="shared" si="16"/>
        <v>0</v>
      </c>
      <c r="AY182" s="542"/>
      <c r="BA182" s="359"/>
      <c r="BC182" s="632"/>
      <c r="BD182" s="632"/>
      <c r="BE182" s="632"/>
      <c r="BF182" s="632"/>
    </row>
    <row r="183" spans="1:58" ht="18.75">
      <c r="A183" s="986" t="s">
        <v>780</v>
      </c>
      <c r="B183" s="987"/>
      <c r="C183" s="987"/>
      <c r="D183" s="987"/>
      <c r="E183" s="988"/>
      <c r="F183" s="587"/>
      <c r="G183" s="989"/>
      <c r="H183" s="989"/>
      <c r="I183" s="990"/>
      <c r="J183" s="588" t="s">
        <v>250</v>
      </c>
      <c r="K183" s="589" t="s">
        <v>251</v>
      </c>
      <c r="L183" s="588" t="s">
        <v>252</v>
      </c>
      <c r="M183" s="316"/>
      <c r="N183" s="986" t="s">
        <v>780</v>
      </c>
      <c r="O183" s="987"/>
      <c r="P183" s="987"/>
      <c r="Q183" s="987"/>
      <c r="R183" s="988"/>
      <c r="S183" s="587"/>
      <c r="T183" s="989"/>
      <c r="U183" s="989"/>
      <c r="V183" s="990"/>
      <c r="W183" s="588" t="s">
        <v>250</v>
      </c>
      <c r="X183" s="589" t="s">
        <v>251</v>
      </c>
      <c r="Y183" s="588" t="s">
        <v>252</v>
      </c>
      <c r="AA183" s="372"/>
      <c r="AC183" s="465" t="s">
        <v>781</v>
      </c>
      <c r="AD183" s="642" t="s">
        <v>781</v>
      </c>
      <c r="AE183" s="380">
        <f t="shared" si="40"/>
        <v>0</v>
      </c>
      <c r="AF183" s="381" t="str">
        <f t="shared" si="41"/>
        <v/>
      </c>
      <c r="AI183" s="917" t="s">
        <v>782</v>
      </c>
      <c r="AJ183" s="918"/>
      <c r="AK183" s="918"/>
      <c r="AL183" s="918"/>
      <c r="AM183" s="918"/>
      <c r="AN183" s="496" t="s">
        <v>783</v>
      </c>
      <c r="AO183" s="366">
        <f t="shared" si="30"/>
        <v>0</v>
      </c>
      <c r="AP183" s="609"/>
      <c r="AQ183" s="356"/>
      <c r="AR183" s="957" t="s">
        <v>784</v>
      </c>
      <c r="AS183" s="958"/>
      <c r="AT183" s="958"/>
      <c r="AU183" s="958"/>
      <c r="AV183" s="958"/>
      <c r="AW183" s="643" t="s">
        <v>785</v>
      </c>
      <c r="AX183" s="366">
        <f t="shared" si="16"/>
        <v>0</v>
      </c>
      <c r="AY183" s="542"/>
      <c r="BA183" s="359"/>
    </row>
    <row r="184" spans="1:58" ht="18">
      <c r="A184" s="981" t="s">
        <v>58</v>
      </c>
      <c r="B184" s="982"/>
      <c r="C184" s="983"/>
      <c r="D184" s="984"/>
      <c r="E184" s="985"/>
      <c r="F184" s="52" t="s">
        <v>59</v>
      </c>
      <c r="G184" s="929">
        <f>COUNTIF($N$1:$BK$52,F184)</f>
        <v>7</v>
      </c>
      <c r="H184" s="930"/>
      <c r="I184" s="931"/>
      <c r="J184" s="401">
        <v>0</v>
      </c>
      <c r="K184" s="402">
        <v>0</v>
      </c>
      <c r="L184" s="403">
        <f t="shared" ref="L184:L186" si="44">G184-K184-J184</f>
        <v>7</v>
      </c>
      <c r="M184" s="316"/>
      <c r="N184" s="981" t="s">
        <v>58</v>
      </c>
      <c r="O184" s="982"/>
      <c r="P184" s="983"/>
      <c r="Q184" s="984"/>
      <c r="R184" s="985"/>
      <c r="S184" s="52" t="s">
        <v>59</v>
      </c>
      <c r="T184" s="932">
        <f>COUNTIF($A$1:$M$22,S184)</f>
        <v>0</v>
      </c>
      <c r="U184" s="932"/>
      <c r="V184" s="932"/>
      <c r="W184" s="401">
        <v>0</v>
      </c>
      <c r="X184" s="402">
        <v>0</v>
      </c>
      <c r="Y184" s="403">
        <f t="shared" ref="Y184:Y186" si="45">T184-X184-W184</f>
        <v>0</v>
      </c>
      <c r="Z184" s="404">
        <f t="shared" ref="Z184:Z187" si="46">T184+G184</f>
        <v>7</v>
      </c>
      <c r="AA184" s="372"/>
      <c r="AC184" s="465" t="s">
        <v>786</v>
      </c>
      <c r="AD184" s="420" t="s">
        <v>787</v>
      </c>
      <c r="AE184" s="380">
        <f t="shared" si="40"/>
        <v>0</v>
      </c>
      <c r="AF184" s="381" t="str">
        <f t="shared" si="41"/>
        <v/>
      </c>
      <c r="AI184" s="917" t="s">
        <v>788</v>
      </c>
      <c r="AJ184" s="918"/>
      <c r="AK184" s="918"/>
      <c r="AL184" s="918"/>
      <c r="AM184" s="918"/>
      <c r="AN184" s="624" t="s">
        <v>789</v>
      </c>
      <c r="AO184" s="366">
        <f t="shared" si="30"/>
        <v>0</v>
      </c>
      <c r="AP184" s="609"/>
      <c r="AQ184" s="356"/>
      <c r="AR184" s="957" t="s">
        <v>790</v>
      </c>
      <c r="AS184" s="958"/>
      <c r="AT184" s="958"/>
      <c r="AU184" s="958"/>
      <c r="AV184" s="958"/>
      <c r="AW184" s="496" t="s">
        <v>154</v>
      </c>
      <c r="AX184" s="366">
        <f t="shared" si="16"/>
        <v>1</v>
      </c>
      <c r="AY184" s="542"/>
      <c r="BA184" s="359"/>
      <c r="BC184" s="623"/>
      <c r="BD184" s="623"/>
      <c r="BE184" s="623"/>
      <c r="BF184" s="623"/>
    </row>
    <row r="185" spans="1:58" ht="18">
      <c r="A185" s="981" t="s">
        <v>60</v>
      </c>
      <c r="B185" s="982"/>
      <c r="C185" s="983"/>
      <c r="D185" s="984"/>
      <c r="E185" s="985"/>
      <c r="F185" s="53" t="s">
        <v>61</v>
      </c>
      <c r="G185" s="929">
        <f>COUNTIF($N$1:$BK$52,F185)</f>
        <v>8</v>
      </c>
      <c r="H185" s="930"/>
      <c r="I185" s="931"/>
      <c r="J185" s="401">
        <v>0</v>
      </c>
      <c r="K185" s="402">
        <v>0</v>
      </c>
      <c r="L185" s="403">
        <f t="shared" si="44"/>
        <v>8</v>
      </c>
      <c r="M185" s="316"/>
      <c r="N185" s="981" t="s">
        <v>60</v>
      </c>
      <c r="O185" s="982"/>
      <c r="P185" s="983"/>
      <c r="Q185" s="984"/>
      <c r="R185" s="985"/>
      <c r="S185" s="53" t="s">
        <v>61</v>
      </c>
      <c r="T185" s="932">
        <f>COUNTIF($A$1:$M$22,S185)</f>
        <v>0</v>
      </c>
      <c r="U185" s="932"/>
      <c r="V185" s="932"/>
      <c r="W185" s="401">
        <v>0</v>
      </c>
      <c r="X185" s="402">
        <v>0</v>
      </c>
      <c r="Y185" s="403">
        <f t="shared" si="45"/>
        <v>0</v>
      </c>
      <c r="Z185" s="404">
        <f t="shared" si="46"/>
        <v>8</v>
      </c>
      <c r="AA185" s="372"/>
      <c r="AC185" s="465" t="s">
        <v>791</v>
      </c>
      <c r="AD185" s="269" t="s">
        <v>180</v>
      </c>
      <c r="AE185" s="380">
        <f t="shared" si="40"/>
        <v>6</v>
      </c>
      <c r="AF185" s="381" t="str">
        <f t="shared" si="41"/>
        <v/>
      </c>
      <c r="AI185" s="917" t="s">
        <v>792</v>
      </c>
      <c r="AJ185" s="918"/>
      <c r="AK185" s="918"/>
      <c r="AL185" s="918"/>
      <c r="AM185" s="918"/>
      <c r="AN185" s="644" t="s">
        <v>793</v>
      </c>
      <c r="AO185" s="366">
        <f t="shared" si="30"/>
        <v>0</v>
      </c>
      <c r="AP185" s="609"/>
      <c r="AQ185" s="356"/>
      <c r="AR185" s="957" t="s">
        <v>794</v>
      </c>
      <c r="AS185" s="958"/>
      <c r="AT185" s="958"/>
      <c r="AU185" s="958"/>
      <c r="AV185" s="958"/>
      <c r="AW185" s="645" t="s">
        <v>795</v>
      </c>
      <c r="AX185" s="366">
        <f t="shared" si="16"/>
        <v>0</v>
      </c>
      <c r="AY185" s="542"/>
      <c r="BA185" s="359"/>
      <c r="BC185" s="625"/>
      <c r="BD185" s="625"/>
      <c r="BE185" s="625"/>
      <c r="BF185" s="625"/>
    </row>
    <row r="186" spans="1:58" ht="18">
      <c r="A186" s="981" t="s">
        <v>62</v>
      </c>
      <c r="B186" s="982"/>
      <c r="C186" s="983"/>
      <c r="D186" s="984"/>
      <c r="E186" s="985"/>
      <c r="F186" s="54" t="s">
        <v>63</v>
      </c>
      <c r="G186" s="929">
        <f>COUNTIF($N$1:$BK$52,F186)</f>
        <v>9</v>
      </c>
      <c r="H186" s="930"/>
      <c r="I186" s="931"/>
      <c r="J186" s="401">
        <v>0</v>
      </c>
      <c r="K186" s="402">
        <v>0</v>
      </c>
      <c r="L186" s="403">
        <f t="shared" si="44"/>
        <v>9</v>
      </c>
      <c r="M186" s="316"/>
      <c r="N186" s="981" t="s">
        <v>62</v>
      </c>
      <c r="O186" s="982"/>
      <c r="P186" s="983"/>
      <c r="Q186" s="984"/>
      <c r="R186" s="985"/>
      <c r="S186" s="54" t="s">
        <v>63</v>
      </c>
      <c r="T186" s="932">
        <f>COUNTIF($A$1:$M$22,S186)</f>
        <v>0</v>
      </c>
      <c r="U186" s="932"/>
      <c r="V186" s="932"/>
      <c r="W186" s="401">
        <v>0</v>
      </c>
      <c r="X186" s="402">
        <v>0</v>
      </c>
      <c r="Y186" s="403">
        <f t="shared" si="45"/>
        <v>0</v>
      </c>
      <c r="Z186" s="404">
        <f t="shared" si="46"/>
        <v>9</v>
      </c>
      <c r="AA186" s="372"/>
      <c r="AC186" s="465" t="s">
        <v>796</v>
      </c>
      <c r="AD186" s="646" t="s">
        <v>797</v>
      </c>
      <c r="AE186" s="380">
        <f t="shared" si="40"/>
        <v>0</v>
      </c>
      <c r="AF186" s="381" t="str">
        <f t="shared" si="41"/>
        <v/>
      </c>
      <c r="AI186" s="917" t="s">
        <v>798</v>
      </c>
      <c r="AJ186" s="918"/>
      <c r="AK186" s="918"/>
      <c r="AL186" s="918"/>
      <c r="AM186" s="918"/>
      <c r="AN186" s="647" t="s">
        <v>799</v>
      </c>
      <c r="AO186" s="366">
        <f t="shared" si="30"/>
        <v>0</v>
      </c>
      <c r="AP186" s="609"/>
      <c r="AQ186" s="356"/>
      <c r="AR186" s="954" t="s">
        <v>800</v>
      </c>
      <c r="AS186" s="955"/>
      <c r="AT186" s="955"/>
      <c r="AU186" s="955"/>
      <c r="AV186" s="956"/>
      <c r="AW186" s="515"/>
      <c r="AX186" s="516">
        <f>SUM(AX132:AX185)</f>
        <v>19</v>
      </c>
      <c r="AY186" s="356"/>
      <c r="BA186" s="359"/>
      <c r="BC186" s="623"/>
      <c r="BD186" s="623"/>
      <c r="BE186" s="623"/>
      <c r="BF186" s="623"/>
    </row>
    <row r="187" spans="1:58" ht="18">
      <c r="A187" s="978" t="s">
        <v>801</v>
      </c>
      <c r="B187" s="979"/>
      <c r="C187" s="979"/>
      <c r="D187" s="979"/>
      <c r="E187" s="979"/>
      <c r="F187" s="584"/>
      <c r="G187" s="980">
        <f t="shared" ref="G187" si="47">SUM(G184:I186)</f>
        <v>24</v>
      </c>
      <c r="H187" s="980"/>
      <c r="I187" s="980"/>
      <c r="J187" s="599">
        <f t="shared" ref="J187:L187" si="48">SUM(J184:L186)</f>
        <v>24</v>
      </c>
      <c r="K187" s="600">
        <f t="shared" si="48"/>
        <v>24</v>
      </c>
      <c r="L187" s="403">
        <f t="shared" si="48"/>
        <v>24</v>
      </c>
      <c r="M187" s="316"/>
      <c r="N187" s="978" t="s">
        <v>801</v>
      </c>
      <c r="O187" s="979"/>
      <c r="P187" s="979"/>
      <c r="Q187" s="979"/>
      <c r="R187" s="979"/>
      <c r="S187" s="584"/>
      <c r="T187" s="980">
        <f t="shared" ref="T187" si="49">SUM(T184:V186)</f>
        <v>0</v>
      </c>
      <c r="U187" s="980"/>
      <c r="V187" s="980"/>
      <c r="W187" s="599">
        <f t="shared" ref="W187:X187" si="50">SUM(W184:Y186)</f>
        <v>0</v>
      </c>
      <c r="X187" s="600">
        <f t="shared" si="50"/>
        <v>24</v>
      </c>
      <c r="Y187" s="403">
        <f>SUM(Y180:AA182)</f>
        <v>0</v>
      </c>
      <c r="Z187" s="404">
        <f t="shared" si="46"/>
        <v>24</v>
      </c>
      <c r="AA187" s="372"/>
      <c r="AI187" s="917" t="s">
        <v>802</v>
      </c>
      <c r="AJ187" s="918"/>
      <c r="AK187" s="918"/>
      <c r="AL187" s="918"/>
      <c r="AM187" s="918"/>
      <c r="AN187" s="568" t="s">
        <v>803</v>
      </c>
      <c r="AO187" s="366">
        <f t="shared" si="30"/>
        <v>0</v>
      </c>
      <c r="AP187" s="609"/>
      <c r="AQ187" s="356"/>
      <c r="AR187" s="356"/>
      <c r="AS187" s="356"/>
      <c r="AT187" s="356"/>
      <c r="AU187" s="356"/>
      <c r="AV187" s="356"/>
      <c r="AW187" s="356"/>
      <c r="AX187" s="356"/>
      <c r="AY187" s="356"/>
      <c r="BA187" s="359"/>
      <c r="BC187" s="632"/>
      <c r="BD187" s="632"/>
      <c r="BE187" s="632"/>
      <c r="BF187" s="632"/>
    </row>
    <row r="188" spans="1:58" ht="15.75">
      <c r="M188" s="316"/>
      <c r="AA188" s="372"/>
      <c r="AI188" s="917" t="s">
        <v>804</v>
      </c>
      <c r="AJ188" s="918"/>
      <c r="AK188" s="918"/>
      <c r="AL188" s="918"/>
      <c r="AM188" s="918"/>
      <c r="AN188" s="648" t="s">
        <v>805</v>
      </c>
      <c r="AO188" s="366">
        <f t="shared" si="30"/>
        <v>0</v>
      </c>
      <c r="AP188" s="609"/>
      <c r="AQ188" s="356"/>
      <c r="AR188" s="910" t="s">
        <v>297</v>
      </c>
      <c r="AS188" s="911"/>
      <c r="AT188" s="911"/>
      <c r="AU188" s="911"/>
      <c r="AV188" s="911"/>
      <c r="AW188" s="907"/>
      <c r="AX188" s="357" t="s">
        <v>198</v>
      </c>
      <c r="AY188" s="358"/>
      <c r="BA188" s="359"/>
    </row>
    <row r="189" spans="1:58" ht="18">
      <c r="M189" s="316"/>
      <c r="AA189" s="372"/>
      <c r="AI189" s="917" t="s">
        <v>806</v>
      </c>
      <c r="AJ189" s="918"/>
      <c r="AK189" s="918"/>
      <c r="AL189" s="918"/>
      <c r="AM189" s="918"/>
      <c r="AN189" s="648" t="s">
        <v>807</v>
      </c>
      <c r="AO189" s="366">
        <f t="shared" si="30"/>
        <v>0</v>
      </c>
      <c r="AP189" s="609"/>
      <c r="AQ189" s="356"/>
      <c r="AR189" s="957" t="s">
        <v>808</v>
      </c>
      <c r="AS189" s="958"/>
      <c r="AT189" s="958"/>
      <c r="AU189" s="958"/>
      <c r="AV189" s="958"/>
      <c r="AW189" s="649" t="s">
        <v>809</v>
      </c>
      <c r="AX189" s="366">
        <f t="shared" ref="AX189:AX226" si="51">COUNTIF($A$1:$GO$65,AW189)</f>
        <v>0</v>
      </c>
      <c r="AY189" s="650"/>
      <c r="BA189" s="359"/>
      <c r="BC189" s="623"/>
      <c r="BD189" s="623"/>
      <c r="BE189" s="623"/>
      <c r="BF189" s="623"/>
    </row>
    <row r="190" spans="1:58" ht="18.75">
      <c r="A190" s="975" t="s">
        <v>810</v>
      </c>
      <c r="B190" s="976"/>
      <c r="C190" s="976"/>
      <c r="D190" s="976"/>
      <c r="E190" s="976"/>
      <c r="F190" s="464"/>
      <c r="G190" s="977">
        <f>G157+G114+G138+G187+G180+G172+G165+G134</f>
        <v>47</v>
      </c>
      <c r="H190" s="977"/>
      <c r="I190" s="977"/>
      <c r="J190" s="651">
        <f>J157+J114+J138+J187+J180+J172+J165+J134</f>
        <v>24</v>
      </c>
      <c r="K190" s="463">
        <f>K157+K114+K138+K187+K180+K172+K165+K134</f>
        <v>24</v>
      </c>
      <c r="L190" s="403">
        <f>L157+L114+L138+L187+L180+L172+L165+L134</f>
        <v>47</v>
      </c>
      <c r="M190" s="372"/>
      <c r="N190" s="975" t="s">
        <v>810</v>
      </c>
      <c r="O190" s="976"/>
      <c r="P190" s="976"/>
      <c r="Q190" s="976"/>
      <c r="R190" s="976"/>
      <c r="S190" s="464"/>
      <c r="T190" s="977">
        <f>T157+T114+T138+T187+T180+T172+T165+T134</f>
        <v>6</v>
      </c>
      <c r="U190" s="977"/>
      <c r="V190" s="977"/>
      <c r="W190" s="651">
        <f>W157+W114+W138+W187+W180+W172+W165+W134</f>
        <v>0</v>
      </c>
      <c r="X190" s="463">
        <f>X157+X114+X138+X187+X180+X172+X165+X134</f>
        <v>24</v>
      </c>
      <c r="Y190" s="403">
        <f>Y157+Y114+Y138+Y187+Y180+Y172+Y165+Y134</f>
        <v>6</v>
      </c>
      <c r="Z190" s="404">
        <f>T190+G190</f>
        <v>53</v>
      </c>
      <c r="AA190" s="372"/>
      <c r="AI190" s="917" t="s">
        <v>811</v>
      </c>
      <c r="AJ190" s="918"/>
      <c r="AK190" s="918"/>
      <c r="AL190" s="918"/>
      <c r="AM190" s="918"/>
      <c r="AN190" s="652" t="s">
        <v>812</v>
      </c>
      <c r="AO190" s="366">
        <f t="shared" si="30"/>
        <v>0</v>
      </c>
      <c r="AP190" s="609"/>
      <c r="AQ190" s="356"/>
      <c r="AR190" s="957" t="s">
        <v>813</v>
      </c>
      <c r="AS190" s="958"/>
      <c r="AT190" s="958"/>
      <c r="AU190" s="958"/>
      <c r="AV190" s="958"/>
      <c r="AW190" s="445" t="s">
        <v>814</v>
      </c>
      <c r="AX190" s="366">
        <f t="shared" si="51"/>
        <v>0</v>
      </c>
      <c r="AY190" s="650"/>
      <c r="BA190" s="359"/>
      <c r="BC190" s="623"/>
      <c r="BD190" s="623"/>
      <c r="BE190" s="623"/>
      <c r="BF190" s="623"/>
    </row>
    <row r="191" spans="1:58" ht="18">
      <c r="M191" s="316"/>
      <c r="AA191" s="372"/>
      <c r="AI191" s="917" t="s">
        <v>815</v>
      </c>
      <c r="AJ191" s="918"/>
      <c r="AK191" s="918"/>
      <c r="AL191" s="918"/>
      <c r="AM191" s="918"/>
      <c r="AN191" s="653" t="s">
        <v>816</v>
      </c>
      <c r="AO191" s="366">
        <f t="shared" si="30"/>
        <v>0</v>
      </c>
      <c r="AP191" s="609"/>
      <c r="AQ191" s="356"/>
      <c r="AR191" s="957" t="s">
        <v>817</v>
      </c>
      <c r="AS191" s="958"/>
      <c r="AT191" s="958"/>
      <c r="AU191" s="958"/>
      <c r="AV191" s="958"/>
      <c r="AW191" s="654" t="s">
        <v>818</v>
      </c>
      <c r="AX191" s="366">
        <f t="shared" si="51"/>
        <v>0</v>
      </c>
      <c r="AY191" s="650"/>
      <c r="BA191" s="359"/>
      <c r="BB191" s="655"/>
      <c r="BC191" s="632"/>
      <c r="BD191" s="632"/>
      <c r="BE191" s="632"/>
      <c r="BF191" s="632"/>
    </row>
    <row r="192" spans="1:58" ht="16.5">
      <c r="M192" s="316"/>
      <c r="AA192" s="372"/>
      <c r="AI192" s="917" t="s">
        <v>819</v>
      </c>
      <c r="AJ192" s="918"/>
      <c r="AK192" s="918"/>
      <c r="AL192" s="918"/>
      <c r="AM192" s="918"/>
      <c r="AN192" s="434" t="s">
        <v>819</v>
      </c>
      <c r="AO192" s="366">
        <f t="shared" si="30"/>
        <v>0</v>
      </c>
      <c r="AP192" s="609"/>
      <c r="AQ192" s="356"/>
      <c r="AR192" s="957" t="s">
        <v>820</v>
      </c>
      <c r="AS192" s="958"/>
      <c r="AT192" s="958"/>
      <c r="AU192" s="958"/>
      <c r="AV192" s="958"/>
      <c r="AW192" s="656" t="s">
        <v>821</v>
      </c>
      <c r="AX192" s="366">
        <f t="shared" si="51"/>
        <v>0</v>
      </c>
      <c r="AY192" s="650"/>
      <c r="BA192" s="359"/>
      <c r="BB192" s="657"/>
    </row>
    <row r="193" spans="1:58" ht="18">
      <c r="M193" s="316"/>
      <c r="AA193" s="372"/>
      <c r="AI193" s="917" t="s">
        <v>822</v>
      </c>
      <c r="AJ193" s="918"/>
      <c r="AK193" s="918"/>
      <c r="AL193" s="918"/>
      <c r="AM193" s="918"/>
      <c r="AN193" s="658" t="s">
        <v>823</v>
      </c>
      <c r="AO193" s="366">
        <f t="shared" si="30"/>
        <v>0</v>
      </c>
      <c r="AP193" s="609"/>
      <c r="AQ193" s="356"/>
      <c r="AR193" s="957" t="s">
        <v>824</v>
      </c>
      <c r="AS193" s="958"/>
      <c r="AT193" s="958"/>
      <c r="AU193" s="958"/>
      <c r="AV193" s="958"/>
      <c r="AW193" s="659" t="s">
        <v>825</v>
      </c>
      <c r="AX193" s="366">
        <f t="shared" si="51"/>
        <v>0</v>
      </c>
      <c r="AY193" s="650"/>
      <c r="BA193" s="359"/>
      <c r="BB193" s="655"/>
      <c r="BC193" s="623"/>
      <c r="BD193" s="623"/>
      <c r="BE193" s="623"/>
      <c r="BF193" s="623"/>
    </row>
    <row r="194" spans="1:58" ht="18">
      <c r="A194" s="974" t="s">
        <v>826</v>
      </c>
      <c r="B194" s="974"/>
      <c r="C194" s="974"/>
      <c r="D194" s="974"/>
      <c r="E194" s="974"/>
      <c r="F194" s="974"/>
      <c r="G194" s="974"/>
      <c r="H194" s="974"/>
      <c r="I194" s="974"/>
      <c r="J194" s="974"/>
      <c r="K194" s="974"/>
      <c r="L194" s="974"/>
      <c r="M194" s="974"/>
      <c r="N194" s="974"/>
      <c r="O194" s="974"/>
      <c r="P194" s="974"/>
      <c r="Q194" s="974"/>
      <c r="R194" s="974"/>
      <c r="S194" s="974"/>
      <c r="T194" s="974"/>
      <c r="U194" s="974"/>
      <c r="V194" s="974"/>
      <c r="W194" s="974"/>
      <c r="X194" s="974"/>
      <c r="Y194" s="974"/>
      <c r="Z194" s="974"/>
      <c r="AA194" s="372"/>
      <c r="AI194" s="917" t="s">
        <v>827</v>
      </c>
      <c r="AJ194" s="918"/>
      <c r="AK194" s="918"/>
      <c r="AL194" s="918"/>
      <c r="AM194" s="918"/>
      <c r="AN194" s="139" t="s">
        <v>139</v>
      </c>
      <c r="AO194" s="366">
        <f t="shared" si="30"/>
        <v>2</v>
      </c>
      <c r="AP194" s="609"/>
      <c r="AQ194" s="356"/>
      <c r="AR194" s="957" t="s">
        <v>828</v>
      </c>
      <c r="AS194" s="958"/>
      <c r="AT194" s="958"/>
      <c r="AU194" s="958"/>
      <c r="AV194" s="958"/>
      <c r="AW194" s="660" t="s">
        <v>829</v>
      </c>
      <c r="AX194" s="366">
        <f t="shared" si="51"/>
        <v>0</v>
      </c>
      <c r="AY194" s="650"/>
      <c r="BA194" s="359"/>
      <c r="BB194" s="655"/>
      <c r="BC194" s="625"/>
      <c r="BD194" s="625"/>
      <c r="BE194" s="625"/>
      <c r="BF194" s="625"/>
    </row>
    <row r="195" spans="1:58" ht="18">
      <c r="A195" s="974"/>
      <c r="B195" s="974"/>
      <c r="C195" s="974"/>
      <c r="D195" s="974"/>
      <c r="E195" s="974"/>
      <c r="F195" s="974"/>
      <c r="G195" s="974"/>
      <c r="H195" s="974"/>
      <c r="I195" s="974"/>
      <c r="J195" s="974"/>
      <c r="K195" s="974"/>
      <c r="L195" s="974"/>
      <c r="M195" s="974"/>
      <c r="N195" s="974"/>
      <c r="O195" s="974"/>
      <c r="P195" s="974"/>
      <c r="Q195" s="974"/>
      <c r="R195" s="974"/>
      <c r="S195" s="974"/>
      <c r="T195" s="974"/>
      <c r="U195" s="974"/>
      <c r="V195" s="974"/>
      <c r="W195" s="974"/>
      <c r="X195" s="974"/>
      <c r="Y195" s="974"/>
      <c r="Z195" s="974"/>
      <c r="AA195" s="372" t="b">
        <f>IFERROR(#REF!&gt;0.5,FALSE)</f>
        <v>0</v>
      </c>
      <c r="AI195" s="917" t="s">
        <v>830</v>
      </c>
      <c r="AJ195" s="918"/>
      <c r="AK195" s="918"/>
      <c r="AL195" s="918"/>
      <c r="AM195" s="918"/>
      <c r="AN195" s="661" t="s">
        <v>831</v>
      </c>
      <c r="AO195" s="366">
        <f t="shared" si="30"/>
        <v>0</v>
      </c>
      <c r="AP195" s="609"/>
      <c r="AQ195" s="356"/>
      <c r="AR195" s="957" t="s">
        <v>832</v>
      </c>
      <c r="AS195" s="958"/>
      <c r="AT195" s="958"/>
      <c r="AU195" s="958"/>
      <c r="AV195" s="958"/>
      <c r="AW195" s="660" t="s">
        <v>833</v>
      </c>
      <c r="AX195" s="366">
        <f t="shared" si="51"/>
        <v>0</v>
      </c>
      <c r="AY195" s="650"/>
      <c r="BA195" s="359"/>
      <c r="BC195" s="623"/>
      <c r="BD195" s="623"/>
      <c r="BE195" s="623"/>
      <c r="BF195" s="623"/>
    </row>
    <row r="196" spans="1:58" ht="18.75" thickBot="1">
      <c r="AA196" s="372" t="b">
        <f>IFERROR(#REF!&gt;0.5,FALSE)</f>
        <v>0</v>
      </c>
      <c r="AI196" s="917" t="s">
        <v>834</v>
      </c>
      <c r="AJ196" s="918"/>
      <c r="AK196" s="918"/>
      <c r="AL196" s="918"/>
      <c r="AM196" s="918"/>
      <c r="AN196" s="662" t="s">
        <v>835</v>
      </c>
      <c r="AO196" s="366">
        <f t="shared" si="30"/>
        <v>0</v>
      </c>
      <c r="AP196" s="609"/>
      <c r="AQ196" s="356"/>
      <c r="AR196" s="957" t="s">
        <v>836</v>
      </c>
      <c r="AS196" s="958"/>
      <c r="AT196" s="958"/>
      <c r="AU196" s="958"/>
      <c r="AV196" s="958"/>
      <c r="AW196" s="660" t="s">
        <v>837</v>
      </c>
      <c r="AX196" s="366">
        <f t="shared" si="51"/>
        <v>0</v>
      </c>
      <c r="AY196" s="650"/>
      <c r="BA196" s="359"/>
      <c r="BB196" s="655"/>
      <c r="BC196" s="632"/>
      <c r="BD196" s="632"/>
      <c r="BE196" s="632"/>
      <c r="BF196" s="632"/>
    </row>
    <row r="197" spans="1:58" ht="27.75" thickBot="1">
      <c r="A197" s="966" t="s">
        <v>838</v>
      </c>
      <c r="B197" s="967"/>
      <c r="C197" s="967"/>
      <c r="D197" s="967"/>
      <c r="E197" s="967"/>
      <c r="F197" s="967"/>
      <c r="G197" s="968"/>
      <c r="H197" s="663">
        <f>F199+S199</f>
        <v>2</v>
      </c>
      <c r="AA197" s="372"/>
      <c r="AI197" s="896" t="s">
        <v>839</v>
      </c>
      <c r="AJ197" s="897"/>
      <c r="AK197" s="897"/>
      <c r="AL197" s="897"/>
      <c r="AM197" s="898"/>
      <c r="AN197" s="515"/>
      <c r="AO197" s="516">
        <f>SUM(AO168:AO196)</f>
        <v>4</v>
      </c>
      <c r="AP197" s="356"/>
      <c r="AQ197" s="356"/>
      <c r="AR197" s="957" t="s">
        <v>840</v>
      </c>
      <c r="AS197" s="958"/>
      <c r="AT197" s="958"/>
      <c r="AU197" s="958"/>
      <c r="AV197" s="958"/>
      <c r="AW197" s="664" t="s">
        <v>841</v>
      </c>
      <c r="AX197" s="366">
        <f t="shared" si="51"/>
        <v>0</v>
      </c>
      <c r="AY197" s="650"/>
      <c r="BA197" s="359"/>
      <c r="BB197" s="657"/>
    </row>
    <row r="198" spans="1:58" ht="18.75" thickBot="1">
      <c r="AA198" s="372"/>
      <c r="AI198" s="665"/>
      <c r="AJ198" s="356"/>
      <c r="AK198" s="356"/>
      <c r="AL198" s="356"/>
      <c r="AM198" s="356"/>
      <c r="AN198" s="356"/>
      <c r="AO198" s="356"/>
      <c r="AP198" s="356"/>
      <c r="AQ198" s="356"/>
      <c r="AR198" s="957" t="s">
        <v>842</v>
      </c>
      <c r="AS198" s="958"/>
      <c r="AT198" s="958"/>
      <c r="AU198" s="958"/>
      <c r="AV198" s="958"/>
      <c r="AW198" s="431" t="s">
        <v>843</v>
      </c>
      <c r="AX198" s="366">
        <f t="shared" si="51"/>
        <v>0</v>
      </c>
      <c r="AY198" s="650"/>
      <c r="BA198" s="359"/>
      <c r="BB198" s="655"/>
      <c r="BC198" s="623"/>
      <c r="BD198" s="623"/>
      <c r="BE198" s="623"/>
      <c r="BF198" s="623"/>
    </row>
    <row r="199" spans="1:58" ht="24" thickBot="1">
      <c r="A199" s="969" t="s">
        <v>844</v>
      </c>
      <c r="B199" s="970"/>
      <c r="C199" s="970"/>
      <c r="D199" s="970"/>
      <c r="E199" s="971"/>
      <c r="F199" s="972">
        <f>SUM(G208,G223,G231,G235,G239)</f>
        <v>2</v>
      </c>
      <c r="G199" s="973"/>
      <c r="N199" s="969" t="s">
        <v>810</v>
      </c>
      <c r="O199" s="970"/>
      <c r="P199" s="970"/>
      <c r="Q199" s="970"/>
      <c r="R199" s="971"/>
      <c r="S199" s="972">
        <f>SUM(T208,T223,T231,T235,T239)</f>
        <v>0</v>
      </c>
      <c r="T199" s="973"/>
      <c r="AA199" s="372"/>
      <c r="AI199" s="665"/>
      <c r="AJ199" s="356"/>
      <c r="AK199" s="356"/>
      <c r="AL199" s="356"/>
      <c r="AM199" s="356"/>
      <c r="AN199" s="356"/>
      <c r="AO199" s="356"/>
      <c r="AQ199" s="356"/>
      <c r="AR199" s="957" t="s">
        <v>845</v>
      </c>
      <c r="AS199" s="958"/>
      <c r="AT199" s="958"/>
      <c r="AU199" s="958"/>
      <c r="AV199" s="958"/>
      <c r="AW199" s="666" t="s">
        <v>846</v>
      </c>
      <c r="AX199" s="366">
        <f t="shared" si="51"/>
        <v>0</v>
      </c>
      <c r="AY199" s="667"/>
      <c r="BA199" s="359"/>
      <c r="BB199" s="655"/>
      <c r="BC199" s="625"/>
      <c r="BD199" s="625"/>
      <c r="BE199" s="625"/>
      <c r="BF199" s="625"/>
    </row>
    <row r="200" spans="1:58" ht="21.75" thickBot="1">
      <c r="A200" s="668"/>
      <c r="B200" s="669"/>
      <c r="C200" s="669"/>
      <c r="D200" s="669"/>
      <c r="E200" s="670"/>
      <c r="F200" s="670"/>
      <c r="G200" s="670"/>
      <c r="Q200" s="670"/>
      <c r="AA200" s="372"/>
      <c r="AI200" s="921" t="s">
        <v>272</v>
      </c>
      <c r="AJ200" s="911"/>
      <c r="AK200" s="911"/>
      <c r="AL200" s="911"/>
      <c r="AM200" s="911"/>
      <c r="AN200" s="912"/>
      <c r="AO200" s="357" t="s">
        <v>198</v>
      </c>
      <c r="AP200" s="358"/>
      <c r="AQ200" s="356"/>
      <c r="AR200" s="957" t="s">
        <v>847</v>
      </c>
      <c r="AS200" s="958"/>
      <c r="AT200" s="958"/>
      <c r="AU200" s="958"/>
      <c r="AV200" s="958"/>
      <c r="AW200" s="671" t="s">
        <v>848</v>
      </c>
      <c r="AX200" s="366">
        <f t="shared" si="51"/>
        <v>0</v>
      </c>
      <c r="AY200" s="667"/>
      <c r="BA200" s="359"/>
      <c r="BC200" s="623"/>
      <c r="BD200" s="623"/>
      <c r="BE200" s="623"/>
      <c r="BF200" s="623"/>
    </row>
    <row r="201" spans="1:58" ht="18.75" thickBot="1">
      <c r="A201" s="933" t="s">
        <v>849</v>
      </c>
      <c r="B201" s="934"/>
      <c r="C201" s="934"/>
      <c r="D201" s="934"/>
      <c r="E201" s="935"/>
      <c r="G201" s="963"/>
      <c r="H201" s="963"/>
      <c r="I201" s="963"/>
      <c r="N201" s="933" t="s">
        <v>849</v>
      </c>
      <c r="O201" s="934"/>
      <c r="P201" s="934"/>
      <c r="Q201" s="934"/>
      <c r="R201" s="935"/>
      <c r="T201" s="963"/>
      <c r="U201" s="963"/>
      <c r="V201" s="963"/>
      <c r="AA201" s="372"/>
      <c r="AI201" s="917" t="s">
        <v>850</v>
      </c>
      <c r="AJ201" s="918"/>
      <c r="AK201" s="918"/>
      <c r="AL201" s="918"/>
      <c r="AM201" s="919"/>
      <c r="AN201" s="672" t="s">
        <v>851</v>
      </c>
      <c r="AO201" s="366">
        <f>COUNTIF($A$1:$GO$65,AN201)</f>
        <v>0</v>
      </c>
      <c r="AP201" s="673"/>
      <c r="AQ201" s="356"/>
      <c r="AR201" s="964" t="s">
        <v>852</v>
      </c>
      <c r="AS201" s="965"/>
      <c r="AT201" s="965"/>
      <c r="AU201" s="965"/>
      <c r="AV201" s="965"/>
      <c r="AW201" s="674" t="s">
        <v>853</v>
      </c>
      <c r="AX201" s="366">
        <f t="shared" si="51"/>
        <v>0</v>
      </c>
      <c r="AY201" s="667"/>
      <c r="BA201" s="359"/>
      <c r="BC201" s="632"/>
      <c r="BD201" s="632"/>
      <c r="BE201" s="632"/>
      <c r="BF201" s="632"/>
    </row>
    <row r="202" spans="1:58" ht="18">
      <c r="A202" s="960" t="s">
        <v>854</v>
      </c>
      <c r="B202" s="960"/>
      <c r="C202" s="960"/>
      <c r="D202" s="960"/>
      <c r="E202" s="960"/>
      <c r="F202" s="256" t="s">
        <v>855</v>
      </c>
      <c r="G202" s="929">
        <f t="shared" ref="G202:G207" si="52">COUNTIF($N$1:$BK$52,F202)</f>
        <v>0</v>
      </c>
      <c r="H202" s="930"/>
      <c r="I202" s="931"/>
      <c r="N202" s="960" t="s">
        <v>854</v>
      </c>
      <c r="O202" s="960"/>
      <c r="P202" s="960"/>
      <c r="Q202" s="960"/>
      <c r="R202" s="960"/>
      <c r="S202" s="256" t="s">
        <v>855</v>
      </c>
      <c r="T202" s="932">
        <f t="shared" ref="T202:T207" si="53">COUNTIF($A$1:$M$22,S202)</f>
        <v>0</v>
      </c>
      <c r="U202" s="932"/>
      <c r="V202" s="932"/>
      <c r="AA202" s="372"/>
      <c r="AI202" s="917" t="s">
        <v>856</v>
      </c>
      <c r="AJ202" s="918"/>
      <c r="AK202" s="918"/>
      <c r="AL202" s="918"/>
      <c r="AM202" s="919"/>
      <c r="AN202" s="675" t="s">
        <v>857</v>
      </c>
      <c r="AO202" s="366">
        <f>COUNTIF($A$1:$GO$65,AN202)</f>
        <v>0</v>
      </c>
      <c r="AP202" s="673"/>
      <c r="AQ202" s="356"/>
      <c r="AR202" s="957" t="s">
        <v>858</v>
      </c>
      <c r="AS202" s="958"/>
      <c r="AT202" s="958"/>
      <c r="AU202" s="958"/>
      <c r="AV202" s="958"/>
      <c r="AW202" s="596" t="s">
        <v>859</v>
      </c>
      <c r="AX202" s="366">
        <f t="shared" si="51"/>
        <v>0</v>
      </c>
      <c r="AY202" s="667"/>
      <c r="BA202" s="359"/>
      <c r="BB202" s="655"/>
    </row>
    <row r="203" spans="1:58" ht="18.75">
      <c r="A203" s="928" t="s">
        <v>860</v>
      </c>
      <c r="B203" s="928"/>
      <c r="C203" s="928"/>
      <c r="D203" s="928"/>
      <c r="E203" s="928"/>
      <c r="F203" s="256" t="s">
        <v>861</v>
      </c>
      <c r="G203" s="929">
        <f t="shared" si="52"/>
        <v>0</v>
      </c>
      <c r="H203" s="930"/>
      <c r="I203" s="931"/>
      <c r="N203" s="928" t="s">
        <v>860</v>
      </c>
      <c r="O203" s="928"/>
      <c r="P203" s="928"/>
      <c r="Q203" s="928"/>
      <c r="R203" s="928"/>
      <c r="S203" s="256" t="s">
        <v>861</v>
      </c>
      <c r="T203" s="932">
        <f t="shared" si="53"/>
        <v>0</v>
      </c>
      <c r="U203" s="932"/>
      <c r="V203" s="932"/>
      <c r="AA203" s="372" t="b">
        <f>IFERROR(#REF!&gt;0.5,FALSE)</f>
        <v>0</v>
      </c>
      <c r="AI203" s="896" t="s">
        <v>862</v>
      </c>
      <c r="AJ203" s="897"/>
      <c r="AK203" s="897"/>
      <c r="AL203" s="897"/>
      <c r="AM203" s="898"/>
      <c r="AN203" s="515"/>
      <c r="AO203" s="516">
        <f>SUM(AO201:AO202)</f>
        <v>0</v>
      </c>
      <c r="AP203" s="356"/>
      <c r="AQ203" s="356"/>
      <c r="AR203" s="957" t="s">
        <v>863</v>
      </c>
      <c r="AS203" s="958"/>
      <c r="AT203" s="958"/>
      <c r="AU203" s="958"/>
      <c r="AV203" s="958"/>
      <c r="AW203" s="676" t="s">
        <v>864</v>
      </c>
      <c r="AX203" s="366">
        <f t="shared" si="51"/>
        <v>0</v>
      </c>
      <c r="AY203" s="667"/>
      <c r="BA203" s="359"/>
      <c r="BB203" s="657"/>
      <c r="BC203" s="623"/>
      <c r="BD203" s="623"/>
      <c r="BE203" s="623"/>
      <c r="BF203" s="623"/>
    </row>
    <row r="204" spans="1:58" ht="18.75">
      <c r="A204" s="928" t="s">
        <v>865</v>
      </c>
      <c r="B204" s="928"/>
      <c r="C204" s="928"/>
      <c r="D204" s="928"/>
      <c r="E204" s="928"/>
      <c r="F204" s="256" t="s">
        <v>866</v>
      </c>
      <c r="G204" s="929">
        <f t="shared" si="52"/>
        <v>0</v>
      </c>
      <c r="H204" s="930"/>
      <c r="I204" s="931"/>
      <c r="N204" s="928" t="s">
        <v>865</v>
      </c>
      <c r="O204" s="928"/>
      <c r="P204" s="928"/>
      <c r="Q204" s="928"/>
      <c r="R204" s="928"/>
      <c r="S204" s="256" t="s">
        <v>866</v>
      </c>
      <c r="T204" s="932">
        <f t="shared" si="53"/>
        <v>0</v>
      </c>
      <c r="U204" s="932"/>
      <c r="V204" s="932"/>
      <c r="AA204" s="372" t="b">
        <f>IFERROR(#REF!&gt;0.5,FALSE)</f>
        <v>0</v>
      </c>
      <c r="AI204" s="665"/>
      <c r="AJ204" s="356"/>
      <c r="AK204" s="356"/>
      <c r="AL204" s="356"/>
      <c r="AM204" s="356"/>
      <c r="AN204" s="356"/>
      <c r="AO204" s="356"/>
      <c r="AP204" s="356"/>
      <c r="AQ204" s="356"/>
      <c r="AR204" s="957" t="s">
        <v>867</v>
      </c>
      <c r="AS204" s="958"/>
      <c r="AT204" s="958"/>
      <c r="AU204" s="958"/>
      <c r="AV204" s="958"/>
      <c r="AW204" s="677" t="s">
        <v>868</v>
      </c>
      <c r="AX204" s="366">
        <f t="shared" si="51"/>
        <v>0</v>
      </c>
      <c r="AY204" s="667"/>
      <c r="BA204" s="359"/>
      <c r="BB204" s="655"/>
      <c r="BC204" s="625"/>
      <c r="BD204" s="625"/>
      <c r="BE204" s="625"/>
      <c r="BF204" s="625"/>
    </row>
    <row r="205" spans="1:58" ht="18.75">
      <c r="A205" s="928" t="s">
        <v>869</v>
      </c>
      <c r="B205" s="928"/>
      <c r="C205" s="928"/>
      <c r="D205" s="928"/>
      <c r="E205" s="928"/>
      <c r="F205" s="256" t="s">
        <v>870</v>
      </c>
      <c r="G205" s="929">
        <f t="shared" si="52"/>
        <v>0</v>
      </c>
      <c r="H205" s="930"/>
      <c r="I205" s="931"/>
      <c r="N205" s="928" t="s">
        <v>869</v>
      </c>
      <c r="O205" s="928"/>
      <c r="P205" s="928"/>
      <c r="Q205" s="928"/>
      <c r="R205" s="928"/>
      <c r="S205" s="256" t="s">
        <v>870</v>
      </c>
      <c r="T205" s="932">
        <f t="shared" si="53"/>
        <v>0</v>
      </c>
      <c r="U205" s="932"/>
      <c r="V205" s="932"/>
      <c r="AA205" s="372"/>
      <c r="AI205" s="665"/>
      <c r="AJ205" s="356"/>
      <c r="AK205" s="356"/>
      <c r="AL205" s="356"/>
      <c r="AM205" s="356"/>
      <c r="AN205" s="356"/>
      <c r="AO205" s="356"/>
      <c r="AP205" s="356"/>
      <c r="AQ205" s="356"/>
      <c r="AR205" s="957" t="s">
        <v>871</v>
      </c>
      <c r="AS205" s="958"/>
      <c r="AT205" s="958"/>
      <c r="AU205" s="958"/>
      <c r="AV205" s="958"/>
      <c r="AW205" s="434" t="s">
        <v>872</v>
      </c>
      <c r="AX205" s="366">
        <f t="shared" si="51"/>
        <v>0</v>
      </c>
      <c r="AY205" s="667"/>
      <c r="BA205" s="359"/>
      <c r="BC205" s="623"/>
      <c r="BD205" s="623"/>
      <c r="BE205" s="623"/>
      <c r="BF205" s="623"/>
    </row>
    <row r="206" spans="1:58" ht="18.75">
      <c r="A206" s="928" t="s">
        <v>873</v>
      </c>
      <c r="B206" s="928"/>
      <c r="C206" s="928"/>
      <c r="D206" s="928"/>
      <c r="E206" s="928"/>
      <c r="F206" s="256" t="s">
        <v>874</v>
      </c>
      <c r="G206" s="929">
        <f t="shared" si="52"/>
        <v>0</v>
      </c>
      <c r="H206" s="930"/>
      <c r="I206" s="931"/>
      <c r="N206" s="928" t="s">
        <v>873</v>
      </c>
      <c r="O206" s="928"/>
      <c r="P206" s="928"/>
      <c r="Q206" s="928"/>
      <c r="R206" s="928"/>
      <c r="S206" s="256" t="s">
        <v>874</v>
      </c>
      <c r="T206" s="932">
        <f t="shared" si="53"/>
        <v>0</v>
      </c>
      <c r="U206" s="932"/>
      <c r="V206" s="932"/>
      <c r="AA206" s="372"/>
      <c r="AI206" s="905" t="s">
        <v>875</v>
      </c>
      <c r="AJ206" s="906"/>
      <c r="AK206" s="906"/>
      <c r="AL206" s="906"/>
      <c r="AM206" s="906"/>
      <c r="AN206" s="907"/>
      <c r="AO206" s="357" t="s">
        <v>198</v>
      </c>
      <c r="AP206" s="358"/>
      <c r="AR206" s="957" t="s">
        <v>876</v>
      </c>
      <c r="AS206" s="958"/>
      <c r="AT206" s="958"/>
      <c r="AU206" s="958"/>
      <c r="AV206" s="958"/>
      <c r="AW206" s="273" t="s">
        <v>877</v>
      </c>
      <c r="AX206" s="366">
        <f t="shared" si="51"/>
        <v>0</v>
      </c>
      <c r="AY206" s="667"/>
      <c r="BA206" s="359"/>
      <c r="BB206" s="655"/>
      <c r="BC206" s="632"/>
      <c r="BD206" s="632"/>
      <c r="BE206" s="632"/>
      <c r="BF206" s="632"/>
    </row>
    <row r="207" spans="1:58" ht="18.75">
      <c r="A207" s="928" t="s">
        <v>878</v>
      </c>
      <c r="B207" s="928"/>
      <c r="C207" s="928"/>
      <c r="D207" s="928"/>
      <c r="E207" s="928"/>
      <c r="F207" s="256" t="s">
        <v>879</v>
      </c>
      <c r="G207" s="929">
        <f t="shared" si="52"/>
        <v>0</v>
      </c>
      <c r="H207" s="930"/>
      <c r="I207" s="931"/>
      <c r="N207" s="928" t="s">
        <v>878</v>
      </c>
      <c r="O207" s="928"/>
      <c r="P207" s="928"/>
      <c r="Q207" s="928"/>
      <c r="R207" s="928"/>
      <c r="S207" s="256" t="s">
        <v>879</v>
      </c>
      <c r="T207" s="932">
        <f t="shared" si="53"/>
        <v>0</v>
      </c>
      <c r="U207" s="932"/>
      <c r="V207" s="932"/>
      <c r="AA207" s="372"/>
      <c r="AH207" s="359"/>
      <c r="AI207" s="899" t="s">
        <v>880</v>
      </c>
      <c r="AJ207" s="900"/>
      <c r="AK207" s="900"/>
      <c r="AL207" s="900"/>
      <c r="AM207" s="900"/>
      <c r="AN207" s="431" t="s">
        <v>881</v>
      </c>
      <c r="AO207" s="366">
        <f t="shared" ref="AO207:AO213" si="54">COUNTIF($A$1:$GO$65,AN207)</f>
        <v>0</v>
      </c>
      <c r="AP207" s="678"/>
      <c r="AR207" s="957" t="s">
        <v>882</v>
      </c>
      <c r="AS207" s="958"/>
      <c r="AT207" s="958"/>
      <c r="AU207" s="958"/>
      <c r="AV207" s="958"/>
      <c r="AW207" s="679" t="s">
        <v>883</v>
      </c>
      <c r="AX207" s="366">
        <f t="shared" si="51"/>
        <v>0</v>
      </c>
      <c r="AY207" s="667"/>
      <c r="BA207" s="359"/>
      <c r="BB207" s="657"/>
    </row>
    <row r="208" spans="1:58" ht="19.5" thickBot="1">
      <c r="A208" s="961" t="s">
        <v>198</v>
      </c>
      <c r="B208" s="962"/>
      <c r="C208" s="962"/>
      <c r="D208" s="962"/>
      <c r="E208" s="962"/>
      <c r="F208" s="680"/>
      <c r="G208" s="925">
        <f>SUM(G202:I207)</f>
        <v>0</v>
      </c>
      <c r="H208" s="926"/>
      <c r="I208" s="927"/>
      <c r="N208" s="961" t="s">
        <v>198</v>
      </c>
      <c r="O208" s="962"/>
      <c r="P208" s="962"/>
      <c r="Q208" s="962"/>
      <c r="R208" s="962"/>
      <c r="S208" s="680"/>
      <c r="T208" s="925">
        <f>SUM(T202:V207)</f>
        <v>0</v>
      </c>
      <c r="U208" s="926"/>
      <c r="V208" s="927"/>
      <c r="AA208" s="372" t="b">
        <f>IFERROR(#REF!&gt;0.5,FALSE)</f>
        <v>0</v>
      </c>
      <c r="AH208" s="681"/>
      <c r="AI208" s="899" t="s">
        <v>884</v>
      </c>
      <c r="AJ208" s="900"/>
      <c r="AK208" s="900"/>
      <c r="AL208" s="900"/>
      <c r="AM208" s="908"/>
      <c r="AN208" s="672" t="s">
        <v>885</v>
      </c>
      <c r="AO208" s="366">
        <f t="shared" si="54"/>
        <v>0</v>
      </c>
      <c r="AP208" s="682"/>
      <c r="AR208" s="957" t="s">
        <v>886</v>
      </c>
      <c r="AS208" s="958"/>
      <c r="AT208" s="958"/>
      <c r="AU208" s="958"/>
      <c r="AV208" s="958"/>
      <c r="AW208" s="683" t="s">
        <v>887</v>
      </c>
      <c r="AX208" s="366">
        <f t="shared" si="51"/>
        <v>0</v>
      </c>
      <c r="AY208" s="667"/>
      <c r="BA208" s="359"/>
      <c r="BB208" s="655"/>
    </row>
    <row r="209" spans="1:54" ht="19.5" thickBot="1">
      <c r="A209" s="933" t="s">
        <v>888</v>
      </c>
      <c r="B209" s="934"/>
      <c r="C209" s="934"/>
      <c r="D209" s="934"/>
      <c r="E209" s="935"/>
      <c r="F209" s="56"/>
      <c r="G209" s="56"/>
      <c r="H209" s="56"/>
      <c r="I209" s="56"/>
      <c r="N209" s="933" t="s">
        <v>888</v>
      </c>
      <c r="O209" s="934"/>
      <c r="P209" s="934"/>
      <c r="Q209" s="934"/>
      <c r="R209" s="935"/>
      <c r="S209" s="56"/>
      <c r="T209" s="56"/>
      <c r="U209" s="56"/>
      <c r="V209" s="56"/>
      <c r="AA209" s="372"/>
      <c r="AH209" s="681"/>
      <c r="AI209" s="899" t="s">
        <v>889</v>
      </c>
      <c r="AJ209" s="900"/>
      <c r="AK209" s="900"/>
      <c r="AL209" s="900"/>
      <c r="AM209" s="908"/>
      <c r="AN209" s="684" t="s">
        <v>890</v>
      </c>
      <c r="AO209" s="366">
        <f t="shared" si="54"/>
        <v>0</v>
      </c>
      <c r="AP209" s="682"/>
      <c r="AR209" s="957" t="s">
        <v>891</v>
      </c>
      <c r="AS209" s="958"/>
      <c r="AT209" s="958"/>
      <c r="AU209" s="958"/>
      <c r="AV209" s="958"/>
      <c r="AW209" s="685" t="s">
        <v>892</v>
      </c>
      <c r="AX209" s="366">
        <f t="shared" si="51"/>
        <v>0</v>
      </c>
      <c r="AY209" s="667"/>
      <c r="AZ209" s="356"/>
      <c r="BA209" s="359"/>
      <c r="BB209" s="655"/>
    </row>
    <row r="210" spans="1:54" ht="18">
      <c r="A210" s="960" t="s">
        <v>854</v>
      </c>
      <c r="B210" s="960"/>
      <c r="C210" s="960"/>
      <c r="D210" s="960"/>
      <c r="E210" s="960"/>
      <c r="F210" s="256" t="s">
        <v>893</v>
      </c>
      <c r="G210" s="929">
        <f t="shared" ref="G210:G222" si="55">COUNTIF($N$1:$BK$52,F210)</f>
        <v>0</v>
      </c>
      <c r="H210" s="930"/>
      <c r="I210" s="931"/>
      <c r="N210" s="960" t="s">
        <v>854</v>
      </c>
      <c r="O210" s="960"/>
      <c r="P210" s="960"/>
      <c r="Q210" s="960"/>
      <c r="R210" s="960"/>
      <c r="S210" s="256" t="s">
        <v>893</v>
      </c>
      <c r="T210" s="932">
        <f t="shared" ref="T210:T222" si="56">COUNTIF($A$1:$M$22,S210)</f>
        <v>0</v>
      </c>
      <c r="U210" s="932"/>
      <c r="V210" s="932"/>
      <c r="AA210" s="372"/>
      <c r="AI210" s="899" t="s">
        <v>894</v>
      </c>
      <c r="AJ210" s="900"/>
      <c r="AK210" s="900"/>
      <c r="AL210" s="900"/>
      <c r="AM210" s="908"/>
      <c r="AN210" s="686" t="s">
        <v>895</v>
      </c>
      <c r="AO210" s="366">
        <f t="shared" si="54"/>
        <v>0</v>
      </c>
      <c r="AP210" s="682"/>
      <c r="AR210" s="957" t="s">
        <v>896</v>
      </c>
      <c r="AS210" s="958"/>
      <c r="AT210" s="958"/>
      <c r="AU210" s="958"/>
      <c r="AV210" s="958"/>
      <c r="AW210" s="687" t="s">
        <v>897</v>
      </c>
      <c r="AX210" s="366">
        <f t="shared" si="51"/>
        <v>0</v>
      </c>
      <c r="AY210" s="667"/>
      <c r="BA210" s="359"/>
    </row>
    <row r="211" spans="1:54" ht="18.75">
      <c r="A211" s="928" t="s">
        <v>860</v>
      </c>
      <c r="B211" s="928"/>
      <c r="C211" s="928"/>
      <c r="D211" s="928"/>
      <c r="E211" s="928"/>
      <c r="F211" s="256" t="s">
        <v>898</v>
      </c>
      <c r="G211" s="929">
        <f t="shared" si="55"/>
        <v>0</v>
      </c>
      <c r="H211" s="930"/>
      <c r="I211" s="931"/>
      <c r="N211" s="928" t="s">
        <v>860</v>
      </c>
      <c r="O211" s="928"/>
      <c r="P211" s="928"/>
      <c r="Q211" s="928"/>
      <c r="R211" s="928"/>
      <c r="S211" s="256" t="s">
        <v>898</v>
      </c>
      <c r="T211" s="932">
        <f t="shared" si="56"/>
        <v>0</v>
      </c>
      <c r="U211" s="932"/>
      <c r="V211" s="932"/>
      <c r="AA211" s="372"/>
      <c r="AI211" s="899" t="s">
        <v>899</v>
      </c>
      <c r="AJ211" s="900"/>
      <c r="AK211" s="900"/>
      <c r="AL211" s="900"/>
      <c r="AM211" s="908"/>
      <c r="AN211" s="688" t="s">
        <v>900</v>
      </c>
      <c r="AO211" s="366">
        <f t="shared" si="54"/>
        <v>0</v>
      </c>
      <c r="AP211" s="682"/>
      <c r="AR211" s="957" t="s">
        <v>901</v>
      </c>
      <c r="AS211" s="958"/>
      <c r="AT211" s="958"/>
      <c r="AU211" s="958"/>
      <c r="AV211" s="958"/>
      <c r="AW211" s="689" t="s">
        <v>902</v>
      </c>
      <c r="AX211" s="366">
        <f t="shared" si="51"/>
        <v>0</v>
      </c>
      <c r="AY211" s="667"/>
      <c r="BA211" s="359"/>
      <c r="BB211" s="655"/>
    </row>
    <row r="212" spans="1:54" ht="18">
      <c r="A212" s="928" t="s">
        <v>865</v>
      </c>
      <c r="B212" s="928"/>
      <c r="C212" s="928"/>
      <c r="D212" s="928"/>
      <c r="E212" s="928"/>
      <c r="F212" s="256" t="s">
        <v>903</v>
      </c>
      <c r="G212" s="929">
        <f t="shared" si="55"/>
        <v>0</v>
      </c>
      <c r="H212" s="930"/>
      <c r="I212" s="931"/>
      <c r="N212" s="928" t="s">
        <v>865</v>
      </c>
      <c r="O212" s="928"/>
      <c r="P212" s="928"/>
      <c r="Q212" s="928"/>
      <c r="R212" s="928"/>
      <c r="S212" s="256" t="s">
        <v>903</v>
      </c>
      <c r="T212" s="932">
        <f t="shared" si="56"/>
        <v>0</v>
      </c>
      <c r="U212" s="932"/>
      <c r="V212" s="932"/>
      <c r="AA212" s="372"/>
      <c r="AI212" s="899" t="s">
        <v>904</v>
      </c>
      <c r="AJ212" s="900"/>
      <c r="AK212" s="900"/>
      <c r="AL212" s="900"/>
      <c r="AM212" s="908"/>
      <c r="AN212" s="690" t="s">
        <v>905</v>
      </c>
      <c r="AO212" s="366">
        <f t="shared" si="54"/>
        <v>0</v>
      </c>
      <c r="AP212" s="682"/>
      <c r="AR212" s="957" t="s">
        <v>906</v>
      </c>
      <c r="AS212" s="958"/>
      <c r="AT212" s="958"/>
      <c r="AU212" s="958"/>
      <c r="AV212" s="958"/>
      <c r="AW212" s="691" t="s">
        <v>907</v>
      </c>
      <c r="AX212" s="366">
        <f t="shared" si="51"/>
        <v>0</v>
      </c>
      <c r="AY212" s="667"/>
      <c r="BA212" s="359"/>
      <c r="BB212" s="692"/>
    </row>
    <row r="213" spans="1:54" ht="18.75">
      <c r="A213" s="928" t="s">
        <v>908</v>
      </c>
      <c r="B213" s="928"/>
      <c r="C213" s="928"/>
      <c r="D213" s="928"/>
      <c r="E213" s="928"/>
      <c r="F213" s="256" t="s">
        <v>909</v>
      </c>
      <c r="G213" s="929">
        <f t="shared" si="55"/>
        <v>0</v>
      </c>
      <c r="H213" s="930"/>
      <c r="I213" s="931"/>
      <c r="N213" s="928" t="s">
        <v>908</v>
      </c>
      <c r="O213" s="928"/>
      <c r="P213" s="928"/>
      <c r="Q213" s="928"/>
      <c r="R213" s="928"/>
      <c r="S213" s="256" t="s">
        <v>909</v>
      </c>
      <c r="T213" s="932">
        <f t="shared" si="56"/>
        <v>0</v>
      </c>
      <c r="U213" s="932"/>
      <c r="V213" s="932"/>
      <c r="AA213" s="372"/>
      <c r="AI213" s="899" t="s">
        <v>910</v>
      </c>
      <c r="AJ213" s="900"/>
      <c r="AK213" s="900"/>
      <c r="AL213" s="900"/>
      <c r="AM213" s="908"/>
      <c r="AN213" s="445" t="s">
        <v>911</v>
      </c>
      <c r="AO213" s="366">
        <f t="shared" si="54"/>
        <v>0</v>
      </c>
      <c r="AP213" s="682"/>
      <c r="AR213" s="957" t="s">
        <v>912</v>
      </c>
      <c r="AS213" s="958"/>
      <c r="AT213" s="958"/>
      <c r="AU213" s="958"/>
      <c r="AV213" s="958"/>
      <c r="AW213" s="691" t="s">
        <v>913</v>
      </c>
      <c r="AX213" s="366">
        <f t="shared" si="51"/>
        <v>0</v>
      </c>
      <c r="AY213" s="667"/>
      <c r="BA213" s="359"/>
      <c r="BB213" s="655"/>
    </row>
    <row r="214" spans="1:54" ht="18.75">
      <c r="A214" s="928" t="s">
        <v>869</v>
      </c>
      <c r="B214" s="928"/>
      <c r="C214" s="928"/>
      <c r="D214" s="928"/>
      <c r="E214" s="928"/>
      <c r="F214" s="256" t="s">
        <v>161</v>
      </c>
      <c r="G214" s="929">
        <f t="shared" si="55"/>
        <v>1</v>
      </c>
      <c r="H214" s="930"/>
      <c r="I214" s="931"/>
      <c r="N214" s="928" t="s">
        <v>869</v>
      </c>
      <c r="O214" s="928"/>
      <c r="P214" s="928"/>
      <c r="Q214" s="928"/>
      <c r="R214" s="928"/>
      <c r="S214" s="256" t="s">
        <v>161</v>
      </c>
      <c r="T214" s="932">
        <f t="shared" si="56"/>
        <v>0</v>
      </c>
      <c r="U214" s="932"/>
      <c r="V214" s="932"/>
      <c r="AA214" s="372"/>
      <c r="AI214" s="896" t="s">
        <v>914</v>
      </c>
      <c r="AJ214" s="897"/>
      <c r="AK214" s="897"/>
      <c r="AL214" s="897"/>
      <c r="AM214" s="898"/>
      <c r="AN214" s="515"/>
      <c r="AO214" s="516">
        <f>SUM(AO207:AO213)</f>
        <v>0</v>
      </c>
      <c r="AP214" s="356"/>
      <c r="AR214" s="957" t="s">
        <v>915</v>
      </c>
      <c r="AS214" s="958"/>
      <c r="AT214" s="958"/>
      <c r="AU214" s="958"/>
      <c r="AV214" s="958"/>
      <c r="AW214" s="691" t="s">
        <v>916</v>
      </c>
      <c r="AX214" s="366">
        <f t="shared" si="51"/>
        <v>0</v>
      </c>
      <c r="AY214" s="667"/>
      <c r="BA214" s="359"/>
      <c r="BB214" s="655"/>
    </row>
    <row r="215" spans="1:54" ht="18">
      <c r="A215" s="928" t="s">
        <v>917</v>
      </c>
      <c r="B215" s="928"/>
      <c r="C215" s="928"/>
      <c r="D215" s="928"/>
      <c r="E215" s="928"/>
      <c r="F215" s="256" t="s">
        <v>158</v>
      </c>
      <c r="G215" s="929">
        <f t="shared" si="55"/>
        <v>1</v>
      </c>
      <c r="H215" s="930"/>
      <c r="I215" s="931"/>
      <c r="N215" s="928" t="s">
        <v>917</v>
      </c>
      <c r="O215" s="928"/>
      <c r="P215" s="928"/>
      <c r="Q215" s="928"/>
      <c r="R215" s="928"/>
      <c r="S215" s="256" t="s">
        <v>158</v>
      </c>
      <c r="T215" s="932">
        <f t="shared" si="56"/>
        <v>0</v>
      </c>
      <c r="U215" s="932"/>
      <c r="V215" s="932"/>
      <c r="AA215" s="372"/>
      <c r="AI215" s="665"/>
      <c r="AJ215" s="356"/>
      <c r="AK215" s="356"/>
      <c r="AL215" s="356"/>
      <c r="AM215" s="356"/>
      <c r="AN215" s="356"/>
      <c r="AO215" s="356"/>
      <c r="AP215" s="356"/>
      <c r="AR215" s="957" t="s">
        <v>918</v>
      </c>
      <c r="AS215" s="958"/>
      <c r="AT215" s="958"/>
      <c r="AU215" s="958"/>
      <c r="AV215" s="958"/>
      <c r="AW215" s="693" t="s">
        <v>919</v>
      </c>
      <c r="AX215" s="366">
        <f t="shared" si="51"/>
        <v>0</v>
      </c>
      <c r="AY215" s="667"/>
      <c r="BA215" s="359"/>
    </row>
    <row r="216" spans="1:54" ht="18">
      <c r="A216" s="928" t="s">
        <v>873</v>
      </c>
      <c r="B216" s="928"/>
      <c r="C216" s="928"/>
      <c r="D216" s="928"/>
      <c r="E216" s="928"/>
      <c r="F216" s="256" t="s">
        <v>920</v>
      </c>
      <c r="G216" s="929">
        <f t="shared" si="55"/>
        <v>0</v>
      </c>
      <c r="H216" s="930"/>
      <c r="I216" s="931"/>
      <c r="N216" s="928" t="s">
        <v>873</v>
      </c>
      <c r="O216" s="928"/>
      <c r="P216" s="928"/>
      <c r="Q216" s="928"/>
      <c r="R216" s="928"/>
      <c r="S216" s="256" t="s">
        <v>920</v>
      </c>
      <c r="T216" s="932">
        <f t="shared" si="56"/>
        <v>0</v>
      </c>
      <c r="U216" s="932"/>
      <c r="V216" s="932"/>
      <c r="AA216" s="372"/>
      <c r="AI216" s="694"/>
      <c r="AQ216" s="356"/>
      <c r="AR216" s="957" t="s">
        <v>921</v>
      </c>
      <c r="AS216" s="958"/>
      <c r="AT216" s="958"/>
      <c r="AU216" s="958"/>
      <c r="AV216" s="958"/>
      <c r="AW216" s="695" t="s">
        <v>922</v>
      </c>
      <c r="AX216" s="366">
        <f t="shared" si="51"/>
        <v>0</v>
      </c>
      <c r="AY216" s="667"/>
      <c r="BA216" s="359"/>
      <c r="BB216" s="655"/>
    </row>
    <row r="217" spans="1:54" ht="18">
      <c r="A217" s="928" t="s">
        <v>878</v>
      </c>
      <c r="B217" s="928"/>
      <c r="C217" s="928"/>
      <c r="D217" s="928"/>
      <c r="E217" s="928"/>
      <c r="F217" s="256" t="s">
        <v>923</v>
      </c>
      <c r="G217" s="929">
        <f t="shared" si="55"/>
        <v>0</v>
      </c>
      <c r="H217" s="930"/>
      <c r="I217" s="931"/>
      <c r="N217" s="928" t="s">
        <v>878</v>
      </c>
      <c r="O217" s="928"/>
      <c r="P217" s="928"/>
      <c r="Q217" s="928"/>
      <c r="R217" s="928"/>
      <c r="S217" s="256" t="s">
        <v>923</v>
      </c>
      <c r="T217" s="932">
        <f t="shared" si="56"/>
        <v>0</v>
      </c>
      <c r="U217" s="932"/>
      <c r="V217" s="932"/>
      <c r="AA217" s="372"/>
      <c r="AI217" s="921" t="s">
        <v>291</v>
      </c>
      <c r="AJ217" s="911"/>
      <c r="AK217" s="911"/>
      <c r="AL217" s="911"/>
      <c r="AM217" s="911"/>
      <c r="AN217" s="912"/>
      <c r="AO217" s="357" t="s">
        <v>198</v>
      </c>
      <c r="AP217" s="358"/>
      <c r="AQ217" s="696"/>
      <c r="AR217" s="917" t="s">
        <v>924</v>
      </c>
      <c r="AS217" s="918"/>
      <c r="AT217" s="918"/>
      <c r="AU217" s="918"/>
      <c r="AV217" s="918"/>
      <c r="AW217" s="697" t="s">
        <v>924</v>
      </c>
      <c r="AX217" s="366">
        <f t="shared" si="51"/>
        <v>0</v>
      </c>
      <c r="AY217" s="667"/>
      <c r="BA217" s="359"/>
      <c r="BB217" s="698"/>
    </row>
    <row r="218" spans="1:54" ht="18.75">
      <c r="A218" s="928" t="s">
        <v>925</v>
      </c>
      <c r="B218" s="928"/>
      <c r="C218" s="928"/>
      <c r="D218" s="928"/>
      <c r="E218" s="928"/>
      <c r="F218" s="256" t="s">
        <v>926</v>
      </c>
      <c r="G218" s="929">
        <f t="shared" si="55"/>
        <v>0</v>
      </c>
      <c r="H218" s="930"/>
      <c r="I218" s="931"/>
      <c r="N218" s="928" t="s">
        <v>925</v>
      </c>
      <c r="O218" s="928"/>
      <c r="P218" s="928"/>
      <c r="Q218" s="928"/>
      <c r="R218" s="928"/>
      <c r="S218" s="256" t="s">
        <v>926</v>
      </c>
      <c r="T218" s="932">
        <f t="shared" si="56"/>
        <v>0</v>
      </c>
      <c r="U218" s="932"/>
      <c r="V218" s="932"/>
      <c r="AA218" s="372"/>
      <c r="AI218" s="939" t="s">
        <v>927</v>
      </c>
      <c r="AJ218" s="940"/>
      <c r="AK218" s="940"/>
      <c r="AL218" s="940"/>
      <c r="AM218" s="941"/>
      <c r="AN218" s="699" t="s">
        <v>928</v>
      </c>
      <c r="AO218" s="366">
        <f t="shared" ref="AO218:AO233" si="57">COUNTIF($A$1:$GO$65,AN218)</f>
        <v>0</v>
      </c>
      <c r="AP218" s="700"/>
      <c r="AR218" s="957" t="s">
        <v>929</v>
      </c>
      <c r="AS218" s="958"/>
      <c r="AT218" s="958"/>
      <c r="AU218" s="958"/>
      <c r="AV218" s="958"/>
      <c r="AW218" s="483" t="s">
        <v>930</v>
      </c>
      <c r="AX218" s="366">
        <f t="shared" si="51"/>
        <v>0</v>
      </c>
      <c r="AY218" s="667"/>
      <c r="BA218" s="359"/>
      <c r="BB218" s="655"/>
    </row>
    <row r="219" spans="1:54" ht="18">
      <c r="A219" s="928" t="s">
        <v>931</v>
      </c>
      <c r="B219" s="928"/>
      <c r="C219" s="928"/>
      <c r="D219" s="928"/>
      <c r="E219" s="928"/>
      <c r="F219" s="256" t="s">
        <v>932</v>
      </c>
      <c r="G219" s="929">
        <f t="shared" si="55"/>
        <v>0</v>
      </c>
      <c r="H219" s="930"/>
      <c r="I219" s="931"/>
      <c r="N219" s="928" t="s">
        <v>931</v>
      </c>
      <c r="O219" s="928"/>
      <c r="P219" s="928"/>
      <c r="Q219" s="928"/>
      <c r="R219" s="928"/>
      <c r="S219" s="256" t="s">
        <v>932</v>
      </c>
      <c r="T219" s="932">
        <f t="shared" si="56"/>
        <v>0</v>
      </c>
      <c r="U219" s="932"/>
      <c r="V219" s="932"/>
      <c r="AA219" s="372"/>
      <c r="AI219" s="939" t="s">
        <v>933</v>
      </c>
      <c r="AJ219" s="940"/>
      <c r="AK219" s="940"/>
      <c r="AL219" s="940"/>
      <c r="AM219" s="941"/>
      <c r="AN219" s="699" t="s">
        <v>933</v>
      </c>
      <c r="AO219" s="366">
        <f t="shared" si="57"/>
        <v>0</v>
      </c>
      <c r="AP219" s="701"/>
      <c r="AR219" s="957" t="s">
        <v>934</v>
      </c>
      <c r="AS219" s="958"/>
      <c r="AT219" s="958"/>
      <c r="AU219" s="958"/>
      <c r="AV219" s="958"/>
      <c r="AW219" s="549" t="s">
        <v>935</v>
      </c>
      <c r="AX219" s="366">
        <f t="shared" si="51"/>
        <v>0</v>
      </c>
      <c r="AY219" s="667"/>
      <c r="BA219" s="359"/>
      <c r="BB219" s="655"/>
    </row>
    <row r="220" spans="1:54" ht="18">
      <c r="A220" s="928" t="s">
        <v>936</v>
      </c>
      <c r="B220" s="928"/>
      <c r="C220" s="928"/>
      <c r="D220" s="928"/>
      <c r="E220" s="928"/>
      <c r="F220" s="256" t="s">
        <v>937</v>
      </c>
      <c r="G220" s="929">
        <f t="shared" si="55"/>
        <v>0</v>
      </c>
      <c r="H220" s="930"/>
      <c r="I220" s="931"/>
      <c r="N220" s="928" t="s">
        <v>936</v>
      </c>
      <c r="O220" s="928"/>
      <c r="P220" s="928"/>
      <c r="Q220" s="928"/>
      <c r="R220" s="928"/>
      <c r="S220" s="256" t="s">
        <v>937</v>
      </c>
      <c r="T220" s="932">
        <f t="shared" si="56"/>
        <v>0</v>
      </c>
      <c r="U220" s="932"/>
      <c r="V220" s="932"/>
      <c r="AA220" s="372"/>
      <c r="AI220" s="939" t="s">
        <v>938</v>
      </c>
      <c r="AJ220" s="940"/>
      <c r="AK220" s="940"/>
      <c r="AL220" s="940"/>
      <c r="AM220" s="941"/>
      <c r="AN220" s="699" t="s">
        <v>939</v>
      </c>
      <c r="AO220" s="366">
        <f t="shared" si="57"/>
        <v>0</v>
      </c>
      <c r="AP220" s="701"/>
      <c r="AQ220" s="356"/>
      <c r="AR220" s="957" t="s">
        <v>940</v>
      </c>
      <c r="AS220" s="958"/>
      <c r="AT220" s="958"/>
      <c r="AU220" s="958"/>
      <c r="AV220" s="958"/>
      <c r="AW220" s="679" t="s">
        <v>941</v>
      </c>
      <c r="AX220" s="366">
        <f t="shared" si="51"/>
        <v>0</v>
      </c>
      <c r="AY220" s="667"/>
      <c r="BA220" s="359"/>
    </row>
    <row r="221" spans="1:54" ht="18">
      <c r="A221" s="928" t="s">
        <v>942</v>
      </c>
      <c r="B221" s="928"/>
      <c r="C221" s="928"/>
      <c r="D221" s="928"/>
      <c r="E221" s="928"/>
      <c r="F221" s="256" t="s">
        <v>943</v>
      </c>
      <c r="G221" s="929">
        <f t="shared" si="55"/>
        <v>0</v>
      </c>
      <c r="H221" s="930"/>
      <c r="I221" s="931"/>
      <c r="N221" s="928" t="s">
        <v>942</v>
      </c>
      <c r="O221" s="928"/>
      <c r="P221" s="928"/>
      <c r="Q221" s="928"/>
      <c r="R221" s="928"/>
      <c r="S221" s="256" t="s">
        <v>943</v>
      </c>
      <c r="T221" s="932">
        <f t="shared" si="56"/>
        <v>0</v>
      </c>
      <c r="U221" s="932"/>
      <c r="V221" s="932"/>
      <c r="AA221" s="372"/>
      <c r="AI221" s="939" t="s">
        <v>944</v>
      </c>
      <c r="AJ221" s="940"/>
      <c r="AK221" s="940"/>
      <c r="AL221" s="940"/>
      <c r="AM221" s="941"/>
      <c r="AN221" s="699" t="s">
        <v>945</v>
      </c>
      <c r="AO221" s="366">
        <f t="shared" si="57"/>
        <v>0</v>
      </c>
      <c r="AP221" s="701"/>
      <c r="AQ221" s="356"/>
      <c r="AR221" s="957" t="s">
        <v>946</v>
      </c>
      <c r="AS221" s="958"/>
      <c r="AT221" s="958"/>
      <c r="AU221" s="958"/>
      <c r="AV221" s="958"/>
      <c r="AW221" s="702" t="s">
        <v>947</v>
      </c>
      <c r="AX221" s="366">
        <f t="shared" si="51"/>
        <v>0</v>
      </c>
      <c r="AY221" s="667"/>
      <c r="BA221" s="359"/>
      <c r="BB221" s="655"/>
    </row>
    <row r="222" spans="1:54" ht="18.75">
      <c r="A222" s="928" t="s">
        <v>948</v>
      </c>
      <c r="B222" s="928"/>
      <c r="C222" s="928"/>
      <c r="D222" s="928"/>
      <c r="E222" s="928"/>
      <c r="F222" s="256" t="s">
        <v>949</v>
      </c>
      <c r="G222" s="929">
        <f t="shared" si="55"/>
        <v>0</v>
      </c>
      <c r="H222" s="930"/>
      <c r="I222" s="931"/>
      <c r="N222" s="928" t="s">
        <v>948</v>
      </c>
      <c r="O222" s="928"/>
      <c r="P222" s="928"/>
      <c r="Q222" s="928"/>
      <c r="R222" s="928"/>
      <c r="S222" s="256" t="s">
        <v>949</v>
      </c>
      <c r="T222" s="932">
        <f t="shared" si="56"/>
        <v>0</v>
      </c>
      <c r="U222" s="932"/>
      <c r="V222" s="932"/>
      <c r="AA222" s="372"/>
      <c r="AI222" s="939" t="s">
        <v>950</v>
      </c>
      <c r="AJ222" s="940"/>
      <c r="AK222" s="940"/>
      <c r="AL222" s="940"/>
      <c r="AM222" s="941"/>
      <c r="AN222" s="699" t="s">
        <v>951</v>
      </c>
      <c r="AO222" s="366">
        <f t="shared" si="57"/>
        <v>0</v>
      </c>
      <c r="AP222" s="701"/>
      <c r="AQ222" s="356"/>
      <c r="AR222" s="957" t="s">
        <v>952</v>
      </c>
      <c r="AS222" s="958"/>
      <c r="AT222" s="958"/>
      <c r="AU222" s="958"/>
      <c r="AV222" s="958"/>
      <c r="AW222" s="703" t="s">
        <v>953</v>
      </c>
      <c r="AX222" s="366">
        <f t="shared" si="51"/>
        <v>0</v>
      </c>
      <c r="AY222" s="667"/>
      <c r="BA222" s="359"/>
      <c r="BB222" s="704"/>
    </row>
    <row r="223" spans="1:54" ht="18.75" thickBot="1">
      <c r="A223" s="959" t="s">
        <v>198</v>
      </c>
      <c r="B223" s="959"/>
      <c r="C223" s="959"/>
      <c r="D223" s="959"/>
      <c r="E223" s="959"/>
      <c r="F223" s="680"/>
      <c r="G223" s="925">
        <f>SUM(G210:I222)</f>
        <v>2</v>
      </c>
      <c r="H223" s="926"/>
      <c r="I223" s="927"/>
      <c r="N223" s="959" t="s">
        <v>198</v>
      </c>
      <c r="O223" s="959"/>
      <c r="P223" s="959"/>
      <c r="Q223" s="959"/>
      <c r="R223" s="959"/>
      <c r="S223" s="680"/>
      <c r="T223" s="925">
        <f>SUM(T210:V222)</f>
        <v>0</v>
      </c>
      <c r="U223" s="926"/>
      <c r="V223" s="927"/>
      <c r="AA223" s="372"/>
      <c r="AI223" s="939" t="s">
        <v>954</v>
      </c>
      <c r="AJ223" s="940"/>
      <c r="AK223" s="940"/>
      <c r="AL223" s="940"/>
      <c r="AM223" s="941"/>
      <c r="AN223" s="699" t="s">
        <v>955</v>
      </c>
      <c r="AO223" s="366">
        <f t="shared" si="57"/>
        <v>0</v>
      </c>
      <c r="AP223" s="701"/>
      <c r="AQ223" s="356"/>
      <c r="AR223" s="957" t="s">
        <v>956</v>
      </c>
      <c r="AS223" s="958"/>
      <c r="AT223" s="958"/>
      <c r="AU223" s="958"/>
      <c r="AV223" s="958"/>
      <c r="AW223" s="705" t="s">
        <v>957</v>
      </c>
      <c r="AX223" s="366">
        <f t="shared" si="51"/>
        <v>0</v>
      </c>
      <c r="AY223" s="667"/>
      <c r="BA223" s="359"/>
      <c r="BB223" s="655"/>
    </row>
    <row r="224" spans="1:54" ht="19.5" thickBot="1">
      <c r="A224" s="933" t="s">
        <v>118</v>
      </c>
      <c r="B224" s="934"/>
      <c r="C224" s="934"/>
      <c r="D224" s="934"/>
      <c r="E224" s="935"/>
      <c r="F224" s="56"/>
      <c r="G224" s="56"/>
      <c r="H224" s="56"/>
      <c r="I224" s="56"/>
      <c r="N224" s="933" t="s">
        <v>118</v>
      </c>
      <c r="O224" s="934"/>
      <c r="P224" s="934"/>
      <c r="Q224" s="934"/>
      <c r="R224" s="935"/>
      <c r="S224" s="56"/>
      <c r="T224" s="56"/>
      <c r="U224" s="56"/>
      <c r="V224" s="56"/>
      <c r="AA224" s="316"/>
      <c r="AI224" s="939" t="s">
        <v>958</v>
      </c>
      <c r="AJ224" s="940"/>
      <c r="AK224" s="940"/>
      <c r="AL224" s="940"/>
      <c r="AM224" s="941"/>
      <c r="AN224" s="699" t="s">
        <v>959</v>
      </c>
      <c r="AO224" s="366">
        <f t="shared" si="57"/>
        <v>0</v>
      </c>
      <c r="AP224" s="701"/>
      <c r="AQ224" s="356"/>
      <c r="AR224" s="957" t="s">
        <v>960</v>
      </c>
      <c r="AS224" s="958"/>
      <c r="AT224" s="958"/>
      <c r="AU224" s="958"/>
      <c r="AV224" s="958"/>
      <c r="AW224" s="706" t="s">
        <v>961</v>
      </c>
      <c r="AX224" s="366">
        <f t="shared" si="51"/>
        <v>0</v>
      </c>
      <c r="AY224" s="667"/>
      <c r="BA224" s="359"/>
      <c r="BB224" s="655"/>
    </row>
    <row r="225" spans="1:53" ht="18.75">
      <c r="A225" s="928" t="s">
        <v>854</v>
      </c>
      <c r="B225" s="928"/>
      <c r="C225" s="928"/>
      <c r="D225" s="928"/>
      <c r="E225" s="928"/>
      <c r="F225" s="256" t="s">
        <v>962</v>
      </c>
      <c r="G225" s="929">
        <f t="shared" ref="G225:G230" si="58">COUNTIF($N$1:$BK$52,F225)</f>
        <v>0</v>
      </c>
      <c r="H225" s="930"/>
      <c r="I225" s="931"/>
      <c r="N225" s="928" t="s">
        <v>854</v>
      </c>
      <c r="O225" s="928"/>
      <c r="P225" s="928"/>
      <c r="Q225" s="928"/>
      <c r="R225" s="928"/>
      <c r="S225" s="256" t="s">
        <v>962</v>
      </c>
      <c r="T225" s="932">
        <f t="shared" ref="T225:T230" si="59">COUNTIF($A$1:$M$22,S225)</f>
        <v>0</v>
      </c>
      <c r="U225" s="932"/>
      <c r="V225" s="932"/>
      <c r="AI225" s="939" t="s">
        <v>963</v>
      </c>
      <c r="AJ225" s="940"/>
      <c r="AK225" s="940"/>
      <c r="AL225" s="940"/>
      <c r="AM225" s="941"/>
      <c r="AN225" s="699" t="s">
        <v>964</v>
      </c>
      <c r="AO225" s="366">
        <f t="shared" si="57"/>
        <v>0</v>
      </c>
      <c r="AP225" s="701"/>
      <c r="AQ225" s="356"/>
      <c r="AR225" s="957" t="s">
        <v>965</v>
      </c>
      <c r="AS225" s="958"/>
      <c r="AT225" s="958"/>
      <c r="AU225" s="958"/>
      <c r="AV225" s="958"/>
      <c r="AW225" s="703" t="s">
        <v>966</v>
      </c>
      <c r="AX225" s="366">
        <f t="shared" si="51"/>
        <v>0</v>
      </c>
      <c r="AY225" s="667"/>
      <c r="BA225" s="359"/>
    </row>
    <row r="226" spans="1:53" ht="18.75">
      <c r="A226" s="928" t="s">
        <v>860</v>
      </c>
      <c r="B226" s="928"/>
      <c r="C226" s="928"/>
      <c r="D226" s="928"/>
      <c r="E226" s="928"/>
      <c r="F226" s="256" t="s">
        <v>967</v>
      </c>
      <c r="G226" s="929">
        <f t="shared" si="58"/>
        <v>0</v>
      </c>
      <c r="H226" s="930"/>
      <c r="I226" s="931"/>
      <c r="N226" s="928" t="s">
        <v>860</v>
      </c>
      <c r="O226" s="928"/>
      <c r="P226" s="928"/>
      <c r="Q226" s="928"/>
      <c r="R226" s="928"/>
      <c r="S226" s="256" t="s">
        <v>967</v>
      </c>
      <c r="T226" s="932">
        <f t="shared" si="59"/>
        <v>0</v>
      </c>
      <c r="U226" s="932"/>
      <c r="V226" s="932"/>
      <c r="AI226" s="939" t="s">
        <v>968</v>
      </c>
      <c r="AJ226" s="940"/>
      <c r="AK226" s="940"/>
      <c r="AL226" s="940"/>
      <c r="AM226" s="941"/>
      <c r="AN226" s="699" t="s">
        <v>969</v>
      </c>
      <c r="AO226" s="366">
        <f t="shared" si="57"/>
        <v>0</v>
      </c>
      <c r="AP226" s="701"/>
      <c r="AQ226" s="356"/>
      <c r="AR226" s="957" t="s">
        <v>970</v>
      </c>
      <c r="AS226" s="958"/>
      <c r="AT226" s="958"/>
      <c r="AU226" s="958"/>
      <c r="AV226" s="958"/>
      <c r="AW226" s="707" t="s">
        <v>971</v>
      </c>
      <c r="AX226" s="366">
        <f t="shared" si="51"/>
        <v>0</v>
      </c>
      <c r="AY226" s="667"/>
      <c r="BA226" s="359"/>
    </row>
    <row r="227" spans="1:53" ht="18">
      <c r="A227" s="928" t="s">
        <v>865</v>
      </c>
      <c r="B227" s="928"/>
      <c r="C227" s="928"/>
      <c r="D227" s="928"/>
      <c r="E227" s="928"/>
      <c r="F227" s="256" t="s">
        <v>972</v>
      </c>
      <c r="G227" s="929">
        <f t="shared" si="58"/>
        <v>0</v>
      </c>
      <c r="H227" s="930"/>
      <c r="I227" s="931"/>
      <c r="N227" s="928" t="s">
        <v>865</v>
      </c>
      <c r="O227" s="928"/>
      <c r="P227" s="928"/>
      <c r="Q227" s="928"/>
      <c r="R227" s="928"/>
      <c r="S227" s="256" t="s">
        <v>972</v>
      </c>
      <c r="T227" s="932">
        <f t="shared" si="59"/>
        <v>0</v>
      </c>
      <c r="U227" s="932"/>
      <c r="V227" s="932"/>
      <c r="AI227" s="939" t="s">
        <v>973</v>
      </c>
      <c r="AJ227" s="940"/>
      <c r="AK227" s="940"/>
      <c r="AL227" s="940"/>
      <c r="AM227" s="941"/>
      <c r="AN227" s="699" t="s">
        <v>974</v>
      </c>
      <c r="AO227" s="366">
        <f t="shared" si="57"/>
        <v>0</v>
      </c>
      <c r="AP227" s="701"/>
      <c r="AQ227" s="356"/>
      <c r="AR227" s="954" t="s">
        <v>975</v>
      </c>
      <c r="AS227" s="955"/>
      <c r="AT227" s="955"/>
      <c r="AU227" s="955"/>
      <c r="AV227" s="956"/>
      <c r="AW227" s="515"/>
      <c r="AX227" s="516">
        <f>SUM(AX189:AX226)</f>
        <v>0</v>
      </c>
      <c r="BA227" s="359"/>
    </row>
    <row r="228" spans="1:53" ht="18">
      <c r="A228" s="928" t="s">
        <v>869</v>
      </c>
      <c r="B228" s="928"/>
      <c r="C228" s="928"/>
      <c r="D228" s="928"/>
      <c r="E228" s="928"/>
      <c r="F228" s="256" t="s">
        <v>976</v>
      </c>
      <c r="G228" s="929">
        <f t="shared" si="58"/>
        <v>0</v>
      </c>
      <c r="H228" s="930"/>
      <c r="I228" s="931"/>
      <c r="N228" s="928" t="s">
        <v>869</v>
      </c>
      <c r="O228" s="928"/>
      <c r="P228" s="928"/>
      <c r="Q228" s="928"/>
      <c r="R228" s="928"/>
      <c r="S228" s="256" t="s">
        <v>976</v>
      </c>
      <c r="T228" s="932">
        <f t="shared" si="59"/>
        <v>0</v>
      </c>
      <c r="U228" s="932"/>
      <c r="V228" s="932"/>
      <c r="AI228" s="939" t="s">
        <v>977</v>
      </c>
      <c r="AJ228" s="940"/>
      <c r="AK228" s="940"/>
      <c r="AL228" s="940"/>
      <c r="AM228" s="941"/>
      <c r="AN228" s="699" t="s">
        <v>978</v>
      </c>
      <c r="AO228" s="366">
        <f t="shared" si="57"/>
        <v>0</v>
      </c>
      <c r="AP228" s="701"/>
      <c r="AQ228" s="356"/>
      <c r="BA228" s="359"/>
    </row>
    <row r="229" spans="1:53" ht="18">
      <c r="A229" s="928" t="s">
        <v>873</v>
      </c>
      <c r="B229" s="928"/>
      <c r="C229" s="928"/>
      <c r="D229" s="928"/>
      <c r="E229" s="928"/>
      <c r="F229" s="256" t="s">
        <v>979</v>
      </c>
      <c r="G229" s="929">
        <f t="shared" si="58"/>
        <v>0</v>
      </c>
      <c r="H229" s="930"/>
      <c r="I229" s="931"/>
      <c r="N229" s="928" t="s">
        <v>873</v>
      </c>
      <c r="O229" s="928"/>
      <c r="P229" s="928"/>
      <c r="Q229" s="928"/>
      <c r="R229" s="928"/>
      <c r="S229" s="256" t="s">
        <v>979</v>
      </c>
      <c r="T229" s="932">
        <f t="shared" si="59"/>
        <v>0</v>
      </c>
      <c r="U229" s="932"/>
      <c r="V229" s="932"/>
      <c r="AI229" s="939" t="s">
        <v>980</v>
      </c>
      <c r="AJ229" s="940"/>
      <c r="AK229" s="940"/>
      <c r="AL229" s="940"/>
      <c r="AM229" s="941"/>
      <c r="AN229" s="699" t="s">
        <v>980</v>
      </c>
      <c r="AO229" s="366">
        <f t="shared" si="57"/>
        <v>0</v>
      </c>
      <c r="AP229" s="701"/>
      <c r="AR229" s="910" t="s">
        <v>302</v>
      </c>
      <c r="AS229" s="911"/>
      <c r="AT229" s="911"/>
      <c r="AU229" s="911"/>
      <c r="AV229" s="911"/>
      <c r="AW229" s="912"/>
      <c r="AX229" s="357" t="s">
        <v>198</v>
      </c>
      <c r="AY229" s="358"/>
      <c r="BA229" s="359"/>
    </row>
    <row r="230" spans="1:53" ht="18.75" thickBot="1">
      <c r="A230" s="950" t="s">
        <v>878</v>
      </c>
      <c r="B230" s="950"/>
      <c r="C230" s="950"/>
      <c r="D230" s="950"/>
      <c r="E230" s="950"/>
      <c r="F230" s="256" t="s">
        <v>981</v>
      </c>
      <c r="G230" s="929">
        <f t="shared" si="58"/>
        <v>0</v>
      </c>
      <c r="H230" s="930"/>
      <c r="I230" s="931"/>
      <c r="N230" s="950" t="s">
        <v>878</v>
      </c>
      <c r="O230" s="950"/>
      <c r="P230" s="950"/>
      <c r="Q230" s="950"/>
      <c r="R230" s="950"/>
      <c r="S230" s="256" t="s">
        <v>981</v>
      </c>
      <c r="T230" s="932">
        <f t="shared" si="59"/>
        <v>0</v>
      </c>
      <c r="U230" s="932"/>
      <c r="V230" s="932"/>
      <c r="AI230" s="939" t="s">
        <v>982</v>
      </c>
      <c r="AJ230" s="940"/>
      <c r="AK230" s="940"/>
      <c r="AL230" s="940"/>
      <c r="AM230" s="941"/>
      <c r="AN230" s="699" t="s">
        <v>983</v>
      </c>
      <c r="AO230" s="366">
        <f t="shared" si="57"/>
        <v>0</v>
      </c>
      <c r="AP230" s="701"/>
      <c r="AR230" s="951" t="s">
        <v>984</v>
      </c>
      <c r="AS230" s="952"/>
      <c r="AT230" s="952"/>
      <c r="AU230" s="952"/>
      <c r="AV230" s="953"/>
      <c r="AW230" s="708" t="s">
        <v>985</v>
      </c>
      <c r="AX230" s="366">
        <f>COUNTIF($A$1:$GO$65,AW230)</f>
        <v>0</v>
      </c>
      <c r="AY230" s="709"/>
      <c r="BA230" s="359"/>
    </row>
    <row r="231" spans="1:53" ht="18.75" thickBot="1">
      <c r="A231" s="945" t="s">
        <v>198</v>
      </c>
      <c r="B231" s="946"/>
      <c r="C231" s="946"/>
      <c r="D231" s="946"/>
      <c r="E231" s="946"/>
      <c r="F231" s="680"/>
      <c r="G231" s="925">
        <f>SUM(G225:I230)</f>
        <v>0</v>
      </c>
      <c r="H231" s="926"/>
      <c r="I231" s="927"/>
      <c r="N231" s="945" t="s">
        <v>198</v>
      </c>
      <c r="O231" s="946"/>
      <c r="P231" s="946"/>
      <c r="Q231" s="946"/>
      <c r="R231" s="946"/>
      <c r="S231" s="680"/>
      <c r="T231" s="925">
        <f>SUM(T225:V230)</f>
        <v>0</v>
      </c>
      <c r="U231" s="926"/>
      <c r="V231" s="927"/>
      <c r="AI231" s="939" t="s">
        <v>986</v>
      </c>
      <c r="AJ231" s="940"/>
      <c r="AK231" s="940"/>
      <c r="AL231" s="940"/>
      <c r="AM231" s="941"/>
      <c r="AN231" s="699" t="s">
        <v>986</v>
      </c>
      <c r="AO231" s="366">
        <f t="shared" si="57"/>
        <v>0</v>
      </c>
      <c r="AP231" s="701"/>
      <c r="AR231" s="947" t="s">
        <v>987</v>
      </c>
      <c r="AS231" s="948"/>
      <c r="AT231" s="948"/>
      <c r="AU231" s="948"/>
      <c r="AV231" s="949"/>
      <c r="AW231" s="710" t="s">
        <v>988</v>
      </c>
      <c r="AX231" s="366">
        <f>COUNTIF($A$1:$GO$65,AW231)</f>
        <v>0</v>
      </c>
      <c r="AY231" s="709"/>
      <c r="BA231" s="359"/>
    </row>
    <row r="232" spans="1:53" ht="18.75" thickBot="1">
      <c r="A232" s="936" t="s">
        <v>989</v>
      </c>
      <c r="B232" s="937"/>
      <c r="C232" s="937"/>
      <c r="D232" s="937"/>
      <c r="E232" s="938"/>
      <c r="F232" s="56"/>
      <c r="G232" s="56"/>
      <c r="H232" s="56"/>
      <c r="I232" s="56"/>
      <c r="N232" s="936" t="s">
        <v>989</v>
      </c>
      <c r="O232" s="937"/>
      <c r="P232" s="937"/>
      <c r="Q232" s="937"/>
      <c r="R232" s="938"/>
      <c r="S232" s="56"/>
      <c r="T232" s="56"/>
      <c r="U232" s="56"/>
      <c r="V232" s="56"/>
      <c r="AI232" s="939" t="s">
        <v>990</v>
      </c>
      <c r="AJ232" s="940"/>
      <c r="AK232" s="940"/>
      <c r="AL232" s="940"/>
      <c r="AM232" s="941"/>
      <c r="AN232" s="699" t="s">
        <v>991</v>
      </c>
      <c r="AO232" s="366">
        <f t="shared" si="57"/>
        <v>0</v>
      </c>
      <c r="AP232" s="701"/>
      <c r="AR232" s="942" t="s">
        <v>992</v>
      </c>
      <c r="AS232" s="943"/>
      <c r="AT232" s="943"/>
      <c r="AU232" s="943"/>
      <c r="AV232" s="944"/>
      <c r="AW232" s="515"/>
      <c r="AX232" s="516">
        <f>SUM(AX230:AX231)</f>
        <v>0</v>
      </c>
      <c r="BA232" s="359"/>
    </row>
    <row r="233" spans="1:53" ht="18">
      <c r="A233" s="928" t="s">
        <v>854</v>
      </c>
      <c r="B233" s="928"/>
      <c r="C233" s="928"/>
      <c r="D233" s="928"/>
      <c r="E233" s="928"/>
      <c r="F233" s="256" t="s">
        <v>993</v>
      </c>
      <c r="G233" s="929">
        <f>COUNTIF($N$1:$BK$52,F233)</f>
        <v>0</v>
      </c>
      <c r="H233" s="930"/>
      <c r="I233" s="931"/>
      <c r="N233" s="928" t="s">
        <v>854</v>
      </c>
      <c r="O233" s="928"/>
      <c r="P233" s="928"/>
      <c r="Q233" s="928"/>
      <c r="R233" s="928"/>
      <c r="S233" s="256" t="s">
        <v>993</v>
      </c>
      <c r="T233" s="932">
        <f>COUNTIF($A$1:$M$22,S233)</f>
        <v>0</v>
      </c>
      <c r="U233" s="932"/>
      <c r="V233" s="932"/>
      <c r="AI233" s="939" t="s">
        <v>994</v>
      </c>
      <c r="AJ233" s="940"/>
      <c r="AK233" s="940"/>
      <c r="AL233" s="940"/>
      <c r="AM233" s="941"/>
      <c r="AN233" s="699" t="s">
        <v>995</v>
      </c>
      <c r="AO233" s="366">
        <f t="shared" si="57"/>
        <v>0</v>
      </c>
      <c r="AP233" s="701"/>
      <c r="AY233" s="356"/>
      <c r="BA233" s="359"/>
    </row>
    <row r="234" spans="1:53" ht="18">
      <c r="A234" s="928" t="s">
        <v>869</v>
      </c>
      <c r="B234" s="928"/>
      <c r="C234" s="928"/>
      <c r="D234" s="928"/>
      <c r="E234" s="928"/>
      <c r="F234" s="256" t="s">
        <v>996</v>
      </c>
      <c r="G234" s="929">
        <f>COUNTIF($N$1:$BK$52,F234)</f>
        <v>0</v>
      </c>
      <c r="H234" s="930"/>
      <c r="I234" s="931"/>
      <c r="N234" s="928" t="s">
        <v>869</v>
      </c>
      <c r="O234" s="928"/>
      <c r="P234" s="928"/>
      <c r="Q234" s="928"/>
      <c r="R234" s="928"/>
      <c r="S234" s="256" t="s">
        <v>996</v>
      </c>
      <c r="T234" s="932">
        <f>COUNTIF($A$1:$M$22,S234)</f>
        <v>0</v>
      </c>
      <c r="U234" s="932"/>
      <c r="V234" s="932"/>
      <c r="AI234" s="896" t="s">
        <v>997</v>
      </c>
      <c r="AJ234" s="897"/>
      <c r="AK234" s="897"/>
      <c r="AL234" s="897"/>
      <c r="AM234" s="898"/>
      <c r="AN234" s="515"/>
      <c r="AO234" s="516">
        <f>SUM(AO218:AO233)</f>
        <v>0</v>
      </c>
      <c r="AR234" s="910" t="s">
        <v>260</v>
      </c>
      <c r="AS234" s="911"/>
      <c r="AT234" s="911"/>
      <c r="AU234" s="911"/>
      <c r="AV234" s="911"/>
      <c r="AW234" s="912"/>
      <c r="AX234" s="357" t="s">
        <v>198</v>
      </c>
      <c r="AY234" s="358"/>
      <c r="BA234" s="359"/>
    </row>
    <row r="235" spans="1:53" ht="18.75" thickBot="1">
      <c r="A235" s="922" t="s">
        <v>198</v>
      </c>
      <c r="B235" s="923"/>
      <c r="C235" s="923"/>
      <c r="D235" s="923"/>
      <c r="E235" s="924"/>
      <c r="F235" s="680"/>
      <c r="G235" s="925">
        <f>SUM(G233:I234)</f>
        <v>0</v>
      </c>
      <c r="H235" s="926"/>
      <c r="I235" s="927"/>
      <c r="N235" s="922" t="s">
        <v>198</v>
      </c>
      <c r="O235" s="923"/>
      <c r="P235" s="923"/>
      <c r="Q235" s="923"/>
      <c r="R235" s="924"/>
      <c r="S235" s="680"/>
      <c r="T235" s="925">
        <f>SUM(T233:V234)</f>
        <v>0</v>
      </c>
      <c r="U235" s="926"/>
      <c r="V235" s="927"/>
      <c r="AI235" s="694"/>
      <c r="AR235" s="914" t="s">
        <v>998</v>
      </c>
      <c r="AS235" s="915"/>
      <c r="AT235" s="915"/>
      <c r="AU235" s="915"/>
      <c r="AV235" s="916"/>
      <c r="AW235" s="711" t="s">
        <v>999</v>
      </c>
      <c r="AX235" s="366">
        <f t="shared" ref="AX235:AX240" si="60">COUNTIF($A$1:$GO$65,AW235)</f>
        <v>0</v>
      </c>
      <c r="AY235" s="712"/>
      <c r="BA235" s="359"/>
    </row>
    <row r="236" spans="1:53" ht="18.75" thickBot="1">
      <c r="A236" s="933" t="s">
        <v>1000</v>
      </c>
      <c r="B236" s="934"/>
      <c r="C236" s="934"/>
      <c r="D236" s="934"/>
      <c r="E236" s="935"/>
      <c r="F236" s="56"/>
      <c r="G236" s="56"/>
      <c r="H236" s="56"/>
      <c r="I236" s="56"/>
      <c r="N236" s="933" t="s">
        <v>1000</v>
      </c>
      <c r="O236" s="934"/>
      <c r="P236" s="934"/>
      <c r="Q236" s="934"/>
      <c r="R236" s="935"/>
      <c r="S236" s="56"/>
      <c r="T236" s="56"/>
      <c r="U236" s="56"/>
      <c r="V236" s="56"/>
      <c r="AI236" s="921"/>
      <c r="AJ236" s="911"/>
      <c r="AK236" s="911"/>
      <c r="AL236" s="911"/>
      <c r="AM236" s="911"/>
      <c r="AN236" s="907"/>
      <c r="AO236" s="357"/>
      <c r="AP236" s="358"/>
      <c r="AR236" s="914" t="s">
        <v>1001</v>
      </c>
      <c r="AS236" s="915"/>
      <c r="AT236" s="915"/>
      <c r="AU236" s="915"/>
      <c r="AV236" s="916"/>
      <c r="AW236" s="713" t="s">
        <v>1002</v>
      </c>
      <c r="AX236" s="366">
        <f t="shared" si="60"/>
        <v>0</v>
      </c>
      <c r="AY236" s="712"/>
      <c r="BA236" s="359"/>
    </row>
    <row r="237" spans="1:53" ht="18">
      <c r="A237" s="928" t="s">
        <v>854</v>
      </c>
      <c r="B237" s="928"/>
      <c r="C237" s="928"/>
      <c r="D237" s="928"/>
      <c r="E237" s="928"/>
      <c r="F237" s="256" t="s">
        <v>1003</v>
      </c>
      <c r="G237" s="929">
        <f>COUNTIF($N$1:$BK$52,F237)</f>
        <v>0</v>
      </c>
      <c r="H237" s="930"/>
      <c r="I237" s="931"/>
      <c r="N237" s="928" t="s">
        <v>854</v>
      </c>
      <c r="O237" s="928"/>
      <c r="P237" s="928"/>
      <c r="Q237" s="928"/>
      <c r="R237" s="928"/>
      <c r="S237" s="256" t="s">
        <v>1003</v>
      </c>
      <c r="T237" s="932">
        <f>COUNTIF($A$1:$M$22,S237)</f>
        <v>0</v>
      </c>
      <c r="U237" s="932"/>
      <c r="V237" s="932"/>
      <c r="AI237" s="917"/>
      <c r="AJ237" s="918"/>
      <c r="AK237" s="918"/>
      <c r="AL237" s="918"/>
      <c r="AM237" s="918"/>
      <c r="AN237" s="512"/>
      <c r="AO237" s="366"/>
      <c r="AP237" s="714"/>
      <c r="AR237" s="914" t="s">
        <v>1004</v>
      </c>
      <c r="AS237" s="915"/>
      <c r="AT237" s="915"/>
      <c r="AU237" s="915"/>
      <c r="AV237" s="916"/>
      <c r="AW237" s="715" t="s">
        <v>1005</v>
      </c>
      <c r="AX237" s="366">
        <f t="shared" si="60"/>
        <v>0</v>
      </c>
      <c r="AY237" s="712"/>
      <c r="BA237" s="359"/>
    </row>
    <row r="238" spans="1:53" ht="18">
      <c r="A238" s="928" t="s">
        <v>869</v>
      </c>
      <c r="B238" s="928"/>
      <c r="C238" s="928"/>
      <c r="D238" s="928"/>
      <c r="E238" s="928"/>
      <c r="F238" s="256" t="s">
        <v>1006</v>
      </c>
      <c r="G238" s="929">
        <f>COUNTIF($N$1:$BK$52,F238)</f>
        <v>0</v>
      </c>
      <c r="H238" s="930"/>
      <c r="I238" s="931"/>
      <c r="N238" s="928" t="s">
        <v>869</v>
      </c>
      <c r="O238" s="928"/>
      <c r="P238" s="928"/>
      <c r="Q238" s="928"/>
      <c r="R238" s="928"/>
      <c r="S238" s="256" t="s">
        <v>1006</v>
      </c>
      <c r="T238" s="932">
        <f>COUNTIF($A$1:$M$22,S238)</f>
        <v>0</v>
      </c>
      <c r="U238" s="932"/>
      <c r="V238" s="932"/>
      <c r="AI238" s="896"/>
      <c r="AJ238" s="897"/>
      <c r="AK238" s="897"/>
      <c r="AL238" s="897"/>
      <c r="AM238" s="898"/>
      <c r="AN238" s="515"/>
      <c r="AO238" s="516"/>
      <c r="AR238" s="914" t="s">
        <v>1007</v>
      </c>
      <c r="AS238" s="915"/>
      <c r="AT238" s="915"/>
      <c r="AU238" s="915"/>
      <c r="AV238" s="916"/>
      <c r="AW238" s="716" t="s">
        <v>1008</v>
      </c>
      <c r="AX238" s="366">
        <f t="shared" si="60"/>
        <v>0</v>
      </c>
      <c r="AY238" s="712"/>
      <c r="BA238" s="359"/>
    </row>
    <row r="239" spans="1:53" ht="18.75" thickBot="1">
      <c r="A239" s="922" t="s">
        <v>198</v>
      </c>
      <c r="B239" s="923"/>
      <c r="C239" s="923"/>
      <c r="D239" s="923"/>
      <c r="E239" s="924"/>
      <c r="F239" s="680"/>
      <c r="G239" s="925">
        <f>SUM(G237:I238)</f>
        <v>0</v>
      </c>
      <c r="H239" s="926"/>
      <c r="I239" s="927"/>
      <c r="N239" s="922" t="s">
        <v>198</v>
      </c>
      <c r="O239" s="923"/>
      <c r="P239" s="923"/>
      <c r="Q239" s="923"/>
      <c r="R239" s="924"/>
      <c r="S239" s="680"/>
      <c r="T239" s="925">
        <f>SUM(T237:V238)</f>
        <v>0</v>
      </c>
      <c r="U239" s="926"/>
      <c r="V239" s="927"/>
      <c r="AI239" s="694"/>
      <c r="AR239" s="914" t="s">
        <v>1009</v>
      </c>
      <c r="AS239" s="915"/>
      <c r="AT239" s="915"/>
      <c r="AU239" s="915"/>
      <c r="AV239" s="916"/>
      <c r="AW239" s="717" t="s">
        <v>1010</v>
      </c>
      <c r="AX239" s="366">
        <f t="shared" si="60"/>
        <v>0</v>
      </c>
      <c r="AY239" s="712"/>
      <c r="BA239" s="359"/>
    </row>
    <row r="240" spans="1:53" ht="15.75">
      <c r="M240" s="316"/>
      <c r="AI240" s="694"/>
      <c r="AR240" s="914" t="s">
        <v>1011</v>
      </c>
      <c r="AS240" s="915"/>
      <c r="AT240" s="915"/>
      <c r="AU240" s="915"/>
      <c r="AV240" s="916"/>
      <c r="AW240" s="718" t="s">
        <v>1012</v>
      </c>
      <c r="AX240" s="366">
        <f t="shared" si="60"/>
        <v>0</v>
      </c>
      <c r="AY240" s="712"/>
      <c r="BA240" s="359"/>
    </row>
    <row r="241" spans="13:53" ht="15.75">
      <c r="M241" s="316"/>
      <c r="AI241" s="921" t="s">
        <v>715</v>
      </c>
      <c r="AJ241" s="911"/>
      <c r="AK241" s="911"/>
      <c r="AL241" s="911"/>
      <c r="AM241" s="911"/>
      <c r="AN241" s="912"/>
      <c r="AO241" s="357" t="s">
        <v>198</v>
      </c>
      <c r="AP241" s="358"/>
      <c r="AR241" s="910" t="s">
        <v>1013</v>
      </c>
      <c r="AS241" s="911"/>
      <c r="AT241" s="911"/>
      <c r="AU241" s="911"/>
      <c r="AV241" s="912"/>
      <c r="AW241" s="515"/>
      <c r="AX241" s="516">
        <f>SUM(AX235:AX240)</f>
        <v>0</v>
      </c>
      <c r="BA241" s="359"/>
    </row>
    <row r="242" spans="13:53" ht="15.75">
      <c r="M242" s="316"/>
      <c r="AI242" s="917" t="s">
        <v>1014</v>
      </c>
      <c r="AJ242" s="918"/>
      <c r="AK242" s="918"/>
      <c r="AL242" s="918"/>
      <c r="AM242" s="919"/>
      <c r="AN242" s="719" t="s">
        <v>1015</v>
      </c>
      <c r="AO242" s="366">
        <f>COUNTIF($A$1:$GO$65,AN242)</f>
        <v>0</v>
      </c>
      <c r="AP242" s="720"/>
      <c r="BA242" s="359"/>
    </row>
    <row r="243" spans="13:53" ht="15.75">
      <c r="M243" s="316"/>
      <c r="AI243" s="917" t="s">
        <v>1016</v>
      </c>
      <c r="AJ243" s="918"/>
      <c r="AK243" s="918"/>
      <c r="AL243" s="918"/>
      <c r="AM243" s="919"/>
      <c r="AN243" s="721" t="s">
        <v>1017</v>
      </c>
      <c r="AO243" s="366">
        <f>COUNTIF($A$1:$GO$65,AN243)</f>
        <v>0</v>
      </c>
      <c r="AP243" s="722"/>
      <c r="AQ243" s="356"/>
      <c r="AR243" s="910" t="s">
        <v>307</v>
      </c>
      <c r="AS243" s="911"/>
      <c r="AT243" s="911"/>
      <c r="AU243" s="911"/>
      <c r="AV243" s="911"/>
      <c r="AW243" s="912"/>
      <c r="AX243" s="357" t="s">
        <v>198</v>
      </c>
      <c r="AY243" s="358"/>
      <c r="BA243" s="359"/>
    </row>
    <row r="244" spans="13:53" ht="15.75">
      <c r="M244" s="316"/>
      <c r="AI244" s="917" t="s">
        <v>1018</v>
      </c>
      <c r="AJ244" s="918"/>
      <c r="AK244" s="918"/>
      <c r="AL244" s="918"/>
      <c r="AM244" s="919"/>
      <c r="AN244" s="723" t="s">
        <v>1019</v>
      </c>
      <c r="AO244" s="366">
        <f>COUNTIF($A$1:$GO$65,AN244)</f>
        <v>0</v>
      </c>
      <c r="AP244" s="722"/>
      <c r="AR244" s="914" t="s">
        <v>1020</v>
      </c>
      <c r="AS244" s="915"/>
      <c r="AT244" s="915"/>
      <c r="AU244" s="915"/>
      <c r="AV244" s="916"/>
      <c r="AW244" s="724" t="s">
        <v>308</v>
      </c>
      <c r="AX244" s="366">
        <f>COUNTIF($A$1:$GO$65,AW244)</f>
        <v>0</v>
      </c>
      <c r="AY244" s="712"/>
      <c r="BA244" s="359"/>
    </row>
    <row r="245" spans="13:53" ht="15.75">
      <c r="M245" s="316"/>
      <c r="AI245" s="917" t="s">
        <v>1021</v>
      </c>
      <c r="AJ245" s="918"/>
      <c r="AK245" s="918"/>
      <c r="AL245" s="918"/>
      <c r="AM245" s="919"/>
      <c r="AN245" s="725" t="s">
        <v>1022</v>
      </c>
      <c r="AO245" s="366">
        <f>COUNTIF($A$1:$GO$65,AN245)</f>
        <v>0</v>
      </c>
      <c r="AP245" s="722"/>
      <c r="AR245" s="910" t="s">
        <v>1023</v>
      </c>
      <c r="AS245" s="911"/>
      <c r="AT245" s="911"/>
      <c r="AU245" s="911"/>
      <c r="AV245" s="912"/>
      <c r="AW245" s="515"/>
      <c r="AX245" s="516">
        <f>SUM(AX244:AX244)</f>
        <v>0</v>
      </c>
      <c r="BA245" s="359"/>
    </row>
    <row r="246" spans="13:53" ht="15.75">
      <c r="M246" s="316"/>
      <c r="AI246" s="917" t="s">
        <v>1024</v>
      </c>
      <c r="AJ246" s="918"/>
      <c r="AK246" s="918"/>
      <c r="AL246" s="918"/>
      <c r="AM246" s="919"/>
      <c r="AN246" s="726" t="s">
        <v>1025</v>
      </c>
      <c r="AO246" s="366">
        <f>COUNTIF($A$1:$GO$65,AN246)</f>
        <v>0</v>
      </c>
      <c r="AP246" s="722"/>
      <c r="AR246" s="356"/>
      <c r="AS246" s="356"/>
      <c r="AT246" s="356"/>
      <c r="AU246" s="356"/>
      <c r="AV246" s="356"/>
      <c r="AW246" s="356"/>
      <c r="AX246" s="356"/>
      <c r="AY246" s="356"/>
      <c r="BA246" s="359"/>
    </row>
    <row r="247" spans="13:53" ht="15.75">
      <c r="M247" s="316"/>
      <c r="AI247" s="896" t="s">
        <v>1026</v>
      </c>
      <c r="AJ247" s="897"/>
      <c r="AK247" s="897"/>
      <c r="AL247" s="897"/>
      <c r="AM247" s="898"/>
      <c r="AN247" s="515"/>
      <c r="AO247" s="516">
        <f>SUM(AO242:AO246)</f>
        <v>0</v>
      </c>
      <c r="AP247" s="356"/>
      <c r="AR247" s="910" t="s">
        <v>320</v>
      </c>
      <c r="AS247" s="911"/>
      <c r="AT247" s="911"/>
      <c r="AU247" s="911"/>
      <c r="AV247" s="911"/>
      <c r="AW247" s="912"/>
      <c r="AX247" s="357" t="s">
        <v>198</v>
      </c>
      <c r="AY247" s="358"/>
      <c r="BA247" s="359"/>
    </row>
    <row r="248" spans="13:53" ht="18">
      <c r="M248" s="316"/>
      <c r="AI248" s="694"/>
      <c r="AR248" s="920" t="s">
        <v>320</v>
      </c>
      <c r="AS248" s="915"/>
      <c r="AT248" s="915"/>
      <c r="AU248" s="915"/>
      <c r="AV248" s="916"/>
      <c r="AW248" s="727" t="s">
        <v>321</v>
      </c>
      <c r="AX248" s="366">
        <f>COUNTIF($A$1:$GO$65,AW248)</f>
        <v>0</v>
      </c>
      <c r="AY248" s="728"/>
      <c r="BA248" s="681"/>
    </row>
    <row r="249" spans="13:53" ht="18">
      <c r="M249" s="316"/>
      <c r="AI249" s="905" t="s">
        <v>326</v>
      </c>
      <c r="AJ249" s="906"/>
      <c r="AK249" s="906"/>
      <c r="AL249" s="906"/>
      <c r="AM249" s="906"/>
      <c r="AN249" s="907"/>
      <c r="AO249" s="357" t="s">
        <v>198</v>
      </c>
      <c r="AP249" s="358"/>
      <c r="AR249" s="910" t="s">
        <v>1027</v>
      </c>
      <c r="AS249" s="911"/>
      <c r="AT249" s="911"/>
      <c r="AU249" s="911"/>
      <c r="AV249" s="912"/>
      <c r="AW249" s="515"/>
      <c r="AX249" s="516">
        <f>SUM(AX248:AX248)</f>
        <v>0</v>
      </c>
      <c r="BA249" s="681"/>
    </row>
    <row r="250" spans="13:53" ht="18">
      <c r="M250" s="316"/>
      <c r="AI250" s="899" t="s">
        <v>1028</v>
      </c>
      <c r="AJ250" s="900"/>
      <c r="AK250" s="900"/>
      <c r="AL250" s="900"/>
      <c r="AM250" s="900"/>
      <c r="AN250" s="729" t="s">
        <v>1029</v>
      </c>
      <c r="AO250" s="366">
        <f>COUNTIF($A$1:$GO$65,AN250)</f>
        <v>0</v>
      </c>
      <c r="AP250" s="730"/>
      <c r="BA250" s="681"/>
    </row>
    <row r="251" spans="13:53" ht="18">
      <c r="M251" s="316"/>
      <c r="AA251" s="316"/>
      <c r="AI251" s="899" t="s">
        <v>1030</v>
      </c>
      <c r="AJ251" s="900"/>
      <c r="AK251" s="900"/>
      <c r="AL251" s="900"/>
      <c r="AM251" s="908"/>
      <c r="AN251" s="731" t="s">
        <v>1031</v>
      </c>
      <c r="AO251" s="366">
        <f>COUNTIF($A$1:$GO$65,AN251)</f>
        <v>0</v>
      </c>
      <c r="AP251" s="730"/>
      <c r="AR251" s="910" t="s">
        <v>639</v>
      </c>
      <c r="AS251" s="911"/>
      <c r="AT251" s="911"/>
      <c r="AU251" s="911"/>
      <c r="AV251" s="911"/>
      <c r="AW251" s="912"/>
      <c r="AX251" s="357" t="s">
        <v>198</v>
      </c>
      <c r="AY251" s="358"/>
      <c r="BA251" s="681"/>
    </row>
    <row r="252" spans="13:53" ht="18">
      <c r="M252" s="316"/>
      <c r="AA252" s="316"/>
      <c r="AI252" s="896" t="s">
        <v>1032</v>
      </c>
      <c r="AJ252" s="897"/>
      <c r="AK252" s="897"/>
      <c r="AL252" s="897"/>
      <c r="AM252" s="898"/>
      <c r="AN252" s="515"/>
      <c r="AO252" s="516">
        <f>SUM(AO250:AO251)</f>
        <v>0</v>
      </c>
      <c r="AP252" s="356"/>
      <c r="AR252" s="914" t="s">
        <v>639</v>
      </c>
      <c r="AS252" s="915"/>
      <c r="AT252" s="915"/>
      <c r="AU252" s="915"/>
      <c r="AV252" s="916"/>
      <c r="AW252" s="732" t="s">
        <v>1033</v>
      </c>
      <c r="AX252" s="366">
        <f>COUNTIF($A$1:$GO$65,AW252)</f>
        <v>0</v>
      </c>
      <c r="AY252" s="733"/>
      <c r="BA252" s="681"/>
    </row>
    <row r="253" spans="13:53" ht="18">
      <c r="M253" s="316"/>
      <c r="AA253" s="316"/>
      <c r="AI253" s="694"/>
      <c r="AR253" s="910" t="s">
        <v>1034</v>
      </c>
      <c r="AS253" s="911"/>
      <c r="AT253" s="911"/>
      <c r="AU253" s="911"/>
      <c r="AV253" s="912"/>
      <c r="AW253" s="734"/>
      <c r="AX253" s="516">
        <f>SUM(AX252:AX252)</f>
        <v>0</v>
      </c>
      <c r="BA253" s="681"/>
    </row>
    <row r="254" spans="13:53" ht="18">
      <c r="M254" s="316"/>
      <c r="AA254" s="316"/>
      <c r="AI254" s="905" t="s">
        <v>514</v>
      </c>
      <c r="AJ254" s="906"/>
      <c r="AK254" s="906"/>
      <c r="AL254" s="906"/>
      <c r="AM254" s="906"/>
      <c r="AN254" s="907"/>
      <c r="AO254" s="357" t="s">
        <v>198</v>
      </c>
      <c r="AP254" s="358"/>
      <c r="BA254" s="681"/>
    </row>
    <row r="255" spans="13:53" ht="18">
      <c r="M255" s="316"/>
      <c r="AA255" s="316"/>
      <c r="AI255" s="899" t="s">
        <v>1035</v>
      </c>
      <c r="AJ255" s="900"/>
      <c r="AK255" s="900"/>
      <c r="AL255" s="900"/>
      <c r="AM255" s="901"/>
      <c r="AN255" s="719" t="s">
        <v>1036</v>
      </c>
      <c r="AO255" s="366">
        <f t="shared" ref="AO255:AO264" si="61">COUNTIF($A$1:$GO$65,AN255)</f>
        <v>0</v>
      </c>
      <c r="AP255" s="735"/>
      <c r="AR255" s="910" t="s">
        <v>353</v>
      </c>
      <c r="AS255" s="911"/>
      <c r="AT255" s="911"/>
      <c r="AU255" s="911"/>
      <c r="AV255" s="911"/>
      <c r="AW255" s="912"/>
      <c r="AX255" s="357" t="s">
        <v>198</v>
      </c>
      <c r="AY255" s="358"/>
      <c r="BA255" s="681"/>
    </row>
    <row r="256" spans="13:53" ht="18">
      <c r="M256" s="316"/>
      <c r="AA256" s="316"/>
      <c r="AI256" s="899" t="s">
        <v>1037</v>
      </c>
      <c r="AJ256" s="900"/>
      <c r="AK256" s="900"/>
      <c r="AL256" s="900"/>
      <c r="AM256" s="901"/>
      <c r="AN256" s="736" t="s">
        <v>1038</v>
      </c>
      <c r="AO256" s="366">
        <f t="shared" si="61"/>
        <v>0</v>
      </c>
      <c r="AP256" s="735"/>
      <c r="AR256" s="914" t="s">
        <v>1039</v>
      </c>
      <c r="AS256" s="915"/>
      <c r="AT256" s="915"/>
      <c r="AU256" s="915"/>
      <c r="AV256" s="916"/>
      <c r="AW256" s="737" t="s">
        <v>1040</v>
      </c>
      <c r="AX256" s="366">
        <f>COUNTIF($A$1:$GO$65,AW256)</f>
        <v>0</v>
      </c>
      <c r="AY256" s="738"/>
      <c r="BA256" s="681"/>
    </row>
    <row r="257" spans="13:53" ht="18">
      <c r="M257" s="316"/>
      <c r="AA257" s="316"/>
      <c r="AI257" s="899" t="s">
        <v>1041</v>
      </c>
      <c r="AJ257" s="900"/>
      <c r="AK257" s="900"/>
      <c r="AL257" s="900"/>
      <c r="AM257" s="901"/>
      <c r="AN257" s="739" t="s">
        <v>1042</v>
      </c>
      <c r="AO257" s="366">
        <f t="shared" si="61"/>
        <v>0</v>
      </c>
      <c r="AP257" s="735"/>
      <c r="AR257" s="910" t="s">
        <v>1043</v>
      </c>
      <c r="AS257" s="911"/>
      <c r="AT257" s="911"/>
      <c r="AU257" s="911"/>
      <c r="AV257" s="912"/>
      <c r="AW257" s="515"/>
      <c r="AX257" s="516">
        <f>SUM(AX256:AX256)</f>
        <v>0</v>
      </c>
      <c r="BA257" s="681"/>
    </row>
    <row r="258" spans="13:53" ht="18">
      <c r="M258" s="316"/>
      <c r="AA258" s="316"/>
      <c r="AI258" s="899" t="s">
        <v>1044</v>
      </c>
      <c r="AJ258" s="900"/>
      <c r="AK258" s="900"/>
      <c r="AL258" s="900"/>
      <c r="AM258" s="901"/>
      <c r="AN258" s="740" t="s">
        <v>1045</v>
      </c>
      <c r="AO258" s="366">
        <f t="shared" si="61"/>
        <v>0</v>
      </c>
      <c r="AP258" s="735"/>
      <c r="BA258" s="681"/>
    </row>
    <row r="259" spans="13:53" ht="18">
      <c r="M259" s="316"/>
      <c r="AA259" s="316"/>
      <c r="AI259" s="899" t="s">
        <v>1046</v>
      </c>
      <c r="AJ259" s="900"/>
      <c r="AK259" s="900"/>
      <c r="AL259" s="900"/>
      <c r="AM259" s="901"/>
      <c r="AN259" s="741" t="s">
        <v>1047</v>
      </c>
      <c r="AO259" s="366">
        <f t="shared" si="61"/>
        <v>0</v>
      </c>
      <c r="AP259" s="735"/>
      <c r="AR259" s="913" t="s">
        <v>243</v>
      </c>
      <c r="AS259" s="906"/>
      <c r="AT259" s="906"/>
      <c r="AU259" s="906"/>
      <c r="AV259" s="906"/>
      <c r="AW259" s="907"/>
      <c r="AX259" s="357" t="s">
        <v>198</v>
      </c>
      <c r="AY259" s="358"/>
      <c r="BA259" s="681"/>
    </row>
    <row r="260" spans="13:53" ht="18">
      <c r="M260" s="316"/>
      <c r="AA260" s="316"/>
      <c r="AI260" s="899" t="s">
        <v>1048</v>
      </c>
      <c r="AJ260" s="900"/>
      <c r="AK260" s="900"/>
      <c r="AL260" s="900"/>
      <c r="AM260" s="901"/>
      <c r="AN260" s="742" t="s">
        <v>1049</v>
      </c>
      <c r="AO260" s="366">
        <f t="shared" si="61"/>
        <v>0</v>
      </c>
      <c r="AP260" s="735"/>
      <c r="AR260" s="909" t="s">
        <v>1050</v>
      </c>
      <c r="AS260" s="909"/>
      <c r="AT260" s="909"/>
      <c r="AU260" s="909"/>
      <c r="AV260" s="909"/>
      <c r="AW260" s="743" t="s">
        <v>1051</v>
      </c>
      <c r="AX260" s="366">
        <f>COUNTIF($A$1:$GO$65,AW260)</f>
        <v>0</v>
      </c>
      <c r="AY260" s="744"/>
      <c r="BA260" s="681"/>
    </row>
    <row r="261" spans="13:53" ht="18">
      <c r="M261" s="316"/>
      <c r="AA261" s="316"/>
      <c r="AI261" s="899" t="s">
        <v>1052</v>
      </c>
      <c r="AJ261" s="900"/>
      <c r="AK261" s="900"/>
      <c r="AL261" s="900"/>
      <c r="AM261" s="901"/>
      <c r="AN261" s="745" t="s">
        <v>1053</v>
      </c>
      <c r="AO261" s="366">
        <f t="shared" si="61"/>
        <v>0</v>
      </c>
      <c r="AP261" s="735"/>
      <c r="AR261" s="909" t="s">
        <v>1054</v>
      </c>
      <c r="AS261" s="909"/>
      <c r="AT261" s="909"/>
      <c r="AU261" s="909"/>
      <c r="AV261" s="909"/>
      <c r="AW261" s="746" t="s">
        <v>1055</v>
      </c>
      <c r="AX261" s="366">
        <f>COUNTIF($A$1:$GO$65,AW261)</f>
        <v>0</v>
      </c>
      <c r="AY261" s="744"/>
      <c r="BA261" s="681"/>
    </row>
    <row r="262" spans="13:53" ht="18">
      <c r="M262" s="316"/>
      <c r="AA262" s="316"/>
      <c r="AI262" s="899" t="s">
        <v>1056</v>
      </c>
      <c r="AJ262" s="900"/>
      <c r="AK262" s="900"/>
      <c r="AL262" s="900"/>
      <c r="AM262" s="901"/>
      <c r="AN262" s="747" t="s">
        <v>1057</v>
      </c>
      <c r="AO262" s="366">
        <f t="shared" si="61"/>
        <v>0</v>
      </c>
      <c r="AP262" s="735"/>
      <c r="AR262" s="909" t="s">
        <v>1058</v>
      </c>
      <c r="AS262" s="909"/>
      <c r="AT262" s="909"/>
      <c r="AU262" s="909"/>
      <c r="AV262" s="909"/>
      <c r="AW262" s="748" t="s">
        <v>1059</v>
      </c>
      <c r="AX262" s="366">
        <f>COUNTIF($A$1:$GO$65,AW262)</f>
        <v>0</v>
      </c>
      <c r="AY262" s="744"/>
      <c r="BA262" s="681"/>
    </row>
    <row r="263" spans="13:53" ht="18">
      <c r="M263" s="316"/>
      <c r="AA263" s="316"/>
      <c r="AI263" s="899" t="s">
        <v>1060</v>
      </c>
      <c r="AJ263" s="900"/>
      <c r="AK263" s="900"/>
      <c r="AL263" s="900"/>
      <c r="AM263" s="901"/>
      <c r="AN263" s="749" t="s">
        <v>1061</v>
      </c>
      <c r="AO263" s="366">
        <f t="shared" si="61"/>
        <v>0</v>
      </c>
      <c r="AP263" s="735"/>
      <c r="AR263" s="909" t="s">
        <v>1062</v>
      </c>
      <c r="AS263" s="909"/>
      <c r="AT263" s="909"/>
      <c r="AU263" s="909"/>
      <c r="AV263" s="909"/>
      <c r="AW263" s="750" t="s">
        <v>1063</v>
      </c>
      <c r="AX263" s="366">
        <f>COUNTIF($A$1:$GO$65,AW263)</f>
        <v>0</v>
      </c>
      <c r="AY263" s="744"/>
      <c r="BA263" s="681"/>
    </row>
    <row r="264" spans="13:53" ht="18">
      <c r="M264" s="316"/>
      <c r="AA264" s="316"/>
      <c r="AI264" s="899" t="s">
        <v>1064</v>
      </c>
      <c r="AJ264" s="900"/>
      <c r="AK264" s="900"/>
      <c r="AL264" s="900"/>
      <c r="AM264" s="901"/>
      <c r="AN264" s="751" t="s">
        <v>1065</v>
      </c>
      <c r="AO264" s="366">
        <f t="shared" si="61"/>
        <v>0</v>
      </c>
      <c r="AP264" s="735"/>
      <c r="AR264" s="902" t="s">
        <v>1066</v>
      </c>
      <c r="AS264" s="903"/>
      <c r="AT264" s="903"/>
      <c r="AU264" s="903"/>
      <c r="AV264" s="904"/>
      <c r="AW264" s="752"/>
      <c r="AX264" s="516">
        <f>SUM(AX260:AX263)</f>
        <v>0</v>
      </c>
      <c r="BA264" s="681"/>
    </row>
    <row r="265" spans="13:53" ht="18">
      <c r="M265" s="316"/>
      <c r="AA265" s="316"/>
      <c r="AI265" s="896" t="s">
        <v>1067</v>
      </c>
      <c r="AJ265" s="897"/>
      <c r="AK265" s="897"/>
      <c r="AL265" s="897"/>
      <c r="AM265" s="898"/>
      <c r="AN265" s="515"/>
      <c r="AO265" s="516">
        <f>SUM(AO255:AO264)</f>
        <v>0</v>
      </c>
      <c r="AP265" s="356"/>
      <c r="BA265" s="681"/>
    </row>
    <row r="266" spans="13:53" ht="18">
      <c r="M266" s="316"/>
      <c r="AA266" s="316"/>
      <c r="AI266" s="694"/>
      <c r="BA266" s="681"/>
    </row>
    <row r="267" spans="13:53" ht="18">
      <c r="M267" s="316"/>
      <c r="AA267" s="316"/>
      <c r="AI267" s="905" t="s">
        <v>284</v>
      </c>
      <c r="AJ267" s="906"/>
      <c r="AK267" s="906"/>
      <c r="AL267" s="906"/>
      <c r="AM267" s="906"/>
      <c r="AN267" s="907"/>
      <c r="AO267" s="357" t="s">
        <v>198</v>
      </c>
      <c r="AP267" s="358"/>
      <c r="BA267" s="681"/>
    </row>
    <row r="268" spans="13:53" ht="18">
      <c r="M268" s="316"/>
      <c r="AA268" s="316"/>
      <c r="AI268" s="899" t="s">
        <v>1068</v>
      </c>
      <c r="AJ268" s="900"/>
      <c r="AK268" s="900"/>
      <c r="AL268" s="900"/>
      <c r="AM268" s="900"/>
      <c r="AN268" s="753" t="s">
        <v>1069</v>
      </c>
      <c r="AO268" s="366">
        <f>COUNTIF($A$1:$GO$65,AN268)</f>
        <v>0</v>
      </c>
      <c r="AP268" s="730"/>
      <c r="BA268" s="681"/>
    </row>
    <row r="269" spans="13:53" ht="18">
      <c r="M269" s="316"/>
      <c r="AA269" s="316"/>
      <c r="AI269" s="899"/>
      <c r="AJ269" s="900"/>
      <c r="AK269" s="900"/>
      <c r="AL269" s="900"/>
      <c r="AM269" s="908"/>
      <c r="AN269" s="754"/>
      <c r="AO269" s="366"/>
      <c r="AP269" s="730"/>
      <c r="BA269" s="681"/>
    </row>
    <row r="270" spans="13:53" ht="18">
      <c r="M270" s="316"/>
      <c r="AA270" s="316"/>
      <c r="AI270" s="896" t="s">
        <v>1070</v>
      </c>
      <c r="AJ270" s="897"/>
      <c r="AK270" s="897"/>
      <c r="AL270" s="897"/>
      <c r="AM270" s="898"/>
      <c r="AN270" s="515"/>
      <c r="AO270" s="516">
        <f>SUM(AO268:AO269)</f>
        <v>0</v>
      </c>
      <c r="AP270" s="356"/>
      <c r="BA270" s="681"/>
    </row>
    <row r="271" spans="13:53" ht="18">
      <c r="M271" s="316"/>
      <c r="AA271" s="316"/>
      <c r="AI271" s="755"/>
      <c r="AJ271" s="756"/>
      <c r="AK271" s="756"/>
      <c r="AL271" s="756"/>
      <c r="AM271" s="756"/>
      <c r="AN271" s="757"/>
      <c r="AO271" s="758"/>
      <c r="AP271" s="356"/>
      <c r="BA271" s="681"/>
    </row>
    <row r="272" spans="13:53" ht="18">
      <c r="M272" s="316"/>
      <c r="AA272" s="316"/>
      <c r="AI272" s="755"/>
      <c r="AJ272" s="756"/>
      <c r="AK272" s="756"/>
      <c r="AL272" s="756"/>
      <c r="AM272" s="756"/>
      <c r="AN272" s="757"/>
      <c r="AO272" s="758"/>
      <c r="AP272" s="356"/>
      <c r="BA272" s="681"/>
    </row>
    <row r="273" spans="13:53" ht="18">
      <c r="M273" s="316"/>
      <c r="AA273" s="316"/>
      <c r="AI273" s="755"/>
      <c r="AJ273" s="756"/>
      <c r="AK273" s="756"/>
      <c r="AL273" s="756"/>
      <c r="AM273" s="756"/>
      <c r="AN273" s="757"/>
      <c r="AO273" s="758"/>
      <c r="AP273" s="356"/>
      <c r="BA273" s="681"/>
    </row>
    <row r="274" spans="13:53" ht="18">
      <c r="M274" s="316"/>
      <c r="AA274" s="316"/>
      <c r="AI274" s="755"/>
      <c r="AJ274" s="756"/>
      <c r="AK274" s="756"/>
      <c r="AL274" s="756"/>
      <c r="AM274" s="756"/>
      <c r="AN274" s="757"/>
      <c r="AO274" s="758"/>
      <c r="AP274" s="356"/>
      <c r="BA274" s="681"/>
    </row>
    <row r="275" spans="13:53" ht="18">
      <c r="M275" s="316"/>
      <c r="AA275" s="316"/>
      <c r="AI275" s="755"/>
      <c r="AJ275" s="756"/>
      <c r="AK275" s="756"/>
      <c r="AL275" s="756"/>
      <c r="AM275" s="756"/>
      <c r="AN275" s="757"/>
      <c r="AO275" s="758"/>
      <c r="AP275" s="356"/>
      <c r="BA275" s="681"/>
    </row>
    <row r="276" spans="13:53" ht="18">
      <c r="M276" s="316"/>
      <c r="AA276" s="316"/>
      <c r="AI276" s="755"/>
      <c r="AJ276" s="756"/>
      <c r="AK276" s="756"/>
      <c r="AL276" s="756"/>
      <c r="AM276" s="756"/>
      <c r="AN276" s="757"/>
      <c r="AO276" s="758"/>
      <c r="AP276" s="356"/>
      <c r="BA276" s="681"/>
    </row>
    <row r="277" spans="13:53" ht="18">
      <c r="M277" s="316"/>
      <c r="AA277" s="316"/>
      <c r="AI277" s="755"/>
      <c r="AJ277" s="756"/>
      <c r="AK277" s="756"/>
      <c r="AL277" s="756"/>
      <c r="AM277" s="756"/>
      <c r="AN277" s="757"/>
      <c r="AO277" s="758"/>
      <c r="AP277" s="356"/>
      <c r="BA277" s="681"/>
    </row>
    <row r="278" spans="13:53" ht="18">
      <c r="M278" s="316"/>
      <c r="AA278" s="316"/>
      <c r="AI278" s="755"/>
      <c r="AJ278" s="756"/>
      <c r="AK278" s="756"/>
      <c r="AL278" s="756"/>
      <c r="AM278" s="756"/>
      <c r="AN278" s="757"/>
      <c r="AO278" s="758"/>
      <c r="AP278" s="356"/>
      <c r="BA278" s="681"/>
    </row>
    <row r="279" spans="13:53" ht="18">
      <c r="M279" s="316"/>
      <c r="AA279" s="316"/>
      <c r="AI279" s="755"/>
      <c r="AJ279" s="756"/>
      <c r="AK279" s="756"/>
      <c r="AL279" s="756"/>
      <c r="AM279" s="756"/>
      <c r="AN279" s="757"/>
      <c r="AO279" s="758"/>
      <c r="AP279" s="356"/>
      <c r="BA279" s="681"/>
    </row>
    <row r="280" spans="13:53" ht="18">
      <c r="M280" s="316"/>
      <c r="AA280" s="316"/>
      <c r="AI280" s="755"/>
      <c r="AJ280" s="756"/>
      <c r="AK280" s="756"/>
      <c r="AL280" s="756"/>
      <c r="AM280" s="756"/>
      <c r="AN280" s="757"/>
      <c r="AO280" s="758"/>
      <c r="AP280" s="356"/>
      <c r="BA280" s="681"/>
    </row>
    <row r="281" spans="13:53" ht="18">
      <c r="M281" s="316"/>
      <c r="AA281" s="316"/>
      <c r="AI281" s="755"/>
      <c r="AJ281" s="756"/>
      <c r="AK281" s="756"/>
      <c r="AL281" s="756"/>
      <c r="AM281" s="756"/>
      <c r="AN281" s="757"/>
      <c r="AO281" s="758"/>
      <c r="AP281" s="356"/>
      <c r="BA281" s="681"/>
    </row>
    <row r="282" spans="13:53" ht="18">
      <c r="M282" s="316"/>
      <c r="AA282" s="316"/>
      <c r="AI282" s="694"/>
      <c r="BA282" s="681"/>
    </row>
    <row r="283" spans="13:53" ht="15.75" thickBot="1">
      <c r="M283" s="316"/>
      <c r="AA283" s="316"/>
      <c r="AI283" s="759"/>
      <c r="AJ283" s="760"/>
      <c r="AK283" s="760"/>
      <c r="AL283" s="760"/>
      <c r="AM283" s="760"/>
      <c r="AN283" s="760"/>
      <c r="AO283" s="760"/>
      <c r="AP283" s="760"/>
      <c r="AQ283" s="760"/>
      <c r="AR283" s="760"/>
      <c r="AS283" s="760"/>
      <c r="AT283" s="760"/>
      <c r="AU283" s="760"/>
      <c r="AV283" s="760"/>
      <c r="AW283" s="760"/>
      <c r="AX283" s="760"/>
      <c r="AY283" s="760"/>
      <c r="AZ283" s="760"/>
      <c r="BA283" s="761"/>
    </row>
    <row r="284" spans="13:53">
      <c r="M284" s="316"/>
      <c r="AA284" s="316"/>
    </row>
    <row r="285" spans="13:53">
      <c r="M285" s="316"/>
      <c r="AA285" s="316"/>
    </row>
    <row r="286" spans="13:53">
      <c r="M286" s="316"/>
      <c r="AA286" s="316"/>
    </row>
    <row r="287" spans="13:53">
      <c r="M287" s="316"/>
      <c r="AA287" s="316"/>
    </row>
    <row r="288" spans="13:53">
      <c r="M288" s="316"/>
      <c r="AA288" s="316"/>
    </row>
    <row r="289" spans="13:53" ht="18">
      <c r="M289" s="316"/>
      <c r="AA289" s="316"/>
      <c r="AZ289" s="655"/>
    </row>
    <row r="290" spans="13:53" ht="18">
      <c r="M290" s="316"/>
      <c r="AA290" s="316"/>
      <c r="AI290" s="762"/>
      <c r="AJ290" s="762"/>
      <c r="AK290" s="762"/>
      <c r="AL290" s="762"/>
      <c r="AM290" s="762"/>
      <c r="AQ290" s="763"/>
    </row>
    <row r="291" spans="13:53" ht="18">
      <c r="M291" s="316"/>
      <c r="AA291" s="316"/>
      <c r="AI291" s="892"/>
      <c r="AJ291" s="892"/>
      <c r="AK291" s="892"/>
      <c r="AL291" s="892"/>
      <c r="AM291" s="892"/>
      <c r="AN291" s="892"/>
      <c r="AO291" s="763"/>
      <c r="AP291" s="763"/>
      <c r="AQ291" s="528"/>
      <c r="BA291" s="655"/>
    </row>
    <row r="292" spans="13:53" ht="18">
      <c r="M292" s="316"/>
      <c r="AA292" s="316"/>
      <c r="AI292" s="893"/>
      <c r="AJ292" s="893"/>
      <c r="AK292" s="893"/>
      <c r="AL292" s="893"/>
      <c r="AM292" s="893"/>
      <c r="AN292" s="657"/>
      <c r="AO292" s="528"/>
      <c r="AP292" s="528"/>
      <c r="AQ292" s="763"/>
      <c r="AZ292" s="655"/>
      <c r="BA292" s="763"/>
    </row>
    <row r="293" spans="13:53" ht="18">
      <c r="M293" s="316"/>
      <c r="AA293" s="316"/>
      <c r="AI293" s="892"/>
      <c r="AJ293" s="892"/>
      <c r="AK293" s="892"/>
      <c r="AL293" s="892"/>
      <c r="AM293" s="892"/>
      <c r="AN293" s="892"/>
      <c r="AO293" s="763"/>
      <c r="AP293" s="763"/>
      <c r="AQ293" s="764"/>
      <c r="AZ293" s="763"/>
      <c r="BA293" s="655"/>
    </row>
    <row r="294" spans="13:53" ht="18">
      <c r="M294" s="316"/>
      <c r="AA294" s="316"/>
      <c r="AI294" s="892"/>
      <c r="AJ294" s="892"/>
      <c r="AK294" s="892"/>
      <c r="AL294" s="892"/>
      <c r="AM294" s="892"/>
      <c r="AN294" s="892"/>
      <c r="AO294" s="764"/>
      <c r="AP294" s="764"/>
      <c r="AQ294" s="764"/>
      <c r="AZ294" s="655"/>
      <c r="BA294" s="655"/>
    </row>
    <row r="295" spans="13:53" ht="18">
      <c r="M295" s="316"/>
      <c r="AA295" s="316"/>
      <c r="AI295" s="655"/>
      <c r="AJ295" s="655"/>
      <c r="AK295" s="655"/>
      <c r="AL295" s="655"/>
      <c r="AM295" s="655"/>
      <c r="AN295" s="655"/>
      <c r="AO295" s="764"/>
      <c r="AP295" s="764"/>
      <c r="AQ295" s="764"/>
      <c r="AZ295" s="655"/>
      <c r="BA295" s="655"/>
    </row>
    <row r="296" spans="13:53" ht="18">
      <c r="M296" s="316"/>
      <c r="AA296" s="316"/>
      <c r="AI296" s="655"/>
      <c r="AJ296" s="655"/>
      <c r="AK296" s="655"/>
      <c r="AL296" s="655"/>
      <c r="AM296" s="655"/>
      <c r="AN296" s="655"/>
      <c r="AO296" s="764"/>
      <c r="AP296" s="764"/>
      <c r="AQ296" s="764"/>
      <c r="AZ296" s="655"/>
      <c r="BA296" s="655"/>
    </row>
    <row r="297" spans="13:53" ht="18">
      <c r="M297" s="316"/>
      <c r="AA297" s="316"/>
      <c r="AI297" s="655"/>
      <c r="AJ297" s="655"/>
      <c r="AK297" s="655"/>
      <c r="AL297" s="655"/>
      <c r="AM297" s="655"/>
      <c r="AN297" s="655"/>
      <c r="AO297" s="764"/>
      <c r="AP297" s="764"/>
      <c r="AQ297" s="764"/>
      <c r="AZ297" s="655"/>
      <c r="BA297" s="655"/>
    </row>
    <row r="298" spans="13:53" ht="18">
      <c r="M298" s="316"/>
      <c r="AA298" s="316"/>
      <c r="AI298" s="655"/>
      <c r="AJ298" s="655"/>
      <c r="AK298" s="655"/>
      <c r="AL298" s="655"/>
      <c r="AM298" s="655"/>
      <c r="AN298" s="655"/>
      <c r="AO298" s="764"/>
      <c r="AP298" s="764"/>
      <c r="AQ298" s="764"/>
      <c r="AZ298" s="655"/>
      <c r="BA298" s="655"/>
    </row>
    <row r="299" spans="13:53" ht="18">
      <c r="M299" s="316"/>
      <c r="AA299" s="316"/>
      <c r="AI299" s="655"/>
      <c r="AJ299" s="655"/>
      <c r="AK299" s="655"/>
      <c r="AL299" s="655"/>
      <c r="AM299" s="655"/>
      <c r="AN299" s="655"/>
      <c r="AO299" s="764"/>
      <c r="AP299" s="764"/>
      <c r="AQ299" s="764"/>
      <c r="AZ299" s="655"/>
      <c r="BA299" s="655"/>
    </row>
    <row r="300" spans="13:53" ht="18">
      <c r="M300" s="316"/>
      <c r="AA300" s="316"/>
      <c r="AI300" s="655"/>
      <c r="AJ300" s="655"/>
      <c r="AK300" s="655"/>
      <c r="AL300" s="655"/>
      <c r="AM300" s="655"/>
      <c r="AN300" s="655"/>
      <c r="AO300" s="764"/>
      <c r="AP300" s="764"/>
      <c r="AQ300" s="764"/>
      <c r="AZ300" s="655"/>
      <c r="BA300" s="655"/>
    </row>
    <row r="301" spans="13:53" ht="18">
      <c r="M301" s="316"/>
      <c r="AA301" s="316"/>
      <c r="AI301" s="655"/>
      <c r="AJ301" s="655"/>
      <c r="AK301" s="655"/>
      <c r="AL301" s="655"/>
      <c r="AM301" s="655"/>
      <c r="AN301" s="655"/>
      <c r="AO301" s="764"/>
      <c r="AP301" s="764"/>
      <c r="AQ301" s="764"/>
      <c r="AZ301" s="655"/>
      <c r="BA301" s="655"/>
    </row>
    <row r="302" spans="13:53" ht="18">
      <c r="M302" s="316"/>
      <c r="AA302" s="316"/>
      <c r="AI302" s="655"/>
      <c r="AJ302" s="655"/>
      <c r="AK302" s="655"/>
      <c r="AL302" s="655"/>
      <c r="AM302" s="655"/>
      <c r="AN302" s="655"/>
      <c r="AO302" s="764"/>
      <c r="AP302" s="764"/>
      <c r="AQ302" s="764"/>
      <c r="AZ302" s="655"/>
      <c r="BA302" s="655"/>
    </row>
    <row r="303" spans="13:53" ht="18">
      <c r="M303" s="316"/>
      <c r="AA303" s="316"/>
      <c r="AI303" s="655"/>
      <c r="AJ303" s="655"/>
      <c r="AK303" s="655"/>
      <c r="AL303" s="655"/>
      <c r="AM303" s="655"/>
      <c r="AN303" s="655"/>
      <c r="AO303" s="764"/>
      <c r="AP303" s="764"/>
      <c r="AQ303" s="764"/>
      <c r="AZ303" s="655"/>
      <c r="BA303" s="655"/>
    </row>
    <row r="304" spans="13:53" ht="18">
      <c r="M304" s="316"/>
      <c r="AA304" s="316"/>
      <c r="AI304" s="655"/>
      <c r="AJ304" s="655"/>
      <c r="AK304" s="655"/>
      <c r="AL304" s="655"/>
      <c r="AM304" s="655"/>
      <c r="AN304" s="655"/>
      <c r="AO304" s="764"/>
      <c r="AP304" s="764"/>
      <c r="AQ304" s="764"/>
      <c r="AZ304" s="655"/>
      <c r="BA304" s="655"/>
    </row>
    <row r="305" spans="13:53" ht="18">
      <c r="M305" s="316"/>
      <c r="AA305" s="316"/>
      <c r="AI305" s="655"/>
      <c r="AJ305" s="655"/>
      <c r="AK305" s="655"/>
      <c r="AL305" s="655"/>
      <c r="AM305" s="655"/>
      <c r="AN305" s="655"/>
      <c r="AO305" s="764"/>
      <c r="AP305" s="764"/>
      <c r="AQ305" s="764"/>
      <c r="AZ305" s="655"/>
      <c r="BA305" s="655"/>
    </row>
    <row r="306" spans="13:53" ht="18">
      <c r="M306" s="316"/>
      <c r="AA306" s="316"/>
      <c r="AI306" s="655"/>
      <c r="AJ306" s="655"/>
      <c r="AK306" s="655"/>
      <c r="AL306" s="655"/>
      <c r="AM306" s="655"/>
      <c r="AN306" s="655"/>
      <c r="AO306" s="764"/>
      <c r="AP306" s="764"/>
      <c r="AQ306" s="764"/>
      <c r="AZ306" s="655"/>
      <c r="BA306" s="655"/>
    </row>
    <row r="307" spans="13:53" ht="18">
      <c r="M307" s="316"/>
      <c r="AA307" s="316"/>
      <c r="AI307" s="762"/>
      <c r="AJ307" s="762"/>
      <c r="AK307" s="762"/>
      <c r="AL307" s="762"/>
      <c r="AM307" s="762"/>
      <c r="AQ307" s="764"/>
      <c r="AZ307" s="655"/>
      <c r="BA307" s="655"/>
    </row>
    <row r="308" spans="13:53" ht="18">
      <c r="M308" s="316"/>
      <c r="AA308" s="316"/>
      <c r="AI308" s="762"/>
      <c r="AJ308" s="762"/>
      <c r="AK308" s="762"/>
      <c r="AL308" s="762"/>
      <c r="AM308" s="762"/>
      <c r="AQ308" s="764"/>
      <c r="AZ308" s="655"/>
      <c r="BA308" s="655"/>
    </row>
    <row r="309" spans="13:53" ht="18">
      <c r="M309" s="316"/>
      <c r="AA309" s="316"/>
      <c r="AI309" s="762"/>
      <c r="AJ309" s="762"/>
      <c r="AK309" s="762"/>
      <c r="AL309" s="762"/>
      <c r="AM309" s="762"/>
      <c r="AQ309" s="764"/>
      <c r="AZ309" s="655"/>
      <c r="BA309" s="655"/>
    </row>
    <row r="310" spans="13:53" ht="18">
      <c r="M310" s="316"/>
      <c r="AA310" s="316"/>
      <c r="AI310" s="762"/>
      <c r="AJ310" s="762"/>
      <c r="AK310" s="762"/>
      <c r="AL310" s="762"/>
      <c r="AM310" s="762"/>
      <c r="AQ310" s="764"/>
      <c r="AZ310" s="655"/>
      <c r="BA310" s="655"/>
    </row>
    <row r="311" spans="13:53" ht="18">
      <c r="M311" s="316"/>
      <c r="AA311" s="316"/>
      <c r="AI311" s="762"/>
      <c r="AJ311" s="762"/>
      <c r="AK311" s="762"/>
      <c r="AL311" s="762"/>
      <c r="AM311" s="762"/>
      <c r="AQ311" s="764"/>
      <c r="AZ311" s="655"/>
      <c r="BA311" s="655"/>
    </row>
    <row r="312" spans="13:53" ht="18">
      <c r="M312" s="316"/>
      <c r="AA312" s="316"/>
      <c r="AI312" s="762"/>
      <c r="AJ312" s="762"/>
      <c r="AK312" s="762"/>
      <c r="AL312" s="762"/>
      <c r="AM312" s="762"/>
      <c r="AQ312" s="764"/>
      <c r="AZ312" s="655"/>
      <c r="BA312" s="655"/>
    </row>
    <row r="313" spans="13:53" ht="18">
      <c r="M313" s="316"/>
      <c r="AA313" s="316"/>
      <c r="AI313" s="762"/>
      <c r="AJ313" s="762"/>
      <c r="AK313" s="762"/>
      <c r="AL313" s="762"/>
      <c r="AM313" s="762"/>
      <c r="AQ313" s="764"/>
      <c r="AZ313" s="655"/>
      <c r="BA313" s="655"/>
    </row>
    <row r="314" spans="13:53" ht="18">
      <c r="M314" s="316"/>
      <c r="AA314" s="316"/>
      <c r="AI314" s="762"/>
      <c r="AJ314" s="762"/>
      <c r="AK314" s="762"/>
      <c r="AL314" s="762"/>
      <c r="AM314" s="762"/>
      <c r="AQ314" s="764"/>
      <c r="AZ314" s="655"/>
      <c r="BA314" s="655"/>
    </row>
    <row r="315" spans="13:53" ht="18">
      <c r="M315" s="316"/>
      <c r="AA315" s="316"/>
      <c r="AI315" s="762"/>
      <c r="AJ315" s="762"/>
      <c r="AK315" s="762"/>
      <c r="AL315" s="762"/>
      <c r="AM315" s="762"/>
      <c r="AQ315" s="764"/>
      <c r="AZ315" s="655"/>
      <c r="BA315" s="655"/>
    </row>
    <row r="316" spans="13:53" ht="18">
      <c r="M316" s="316"/>
      <c r="AA316" s="316"/>
      <c r="AI316" s="762"/>
      <c r="AJ316" s="762"/>
      <c r="AK316" s="762"/>
      <c r="AL316" s="762"/>
      <c r="AM316" s="762"/>
      <c r="AQ316" s="764"/>
      <c r="AZ316" s="655"/>
      <c r="BA316" s="655"/>
    </row>
    <row r="317" spans="13:53" ht="18">
      <c r="M317" s="316"/>
      <c r="AA317" s="316"/>
      <c r="AI317" s="762"/>
      <c r="AJ317" s="762"/>
      <c r="AK317" s="762"/>
      <c r="AL317" s="762"/>
      <c r="AM317" s="762"/>
      <c r="AQ317" s="764"/>
      <c r="AZ317" s="655"/>
      <c r="BA317" s="655"/>
    </row>
    <row r="318" spans="13:53" ht="18">
      <c r="M318" s="316"/>
      <c r="AA318" s="316"/>
      <c r="AI318" s="762"/>
      <c r="AJ318" s="762"/>
      <c r="AK318" s="762"/>
      <c r="AL318" s="762"/>
      <c r="AM318" s="762"/>
      <c r="AQ318" s="764"/>
      <c r="AZ318" s="655"/>
      <c r="BA318" s="655"/>
    </row>
    <row r="319" spans="13:53" ht="18">
      <c r="M319" s="316"/>
      <c r="AA319" s="316"/>
      <c r="AI319" s="762"/>
      <c r="AJ319" s="762"/>
      <c r="AK319" s="762"/>
      <c r="AL319" s="762"/>
      <c r="AM319" s="762"/>
      <c r="AQ319" s="764"/>
      <c r="AZ319" s="655"/>
      <c r="BA319" s="655"/>
    </row>
    <row r="320" spans="13:53" ht="18">
      <c r="M320" s="316"/>
      <c r="AI320" s="762"/>
      <c r="AJ320" s="762"/>
      <c r="AK320" s="762"/>
      <c r="AL320" s="762"/>
      <c r="AM320" s="762"/>
      <c r="AQ320" s="764"/>
      <c r="AZ320" s="655"/>
      <c r="BA320" s="655"/>
    </row>
    <row r="321" spans="13:53" ht="18">
      <c r="M321" s="316"/>
      <c r="AI321" s="762"/>
      <c r="AJ321" s="762"/>
      <c r="AK321" s="762"/>
      <c r="AL321" s="762"/>
      <c r="AM321" s="762"/>
      <c r="AQ321" s="764"/>
      <c r="AZ321" s="655"/>
      <c r="BA321" s="655"/>
    </row>
    <row r="322" spans="13:53" ht="18">
      <c r="M322" s="316"/>
      <c r="AI322" s="762"/>
      <c r="AJ322" s="762"/>
      <c r="AK322" s="762"/>
      <c r="AL322" s="762"/>
      <c r="AM322" s="762"/>
      <c r="AQ322" s="763"/>
      <c r="AZ322" s="655"/>
    </row>
    <row r="323" spans="13:53" ht="18">
      <c r="M323" s="316"/>
      <c r="AI323" s="762"/>
      <c r="AJ323" s="762"/>
      <c r="AK323" s="762"/>
      <c r="AL323" s="762"/>
      <c r="AM323" s="762"/>
      <c r="AQ323" s="528"/>
      <c r="BA323" s="655"/>
    </row>
    <row r="324" spans="13:53" ht="18">
      <c r="M324" s="316"/>
      <c r="AI324" s="893"/>
      <c r="AJ324" s="893"/>
      <c r="AK324" s="893"/>
      <c r="AL324" s="893"/>
      <c r="AM324" s="893"/>
      <c r="AN324" s="657"/>
      <c r="AO324" s="528"/>
      <c r="AP324" s="528"/>
      <c r="AQ324" s="528"/>
      <c r="AZ324" s="655"/>
      <c r="BA324" s="655"/>
    </row>
    <row r="325" spans="13:53" ht="18">
      <c r="M325" s="316"/>
      <c r="AI325" s="763"/>
      <c r="AJ325" s="763"/>
      <c r="AK325" s="763"/>
      <c r="AL325" s="763"/>
      <c r="AM325" s="763"/>
      <c r="AN325" s="657"/>
      <c r="AO325" s="528"/>
      <c r="AP325" s="528"/>
      <c r="AQ325" s="528"/>
      <c r="AZ325" s="655"/>
      <c r="BA325" s="655"/>
    </row>
    <row r="326" spans="13:53" ht="18">
      <c r="M326" s="316"/>
      <c r="AI326" s="763"/>
      <c r="AJ326" s="763"/>
      <c r="AK326" s="763"/>
      <c r="AL326" s="763"/>
      <c r="AM326" s="763"/>
      <c r="AN326" s="657"/>
      <c r="AO326" s="528"/>
      <c r="AP326" s="528"/>
      <c r="AQ326" s="763"/>
      <c r="AZ326" s="655"/>
      <c r="BA326" s="763"/>
    </row>
    <row r="327" spans="13:53" ht="18">
      <c r="M327" s="316"/>
      <c r="AI327" s="763"/>
      <c r="AJ327" s="763"/>
      <c r="AK327" s="763"/>
      <c r="AL327" s="763"/>
      <c r="AM327" s="763"/>
      <c r="AN327" s="657"/>
      <c r="AO327" s="528"/>
      <c r="AP327" s="528"/>
      <c r="AQ327" s="764"/>
      <c r="AR327" s="764"/>
      <c r="AS327" s="764"/>
      <c r="AT327" s="764"/>
      <c r="AU327" s="764"/>
      <c r="AZ327" s="763"/>
      <c r="BA327" s="655"/>
    </row>
    <row r="328" spans="13:53" ht="18">
      <c r="M328" s="316"/>
      <c r="AI328" s="892"/>
      <c r="AJ328" s="892"/>
      <c r="AK328" s="892"/>
      <c r="AL328" s="892"/>
      <c r="AM328" s="892"/>
      <c r="AN328" s="892"/>
      <c r="AO328" s="763"/>
      <c r="AP328" s="763"/>
      <c r="AW328" s="655"/>
      <c r="AX328" s="655"/>
      <c r="AY328" s="655"/>
      <c r="AZ328" s="655"/>
      <c r="BA328" s="655"/>
    </row>
    <row r="329" spans="13:53" ht="18">
      <c r="M329" s="316"/>
      <c r="AI329" s="892"/>
      <c r="AJ329" s="892"/>
      <c r="AK329" s="892"/>
      <c r="AL329" s="892"/>
      <c r="AM329" s="892"/>
      <c r="AN329" s="892"/>
      <c r="AO329" s="764"/>
      <c r="AP329" s="764"/>
      <c r="AQ329" s="763"/>
      <c r="AW329" s="655"/>
      <c r="AX329" s="655"/>
      <c r="AY329" s="655"/>
      <c r="AZ329" s="655"/>
      <c r="BA329" s="655"/>
    </row>
    <row r="330" spans="13:53" ht="18">
      <c r="M330" s="316"/>
      <c r="AQ330" s="763"/>
      <c r="AW330" s="655"/>
      <c r="AX330" s="655"/>
      <c r="AY330" s="655"/>
      <c r="AZ330" s="655"/>
    </row>
    <row r="331" spans="13:53" ht="18">
      <c r="M331" s="316"/>
      <c r="AI331" s="892"/>
      <c r="AJ331" s="892"/>
      <c r="AK331" s="892"/>
      <c r="AL331" s="892"/>
      <c r="AM331" s="892"/>
      <c r="AN331" s="892"/>
      <c r="AO331" s="763"/>
      <c r="AP331" s="763"/>
      <c r="AQ331" s="763"/>
      <c r="AR331" s="763"/>
      <c r="AS331" s="763"/>
      <c r="AT331" s="763"/>
      <c r="AU331" s="763"/>
      <c r="AW331" s="763"/>
      <c r="AX331" s="763"/>
      <c r="AY331" s="763"/>
    </row>
    <row r="332" spans="13:53" ht="18">
      <c r="M332" s="316"/>
      <c r="AI332" s="893"/>
      <c r="AJ332" s="893"/>
      <c r="AK332" s="893"/>
      <c r="AL332" s="893"/>
      <c r="AM332" s="893"/>
      <c r="AN332" s="657"/>
      <c r="AO332" s="528"/>
      <c r="AP332" s="528"/>
      <c r="AQ332" s="528"/>
      <c r="AR332" s="528"/>
      <c r="AS332" s="528"/>
      <c r="AT332" s="528"/>
      <c r="AU332" s="528"/>
      <c r="AW332" s="655"/>
      <c r="AX332" s="655"/>
      <c r="AY332" s="655"/>
      <c r="BA332" s="655"/>
    </row>
    <row r="333" spans="13:53" ht="18">
      <c r="M333" s="316"/>
      <c r="AI333" s="763"/>
      <c r="AJ333" s="763"/>
      <c r="AK333" s="763"/>
      <c r="AL333" s="763"/>
      <c r="AM333" s="763"/>
      <c r="AN333" s="657"/>
      <c r="AO333" s="528"/>
      <c r="AP333" s="528"/>
      <c r="AQ333" s="528"/>
      <c r="AR333" s="528"/>
      <c r="AS333" s="528"/>
      <c r="AT333" s="528"/>
      <c r="AU333" s="528"/>
      <c r="AW333" s="655"/>
      <c r="AX333" s="655"/>
      <c r="AY333" s="655"/>
      <c r="AZ333" s="655"/>
      <c r="BA333" s="655"/>
    </row>
    <row r="334" spans="13:53" ht="18">
      <c r="M334" s="316"/>
      <c r="AI334" s="763"/>
      <c r="AJ334" s="763"/>
      <c r="AK334" s="763"/>
      <c r="AL334" s="763"/>
      <c r="AM334" s="763"/>
      <c r="AN334" s="657"/>
      <c r="AO334" s="528"/>
      <c r="AP334" s="528"/>
      <c r="AQ334" s="528"/>
      <c r="AZ334" s="655"/>
      <c r="BA334" s="655"/>
    </row>
    <row r="335" spans="13:53" ht="18">
      <c r="M335" s="316"/>
      <c r="AI335" s="763"/>
      <c r="AJ335" s="763"/>
      <c r="AK335" s="763"/>
      <c r="AL335" s="763"/>
      <c r="AM335" s="763"/>
      <c r="AN335" s="657"/>
      <c r="AO335" s="528"/>
      <c r="AP335" s="528"/>
      <c r="AQ335" s="528"/>
      <c r="AZ335" s="655"/>
      <c r="BA335" s="655"/>
    </row>
    <row r="336" spans="13:53" ht="18">
      <c r="M336" s="316"/>
      <c r="AI336" s="763"/>
      <c r="AJ336" s="763"/>
      <c r="AK336" s="763"/>
      <c r="AL336" s="763"/>
      <c r="AM336" s="763"/>
      <c r="AN336" s="657"/>
      <c r="AO336" s="528"/>
      <c r="AP336" s="528"/>
      <c r="AQ336" s="528"/>
      <c r="AR336" s="764"/>
      <c r="AS336" s="764"/>
      <c r="AT336" s="764"/>
      <c r="AU336" s="764"/>
      <c r="AZ336" s="655"/>
      <c r="BA336" s="655"/>
    </row>
    <row r="337" spans="13:53" ht="18">
      <c r="M337" s="316"/>
      <c r="AI337" s="763"/>
      <c r="AJ337" s="763"/>
      <c r="AK337" s="763"/>
      <c r="AL337" s="763"/>
      <c r="AM337" s="763"/>
      <c r="AN337" s="657"/>
      <c r="AO337" s="528"/>
      <c r="AP337" s="528"/>
      <c r="AR337" s="764"/>
      <c r="AS337" s="764"/>
      <c r="AT337" s="764"/>
      <c r="AU337" s="764"/>
      <c r="AZ337" s="655"/>
      <c r="BA337" s="655"/>
    </row>
    <row r="338" spans="13:53" ht="18">
      <c r="M338" s="316"/>
      <c r="AI338" s="763"/>
      <c r="AJ338" s="763"/>
      <c r="AK338" s="763"/>
      <c r="AL338" s="763"/>
      <c r="AM338" s="763"/>
      <c r="AN338" s="657"/>
      <c r="AO338" s="528"/>
      <c r="AP338" s="528"/>
      <c r="AQ338" s="763"/>
      <c r="AR338" s="764"/>
      <c r="AS338" s="764"/>
      <c r="AT338" s="764"/>
      <c r="AU338" s="764"/>
      <c r="AZ338" s="655"/>
      <c r="BA338" s="655"/>
    </row>
    <row r="339" spans="13:53" ht="18">
      <c r="M339" s="316"/>
      <c r="AQ339" s="763"/>
      <c r="AW339" s="655"/>
      <c r="AX339" s="655"/>
      <c r="AY339" s="655"/>
      <c r="AZ339" s="655"/>
    </row>
    <row r="340" spans="13:53" ht="18">
      <c r="M340" s="316"/>
      <c r="AI340" s="892"/>
      <c r="AJ340" s="892"/>
      <c r="AK340" s="892"/>
      <c r="AL340" s="892"/>
      <c r="AM340" s="892"/>
      <c r="AN340" s="892"/>
      <c r="AO340" s="763"/>
      <c r="AP340" s="763"/>
      <c r="AQ340" s="528"/>
      <c r="AR340" s="763"/>
      <c r="AS340" s="763"/>
      <c r="AT340" s="763"/>
      <c r="AU340" s="763"/>
      <c r="AW340" s="763"/>
      <c r="AX340" s="763"/>
      <c r="AY340" s="763"/>
    </row>
    <row r="341" spans="13:53" ht="18">
      <c r="M341" s="316"/>
      <c r="AI341" s="893"/>
      <c r="AJ341" s="893"/>
      <c r="AK341" s="893"/>
      <c r="AL341" s="893"/>
      <c r="AM341" s="893"/>
      <c r="AN341" s="657"/>
      <c r="AO341" s="528"/>
      <c r="AP341" s="528"/>
      <c r="AQ341" s="763"/>
      <c r="AR341" s="528"/>
      <c r="AS341" s="528"/>
      <c r="AT341" s="528"/>
      <c r="AU341" s="528"/>
      <c r="AW341" s="655"/>
      <c r="AX341" s="655"/>
      <c r="AY341" s="655"/>
    </row>
    <row r="342" spans="13:53" ht="18">
      <c r="M342" s="316"/>
      <c r="AI342" s="892"/>
      <c r="AJ342" s="892"/>
      <c r="AK342" s="892"/>
      <c r="AL342" s="892"/>
      <c r="AM342" s="892"/>
      <c r="AN342" s="892"/>
      <c r="AO342" s="763"/>
      <c r="AP342" s="763"/>
      <c r="AQ342" s="764"/>
      <c r="AR342" s="763"/>
      <c r="AS342" s="763"/>
      <c r="AT342" s="763"/>
      <c r="AU342" s="763"/>
      <c r="AW342" s="655"/>
      <c r="AX342" s="655"/>
      <c r="AY342" s="655"/>
    </row>
    <row r="343" spans="13:53" ht="18">
      <c r="M343" s="316"/>
      <c r="AI343" s="892"/>
      <c r="AJ343" s="892"/>
      <c r="AK343" s="892"/>
      <c r="AL343" s="892"/>
      <c r="AM343" s="892"/>
      <c r="AN343" s="892"/>
      <c r="AO343" s="764"/>
      <c r="AP343" s="764"/>
      <c r="AR343" s="763"/>
      <c r="AS343" s="763"/>
      <c r="AT343" s="763"/>
      <c r="AU343" s="763"/>
      <c r="AW343" s="655"/>
      <c r="AX343" s="655"/>
      <c r="AY343" s="655"/>
    </row>
    <row r="344" spans="13:53" ht="18">
      <c r="M344" s="316"/>
      <c r="AI344" s="762"/>
      <c r="AJ344" s="762"/>
      <c r="AK344" s="762"/>
      <c r="AL344" s="762"/>
      <c r="AM344" s="762"/>
      <c r="AQ344" s="763"/>
      <c r="AR344" s="764"/>
      <c r="AS344" s="764"/>
      <c r="AT344" s="764"/>
      <c r="AU344" s="764"/>
    </row>
    <row r="345" spans="13:53" ht="18">
      <c r="M345" s="316"/>
      <c r="AI345" s="892"/>
      <c r="AJ345" s="892"/>
      <c r="AK345" s="892"/>
      <c r="AL345" s="892"/>
      <c r="AM345" s="892"/>
      <c r="AN345" s="892"/>
      <c r="AO345" s="763"/>
      <c r="AP345" s="763"/>
      <c r="AQ345" s="528"/>
      <c r="AW345" s="655"/>
      <c r="AX345" s="655"/>
      <c r="AY345" s="655"/>
    </row>
    <row r="346" spans="13:53" ht="18">
      <c r="M346" s="316"/>
      <c r="AI346" s="893"/>
      <c r="AJ346" s="893"/>
      <c r="AK346" s="893"/>
      <c r="AL346" s="893"/>
      <c r="AM346" s="893"/>
      <c r="AN346" s="657"/>
      <c r="AO346" s="528"/>
      <c r="AP346" s="528"/>
      <c r="AQ346" s="763"/>
      <c r="AR346" s="763"/>
      <c r="AS346" s="763"/>
      <c r="AT346" s="763"/>
      <c r="AU346" s="763"/>
      <c r="AW346" s="763"/>
      <c r="AX346" s="763"/>
      <c r="AY346" s="763"/>
    </row>
    <row r="347" spans="13:53" ht="18">
      <c r="M347" s="316"/>
      <c r="AI347" s="892"/>
      <c r="AJ347" s="892"/>
      <c r="AK347" s="892"/>
      <c r="AL347" s="892"/>
      <c r="AM347" s="892"/>
      <c r="AN347" s="892"/>
      <c r="AO347" s="763"/>
      <c r="AP347" s="763"/>
      <c r="AQ347" s="764"/>
      <c r="AR347" s="528"/>
      <c r="AS347" s="528"/>
      <c r="AT347" s="528"/>
      <c r="AU347" s="528"/>
      <c r="AW347" s="655"/>
      <c r="AX347" s="655"/>
      <c r="AY347" s="655"/>
    </row>
    <row r="348" spans="13:53" ht="18">
      <c r="M348" s="316"/>
      <c r="AI348" s="892"/>
      <c r="AJ348" s="892"/>
      <c r="AK348" s="892"/>
      <c r="AL348" s="892"/>
      <c r="AM348" s="892"/>
      <c r="AN348" s="892"/>
      <c r="AO348" s="764"/>
      <c r="AP348" s="764"/>
      <c r="AR348" s="763"/>
      <c r="AS348" s="763"/>
      <c r="AT348" s="763"/>
      <c r="AU348" s="763"/>
      <c r="AW348" s="655"/>
      <c r="AX348" s="655"/>
      <c r="AY348" s="655"/>
    </row>
    <row r="349" spans="13:53" ht="18">
      <c r="M349" s="316"/>
      <c r="AK349" s="356"/>
      <c r="AQ349" s="763"/>
      <c r="AR349" s="764"/>
      <c r="AS349" s="764"/>
      <c r="AT349" s="764"/>
      <c r="AU349" s="764"/>
    </row>
    <row r="350" spans="13:53" ht="18">
      <c r="M350" s="316"/>
      <c r="AI350" s="894"/>
      <c r="AJ350" s="894"/>
      <c r="AK350" s="894"/>
      <c r="AL350" s="894"/>
      <c r="AM350" s="894"/>
      <c r="AN350" s="894"/>
      <c r="AO350" s="763"/>
      <c r="AP350" s="763"/>
      <c r="AQ350" s="528"/>
    </row>
    <row r="351" spans="13:53" ht="18">
      <c r="M351" s="316"/>
      <c r="AI351" s="895"/>
      <c r="AJ351" s="895"/>
      <c r="AK351" s="895"/>
      <c r="AL351" s="895"/>
      <c r="AM351" s="895"/>
      <c r="AN351" s="657"/>
      <c r="AO351" s="528"/>
      <c r="AP351" s="528"/>
      <c r="AQ351" s="763"/>
      <c r="AR351" s="763"/>
      <c r="AS351" s="763"/>
      <c r="AT351" s="763"/>
      <c r="AU351" s="763"/>
    </row>
    <row r="352" spans="13:53" ht="18">
      <c r="M352" s="316"/>
      <c r="AI352" s="894"/>
      <c r="AJ352" s="894"/>
      <c r="AK352" s="894"/>
      <c r="AL352" s="894"/>
      <c r="AM352" s="894"/>
      <c r="AN352" s="894"/>
      <c r="AO352" s="763"/>
      <c r="AP352" s="763"/>
      <c r="AQ352" s="764"/>
      <c r="AR352" s="528"/>
      <c r="AS352" s="528"/>
      <c r="AT352" s="528"/>
      <c r="AU352" s="528"/>
    </row>
    <row r="353" spans="13:47" ht="18">
      <c r="M353" s="316"/>
      <c r="AI353" s="894"/>
      <c r="AJ353" s="894"/>
      <c r="AK353" s="894"/>
      <c r="AL353" s="894"/>
      <c r="AM353" s="894"/>
      <c r="AN353" s="894"/>
      <c r="AO353" s="764"/>
      <c r="AP353" s="764"/>
      <c r="AR353" s="763"/>
      <c r="AS353" s="763"/>
      <c r="AT353" s="763"/>
      <c r="AU353" s="763"/>
    </row>
    <row r="354" spans="13:47" ht="18">
      <c r="M354" s="316"/>
      <c r="AI354" s="762"/>
      <c r="AJ354" s="762"/>
      <c r="AK354" s="762"/>
      <c r="AL354" s="762"/>
      <c r="AM354" s="762"/>
      <c r="AQ354" s="763"/>
      <c r="AR354" s="764"/>
      <c r="AS354" s="764"/>
      <c r="AT354" s="764"/>
      <c r="AU354" s="764"/>
    </row>
    <row r="355" spans="13:47" ht="18">
      <c r="M355" s="316"/>
      <c r="AI355" s="892"/>
      <c r="AJ355" s="892"/>
      <c r="AK355" s="892"/>
      <c r="AL355" s="892"/>
      <c r="AM355" s="892"/>
      <c r="AN355" s="892"/>
      <c r="AO355" s="763"/>
      <c r="AP355" s="763"/>
      <c r="AQ355" s="528"/>
    </row>
    <row r="356" spans="13:47" ht="18">
      <c r="M356" s="316"/>
      <c r="AI356" s="893"/>
      <c r="AJ356" s="893"/>
      <c r="AK356" s="893"/>
      <c r="AL356" s="893"/>
      <c r="AM356" s="893"/>
      <c r="AN356" s="657"/>
      <c r="AO356" s="528"/>
      <c r="AP356" s="528"/>
      <c r="AQ356" s="763"/>
      <c r="AR356" s="763"/>
      <c r="AS356" s="763"/>
      <c r="AT356" s="763"/>
      <c r="AU356" s="763"/>
    </row>
    <row r="357" spans="13:47" ht="18">
      <c r="M357" s="316"/>
      <c r="AI357" s="892"/>
      <c r="AJ357" s="892"/>
      <c r="AK357" s="892"/>
      <c r="AL357" s="892"/>
      <c r="AM357" s="892"/>
      <c r="AN357" s="892"/>
      <c r="AO357" s="763"/>
      <c r="AP357" s="763"/>
      <c r="AQ357" s="764"/>
      <c r="AR357" s="528"/>
      <c r="AS357" s="528"/>
      <c r="AT357" s="528"/>
      <c r="AU357" s="528"/>
    </row>
    <row r="358" spans="13:47" ht="18">
      <c r="M358" s="316"/>
      <c r="AI358" s="892"/>
      <c r="AJ358" s="892"/>
      <c r="AK358" s="892"/>
      <c r="AL358" s="892"/>
      <c r="AM358" s="892"/>
      <c r="AN358" s="892"/>
      <c r="AO358" s="764"/>
      <c r="AP358" s="764"/>
      <c r="AR358" s="763"/>
      <c r="AS358" s="763"/>
      <c r="AT358" s="763"/>
      <c r="AU358" s="763"/>
    </row>
    <row r="359" spans="13:47">
      <c r="M359" s="316"/>
      <c r="AR359" s="764"/>
      <c r="AS359" s="764"/>
      <c r="AT359" s="764"/>
      <c r="AU359" s="764"/>
    </row>
    <row r="360" spans="13:47" ht="18">
      <c r="M360" s="316"/>
      <c r="AI360" s="762"/>
      <c r="AJ360" s="762"/>
      <c r="AK360" s="762"/>
      <c r="AL360" s="762"/>
      <c r="AM360" s="762"/>
      <c r="AQ360" s="763"/>
    </row>
    <row r="361" spans="13:47" ht="18">
      <c r="M361" s="316"/>
      <c r="AI361" s="892"/>
      <c r="AJ361" s="892"/>
      <c r="AK361" s="892"/>
      <c r="AL361" s="892"/>
      <c r="AM361" s="892"/>
      <c r="AN361" s="892"/>
      <c r="AO361" s="763"/>
      <c r="AP361" s="763"/>
      <c r="AR361" s="763"/>
      <c r="AS361" s="763"/>
      <c r="AT361" s="763"/>
      <c r="AU361" s="763"/>
    </row>
    <row r="362" spans="13:47" ht="18">
      <c r="M362" s="316"/>
      <c r="AI362" s="893"/>
      <c r="AJ362" s="893"/>
      <c r="AK362" s="893"/>
      <c r="AL362" s="893"/>
      <c r="AM362" s="893"/>
      <c r="AN362" s="657"/>
      <c r="AO362" s="528"/>
      <c r="AP362" s="528"/>
      <c r="AR362" s="528"/>
      <c r="AS362" s="528"/>
      <c r="AT362" s="528"/>
      <c r="AU362" s="528"/>
    </row>
    <row r="363" spans="13:47">
      <c r="M363" s="316"/>
    </row>
    <row r="364" spans="13:47">
      <c r="M364" s="316"/>
    </row>
    <row r="365" spans="13:47">
      <c r="M365" s="316"/>
    </row>
    <row r="366" spans="13:47">
      <c r="M366" s="316"/>
    </row>
    <row r="367" spans="13:47">
      <c r="M367" s="316"/>
    </row>
    <row r="368" spans="13:47">
      <c r="M368" s="316"/>
    </row>
    <row r="369" spans="13:13">
      <c r="M369" s="316"/>
    </row>
    <row r="370" spans="13:13">
      <c r="M370" s="316"/>
    </row>
    <row r="371" spans="13:13">
      <c r="M371" s="316"/>
    </row>
    <row r="372" spans="13:13">
      <c r="M372" s="316"/>
    </row>
    <row r="373" spans="13:13">
      <c r="M373" s="316"/>
    </row>
    <row r="374" spans="13:13">
      <c r="M374" s="316"/>
    </row>
    <row r="375" spans="13:13">
      <c r="M375" s="316"/>
    </row>
    <row r="376" spans="13:13">
      <c r="M376" s="316"/>
    </row>
    <row r="377" spans="13:13">
      <c r="M377" s="316"/>
    </row>
    <row r="378" spans="13:13">
      <c r="M378" s="316"/>
    </row>
    <row r="379" spans="13:13">
      <c r="M379" s="316"/>
    </row>
    <row r="380" spans="13:13">
      <c r="M380" s="316"/>
    </row>
    <row r="381" spans="13:13">
      <c r="M381" s="316"/>
    </row>
    <row r="382" spans="13:13">
      <c r="M382" s="316"/>
    </row>
    <row r="383" spans="13:13">
      <c r="M383" s="316"/>
    </row>
    <row r="384" spans="13:13">
      <c r="M384" s="316"/>
    </row>
    <row r="385" spans="13:13">
      <c r="M385" s="316"/>
    </row>
    <row r="386" spans="13:13">
      <c r="M386" s="316"/>
    </row>
    <row r="387" spans="13:13">
      <c r="M387" s="316"/>
    </row>
    <row r="388" spans="13:13">
      <c r="M388" s="316"/>
    </row>
    <row r="389" spans="13:13">
      <c r="M389" s="316"/>
    </row>
    <row r="390" spans="13:13">
      <c r="M390" s="316"/>
    </row>
    <row r="391" spans="13:13">
      <c r="M391" s="316"/>
    </row>
    <row r="392" spans="13:13">
      <c r="M392" s="316"/>
    </row>
    <row r="393" spans="13:13">
      <c r="M393" s="316"/>
    </row>
    <row r="394" spans="13:13">
      <c r="M394" s="316"/>
    </row>
    <row r="395" spans="13:13">
      <c r="M395" s="316"/>
    </row>
    <row r="396" spans="13:13">
      <c r="M396" s="316"/>
    </row>
    <row r="397" spans="13:13">
      <c r="M397" s="316"/>
    </row>
    <row r="398" spans="13:13">
      <c r="M398" s="316"/>
    </row>
    <row r="399" spans="13:13">
      <c r="M399" s="316"/>
    </row>
    <row r="400" spans="13:13">
      <c r="M400" s="316"/>
    </row>
    <row r="401" spans="13:13">
      <c r="M401" s="316"/>
    </row>
    <row r="402" spans="13:13">
      <c r="M402" s="316"/>
    </row>
    <row r="403" spans="13:13">
      <c r="M403" s="316"/>
    </row>
    <row r="404" spans="13:13">
      <c r="M404" s="316"/>
    </row>
    <row r="405" spans="13:13">
      <c r="M405" s="316"/>
    </row>
    <row r="406" spans="13:13">
      <c r="M406" s="316"/>
    </row>
    <row r="407" spans="13:13">
      <c r="M407" s="316"/>
    </row>
    <row r="408" spans="13:13">
      <c r="M408" s="316"/>
    </row>
    <row r="409" spans="13:13">
      <c r="M409" s="316"/>
    </row>
    <row r="410" spans="13:13">
      <c r="M410" s="316"/>
    </row>
    <row r="411" spans="13:13">
      <c r="M411" s="316"/>
    </row>
    <row r="412" spans="13:13">
      <c r="M412" s="316"/>
    </row>
    <row r="413" spans="13:13">
      <c r="M413" s="316"/>
    </row>
    <row r="414" spans="13:13">
      <c r="M414" s="316"/>
    </row>
    <row r="415" spans="13:13">
      <c r="M415" s="316"/>
    </row>
    <row r="416" spans="13:13">
      <c r="M416" s="316"/>
    </row>
    <row r="417" spans="13:13">
      <c r="M417" s="316"/>
    </row>
    <row r="418" spans="13:13">
      <c r="M418" s="316"/>
    </row>
    <row r="419" spans="13:13">
      <c r="M419" s="316"/>
    </row>
    <row r="420" spans="13:13">
      <c r="M420" s="316"/>
    </row>
    <row r="421" spans="13:13">
      <c r="M421" s="316"/>
    </row>
    <row r="422" spans="13:13">
      <c r="M422" s="316"/>
    </row>
    <row r="423" spans="13:13">
      <c r="M423" s="316"/>
    </row>
    <row r="424" spans="13:13">
      <c r="M424" s="316"/>
    </row>
    <row r="425" spans="13:13">
      <c r="M425" s="316"/>
    </row>
    <row r="426" spans="13:13">
      <c r="M426" s="316"/>
    </row>
    <row r="427" spans="13:13">
      <c r="M427" s="316"/>
    </row>
    <row r="428" spans="13:13">
      <c r="M428" s="316"/>
    </row>
    <row r="429" spans="13:13">
      <c r="M429" s="316"/>
    </row>
    <row r="430" spans="13:13">
      <c r="M430" s="316"/>
    </row>
    <row r="431" spans="13:13">
      <c r="M431" s="316"/>
    </row>
    <row r="432" spans="13:13">
      <c r="M432" s="316"/>
    </row>
    <row r="433" spans="13:13">
      <c r="M433" s="316"/>
    </row>
    <row r="434" spans="13:13">
      <c r="M434" s="316"/>
    </row>
    <row r="435" spans="13:13">
      <c r="M435" s="316"/>
    </row>
    <row r="436" spans="13:13">
      <c r="M436" s="316"/>
    </row>
    <row r="437" spans="13:13">
      <c r="M437" s="316"/>
    </row>
    <row r="438" spans="13:13">
      <c r="M438" s="316"/>
    </row>
    <row r="439" spans="13:13">
      <c r="M439" s="316"/>
    </row>
    <row r="440" spans="13:13">
      <c r="M440" s="316"/>
    </row>
    <row r="441" spans="13:13">
      <c r="M441" s="316"/>
    </row>
    <row r="442" spans="13:13">
      <c r="M442" s="316"/>
    </row>
    <row r="443" spans="13:13">
      <c r="M443" s="316"/>
    </row>
    <row r="444" spans="13:13">
      <c r="M444" s="316"/>
    </row>
    <row r="445" spans="13:13">
      <c r="M445" s="316"/>
    </row>
    <row r="446" spans="13:13">
      <c r="M446" s="316"/>
    </row>
    <row r="447" spans="13:13">
      <c r="M447" s="316"/>
    </row>
    <row r="448" spans="13:13">
      <c r="M448" s="316"/>
    </row>
    <row r="449" spans="13:58">
      <c r="M449" s="316"/>
    </row>
    <row r="450" spans="13:58">
      <c r="M450" s="316"/>
    </row>
    <row r="451" spans="13:58">
      <c r="M451" s="316"/>
    </row>
    <row r="452" spans="13:58">
      <c r="M452" s="316"/>
    </row>
    <row r="453" spans="13:58">
      <c r="M453" s="316"/>
    </row>
    <row r="454" spans="13:58">
      <c r="M454" s="316"/>
    </row>
    <row r="455" spans="13:58">
      <c r="M455" s="316"/>
    </row>
    <row r="456" spans="13:58">
      <c r="M456" s="316"/>
    </row>
    <row r="457" spans="13:58">
      <c r="M457" s="316"/>
      <c r="BF457" s="765" t="s">
        <v>1071</v>
      </c>
    </row>
  </sheetData>
  <mergeCells count="959">
    <mergeCell ref="A1:BK1"/>
    <mergeCell ref="A3:A8"/>
    <mergeCell ref="P5:R7"/>
    <mergeCell ref="AC16:AD17"/>
    <mergeCell ref="AZ19:BB21"/>
    <mergeCell ref="N21:O21"/>
    <mergeCell ref="AL37:AM37"/>
    <mergeCell ref="L43:R44"/>
    <mergeCell ref="AD45:AF49"/>
    <mergeCell ref="AI49:AP52"/>
    <mergeCell ref="AT49:AU50"/>
    <mergeCell ref="AF50:AH52"/>
    <mergeCell ref="AU51:AV52"/>
    <mergeCell ref="BB24:BB25"/>
    <mergeCell ref="N25:O25"/>
    <mergeCell ref="AF25:AG25"/>
    <mergeCell ref="AL25:AM25"/>
    <mergeCell ref="S32:T32"/>
    <mergeCell ref="V36:Y36"/>
    <mergeCell ref="W75:X75"/>
    <mergeCell ref="Y75:Z75"/>
    <mergeCell ref="A73:I73"/>
    <mergeCell ref="J73:M73"/>
    <mergeCell ref="Q73:T73"/>
    <mergeCell ref="W73:Z73"/>
    <mergeCell ref="Q74:R74"/>
    <mergeCell ref="S74:T74"/>
    <mergeCell ref="W74:X74"/>
    <mergeCell ref="Y74:Z74"/>
    <mergeCell ref="U76:V76"/>
    <mergeCell ref="A77:D77"/>
    <mergeCell ref="A78:D78"/>
    <mergeCell ref="A80:D80"/>
    <mergeCell ref="A81:D81"/>
    <mergeCell ref="A82:D82"/>
    <mergeCell ref="A75:F75"/>
    <mergeCell ref="G75:I75"/>
    <mergeCell ref="Q75:R75"/>
    <mergeCell ref="S75:T75"/>
    <mergeCell ref="A85:Z85"/>
    <mergeCell ref="D86:H86"/>
    <mergeCell ref="I86:J86"/>
    <mergeCell ref="Q86:U86"/>
    <mergeCell ref="V86:W86"/>
    <mergeCell ref="AC86:AF87"/>
    <mergeCell ref="D87:H87"/>
    <mergeCell ref="I87:J87"/>
    <mergeCell ref="Q87:U87"/>
    <mergeCell ref="V87:W87"/>
    <mergeCell ref="AI87:AN87"/>
    <mergeCell ref="AR87:AW87"/>
    <mergeCell ref="D88:H88"/>
    <mergeCell ref="I88:J88"/>
    <mergeCell ref="Q88:U88"/>
    <mergeCell ref="V88:W88"/>
    <mergeCell ref="AC88:AD88"/>
    <mergeCell ref="AI88:AM88"/>
    <mergeCell ref="AR88:AV88"/>
    <mergeCell ref="AI91:AM91"/>
    <mergeCell ref="AR91:AV91"/>
    <mergeCell ref="A92:I92"/>
    <mergeCell ref="N92:V92"/>
    <mergeCell ref="AI92:AM92"/>
    <mergeCell ref="AR92:AV92"/>
    <mergeCell ref="AR89:AV89"/>
    <mergeCell ref="D90:H90"/>
    <mergeCell ref="I90:J90"/>
    <mergeCell ref="Q90:U90"/>
    <mergeCell ref="V90:W90"/>
    <mergeCell ref="AI90:AM90"/>
    <mergeCell ref="AR90:AV90"/>
    <mergeCell ref="D89:H89"/>
    <mergeCell ref="I89:J89"/>
    <mergeCell ref="Q89:U89"/>
    <mergeCell ref="V89:W89"/>
    <mergeCell ref="AC89:AF89"/>
    <mergeCell ref="AI89:AM89"/>
    <mergeCell ref="A94:C94"/>
    <mergeCell ref="G94:I94"/>
    <mergeCell ref="N94:P94"/>
    <mergeCell ref="T94:V94"/>
    <mergeCell ref="AI94:AM94"/>
    <mergeCell ref="AR94:AV94"/>
    <mergeCell ref="A93:C93"/>
    <mergeCell ref="G93:I93"/>
    <mergeCell ref="N93:P93"/>
    <mergeCell ref="T93:V93"/>
    <mergeCell ref="AI93:AM93"/>
    <mergeCell ref="AR93:AV93"/>
    <mergeCell ref="A96:C96"/>
    <mergeCell ref="G96:I96"/>
    <mergeCell ref="N96:P96"/>
    <mergeCell ref="T96:V96"/>
    <mergeCell ref="AI96:AM96"/>
    <mergeCell ref="AR96:AV96"/>
    <mergeCell ref="A95:C95"/>
    <mergeCell ref="G95:I95"/>
    <mergeCell ref="N95:P95"/>
    <mergeCell ref="T95:V95"/>
    <mergeCell ref="AI95:AM95"/>
    <mergeCell ref="AR95:AV95"/>
    <mergeCell ref="A98:C98"/>
    <mergeCell ref="G98:I98"/>
    <mergeCell ref="N98:P98"/>
    <mergeCell ref="T98:V98"/>
    <mergeCell ref="AI98:AM98"/>
    <mergeCell ref="AR98:AV98"/>
    <mergeCell ref="A97:C97"/>
    <mergeCell ref="G97:I97"/>
    <mergeCell ref="N97:P97"/>
    <mergeCell ref="T97:V97"/>
    <mergeCell ref="AI97:AM97"/>
    <mergeCell ref="AR97:AV97"/>
    <mergeCell ref="A100:C100"/>
    <mergeCell ref="G100:I100"/>
    <mergeCell ref="N100:P100"/>
    <mergeCell ref="T100:V100"/>
    <mergeCell ref="AI100:AM100"/>
    <mergeCell ref="AR100:AV100"/>
    <mergeCell ref="A99:C99"/>
    <mergeCell ref="G99:I99"/>
    <mergeCell ref="N99:P99"/>
    <mergeCell ref="T99:V99"/>
    <mergeCell ref="AI99:AM99"/>
    <mergeCell ref="AR99:AV99"/>
    <mergeCell ref="A102:C102"/>
    <mergeCell ref="G102:I102"/>
    <mergeCell ref="N102:P102"/>
    <mergeCell ref="T102:V102"/>
    <mergeCell ref="AI102:AM102"/>
    <mergeCell ref="AR102:AV102"/>
    <mergeCell ref="A101:C101"/>
    <mergeCell ref="G101:I101"/>
    <mergeCell ref="N101:P101"/>
    <mergeCell ref="T101:V101"/>
    <mergeCell ref="AI101:AM101"/>
    <mergeCell ref="AR101:AV101"/>
    <mergeCell ref="A104:C104"/>
    <mergeCell ref="G104:I104"/>
    <mergeCell ref="N104:P104"/>
    <mergeCell ref="T104:V104"/>
    <mergeCell ref="AI104:AM104"/>
    <mergeCell ref="AR104:AV104"/>
    <mergeCell ref="A103:C103"/>
    <mergeCell ref="G103:I103"/>
    <mergeCell ref="N103:P103"/>
    <mergeCell ref="T103:V103"/>
    <mergeCell ref="AI103:AM103"/>
    <mergeCell ref="AR103:AV103"/>
    <mergeCell ref="A106:C106"/>
    <mergeCell ref="G106:I106"/>
    <mergeCell ref="N106:P106"/>
    <mergeCell ref="T106:V106"/>
    <mergeCell ref="AI106:AM106"/>
    <mergeCell ref="AR106:AV106"/>
    <mergeCell ref="A105:C105"/>
    <mergeCell ref="G105:I105"/>
    <mergeCell ref="N105:P105"/>
    <mergeCell ref="T105:V105"/>
    <mergeCell ref="AI105:AM105"/>
    <mergeCell ref="AR105:AV105"/>
    <mergeCell ref="A108:C108"/>
    <mergeCell ref="G108:I108"/>
    <mergeCell ref="N108:P108"/>
    <mergeCell ref="T108:V108"/>
    <mergeCell ref="AI108:AM108"/>
    <mergeCell ref="AR108:AV108"/>
    <mergeCell ref="A107:C107"/>
    <mergeCell ref="G107:I107"/>
    <mergeCell ref="N107:P107"/>
    <mergeCell ref="T107:V107"/>
    <mergeCell ref="AI107:AM107"/>
    <mergeCell ref="AR107:AV107"/>
    <mergeCell ref="A110:C110"/>
    <mergeCell ref="G110:I110"/>
    <mergeCell ref="N110:P110"/>
    <mergeCell ref="T110:V110"/>
    <mergeCell ref="AI110:AM110"/>
    <mergeCell ref="AR110:AV110"/>
    <mergeCell ref="A109:C109"/>
    <mergeCell ref="G109:I109"/>
    <mergeCell ref="N109:P109"/>
    <mergeCell ref="T109:V109"/>
    <mergeCell ref="AI109:AM109"/>
    <mergeCell ref="AR109:AV109"/>
    <mergeCell ref="A112:C112"/>
    <mergeCell ref="G112:I112"/>
    <mergeCell ref="N112:P112"/>
    <mergeCell ref="T112:V112"/>
    <mergeCell ref="AI112:AM112"/>
    <mergeCell ref="AR112:AV112"/>
    <mergeCell ref="A111:C111"/>
    <mergeCell ref="G111:I111"/>
    <mergeCell ref="N111:P111"/>
    <mergeCell ref="T111:V111"/>
    <mergeCell ref="AI111:AM111"/>
    <mergeCell ref="AR111:AV111"/>
    <mergeCell ref="AR113:AV113"/>
    <mergeCell ref="A114:E114"/>
    <mergeCell ref="G114:I114"/>
    <mergeCell ref="N114:R114"/>
    <mergeCell ref="T114:V114"/>
    <mergeCell ref="AI114:AM114"/>
    <mergeCell ref="AR114:AV114"/>
    <mergeCell ref="A113:C113"/>
    <mergeCell ref="G113:I113"/>
    <mergeCell ref="N113:P113"/>
    <mergeCell ref="T113:V113"/>
    <mergeCell ref="AC113:AF113"/>
    <mergeCell ref="AI113:AM113"/>
    <mergeCell ref="A115:I115"/>
    <mergeCell ref="N115:V115"/>
    <mergeCell ref="AI115:AM115"/>
    <mergeCell ref="AR115:AV115"/>
    <mergeCell ref="A116:C116"/>
    <mergeCell ref="G116:I116"/>
    <mergeCell ref="N116:P116"/>
    <mergeCell ref="T116:V116"/>
    <mergeCell ref="AI116:AM116"/>
    <mergeCell ref="AR116:AV116"/>
    <mergeCell ref="A118:C118"/>
    <mergeCell ref="G118:I118"/>
    <mergeCell ref="N118:P118"/>
    <mergeCell ref="T118:V118"/>
    <mergeCell ref="AI118:AM118"/>
    <mergeCell ref="AR118:AV118"/>
    <mergeCell ref="A117:C117"/>
    <mergeCell ref="G117:I117"/>
    <mergeCell ref="N117:P117"/>
    <mergeCell ref="T117:V117"/>
    <mergeCell ref="AI117:AM117"/>
    <mergeCell ref="AR117:AV117"/>
    <mergeCell ref="A120:C120"/>
    <mergeCell ref="G120:I120"/>
    <mergeCell ref="N120:P120"/>
    <mergeCell ref="T120:V120"/>
    <mergeCell ref="AI120:AM120"/>
    <mergeCell ref="AR120:AV120"/>
    <mergeCell ref="A119:C119"/>
    <mergeCell ref="G119:I119"/>
    <mergeCell ref="N119:P119"/>
    <mergeCell ref="T119:V119"/>
    <mergeCell ref="AI119:AM119"/>
    <mergeCell ref="AR119:AV119"/>
    <mergeCell ref="A122:C122"/>
    <mergeCell ref="G122:I122"/>
    <mergeCell ref="N122:P122"/>
    <mergeCell ref="T122:V122"/>
    <mergeCell ref="AI122:AM122"/>
    <mergeCell ref="AR122:AV122"/>
    <mergeCell ref="A121:C121"/>
    <mergeCell ref="G121:I121"/>
    <mergeCell ref="N121:P121"/>
    <mergeCell ref="T121:V121"/>
    <mergeCell ref="AI121:AM121"/>
    <mergeCell ref="AR121:AV121"/>
    <mergeCell ref="A124:C124"/>
    <mergeCell ref="G124:I124"/>
    <mergeCell ref="N124:P124"/>
    <mergeCell ref="T124:V124"/>
    <mergeCell ref="AI124:AM124"/>
    <mergeCell ref="AR124:AV124"/>
    <mergeCell ref="A123:C123"/>
    <mergeCell ref="G123:I123"/>
    <mergeCell ref="N123:P123"/>
    <mergeCell ref="T123:V123"/>
    <mergeCell ref="AI123:AM123"/>
    <mergeCell ref="AR123:AV123"/>
    <mergeCell ref="A127:C127"/>
    <mergeCell ref="G127:I127"/>
    <mergeCell ref="N127:P127"/>
    <mergeCell ref="T127:V127"/>
    <mergeCell ref="AI127:AM127"/>
    <mergeCell ref="AR127:AV127"/>
    <mergeCell ref="A125:C125"/>
    <mergeCell ref="G125:I125"/>
    <mergeCell ref="N125:P125"/>
    <mergeCell ref="T125:V125"/>
    <mergeCell ref="AI125:AM125"/>
    <mergeCell ref="A126:C126"/>
    <mergeCell ref="G126:I126"/>
    <mergeCell ref="N126:P126"/>
    <mergeCell ref="T126:V126"/>
    <mergeCell ref="AI126:AM126"/>
    <mergeCell ref="A129:C129"/>
    <mergeCell ref="G129:I129"/>
    <mergeCell ref="N129:P129"/>
    <mergeCell ref="T129:V129"/>
    <mergeCell ref="AI129:AM129"/>
    <mergeCell ref="AR129:AV129"/>
    <mergeCell ref="A128:C128"/>
    <mergeCell ref="G128:I128"/>
    <mergeCell ref="N128:P128"/>
    <mergeCell ref="T128:V128"/>
    <mergeCell ref="AI128:AM128"/>
    <mergeCell ref="AR128:AV128"/>
    <mergeCell ref="AR131:AW131"/>
    <mergeCell ref="A132:C132"/>
    <mergeCell ref="G132:I132"/>
    <mergeCell ref="N132:P132"/>
    <mergeCell ref="T132:V132"/>
    <mergeCell ref="AI132:AM132"/>
    <mergeCell ref="AR132:AV132"/>
    <mergeCell ref="A130:C130"/>
    <mergeCell ref="G130:I130"/>
    <mergeCell ref="N130:P130"/>
    <mergeCell ref="T130:V130"/>
    <mergeCell ref="AI130:AM130"/>
    <mergeCell ref="A131:C131"/>
    <mergeCell ref="G131:I131"/>
    <mergeCell ref="N131:P131"/>
    <mergeCell ref="T131:V131"/>
    <mergeCell ref="AI131:AM131"/>
    <mergeCell ref="A134:E134"/>
    <mergeCell ref="G134:I134"/>
    <mergeCell ref="N134:R134"/>
    <mergeCell ref="T134:V134"/>
    <mergeCell ref="AI134:AM134"/>
    <mergeCell ref="AR134:AV134"/>
    <mergeCell ref="A133:C133"/>
    <mergeCell ref="G133:I133"/>
    <mergeCell ref="N133:P133"/>
    <mergeCell ref="T133:V133"/>
    <mergeCell ref="AI133:AM133"/>
    <mergeCell ref="AR133:AV133"/>
    <mergeCell ref="A135:I135"/>
    <mergeCell ref="N135:V135"/>
    <mergeCell ref="AI135:AM135"/>
    <mergeCell ref="AR135:AV135"/>
    <mergeCell ref="A136:C136"/>
    <mergeCell ref="G136:I136"/>
    <mergeCell ref="N136:P136"/>
    <mergeCell ref="T136:V136"/>
    <mergeCell ref="AI136:AM136"/>
    <mergeCell ref="AR136:AV136"/>
    <mergeCell ref="A138:E138"/>
    <mergeCell ref="G138:I138"/>
    <mergeCell ref="N138:R138"/>
    <mergeCell ref="T138:V138"/>
    <mergeCell ref="AI138:AM138"/>
    <mergeCell ref="AR138:AV138"/>
    <mergeCell ref="A137:C137"/>
    <mergeCell ref="G137:I137"/>
    <mergeCell ref="N137:P137"/>
    <mergeCell ref="T137:V137"/>
    <mergeCell ref="AI137:AM137"/>
    <mergeCell ref="AR137:AV137"/>
    <mergeCell ref="A141:C141"/>
    <mergeCell ref="G141:I141"/>
    <mergeCell ref="N141:P141"/>
    <mergeCell ref="T141:V141"/>
    <mergeCell ref="AI141:AM141"/>
    <mergeCell ref="AR141:AV141"/>
    <mergeCell ref="A139:I139"/>
    <mergeCell ref="N139:V139"/>
    <mergeCell ref="AI139:AM139"/>
    <mergeCell ref="AR139:AV139"/>
    <mergeCell ref="A140:C140"/>
    <mergeCell ref="G140:I140"/>
    <mergeCell ref="N140:P140"/>
    <mergeCell ref="T140:V140"/>
    <mergeCell ref="AI140:AM140"/>
    <mergeCell ref="AR140:AV140"/>
    <mergeCell ref="A143:C143"/>
    <mergeCell ref="G143:I143"/>
    <mergeCell ref="N143:P143"/>
    <mergeCell ref="T143:V143"/>
    <mergeCell ref="AI143:AM143"/>
    <mergeCell ref="AR143:AV143"/>
    <mergeCell ref="A142:C142"/>
    <mergeCell ref="G142:I142"/>
    <mergeCell ref="N142:P142"/>
    <mergeCell ref="T142:V142"/>
    <mergeCell ref="AI142:AM142"/>
    <mergeCell ref="AR142:AV142"/>
    <mergeCell ref="A145:C145"/>
    <mergeCell ref="G145:I145"/>
    <mergeCell ref="N145:P145"/>
    <mergeCell ref="T145:V145"/>
    <mergeCell ref="AI145:AM145"/>
    <mergeCell ref="AR145:AV145"/>
    <mergeCell ref="A144:C144"/>
    <mergeCell ref="G144:I144"/>
    <mergeCell ref="N144:P144"/>
    <mergeCell ref="T144:V144"/>
    <mergeCell ref="AI144:AM144"/>
    <mergeCell ref="AR144:AV144"/>
    <mergeCell ref="A147:C147"/>
    <mergeCell ref="G147:I147"/>
    <mergeCell ref="N147:P147"/>
    <mergeCell ref="T147:V147"/>
    <mergeCell ref="AI147:AM147"/>
    <mergeCell ref="AR147:AV147"/>
    <mergeCell ref="A146:C146"/>
    <mergeCell ref="G146:I146"/>
    <mergeCell ref="N146:P146"/>
    <mergeCell ref="T146:V146"/>
    <mergeCell ref="AI146:AM146"/>
    <mergeCell ref="AR146:AV146"/>
    <mergeCell ref="A149:C149"/>
    <mergeCell ref="G149:I149"/>
    <mergeCell ref="N149:P149"/>
    <mergeCell ref="T149:V149"/>
    <mergeCell ref="AI149:AM149"/>
    <mergeCell ref="AR149:AV149"/>
    <mergeCell ref="A148:C148"/>
    <mergeCell ref="G148:I148"/>
    <mergeCell ref="N148:P148"/>
    <mergeCell ref="T148:V148"/>
    <mergeCell ref="AI148:AM148"/>
    <mergeCell ref="AR148:AV148"/>
    <mergeCell ref="A151:C151"/>
    <mergeCell ref="G151:I151"/>
    <mergeCell ref="N151:P151"/>
    <mergeCell ref="T151:V151"/>
    <mergeCell ref="AI151:AM151"/>
    <mergeCell ref="AR151:AV151"/>
    <mergeCell ref="A150:C150"/>
    <mergeCell ref="G150:I150"/>
    <mergeCell ref="N150:P150"/>
    <mergeCell ref="T150:V150"/>
    <mergeCell ref="AI150:AM150"/>
    <mergeCell ref="AR150:AV150"/>
    <mergeCell ref="A153:C153"/>
    <mergeCell ref="G153:I153"/>
    <mergeCell ref="N153:P153"/>
    <mergeCell ref="T153:V153"/>
    <mergeCell ref="AI153:AM153"/>
    <mergeCell ref="AR153:AV153"/>
    <mergeCell ref="A152:C152"/>
    <mergeCell ref="G152:I152"/>
    <mergeCell ref="N152:P152"/>
    <mergeCell ref="T152:V152"/>
    <mergeCell ref="AI152:AM152"/>
    <mergeCell ref="AR152:AV152"/>
    <mergeCell ref="A155:C155"/>
    <mergeCell ref="G155:I155"/>
    <mergeCell ref="N155:P155"/>
    <mergeCell ref="T155:V155"/>
    <mergeCell ref="AI155:AM155"/>
    <mergeCell ref="AR155:AV155"/>
    <mergeCell ref="A154:C154"/>
    <mergeCell ref="G154:I154"/>
    <mergeCell ref="N154:P154"/>
    <mergeCell ref="T154:V154"/>
    <mergeCell ref="AI154:AM154"/>
    <mergeCell ref="AR154:AV154"/>
    <mergeCell ref="A157:E157"/>
    <mergeCell ref="G157:I157"/>
    <mergeCell ref="N157:R157"/>
    <mergeCell ref="T157:V157"/>
    <mergeCell ref="AI157:AM157"/>
    <mergeCell ref="AR157:AV157"/>
    <mergeCell ref="A156:C156"/>
    <mergeCell ref="G156:I156"/>
    <mergeCell ref="N156:P156"/>
    <mergeCell ref="T156:V156"/>
    <mergeCell ref="AI156:AM156"/>
    <mergeCell ref="AR156:AV156"/>
    <mergeCell ref="AI158:AM158"/>
    <mergeCell ref="AR158:AV158"/>
    <mergeCell ref="AI159:AM159"/>
    <mergeCell ref="AR159:AV159"/>
    <mergeCell ref="A160:E160"/>
    <mergeCell ref="G160:I160"/>
    <mergeCell ref="N160:R160"/>
    <mergeCell ref="T160:V160"/>
    <mergeCell ref="AI160:AM160"/>
    <mergeCell ref="AR160:AV160"/>
    <mergeCell ref="AI161:AM161"/>
    <mergeCell ref="AR161:AV161"/>
    <mergeCell ref="A162:C162"/>
    <mergeCell ref="D162:E162"/>
    <mergeCell ref="G162:I162"/>
    <mergeCell ref="N162:P162"/>
    <mergeCell ref="Q162:R162"/>
    <mergeCell ref="T162:V162"/>
    <mergeCell ref="AI162:AM162"/>
    <mergeCell ref="AR162:AV162"/>
    <mergeCell ref="A161:C161"/>
    <mergeCell ref="D161:E161"/>
    <mergeCell ref="G161:I161"/>
    <mergeCell ref="N161:P161"/>
    <mergeCell ref="Q161:R161"/>
    <mergeCell ref="T161:V161"/>
    <mergeCell ref="A165:E165"/>
    <mergeCell ref="G165:I165"/>
    <mergeCell ref="N165:R165"/>
    <mergeCell ref="T165:V165"/>
    <mergeCell ref="AI165:AM165"/>
    <mergeCell ref="AR165:AV165"/>
    <mergeCell ref="AI163:AM163"/>
    <mergeCell ref="AR163:AV163"/>
    <mergeCell ref="A164:C164"/>
    <mergeCell ref="D164:E164"/>
    <mergeCell ref="G164:I164"/>
    <mergeCell ref="N164:P164"/>
    <mergeCell ref="Q164:R164"/>
    <mergeCell ref="T164:V164"/>
    <mergeCell ref="AI164:AM164"/>
    <mergeCell ref="AR164:AV164"/>
    <mergeCell ref="A163:C163"/>
    <mergeCell ref="D163:E163"/>
    <mergeCell ref="G163:I163"/>
    <mergeCell ref="N163:P163"/>
    <mergeCell ref="Q163:R163"/>
    <mergeCell ref="T163:V163"/>
    <mergeCell ref="AR166:AV166"/>
    <mergeCell ref="AI167:AN167"/>
    <mergeCell ref="AR167:AV167"/>
    <mergeCell ref="A168:E168"/>
    <mergeCell ref="G168:I168"/>
    <mergeCell ref="N168:R168"/>
    <mergeCell ref="T168:V168"/>
    <mergeCell ref="AI168:AM168"/>
    <mergeCell ref="AR168:AV168"/>
    <mergeCell ref="AI169:AM169"/>
    <mergeCell ref="AR169:AV169"/>
    <mergeCell ref="A170:C170"/>
    <mergeCell ref="D170:E170"/>
    <mergeCell ref="G170:I170"/>
    <mergeCell ref="N170:P170"/>
    <mergeCell ref="Q170:R170"/>
    <mergeCell ref="T170:V170"/>
    <mergeCell ref="AI170:AM170"/>
    <mergeCell ref="AR170:AV170"/>
    <mergeCell ref="A169:C169"/>
    <mergeCell ref="D169:E169"/>
    <mergeCell ref="G169:I169"/>
    <mergeCell ref="N169:P169"/>
    <mergeCell ref="Q169:R169"/>
    <mergeCell ref="T169:V169"/>
    <mergeCell ref="AI171:AM171"/>
    <mergeCell ref="AR171:AV171"/>
    <mergeCell ref="A172:E172"/>
    <mergeCell ref="G172:I172"/>
    <mergeCell ref="N172:R172"/>
    <mergeCell ref="T172:V172"/>
    <mergeCell ref="AI172:AM172"/>
    <mergeCell ref="AR172:AV172"/>
    <mergeCell ref="A171:C171"/>
    <mergeCell ref="D171:E171"/>
    <mergeCell ref="G171:I171"/>
    <mergeCell ref="N171:P171"/>
    <mergeCell ref="Q171:R171"/>
    <mergeCell ref="T171:V171"/>
    <mergeCell ref="AI173:AM173"/>
    <mergeCell ref="AR173:AV173"/>
    <mergeCell ref="AI174:AM174"/>
    <mergeCell ref="AR174:AV174"/>
    <mergeCell ref="A175:E175"/>
    <mergeCell ref="G175:I175"/>
    <mergeCell ref="N175:R175"/>
    <mergeCell ref="T175:V175"/>
    <mergeCell ref="AI175:AM175"/>
    <mergeCell ref="AR175:AV175"/>
    <mergeCell ref="AI176:AM176"/>
    <mergeCell ref="AR176:AV176"/>
    <mergeCell ref="A177:C177"/>
    <mergeCell ref="D177:E177"/>
    <mergeCell ref="G177:I177"/>
    <mergeCell ref="N177:P177"/>
    <mergeCell ref="Q177:R177"/>
    <mergeCell ref="T177:V177"/>
    <mergeCell ref="AI177:AM177"/>
    <mergeCell ref="AR177:AV177"/>
    <mergeCell ref="A176:C176"/>
    <mergeCell ref="D176:E176"/>
    <mergeCell ref="G176:I176"/>
    <mergeCell ref="N176:P176"/>
    <mergeCell ref="Q176:R176"/>
    <mergeCell ref="T176:V176"/>
    <mergeCell ref="A180:E180"/>
    <mergeCell ref="G180:I180"/>
    <mergeCell ref="N180:R180"/>
    <mergeCell ref="T180:V180"/>
    <mergeCell ref="AI180:AM180"/>
    <mergeCell ref="AR180:AV180"/>
    <mergeCell ref="AI178:AM178"/>
    <mergeCell ref="AR178:AV178"/>
    <mergeCell ref="A179:C179"/>
    <mergeCell ref="D179:E179"/>
    <mergeCell ref="G179:I179"/>
    <mergeCell ref="N179:P179"/>
    <mergeCell ref="Q179:R179"/>
    <mergeCell ref="T179:V179"/>
    <mergeCell ref="AI179:AM179"/>
    <mergeCell ref="AR179:AV179"/>
    <mergeCell ref="A178:C178"/>
    <mergeCell ref="D178:E178"/>
    <mergeCell ref="G178:I178"/>
    <mergeCell ref="N178:P178"/>
    <mergeCell ref="Q178:R178"/>
    <mergeCell ref="T178:V178"/>
    <mergeCell ref="AI181:AM181"/>
    <mergeCell ref="AR181:AV181"/>
    <mergeCell ref="AI182:AM182"/>
    <mergeCell ref="AR182:AV182"/>
    <mergeCell ref="A183:E183"/>
    <mergeCell ref="G183:I183"/>
    <mergeCell ref="N183:R183"/>
    <mergeCell ref="T183:V183"/>
    <mergeCell ref="AI183:AM183"/>
    <mergeCell ref="AR183:AV183"/>
    <mergeCell ref="AI184:AM184"/>
    <mergeCell ref="AR184:AV184"/>
    <mergeCell ref="A185:C185"/>
    <mergeCell ref="D185:E185"/>
    <mergeCell ref="G185:I185"/>
    <mergeCell ref="N185:P185"/>
    <mergeCell ref="Q185:R185"/>
    <mergeCell ref="T185:V185"/>
    <mergeCell ref="AI185:AM185"/>
    <mergeCell ref="AR185:AV185"/>
    <mergeCell ref="A184:C184"/>
    <mergeCell ref="D184:E184"/>
    <mergeCell ref="G184:I184"/>
    <mergeCell ref="N184:P184"/>
    <mergeCell ref="Q184:R184"/>
    <mergeCell ref="T184:V184"/>
    <mergeCell ref="AI186:AM186"/>
    <mergeCell ref="AR186:AV186"/>
    <mergeCell ref="A187:E187"/>
    <mergeCell ref="G187:I187"/>
    <mergeCell ref="N187:R187"/>
    <mergeCell ref="T187:V187"/>
    <mergeCell ref="AI187:AM187"/>
    <mergeCell ref="A186:C186"/>
    <mergeCell ref="D186:E186"/>
    <mergeCell ref="G186:I186"/>
    <mergeCell ref="N186:P186"/>
    <mergeCell ref="Q186:R186"/>
    <mergeCell ref="T186:V186"/>
    <mergeCell ref="AI188:AM188"/>
    <mergeCell ref="AR188:AW188"/>
    <mergeCell ref="AI189:AM189"/>
    <mergeCell ref="AR189:AV189"/>
    <mergeCell ref="A190:E190"/>
    <mergeCell ref="G190:I190"/>
    <mergeCell ref="N190:R190"/>
    <mergeCell ref="T190:V190"/>
    <mergeCell ref="AI190:AM190"/>
    <mergeCell ref="AR190:AV190"/>
    <mergeCell ref="A194:Z195"/>
    <mergeCell ref="AI194:AM194"/>
    <mergeCell ref="AR194:AV194"/>
    <mergeCell ref="AI195:AM195"/>
    <mergeCell ref="AR195:AV195"/>
    <mergeCell ref="AI196:AM196"/>
    <mergeCell ref="AR196:AV196"/>
    <mergeCell ref="AI191:AM191"/>
    <mergeCell ref="AR191:AV191"/>
    <mergeCell ref="AI192:AM192"/>
    <mergeCell ref="AR192:AV192"/>
    <mergeCell ref="AI193:AM193"/>
    <mergeCell ref="AR193:AV193"/>
    <mergeCell ref="AI200:AN200"/>
    <mergeCell ref="AR200:AV200"/>
    <mergeCell ref="A201:E201"/>
    <mergeCell ref="G201:I201"/>
    <mergeCell ref="N201:R201"/>
    <mergeCell ref="T201:V201"/>
    <mergeCell ref="AI201:AM201"/>
    <mergeCell ref="AR201:AV201"/>
    <mergeCell ref="A197:G197"/>
    <mergeCell ref="AI197:AM197"/>
    <mergeCell ref="AR197:AV197"/>
    <mergeCell ref="AR198:AV198"/>
    <mergeCell ref="A199:E199"/>
    <mergeCell ref="F199:G199"/>
    <mergeCell ref="N199:R199"/>
    <mergeCell ref="S199:T199"/>
    <mergeCell ref="AR199:AV199"/>
    <mergeCell ref="A203:E203"/>
    <mergeCell ref="G203:I203"/>
    <mergeCell ref="N203:R203"/>
    <mergeCell ref="T203:V203"/>
    <mergeCell ref="AI203:AM203"/>
    <mergeCell ref="AR203:AV203"/>
    <mergeCell ref="A202:E202"/>
    <mergeCell ref="G202:I202"/>
    <mergeCell ref="N202:R202"/>
    <mergeCell ref="T202:V202"/>
    <mergeCell ref="AI202:AM202"/>
    <mergeCell ref="AR202:AV202"/>
    <mergeCell ref="A206:E206"/>
    <mergeCell ref="G206:I206"/>
    <mergeCell ref="N206:R206"/>
    <mergeCell ref="T206:V206"/>
    <mergeCell ref="AI206:AN206"/>
    <mergeCell ref="AR206:AV206"/>
    <mergeCell ref="A204:E204"/>
    <mergeCell ref="G204:I204"/>
    <mergeCell ref="N204:R204"/>
    <mergeCell ref="T204:V204"/>
    <mergeCell ref="AR204:AV204"/>
    <mergeCell ref="A205:E205"/>
    <mergeCell ref="G205:I205"/>
    <mergeCell ref="N205:R205"/>
    <mergeCell ref="T205:V205"/>
    <mergeCell ref="AR205:AV205"/>
    <mergeCell ref="A208:E208"/>
    <mergeCell ref="G208:I208"/>
    <mergeCell ref="N208:R208"/>
    <mergeCell ref="T208:V208"/>
    <mergeCell ref="AI208:AM208"/>
    <mergeCell ref="AR208:AV208"/>
    <mergeCell ref="A207:E207"/>
    <mergeCell ref="G207:I207"/>
    <mergeCell ref="N207:R207"/>
    <mergeCell ref="T207:V207"/>
    <mergeCell ref="AI207:AM207"/>
    <mergeCell ref="AR207:AV207"/>
    <mergeCell ref="A209:E209"/>
    <mergeCell ref="N209:R209"/>
    <mergeCell ref="AI209:AM209"/>
    <mergeCell ref="AR209:AV209"/>
    <mergeCell ref="A210:E210"/>
    <mergeCell ref="G210:I210"/>
    <mergeCell ref="N210:R210"/>
    <mergeCell ref="T210:V210"/>
    <mergeCell ref="AI210:AM210"/>
    <mergeCell ref="AR210:AV210"/>
    <mergeCell ref="A212:E212"/>
    <mergeCell ref="G212:I212"/>
    <mergeCell ref="N212:R212"/>
    <mergeCell ref="T212:V212"/>
    <mergeCell ref="AI212:AM212"/>
    <mergeCell ref="AR212:AV212"/>
    <mergeCell ref="A211:E211"/>
    <mergeCell ref="G211:I211"/>
    <mergeCell ref="N211:R211"/>
    <mergeCell ref="T211:V211"/>
    <mergeCell ref="AI211:AM211"/>
    <mergeCell ref="AR211:AV211"/>
    <mergeCell ref="A214:E214"/>
    <mergeCell ref="G214:I214"/>
    <mergeCell ref="N214:R214"/>
    <mergeCell ref="T214:V214"/>
    <mergeCell ref="AI214:AM214"/>
    <mergeCell ref="AR214:AV214"/>
    <mergeCell ref="A213:E213"/>
    <mergeCell ref="G213:I213"/>
    <mergeCell ref="N213:R213"/>
    <mergeCell ref="T213:V213"/>
    <mergeCell ref="AI213:AM213"/>
    <mergeCell ref="AR213:AV213"/>
    <mergeCell ref="A217:E217"/>
    <mergeCell ref="G217:I217"/>
    <mergeCell ref="N217:R217"/>
    <mergeCell ref="T217:V217"/>
    <mergeCell ref="AI217:AN217"/>
    <mergeCell ref="AR217:AV217"/>
    <mergeCell ref="A215:E215"/>
    <mergeCell ref="G215:I215"/>
    <mergeCell ref="N215:R215"/>
    <mergeCell ref="T215:V215"/>
    <mergeCell ref="AR215:AV215"/>
    <mergeCell ref="A216:E216"/>
    <mergeCell ref="G216:I216"/>
    <mergeCell ref="N216:R216"/>
    <mergeCell ref="T216:V216"/>
    <mergeCell ref="AR216:AV216"/>
    <mergeCell ref="A219:E219"/>
    <mergeCell ref="G219:I219"/>
    <mergeCell ref="N219:R219"/>
    <mergeCell ref="T219:V219"/>
    <mergeCell ref="AI219:AM219"/>
    <mergeCell ref="AR219:AV219"/>
    <mergeCell ref="A218:E218"/>
    <mergeCell ref="G218:I218"/>
    <mergeCell ref="N218:R218"/>
    <mergeCell ref="T218:V218"/>
    <mergeCell ref="AI218:AM218"/>
    <mergeCell ref="AR218:AV218"/>
    <mergeCell ref="A221:E221"/>
    <mergeCell ref="G221:I221"/>
    <mergeCell ref="N221:R221"/>
    <mergeCell ref="T221:V221"/>
    <mergeCell ref="AI221:AM221"/>
    <mergeCell ref="AR221:AV221"/>
    <mergeCell ref="A220:E220"/>
    <mergeCell ref="G220:I220"/>
    <mergeCell ref="N220:R220"/>
    <mergeCell ref="T220:V220"/>
    <mergeCell ref="AI220:AM220"/>
    <mergeCell ref="AR220:AV220"/>
    <mergeCell ref="A223:E223"/>
    <mergeCell ref="G223:I223"/>
    <mergeCell ref="N223:R223"/>
    <mergeCell ref="T223:V223"/>
    <mergeCell ref="AI223:AM223"/>
    <mergeCell ref="AR223:AV223"/>
    <mergeCell ref="A222:E222"/>
    <mergeCell ref="G222:I222"/>
    <mergeCell ref="N222:R222"/>
    <mergeCell ref="T222:V222"/>
    <mergeCell ref="AI222:AM222"/>
    <mergeCell ref="AR222:AV222"/>
    <mergeCell ref="A224:E224"/>
    <mergeCell ref="N224:R224"/>
    <mergeCell ref="AI224:AM224"/>
    <mergeCell ref="AR224:AV224"/>
    <mergeCell ref="A225:E225"/>
    <mergeCell ref="G225:I225"/>
    <mergeCell ref="N225:R225"/>
    <mergeCell ref="T225:V225"/>
    <mergeCell ref="AI225:AM225"/>
    <mergeCell ref="AR225:AV225"/>
    <mergeCell ref="A227:E227"/>
    <mergeCell ref="G227:I227"/>
    <mergeCell ref="N227:R227"/>
    <mergeCell ref="T227:V227"/>
    <mergeCell ref="AI227:AM227"/>
    <mergeCell ref="AR227:AV227"/>
    <mergeCell ref="A226:E226"/>
    <mergeCell ref="G226:I226"/>
    <mergeCell ref="N226:R226"/>
    <mergeCell ref="T226:V226"/>
    <mergeCell ref="AI226:AM226"/>
    <mergeCell ref="AR226:AV226"/>
    <mergeCell ref="A228:E228"/>
    <mergeCell ref="G228:I228"/>
    <mergeCell ref="N228:R228"/>
    <mergeCell ref="T228:V228"/>
    <mergeCell ref="AI228:AM228"/>
    <mergeCell ref="A229:E229"/>
    <mergeCell ref="G229:I229"/>
    <mergeCell ref="N229:R229"/>
    <mergeCell ref="T229:V229"/>
    <mergeCell ref="AI229:AM229"/>
    <mergeCell ref="A231:E231"/>
    <mergeCell ref="G231:I231"/>
    <mergeCell ref="N231:R231"/>
    <mergeCell ref="T231:V231"/>
    <mergeCell ref="AI231:AM231"/>
    <mergeCell ref="AR231:AV231"/>
    <mergeCell ref="AR229:AW229"/>
    <mergeCell ref="A230:E230"/>
    <mergeCell ref="G230:I230"/>
    <mergeCell ref="N230:R230"/>
    <mergeCell ref="T230:V230"/>
    <mergeCell ref="AI230:AM230"/>
    <mergeCell ref="AR230:AV230"/>
    <mergeCell ref="A234:E234"/>
    <mergeCell ref="G234:I234"/>
    <mergeCell ref="N234:R234"/>
    <mergeCell ref="T234:V234"/>
    <mergeCell ref="AI234:AM234"/>
    <mergeCell ref="AR234:AW234"/>
    <mergeCell ref="A232:E232"/>
    <mergeCell ref="N232:R232"/>
    <mergeCell ref="AI232:AM232"/>
    <mergeCell ref="AR232:AV232"/>
    <mergeCell ref="A233:E233"/>
    <mergeCell ref="G233:I233"/>
    <mergeCell ref="N233:R233"/>
    <mergeCell ref="T233:V233"/>
    <mergeCell ref="AI233:AM233"/>
    <mergeCell ref="A237:E237"/>
    <mergeCell ref="G237:I237"/>
    <mergeCell ref="N237:R237"/>
    <mergeCell ref="T237:V237"/>
    <mergeCell ref="AI237:AM237"/>
    <mergeCell ref="AR237:AV237"/>
    <mergeCell ref="A235:E235"/>
    <mergeCell ref="G235:I235"/>
    <mergeCell ref="N235:R235"/>
    <mergeCell ref="T235:V235"/>
    <mergeCell ref="AR235:AV235"/>
    <mergeCell ref="A236:E236"/>
    <mergeCell ref="N236:R236"/>
    <mergeCell ref="AI236:AN236"/>
    <mergeCell ref="AR236:AV236"/>
    <mergeCell ref="A239:E239"/>
    <mergeCell ref="G239:I239"/>
    <mergeCell ref="N239:R239"/>
    <mergeCell ref="T239:V239"/>
    <mergeCell ref="AR239:AV239"/>
    <mergeCell ref="AR240:AV240"/>
    <mergeCell ref="A238:E238"/>
    <mergeCell ref="G238:I238"/>
    <mergeCell ref="N238:R238"/>
    <mergeCell ref="T238:V238"/>
    <mergeCell ref="AI238:AM238"/>
    <mergeCell ref="AR238:AV238"/>
    <mergeCell ref="AI245:AM245"/>
    <mergeCell ref="AR245:AV245"/>
    <mergeCell ref="AI246:AM246"/>
    <mergeCell ref="AI247:AM247"/>
    <mergeCell ref="AR247:AW247"/>
    <mergeCell ref="AR248:AV248"/>
    <mergeCell ref="AI241:AN241"/>
    <mergeCell ref="AR241:AV241"/>
    <mergeCell ref="AI242:AM242"/>
    <mergeCell ref="AI243:AM243"/>
    <mergeCell ref="AR243:AW243"/>
    <mergeCell ref="AI244:AM244"/>
    <mergeCell ref="AR244:AV244"/>
    <mergeCell ref="AR253:AV253"/>
    <mergeCell ref="AI254:AN254"/>
    <mergeCell ref="AI255:AM255"/>
    <mergeCell ref="AR255:AW255"/>
    <mergeCell ref="AI256:AM256"/>
    <mergeCell ref="AR256:AV256"/>
    <mergeCell ref="AI249:AN249"/>
    <mergeCell ref="AR249:AV249"/>
    <mergeCell ref="AI250:AM250"/>
    <mergeCell ref="AI251:AM251"/>
    <mergeCell ref="AR251:AW251"/>
    <mergeCell ref="AI252:AM252"/>
    <mergeCell ref="AR252:AV252"/>
    <mergeCell ref="AI261:AM261"/>
    <mergeCell ref="AR261:AV261"/>
    <mergeCell ref="AI262:AM262"/>
    <mergeCell ref="AR262:AV262"/>
    <mergeCell ref="AI263:AM263"/>
    <mergeCell ref="AR263:AV263"/>
    <mergeCell ref="AI257:AM257"/>
    <mergeCell ref="AR257:AV257"/>
    <mergeCell ref="AI258:AM258"/>
    <mergeCell ref="AI259:AM259"/>
    <mergeCell ref="AR259:AW259"/>
    <mergeCell ref="AI260:AM260"/>
    <mergeCell ref="AR260:AV260"/>
    <mergeCell ref="AI270:AM270"/>
    <mergeCell ref="AI291:AN291"/>
    <mergeCell ref="AI292:AM292"/>
    <mergeCell ref="AI293:AN293"/>
    <mergeCell ref="AI294:AN294"/>
    <mergeCell ref="AI324:AM324"/>
    <mergeCell ref="AI264:AM264"/>
    <mergeCell ref="AR264:AV264"/>
    <mergeCell ref="AI265:AM265"/>
    <mergeCell ref="AI267:AN267"/>
    <mergeCell ref="AI268:AM268"/>
    <mergeCell ref="AI269:AM269"/>
    <mergeCell ref="AI342:AN342"/>
    <mergeCell ref="AI343:AN343"/>
    <mergeCell ref="AI345:AN345"/>
    <mergeCell ref="AI346:AM346"/>
    <mergeCell ref="AI347:AN347"/>
    <mergeCell ref="AI348:AN348"/>
    <mergeCell ref="AI328:AN328"/>
    <mergeCell ref="AI329:AN329"/>
    <mergeCell ref="AI331:AN331"/>
    <mergeCell ref="AI332:AM332"/>
    <mergeCell ref="AI340:AN340"/>
    <mergeCell ref="AI341:AM341"/>
    <mergeCell ref="AI357:AN357"/>
    <mergeCell ref="AI358:AN358"/>
    <mergeCell ref="AI361:AN361"/>
    <mergeCell ref="AI362:AM362"/>
    <mergeCell ref="AI350:AN350"/>
    <mergeCell ref="AI351:AM351"/>
    <mergeCell ref="AI352:AN352"/>
    <mergeCell ref="AI353:AN353"/>
    <mergeCell ref="AI355:AN355"/>
    <mergeCell ref="AI356:AM356"/>
  </mergeCells>
  <phoneticPr fontId="0" type="noConversion"/>
  <conditionalFormatting sqref="A93:A113 A116:A126 N116:N126">
    <cfRule type="expression" dxfId="68" priority="62">
      <formula>IF(D93="DESC",1,0)</formula>
    </cfRule>
  </conditionalFormatting>
  <conditionalFormatting sqref="A136:A137">
    <cfRule type="expression" dxfId="67" priority="55">
      <formula>IF(D136="DESC",1,0)</formula>
    </cfRule>
  </conditionalFormatting>
  <conditionalFormatting sqref="A140:A156">
    <cfRule type="expression" dxfId="66" priority="58">
      <formula>IF(D140="DESC",1,0)</formula>
    </cfRule>
  </conditionalFormatting>
  <conditionalFormatting sqref="A202:A207">
    <cfRule type="expression" dxfId="65" priority="17">
      <formula>IF(#REF!="DESC",1,0)</formula>
    </cfRule>
  </conditionalFormatting>
  <conditionalFormatting sqref="A210:A222">
    <cfRule type="expression" dxfId="64" priority="5">
      <formula>IF(#REF!="DESC",1,0)</formula>
    </cfRule>
  </conditionalFormatting>
  <conditionalFormatting sqref="A225:A230">
    <cfRule type="expression" dxfId="63" priority="16">
      <formula>IF(#REF!="DESC",1,0)</formula>
    </cfRule>
  </conditionalFormatting>
  <conditionalFormatting sqref="A233:A234">
    <cfRule type="expression" dxfId="62" priority="15">
      <formula>IF(#REF!="DESC",1,0)</formula>
    </cfRule>
  </conditionalFormatting>
  <conditionalFormatting sqref="A237:A238">
    <cfRule type="expression" dxfId="61" priority="14">
      <formula>IF(#REF!="DESC",1,0)</formula>
    </cfRule>
  </conditionalFormatting>
  <conditionalFormatting sqref="A161:C164">
    <cfRule type="expression" dxfId="60" priority="28">
      <formula>IF(D161="DESC",1,0)</formula>
    </cfRule>
  </conditionalFormatting>
  <conditionalFormatting sqref="A169:C171">
    <cfRule type="expression" dxfId="59" priority="32">
      <formula>IF(D169="DESC",1,0)</formula>
    </cfRule>
  </conditionalFormatting>
  <conditionalFormatting sqref="A176:C179">
    <cfRule type="expression" dxfId="58" priority="30">
      <formula>IF(D176="DESC",1,0)</formula>
    </cfRule>
  </conditionalFormatting>
  <conditionalFormatting sqref="A184:C186">
    <cfRule type="expression" dxfId="57" priority="27">
      <formula>IF(D184="DESC",1,0)</formula>
    </cfRule>
  </conditionalFormatting>
  <conditionalFormatting sqref="A127:N132">
    <cfRule type="expression" dxfId="56" priority="56">
      <formula>IF(D127="DESC",1,0)</formula>
    </cfRule>
  </conditionalFormatting>
  <conditionalFormatting sqref="A133:P133">
    <cfRule type="expression" dxfId="55" priority="6">
      <formula>IF(D133="DESC",1,0)</formula>
    </cfRule>
  </conditionalFormatting>
  <conditionalFormatting sqref="F102">
    <cfRule type="expression" dxfId="54" priority="63">
      <formula>IF(D102="DESC",1,0)</formula>
    </cfRule>
  </conditionalFormatting>
  <conditionalFormatting sqref="F106">
    <cfRule type="expression" dxfId="53" priority="64">
      <formula>IF(D106="DESC",1,0)</formula>
    </cfRule>
  </conditionalFormatting>
  <conditionalFormatting sqref="F126">
    <cfRule type="expression" dxfId="52" priority="37">
      <formula>IF(D126="DESC",1,0)</formula>
    </cfRule>
  </conditionalFormatting>
  <conditionalFormatting sqref="F161:F164">
    <cfRule type="expression" dxfId="51" priority="29">
      <formula>IF(D161="DESC",1,0)</formula>
    </cfRule>
  </conditionalFormatting>
  <conditionalFormatting sqref="F169:F171">
    <cfRule type="expression" dxfId="50" priority="19">
      <formula>IF(D169="DESC",1,0)</formula>
    </cfRule>
  </conditionalFormatting>
  <conditionalFormatting sqref="F176:F179">
    <cfRule type="expression" dxfId="49" priority="31">
      <formula>IF(D176="DESC",1,0)</formula>
    </cfRule>
  </conditionalFormatting>
  <conditionalFormatting sqref="F184:F186">
    <cfRule type="expression" dxfId="48" priority="33">
      <formula>IF(D184="DESC",1,0)</formula>
    </cfRule>
  </conditionalFormatting>
  <conditionalFormatting sqref="F210:F222">
    <cfRule type="duplicateValues" dxfId="47" priority="4"/>
  </conditionalFormatting>
  <conditionalFormatting sqref="G210:N222">
    <cfRule type="expression" dxfId="46" priority="3">
      <formula>IF(#REF!="DESC",1,0)</formula>
    </cfRule>
  </conditionalFormatting>
  <conditionalFormatting sqref="K13">
    <cfRule type="expression" dxfId="45" priority="1">
      <formula>IF(N13="DESC",1,0)</formula>
    </cfRule>
  </conditionalFormatting>
  <conditionalFormatting sqref="M118:M119">
    <cfRule type="expression" dxfId="44" priority="7">
      <formula>IF(P118="DESC",1,0)</formula>
    </cfRule>
  </conditionalFormatting>
  <conditionalFormatting sqref="M124">
    <cfRule type="expression" dxfId="43" priority="8">
      <formula>IF(P124="DESC",1,0)</formula>
    </cfRule>
  </conditionalFormatting>
  <conditionalFormatting sqref="N93:N113">
    <cfRule type="expression" dxfId="42" priority="59">
      <formula>IF(Q93="DESC",1,0)</formula>
    </cfRule>
  </conditionalFormatting>
  <conditionalFormatting sqref="N136:N137">
    <cfRule type="expression" dxfId="41" priority="54">
      <formula>IF(Q136="DESC",1,0)</formula>
    </cfRule>
  </conditionalFormatting>
  <conditionalFormatting sqref="N140:N156">
    <cfRule type="expression" dxfId="40" priority="57">
      <formula>IF(Q140="DESC",1,0)</formula>
    </cfRule>
  </conditionalFormatting>
  <conditionalFormatting sqref="N202:N207">
    <cfRule type="expression" dxfId="39" priority="13">
      <formula>IF(#REF!="DESC",1,0)</formula>
    </cfRule>
  </conditionalFormatting>
  <conditionalFormatting sqref="N225:N230">
    <cfRule type="expression" dxfId="38" priority="12">
      <formula>IF(#REF!="DESC",1,0)</formula>
    </cfRule>
  </conditionalFormatting>
  <conditionalFormatting sqref="N233:N234">
    <cfRule type="expression" dxfId="37" priority="11">
      <formula>IF(#REF!="DESC",1,0)</formula>
    </cfRule>
  </conditionalFormatting>
  <conditionalFormatting sqref="N237:N238">
    <cfRule type="expression" dxfId="36" priority="10">
      <formula>IF(#REF!="DESC",1,0)</formula>
    </cfRule>
  </conditionalFormatting>
  <conditionalFormatting sqref="N161:P164">
    <cfRule type="expression" dxfId="35" priority="22">
      <formula>IF(Q161="DESC",1,0)</formula>
    </cfRule>
  </conditionalFormatting>
  <conditionalFormatting sqref="N169:P171">
    <cfRule type="expression" dxfId="34" priority="25">
      <formula>IF(Q169="DESC",1,0)</formula>
    </cfRule>
  </conditionalFormatting>
  <conditionalFormatting sqref="N176:P179">
    <cfRule type="expression" dxfId="33" priority="24">
      <formula>IF(Q176="DESC",1,0)</formula>
    </cfRule>
  </conditionalFormatting>
  <conditionalFormatting sqref="N184:P186">
    <cfRule type="expression" dxfId="32" priority="21">
      <formula>IF(Q184="DESC",1,0)</formula>
    </cfRule>
  </conditionalFormatting>
  <conditionalFormatting sqref="S102">
    <cfRule type="expression" dxfId="31" priority="60">
      <formula>IF(Q102="DESC",1,0)</formula>
    </cfRule>
  </conditionalFormatting>
  <conditionalFormatting sqref="S106">
    <cfRule type="expression" dxfId="30" priority="61">
      <formula>IF(Q106="DESC",1,0)</formula>
    </cfRule>
  </conditionalFormatting>
  <conditionalFormatting sqref="S126">
    <cfRule type="expression" dxfId="29" priority="36">
      <formula>IF(Q126="DESC",1,0)</formula>
    </cfRule>
  </conditionalFormatting>
  <conditionalFormatting sqref="S133">
    <cfRule type="expression" dxfId="28" priority="9">
      <formula>IF(V133="DESC",1,0)</formula>
    </cfRule>
  </conditionalFormatting>
  <conditionalFormatting sqref="S161:S164">
    <cfRule type="expression" dxfId="27" priority="23">
      <formula>IF(Q161="DESC",1,0)</formula>
    </cfRule>
  </conditionalFormatting>
  <conditionalFormatting sqref="S169:S171">
    <cfRule type="expression" dxfId="26" priority="18">
      <formula>IF(Q169="DESC",1,0)</formula>
    </cfRule>
  </conditionalFormatting>
  <conditionalFormatting sqref="S176:S179">
    <cfRule type="expression" dxfId="25" priority="20">
      <formula>IF(Q176="DESC",1,0)</formula>
    </cfRule>
  </conditionalFormatting>
  <conditionalFormatting sqref="S184:S186">
    <cfRule type="expression" dxfId="24" priority="26">
      <formula>IF(Q184="DESC",1,0)</formula>
    </cfRule>
  </conditionalFormatting>
  <conditionalFormatting sqref="S210:S222">
    <cfRule type="duplicateValues" dxfId="23" priority="2"/>
  </conditionalFormatting>
  <conditionalFormatting sqref="AD106">
    <cfRule type="duplicateValues" dxfId="22" priority="65"/>
  </conditionalFormatting>
  <conditionalFormatting sqref="AD111">
    <cfRule type="duplicateValues" dxfId="21" priority="39"/>
  </conditionalFormatting>
  <conditionalFormatting sqref="AD114:AD115 AD117 AD119:AD125 AD127:AD130">
    <cfRule type="duplicateValues" dxfId="20" priority="66"/>
  </conditionalFormatting>
  <conditionalFormatting sqref="AD116">
    <cfRule type="duplicateValues" dxfId="19" priority="51"/>
  </conditionalFormatting>
  <conditionalFormatting sqref="AD118">
    <cfRule type="duplicateValues" dxfId="18" priority="53"/>
  </conditionalFormatting>
  <conditionalFormatting sqref="AD126">
    <cfRule type="duplicateValues" dxfId="17" priority="52"/>
  </conditionalFormatting>
  <conditionalFormatting sqref="AD131">
    <cfRule type="duplicateValues" dxfId="16" priority="45"/>
  </conditionalFormatting>
  <conditionalFormatting sqref="AD132">
    <cfRule type="duplicateValues" dxfId="15" priority="38"/>
  </conditionalFormatting>
  <conditionalFormatting sqref="AD133 AD135:AD138 AD140 AD143:AD146 AD148:AD154 AD156:AD157 AD159:AD167 AD169:AD171 AD173:AD175 AD177:AD183">
    <cfRule type="duplicateValues" dxfId="14" priority="67"/>
  </conditionalFormatting>
  <conditionalFormatting sqref="AD134">
    <cfRule type="duplicateValues" dxfId="13" priority="44"/>
  </conditionalFormatting>
  <conditionalFormatting sqref="AD139">
    <cfRule type="duplicateValues" dxfId="12" priority="49"/>
  </conditionalFormatting>
  <conditionalFormatting sqref="AD141">
    <cfRule type="duplicateValues" dxfId="11" priority="35"/>
  </conditionalFormatting>
  <conditionalFormatting sqref="AD142">
    <cfRule type="duplicateValues" dxfId="10" priority="50"/>
  </conditionalFormatting>
  <conditionalFormatting sqref="AD147">
    <cfRule type="duplicateValues" dxfId="9" priority="42"/>
  </conditionalFormatting>
  <conditionalFormatting sqref="AD155">
    <cfRule type="duplicateValues" dxfId="8" priority="48"/>
  </conditionalFormatting>
  <conditionalFormatting sqref="AD158">
    <cfRule type="duplicateValues" dxfId="7" priority="34"/>
  </conditionalFormatting>
  <conditionalFormatting sqref="AD168">
    <cfRule type="duplicateValues" dxfId="6" priority="43"/>
  </conditionalFormatting>
  <conditionalFormatting sqref="AD172">
    <cfRule type="duplicateValues" dxfId="5" priority="47"/>
  </conditionalFormatting>
  <conditionalFormatting sqref="AD176">
    <cfRule type="duplicateValues" dxfId="4" priority="46"/>
  </conditionalFormatting>
  <conditionalFormatting sqref="AD185">
    <cfRule type="duplicateValues" dxfId="3" priority="41"/>
  </conditionalFormatting>
  <conditionalFormatting sqref="AD186">
    <cfRule type="duplicateValues" dxfId="2" priority="40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/>
  <dimension ref="A1:GO58"/>
  <sheetViews>
    <sheetView topLeftCell="AD1" zoomScale="40" zoomScaleNormal="40" workbookViewId="0">
      <selection activeCell="BC22" activeCellId="2" sqref="AS27:AS29 AS33:AS35 BC22:BH22"/>
    </sheetView>
  </sheetViews>
  <sheetFormatPr baseColWidth="10" defaultColWidth="16.7109375" defaultRowHeight="15"/>
  <cols>
    <col min="5" max="8" width="3" customWidth="1"/>
    <col min="14" max="28" width="1.28515625" customWidth="1"/>
    <col min="48" max="53" width="0.7109375" customWidth="1"/>
  </cols>
  <sheetData>
    <row r="1" spans="1:197" ht="34.5" thickBot="1">
      <c r="A1" s="860" t="s">
        <v>119</v>
      </c>
      <c r="B1" s="861"/>
      <c r="C1" s="861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  <c r="O1" s="861"/>
      <c r="P1" s="861"/>
      <c r="Q1" s="861"/>
      <c r="R1" s="861"/>
      <c r="S1" s="861"/>
      <c r="T1" s="861"/>
      <c r="U1" s="861"/>
      <c r="V1" s="861"/>
      <c r="W1" s="861"/>
      <c r="X1" s="861"/>
      <c r="Y1" s="861"/>
      <c r="Z1" s="861"/>
      <c r="AA1" s="861"/>
      <c r="AB1" s="861"/>
      <c r="AC1" s="861"/>
      <c r="AD1" s="861"/>
      <c r="AE1" s="861"/>
      <c r="AF1" s="861"/>
      <c r="AG1" s="861"/>
      <c r="AH1" s="861"/>
      <c r="AI1" s="861"/>
      <c r="AJ1" s="861"/>
      <c r="AK1" s="861"/>
      <c r="AL1" s="861"/>
      <c r="AM1" s="861"/>
      <c r="AN1" s="861"/>
      <c r="AO1" s="861"/>
      <c r="AP1" s="861"/>
      <c r="AQ1" s="861"/>
      <c r="AR1" s="861"/>
      <c r="AS1" s="861"/>
      <c r="AT1" s="861"/>
      <c r="AU1" s="861"/>
      <c r="AV1" s="861"/>
      <c r="AW1" s="861"/>
      <c r="AX1" s="861"/>
      <c r="AY1" s="861"/>
      <c r="AZ1" s="861"/>
      <c r="BA1" s="861"/>
      <c r="BB1" s="861"/>
      <c r="BC1" s="861"/>
      <c r="BD1" s="861"/>
      <c r="BE1" s="861"/>
      <c r="BF1" s="861"/>
      <c r="BG1" s="861"/>
      <c r="BH1" s="861"/>
      <c r="BI1" s="861"/>
      <c r="BJ1" s="861"/>
      <c r="BK1" s="862"/>
      <c r="BL1" s="55"/>
      <c r="BM1" s="55"/>
      <c r="BN1" s="55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6"/>
      <c r="DF1" s="56"/>
      <c r="DG1" s="56"/>
      <c r="DH1" s="56"/>
      <c r="DI1" s="56"/>
      <c r="DJ1" s="56"/>
      <c r="DK1" s="56"/>
      <c r="DL1" s="56"/>
      <c r="DM1" s="56"/>
      <c r="DN1" s="56"/>
      <c r="DO1" s="56"/>
      <c r="DP1" s="56"/>
      <c r="DQ1" s="56"/>
      <c r="DR1" s="56"/>
      <c r="DS1" s="56"/>
      <c r="DT1" s="56"/>
      <c r="DU1" s="56"/>
      <c r="DV1" s="56"/>
      <c r="DW1" s="56"/>
      <c r="DX1" s="56"/>
      <c r="DY1" s="56"/>
      <c r="DZ1" s="56"/>
      <c r="EA1" s="56"/>
      <c r="EB1" s="56"/>
      <c r="EC1" s="56"/>
      <c r="ED1" s="56"/>
      <c r="EE1" s="56"/>
      <c r="EF1" s="56"/>
      <c r="EG1" s="56"/>
      <c r="EH1" s="56"/>
      <c r="EI1" s="56"/>
      <c r="EJ1" s="56"/>
      <c r="EK1" s="56"/>
      <c r="EL1" s="56"/>
      <c r="EM1" s="56"/>
      <c r="EN1" s="56"/>
      <c r="EO1" s="56"/>
      <c r="EP1" s="56"/>
      <c r="EQ1" s="56"/>
      <c r="ER1" s="56"/>
      <c r="ES1" s="56"/>
      <c r="ET1" s="56"/>
      <c r="EU1" s="56"/>
      <c r="EV1" s="56"/>
      <c r="EW1" s="56"/>
      <c r="EX1" s="56"/>
      <c r="EY1" s="56"/>
      <c r="EZ1" s="56"/>
      <c r="FA1" s="56"/>
      <c r="FB1" s="56"/>
      <c r="FC1" s="56"/>
      <c r="FD1" s="56"/>
      <c r="FE1" s="56"/>
      <c r="FF1" s="56"/>
      <c r="FG1" s="56"/>
      <c r="FH1" s="56"/>
      <c r="FI1" s="56"/>
      <c r="FJ1" s="56"/>
      <c r="FK1" s="56"/>
      <c r="FL1" s="56"/>
      <c r="FM1" s="56"/>
      <c r="FN1" s="56"/>
      <c r="FO1" s="56"/>
      <c r="FP1" s="56"/>
      <c r="FQ1" s="56"/>
      <c r="FR1" s="56"/>
      <c r="FS1" s="56"/>
      <c r="FT1" s="56"/>
      <c r="FU1" s="56"/>
      <c r="FV1" s="56"/>
      <c r="FW1" s="56"/>
      <c r="FX1" s="56"/>
      <c r="FY1" s="56"/>
      <c r="FZ1" s="56"/>
      <c r="GA1" s="56"/>
      <c r="GB1" s="56"/>
      <c r="GC1" s="56"/>
      <c r="GD1" s="56"/>
      <c r="GE1" s="56"/>
      <c r="GF1" s="56"/>
      <c r="GG1" s="56"/>
      <c r="GH1" s="56"/>
      <c r="GI1" s="56"/>
      <c r="GJ1" s="56"/>
      <c r="GK1" s="56"/>
      <c r="GL1" s="56"/>
      <c r="GM1" s="56"/>
      <c r="GN1" s="56"/>
      <c r="GO1" s="56"/>
    </row>
    <row r="2" spans="1:197" ht="15.75" thickBot="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58"/>
      <c r="P2" s="58"/>
      <c r="Q2" s="58"/>
      <c r="R2" s="58"/>
      <c r="S2" s="58"/>
      <c r="T2" s="59"/>
      <c r="U2" s="59"/>
      <c r="V2" s="60"/>
      <c r="W2" s="60"/>
      <c r="X2" s="60"/>
      <c r="Y2" s="60"/>
      <c r="Z2" s="60"/>
      <c r="AA2" s="60"/>
      <c r="AB2" s="59"/>
      <c r="AC2" s="60"/>
      <c r="AD2" s="60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56"/>
      <c r="FF2" s="56"/>
      <c r="FG2" s="56"/>
      <c r="FH2" s="56"/>
      <c r="FI2" s="56"/>
      <c r="FJ2" s="56"/>
      <c r="FK2" s="56"/>
      <c r="FL2" s="56"/>
      <c r="FM2" s="56"/>
      <c r="FN2" s="56"/>
      <c r="FO2" s="56"/>
      <c r="FP2" s="56"/>
      <c r="FQ2" s="56"/>
      <c r="FR2" s="56"/>
      <c r="FS2" s="56"/>
      <c r="FT2" s="56"/>
      <c r="FU2" s="56"/>
      <c r="FV2" s="56"/>
      <c r="FW2" s="56"/>
      <c r="FX2" s="56"/>
      <c r="FY2" s="56"/>
      <c r="FZ2" s="56"/>
      <c r="GA2" s="56"/>
      <c r="GB2" s="56"/>
      <c r="GC2" s="56"/>
      <c r="GD2" s="56"/>
      <c r="GE2" s="56"/>
      <c r="GF2" s="56"/>
      <c r="GG2" s="56"/>
      <c r="GH2" s="56"/>
      <c r="GI2" s="56"/>
      <c r="GJ2" s="56"/>
      <c r="GK2" s="56"/>
      <c r="GL2" s="56"/>
      <c r="GM2" s="56"/>
      <c r="GN2" s="56"/>
      <c r="GO2" s="56"/>
    </row>
    <row r="3" spans="1:197" ht="15" customHeight="1">
      <c r="A3" s="863" t="s">
        <v>120</v>
      </c>
      <c r="B3" s="766"/>
      <c r="C3" s="766"/>
      <c r="D3" s="766"/>
      <c r="E3" s="766"/>
      <c r="F3" s="767"/>
      <c r="G3" s="767"/>
      <c r="H3" s="767"/>
      <c r="I3" s="767"/>
      <c r="J3" s="767"/>
      <c r="K3" s="767"/>
      <c r="L3" s="767"/>
      <c r="M3" s="767"/>
      <c r="N3" s="63"/>
      <c r="O3" s="64"/>
      <c r="P3" s="64"/>
      <c r="Q3" s="64"/>
      <c r="R3" s="64"/>
      <c r="S3" s="64"/>
      <c r="T3" s="357"/>
      <c r="U3" s="357"/>
      <c r="V3" s="357"/>
      <c r="W3" s="357"/>
      <c r="X3" s="66"/>
      <c r="Y3" s="66"/>
      <c r="Z3" s="66"/>
      <c r="AA3" s="64"/>
      <c r="AB3" s="64"/>
      <c r="AC3" s="64"/>
      <c r="AD3" s="67"/>
      <c r="AE3" s="68"/>
      <c r="AF3" s="69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1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  <c r="DX3" s="56"/>
      <c r="DY3" s="56"/>
      <c r="DZ3" s="56"/>
      <c r="EA3" s="56"/>
      <c r="EB3" s="56"/>
      <c r="EC3" s="56"/>
      <c r="ED3" s="56"/>
      <c r="EE3" s="56"/>
      <c r="EF3" s="56"/>
      <c r="EG3" s="56"/>
      <c r="EH3" s="56"/>
      <c r="EI3" s="56"/>
      <c r="EJ3" s="56"/>
      <c r="EK3" s="56"/>
      <c r="EL3" s="56"/>
      <c r="EM3" s="56"/>
      <c r="EN3" s="56"/>
      <c r="EO3" s="56"/>
      <c r="EP3" s="56"/>
      <c r="EQ3" s="56"/>
      <c r="ER3" s="56"/>
      <c r="ES3" s="56"/>
      <c r="ET3" s="56"/>
      <c r="EU3" s="56"/>
      <c r="EV3" s="56"/>
      <c r="EW3" s="56"/>
      <c r="EX3" s="56"/>
      <c r="EY3" s="56"/>
      <c r="EZ3" s="56"/>
      <c r="FA3" s="56"/>
      <c r="FB3" s="56"/>
      <c r="FC3" s="56"/>
      <c r="FD3" s="56"/>
      <c r="FE3" s="56"/>
      <c r="FF3" s="56"/>
      <c r="FG3" s="56"/>
      <c r="FH3" s="56"/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6"/>
      <c r="FT3" s="56"/>
      <c r="FU3" s="56"/>
      <c r="FV3" s="56"/>
      <c r="FW3" s="56"/>
      <c r="FX3" s="56"/>
      <c r="FY3" s="56"/>
      <c r="FZ3" s="56"/>
      <c r="GA3" s="56"/>
      <c r="GB3" s="56"/>
      <c r="GC3" s="56"/>
      <c r="GD3" s="56"/>
      <c r="GE3" s="56"/>
      <c r="GF3" s="56"/>
      <c r="GG3" s="56"/>
      <c r="GH3" s="56"/>
      <c r="GI3" s="56"/>
      <c r="GJ3" s="56"/>
      <c r="GK3" s="56"/>
      <c r="GL3" s="56"/>
      <c r="GM3" s="56"/>
      <c r="GN3" s="56"/>
      <c r="GO3" s="56"/>
    </row>
    <row r="4" spans="1:197" ht="19.5" thickBot="1">
      <c r="A4" s="864"/>
      <c r="B4" s="57"/>
      <c r="C4" s="56"/>
      <c r="D4" s="55"/>
      <c r="E4" s="55"/>
      <c r="F4" s="55"/>
      <c r="G4" s="55"/>
      <c r="H4" s="55"/>
      <c r="I4" s="55"/>
      <c r="J4" s="55"/>
      <c r="K4" s="55"/>
      <c r="L4" s="55"/>
      <c r="M4" s="57"/>
      <c r="N4" s="73"/>
      <c r="O4" s="74"/>
      <c r="P4" s="74"/>
      <c r="Q4" s="74"/>
      <c r="R4" s="74"/>
      <c r="S4" s="74"/>
      <c r="T4" s="75"/>
      <c r="U4" s="76"/>
      <c r="V4" s="76"/>
      <c r="W4" s="75"/>
      <c r="X4" s="74"/>
      <c r="Y4" s="56"/>
      <c r="Z4" s="56"/>
      <c r="AA4" s="74"/>
      <c r="AB4" s="74"/>
      <c r="AC4" s="77"/>
      <c r="AD4" s="78"/>
      <c r="AE4" s="68"/>
      <c r="AF4" s="79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56"/>
      <c r="BJ4" s="57"/>
      <c r="BK4" s="81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56"/>
      <c r="DN4" s="56"/>
      <c r="DO4" s="56"/>
      <c r="DP4" s="56"/>
      <c r="DQ4" s="56"/>
      <c r="DR4" s="56"/>
      <c r="DS4" s="56"/>
      <c r="DT4" s="56"/>
      <c r="DU4" s="56"/>
      <c r="DV4" s="56"/>
      <c r="DW4" s="56"/>
      <c r="DX4" s="56"/>
      <c r="DY4" s="56"/>
      <c r="DZ4" s="56"/>
      <c r="EA4" s="56"/>
      <c r="EB4" s="56"/>
      <c r="EC4" s="56"/>
      <c r="ED4" s="56"/>
      <c r="EE4" s="56"/>
      <c r="EF4" s="56"/>
      <c r="EG4" s="56"/>
      <c r="EH4" s="56"/>
      <c r="EI4" s="56"/>
      <c r="EJ4" s="56"/>
      <c r="EK4" s="56"/>
      <c r="EL4" s="56"/>
      <c r="EM4" s="56"/>
      <c r="EN4" s="56"/>
      <c r="EO4" s="56"/>
      <c r="EP4" s="56"/>
      <c r="EQ4" s="56"/>
      <c r="ER4" s="56"/>
      <c r="ES4" s="56"/>
      <c r="ET4" s="56"/>
      <c r="EU4" s="56"/>
      <c r="EV4" s="56"/>
      <c r="EW4" s="56"/>
      <c r="EX4" s="56"/>
      <c r="EY4" s="56"/>
      <c r="EZ4" s="56"/>
      <c r="FA4" s="56"/>
      <c r="FB4" s="56"/>
      <c r="FC4" s="56"/>
      <c r="FD4" s="56"/>
      <c r="FE4" s="56"/>
      <c r="FF4" s="56"/>
      <c r="FG4" s="56"/>
      <c r="FH4" s="56"/>
      <c r="FI4" s="56"/>
      <c r="FJ4" s="56"/>
      <c r="FK4" s="56"/>
      <c r="FL4" s="56"/>
      <c r="FM4" s="56"/>
      <c r="FN4" s="56"/>
      <c r="FO4" s="56"/>
      <c r="FP4" s="56"/>
      <c r="FQ4" s="56"/>
      <c r="FR4" s="56"/>
      <c r="FS4" s="56"/>
      <c r="FT4" s="56"/>
      <c r="FU4" s="56"/>
      <c r="FV4" s="56"/>
      <c r="FW4" s="56"/>
      <c r="FX4" s="56"/>
      <c r="FY4" s="56"/>
      <c r="FZ4" s="56"/>
      <c r="GA4" s="56"/>
      <c r="GB4" s="56"/>
      <c r="GC4" s="56"/>
      <c r="GD4" s="56"/>
      <c r="GE4" s="56"/>
      <c r="GF4" s="56"/>
      <c r="GG4" s="56"/>
      <c r="GH4" s="56"/>
      <c r="GI4" s="56"/>
      <c r="GJ4" s="56"/>
      <c r="GK4" s="56"/>
      <c r="GL4" s="56"/>
      <c r="GM4" s="56"/>
      <c r="GN4" s="56"/>
      <c r="GO4" s="56"/>
    </row>
    <row r="5" spans="1:197" ht="15.75">
      <c r="A5" s="864"/>
      <c r="B5" s="768"/>
      <c r="C5" s="56"/>
      <c r="D5" s="56"/>
      <c r="E5" s="56"/>
      <c r="F5" s="56"/>
      <c r="G5" s="56"/>
      <c r="H5" s="56"/>
      <c r="I5" s="56"/>
      <c r="J5" s="56"/>
      <c r="K5" s="56"/>
      <c r="L5" s="55"/>
      <c r="M5" s="57"/>
      <c r="N5" s="83"/>
      <c r="O5" s="56"/>
      <c r="P5" s="865" t="s">
        <v>125</v>
      </c>
      <c r="Q5" s="866"/>
      <c r="R5" s="867"/>
      <c r="S5" s="84"/>
      <c r="T5" s="76"/>
      <c r="U5" s="85"/>
      <c r="V5" s="85"/>
      <c r="W5" s="76"/>
      <c r="X5" s="86"/>
      <c r="Y5" s="56"/>
      <c r="Z5" s="56"/>
      <c r="AA5" s="87"/>
      <c r="AB5" s="87"/>
      <c r="AC5" s="77"/>
      <c r="AD5" s="78"/>
      <c r="AE5" s="68"/>
      <c r="AF5" s="79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56"/>
      <c r="BJ5" s="57"/>
      <c r="BK5" s="81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6"/>
      <c r="DJ5" s="56"/>
      <c r="DK5" s="56"/>
      <c r="DL5" s="56"/>
      <c r="DM5" s="56"/>
      <c r="DN5" s="56"/>
      <c r="DO5" s="56"/>
      <c r="DP5" s="56"/>
      <c r="DQ5" s="56"/>
      <c r="DR5" s="56"/>
      <c r="DS5" s="56"/>
      <c r="DT5" s="56"/>
      <c r="DU5" s="56"/>
      <c r="DV5" s="56"/>
      <c r="DW5" s="56"/>
      <c r="DX5" s="56"/>
      <c r="DY5" s="56"/>
      <c r="DZ5" s="56"/>
      <c r="EA5" s="56"/>
      <c r="EB5" s="56"/>
      <c r="EC5" s="56"/>
      <c r="ED5" s="56"/>
      <c r="EE5" s="56"/>
      <c r="EF5" s="56"/>
      <c r="EG5" s="56"/>
      <c r="EH5" s="56"/>
      <c r="EI5" s="56"/>
      <c r="EJ5" s="56"/>
      <c r="EK5" s="56"/>
      <c r="EL5" s="56"/>
      <c r="EM5" s="56"/>
      <c r="EN5" s="56"/>
      <c r="EO5" s="56"/>
      <c r="EP5" s="56"/>
      <c r="EQ5" s="56"/>
      <c r="ER5" s="56"/>
      <c r="ES5" s="56"/>
      <c r="ET5" s="56"/>
      <c r="EU5" s="56"/>
      <c r="EV5" s="56"/>
      <c r="EW5" s="56"/>
      <c r="EX5" s="56"/>
      <c r="EY5" s="56"/>
      <c r="EZ5" s="56"/>
      <c r="FA5" s="56"/>
      <c r="FB5" s="56"/>
      <c r="FC5" s="56"/>
      <c r="FD5" s="56"/>
      <c r="FE5" s="56"/>
      <c r="FF5" s="56"/>
      <c r="FG5" s="56"/>
      <c r="FH5" s="56"/>
      <c r="FI5" s="56"/>
      <c r="FJ5" s="56"/>
      <c r="FK5" s="56"/>
      <c r="FL5" s="56"/>
      <c r="FM5" s="56"/>
      <c r="FN5" s="56"/>
      <c r="FO5" s="56"/>
      <c r="FP5" s="56"/>
      <c r="FQ5" s="56"/>
      <c r="FR5" s="56"/>
      <c r="FS5" s="56"/>
      <c r="FT5" s="56"/>
      <c r="FU5" s="56"/>
      <c r="FV5" s="56"/>
      <c r="FW5" s="56"/>
      <c r="FX5" s="56"/>
      <c r="FY5" s="56"/>
      <c r="FZ5" s="56"/>
      <c r="GA5" s="56"/>
      <c r="GB5" s="56"/>
      <c r="GC5" s="56"/>
      <c r="GD5" s="56"/>
      <c r="GE5" s="56"/>
      <c r="GF5" s="56"/>
      <c r="GG5" s="56"/>
      <c r="GH5" s="56"/>
      <c r="GI5" s="56"/>
      <c r="GJ5" s="56"/>
      <c r="GK5" s="56"/>
      <c r="GL5" s="56"/>
      <c r="GM5" s="56"/>
      <c r="GN5" s="56"/>
      <c r="GO5" s="56"/>
    </row>
    <row r="6" spans="1:197">
      <c r="A6" s="864"/>
      <c r="B6" s="57"/>
      <c r="C6" s="56"/>
      <c r="D6" s="56"/>
      <c r="E6" s="56"/>
      <c r="F6" s="56"/>
      <c r="G6" s="56"/>
      <c r="H6" s="56"/>
      <c r="J6" s="56"/>
      <c r="K6" s="56"/>
      <c r="L6" s="57"/>
      <c r="M6" s="57"/>
      <c r="N6" s="83"/>
      <c r="O6" s="56"/>
      <c r="P6" s="868"/>
      <c r="Q6" s="869"/>
      <c r="R6" s="870"/>
      <c r="S6" s="84"/>
      <c r="T6" s="88"/>
      <c r="U6" s="88"/>
      <c r="V6" s="88"/>
      <c r="W6" s="88"/>
      <c r="X6" s="86"/>
      <c r="Y6" s="56"/>
      <c r="Z6" s="56"/>
      <c r="AA6" s="74"/>
      <c r="AB6" s="89"/>
      <c r="AC6" s="77"/>
      <c r="AD6" s="78"/>
      <c r="AE6" s="68"/>
      <c r="AF6" s="79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56"/>
      <c r="BJ6" s="57"/>
      <c r="BK6" s="81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  <c r="EY6" s="56"/>
      <c r="EZ6" s="56"/>
      <c r="FA6" s="56"/>
      <c r="FB6" s="56"/>
      <c r="FC6" s="56"/>
      <c r="FD6" s="56"/>
      <c r="FE6" s="56"/>
      <c r="FF6" s="56"/>
      <c r="FG6" s="56"/>
      <c r="FH6" s="56"/>
      <c r="FI6" s="56"/>
      <c r="FJ6" s="56"/>
      <c r="FK6" s="56"/>
      <c r="FL6" s="56"/>
      <c r="FM6" s="56"/>
      <c r="FN6" s="56"/>
      <c r="FO6" s="56"/>
      <c r="FP6" s="56"/>
      <c r="FQ6" s="56"/>
      <c r="FR6" s="56"/>
      <c r="FS6" s="56"/>
      <c r="FT6" s="56"/>
      <c r="FU6" s="56"/>
      <c r="FV6" s="56"/>
      <c r="FW6" s="56"/>
      <c r="FX6" s="56"/>
      <c r="FY6" s="56"/>
      <c r="FZ6" s="56"/>
      <c r="GA6" s="56"/>
      <c r="GB6" s="56"/>
      <c r="GC6" s="56"/>
      <c r="GD6" s="56"/>
      <c r="GE6" s="56"/>
      <c r="GF6" s="56"/>
      <c r="GG6" s="56"/>
      <c r="GH6" s="56"/>
      <c r="GI6" s="56"/>
      <c r="GJ6" s="56"/>
      <c r="GK6" s="56"/>
      <c r="GL6" s="56"/>
      <c r="GM6" s="56"/>
      <c r="GN6" s="56"/>
      <c r="GO6" s="56"/>
    </row>
    <row r="7" spans="1:197" ht="16.5" thickBot="1">
      <c r="A7" s="864"/>
      <c r="B7" s="90"/>
      <c r="C7" s="56"/>
      <c r="D7" s="56"/>
      <c r="E7" s="56"/>
      <c r="F7" s="56"/>
      <c r="G7" s="56"/>
      <c r="H7" s="56"/>
      <c r="J7" s="56"/>
      <c r="K7" s="56"/>
      <c r="L7" s="57"/>
      <c r="M7" s="57"/>
      <c r="N7" s="83"/>
      <c r="O7" s="56"/>
      <c r="P7" s="871"/>
      <c r="Q7" s="872"/>
      <c r="R7" s="873"/>
      <c r="S7" s="84"/>
      <c r="T7" s="76"/>
      <c r="U7" s="85"/>
      <c r="V7" s="85"/>
      <c r="W7" s="76"/>
      <c r="X7" s="86"/>
      <c r="Y7" s="74"/>
      <c r="Z7" s="74"/>
      <c r="AA7" s="74"/>
      <c r="AB7" s="74"/>
      <c r="AC7" s="77"/>
      <c r="AD7" s="78"/>
      <c r="AE7" s="68"/>
      <c r="AF7" s="79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56"/>
      <c r="BJ7" s="57"/>
      <c r="BK7" s="81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  <c r="EY7" s="56"/>
      <c r="EZ7" s="56"/>
      <c r="FA7" s="56"/>
      <c r="FB7" s="56"/>
      <c r="FC7" s="56"/>
      <c r="FD7" s="56"/>
      <c r="FE7" s="56"/>
      <c r="FF7" s="56"/>
      <c r="FG7" s="56"/>
      <c r="FH7" s="56"/>
      <c r="FI7" s="56"/>
      <c r="FJ7" s="56"/>
      <c r="FK7" s="56"/>
      <c r="FL7" s="56"/>
      <c r="FM7" s="56"/>
      <c r="FN7" s="56"/>
      <c r="FO7" s="56"/>
      <c r="FP7" s="56"/>
      <c r="FQ7" s="56"/>
      <c r="FR7" s="56"/>
      <c r="FS7" s="56"/>
      <c r="FT7" s="56"/>
      <c r="FU7" s="56"/>
      <c r="FV7" s="56"/>
      <c r="FW7" s="56"/>
      <c r="FX7" s="56"/>
      <c r="FY7" s="56"/>
      <c r="FZ7" s="56"/>
      <c r="GA7" s="56"/>
      <c r="GB7" s="56"/>
      <c r="GC7" s="56"/>
      <c r="GD7" s="56"/>
      <c r="GE7" s="56"/>
      <c r="GF7" s="56"/>
      <c r="GG7" s="56"/>
      <c r="GH7" s="56"/>
      <c r="GI7" s="56"/>
      <c r="GJ7" s="56"/>
      <c r="GK7" s="56"/>
      <c r="GL7" s="56"/>
      <c r="GM7" s="56"/>
      <c r="GN7" s="56"/>
      <c r="GO7" s="56"/>
    </row>
    <row r="8" spans="1:197">
      <c r="A8" s="864"/>
      <c r="B8" s="57"/>
      <c r="C8" s="58"/>
      <c r="D8" s="72"/>
      <c r="E8" s="72"/>
      <c r="F8" s="72"/>
      <c r="G8" s="56"/>
      <c r="H8" s="56"/>
      <c r="I8" s="56"/>
      <c r="J8" s="56"/>
      <c r="K8" s="56"/>
      <c r="L8" s="58"/>
      <c r="M8" s="58"/>
      <c r="N8" s="83"/>
      <c r="O8" s="56"/>
      <c r="P8" s="56"/>
      <c r="Q8" s="56"/>
      <c r="R8" s="56"/>
      <c r="S8" s="84"/>
      <c r="T8" s="88"/>
      <c r="U8" s="88"/>
      <c r="V8" s="88"/>
      <c r="W8" s="88"/>
      <c r="X8" s="86"/>
      <c r="Y8" s="56"/>
      <c r="Z8" s="56"/>
      <c r="AA8" s="74"/>
      <c r="AB8" s="74"/>
      <c r="AC8" s="91"/>
      <c r="AD8" s="78"/>
      <c r="AE8" s="68"/>
      <c r="AF8" s="79"/>
      <c r="AG8" s="80"/>
      <c r="AH8" s="80"/>
      <c r="AI8" s="80"/>
      <c r="AJ8" s="80"/>
      <c r="AK8" s="80"/>
      <c r="AL8" s="80"/>
      <c r="AM8" s="56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56"/>
      <c r="BJ8" s="57"/>
      <c r="BK8" s="81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  <c r="CX8" s="56"/>
      <c r="CY8" s="56"/>
      <c r="CZ8" s="56"/>
      <c r="DA8" s="56"/>
      <c r="DB8" s="56"/>
      <c r="DC8" s="56"/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56"/>
      <c r="DP8" s="56"/>
      <c r="DQ8" s="56"/>
      <c r="DR8" s="56"/>
      <c r="DS8" s="56"/>
      <c r="DT8" s="56"/>
      <c r="DU8" s="56"/>
      <c r="DV8" s="56"/>
      <c r="DW8" s="56"/>
      <c r="DX8" s="56"/>
      <c r="DY8" s="56"/>
      <c r="DZ8" s="56"/>
      <c r="EA8" s="56"/>
      <c r="EB8" s="56"/>
      <c r="EC8" s="56"/>
      <c r="ED8" s="56"/>
      <c r="EE8" s="56"/>
      <c r="EF8" s="56"/>
      <c r="EG8" s="56"/>
      <c r="EH8" s="56"/>
      <c r="EI8" s="56"/>
      <c r="EJ8" s="56"/>
      <c r="EK8" s="56"/>
      <c r="EL8" s="56"/>
      <c r="EM8" s="56"/>
      <c r="EN8" s="56"/>
      <c r="EO8" s="56"/>
      <c r="EP8" s="56"/>
      <c r="EQ8" s="56"/>
      <c r="ER8" s="56"/>
      <c r="ES8" s="56"/>
      <c r="ET8" s="56"/>
      <c r="EU8" s="56"/>
      <c r="EV8" s="56"/>
      <c r="EW8" s="56"/>
      <c r="EX8" s="56"/>
      <c r="EY8" s="56"/>
      <c r="EZ8" s="56"/>
      <c r="FA8" s="56"/>
      <c r="FB8" s="56"/>
      <c r="FC8" s="56"/>
      <c r="FD8" s="56"/>
      <c r="FE8" s="56"/>
      <c r="FF8" s="56"/>
      <c r="FG8" s="56"/>
      <c r="FH8" s="56"/>
      <c r="FI8" s="56"/>
      <c r="FJ8" s="56"/>
      <c r="FK8" s="56"/>
      <c r="FL8" s="56"/>
      <c r="FM8" s="56"/>
      <c r="FN8" s="56"/>
      <c r="FO8" s="56"/>
      <c r="FP8" s="56"/>
      <c r="FQ8" s="56"/>
      <c r="FR8" s="56"/>
      <c r="FS8" s="56"/>
      <c r="FT8" s="56"/>
      <c r="FU8" s="56"/>
      <c r="FV8" s="56"/>
      <c r="FW8" s="56"/>
      <c r="FX8" s="56"/>
      <c r="FY8" s="56"/>
      <c r="FZ8" s="56"/>
      <c r="GA8" s="56"/>
      <c r="GB8" s="56"/>
      <c r="GC8" s="56"/>
      <c r="GD8" s="56"/>
      <c r="GE8" s="56"/>
      <c r="GF8" s="56"/>
      <c r="GG8" s="56"/>
      <c r="GH8" s="56"/>
      <c r="GI8" s="56"/>
      <c r="GJ8" s="56"/>
      <c r="GK8" s="56"/>
      <c r="GL8" s="56"/>
      <c r="GM8" s="56"/>
      <c r="GN8" s="56"/>
      <c r="GO8" s="56"/>
    </row>
    <row r="9" spans="1:197" ht="15.75">
      <c r="A9" s="92"/>
      <c r="B9" s="768"/>
      <c r="C9" s="58"/>
      <c r="D9" s="72"/>
      <c r="E9" s="72"/>
      <c r="F9" s="72"/>
      <c r="G9" s="72"/>
      <c r="H9" s="72"/>
      <c r="I9" s="72"/>
      <c r="J9" s="72"/>
      <c r="K9" s="72"/>
      <c r="L9" s="72"/>
      <c r="M9" s="58"/>
      <c r="N9" s="83"/>
      <c r="O9" s="56"/>
      <c r="P9" s="56"/>
      <c r="Q9" s="56"/>
      <c r="R9" s="56"/>
      <c r="S9" s="84"/>
      <c r="T9" s="76"/>
      <c r="U9" s="85"/>
      <c r="V9" s="85"/>
      <c r="W9" s="76"/>
      <c r="X9" s="86"/>
      <c r="Y9" s="56"/>
      <c r="Z9" s="56"/>
      <c r="AA9" s="56"/>
      <c r="AB9" s="74"/>
      <c r="AC9" s="91"/>
      <c r="AD9" s="78"/>
      <c r="AE9" s="68"/>
      <c r="AF9" s="79"/>
      <c r="AG9" s="80"/>
      <c r="AH9" s="80"/>
      <c r="AI9" s="56"/>
      <c r="AJ9" s="80"/>
      <c r="AK9" s="80"/>
      <c r="AL9" s="80"/>
      <c r="AM9" s="56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56"/>
      <c r="BJ9" s="57"/>
      <c r="BK9" s="81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  <c r="EK9" s="56"/>
      <c r="EL9" s="56"/>
      <c r="EM9" s="56"/>
      <c r="EN9" s="56"/>
      <c r="EO9" s="56"/>
      <c r="EP9" s="56"/>
      <c r="EQ9" s="56"/>
      <c r="ER9" s="56"/>
      <c r="ES9" s="56"/>
      <c r="ET9" s="56"/>
      <c r="EU9" s="56"/>
      <c r="EV9" s="56"/>
      <c r="EW9" s="56"/>
      <c r="EX9" s="56"/>
      <c r="EY9" s="56"/>
      <c r="EZ9" s="56"/>
      <c r="FA9" s="56"/>
      <c r="FB9" s="56"/>
      <c r="FC9" s="56"/>
      <c r="FD9" s="56"/>
      <c r="FE9" s="56"/>
      <c r="FF9" s="56"/>
      <c r="FG9" s="56"/>
      <c r="FH9" s="56"/>
      <c r="FI9" s="56"/>
      <c r="FJ9" s="56"/>
      <c r="FK9" s="56"/>
      <c r="FL9" s="56"/>
      <c r="FM9" s="56"/>
      <c r="FN9" s="56"/>
      <c r="FO9" s="56"/>
      <c r="FP9" s="56"/>
      <c r="FQ9" s="56"/>
      <c r="FR9" s="56"/>
      <c r="FS9" s="56"/>
      <c r="FT9" s="56"/>
      <c r="FU9" s="56"/>
      <c r="FV9" s="56"/>
      <c r="FW9" s="56"/>
      <c r="FX9" s="56"/>
      <c r="FY9" s="56"/>
      <c r="FZ9" s="56"/>
      <c r="GA9" s="56"/>
      <c r="GB9" s="56"/>
      <c r="GC9" s="56"/>
      <c r="GD9" s="56"/>
      <c r="GE9" s="56"/>
      <c r="GF9" s="56"/>
      <c r="GG9" s="56"/>
      <c r="GH9" s="56"/>
      <c r="GI9" s="56"/>
      <c r="GJ9" s="56"/>
      <c r="GK9" s="56"/>
      <c r="GL9" s="56"/>
      <c r="GM9" s="56"/>
      <c r="GN9" s="56"/>
      <c r="GO9" s="56"/>
    </row>
    <row r="10" spans="1:197" ht="15.75">
      <c r="A10" s="92"/>
      <c r="B10" s="57"/>
      <c r="C10" s="58"/>
      <c r="D10" s="58"/>
      <c r="E10" s="58"/>
      <c r="F10" s="58"/>
      <c r="G10" s="58"/>
      <c r="H10" s="58"/>
      <c r="I10" s="58"/>
      <c r="J10" s="72"/>
      <c r="K10" s="72"/>
      <c r="L10" s="72"/>
      <c r="M10" s="58"/>
      <c r="N10" s="83"/>
      <c r="O10" s="56"/>
      <c r="P10" s="56"/>
      <c r="Q10" s="56"/>
      <c r="R10" s="56"/>
      <c r="S10" s="84"/>
      <c r="T10" s="76"/>
      <c r="U10" s="85"/>
      <c r="V10" s="85"/>
      <c r="W10" s="76"/>
      <c r="X10" s="86"/>
      <c r="Y10" s="56"/>
      <c r="Z10" s="56"/>
      <c r="AA10" s="74"/>
      <c r="AB10" s="74"/>
      <c r="AC10" s="91"/>
      <c r="AD10" s="78"/>
      <c r="AE10" s="68"/>
      <c r="AF10" s="79"/>
      <c r="AG10" s="80"/>
      <c r="AH10" s="80"/>
      <c r="AI10" s="56"/>
      <c r="AJ10" s="80"/>
      <c r="AK10" s="80"/>
      <c r="AL10" s="80"/>
      <c r="AM10" s="56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56"/>
      <c r="BJ10" s="57"/>
      <c r="BK10" s="81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6"/>
      <c r="DP10" s="56"/>
      <c r="DQ10" s="56"/>
      <c r="DR10" s="56"/>
      <c r="DS10" s="56"/>
      <c r="DT10" s="56"/>
      <c r="DU10" s="56"/>
      <c r="DV10" s="56"/>
      <c r="DW10" s="56"/>
      <c r="DX10" s="56"/>
      <c r="DY10" s="56"/>
      <c r="DZ10" s="56"/>
      <c r="EA10" s="56"/>
      <c r="EB10" s="56"/>
      <c r="EC10" s="56"/>
      <c r="ED10" s="56"/>
      <c r="EE10" s="56"/>
      <c r="EF10" s="56"/>
      <c r="EG10" s="56"/>
      <c r="EH10" s="56"/>
      <c r="EI10" s="56"/>
      <c r="EJ10" s="56"/>
      <c r="EK10" s="56"/>
      <c r="EL10" s="56"/>
      <c r="EM10" s="56"/>
      <c r="EN10" s="56"/>
      <c r="EO10" s="56"/>
      <c r="EP10" s="56"/>
      <c r="EQ10" s="56"/>
      <c r="ER10" s="56"/>
      <c r="ES10" s="56"/>
      <c r="ET10" s="56"/>
      <c r="EU10" s="56"/>
      <c r="EV10" s="56"/>
      <c r="EW10" s="56"/>
      <c r="EX10" s="56"/>
      <c r="EY10" s="56"/>
      <c r="EZ10" s="56"/>
      <c r="FA10" s="56"/>
      <c r="FB10" s="56"/>
      <c r="FC10" s="56"/>
      <c r="FD10" s="56"/>
      <c r="FE10" s="56"/>
      <c r="FF10" s="56"/>
      <c r="FG10" s="56"/>
      <c r="FH10" s="56"/>
      <c r="FI10" s="56"/>
      <c r="FJ10" s="56"/>
      <c r="FK10" s="56"/>
      <c r="FL10" s="56"/>
      <c r="FM10" s="56"/>
      <c r="FN10" s="56"/>
      <c r="FO10" s="56"/>
      <c r="FP10" s="56"/>
      <c r="FQ10" s="56"/>
      <c r="FR10" s="56"/>
      <c r="FS10" s="56"/>
      <c r="FT10" s="56"/>
      <c r="FU10" s="56"/>
      <c r="FV10" s="56"/>
      <c r="FW10" s="56"/>
      <c r="FX10" s="56"/>
      <c r="FY10" s="56"/>
      <c r="FZ10" s="56"/>
      <c r="GA10" s="56"/>
      <c r="GB10" s="56"/>
      <c r="GC10" s="56"/>
      <c r="GD10" s="56"/>
      <c r="GE10" s="56"/>
      <c r="GF10" s="56"/>
      <c r="GG10" s="56"/>
      <c r="GH10" s="56"/>
      <c r="GI10" s="56"/>
      <c r="GJ10" s="56"/>
      <c r="GK10" s="56"/>
      <c r="GL10" s="56"/>
      <c r="GM10" s="56"/>
      <c r="GN10" s="56"/>
      <c r="GO10" s="56"/>
    </row>
    <row r="11" spans="1:197" ht="18">
      <c r="A11" s="93"/>
      <c r="B11" s="57"/>
      <c r="C11" s="58"/>
      <c r="D11" s="58"/>
      <c r="E11" s="58"/>
      <c r="H11" s="94"/>
      <c r="I11" s="94"/>
      <c r="J11" s="94"/>
      <c r="K11" s="95">
        <v>1</v>
      </c>
      <c r="L11" s="95">
        <v>2</v>
      </c>
      <c r="M11" s="95">
        <v>3</v>
      </c>
      <c r="N11" s="96"/>
      <c r="O11" s="56"/>
      <c r="P11" s="792"/>
      <c r="Q11" s="792"/>
      <c r="R11" s="56"/>
      <c r="S11" s="112"/>
      <c r="T11" s="88"/>
      <c r="U11" s="99"/>
      <c r="V11" s="99"/>
      <c r="W11" s="88"/>
      <c r="X11" s="74"/>
      <c r="Y11" s="56"/>
      <c r="Z11" s="56"/>
      <c r="AA11" s="56"/>
      <c r="AB11" s="77"/>
      <c r="AC11" s="91"/>
      <c r="AD11" s="78"/>
      <c r="AE11" s="68"/>
      <c r="AF11" s="79"/>
      <c r="AG11" s="80"/>
      <c r="AH11" s="80"/>
      <c r="AI11" s="56"/>
      <c r="AJ11" s="80"/>
      <c r="AK11" s="80"/>
      <c r="AL11" s="80"/>
      <c r="AM11" s="56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56"/>
      <c r="BJ11" s="57"/>
      <c r="BK11" s="81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V11" s="56"/>
      <c r="DW11" s="56"/>
      <c r="DX11" s="56"/>
      <c r="DY11" s="56"/>
      <c r="DZ11" s="56"/>
      <c r="EA11" s="56"/>
      <c r="EB11" s="56"/>
      <c r="EC11" s="56"/>
      <c r="ED11" s="56"/>
      <c r="EE11" s="56"/>
      <c r="EF11" s="56"/>
      <c r="EG11" s="56"/>
      <c r="EH11" s="56"/>
      <c r="EI11" s="56"/>
      <c r="EJ11" s="56"/>
      <c r="EK11" s="56"/>
      <c r="EL11" s="56"/>
      <c r="EM11" s="56"/>
      <c r="EN11" s="56"/>
      <c r="EO11" s="56"/>
      <c r="EP11" s="56"/>
      <c r="EQ11" s="56"/>
      <c r="ER11" s="56"/>
      <c r="ES11" s="56"/>
      <c r="ET11" s="56"/>
      <c r="EU11" s="56"/>
      <c r="EV11" s="56"/>
      <c r="EW11" s="56"/>
      <c r="EX11" s="56"/>
      <c r="EY11" s="56"/>
      <c r="EZ11" s="56"/>
      <c r="FA11" s="56"/>
      <c r="FB11" s="56"/>
      <c r="FC11" s="56"/>
      <c r="FD11" s="56"/>
      <c r="FE11" s="56"/>
      <c r="FF11" s="56"/>
      <c r="FG11" s="56"/>
      <c r="FH11" s="56"/>
      <c r="FI11" s="56"/>
      <c r="FJ11" s="56"/>
      <c r="FK11" s="56"/>
      <c r="FL11" s="56"/>
      <c r="FM11" s="56"/>
      <c r="FN11" s="56"/>
      <c r="FO11" s="56"/>
      <c r="FP11" s="56"/>
      <c r="FQ11" s="56"/>
      <c r="FR11" s="56"/>
      <c r="FS11" s="56"/>
      <c r="FT11" s="56"/>
      <c r="FU11" s="56"/>
      <c r="FV11" s="56"/>
      <c r="FW11" s="56"/>
      <c r="FX11" s="56"/>
      <c r="FY11" s="56"/>
      <c r="FZ11" s="56"/>
      <c r="GA11" s="56"/>
      <c r="GB11" s="56"/>
      <c r="GC11" s="56"/>
      <c r="GD11" s="56"/>
      <c r="GE11" s="56"/>
      <c r="GF11" s="56"/>
      <c r="GG11" s="56"/>
      <c r="GH11" s="56"/>
      <c r="GI11" s="56"/>
      <c r="GJ11" s="56"/>
      <c r="GK11" s="56"/>
      <c r="GL11" s="56"/>
      <c r="GM11" s="56"/>
      <c r="GN11" s="56"/>
      <c r="GO11" s="56"/>
    </row>
    <row r="12" spans="1:197" ht="20.25">
      <c r="A12" s="68"/>
      <c r="B12" s="57"/>
      <c r="C12" s="58"/>
      <c r="D12" s="58"/>
      <c r="E12" s="58"/>
      <c r="H12" s="100"/>
      <c r="J12" s="101" t="s">
        <v>128</v>
      </c>
      <c r="K12" s="102" t="s">
        <v>129</v>
      </c>
      <c r="L12" s="102" t="s">
        <v>129</v>
      </c>
      <c r="M12" s="102" t="s">
        <v>129</v>
      </c>
      <c r="N12" s="797"/>
      <c r="O12" s="104"/>
      <c r="P12" s="88"/>
      <c r="Q12" s="88"/>
      <c r="R12" s="270"/>
      <c r="S12" s="793"/>
      <c r="T12" s="106"/>
      <c r="U12" s="88"/>
      <c r="V12" s="88"/>
      <c r="W12" s="106"/>
      <c r="X12" s="107"/>
      <c r="Y12" s="56"/>
      <c r="Z12" s="56"/>
      <c r="AA12" s="74"/>
      <c r="AB12" s="56"/>
      <c r="AC12" s="91"/>
      <c r="AD12" s="78"/>
      <c r="AE12" s="68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56"/>
      <c r="BJ12" s="57"/>
      <c r="BK12" s="81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  <c r="CZ12" s="56"/>
      <c r="DA12" s="56"/>
      <c r="DB12" s="56"/>
      <c r="DC12" s="56"/>
      <c r="DD12" s="56"/>
      <c r="DE12" s="56"/>
      <c r="DF12" s="56"/>
      <c r="DG12" s="56"/>
      <c r="DH12" s="56"/>
      <c r="DI12" s="56"/>
      <c r="DJ12" s="56"/>
      <c r="DK12" s="56"/>
      <c r="DL12" s="56"/>
      <c r="DM12" s="56"/>
      <c r="DN12" s="56"/>
      <c r="DO12" s="56"/>
      <c r="DP12" s="56"/>
      <c r="DQ12" s="56"/>
      <c r="DR12" s="56"/>
      <c r="DS12" s="56"/>
      <c r="DT12" s="56"/>
      <c r="DU12" s="56"/>
      <c r="DV12" s="56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G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  <c r="FE12" s="56"/>
      <c r="FF12" s="56"/>
      <c r="FG12" s="56"/>
      <c r="FH12" s="56"/>
      <c r="FI12" s="56"/>
      <c r="FJ12" s="56"/>
      <c r="FK12" s="56"/>
      <c r="FL12" s="56"/>
      <c r="FM12" s="56"/>
      <c r="FN12" s="56"/>
      <c r="FO12" s="56"/>
      <c r="FP12" s="56"/>
      <c r="FQ12" s="56"/>
      <c r="FR12" s="56"/>
      <c r="FS12" s="56"/>
      <c r="FT12" s="56"/>
      <c r="FU12" s="56"/>
      <c r="FV12" s="56"/>
      <c r="FW12" s="56"/>
      <c r="FX12" s="56"/>
      <c r="FY12" s="56"/>
      <c r="FZ12" s="56"/>
      <c r="GA12" s="56"/>
      <c r="GB12" s="56"/>
      <c r="GC12" s="56"/>
      <c r="GD12" s="56"/>
      <c r="GE12" s="56"/>
      <c r="GF12" s="56"/>
      <c r="GG12" s="56"/>
      <c r="GH12" s="56"/>
      <c r="GI12" s="56"/>
      <c r="GJ12" s="56"/>
      <c r="GK12" s="56"/>
      <c r="GL12" s="56"/>
      <c r="GM12" s="56"/>
      <c r="GN12" s="56"/>
      <c r="GO12" s="56"/>
    </row>
    <row r="13" spans="1:197" ht="20.25">
      <c r="A13" s="108"/>
      <c r="B13" s="58"/>
      <c r="C13" s="58"/>
      <c r="D13" s="58"/>
      <c r="H13" s="1"/>
      <c r="I13" s="95"/>
      <c r="J13" s="102"/>
      <c r="K13" s="109">
        <v>25</v>
      </c>
      <c r="L13" s="110">
        <v>25</v>
      </c>
      <c r="M13" s="111">
        <v>25</v>
      </c>
      <c r="N13" s="88"/>
      <c r="O13" s="104"/>
      <c r="P13" s="792"/>
      <c r="Q13" s="792"/>
      <c r="R13" s="270"/>
      <c r="S13" s="112"/>
      <c r="T13" s="793"/>
      <c r="U13" s="106"/>
      <c r="V13" s="106"/>
      <c r="W13" s="113"/>
      <c r="X13" s="112"/>
      <c r="Y13" s="56"/>
      <c r="Z13" s="56"/>
      <c r="AA13" s="56"/>
      <c r="AB13" s="56"/>
      <c r="AC13" s="91"/>
      <c r="AD13" s="78"/>
      <c r="AE13" s="68"/>
      <c r="AF13" s="79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56"/>
      <c r="BJ13" s="57"/>
      <c r="BK13" s="81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  <c r="CX13" s="56"/>
      <c r="CY13" s="56"/>
      <c r="CZ13" s="56"/>
      <c r="DA13" s="56"/>
      <c r="DB13" s="56"/>
      <c r="DC13" s="56"/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56"/>
      <c r="DQ13" s="56"/>
      <c r="DR13" s="56"/>
      <c r="DS13" s="56"/>
      <c r="DT13" s="56"/>
      <c r="DU13" s="56"/>
      <c r="DV13" s="56"/>
      <c r="DW13" s="56"/>
      <c r="DX13" s="56"/>
      <c r="DY13" s="56"/>
      <c r="DZ13" s="56"/>
      <c r="EA13" s="56"/>
      <c r="EB13" s="56"/>
      <c r="EC13" s="56"/>
      <c r="ED13" s="56"/>
      <c r="EE13" s="56"/>
      <c r="EF13" s="56"/>
      <c r="EG13" s="56"/>
      <c r="EH13" s="56"/>
      <c r="EI13" s="56"/>
      <c r="EJ13" s="56"/>
      <c r="EK13" s="56"/>
      <c r="EL13" s="56"/>
      <c r="EM13" s="56"/>
      <c r="EN13" s="56"/>
      <c r="EO13" s="56"/>
      <c r="EP13" s="56"/>
      <c r="EQ13" s="56"/>
      <c r="ER13" s="56"/>
      <c r="ES13" s="56"/>
      <c r="ET13" s="56"/>
      <c r="EU13" s="56"/>
      <c r="EV13" s="56"/>
      <c r="EW13" s="56"/>
      <c r="EX13" s="56"/>
      <c r="EY13" s="56"/>
      <c r="EZ13" s="56"/>
      <c r="FA13" s="56"/>
      <c r="FB13" s="56"/>
      <c r="FC13" s="56"/>
      <c r="FD13" s="56"/>
      <c r="FE13" s="56"/>
      <c r="FF13" s="56"/>
      <c r="FG13" s="56"/>
      <c r="FH13" s="56"/>
      <c r="FI13" s="56"/>
      <c r="FJ13" s="56"/>
      <c r="FK13" s="56"/>
      <c r="FL13" s="56"/>
      <c r="FM13" s="56"/>
      <c r="FN13" s="56"/>
      <c r="FO13" s="56"/>
      <c r="FP13" s="56"/>
      <c r="FQ13" s="56"/>
      <c r="FR13" s="56"/>
      <c r="FS13" s="56"/>
      <c r="FT13" s="56"/>
      <c r="FU13" s="56"/>
      <c r="FV13" s="56"/>
      <c r="FW13" s="56"/>
      <c r="FX13" s="56"/>
      <c r="FY13" s="56"/>
      <c r="FZ13" s="56"/>
      <c r="GA13" s="56"/>
      <c r="GB13" s="56"/>
      <c r="GC13" s="56"/>
      <c r="GD13" s="56"/>
      <c r="GE13" s="56"/>
      <c r="GF13" s="56"/>
      <c r="GG13" s="56"/>
      <c r="GH13" s="56"/>
      <c r="GI13" s="56"/>
      <c r="GJ13" s="56"/>
      <c r="GK13" s="56"/>
      <c r="GL13" s="56"/>
      <c r="GM13" s="56"/>
      <c r="GN13" s="56"/>
      <c r="GO13" s="56"/>
    </row>
    <row r="14" spans="1:197" ht="20.25">
      <c r="A14" s="114" t="s">
        <v>131</v>
      </c>
      <c r="B14" s="58"/>
      <c r="C14" s="58"/>
      <c r="D14" s="58"/>
      <c r="H14" s="1"/>
      <c r="I14" s="95"/>
      <c r="J14" s="102"/>
      <c r="K14" s="115">
        <v>25</v>
      </c>
      <c r="L14" s="116">
        <v>25</v>
      </c>
      <c r="M14" s="117">
        <v>25</v>
      </c>
      <c r="N14" s="798"/>
      <c r="O14" s="104"/>
      <c r="P14" s="88"/>
      <c r="Q14" s="88"/>
      <c r="R14" s="270"/>
      <c r="S14" s="793"/>
      <c r="T14" s="793"/>
      <c r="U14" s="768"/>
      <c r="V14" s="229"/>
      <c r="W14" s="105"/>
      <c r="Y14" s="56"/>
      <c r="Z14" s="56"/>
      <c r="AA14" s="74"/>
      <c r="AB14" s="56"/>
      <c r="AC14" s="91"/>
      <c r="AD14" s="78"/>
      <c r="AE14" s="68"/>
      <c r="AF14" s="79"/>
      <c r="AG14" s="80"/>
      <c r="AH14" s="80"/>
      <c r="AI14" s="80"/>
      <c r="AJ14" s="80"/>
      <c r="AK14" s="80"/>
      <c r="AL14" s="80"/>
      <c r="AM14" s="56"/>
      <c r="AN14" s="56"/>
      <c r="AO14" s="56"/>
      <c r="AP14" s="56"/>
      <c r="AQ14" s="56"/>
      <c r="AR14" s="56"/>
      <c r="AS14" s="56"/>
      <c r="AT14" s="56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56"/>
      <c r="BJ14" s="57"/>
      <c r="BK14" s="81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  <c r="CX14" s="56"/>
      <c r="CY14" s="56"/>
      <c r="CZ14" s="56"/>
      <c r="DA14" s="56"/>
      <c r="DB14" s="56"/>
      <c r="DC14" s="56"/>
      <c r="DD14" s="56"/>
      <c r="DE14" s="56"/>
      <c r="DF14" s="56"/>
      <c r="DG14" s="56"/>
      <c r="DH14" s="56"/>
      <c r="DI14" s="56"/>
      <c r="DJ14" s="56"/>
      <c r="DK14" s="56"/>
      <c r="DL14" s="56"/>
      <c r="DM14" s="56"/>
      <c r="DN14" s="56"/>
      <c r="DO14" s="56"/>
      <c r="DP14" s="56"/>
      <c r="DQ14" s="56"/>
      <c r="DR14" s="56"/>
      <c r="DS14" s="56"/>
      <c r="DT14" s="56"/>
      <c r="DU14" s="56"/>
      <c r="DV14" s="56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G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6"/>
      <c r="FC14" s="56"/>
      <c r="FD14" s="56"/>
      <c r="FE14" s="56"/>
      <c r="FF14" s="56"/>
      <c r="FG14" s="56"/>
      <c r="FH14" s="56"/>
      <c r="FI14" s="56"/>
      <c r="FJ14" s="56"/>
      <c r="FK14" s="56"/>
      <c r="FL14" s="56"/>
      <c r="FM14" s="56"/>
      <c r="FN14" s="56"/>
      <c r="FO14" s="56"/>
      <c r="FP14" s="56"/>
      <c r="FQ14" s="56"/>
      <c r="FR14" s="56"/>
      <c r="FS14" s="56"/>
      <c r="FT14" s="56"/>
      <c r="FU14" s="56"/>
      <c r="FV14" s="56"/>
      <c r="FW14" s="56"/>
      <c r="FX14" s="56"/>
      <c r="FY14" s="56"/>
      <c r="FZ14" s="56"/>
      <c r="GA14" s="56"/>
      <c r="GB14" s="56"/>
      <c r="GC14" s="56"/>
      <c r="GD14" s="56"/>
      <c r="GE14" s="56"/>
      <c r="GF14" s="56"/>
      <c r="GG14" s="56"/>
      <c r="GH14" s="56"/>
      <c r="GI14" s="56"/>
      <c r="GJ14" s="56"/>
      <c r="GK14" s="56"/>
      <c r="GL14" s="56"/>
      <c r="GM14" s="56"/>
      <c r="GN14" s="56"/>
      <c r="GO14" s="56"/>
    </row>
    <row r="15" spans="1:197" ht="21" thickBot="1">
      <c r="A15" s="114"/>
      <c r="B15" s="58"/>
      <c r="C15" s="58"/>
      <c r="D15" s="58"/>
      <c r="E15" s="58"/>
      <c r="H15" s="100"/>
      <c r="J15" s="95"/>
      <c r="K15" s="102" t="s">
        <v>129</v>
      </c>
      <c r="L15" s="102" t="s">
        <v>129</v>
      </c>
      <c r="M15" s="102" t="s">
        <v>129</v>
      </c>
      <c r="N15" s="96"/>
      <c r="O15" s="74"/>
      <c r="P15" s="792"/>
      <c r="Q15" s="792"/>
      <c r="R15" s="56"/>
      <c r="S15" s="112"/>
      <c r="T15" s="793"/>
      <c r="U15" s="768"/>
      <c r="V15" s="357"/>
      <c r="W15" s="105"/>
      <c r="Y15" s="56"/>
      <c r="Z15" s="56"/>
      <c r="AA15" s="56"/>
      <c r="AB15" s="77"/>
      <c r="AC15" s="91"/>
      <c r="AD15" s="78"/>
      <c r="AE15" s="68"/>
      <c r="AF15" s="79"/>
      <c r="AG15" s="80"/>
      <c r="AH15" s="80"/>
      <c r="AI15" s="80"/>
      <c r="AJ15" s="80"/>
      <c r="AK15" s="80"/>
      <c r="AL15" s="80"/>
      <c r="AM15" s="56"/>
      <c r="AN15" s="56"/>
      <c r="AO15" s="56"/>
      <c r="AP15" s="56"/>
      <c r="AQ15" s="56"/>
      <c r="AR15" s="56"/>
      <c r="AS15" s="56"/>
      <c r="AT15" s="56"/>
      <c r="AU15" s="80"/>
      <c r="AV15" s="80"/>
      <c r="AW15" s="80"/>
      <c r="AX15" s="80"/>
      <c r="AY15" s="80"/>
      <c r="AZ15" s="56"/>
      <c r="BA15" s="56"/>
      <c r="BB15" s="56"/>
      <c r="BC15" s="80"/>
      <c r="BD15" s="80"/>
      <c r="BE15" s="80"/>
      <c r="BF15" s="80"/>
      <c r="BG15" s="80"/>
      <c r="BH15" s="80"/>
      <c r="BI15" s="56"/>
      <c r="BJ15" s="57"/>
      <c r="BK15" s="81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  <c r="CX15" s="56"/>
      <c r="CY15" s="56"/>
      <c r="CZ15" s="56"/>
      <c r="DA15" s="56"/>
      <c r="DB15" s="56"/>
      <c r="DC15" s="56"/>
      <c r="DD15" s="56"/>
      <c r="DE15" s="56"/>
      <c r="DF15" s="56"/>
      <c r="DG15" s="56"/>
      <c r="DH15" s="56"/>
      <c r="DI15" s="56"/>
      <c r="DJ15" s="56"/>
      <c r="DK15" s="56"/>
      <c r="DL15" s="56"/>
      <c r="DM15" s="56"/>
      <c r="DN15" s="56"/>
      <c r="DO15" s="56"/>
      <c r="DP15" s="56"/>
      <c r="DQ15" s="56"/>
      <c r="DR15" s="56"/>
      <c r="DS15" s="56"/>
      <c r="DT15" s="56"/>
      <c r="DU15" s="56"/>
      <c r="DV15" s="56"/>
      <c r="DW15" s="56"/>
      <c r="DX15" s="56"/>
      <c r="DY15" s="56"/>
      <c r="DZ15" s="56"/>
      <c r="EA15" s="56"/>
      <c r="EB15" s="56"/>
      <c r="EC15" s="56"/>
      <c r="ED15" s="56"/>
      <c r="EE15" s="56"/>
      <c r="EF15" s="56"/>
      <c r="EG15" s="56"/>
      <c r="EH15" s="56"/>
      <c r="EI15" s="56"/>
      <c r="EJ15" s="56"/>
      <c r="EK15" s="56"/>
      <c r="EL15" s="56"/>
      <c r="EM15" s="56"/>
      <c r="EN15" s="56"/>
      <c r="EO15" s="56"/>
      <c r="EP15" s="56"/>
      <c r="EQ15" s="56"/>
      <c r="ER15" s="56"/>
      <c r="ES15" s="56"/>
      <c r="ET15" s="56"/>
      <c r="EU15" s="56"/>
      <c r="EV15" s="56"/>
      <c r="EW15" s="56"/>
      <c r="EX15" s="56"/>
      <c r="EY15" s="56"/>
      <c r="EZ15" s="56"/>
      <c r="FA15" s="56"/>
      <c r="FB15" s="56"/>
      <c r="FC15" s="56"/>
      <c r="FD15" s="56"/>
      <c r="FE15" s="56"/>
      <c r="FF15" s="56"/>
      <c r="FG15" s="56"/>
      <c r="FH15" s="56"/>
      <c r="FI15" s="56"/>
      <c r="FJ15" s="56"/>
      <c r="FK15" s="56"/>
      <c r="FL15" s="56"/>
      <c r="FM15" s="56"/>
      <c r="FN15" s="56"/>
      <c r="FO15" s="56"/>
      <c r="FP15" s="56"/>
      <c r="FQ15" s="56"/>
      <c r="FR15" s="56"/>
      <c r="FS15" s="56"/>
      <c r="FT15" s="56"/>
      <c r="FU15" s="56"/>
      <c r="FV15" s="56"/>
      <c r="FW15" s="56"/>
      <c r="FX15" s="56"/>
      <c r="FY15" s="56"/>
      <c r="FZ15" s="56"/>
      <c r="GA15" s="56"/>
      <c r="GB15" s="56"/>
      <c r="GC15" s="56"/>
      <c r="GD15" s="56"/>
      <c r="GE15" s="56"/>
      <c r="GF15" s="56"/>
      <c r="GG15" s="56"/>
      <c r="GH15" s="56"/>
      <c r="GI15" s="56"/>
      <c r="GJ15" s="56"/>
      <c r="GK15" s="56"/>
      <c r="GL15" s="56"/>
      <c r="GM15" s="56"/>
      <c r="GN15" s="56"/>
      <c r="GO15" s="56"/>
    </row>
    <row r="16" spans="1:197" ht="15.75">
      <c r="A16" s="122"/>
      <c r="B16" s="58"/>
      <c r="C16" s="56"/>
      <c r="D16" s="58"/>
      <c r="E16" s="58"/>
      <c r="F16" s="58"/>
      <c r="G16" s="58"/>
      <c r="H16" s="94"/>
      <c r="I16" s="94"/>
      <c r="J16" s="94"/>
      <c r="K16" s="95">
        <v>6</v>
      </c>
      <c r="L16" s="95">
        <v>5</v>
      </c>
      <c r="M16" s="95">
        <v>4</v>
      </c>
      <c r="N16" s="799"/>
      <c r="O16" s="88"/>
      <c r="P16" s="794"/>
      <c r="Q16" s="270"/>
      <c r="R16" s="56"/>
      <c r="S16" s="793"/>
      <c r="T16" s="793"/>
      <c r="U16" s="229"/>
      <c r="V16" s="357"/>
      <c r="W16" s="105"/>
      <c r="Y16" s="56"/>
      <c r="Z16" s="56"/>
      <c r="AA16" s="74"/>
      <c r="AB16" s="77"/>
      <c r="AC16" s="874" t="s">
        <v>136</v>
      </c>
      <c r="AD16" s="875"/>
      <c r="AE16" s="58"/>
      <c r="AF16" s="79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56"/>
      <c r="BA16" s="56"/>
      <c r="BB16" s="56"/>
      <c r="BC16" s="80"/>
      <c r="BD16" s="80"/>
      <c r="BE16" s="80"/>
      <c r="BF16" s="80"/>
      <c r="BG16" s="80"/>
      <c r="BH16" s="80"/>
      <c r="BI16" s="56"/>
      <c r="BJ16" s="57"/>
      <c r="BK16" s="81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/>
      <c r="DB16" s="56"/>
      <c r="DC16" s="56"/>
      <c r="DD16" s="56"/>
      <c r="DE16" s="56"/>
      <c r="DF16" s="56"/>
      <c r="DG16" s="56"/>
      <c r="DH16" s="56"/>
      <c r="DI16" s="56"/>
      <c r="DJ16" s="56"/>
      <c r="DK16" s="56"/>
      <c r="DL16" s="56"/>
      <c r="DM16" s="56"/>
      <c r="DN16" s="56"/>
      <c r="DO16" s="56"/>
      <c r="DP16" s="56"/>
      <c r="DQ16" s="56"/>
      <c r="DR16" s="56"/>
      <c r="DS16" s="56"/>
      <c r="DT16" s="56"/>
      <c r="DU16" s="56"/>
      <c r="DV16" s="56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G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  <c r="FE16" s="56"/>
      <c r="FF16" s="56"/>
      <c r="FG16" s="56"/>
      <c r="FH16" s="56"/>
      <c r="FI16" s="56"/>
      <c r="FJ16" s="56"/>
      <c r="FK16" s="56"/>
      <c r="FL16" s="56"/>
      <c r="FM16" s="56"/>
      <c r="FN16" s="56"/>
      <c r="FO16" s="56"/>
      <c r="FP16" s="56"/>
      <c r="FQ16" s="56"/>
      <c r="FR16" s="56"/>
      <c r="FS16" s="56"/>
      <c r="FT16" s="56"/>
      <c r="FU16" s="56"/>
      <c r="FV16" s="56"/>
      <c r="FW16" s="56"/>
      <c r="FX16" s="56"/>
      <c r="FY16" s="56"/>
      <c r="FZ16" s="56"/>
      <c r="GA16" s="56"/>
      <c r="GB16" s="56"/>
      <c r="GC16" s="56"/>
      <c r="GD16" s="56"/>
      <c r="GE16" s="56"/>
      <c r="GF16" s="56"/>
      <c r="GG16" s="56"/>
      <c r="GH16" s="56"/>
      <c r="GI16" s="56"/>
      <c r="GJ16" s="56"/>
      <c r="GK16" s="56"/>
      <c r="GL16" s="56"/>
      <c r="GM16" s="56"/>
      <c r="GN16" s="56"/>
      <c r="GO16" s="56"/>
    </row>
    <row r="17" spans="1:197" ht="16.5" thickBot="1">
      <c r="A17" s="68"/>
      <c r="B17" s="58"/>
      <c r="C17" s="56"/>
      <c r="D17" s="58"/>
      <c r="E17" s="58"/>
      <c r="J17" s="58"/>
      <c r="K17" s="72"/>
      <c r="L17" s="72"/>
      <c r="M17" s="58"/>
      <c r="N17" s="799"/>
      <c r="O17" s="88"/>
      <c r="P17" s="88"/>
      <c r="Q17" s="74"/>
      <c r="R17" s="125"/>
      <c r="S17" s="112"/>
      <c r="T17" s="793"/>
      <c r="U17" s="357"/>
      <c r="V17" s="357"/>
      <c r="W17" s="105"/>
      <c r="Y17" s="126"/>
      <c r="Z17" s="126"/>
      <c r="AA17" s="126"/>
      <c r="AB17" s="127"/>
      <c r="AC17" s="876"/>
      <c r="AD17" s="877"/>
      <c r="AE17" s="58"/>
      <c r="AF17" s="79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56"/>
      <c r="BA17" s="56"/>
      <c r="BB17" s="56"/>
      <c r="BC17" s="80"/>
      <c r="BD17" s="80"/>
      <c r="BE17" s="80"/>
      <c r="BF17" s="80"/>
      <c r="BG17" s="80"/>
      <c r="BH17" s="80"/>
      <c r="BI17" s="56"/>
      <c r="BJ17" s="57"/>
      <c r="BK17" s="81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6"/>
      <c r="CR17" s="56"/>
      <c r="CS17" s="56"/>
      <c r="CT17" s="56"/>
      <c r="CU17" s="56"/>
      <c r="CV17" s="56"/>
      <c r="CW17" s="56"/>
      <c r="CX17" s="56"/>
      <c r="CY17" s="56"/>
      <c r="CZ17" s="56"/>
      <c r="DA17" s="56"/>
      <c r="DB17" s="56"/>
      <c r="DC17" s="56"/>
      <c r="DD17" s="56"/>
      <c r="DE17" s="56"/>
      <c r="DF17" s="56"/>
      <c r="DG17" s="56"/>
      <c r="DH17" s="56"/>
      <c r="DI17" s="56"/>
      <c r="DJ17" s="56"/>
      <c r="DK17" s="56"/>
      <c r="DL17" s="56"/>
      <c r="DM17" s="56"/>
      <c r="DN17" s="56"/>
      <c r="DO17" s="56"/>
      <c r="DP17" s="56"/>
      <c r="DQ17" s="56"/>
      <c r="DR17" s="56"/>
      <c r="DS17" s="56"/>
      <c r="DT17" s="56"/>
      <c r="DU17" s="56"/>
      <c r="DV17" s="56"/>
      <c r="DW17" s="56"/>
      <c r="DX17" s="56"/>
      <c r="DY17" s="56"/>
      <c r="DZ17" s="56"/>
      <c r="EA17" s="56"/>
      <c r="EB17" s="56"/>
      <c r="EC17" s="56"/>
      <c r="ED17" s="56"/>
      <c r="EE17" s="56"/>
      <c r="EF17" s="56"/>
      <c r="EG17" s="56"/>
      <c r="EH17" s="56"/>
      <c r="EI17" s="56"/>
      <c r="EJ17" s="56"/>
      <c r="EK17" s="56"/>
      <c r="EL17" s="56"/>
      <c r="EM17" s="56"/>
      <c r="EN17" s="56"/>
      <c r="EO17" s="56"/>
      <c r="EP17" s="56"/>
      <c r="EQ17" s="56"/>
      <c r="ER17" s="56"/>
      <c r="ES17" s="56"/>
      <c r="ET17" s="56"/>
      <c r="EU17" s="56"/>
      <c r="EV17" s="56"/>
      <c r="EW17" s="56"/>
      <c r="EX17" s="56"/>
      <c r="EY17" s="56"/>
      <c r="EZ17" s="56"/>
      <c r="FA17" s="56"/>
      <c r="FB17" s="56"/>
      <c r="FC17" s="56"/>
      <c r="FD17" s="56"/>
      <c r="FE17" s="56"/>
      <c r="FF17" s="56"/>
      <c r="FG17" s="56"/>
      <c r="FH17" s="56"/>
      <c r="FI17" s="56"/>
      <c r="FJ17" s="56"/>
      <c r="FK17" s="56"/>
      <c r="FL17" s="56"/>
      <c r="FM17" s="56"/>
      <c r="FN17" s="56"/>
      <c r="FO17" s="56"/>
      <c r="FP17" s="56"/>
      <c r="FQ17" s="56"/>
      <c r="FR17" s="56"/>
      <c r="FS17" s="56"/>
      <c r="FT17" s="56"/>
      <c r="FU17" s="56"/>
      <c r="FV17" s="56"/>
      <c r="FW17" s="56"/>
      <c r="FX17" s="56"/>
      <c r="FY17" s="56"/>
      <c r="FZ17" s="56"/>
      <c r="GA17" s="56"/>
      <c r="GB17" s="56"/>
      <c r="GC17" s="56"/>
      <c r="GD17" s="56"/>
      <c r="GE17" s="56"/>
      <c r="GF17" s="56"/>
      <c r="GG17" s="56"/>
      <c r="GH17" s="56"/>
      <c r="GI17" s="56"/>
      <c r="GJ17" s="56"/>
      <c r="GK17" s="56"/>
      <c r="GL17" s="56"/>
      <c r="GM17" s="56"/>
      <c r="GN17" s="56"/>
      <c r="GO17" s="56"/>
    </row>
    <row r="18" spans="1:197" ht="19.5" thickBot="1">
      <c r="A18" s="68"/>
      <c r="B18" s="58"/>
      <c r="C18" s="56"/>
      <c r="D18" s="58"/>
      <c r="E18" s="58"/>
      <c r="M18" s="128"/>
      <c r="N18" s="799"/>
      <c r="O18" s="88"/>
      <c r="P18" s="88"/>
      <c r="Q18" s="88"/>
      <c r="R18" s="88"/>
      <c r="S18" s="88"/>
      <c r="T18" s="88"/>
      <c r="U18" s="793"/>
      <c r="V18" s="793"/>
      <c r="W18" s="129"/>
      <c r="X18" s="56"/>
      <c r="Y18" s="56"/>
      <c r="Z18" s="56"/>
      <c r="AA18" s="56"/>
      <c r="AB18" s="56"/>
      <c r="AC18" s="130"/>
      <c r="AD18" s="78"/>
      <c r="AE18" s="68"/>
      <c r="AF18" s="79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56"/>
      <c r="BJ18" s="57"/>
      <c r="BK18" s="81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/>
      <c r="DD18" s="56"/>
      <c r="DE18" s="56"/>
      <c r="DF18" s="56"/>
      <c r="DG18" s="56"/>
      <c r="DH18" s="56"/>
      <c r="DI18" s="56"/>
      <c r="DJ18" s="56"/>
      <c r="DK18" s="56"/>
      <c r="DL18" s="56"/>
      <c r="DM18" s="56"/>
      <c r="DN18" s="56"/>
      <c r="DO18" s="56"/>
      <c r="DP18" s="56"/>
      <c r="DQ18" s="56"/>
      <c r="DR18" s="56"/>
      <c r="DS18" s="56"/>
      <c r="DT18" s="56"/>
      <c r="DU18" s="56"/>
      <c r="DV18" s="56"/>
      <c r="DW18" s="56"/>
      <c r="DX18" s="56"/>
      <c r="DY18" s="56"/>
      <c r="DZ18" s="56"/>
      <c r="EA18" s="56"/>
      <c r="EB18" s="56"/>
      <c r="EC18" s="56"/>
      <c r="ED18" s="56"/>
      <c r="EE18" s="56"/>
      <c r="EF18" s="56"/>
      <c r="EG18" s="56"/>
      <c r="EH18" s="56"/>
      <c r="EI18" s="56"/>
      <c r="EJ18" s="56"/>
      <c r="EK18" s="56"/>
      <c r="EL18" s="56"/>
      <c r="EM18" s="56"/>
      <c r="EN18" s="56"/>
      <c r="EO18" s="56"/>
      <c r="EP18" s="56"/>
      <c r="EQ18" s="56"/>
      <c r="ER18" s="56"/>
      <c r="ES18" s="56"/>
      <c r="ET18" s="56"/>
      <c r="EU18" s="56"/>
      <c r="EV18" s="56"/>
      <c r="EW18" s="56"/>
      <c r="EX18" s="56"/>
      <c r="EY18" s="56"/>
      <c r="EZ18" s="56"/>
      <c r="FA18" s="56"/>
      <c r="FB18" s="56"/>
      <c r="FC18" s="56"/>
      <c r="FD18" s="56"/>
      <c r="FE18" s="56"/>
      <c r="FF18" s="56"/>
      <c r="FG18" s="56"/>
      <c r="FH18" s="56"/>
      <c r="FI18" s="56"/>
      <c r="FJ18" s="56"/>
      <c r="FK18" s="56"/>
      <c r="FL18" s="56"/>
      <c r="FM18" s="56"/>
      <c r="FN18" s="56"/>
      <c r="FO18" s="56"/>
      <c r="FP18" s="56"/>
      <c r="FQ18" s="56"/>
      <c r="FR18" s="56"/>
      <c r="FS18" s="56"/>
      <c r="FT18" s="56"/>
      <c r="FU18" s="56"/>
      <c r="FV18" s="56"/>
      <c r="FW18" s="56"/>
      <c r="FX18" s="56"/>
      <c r="FY18" s="56"/>
      <c r="FZ18" s="56"/>
      <c r="GA18" s="56"/>
      <c r="GB18" s="56"/>
      <c r="GC18" s="56"/>
      <c r="GD18" s="56"/>
      <c r="GE18" s="56"/>
      <c r="GF18" s="56"/>
      <c r="GG18" s="56"/>
      <c r="GH18" s="56"/>
      <c r="GI18" s="56"/>
      <c r="GJ18" s="56"/>
      <c r="GK18" s="56"/>
      <c r="GL18" s="56"/>
      <c r="GM18" s="56"/>
      <c r="GN18" s="56"/>
      <c r="GO18" s="56"/>
    </row>
    <row r="19" spans="1:197" ht="18.75">
      <c r="A19" s="307"/>
      <c r="B19" s="57"/>
      <c r="C19" s="56"/>
      <c r="D19" s="57"/>
      <c r="F19" s="58"/>
      <c r="G19" s="58"/>
      <c r="H19" s="58"/>
      <c r="K19" s="131"/>
      <c r="L19" s="131"/>
      <c r="M19" s="128"/>
      <c r="N19" s="799"/>
      <c r="O19" s="88"/>
      <c r="P19" s="88"/>
      <c r="Q19" s="88"/>
      <c r="R19" s="88"/>
      <c r="S19" s="88"/>
      <c r="T19" s="88"/>
      <c r="V19" s="129"/>
      <c r="W19" s="56"/>
      <c r="X19" s="56"/>
      <c r="Y19" s="56"/>
      <c r="Z19" s="56"/>
      <c r="AA19" s="56"/>
      <c r="AB19" s="56"/>
      <c r="AC19" s="77"/>
      <c r="AD19" s="78"/>
      <c r="AE19" s="68"/>
      <c r="AF19" s="79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56"/>
      <c r="AY19" s="56"/>
      <c r="AZ19" s="878" t="s">
        <v>137</v>
      </c>
      <c r="BA19" s="879"/>
      <c r="BB19" s="880"/>
      <c r="BC19" s="80"/>
      <c r="BD19" s="80"/>
      <c r="BE19" s="80"/>
      <c r="BF19" s="80"/>
      <c r="BG19" s="80"/>
      <c r="BH19" s="80"/>
      <c r="BI19" s="56"/>
      <c r="BJ19" s="57"/>
      <c r="BK19" s="81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  <c r="CU19" s="56"/>
      <c r="CV19" s="56"/>
      <c r="CW19" s="56"/>
      <c r="CX19" s="56"/>
      <c r="CY19" s="56"/>
      <c r="CZ19" s="56"/>
      <c r="DA19" s="56"/>
      <c r="DB19" s="56"/>
      <c r="DC19" s="56"/>
      <c r="DD19" s="56"/>
      <c r="DE19" s="56"/>
      <c r="DF19" s="56"/>
      <c r="DG19" s="56"/>
      <c r="DH19" s="56"/>
      <c r="DI19" s="56"/>
      <c r="DJ19" s="56"/>
      <c r="DK19" s="56"/>
      <c r="DL19" s="56"/>
      <c r="DM19" s="56"/>
      <c r="DN19" s="56"/>
      <c r="DO19" s="56"/>
      <c r="DP19" s="56"/>
      <c r="DQ19" s="56"/>
      <c r="DR19" s="56"/>
      <c r="DS19" s="56"/>
      <c r="DT19" s="56"/>
      <c r="DU19" s="56"/>
      <c r="DV19" s="56"/>
      <c r="DW19" s="56"/>
      <c r="DX19" s="56"/>
      <c r="DY19" s="56"/>
      <c r="DZ19" s="56"/>
      <c r="EA19" s="56"/>
      <c r="EB19" s="56"/>
      <c r="EC19" s="56"/>
      <c r="ED19" s="56"/>
      <c r="EE19" s="56"/>
      <c r="EF19" s="56"/>
      <c r="EG19" s="56"/>
      <c r="EH19" s="56"/>
      <c r="EI19" s="56"/>
      <c r="EJ19" s="56"/>
      <c r="EK19" s="56"/>
      <c r="EL19" s="56"/>
      <c r="EM19" s="56"/>
      <c r="EN19" s="56"/>
      <c r="EO19" s="56"/>
      <c r="EP19" s="56"/>
      <c r="EQ19" s="56"/>
      <c r="ER19" s="56"/>
      <c r="ES19" s="56"/>
      <c r="ET19" s="56"/>
      <c r="EU19" s="56"/>
      <c r="EV19" s="56"/>
      <c r="EW19" s="56"/>
      <c r="EX19" s="56"/>
      <c r="EY19" s="56"/>
      <c r="EZ19" s="56"/>
      <c r="FA19" s="56"/>
      <c r="FB19" s="56"/>
      <c r="FC19" s="56"/>
      <c r="FD19" s="56"/>
      <c r="FE19" s="56"/>
      <c r="FF19" s="56"/>
      <c r="FG19" s="56"/>
      <c r="FH19" s="56"/>
      <c r="FI19" s="56"/>
      <c r="FJ19" s="56"/>
      <c r="FK19" s="56"/>
      <c r="FL19" s="56"/>
      <c r="FM19" s="56"/>
      <c r="FN19" s="56"/>
      <c r="FO19" s="56"/>
      <c r="FP19" s="56"/>
      <c r="FQ19" s="56"/>
      <c r="FR19" s="56"/>
      <c r="FS19" s="56"/>
      <c r="FT19" s="56"/>
      <c r="FU19" s="56"/>
      <c r="FV19" s="56"/>
      <c r="FW19" s="56"/>
      <c r="FX19" s="56"/>
      <c r="FY19" s="56"/>
      <c r="FZ19" s="56"/>
      <c r="GA19" s="56"/>
      <c r="GB19" s="56"/>
      <c r="GC19" s="56"/>
      <c r="GD19" s="56"/>
      <c r="GE19" s="56"/>
      <c r="GF19" s="56"/>
      <c r="GG19" s="56"/>
      <c r="GH19" s="56"/>
      <c r="GI19" s="56"/>
      <c r="GJ19" s="56"/>
      <c r="GK19" s="56"/>
      <c r="GL19" s="56"/>
      <c r="GM19" s="56"/>
      <c r="GN19" s="56"/>
      <c r="GO19" s="56"/>
    </row>
    <row r="20" spans="1:197" ht="19.5" thickBot="1">
      <c r="A20" s="56"/>
      <c r="B20" s="56"/>
      <c r="C20" s="56"/>
      <c r="D20" s="56"/>
      <c r="J20" s="75"/>
      <c r="K20" s="94"/>
      <c r="L20" s="94"/>
      <c r="N20" s="133"/>
      <c r="O20" s="88"/>
      <c r="P20" s="134"/>
      <c r="Q20" s="88"/>
      <c r="R20" s="88"/>
      <c r="S20" s="270"/>
      <c r="T20" s="270"/>
      <c r="U20" s="795"/>
      <c r="V20" s="56"/>
      <c r="W20" s="56"/>
      <c r="X20" s="56"/>
      <c r="Y20" s="56"/>
      <c r="Z20" s="56"/>
      <c r="AA20" s="56"/>
      <c r="AB20" s="56"/>
      <c r="AC20" s="136"/>
      <c r="AD20" s="137"/>
      <c r="AE20" s="68"/>
      <c r="AF20" s="79"/>
      <c r="AG20" s="56"/>
      <c r="AH20" s="138"/>
      <c r="AI20" s="56"/>
      <c r="AJ20" s="56"/>
      <c r="AK20" s="56"/>
      <c r="AL20" s="98"/>
      <c r="AM20" s="56"/>
      <c r="AN20" s="56"/>
      <c r="AO20" s="56"/>
      <c r="AP20" s="56"/>
      <c r="AQ20" s="56"/>
      <c r="AR20" s="56"/>
      <c r="AS20" s="56"/>
      <c r="AT20" s="80"/>
      <c r="AU20" s="80"/>
      <c r="AV20" s="80"/>
      <c r="AW20" s="80"/>
      <c r="AX20" s="56"/>
      <c r="AY20" s="56"/>
      <c r="AZ20" s="881"/>
      <c r="BA20" s="882"/>
      <c r="BB20" s="883"/>
      <c r="BC20" s="80"/>
      <c r="BD20" s="80"/>
      <c r="BE20" s="80"/>
      <c r="BF20" s="80"/>
      <c r="BG20" s="80"/>
      <c r="BH20" s="80"/>
      <c r="BI20" s="56"/>
      <c r="BJ20" s="57"/>
      <c r="BK20" s="81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56"/>
      <c r="DD20" s="56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6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  <c r="EY20" s="56"/>
      <c r="EZ20" s="56"/>
      <c r="FA20" s="56"/>
      <c r="FB20" s="56"/>
      <c r="FC20" s="56"/>
      <c r="FD20" s="56"/>
      <c r="FE20" s="56"/>
      <c r="FF20" s="56"/>
      <c r="FG20" s="56"/>
      <c r="FH20" s="56"/>
      <c r="FI20" s="56"/>
      <c r="FJ20" s="56"/>
      <c r="FK20" s="56"/>
      <c r="FL20" s="56"/>
      <c r="FM20" s="56"/>
      <c r="FN20" s="56"/>
      <c r="FO20" s="56"/>
      <c r="FP20" s="56"/>
      <c r="FQ20" s="56"/>
      <c r="FR20" s="56"/>
      <c r="FS20" s="56"/>
      <c r="FT20" s="56"/>
      <c r="FU20" s="56"/>
      <c r="FV20" s="56"/>
      <c r="FW20" s="56"/>
      <c r="FX20" s="56"/>
      <c r="FY20" s="56"/>
      <c r="FZ20" s="56"/>
      <c r="GA20" s="56"/>
      <c r="GB20" s="56"/>
      <c r="GC20" s="56"/>
      <c r="GD20" s="56"/>
      <c r="GE20" s="56"/>
      <c r="GF20" s="56"/>
      <c r="GG20" s="56"/>
      <c r="GH20" s="56"/>
      <c r="GI20" s="56"/>
      <c r="GJ20" s="56"/>
      <c r="GK20" s="56"/>
      <c r="GL20" s="56"/>
      <c r="GM20" s="56"/>
      <c r="GN20" s="56"/>
      <c r="GO20" s="56"/>
    </row>
    <row r="21" spans="1:197" ht="21.75" thickBot="1">
      <c r="A21" s="769"/>
      <c r="B21" s="769"/>
      <c r="C21" s="140"/>
      <c r="D21" s="140"/>
      <c r="J21" s="94"/>
      <c r="K21" s="259"/>
      <c r="L21" s="99"/>
      <c r="M21" s="94"/>
      <c r="N21" s="887" t="s">
        <v>141</v>
      </c>
      <c r="O21" s="888"/>
      <c r="P21" s="143"/>
      <c r="Q21" s="144"/>
      <c r="R21" s="144"/>
      <c r="S21" s="796"/>
      <c r="T21" s="796"/>
      <c r="U21" s="796"/>
      <c r="V21" s="796"/>
      <c r="X21" s="56"/>
      <c r="Y21" s="56"/>
      <c r="Z21" s="56"/>
      <c r="AA21" s="56"/>
      <c r="AB21" s="56"/>
      <c r="AC21" s="144"/>
      <c r="AD21" s="146"/>
      <c r="AE21" s="68"/>
      <c r="AF21" s="147"/>
      <c r="AG21" s="148"/>
      <c r="AH21" s="148"/>
      <c r="AI21" s="148"/>
      <c r="AJ21" s="148"/>
      <c r="AK21" s="148"/>
      <c r="AL21" s="149"/>
      <c r="AM21" s="149"/>
      <c r="AN21" s="149"/>
      <c r="AO21" s="149"/>
      <c r="AP21" s="149"/>
      <c r="AQ21" s="149"/>
      <c r="AR21" s="149"/>
      <c r="AS21" s="150"/>
      <c r="AT21" s="813"/>
      <c r="AU21" s="813"/>
      <c r="AV21" s="813"/>
      <c r="AW21" s="813"/>
      <c r="AX21" s="151"/>
      <c r="AY21" s="151"/>
      <c r="AZ21" s="884"/>
      <c r="BA21" s="885"/>
      <c r="BB21" s="886"/>
      <c r="BC21" s="80"/>
      <c r="BD21" s="80"/>
      <c r="BE21" s="80"/>
      <c r="BF21" s="80"/>
      <c r="BG21" s="80"/>
      <c r="BH21" s="80"/>
      <c r="BI21" s="151"/>
      <c r="BJ21" s="151"/>
      <c r="BK21" s="152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56"/>
      <c r="DD21" s="56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  <c r="EX21" s="56"/>
      <c r="EY21" s="56"/>
      <c r="EZ21" s="56"/>
      <c r="FA21" s="56"/>
      <c r="FB21" s="56"/>
      <c r="FC21" s="56"/>
      <c r="FD21" s="56"/>
      <c r="FE21" s="56"/>
      <c r="FF21" s="56"/>
      <c r="FG21" s="56"/>
      <c r="FH21" s="56"/>
      <c r="FI21" s="56"/>
      <c r="FJ21" s="56"/>
      <c r="FK21" s="56"/>
      <c r="FL21" s="56"/>
      <c r="FM21" s="56"/>
      <c r="FN21" s="56"/>
      <c r="FO21" s="56"/>
      <c r="FP21" s="56"/>
      <c r="FQ21" s="56"/>
      <c r="FR21" s="56"/>
      <c r="FS21" s="56"/>
      <c r="FT21" s="56"/>
      <c r="FU21" s="56"/>
      <c r="FV21" s="56"/>
      <c r="FW21" s="56"/>
      <c r="FX21" s="56"/>
      <c r="FY21" s="56"/>
      <c r="FZ21" s="56"/>
      <c r="GA21" s="56"/>
      <c r="GB21" s="56"/>
      <c r="GC21" s="56"/>
      <c r="GD21" s="56"/>
      <c r="GE21" s="56"/>
      <c r="GF21" s="56"/>
      <c r="GG21" s="56"/>
      <c r="GH21" s="56"/>
      <c r="GI21" s="56"/>
      <c r="GJ21" s="56"/>
      <c r="GK21" s="56"/>
      <c r="GL21" s="56"/>
      <c r="GM21" s="56"/>
      <c r="GN21" s="56"/>
      <c r="GO21" s="56"/>
    </row>
    <row r="22" spans="1:197" ht="21.75" thickBot="1">
      <c r="A22" s="60"/>
      <c r="B22" s="60"/>
      <c r="C22" s="60"/>
      <c r="D22" s="60"/>
      <c r="E22" s="60"/>
      <c r="F22" s="59"/>
      <c r="G22" s="59"/>
      <c r="H22" s="59"/>
      <c r="I22" s="94"/>
      <c r="J22" s="259"/>
      <c r="K22" s="85"/>
      <c r="L22" s="85"/>
      <c r="M22" s="774"/>
      <c r="N22" s="55"/>
      <c r="O22" s="55"/>
      <c r="P22" s="779"/>
      <c r="Q22" s="779"/>
      <c r="R22" s="779"/>
      <c r="S22" s="779"/>
      <c r="T22" s="779"/>
      <c r="U22" s="779"/>
      <c r="V22" s="779"/>
      <c r="W22" s="779"/>
      <c r="X22" s="779"/>
      <c r="Y22" s="779"/>
      <c r="Z22" s="779"/>
      <c r="AA22" s="779"/>
      <c r="AB22" s="779"/>
      <c r="AC22" s="57"/>
      <c r="AD22" s="57"/>
      <c r="AE22" s="157"/>
      <c r="AF22" s="141"/>
      <c r="AG22" s="158">
        <v>25</v>
      </c>
      <c r="AH22" s="158">
        <v>25</v>
      </c>
      <c r="AI22" s="159">
        <v>25</v>
      </c>
      <c r="AJ22" s="160">
        <v>25</v>
      </c>
      <c r="AK22" s="161">
        <v>25</v>
      </c>
      <c r="AL22" s="141"/>
      <c r="AM22" s="162"/>
      <c r="AN22" s="56"/>
      <c r="AO22" s="56"/>
      <c r="AP22" s="357"/>
      <c r="AQ22" s="357"/>
      <c r="AR22" s="431"/>
      <c r="AS22" s="431"/>
      <c r="AT22" s="431"/>
      <c r="AU22" s="431"/>
      <c r="AV22" s="814"/>
      <c r="AW22" s="814"/>
      <c r="AX22" s="56"/>
      <c r="AY22" s="56"/>
      <c r="AZ22" s="56"/>
      <c r="BA22" s="56"/>
      <c r="BB22" s="167"/>
      <c r="BC22" s="168">
        <v>25</v>
      </c>
      <c r="BD22" s="168">
        <v>25</v>
      </c>
      <c r="BE22" s="168">
        <v>25</v>
      </c>
      <c r="BF22" s="169">
        <v>25</v>
      </c>
      <c r="BG22" s="169">
        <v>25</v>
      </c>
      <c r="BH22" s="170">
        <v>25</v>
      </c>
      <c r="BI22" s="167"/>
      <c r="BJ22" s="212"/>
      <c r="BK22" s="820"/>
      <c r="BL22" s="83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  <c r="EU22" s="56"/>
      <c r="EV22" s="56"/>
      <c r="EW22" s="56"/>
      <c r="EX22" s="56"/>
      <c r="EY22" s="56"/>
      <c r="EZ22" s="56"/>
      <c r="FA22" s="56"/>
      <c r="FB22" s="56"/>
      <c r="FC22" s="56"/>
      <c r="FD22" s="56"/>
      <c r="FE22" s="56"/>
      <c r="FF22" s="56"/>
      <c r="FG22" s="56"/>
      <c r="FH22" s="56"/>
      <c r="FI22" s="56"/>
      <c r="FJ22" s="56"/>
      <c r="FK22" s="56"/>
      <c r="FL22" s="56"/>
      <c r="FM22" s="56"/>
      <c r="FN22" s="56"/>
      <c r="FO22" s="56"/>
      <c r="FP22" s="56"/>
      <c r="FQ22" s="56"/>
      <c r="FR22" s="56"/>
      <c r="FS22" s="56"/>
      <c r="FT22" s="56"/>
      <c r="FU22" s="56"/>
      <c r="FV22" s="56"/>
      <c r="FW22" s="56"/>
      <c r="FX22" s="56"/>
      <c r="FY22" s="56"/>
      <c r="FZ22" s="56"/>
      <c r="GA22" s="56"/>
      <c r="GB22" s="56"/>
      <c r="GC22" s="56"/>
      <c r="GD22" s="56"/>
      <c r="GE22" s="56"/>
      <c r="GF22" s="56"/>
      <c r="GG22" s="56"/>
      <c r="GH22" s="56"/>
      <c r="GI22" s="56"/>
      <c r="GJ22" s="56"/>
      <c r="GK22" s="56"/>
      <c r="GL22" s="56"/>
      <c r="GM22" s="56"/>
      <c r="GN22" s="56"/>
      <c r="GO22" s="56"/>
    </row>
    <row r="23" spans="1:197" ht="23.25">
      <c r="A23" s="770"/>
      <c r="B23" s="212"/>
      <c r="C23" s="212"/>
      <c r="D23" s="56"/>
      <c r="E23" s="174"/>
      <c r="F23" s="175"/>
      <c r="G23" s="56"/>
      <c r="H23" s="56"/>
      <c r="I23" s="56"/>
      <c r="J23" s="56"/>
      <c r="K23" s="56"/>
      <c r="L23" s="56"/>
      <c r="M23" s="56"/>
      <c r="N23" s="56"/>
      <c r="O23" s="55"/>
      <c r="P23" s="781"/>
      <c r="Q23" s="781"/>
      <c r="R23" s="781"/>
      <c r="S23" s="781"/>
      <c r="T23" s="781"/>
      <c r="U23" s="781"/>
      <c r="V23" s="782"/>
      <c r="W23" s="270"/>
      <c r="X23" s="782"/>
      <c r="Y23" s="783"/>
      <c r="Z23" s="782"/>
      <c r="AA23" s="784"/>
      <c r="AB23" s="782"/>
      <c r="AC23" s="57"/>
      <c r="AD23" s="57"/>
      <c r="AE23" s="57"/>
      <c r="AF23" s="101" t="s">
        <v>149</v>
      </c>
      <c r="AG23" s="141" t="s">
        <v>129</v>
      </c>
      <c r="AH23" s="141" t="s">
        <v>129</v>
      </c>
      <c r="AI23" s="141" t="s">
        <v>129</v>
      </c>
      <c r="AJ23" s="141" t="s">
        <v>129</v>
      </c>
      <c r="AK23" s="141" t="s">
        <v>129</v>
      </c>
      <c r="AL23" s="162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101" t="s">
        <v>150</v>
      </c>
      <c r="BC23" s="167" t="s">
        <v>129</v>
      </c>
      <c r="BD23" s="167" t="s">
        <v>129</v>
      </c>
      <c r="BE23" s="167" t="s">
        <v>129</v>
      </c>
      <c r="BF23" s="167" t="s">
        <v>129</v>
      </c>
      <c r="BG23" s="167" t="s">
        <v>129</v>
      </c>
      <c r="BH23" s="167" t="s">
        <v>129</v>
      </c>
      <c r="BI23" s="180"/>
      <c r="BJ23" s="181"/>
      <c r="BK23" s="229"/>
      <c r="BL23" s="83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  <c r="CZ23" s="56"/>
      <c r="DA23" s="56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  <c r="EX23" s="56"/>
      <c r="EY23" s="56"/>
      <c r="EZ23" s="56"/>
      <c r="FA23" s="56"/>
      <c r="FB23" s="56"/>
      <c r="FC23" s="56"/>
      <c r="FD23" s="56"/>
      <c r="FE23" s="56"/>
      <c r="FF23" s="56"/>
      <c r="FG23" s="56"/>
      <c r="FH23" s="56"/>
      <c r="FI23" s="56"/>
      <c r="FJ23" s="56"/>
      <c r="FK23" s="56"/>
      <c r="FL23" s="56"/>
      <c r="FM23" s="56"/>
      <c r="FN23" s="56"/>
      <c r="FO23" s="56"/>
      <c r="FP23" s="56"/>
      <c r="FQ23" s="56"/>
      <c r="FR23" s="56"/>
      <c r="FS23" s="56"/>
      <c r="FT23" s="56"/>
      <c r="FU23" s="56"/>
      <c r="FV23" s="56"/>
      <c r="FW23" s="56"/>
      <c r="FX23" s="56"/>
      <c r="FY23" s="56"/>
      <c r="FZ23" s="56"/>
      <c r="GA23" s="56"/>
      <c r="GB23" s="56"/>
      <c r="GC23" s="56"/>
      <c r="GD23" s="56"/>
      <c r="GE23" s="56"/>
      <c r="GF23" s="56"/>
      <c r="GG23" s="56"/>
      <c r="GH23" s="56"/>
      <c r="GI23" s="56"/>
      <c r="GJ23" s="56"/>
      <c r="GK23" s="56"/>
      <c r="GL23" s="56"/>
      <c r="GM23" s="56"/>
      <c r="GN23" s="56"/>
      <c r="GO23" s="56"/>
    </row>
    <row r="24" spans="1:197" ht="21">
      <c r="A24" s="770"/>
      <c r="B24" s="212"/>
      <c r="C24" s="212"/>
      <c r="D24" s="56"/>
      <c r="E24" s="56"/>
      <c r="F24" s="183"/>
      <c r="G24" s="771"/>
      <c r="H24" s="56"/>
      <c r="I24" s="56"/>
      <c r="J24" s="56"/>
      <c r="K24" s="56"/>
      <c r="L24" s="56"/>
      <c r="M24" s="56"/>
      <c r="N24" s="185"/>
      <c r="O24" s="186"/>
      <c r="P24" s="87"/>
      <c r="Q24" s="87"/>
      <c r="R24" s="87"/>
      <c r="S24" s="87"/>
      <c r="T24" s="87"/>
      <c r="U24" s="87"/>
      <c r="V24" s="55"/>
      <c r="W24" s="57"/>
      <c r="X24" s="57"/>
      <c r="Y24" s="57"/>
      <c r="Z24" s="57"/>
      <c r="AA24" s="57"/>
      <c r="AB24" s="57"/>
      <c r="AC24" s="57"/>
      <c r="AD24" s="57"/>
      <c r="AE24" s="57"/>
      <c r="AF24" s="187"/>
      <c r="AG24" s="188">
        <v>1</v>
      </c>
      <c r="AH24" s="188">
        <v>2</v>
      </c>
      <c r="AI24" s="188">
        <v>3</v>
      </c>
      <c r="AJ24" s="188">
        <v>4</v>
      </c>
      <c r="AK24" s="188">
        <v>5</v>
      </c>
      <c r="AL24" s="189"/>
      <c r="AM24" s="189"/>
      <c r="AN24" s="189"/>
      <c r="AO24" s="189"/>
      <c r="AP24" s="189"/>
      <c r="AQ24" s="189"/>
      <c r="AR24" s="189"/>
      <c r="AS24" s="189"/>
      <c r="AT24" s="189"/>
      <c r="AU24" s="189"/>
      <c r="AV24" s="189"/>
      <c r="AW24" s="189"/>
      <c r="AX24" s="189"/>
      <c r="AY24" s="189"/>
      <c r="AZ24" s="56"/>
      <c r="BB24" s="889" t="s">
        <v>153</v>
      </c>
      <c r="BC24" s="190">
        <v>1</v>
      </c>
      <c r="BD24" s="190">
        <v>2</v>
      </c>
      <c r="BE24" s="190">
        <v>3</v>
      </c>
      <c r="BF24" s="190">
        <v>4</v>
      </c>
      <c r="BG24" s="190">
        <v>5</v>
      </c>
      <c r="BH24" s="190">
        <v>6</v>
      </c>
      <c r="BI24" s="57"/>
      <c r="BJ24" s="57"/>
      <c r="BK24" s="229"/>
      <c r="BL24" s="83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6"/>
      <c r="DD24" s="56"/>
      <c r="DE24" s="56"/>
      <c r="DF24" s="56"/>
      <c r="DG24" s="56"/>
      <c r="DH24" s="56"/>
      <c r="DI24" s="56"/>
      <c r="DJ24" s="56"/>
      <c r="DK24" s="56"/>
      <c r="DL24" s="56"/>
      <c r="DM24" s="56"/>
      <c r="DN24" s="56"/>
      <c r="DO24" s="56"/>
      <c r="DP24" s="56"/>
      <c r="DQ24" s="56"/>
      <c r="DR24" s="56"/>
      <c r="DS24" s="56"/>
      <c r="DT24" s="56"/>
      <c r="DU24" s="56"/>
      <c r="DV24" s="56"/>
      <c r="DW24" s="56"/>
      <c r="DX24" s="56"/>
      <c r="DY24" s="56"/>
      <c r="DZ24" s="56"/>
      <c r="EA24" s="56"/>
      <c r="EB24" s="56"/>
      <c r="EC24" s="56"/>
      <c r="ED24" s="56"/>
      <c r="EE24" s="56"/>
      <c r="EF24" s="56"/>
      <c r="EG24" s="56"/>
      <c r="EH24" s="56"/>
      <c r="EI24" s="56"/>
      <c r="EJ24" s="56"/>
      <c r="EK24" s="56"/>
      <c r="EL24" s="56"/>
      <c r="EM24" s="56"/>
      <c r="EN24" s="56"/>
      <c r="EO24" s="56"/>
      <c r="EP24" s="56"/>
      <c r="EQ24" s="56"/>
      <c r="ER24" s="56"/>
      <c r="ES24" s="56"/>
      <c r="ET24" s="56"/>
      <c r="EU24" s="56"/>
      <c r="EV24" s="56"/>
      <c r="EW24" s="56"/>
      <c r="EX24" s="56"/>
      <c r="EY24" s="56"/>
      <c r="EZ24" s="56"/>
      <c r="FA24" s="56"/>
      <c r="FB24" s="56"/>
      <c r="FC24" s="56"/>
      <c r="FD24" s="56"/>
      <c r="FE24" s="56"/>
      <c r="FF24" s="56"/>
      <c r="FG24" s="56"/>
      <c r="FH24" s="56"/>
      <c r="FI24" s="56"/>
      <c r="FJ24" s="56"/>
      <c r="FK24" s="56"/>
      <c r="FL24" s="56"/>
      <c r="FM24" s="56"/>
      <c r="FN24" s="56"/>
      <c r="FO24" s="56"/>
      <c r="FP24" s="56"/>
      <c r="FQ24" s="56"/>
      <c r="FR24" s="56"/>
      <c r="FS24" s="56"/>
      <c r="FT24" s="56"/>
      <c r="FU24" s="56"/>
      <c r="FV24" s="56"/>
      <c r="FW24" s="56"/>
      <c r="FX24" s="56"/>
      <c r="FY24" s="56"/>
      <c r="FZ24" s="56"/>
      <c r="GA24" s="56"/>
      <c r="GB24" s="56"/>
      <c r="GC24" s="56"/>
      <c r="GD24" s="56"/>
      <c r="GE24" s="56"/>
      <c r="GF24" s="56"/>
      <c r="GG24" s="56"/>
      <c r="GH24" s="56"/>
      <c r="GI24" s="56"/>
      <c r="GJ24" s="56"/>
      <c r="GK24" s="56"/>
      <c r="GL24" s="56"/>
      <c r="GM24" s="56"/>
      <c r="GN24" s="56"/>
      <c r="GO24" s="56"/>
    </row>
    <row r="25" spans="1:197" ht="21">
      <c r="A25" s="192"/>
      <c r="B25" s="186"/>
      <c r="C25" s="186"/>
      <c r="D25" s="56"/>
      <c r="E25" s="56"/>
      <c r="F25" s="193"/>
      <c r="G25" s="771"/>
      <c r="H25" s="56"/>
      <c r="I25" s="56"/>
      <c r="K25" s="56"/>
      <c r="L25" s="56"/>
      <c r="M25" s="56"/>
      <c r="N25" s="890"/>
      <c r="O25" s="890"/>
      <c r="P25" s="55"/>
      <c r="Q25" s="55"/>
      <c r="R25" s="55"/>
      <c r="S25" s="55"/>
      <c r="T25" s="55"/>
      <c r="U25" s="55"/>
      <c r="V25" s="55"/>
      <c r="W25" s="56"/>
      <c r="X25" s="56"/>
      <c r="Y25" s="56"/>
      <c r="Z25" s="56"/>
      <c r="AA25" s="56"/>
      <c r="AB25" s="56"/>
      <c r="AC25" s="56"/>
      <c r="AD25" s="56"/>
      <c r="AE25" s="194"/>
      <c r="AF25" s="825" t="s">
        <v>155</v>
      </c>
      <c r="AG25" s="825"/>
      <c r="AH25" s="194"/>
      <c r="AI25" s="56"/>
      <c r="AJ25" s="56"/>
      <c r="AK25" s="56"/>
      <c r="AL25" s="825" t="s">
        <v>155</v>
      </c>
      <c r="AM25" s="825"/>
      <c r="AN25" s="56"/>
      <c r="AO25" s="56"/>
      <c r="AP25" s="56"/>
      <c r="AQ25" s="56"/>
      <c r="AR25" s="195"/>
      <c r="AS25" s="195"/>
      <c r="AT25" s="195"/>
      <c r="AU25" s="195"/>
      <c r="AV25" s="194"/>
      <c r="AW25" s="56"/>
      <c r="AX25" s="56"/>
      <c r="AY25" s="56"/>
      <c r="AZ25" s="56"/>
      <c r="BB25" s="889"/>
      <c r="BC25" s="196"/>
      <c r="BD25" s="197"/>
      <c r="BE25" s="197"/>
      <c r="BF25" s="197"/>
      <c r="BG25" s="197"/>
      <c r="BH25" s="197"/>
      <c r="BI25" s="98"/>
      <c r="BJ25" s="198"/>
      <c r="BK25" s="229"/>
      <c r="BL25" s="83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  <c r="CY25" s="56"/>
      <c r="CZ25" s="56"/>
      <c r="DA25" s="56"/>
      <c r="DB25" s="56"/>
      <c r="DC25" s="56"/>
      <c r="DD25" s="56"/>
      <c r="DE25" s="56"/>
      <c r="DF25" s="56"/>
      <c r="DG25" s="56"/>
      <c r="DH25" s="56"/>
      <c r="DI25" s="56"/>
      <c r="DJ25" s="56"/>
      <c r="DK25" s="56"/>
      <c r="DL25" s="56"/>
      <c r="DM25" s="56"/>
      <c r="DN25" s="56"/>
      <c r="DO25" s="56"/>
      <c r="DP25" s="56"/>
      <c r="DQ25" s="56"/>
      <c r="DR25" s="56"/>
      <c r="DS25" s="56"/>
      <c r="DT25" s="56"/>
      <c r="DU25" s="56"/>
      <c r="DV25" s="56"/>
      <c r="DW25" s="56"/>
      <c r="DX25" s="56"/>
      <c r="DY25" s="56"/>
      <c r="DZ25" s="56"/>
      <c r="EA25" s="56"/>
      <c r="EB25" s="56"/>
      <c r="EC25" s="56"/>
      <c r="ED25" s="56"/>
      <c r="EE25" s="56"/>
      <c r="EF25" s="56"/>
      <c r="EG25" s="56"/>
      <c r="EH25" s="56"/>
      <c r="EI25" s="56"/>
      <c r="EJ25" s="56"/>
      <c r="EK25" s="56"/>
      <c r="EL25" s="56"/>
      <c r="EM25" s="56"/>
      <c r="EN25" s="56"/>
      <c r="EO25" s="56"/>
      <c r="EP25" s="56"/>
      <c r="EQ25" s="56"/>
      <c r="ER25" s="56"/>
      <c r="ES25" s="56"/>
      <c r="ET25" s="56"/>
      <c r="EU25" s="56"/>
      <c r="EV25" s="56"/>
      <c r="EW25" s="56"/>
      <c r="EX25" s="56"/>
      <c r="EY25" s="56"/>
      <c r="EZ25" s="56"/>
      <c r="FA25" s="56"/>
      <c r="FB25" s="56"/>
      <c r="FC25" s="56"/>
      <c r="FD25" s="56"/>
      <c r="FE25" s="56"/>
      <c r="FF25" s="56"/>
      <c r="FG25" s="56"/>
      <c r="FH25" s="56"/>
      <c r="FI25" s="56"/>
      <c r="FJ25" s="56"/>
      <c r="FK25" s="56"/>
      <c r="FL25" s="56"/>
      <c r="FM25" s="56"/>
      <c r="FN25" s="56"/>
      <c r="FO25" s="56"/>
      <c r="FP25" s="56"/>
      <c r="FQ25" s="56"/>
      <c r="FR25" s="56"/>
      <c r="FS25" s="56"/>
      <c r="FT25" s="56"/>
      <c r="FU25" s="56"/>
      <c r="FV25" s="56"/>
      <c r="FW25" s="56"/>
      <c r="FX25" s="56"/>
      <c r="FY25" s="56"/>
      <c r="FZ25" s="56"/>
      <c r="GA25" s="56"/>
      <c r="GB25" s="56"/>
      <c r="GC25" s="56"/>
      <c r="GD25" s="56"/>
      <c r="GE25" s="56"/>
      <c r="GF25" s="56"/>
      <c r="GG25" s="56"/>
      <c r="GH25" s="56"/>
      <c r="GI25" s="56"/>
      <c r="GJ25" s="56"/>
      <c r="GK25" s="56"/>
      <c r="GL25" s="56"/>
      <c r="GM25" s="56"/>
      <c r="GN25" s="56"/>
      <c r="GO25" s="56"/>
    </row>
    <row r="26" spans="1:197" ht="23.25">
      <c r="A26" s="200"/>
      <c r="B26" s="201"/>
      <c r="C26" s="201"/>
      <c r="D26" s="57"/>
      <c r="E26" s="57"/>
      <c r="F26" s="772"/>
      <c r="G26" s="773"/>
      <c r="H26" s="56"/>
      <c r="I26" s="201"/>
      <c r="K26" s="775"/>
      <c r="L26" s="775"/>
      <c r="M26" s="775"/>
      <c r="N26" s="776"/>
      <c r="O26" s="776"/>
      <c r="P26" s="55"/>
      <c r="Q26" s="55"/>
      <c r="R26" s="780"/>
      <c r="S26" s="780"/>
      <c r="T26" s="780"/>
      <c r="U26" s="780"/>
      <c r="V26" s="55"/>
      <c r="W26" s="56"/>
      <c r="X26" s="206"/>
      <c r="Y26" s="206"/>
      <c r="Z26" s="206"/>
      <c r="AA26" s="56"/>
      <c r="AB26" s="780"/>
      <c r="AC26" s="780"/>
      <c r="AD26" s="56"/>
      <c r="AE26" s="75" t="s">
        <v>150</v>
      </c>
      <c r="AF26" s="167"/>
      <c r="AG26" s="167"/>
      <c r="AH26" s="207" t="s">
        <v>158</v>
      </c>
      <c r="AI26" s="208"/>
      <c r="AJ26" s="187"/>
      <c r="AK26" s="75" t="s">
        <v>159</v>
      </c>
      <c r="AL26" s="167"/>
      <c r="AM26" s="167"/>
      <c r="AN26" s="195"/>
      <c r="AO26" s="195"/>
      <c r="AP26" s="57"/>
      <c r="AQ26" s="101" t="s">
        <v>160</v>
      </c>
      <c r="AR26" s="141"/>
      <c r="AS26" s="141"/>
      <c r="AT26" s="209"/>
      <c r="AU26" s="207" t="s">
        <v>161</v>
      </c>
      <c r="AV26" s="56"/>
      <c r="AW26" s="56"/>
      <c r="AX26" s="56"/>
      <c r="AY26" s="56"/>
      <c r="AZ26" s="56"/>
      <c r="BA26" s="187"/>
      <c r="BB26" s="187"/>
      <c r="BC26" s="187"/>
      <c r="BD26" s="210"/>
      <c r="BE26" s="210"/>
      <c r="BF26" s="210"/>
      <c r="BG26" s="229"/>
      <c r="BH26" s="229"/>
      <c r="BI26" s="98"/>
      <c r="BJ26" s="76"/>
      <c r="BK26" s="229"/>
      <c r="BL26" s="83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  <c r="DQ26" s="56"/>
      <c r="DR26" s="56"/>
      <c r="DS26" s="56"/>
      <c r="DT26" s="56"/>
      <c r="DU26" s="56"/>
      <c r="DV26" s="56"/>
      <c r="DW26" s="56"/>
      <c r="DX26" s="56"/>
      <c r="DY26" s="56"/>
      <c r="DZ26" s="56"/>
      <c r="EA26" s="56"/>
      <c r="EB26" s="56"/>
      <c r="EC26" s="56"/>
      <c r="ED26" s="56"/>
      <c r="EE26" s="56"/>
      <c r="EF26" s="56"/>
      <c r="EG26" s="56"/>
      <c r="EH26" s="56"/>
      <c r="EI26" s="56"/>
      <c r="EJ26" s="56"/>
      <c r="EK26" s="56"/>
      <c r="EL26" s="56"/>
      <c r="EM26" s="56"/>
      <c r="EN26" s="56"/>
      <c r="EO26" s="56"/>
      <c r="EP26" s="56"/>
      <c r="EQ26" s="56"/>
      <c r="ER26" s="56"/>
      <c r="ES26" s="56"/>
      <c r="ET26" s="56"/>
      <c r="EU26" s="56"/>
      <c r="EV26" s="56"/>
      <c r="EW26" s="56"/>
      <c r="EX26" s="56"/>
      <c r="EY26" s="56"/>
      <c r="EZ26" s="56"/>
      <c r="FA26" s="56"/>
      <c r="FB26" s="56"/>
      <c r="FC26" s="56"/>
      <c r="FD26" s="56"/>
      <c r="FE26" s="56"/>
      <c r="FF26" s="56"/>
      <c r="FG26" s="56"/>
      <c r="FH26" s="56"/>
      <c r="FI26" s="56"/>
      <c r="FJ26" s="56"/>
      <c r="FK26" s="56"/>
      <c r="FL26" s="56"/>
      <c r="FM26" s="56"/>
      <c r="FN26" s="56"/>
      <c r="FO26" s="56"/>
      <c r="FP26" s="56"/>
      <c r="FQ26" s="56"/>
      <c r="FR26" s="56"/>
      <c r="FS26" s="56"/>
      <c r="FT26" s="56"/>
      <c r="FU26" s="56"/>
      <c r="FV26" s="56"/>
      <c r="FW26" s="56"/>
      <c r="FX26" s="56"/>
      <c r="FY26" s="56"/>
      <c r="FZ26" s="56"/>
      <c r="GA26" s="56"/>
      <c r="GB26" s="56"/>
      <c r="GC26" s="56"/>
      <c r="GD26" s="56"/>
      <c r="GE26" s="56"/>
      <c r="GF26" s="56"/>
      <c r="GG26" s="56"/>
      <c r="GH26" s="56"/>
      <c r="GI26" s="56"/>
      <c r="GJ26" s="56"/>
      <c r="GK26" s="56"/>
      <c r="GL26" s="56"/>
      <c r="GM26" s="56"/>
      <c r="GN26" s="56"/>
      <c r="GO26" s="56"/>
    </row>
    <row r="27" spans="1:197" ht="21">
      <c r="A27" s="192"/>
      <c r="B27" s="186"/>
      <c r="C27" s="212"/>
      <c r="D27" s="57"/>
      <c r="E27" s="57"/>
      <c r="F27" s="772"/>
      <c r="G27" s="773"/>
      <c r="H27" s="56"/>
      <c r="I27" s="58"/>
      <c r="K27" s="212"/>
      <c r="L27" s="213"/>
      <c r="M27" s="777"/>
      <c r="N27" s="777"/>
      <c r="O27" s="212"/>
      <c r="P27" s="212"/>
      <c r="Q27" s="55"/>
      <c r="R27" s="785"/>
      <c r="S27" s="768"/>
      <c r="T27" s="768"/>
      <c r="U27" s="270"/>
      <c r="V27" s="55"/>
      <c r="W27" s="56"/>
      <c r="X27" s="206"/>
      <c r="Y27" s="213"/>
      <c r="Z27" s="776"/>
      <c r="AA27" s="776"/>
      <c r="AB27" s="786"/>
      <c r="AC27" s="56"/>
      <c r="AD27" s="219">
        <v>1</v>
      </c>
      <c r="AE27" s="220"/>
      <c r="AF27" s="221">
        <v>100</v>
      </c>
      <c r="AG27" s="221">
        <v>100</v>
      </c>
      <c r="AH27" s="220"/>
      <c r="AI27" s="222">
        <v>6</v>
      </c>
      <c r="AJ27" s="219">
        <v>1</v>
      </c>
      <c r="AK27" s="220"/>
      <c r="AL27" s="223">
        <v>100</v>
      </c>
      <c r="AM27" s="223">
        <v>100</v>
      </c>
      <c r="AN27" s="220"/>
      <c r="AO27" s="222">
        <v>6</v>
      </c>
      <c r="AP27" s="180">
        <v>1</v>
      </c>
      <c r="AQ27" s="141" t="s">
        <v>129</v>
      </c>
      <c r="AR27" s="170">
        <v>25</v>
      </c>
      <c r="AS27" s="168">
        <v>25</v>
      </c>
      <c r="AT27" s="141" t="s">
        <v>129</v>
      </c>
      <c r="AU27" s="224">
        <v>6</v>
      </c>
      <c r="AV27" s="56"/>
      <c r="AW27" s="135"/>
      <c r="AX27" s="210"/>
      <c r="AY27" s="229"/>
      <c r="AZ27" s="225"/>
      <c r="BA27" s="187"/>
      <c r="BB27" s="187"/>
      <c r="BC27" s="187"/>
      <c r="BD27" s="815"/>
      <c r="BE27" s="815"/>
      <c r="BF27" s="815"/>
      <c r="BG27" s="431"/>
      <c r="BH27" s="431"/>
      <c r="BI27" s="98"/>
      <c r="BJ27" s="228"/>
      <c r="BK27" s="229"/>
      <c r="BL27" s="83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6"/>
      <c r="CO27" s="56"/>
      <c r="CP27" s="56"/>
      <c r="CQ27" s="56"/>
      <c r="CR27" s="56"/>
      <c r="CS27" s="56"/>
      <c r="CT27" s="56"/>
      <c r="CU27" s="56"/>
      <c r="CV27" s="56"/>
      <c r="CW27" s="56"/>
      <c r="CX27" s="56"/>
      <c r="CY27" s="56"/>
      <c r="CZ27" s="56"/>
      <c r="DA27" s="56"/>
      <c r="DB27" s="56"/>
      <c r="DC27" s="56"/>
      <c r="DD27" s="56"/>
      <c r="DE27" s="56"/>
      <c r="DF27" s="56"/>
      <c r="DG27" s="56"/>
      <c r="DH27" s="56"/>
      <c r="DI27" s="56"/>
      <c r="DJ27" s="56"/>
      <c r="DK27" s="56"/>
      <c r="DL27" s="56"/>
      <c r="DM27" s="56"/>
      <c r="DN27" s="56"/>
      <c r="DO27" s="56"/>
      <c r="DP27" s="56"/>
      <c r="DQ27" s="56"/>
      <c r="DR27" s="56"/>
      <c r="DS27" s="56"/>
      <c r="DT27" s="56"/>
      <c r="DU27" s="56"/>
      <c r="DV27" s="56"/>
      <c r="DW27" s="56"/>
      <c r="DX27" s="56"/>
      <c r="DY27" s="56"/>
      <c r="DZ27" s="56"/>
      <c r="EA27" s="56"/>
      <c r="EB27" s="56"/>
      <c r="EC27" s="56"/>
      <c r="ED27" s="56"/>
      <c r="EE27" s="56"/>
      <c r="EF27" s="56"/>
      <c r="EG27" s="56"/>
      <c r="EH27" s="56"/>
      <c r="EI27" s="56"/>
      <c r="EJ27" s="56"/>
      <c r="EK27" s="56"/>
      <c r="EL27" s="56"/>
      <c r="EM27" s="56"/>
      <c r="EN27" s="56"/>
      <c r="EO27" s="56"/>
      <c r="EP27" s="56"/>
      <c r="EQ27" s="56"/>
      <c r="ER27" s="56"/>
      <c r="ES27" s="56"/>
      <c r="ET27" s="56"/>
      <c r="EU27" s="56"/>
      <c r="EV27" s="56"/>
      <c r="EW27" s="56"/>
      <c r="EX27" s="56"/>
      <c r="EY27" s="56"/>
      <c r="EZ27" s="56"/>
      <c r="FA27" s="56"/>
      <c r="FB27" s="56"/>
      <c r="FC27" s="56"/>
      <c r="FD27" s="56"/>
      <c r="FE27" s="56"/>
      <c r="FF27" s="56"/>
      <c r="FG27" s="56"/>
      <c r="FH27" s="56"/>
      <c r="FI27" s="56"/>
      <c r="FJ27" s="56"/>
      <c r="FK27" s="56"/>
      <c r="FL27" s="56"/>
      <c r="FM27" s="56"/>
      <c r="FN27" s="56"/>
      <c r="FO27" s="56"/>
      <c r="FP27" s="56"/>
      <c r="FQ27" s="56"/>
      <c r="FR27" s="56"/>
      <c r="FS27" s="56"/>
      <c r="FT27" s="56"/>
      <c r="FU27" s="56"/>
      <c r="FV27" s="56"/>
      <c r="FW27" s="56"/>
      <c r="FX27" s="56"/>
      <c r="FY27" s="56"/>
      <c r="FZ27" s="56"/>
      <c r="GA27" s="56"/>
      <c r="GB27" s="56"/>
      <c r="GC27" s="56"/>
      <c r="GD27" s="56"/>
      <c r="GE27" s="56"/>
      <c r="GF27" s="56"/>
      <c r="GG27" s="56"/>
      <c r="GH27" s="56"/>
      <c r="GI27" s="56"/>
      <c r="GJ27" s="56"/>
      <c r="GK27" s="56"/>
      <c r="GL27" s="56"/>
      <c r="GM27" s="56"/>
      <c r="GN27" s="56"/>
      <c r="GO27" s="56"/>
    </row>
    <row r="28" spans="1:197" ht="21">
      <c r="A28" s="192"/>
      <c r="B28" s="186"/>
      <c r="C28" s="185"/>
      <c r="D28" s="57"/>
      <c r="E28" s="57"/>
      <c r="F28" s="772"/>
      <c r="G28" s="773"/>
      <c r="H28" s="56"/>
      <c r="I28" s="58"/>
      <c r="K28" s="778"/>
      <c r="L28" s="777"/>
      <c r="M28" s="779"/>
      <c r="N28" s="779"/>
      <c r="O28" s="777"/>
      <c r="P28" s="787"/>
      <c r="Q28" s="55"/>
      <c r="R28" s="56"/>
      <c r="S28" s="56"/>
      <c r="T28" s="56"/>
      <c r="U28" s="270"/>
      <c r="V28" s="55"/>
      <c r="W28" s="56"/>
      <c r="X28" s="206"/>
      <c r="Y28" s="788"/>
      <c r="Z28" s="779"/>
      <c r="AA28" s="779"/>
      <c r="AB28" s="788"/>
      <c r="AC28" s="56"/>
      <c r="AD28" s="219">
        <v>2</v>
      </c>
      <c r="AE28" s="220"/>
      <c r="AF28" s="233">
        <v>100</v>
      </c>
      <c r="AG28" s="233">
        <v>100</v>
      </c>
      <c r="AH28" s="220"/>
      <c r="AI28" s="222">
        <v>5</v>
      </c>
      <c r="AJ28" s="219">
        <v>2</v>
      </c>
      <c r="AK28" s="220"/>
      <c r="AL28" s="233">
        <v>100</v>
      </c>
      <c r="AM28" s="233">
        <v>100</v>
      </c>
      <c r="AN28" s="220"/>
      <c r="AO28" s="222">
        <v>5</v>
      </c>
      <c r="AP28" s="180">
        <v>2</v>
      </c>
      <c r="AQ28" s="141" t="s">
        <v>129</v>
      </c>
      <c r="AR28" s="170">
        <v>25</v>
      </c>
      <c r="AS28" s="168">
        <v>25</v>
      </c>
      <c r="AT28" s="141" t="s">
        <v>129</v>
      </c>
      <c r="AU28" s="224">
        <v>5</v>
      </c>
      <c r="AV28" s="56"/>
      <c r="AW28" s="135"/>
      <c r="AX28" s="210"/>
      <c r="AY28" s="229"/>
      <c r="AZ28" s="225"/>
      <c r="BA28" s="98"/>
      <c r="BC28" s="98"/>
      <c r="BD28" s="259"/>
      <c r="BE28" s="112"/>
      <c r="BF28" s="100"/>
      <c r="BG28" s="100"/>
      <c r="BH28" s="100"/>
      <c r="BI28" s="197"/>
      <c r="BJ28" s="76"/>
      <c r="BK28" s="229"/>
      <c r="BL28" s="83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56"/>
      <c r="CO28" s="56"/>
      <c r="CP28" s="56"/>
      <c r="CQ28" s="56"/>
      <c r="CR28" s="56"/>
      <c r="CS28" s="56"/>
      <c r="CT28" s="56"/>
      <c r="CU28" s="56"/>
      <c r="CV28" s="56"/>
      <c r="CW28" s="56"/>
      <c r="CX28" s="56"/>
      <c r="CY28" s="56"/>
      <c r="CZ28" s="56"/>
      <c r="DA28" s="56"/>
      <c r="DB28" s="56"/>
      <c r="DC28" s="56"/>
      <c r="DD28" s="56"/>
      <c r="DE28" s="56"/>
      <c r="DF28" s="56"/>
      <c r="DG28" s="56"/>
      <c r="DH28" s="56"/>
      <c r="DI28" s="56"/>
      <c r="DJ28" s="56"/>
      <c r="DK28" s="56"/>
      <c r="DL28" s="56"/>
      <c r="DM28" s="56"/>
      <c r="DN28" s="56"/>
      <c r="DO28" s="56"/>
      <c r="DP28" s="56"/>
      <c r="DQ28" s="56"/>
      <c r="DR28" s="56"/>
      <c r="DS28" s="56"/>
      <c r="DT28" s="56"/>
      <c r="DU28" s="56"/>
      <c r="DV28" s="56"/>
      <c r="DW28" s="56"/>
      <c r="DX28" s="56"/>
      <c r="DY28" s="56"/>
      <c r="DZ28" s="56"/>
      <c r="EA28" s="56"/>
      <c r="EB28" s="56"/>
      <c r="EC28" s="56"/>
      <c r="ED28" s="56"/>
      <c r="EE28" s="56"/>
      <c r="EF28" s="56"/>
      <c r="EG28" s="56"/>
      <c r="EH28" s="56"/>
      <c r="EI28" s="56"/>
      <c r="EJ28" s="56"/>
      <c r="EK28" s="56"/>
      <c r="EL28" s="56"/>
      <c r="EM28" s="56"/>
      <c r="EN28" s="56"/>
      <c r="EO28" s="56"/>
      <c r="EP28" s="56"/>
      <c r="EQ28" s="56"/>
      <c r="ER28" s="56"/>
      <c r="ES28" s="56"/>
      <c r="ET28" s="56"/>
      <c r="EU28" s="56"/>
      <c r="EV28" s="56"/>
      <c r="EW28" s="56"/>
      <c r="EX28" s="56"/>
      <c r="EY28" s="56"/>
      <c r="EZ28" s="56"/>
      <c r="FA28" s="56"/>
      <c r="FB28" s="56"/>
      <c r="FC28" s="56"/>
      <c r="FD28" s="56"/>
      <c r="FE28" s="56"/>
      <c r="FF28" s="56"/>
      <c r="FG28" s="56"/>
      <c r="FH28" s="56"/>
      <c r="FI28" s="56"/>
      <c r="FJ28" s="56"/>
      <c r="FK28" s="56"/>
      <c r="FL28" s="56"/>
      <c r="FM28" s="56"/>
      <c r="FN28" s="56"/>
      <c r="FO28" s="56"/>
      <c r="FP28" s="56"/>
      <c r="FQ28" s="56"/>
      <c r="FR28" s="56"/>
      <c r="FS28" s="56"/>
      <c r="FT28" s="56"/>
      <c r="FU28" s="56"/>
      <c r="FV28" s="56"/>
      <c r="FW28" s="56"/>
      <c r="FX28" s="56"/>
      <c r="FY28" s="56"/>
      <c r="FZ28" s="56"/>
      <c r="GA28" s="56"/>
      <c r="GB28" s="56"/>
      <c r="GC28" s="56"/>
      <c r="GD28" s="56"/>
      <c r="GE28" s="56"/>
      <c r="GF28" s="56"/>
      <c r="GG28" s="56"/>
      <c r="GH28" s="56"/>
      <c r="GI28" s="56"/>
      <c r="GJ28" s="56"/>
      <c r="GK28" s="56"/>
      <c r="GL28" s="56"/>
      <c r="GM28" s="56"/>
      <c r="GN28" s="56"/>
      <c r="GO28" s="56"/>
    </row>
    <row r="29" spans="1:197" ht="21">
      <c r="A29" s="192"/>
      <c r="B29" s="186"/>
      <c r="C29" s="185"/>
      <c r="D29" s="57"/>
      <c r="E29" s="57"/>
      <c r="F29" s="772"/>
      <c r="G29" s="773"/>
      <c r="H29" s="104"/>
      <c r="I29" s="58"/>
      <c r="K29" s="778"/>
      <c r="L29" s="777"/>
      <c r="M29" s="779"/>
      <c r="N29" s="779"/>
      <c r="O29" s="777"/>
      <c r="P29" s="787"/>
      <c r="Q29" s="55"/>
      <c r="R29" s="56"/>
      <c r="S29" s="768"/>
      <c r="T29" s="768"/>
      <c r="U29" s="270"/>
      <c r="V29" s="56"/>
      <c r="W29" s="56"/>
      <c r="X29" s="206"/>
      <c r="Y29" s="788"/>
      <c r="Z29" s="779"/>
      <c r="AA29" s="779"/>
      <c r="AB29" s="788"/>
      <c r="AC29" s="56"/>
      <c r="AD29" s="219">
        <v>3</v>
      </c>
      <c r="AE29" s="220"/>
      <c r="AF29" s="221">
        <v>100</v>
      </c>
      <c r="AG29" s="221">
        <v>100</v>
      </c>
      <c r="AH29" s="220"/>
      <c r="AI29" s="222">
        <v>4</v>
      </c>
      <c r="AJ29" s="219">
        <v>3</v>
      </c>
      <c r="AK29" s="220"/>
      <c r="AL29" s="233">
        <v>100</v>
      </c>
      <c r="AM29" s="233">
        <v>100</v>
      </c>
      <c r="AN29" s="220"/>
      <c r="AO29" s="222">
        <v>4</v>
      </c>
      <c r="AP29" s="180">
        <v>3</v>
      </c>
      <c r="AQ29" s="141" t="s">
        <v>129</v>
      </c>
      <c r="AR29" s="170">
        <v>25</v>
      </c>
      <c r="AS29" s="168">
        <v>25</v>
      </c>
      <c r="AT29" s="141" t="s">
        <v>129</v>
      </c>
      <c r="AU29" s="224">
        <v>4</v>
      </c>
      <c r="AV29" s="56"/>
      <c r="AW29" s="135"/>
      <c r="AX29" s="210"/>
      <c r="AY29" s="768"/>
      <c r="AZ29" s="56"/>
      <c r="BA29" s="56"/>
      <c r="BC29" s="196"/>
      <c r="BD29" s="100"/>
      <c r="BE29" s="100"/>
      <c r="BF29" s="100"/>
      <c r="BG29" s="100"/>
      <c r="BH29" s="100"/>
      <c r="BI29" s="129"/>
      <c r="BJ29" s="234"/>
      <c r="BK29" s="229"/>
      <c r="BL29" s="83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6"/>
      <c r="DC29" s="56"/>
      <c r="DD29" s="56"/>
      <c r="DE29" s="56"/>
      <c r="DF29" s="56"/>
      <c r="DG29" s="56"/>
      <c r="DH29" s="56"/>
      <c r="DI29" s="56"/>
      <c r="DJ29" s="56"/>
      <c r="DK29" s="56"/>
      <c r="DL29" s="56"/>
      <c r="DM29" s="56"/>
      <c r="DN29" s="56"/>
      <c r="DO29" s="56"/>
      <c r="DP29" s="56"/>
      <c r="DQ29" s="56"/>
      <c r="DR29" s="56"/>
      <c r="DS29" s="56"/>
      <c r="DT29" s="56"/>
      <c r="DU29" s="56"/>
      <c r="DV29" s="56"/>
      <c r="DW29" s="56"/>
      <c r="DX29" s="56"/>
      <c r="DY29" s="56"/>
      <c r="DZ29" s="56"/>
      <c r="EA29" s="56"/>
      <c r="EB29" s="56"/>
      <c r="EC29" s="56"/>
      <c r="ED29" s="56"/>
      <c r="EE29" s="56"/>
      <c r="EF29" s="56"/>
      <c r="EG29" s="56"/>
      <c r="EH29" s="56"/>
      <c r="EI29" s="56"/>
      <c r="EJ29" s="56"/>
      <c r="EK29" s="56"/>
      <c r="EL29" s="56"/>
      <c r="EM29" s="56"/>
      <c r="EN29" s="56"/>
      <c r="EO29" s="56"/>
      <c r="EP29" s="56"/>
      <c r="EQ29" s="56"/>
      <c r="ER29" s="56"/>
      <c r="ES29" s="56"/>
      <c r="ET29" s="56"/>
      <c r="EU29" s="56"/>
      <c r="EV29" s="56"/>
      <c r="EW29" s="56"/>
      <c r="EX29" s="56"/>
      <c r="EY29" s="56"/>
      <c r="EZ29" s="56"/>
      <c r="FA29" s="56"/>
      <c r="FB29" s="56"/>
      <c r="FC29" s="56"/>
      <c r="FD29" s="56"/>
      <c r="FE29" s="56"/>
      <c r="FF29" s="56"/>
      <c r="FG29" s="56"/>
      <c r="FH29" s="56"/>
      <c r="FI29" s="56"/>
      <c r="FJ29" s="56"/>
      <c r="FK29" s="56"/>
      <c r="FL29" s="56"/>
      <c r="FM29" s="56"/>
      <c r="FN29" s="56"/>
      <c r="FO29" s="56"/>
      <c r="FP29" s="56"/>
      <c r="FQ29" s="56"/>
      <c r="FR29" s="56"/>
      <c r="FS29" s="56"/>
      <c r="FT29" s="56"/>
      <c r="FU29" s="56"/>
      <c r="FV29" s="56"/>
      <c r="FW29" s="56"/>
      <c r="FX29" s="56"/>
      <c r="FY29" s="56"/>
      <c r="FZ29" s="56"/>
      <c r="GA29" s="56"/>
      <c r="GB29" s="56"/>
      <c r="GC29" s="56"/>
      <c r="GD29" s="56"/>
      <c r="GE29" s="56"/>
      <c r="GF29" s="56"/>
      <c r="GG29" s="56"/>
      <c r="GH29" s="56"/>
      <c r="GI29" s="56"/>
      <c r="GJ29" s="56"/>
      <c r="GK29" s="56"/>
      <c r="GL29" s="56"/>
      <c r="GM29" s="56"/>
      <c r="GN29" s="56"/>
      <c r="GO29" s="56"/>
    </row>
    <row r="30" spans="1:197" ht="21.75" thickBot="1">
      <c r="A30" s="192"/>
      <c r="B30" s="186"/>
      <c r="C30" s="185"/>
      <c r="D30" s="57"/>
      <c r="E30" s="57"/>
      <c r="F30" s="772"/>
      <c r="G30" s="773"/>
      <c r="H30" s="104"/>
      <c r="I30" s="58"/>
      <c r="J30" s="205"/>
      <c r="K30" s="778"/>
      <c r="L30" s="777"/>
      <c r="M30" s="779"/>
      <c r="N30" s="779"/>
      <c r="O30" s="777"/>
      <c r="P30" s="787"/>
      <c r="Q30" s="55"/>
      <c r="R30" s="56"/>
      <c r="S30" s="789"/>
      <c r="T30" s="212"/>
      <c r="U30" s="56"/>
      <c r="V30" s="790"/>
      <c r="W30" s="790"/>
      <c r="X30" s="206"/>
      <c r="Y30" s="788"/>
      <c r="Z30" s="779"/>
      <c r="AA30" s="779"/>
      <c r="AB30" s="788"/>
      <c r="AC30" s="56"/>
      <c r="AD30" s="238"/>
      <c r="AF30" s="167"/>
      <c r="AG30" s="167"/>
      <c r="AI30" s="222"/>
      <c r="AJ30" s="84"/>
      <c r="AK30" s="84"/>
      <c r="AL30" s="167"/>
      <c r="AM30" s="167"/>
      <c r="AN30" s="239"/>
      <c r="AO30" s="239"/>
      <c r="AP30" s="57"/>
      <c r="AQ30" s="224"/>
      <c r="AR30" s="141"/>
      <c r="AS30" s="141"/>
      <c r="AT30" s="224"/>
      <c r="AU30" s="57"/>
      <c r="AV30" s="56"/>
      <c r="AW30" s="135"/>
      <c r="AX30" s="210"/>
      <c r="AY30" s="768"/>
      <c r="AZ30" s="56"/>
      <c r="BA30" s="56"/>
      <c r="BC30" s="56"/>
      <c r="BD30" s="56"/>
      <c r="BE30" s="56"/>
      <c r="BF30" s="56"/>
      <c r="BG30" s="56"/>
      <c r="BH30" s="56"/>
      <c r="BI30" s="129"/>
      <c r="BJ30" s="76"/>
      <c r="BK30" s="229"/>
      <c r="BL30" s="83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  <c r="CO30" s="56"/>
      <c r="CP30" s="56"/>
      <c r="CQ30" s="56"/>
      <c r="CR30" s="56"/>
      <c r="CS30" s="56"/>
      <c r="CT30" s="56"/>
      <c r="CU30" s="56"/>
      <c r="CV30" s="56"/>
      <c r="CW30" s="56"/>
      <c r="CX30" s="56"/>
      <c r="CY30" s="56"/>
      <c r="CZ30" s="56"/>
      <c r="DA30" s="56"/>
      <c r="DB30" s="56"/>
      <c r="DC30" s="56"/>
      <c r="DD30" s="56"/>
      <c r="DE30" s="56"/>
      <c r="DF30" s="56"/>
      <c r="DG30" s="56"/>
      <c r="DH30" s="56"/>
      <c r="DI30" s="56"/>
      <c r="DJ30" s="56"/>
      <c r="DK30" s="56"/>
      <c r="DL30" s="56"/>
      <c r="DM30" s="56"/>
      <c r="DN30" s="56"/>
      <c r="DO30" s="56"/>
      <c r="DP30" s="56"/>
      <c r="DQ30" s="56"/>
      <c r="DR30" s="56"/>
      <c r="DS30" s="56"/>
      <c r="DT30" s="56"/>
      <c r="DU30" s="56"/>
      <c r="DV30" s="56"/>
      <c r="DW30" s="56"/>
      <c r="DX30" s="56"/>
      <c r="DY30" s="56"/>
      <c r="DZ30" s="56"/>
      <c r="EA30" s="56"/>
      <c r="EB30" s="56"/>
      <c r="EC30" s="56"/>
      <c r="ED30" s="56"/>
      <c r="EE30" s="56"/>
      <c r="EF30" s="56"/>
      <c r="EG30" s="56"/>
      <c r="EH30" s="56"/>
      <c r="EI30" s="56"/>
      <c r="EJ30" s="56"/>
      <c r="EK30" s="56"/>
      <c r="EL30" s="56"/>
      <c r="EM30" s="56"/>
      <c r="EN30" s="56"/>
      <c r="EO30" s="56"/>
      <c r="EP30" s="56"/>
      <c r="EQ30" s="56"/>
      <c r="ER30" s="56"/>
      <c r="ES30" s="56"/>
      <c r="ET30" s="56"/>
      <c r="EU30" s="56"/>
      <c r="EV30" s="56"/>
      <c r="EW30" s="56"/>
      <c r="EX30" s="56"/>
      <c r="EY30" s="56"/>
      <c r="EZ30" s="56"/>
      <c r="FA30" s="56"/>
      <c r="FB30" s="56"/>
      <c r="FC30" s="56"/>
      <c r="FD30" s="56"/>
      <c r="FE30" s="56"/>
      <c r="FF30" s="56"/>
      <c r="FG30" s="56"/>
      <c r="FH30" s="56"/>
      <c r="FI30" s="56"/>
      <c r="FJ30" s="56"/>
      <c r="FK30" s="56"/>
      <c r="FL30" s="56"/>
      <c r="FM30" s="56"/>
      <c r="FN30" s="56"/>
      <c r="FO30" s="56"/>
      <c r="FP30" s="56"/>
      <c r="FQ30" s="56"/>
      <c r="FR30" s="56"/>
      <c r="FS30" s="56"/>
      <c r="FT30" s="56"/>
      <c r="FU30" s="56"/>
      <c r="FV30" s="56"/>
      <c r="FW30" s="56"/>
      <c r="FX30" s="56"/>
      <c r="FY30" s="56"/>
      <c r="FZ30" s="56"/>
      <c r="GA30" s="56"/>
      <c r="GB30" s="56"/>
      <c r="GC30" s="56"/>
      <c r="GD30" s="56"/>
      <c r="GE30" s="56"/>
      <c r="GF30" s="56"/>
      <c r="GG30" s="56"/>
      <c r="GH30" s="56"/>
      <c r="GI30" s="56"/>
      <c r="GJ30" s="56"/>
      <c r="GK30" s="56"/>
      <c r="GL30" s="56"/>
      <c r="GM30" s="56"/>
      <c r="GN30" s="56"/>
      <c r="GO30" s="56"/>
    </row>
    <row r="31" spans="1:197" ht="20.25">
      <c r="A31" s="240"/>
      <c r="B31" s="241"/>
      <c r="C31" s="185"/>
      <c r="D31" s="57"/>
      <c r="E31" s="57"/>
      <c r="F31" s="772"/>
      <c r="G31" s="773"/>
      <c r="H31" s="104"/>
      <c r="I31" s="58"/>
      <c r="J31" s="205"/>
      <c r="K31" s="56"/>
      <c r="L31" s="56"/>
      <c r="M31" s="777"/>
      <c r="N31" s="777"/>
      <c r="O31" s="56"/>
      <c r="P31" s="212"/>
      <c r="Q31" s="55"/>
      <c r="R31" s="57"/>
      <c r="S31" s="768"/>
      <c r="T31" s="768"/>
      <c r="U31" s="212"/>
      <c r="V31" s="112"/>
      <c r="W31" s="791"/>
      <c r="X31" s="206"/>
      <c r="Y31" s="280"/>
      <c r="Z31" s="280"/>
      <c r="AA31" s="212"/>
      <c r="AB31" s="212"/>
      <c r="AC31" s="780"/>
      <c r="AD31" s="238"/>
      <c r="AI31" s="222"/>
      <c r="AJ31" s="84"/>
      <c r="AV31" s="56"/>
      <c r="AW31" s="135"/>
      <c r="AX31" s="210"/>
      <c r="AY31" s="431"/>
      <c r="AZ31" s="56"/>
      <c r="BA31" s="56"/>
      <c r="BC31" s="56"/>
      <c r="BD31" s="56"/>
      <c r="BE31" s="56"/>
      <c r="BF31" s="56"/>
      <c r="BG31" s="56"/>
      <c r="BH31" s="56"/>
      <c r="BI31" s="197"/>
      <c r="BJ31" s="234"/>
      <c r="BK31" s="821"/>
      <c r="BL31" s="83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  <c r="CW31" s="56"/>
      <c r="CX31" s="56"/>
      <c r="CY31" s="56"/>
      <c r="CZ31" s="56"/>
      <c r="DA31" s="56"/>
      <c r="DB31" s="56"/>
      <c r="DC31" s="56"/>
      <c r="DD31" s="56"/>
      <c r="DE31" s="56"/>
      <c r="DF31" s="56"/>
      <c r="DG31" s="56"/>
      <c r="DH31" s="56"/>
      <c r="DI31" s="56"/>
      <c r="DJ31" s="56"/>
      <c r="DK31" s="56"/>
      <c r="DL31" s="56"/>
      <c r="DM31" s="56"/>
      <c r="DN31" s="56"/>
      <c r="DO31" s="56"/>
      <c r="DP31" s="56"/>
      <c r="DQ31" s="56"/>
      <c r="DR31" s="56"/>
      <c r="DS31" s="56"/>
      <c r="DT31" s="56"/>
      <c r="DU31" s="56"/>
      <c r="DV31" s="56"/>
      <c r="DW31" s="56"/>
      <c r="DX31" s="56"/>
      <c r="DY31" s="56"/>
      <c r="DZ31" s="56"/>
      <c r="EA31" s="56"/>
      <c r="EB31" s="56"/>
      <c r="EC31" s="56"/>
      <c r="ED31" s="56"/>
      <c r="EE31" s="56"/>
      <c r="EF31" s="56"/>
      <c r="EG31" s="56"/>
      <c r="EH31" s="56"/>
      <c r="EI31" s="56"/>
      <c r="EJ31" s="56"/>
      <c r="EK31" s="56"/>
      <c r="EL31" s="56"/>
      <c r="EM31" s="56"/>
      <c r="EN31" s="56"/>
      <c r="EO31" s="56"/>
      <c r="EP31" s="56"/>
      <c r="EQ31" s="56"/>
      <c r="ER31" s="56"/>
      <c r="ES31" s="56"/>
      <c r="ET31" s="56"/>
      <c r="EU31" s="56"/>
      <c r="EV31" s="56"/>
      <c r="EW31" s="56"/>
      <c r="EX31" s="56"/>
      <c r="EY31" s="56"/>
      <c r="EZ31" s="56"/>
      <c r="FA31" s="56"/>
      <c r="FB31" s="56"/>
      <c r="FC31" s="56"/>
      <c r="FD31" s="56"/>
      <c r="FE31" s="56"/>
      <c r="FF31" s="56"/>
      <c r="FG31" s="56"/>
      <c r="FH31" s="56"/>
      <c r="FI31" s="56"/>
      <c r="FJ31" s="56"/>
      <c r="FK31" s="56"/>
      <c r="FL31" s="56"/>
      <c r="FM31" s="56"/>
      <c r="FN31" s="56"/>
      <c r="FO31" s="56"/>
      <c r="FP31" s="56"/>
      <c r="FQ31" s="56"/>
      <c r="FR31" s="56"/>
      <c r="FS31" s="56"/>
      <c r="FT31" s="56"/>
      <c r="FU31" s="56"/>
      <c r="FV31" s="56"/>
      <c r="FW31" s="56"/>
      <c r="FX31" s="56"/>
      <c r="FY31" s="56"/>
      <c r="FZ31" s="56"/>
      <c r="GA31" s="56"/>
      <c r="GB31" s="56"/>
      <c r="GC31" s="56"/>
      <c r="GD31" s="56"/>
      <c r="GE31" s="56"/>
      <c r="GF31" s="56"/>
      <c r="GG31" s="56"/>
      <c r="GH31" s="56"/>
      <c r="GI31" s="56"/>
      <c r="GJ31" s="56"/>
      <c r="GK31" s="56"/>
      <c r="GL31" s="56"/>
      <c r="GM31" s="56"/>
      <c r="GN31" s="56"/>
      <c r="GO31" s="56"/>
    </row>
    <row r="32" spans="1:197" ht="21">
      <c r="A32" s="192"/>
      <c r="B32" s="186"/>
      <c r="C32" s="186"/>
      <c r="D32" s="57"/>
      <c r="E32" s="57"/>
      <c r="F32" s="772"/>
      <c r="G32" s="771"/>
      <c r="H32" s="248"/>
      <c r="I32" s="58"/>
      <c r="J32" s="205"/>
      <c r="K32" s="780"/>
      <c r="L32" s="780"/>
      <c r="M32" s="280"/>
      <c r="N32" s="280"/>
      <c r="O32" s="212"/>
      <c r="P32" s="212"/>
      <c r="Q32" s="780"/>
      <c r="R32" s="57"/>
      <c r="S32" s="891"/>
      <c r="T32" s="891"/>
      <c r="U32" s="57"/>
      <c r="V32" s="780"/>
      <c r="W32" s="56"/>
      <c r="X32" s="206"/>
      <c r="Y32" s="57"/>
      <c r="Z32" s="780"/>
      <c r="AA32" s="56"/>
      <c r="AB32" s="56"/>
      <c r="AC32" s="780"/>
      <c r="AD32" s="238"/>
      <c r="AE32" s="75" t="s">
        <v>172</v>
      </c>
      <c r="AF32" s="167"/>
      <c r="AG32" s="167"/>
      <c r="AH32" s="222"/>
      <c r="AI32" s="222"/>
      <c r="AJ32" s="84"/>
      <c r="AK32" s="75" t="s">
        <v>173</v>
      </c>
      <c r="AL32" s="167"/>
      <c r="AM32" s="167"/>
      <c r="AN32" s="239"/>
      <c r="AO32" s="239"/>
      <c r="AP32" s="57"/>
      <c r="AQ32" s="101" t="s">
        <v>174</v>
      </c>
      <c r="AR32" s="141"/>
      <c r="AS32" s="141"/>
      <c r="AT32" s="224"/>
      <c r="AU32" s="57"/>
      <c r="AV32" s="56"/>
      <c r="AW32" s="135"/>
      <c r="AX32" s="210"/>
      <c r="AY32" s="431"/>
      <c r="AZ32" s="56"/>
      <c r="BA32" s="56"/>
      <c r="BC32" s="56"/>
      <c r="BD32" s="779"/>
      <c r="BE32" s="779"/>
      <c r="BF32" s="779"/>
      <c r="BG32" s="779"/>
      <c r="BH32" s="779"/>
      <c r="BI32" s="197"/>
      <c r="BJ32" s="76"/>
      <c r="BK32" s="817"/>
      <c r="BL32" s="83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  <c r="CZ32" s="56"/>
      <c r="DA32" s="56"/>
      <c r="DB32" s="56"/>
      <c r="DC32" s="56"/>
      <c r="DD32" s="56"/>
      <c r="DE32" s="56"/>
      <c r="DF32" s="56"/>
      <c r="DG32" s="56"/>
      <c r="DH32" s="56"/>
      <c r="DI32" s="56"/>
      <c r="DJ32" s="56"/>
      <c r="DK32" s="56"/>
      <c r="DL32" s="56"/>
      <c r="DM32" s="56"/>
      <c r="DN32" s="56"/>
      <c r="DO32" s="56"/>
      <c r="DP32" s="56"/>
      <c r="DQ32" s="56"/>
      <c r="DR32" s="56"/>
      <c r="DS32" s="56"/>
      <c r="DT32" s="56"/>
      <c r="DU32" s="56"/>
      <c r="DV32" s="56"/>
      <c r="DW32" s="56"/>
      <c r="DX32" s="56"/>
      <c r="DY32" s="56"/>
      <c r="DZ32" s="56"/>
      <c r="EA32" s="56"/>
      <c r="EB32" s="56"/>
      <c r="EC32" s="56"/>
      <c r="ED32" s="56"/>
      <c r="EE32" s="56"/>
      <c r="EF32" s="56"/>
      <c r="EG32" s="56"/>
      <c r="EH32" s="56"/>
      <c r="EI32" s="56"/>
      <c r="EJ32" s="56"/>
      <c r="EK32" s="56"/>
      <c r="EL32" s="56"/>
      <c r="EM32" s="56"/>
      <c r="EN32" s="56"/>
      <c r="EO32" s="56"/>
      <c r="EP32" s="56"/>
      <c r="EQ32" s="56"/>
      <c r="ER32" s="56"/>
      <c r="ES32" s="56"/>
      <c r="ET32" s="56"/>
      <c r="EU32" s="56"/>
      <c r="EV32" s="56"/>
      <c r="EW32" s="56"/>
      <c r="EX32" s="56"/>
      <c r="EY32" s="56"/>
      <c r="EZ32" s="56"/>
      <c r="FA32" s="56"/>
      <c r="FB32" s="56"/>
      <c r="FC32" s="56"/>
      <c r="FD32" s="56"/>
      <c r="FE32" s="56"/>
      <c r="FF32" s="56"/>
      <c r="FG32" s="56"/>
      <c r="FH32" s="56"/>
      <c r="FI32" s="56"/>
      <c r="FJ32" s="56"/>
      <c r="FK32" s="56"/>
      <c r="FL32" s="56"/>
      <c r="FM32" s="56"/>
      <c r="FN32" s="56"/>
      <c r="FO32" s="56"/>
      <c r="FP32" s="56"/>
      <c r="FQ32" s="56"/>
      <c r="FR32" s="56"/>
      <c r="FS32" s="56"/>
      <c r="FT32" s="56"/>
      <c r="FU32" s="56"/>
      <c r="FV32" s="56"/>
      <c r="FW32" s="56"/>
      <c r="FX32" s="56"/>
      <c r="FY32" s="56"/>
      <c r="FZ32" s="56"/>
      <c r="GA32" s="56"/>
      <c r="GB32" s="56"/>
      <c r="GC32" s="56"/>
      <c r="GD32" s="56"/>
      <c r="GE32" s="56"/>
      <c r="GF32" s="56"/>
      <c r="GG32" s="56"/>
      <c r="GH32" s="56"/>
      <c r="GI32" s="56"/>
      <c r="GJ32" s="56"/>
      <c r="GK32" s="56"/>
      <c r="GL32" s="56"/>
      <c r="GM32" s="56"/>
      <c r="GN32" s="56"/>
      <c r="GO32" s="56"/>
    </row>
    <row r="33" spans="1:197" ht="21">
      <c r="A33" s="192"/>
      <c r="B33" s="186"/>
      <c r="C33" s="250"/>
      <c r="D33" s="250"/>
      <c r="E33" s="250"/>
      <c r="F33" s="772"/>
      <c r="G33" s="771"/>
      <c r="H33" s="104"/>
      <c r="I33" s="58"/>
      <c r="J33" s="205"/>
      <c r="K33" s="780"/>
      <c r="L33" s="780"/>
      <c r="M33" s="775"/>
      <c r="N33" s="280"/>
      <c r="O33" s="212"/>
      <c r="P33" s="55"/>
      <c r="Q33" s="55"/>
      <c r="R33" s="57"/>
      <c r="S33" s="57"/>
      <c r="T33" s="56"/>
      <c r="U33" s="56"/>
      <c r="V33" s="56"/>
      <c r="W33" s="780"/>
      <c r="X33" s="780"/>
      <c r="Y33" s="780"/>
      <c r="Z33" s="112"/>
      <c r="AA33" s="112"/>
      <c r="AB33" s="56"/>
      <c r="AC33" s="780"/>
      <c r="AD33" s="219">
        <v>1</v>
      </c>
      <c r="AE33" s="220"/>
      <c r="AF33" s="221">
        <v>100</v>
      </c>
      <c r="AG33" s="223">
        <v>100</v>
      </c>
      <c r="AH33" s="220"/>
      <c r="AI33" s="222">
        <v>6</v>
      </c>
      <c r="AJ33" s="219">
        <v>1</v>
      </c>
      <c r="AK33" s="220"/>
      <c r="AL33" s="221">
        <v>100</v>
      </c>
      <c r="AM33" s="223">
        <v>100</v>
      </c>
      <c r="AN33" s="220"/>
      <c r="AO33" s="222">
        <v>6</v>
      </c>
      <c r="AP33" s="180">
        <v>1</v>
      </c>
      <c r="AQ33" s="141" t="s">
        <v>129</v>
      </c>
      <c r="AR33" s="251">
        <v>25</v>
      </c>
      <c r="AS33" s="169">
        <v>25</v>
      </c>
      <c r="AT33" s="141" t="s">
        <v>129</v>
      </c>
      <c r="AU33" s="224">
        <v>6</v>
      </c>
      <c r="AV33" s="56"/>
      <c r="AW33" s="56"/>
      <c r="AX33" s="56"/>
      <c r="AY33" s="56"/>
      <c r="AZ33" s="56"/>
      <c r="BA33" s="56"/>
      <c r="BC33" s="56"/>
      <c r="BD33" s="779"/>
      <c r="BE33" s="779"/>
      <c r="BF33" s="779"/>
      <c r="BG33" s="779"/>
      <c r="BH33" s="779"/>
      <c r="BI33" s="197"/>
      <c r="BJ33" s="228"/>
      <c r="BK33" s="817"/>
      <c r="BL33" s="83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  <c r="CX33" s="56"/>
      <c r="CY33" s="56"/>
      <c r="CZ33" s="56"/>
      <c r="DA33" s="56"/>
      <c r="DB33" s="56"/>
      <c r="DC33" s="56"/>
      <c r="DD33" s="56"/>
      <c r="DE33" s="56"/>
      <c r="DF33" s="56"/>
      <c r="DG33" s="56"/>
      <c r="DH33" s="56"/>
      <c r="DI33" s="56"/>
      <c r="DJ33" s="56"/>
      <c r="DK33" s="56"/>
      <c r="DL33" s="56"/>
      <c r="DM33" s="56"/>
      <c r="DN33" s="56"/>
      <c r="DO33" s="56"/>
      <c r="DP33" s="56"/>
      <c r="DQ33" s="56"/>
      <c r="DR33" s="56"/>
      <c r="DS33" s="56"/>
      <c r="DT33" s="56"/>
      <c r="DU33" s="56"/>
      <c r="DV33" s="56"/>
      <c r="DW33" s="56"/>
      <c r="DX33" s="56"/>
      <c r="DY33" s="56"/>
      <c r="DZ33" s="56"/>
      <c r="EA33" s="56"/>
      <c r="EB33" s="56"/>
      <c r="EC33" s="56"/>
      <c r="ED33" s="56"/>
      <c r="EE33" s="56"/>
      <c r="EF33" s="56"/>
      <c r="EG33" s="56"/>
      <c r="EH33" s="56"/>
      <c r="EI33" s="56"/>
      <c r="EJ33" s="56"/>
      <c r="EK33" s="56"/>
      <c r="EL33" s="56"/>
      <c r="EM33" s="56"/>
      <c r="EN33" s="56"/>
      <c r="EO33" s="56"/>
      <c r="EP33" s="56"/>
      <c r="EQ33" s="56"/>
      <c r="ER33" s="56"/>
      <c r="ES33" s="56"/>
      <c r="ET33" s="56"/>
      <c r="EU33" s="56"/>
      <c r="EV33" s="56"/>
      <c r="EW33" s="56"/>
      <c r="EX33" s="56"/>
      <c r="EY33" s="56"/>
      <c r="EZ33" s="56"/>
      <c r="FA33" s="56"/>
      <c r="FB33" s="56"/>
      <c r="FC33" s="56"/>
      <c r="FD33" s="56"/>
      <c r="FE33" s="56"/>
      <c r="FF33" s="56"/>
      <c r="FG33" s="56"/>
      <c r="FH33" s="56"/>
      <c r="FI33" s="56"/>
      <c r="FJ33" s="56"/>
      <c r="FK33" s="56"/>
      <c r="FL33" s="56"/>
      <c r="FM33" s="56"/>
      <c r="FN33" s="56"/>
      <c r="FO33" s="56"/>
      <c r="FP33" s="56"/>
      <c r="FQ33" s="56"/>
      <c r="FR33" s="56"/>
      <c r="FS33" s="56"/>
      <c r="FT33" s="56"/>
      <c r="FU33" s="56"/>
      <c r="FV33" s="56"/>
      <c r="FW33" s="56"/>
      <c r="FX33" s="56"/>
      <c r="FY33" s="56"/>
      <c r="FZ33" s="56"/>
      <c r="GA33" s="56"/>
      <c r="GB33" s="56"/>
      <c r="GC33" s="56"/>
      <c r="GD33" s="56"/>
      <c r="GE33" s="56"/>
      <c r="GF33" s="56"/>
      <c r="GG33" s="56"/>
      <c r="GH33" s="56"/>
      <c r="GI33" s="56"/>
      <c r="GJ33" s="56"/>
      <c r="GK33" s="56"/>
      <c r="GL33" s="56"/>
      <c r="GM33" s="56"/>
      <c r="GN33" s="56"/>
      <c r="GO33" s="56"/>
    </row>
    <row r="34" spans="1:197" ht="21">
      <c r="A34" s="192"/>
      <c r="B34" s="186"/>
      <c r="C34" s="212"/>
      <c r="D34" s="185"/>
      <c r="E34" s="185"/>
      <c r="F34" s="772"/>
      <c r="G34" s="771"/>
      <c r="H34" s="56"/>
      <c r="I34" s="58"/>
      <c r="J34" s="205"/>
      <c r="K34" s="205"/>
      <c r="L34" s="205"/>
      <c r="M34" s="201"/>
      <c r="N34" s="171"/>
      <c r="O34" s="171"/>
      <c r="P34" s="212"/>
      <c r="Q34" s="212"/>
      <c r="R34" s="780"/>
      <c r="S34" s="55"/>
      <c r="T34" s="56"/>
      <c r="U34" s="56"/>
      <c r="V34" s="56"/>
      <c r="W34" s="57"/>
      <c r="X34" s="56"/>
      <c r="Y34" s="56"/>
      <c r="Z34" s="776"/>
      <c r="AA34" s="776"/>
      <c r="AB34" s="56"/>
      <c r="AC34" s="780"/>
      <c r="AD34" s="219">
        <v>2</v>
      </c>
      <c r="AE34" s="220"/>
      <c r="AF34" s="223">
        <v>100</v>
      </c>
      <c r="AG34" s="223">
        <v>100</v>
      </c>
      <c r="AH34" s="220"/>
      <c r="AI34" s="222">
        <v>5</v>
      </c>
      <c r="AJ34" s="219">
        <v>2</v>
      </c>
      <c r="AK34" s="220"/>
      <c r="AL34" s="221">
        <v>100</v>
      </c>
      <c r="AM34" s="221">
        <v>100</v>
      </c>
      <c r="AN34" s="220"/>
      <c r="AO34" s="222">
        <v>5</v>
      </c>
      <c r="AP34" s="180">
        <v>2</v>
      </c>
      <c r="AQ34" s="141" t="s">
        <v>129</v>
      </c>
      <c r="AR34" s="251">
        <v>25</v>
      </c>
      <c r="AS34" s="169">
        <v>25</v>
      </c>
      <c r="AT34" s="141" t="s">
        <v>129</v>
      </c>
      <c r="AU34" s="224">
        <v>5</v>
      </c>
      <c r="AV34" s="56"/>
      <c r="AW34" s="56"/>
      <c r="AX34" s="56"/>
      <c r="AY34" s="56"/>
      <c r="AZ34" s="56"/>
      <c r="BA34" s="56"/>
      <c r="BC34" s="56"/>
      <c r="BD34" s="56"/>
      <c r="BE34" s="56"/>
      <c r="BF34" s="56"/>
      <c r="BG34" s="56"/>
      <c r="BH34" s="56"/>
      <c r="BI34" s="197"/>
      <c r="BJ34" s="76"/>
      <c r="BK34" s="817"/>
      <c r="BL34" s="83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  <c r="CO34" s="56"/>
      <c r="CP34" s="56"/>
      <c r="CQ34" s="56"/>
      <c r="CR34" s="56"/>
      <c r="CS34" s="56"/>
      <c r="CT34" s="56"/>
      <c r="CU34" s="56"/>
      <c r="CV34" s="56"/>
      <c r="CW34" s="56"/>
      <c r="CX34" s="56"/>
      <c r="CY34" s="56"/>
      <c r="CZ34" s="56"/>
      <c r="DA34" s="56"/>
      <c r="DB34" s="56"/>
      <c r="DC34" s="56"/>
      <c r="DD34" s="56"/>
      <c r="DE34" s="56"/>
      <c r="DF34" s="56"/>
      <c r="DG34" s="56"/>
      <c r="DH34" s="56"/>
      <c r="DI34" s="56"/>
      <c r="DJ34" s="56"/>
      <c r="DK34" s="56"/>
      <c r="DL34" s="56"/>
      <c r="DM34" s="56"/>
      <c r="DN34" s="56"/>
      <c r="DO34" s="56"/>
      <c r="DP34" s="56"/>
      <c r="DQ34" s="56"/>
      <c r="DR34" s="56"/>
      <c r="DS34" s="56"/>
      <c r="DT34" s="56"/>
      <c r="DU34" s="56"/>
      <c r="DV34" s="56"/>
      <c r="DW34" s="56"/>
      <c r="DX34" s="56"/>
      <c r="DY34" s="56"/>
      <c r="DZ34" s="56"/>
      <c r="EA34" s="56"/>
      <c r="EB34" s="56"/>
      <c r="EC34" s="56"/>
      <c r="ED34" s="56"/>
      <c r="EE34" s="56"/>
      <c r="EF34" s="56"/>
      <c r="EG34" s="56"/>
      <c r="EH34" s="56"/>
      <c r="EI34" s="56"/>
      <c r="EJ34" s="56"/>
      <c r="EK34" s="56"/>
      <c r="EL34" s="56"/>
      <c r="EM34" s="56"/>
      <c r="EN34" s="56"/>
      <c r="EO34" s="56"/>
      <c r="EP34" s="56"/>
      <c r="EQ34" s="56"/>
      <c r="ER34" s="56"/>
      <c r="ES34" s="56"/>
      <c r="ET34" s="56"/>
      <c r="EU34" s="56"/>
      <c r="EV34" s="56"/>
      <c r="EW34" s="56"/>
      <c r="EX34" s="56"/>
      <c r="EY34" s="56"/>
      <c r="EZ34" s="56"/>
      <c r="FA34" s="56"/>
      <c r="FB34" s="56"/>
      <c r="FC34" s="56"/>
      <c r="FD34" s="56"/>
      <c r="FE34" s="56"/>
      <c r="FF34" s="56"/>
      <c r="FG34" s="56"/>
      <c r="FH34" s="56"/>
      <c r="FI34" s="56"/>
      <c r="FJ34" s="56"/>
      <c r="FK34" s="56"/>
      <c r="FL34" s="56"/>
      <c r="FM34" s="56"/>
      <c r="FN34" s="56"/>
      <c r="FO34" s="56"/>
      <c r="FP34" s="56"/>
      <c r="FQ34" s="56"/>
      <c r="FR34" s="56"/>
      <c r="FS34" s="56"/>
      <c r="FT34" s="56"/>
      <c r="FU34" s="56"/>
      <c r="FV34" s="56"/>
      <c r="FW34" s="56"/>
      <c r="FX34" s="56"/>
      <c r="FY34" s="56"/>
      <c r="FZ34" s="56"/>
      <c r="GA34" s="56"/>
      <c r="GB34" s="56"/>
      <c r="GC34" s="56"/>
      <c r="GD34" s="56"/>
      <c r="GE34" s="56"/>
      <c r="GF34" s="56"/>
      <c r="GG34" s="56"/>
      <c r="GH34" s="56"/>
      <c r="GI34" s="56"/>
      <c r="GJ34" s="56"/>
      <c r="GK34" s="56"/>
      <c r="GL34" s="56"/>
      <c r="GM34" s="56"/>
      <c r="GN34" s="56"/>
      <c r="GO34" s="56"/>
    </row>
    <row r="35" spans="1:197" ht="21">
      <c r="A35" s="192"/>
      <c r="B35" s="186"/>
      <c r="C35" s="186"/>
      <c r="D35" s="186"/>
      <c r="E35" s="186"/>
      <c r="F35" s="252"/>
      <c r="G35" s="56"/>
      <c r="H35" s="58"/>
      <c r="I35" s="58"/>
      <c r="J35" s="205"/>
      <c r="K35" s="205"/>
      <c r="L35" s="205"/>
      <c r="M35" s="201"/>
      <c r="N35" s="171"/>
      <c r="O35" s="171"/>
      <c r="P35" s="212"/>
      <c r="Q35" s="212"/>
      <c r="S35" s="212"/>
      <c r="T35" s="800"/>
      <c r="U35" s="56"/>
      <c r="Y35" s="56"/>
      <c r="Z35" s="56"/>
      <c r="AA35" s="112"/>
      <c r="AB35" s="56"/>
      <c r="AC35" s="56"/>
      <c r="AD35" s="219">
        <v>3</v>
      </c>
      <c r="AE35" s="220"/>
      <c r="AF35" s="223">
        <v>100</v>
      </c>
      <c r="AG35" s="233">
        <v>100</v>
      </c>
      <c r="AH35" s="220"/>
      <c r="AI35" s="222">
        <v>4</v>
      </c>
      <c r="AJ35" s="219">
        <v>3</v>
      </c>
      <c r="AK35" s="220"/>
      <c r="AL35" s="223">
        <v>100</v>
      </c>
      <c r="AM35" s="223">
        <v>100</v>
      </c>
      <c r="AN35" s="220"/>
      <c r="AO35" s="222">
        <v>4</v>
      </c>
      <c r="AP35" s="180">
        <v>3</v>
      </c>
      <c r="AQ35" s="141" t="s">
        <v>129</v>
      </c>
      <c r="AR35" s="110">
        <v>25</v>
      </c>
      <c r="AS35" s="169">
        <v>25</v>
      </c>
      <c r="AT35" s="141" t="s">
        <v>129</v>
      </c>
      <c r="AU35" s="224">
        <v>4</v>
      </c>
      <c r="AV35" s="254"/>
      <c r="AW35" s="171"/>
      <c r="AX35" s="212"/>
      <c r="AY35" s="56"/>
      <c r="AZ35" s="56"/>
      <c r="BA35" s="56"/>
      <c r="BC35" s="56"/>
      <c r="BD35" s="56"/>
      <c r="BE35" s="56"/>
      <c r="BF35" s="56"/>
      <c r="BG35" s="56"/>
      <c r="BH35" s="56"/>
      <c r="BI35" s="197"/>
      <c r="BJ35" s="822"/>
      <c r="BK35" s="817"/>
      <c r="BL35" s="83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/>
      <c r="CS35" s="56"/>
      <c r="CT35" s="56"/>
      <c r="CU35" s="56"/>
      <c r="CV35" s="56"/>
      <c r="CW35" s="56"/>
      <c r="CX35" s="56"/>
      <c r="CY35" s="56"/>
      <c r="CZ35" s="56"/>
      <c r="DA35" s="56"/>
      <c r="DB35" s="56"/>
      <c r="DC35" s="56"/>
      <c r="DD35" s="56"/>
      <c r="DE35" s="56"/>
      <c r="DF35" s="56"/>
      <c r="DG35" s="56"/>
      <c r="DH35" s="56"/>
      <c r="DI35" s="56"/>
      <c r="DJ35" s="56"/>
      <c r="DK35" s="56"/>
      <c r="DL35" s="56"/>
      <c r="DM35" s="56"/>
      <c r="DN35" s="56"/>
      <c r="DO35" s="56"/>
      <c r="DP35" s="56"/>
      <c r="DQ35" s="56"/>
      <c r="DR35" s="56"/>
      <c r="DS35" s="56"/>
      <c r="DT35" s="56"/>
      <c r="DU35" s="56"/>
      <c r="DV35" s="56"/>
      <c r="DW35" s="56"/>
      <c r="DX35" s="56"/>
      <c r="DY35" s="56"/>
      <c r="DZ35" s="56"/>
      <c r="EA35" s="56"/>
      <c r="EB35" s="56"/>
      <c r="EC35" s="56"/>
      <c r="ED35" s="56"/>
      <c r="EE35" s="56"/>
      <c r="EF35" s="56"/>
      <c r="EG35" s="56"/>
      <c r="EH35" s="56"/>
      <c r="EI35" s="56"/>
      <c r="EJ35" s="56"/>
      <c r="EK35" s="56"/>
      <c r="EL35" s="56"/>
      <c r="EM35" s="56"/>
      <c r="EN35" s="56"/>
      <c r="EO35" s="56"/>
      <c r="EP35" s="56"/>
      <c r="EQ35" s="56"/>
      <c r="ER35" s="56"/>
      <c r="ES35" s="56"/>
      <c r="ET35" s="56"/>
      <c r="EU35" s="56"/>
      <c r="EV35" s="56"/>
      <c r="EW35" s="56"/>
      <c r="EX35" s="56"/>
      <c r="EY35" s="56"/>
      <c r="EZ35" s="56"/>
      <c r="FA35" s="56"/>
      <c r="FB35" s="56"/>
      <c r="FC35" s="56"/>
      <c r="FD35" s="56"/>
      <c r="FE35" s="56"/>
      <c r="FF35" s="56"/>
      <c r="FG35" s="56"/>
      <c r="FH35" s="56"/>
      <c r="FI35" s="56"/>
      <c r="FJ35" s="56"/>
      <c r="FK35" s="56"/>
      <c r="FL35" s="56"/>
      <c r="FM35" s="56"/>
      <c r="FN35" s="56"/>
      <c r="FO35" s="56"/>
      <c r="FP35" s="56"/>
      <c r="FQ35" s="56"/>
      <c r="FR35" s="56"/>
      <c r="FS35" s="56"/>
      <c r="FT35" s="56"/>
      <c r="FU35" s="56"/>
      <c r="FV35" s="56"/>
      <c r="FW35" s="56"/>
      <c r="FX35" s="56"/>
      <c r="FY35" s="56"/>
      <c r="FZ35" s="56"/>
      <c r="GA35" s="56"/>
      <c r="GB35" s="56"/>
      <c r="GC35" s="56"/>
      <c r="GD35" s="56"/>
      <c r="GE35" s="56"/>
      <c r="GF35" s="56"/>
      <c r="GG35" s="56"/>
      <c r="GH35" s="56"/>
      <c r="GI35" s="56"/>
      <c r="GJ35" s="56"/>
      <c r="GK35" s="56"/>
      <c r="GL35" s="56"/>
      <c r="GM35" s="56"/>
      <c r="GN35" s="56"/>
      <c r="GO35" s="56"/>
    </row>
    <row r="36" spans="1:197" ht="21">
      <c r="A36" s="192"/>
      <c r="B36" s="186"/>
      <c r="C36" s="186"/>
      <c r="D36" s="186"/>
      <c r="E36" s="186"/>
      <c r="F36" s="252"/>
      <c r="G36" s="112"/>
      <c r="H36" s="58"/>
      <c r="I36" s="205"/>
      <c r="J36" s="205"/>
      <c r="K36" s="205"/>
      <c r="L36" s="205"/>
      <c r="M36" s="201"/>
      <c r="N36" s="56"/>
      <c r="O36" s="171"/>
      <c r="P36" s="171"/>
      <c r="Q36" s="56"/>
      <c r="R36" s="171"/>
      <c r="S36" s="171"/>
      <c r="T36" s="800"/>
      <c r="U36" s="56"/>
      <c r="V36" s="859"/>
      <c r="W36" s="859"/>
      <c r="X36" s="859"/>
      <c r="Y36" s="859"/>
      <c r="Z36" s="56"/>
      <c r="AC36" s="57"/>
      <c r="AD36" s="94"/>
      <c r="AE36" s="94"/>
      <c r="AF36" s="94"/>
      <c r="AG36" s="94"/>
      <c r="AI36" s="56"/>
      <c r="AJ36" s="257" t="s">
        <v>177</v>
      </c>
      <c r="AK36" s="56"/>
      <c r="AL36" s="167"/>
      <c r="AM36" s="167"/>
      <c r="AN36" s="56"/>
      <c r="AO36" s="56"/>
      <c r="AP36" s="56"/>
      <c r="AQ36" s="258"/>
      <c r="AR36" s="141"/>
      <c r="AS36" s="141"/>
      <c r="AT36" s="258"/>
      <c r="AV36" s="259"/>
      <c r="AW36" s="55"/>
      <c r="AX36" s="55"/>
      <c r="AY36" s="56"/>
      <c r="AZ36" s="56"/>
      <c r="BA36" s="56"/>
      <c r="BC36" s="74"/>
      <c r="BD36" s="816"/>
      <c r="BE36" s="816"/>
      <c r="BF36" s="816"/>
      <c r="BG36" s="816"/>
      <c r="BH36" s="74"/>
      <c r="BI36" s="129"/>
      <c r="BJ36" s="76"/>
      <c r="BL36" s="83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6"/>
      <c r="CR36" s="56"/>
      <c r="CS36" s="56"/>
      <c r="CT36" s="56"/>
      <c r="CU36" s="56"/>
      <c r="CV36" s="56"/>
      <c r="CW36" s="56"/>
      <c r="CX36" s="56"/>
      <c r="CY36" s="56"/>
      <c r="CZ36" s="56"/>
      <c r="DA36" s="56"/>
      <c r="DB36" s="56"/>
      <c r="DC36" s="56"/>
      <c r="DD36" s="56"/>
      <c r="DE36" s="56"/>
      <c r="DF36" s="56"/>
      <c r="DG36" s="56"/>
      <c r="DH36" s="56"/>
      <c r="DI36" s="56"/>
      <c r="DJ36" s="56"/>
      <c r="DK36" s="56"/>
      <c r="DL36" s="56"/>
      <c r="DM36" s="56"/>
      <c r="DN36" s="56"/>
      <c r="DO36" s="56"/>
      <c r="DP36" s="56"/>
      <c r="DQ36" s="56"/>
      <c r="DR36" s="56"/>
      <c r="DS36" s="56"/>
      <c r="DT36" s="56"/>
      <c r="DU36" s="56"/>
      <c r="DV36" s="56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G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  <c r="EY36" s="56"/>
      <c r="EZ36" s="56"/>
      <c r="FA36" s="56"/>
      <c r="FB36" s="56"/>
      <c r="FC36" s="56"/>
      <c r="FD36" s="56"/>
      <c r="FE36" s="56"/>
      <c r="FF36" s="56"/>
      <c r="FG36" s="56"/>
      <c r="FH36" s="56"/>
      <c r="FI36" s="56"/>
      <c r="FJ36" s="56"/>
      <c r="FK36" s="56"/>
      <c r="FL36" s="56"/>
      <c r="FM36" s="56"/>
      <c r="FN36" s="56"/>
      <c r="FO36" s="56"/>
      <c r="FP36" s="56"/>
      <c r="FQ36" s="56"/>
      <c r="FR36" s="56"/>
      <c r="FS36" s="56"/>
      <c r="FT36" s="56"/>
      <c r="FU36" s="56"/>
      <c r="FV36" s="56"/>
      <c r="FW36" s="56"/>
      <c r="FX36" s="56"/>
      <c r="FY36" s="56"/>
      <c r="FZ36" s="56"/>
      <c r="GA36" s="56"/>
      <c r="GB36" s="56"/>
      <c r="GC36" s="56"/>
      <c r="GD36" s="56"/>
      <c r="GE36" s="56"/>
      <c r="GF36" s="56"/>
      <c r="GG36" s="56"/>
      <c r="GH36" s="56"/>
      <c r="GI36" s="56"/>
      <c r="GJ36" s="56"/>
      <c r="GK36" s="56"/>
      <c r="GL36" s="56"/>
      <c r="GM36" s="56"/>
      <c r="GN36" s="56"/>
      <c r="GO36" s="56"/>
    </row>
    <row r="37" spans="1:197" ht="21">
      <c r="A37" s="192"/>
      <c r="B37" s="186"/>
      <c r="C37" s="186"/>
      <c r="D37" s="186"/>
      <c r="E37" s="186"/>
      <c r="F37" s="186"/>
      <c r="G37" s="83"/>
      <c r="H37" s="58"/>
      <c r="I37" s="205"/>
      <c r="J37" s="205"/>
      <c r="K37" s="205"/>
      <c r="L37" s="205"/>
      <c r="M37" s="201"/>
      <c r="N37" s="56"/>
      <c r="O37" s="171"/>
      <c r="P37" s="171"/>
      <c r="Q37" s="171"/>
      <c r="R37" s="171"/>
      <c r="S37" s="171"/>
      <c r="T37" s="800"/>
      <c r="U37" s="56"/>
      <c r="V37" s="254"/>
      <c r="W37" s="254"/>
      <c r="X37" s="254"/>
      <c r="Y37" s="254"/>
      <c r="Z37" s="56"/>
      <c r="AC37" s="213"/>
      <c r="AD37" s="806"/>
      <c r="AE37" s="806"/>
      <c r="AF37" s="806"/>
      <c r="AG37" s="806"/>
      <c r="AH37" s="786"/>
      <c r="AI37" s="56"/>
      <c r="AJ37" s="56"/>
      <c r="AK37" s="57"/>
      <c r="AL37" s="825" t="s">
        <v>155</v>
      </c>
      <c r="AM37" s="825"/>
      <c r="AN37" s="263"/>
      <c r="AO37" s="57"/>
      <c r="AP37" s="56"/>
      <c r="AQ37" s="56"/>
      <c r="AR37" s="258"/>
      <c r="AS37" s="258"/>
      <c r="AT37" s="56"/>
      <c r="AW37" s="56"/>
      <c r="AX37" s="56"/>
      <c r="AY37" s="56"/>
      <c r="AZ37" s="56"/>
      <c r="BA37" s="56"/>
      <c r="BC37" s="74"/>
      <c r="BD37" s="816"/>
      <c r="BE37" s="816"/>
      <c r="BF37" s="816"/>
      <c r="BG37" s="56"/>
      <c r="BH37" s="55"/>
      <c r="BI37" s="57"/>
      <c r="BJ37" s="264"/>
      <c r="BK37" s="820"/>
      <c r="BL37" s="83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6"/>
      <c r="CO37" s="56"/>
      <c r="CP37" s="56"/>
      <c r="CQ37" s="56"/>
      <c r="CR37" s="56"/>
      <c r="CS37" s="56"/>
      <c r="CT37" s="56"/>
      <c r="CU37" s="56"/>
      <c r="CV37" s="56"/>
      <c r="CW37" s="56"/>
      <c r="CX37" s="56"/>
      <c r="CY37" s="56"/>
      <c r="CZ37" s="56"/>
      <c r="DA37" s="56"/>
      <c r="DB37" s="56"/>
      <c r="DC37" s="56"/>
      <c r="DD37" s="56"/>
      <c r="DE37" s="56"/>
      <c r="DF37" s="56"/>
      <c r="DG37" s="56"/>
      <c r="DH37" s="56"/>
      <c r="DI37" s="56"/>
      <c r="DJ37" s="56"/>
      <c r="DK37" s="56"/>
      <c r="DL37" s="56"/>
      <c r="DM37" s="56"/>
      <c r="DN37" s="56"/>
      <c r="DO37" s="56"/>
      <c r="DP37" s="56"/>
      <c r="DQ37" s="56"/>
      <c r="DR37" s="56"/>
      <c r="DS37" s="56"/>
      <c r="DT37" s="56"/>
      <c r="DU37" s="56"/>
      <c r="DV37" s="56"/>
      <c r="DW37" s="56"/>
      <c r="DX37" s="56"/>
      <c r="DY37" s="56"/>
      <c r="DZ37" s="56"/>
      <c r="EA37" s="56"/>
      <c r="EB37" s="56"/>
      <c r="EC37" s="56"/>
      <c r="ED37" s="56"/>
      <c r="EE37" s="56"/>
      <c r="EF37" s="56"/>
      <c r="EG37" s="56"/>
      <c r="EH37" s="56"/>
      <c r="EI37" s="56"/>
      <c r="EJ37" s="56"/>
      <c r="EK37" s="56"/>
      <c r="EL37" s="56"/>
      <c r="EM37" s="56"/>
      <c r="EN37" s="56"/>
      <c r="EO37" s="56"/>
      <c r="EP37" s="56"/>
      <c r="EQ37" s="56"/>
      <c r="ER37" s="56"/>
      <c r="ES37" s="56"/>
      <c r="ET37" s="56"/>
      <c r="EU37" s="56"/>
      <c r="EV37" s="56"/>
      <c r="EW37" s="56"/>
      <c r="EX37" s="56"/>
      <c r="EY37" s="56"/>
      <c r="EZ37" s="56"/>
      <c r="FA37" s="56"/>
      <c r="FB37" s="56"/>
      <c r="FC37" s="56"/>
      <c r="FD37" s="56"/>
      <c r="FE37" s="56"/>
      <c r="FF37" s="56"/>
      <c r="FG37" s="56"/>
      <c r="FH37" s="56"/>
      <c r="FI37" s="56"/>
      <c r="FJ37" s="56"/>
      <c r="FK37" s="56"/>
      <c r="FL37" s="56"/>
      <c r="FM37" s="56"/>
      <c r="FN37" s="56"/>
      <c r="FO37" s="56"/>
      <c r="FP37" s="56"/>
      <c r="FQ37" s="56"/>
      <c r="FR37" s="56"/>
      <c r="FS37" s="56"/>
      <c r="FT37" s="56"/>
      <c r="FU37" s="56"/>
      <c r="FV37" s="56"/>
      <c r="FW37" s="56"/>
      <c r="FX37" s="56"/>
      <c r="FY37" s="56"/>
      <c r="FZ37" s="56"/>
      <c r="GA37" s="56"/>
      <c r="GB37" s="56"/>
      <c r="GC37" s="56"/>
      <c r="GD37" s="56"/>
      <c r="GE37" s="56"/>
      <c r="GF37" s="56"/>
      <c r="GG37" s="56"/>
      <c r="GH37" s="56"/>
      <c r="GI37" s="56"/>
      <c r="GJ37" s="56"/>
      <c r="GK37" s="56"/>
      <c r="GL37" s="56"/>
      <c r="GM37" s="56"/>
      <c r="GN37" s="56"/>
      <c r="GO37" s="56"/>
    </row>
    <row r="38" spans="1:197" ht="20.25">
      <c r="A38" s="192"/>
      <c r="B38" s="186"/>
      <c r="C38" s="186"/>
      <c r="D38" s="186"/>
      <c r="E38" s="186"/>
      <c r="F38" s="186"/>
      <c r="G38" s="192"/>
      <c r="H38" s="265"/>
      <c r="I38" s="201"/>
      <c r="J38" s="265"/>
      <c r="K38" s="186"/>
      <c r="L38" s="212"/>
      <c r="M38" s="186"/>
      <c r="N38" s="56"/>
      <c r="O38" s="171"/>
      <c r="P38" s="171"/>
      <c r="Q38" s="171"/>
      <c r="R38" s="171"/>
      <c r="S38" s="171"/>
      <c r="T38" s="800"/>
      <c r="U38" s="254"/>
      <c r="V38" s="779"/>
      <c r="W38" s="779"/>
      <c r="X38" s="779"/>
      <c r="Y38" s="779"/>
      <c r="Z38" s="254"/>
      <c r="AC38" s="806"/>
      <c r="AD38" s="779"/>
      <c r="AE38" s="779"/>
      <c r="AF38" s="779"/>
      <c r="AG38" s="779"/>
      <c r="AH38" s="806"/>
      <c r="AI38" s="56"/>
      <c r="AJ38" s="799"/>
      <c r="AK38" s="57"/>
      <c r="AL38" s="799"/>
      <c r="AM38" s="807"/>
      <c r="AN38" s="808"/>
      <c r="AO38" s="212"/>
      <c r="AP38" s="808"/>
      <c r="AQ38" s="809"/>
      <c r="AR38" s="357"/>
      <c r="AS38" s="357"/>
      <c r="AT38" s="357"/>
      <c r="AU38" s="56"/>
      <c r="AW38" s="270"/>
      <c r="AY38" s="56"/>
      <c r="AZ38" s="56"/>
      <c r="BA38" s="56"/>
      <c r="BC38" s="74"/>
      <c r="BD38" s="816"/>
      <c r="BE38" s="56"/>
      <c r="BF38" s="56"/>
      <c r="BG38" s="56"/>
      <c r="BH38" s="56"/>
      <c r="BI38" s="57"/>
      <c r="BJ38" s="57"/>
      <c r="BK38" s="229"/>
      <c r="BL38" s="83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56"/>
      <c r="CX38" s="56"/>
      <c r="CY38" s="56"/>
      <c r="CZ38" s="56"/>
      <c r="DA38" s="56"/>
      <c r="DB38" s="56"/>
      <c r="DC38" s="56"/>
      <c r="DD38" s="56"/>
      <c r="DE38" s="56"/>
      <c r="DF38" s="56"/>
      <c r="DG38" s="56"/>
      <c r="DH38" s="56"/>
      <c r="DI38" s="56"/>
      <c r="DJ38" s="56"/>
      <c r="DK38" s="56"/>
      <c r="DL38" s="56"/>
      <c r="DM38" s="56"/>
      <c r="DN38" s="56"/>
      <c r="DO38" s="56"/>
      <c r="DP38" s="56"/>
      <c r="DQ38" s="56"/>
      <c r="DR38" s="56"/>
      <c r="DS38" s="56"/>
      <c r="DT38" s="56"/>
      <c r="DU38" s="56"/>
      <c r="DV38" s="56"/>
      <c r="DW38" s="56"/>
      <c r="DX38" s="56"/>
      <c r="DY38" s="56"/>
      <c r="DZ38" s="56"/>
      <c r="EA38" s="56"/>
      <c r="EB38" s="56"/>
      <c r="EC38" s="56"/>
      <c r="ED38" s="56"/>
      <c r="EE38" s="56"/>
      <c r="EF38" s="56"/>
      <c r="EG38" s="56"/>
      <c r="EH38" s="56"/>
      <c r="EI38" s="56"/>
      <c r="EJ38" s="56"/>
      <c r="EK38" s="56"/>
      <c r="EL38" s="56"/>
      <c r="EM38" s="56"/>
      <c r="EN38" s="56"/>
      <c r="EO38" s="56"/>
      <c r="EP38" s="56"/>
      <c r="EQ38" s="56"/>
      <c r="ER38" s="56"/>
      <c r="ES38" s="56"/>
      <c r="ET38" s="56"/>
      <c r="EU38" s="56"/>
      <c r="EV38" s="56"/>
      <c r="EW38" s="56"/>
      <c r="EX38" s="56"/>
      <c r="EY38" s="56"/>
      <c r="EZ38" s="56"/>
      <c r="FA38" s="56"/>
      <c r="FB38" s="56"/>
      <c r="FC38" s="56"/>
      <c r="FD38" s="56"/>
      <c r="FE38" s="56"/>
      <c r="FF38" s="56"/>
      <c r="FG38" s="56"/>
      <c r="FH38" s="56"/>
      <c r="FI38" s="56"/>
      <c r="FJ38" s="56"/>
      <c r="FK38" s="56"/>
      <c r="FL38" s="56"/>
      <c r="FM38" s="56"/>
      <c r="FN38" s="56"/>
      <c r="FO38" s="56"/>
      <c r="FP38" s="56"/>
      <c r="FQ38" s="56"/>
      <c r="FR38" s="56"/>
      <c r="FS38" s="56"/>
      <c r="FT38" s="56"/>
      <c r="FU38" s="56"/>
      <c r="FV38" s="56"/>
      <c r="FW38" s="56"/>
      <c r="FX38" s="56"/>
      <c r="FY38" s="56"/>
      <c r="FZ38" s="56"/>
      <c r="GA38" s="56"/>
      <c r="GB38" s="56"/>
      <c r="GC38" s="56"/>
      <c r="GD38" s="56"/>
      <c r="GE38" s="56"/>
      <c r="GF38" s="56"/>
      <c r="GG38" s="56"/>
      <c r="GH38" s="56"/>
      <c r="GI38" s="56"/>
      <c r="GJ38" s="56"/>
      <c r="GK38" s="56"/>
      <c r="GL38" s="56"/>
      <c r="GM38" s="56"/>
      <c r="GN38" s="56"/>
      <c r="GO38" s="56"/>
    </row>
    <row r="39" spans="1:197" ht="20.25">
      <c r="A39" s="192"/>
      <c r="B39" s="186"/>
      <c r="C39" s="186"/>
      <c r="D39" s="186"/>
      <c r="E39" s="186"/>
      <c r="F39" s="186"/>
      <c r="G39" s="192"/>
      <c r="H39" s="271"/>
      <c r="I39" s="186"/>
      <c r="J39" s="271"/>
      <c r="K39" s="186"/>
      <c r="L39" s="171"/>
      <c r="M39" s="186"/>
      <c r="N39" s="56"/>
      <c r="O39" s="171"/>
      <c r="P39" s="171"/>
      <c r="Q39" s="171"/>
      <c r="R39" s="171"/>
      <c r="S39" s="272"/>
      <c r="T39" s="800"/>
      <c r="V39" s="254"/>
      <c r="W39" s="254"/>
      <c r="X39" s="254"/>
      <c r="Y39" s="254"/>
      <c r="AC39" s="806"/>
      <c r="AD39" s="779"/>
      <c r="AE39" s="779"/>
      <c r="AF39" s="779"/>
      <c r="AG39" s="779"/>
      <c r="AH39" s="806"/>
      <c r="AI39" s="56"/>
      <c r="AJ39" s="799"/>
      <c r="AK39" s="57"/>
      <c r="AL39" s="799"/>
      <c r="AM39" s="807"/>
      <c r="AN39" s="808"/>
      <c r="AO39" s="57"/>
      <c r="AP39" s="808"/>
      <c r="AQ39" s="809"/>
      <c r="AR39" s="357"/>
      <c r="AS39" s="357"/>
      <c r="AT39" s="357"/>
      <c r="AU39" s="56"/>
      <c r="AW39" s="270"/>
      <c r="AY39" s="56"/>
      <c r="AZ39" s="56"/>
      <c r="BA39" s="56"/>
      <c r="BC39" s="74"/>
      <c r="BD39" s="816"/>
      <c r="BE39" s="56"/>
      <c r="BF39" s="56"/>
      <c r="BG39" s="56"/>
      <c r="BH39" s="56"/>
      <c r="BI39" s="56"/>
      <c r="BJ39" s="56"/>
      <c r="BK39" s="823"/>
      <c r="BL39" s="83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M39" s="56"/>
      <c r="CN39" s="56"/>
      <c r="CO39" s="56"/>
      <c r="CP39" s="56"/>
      <c r="CQ39" s="56"/>
      <c r="CR39" s="56"/>
      <c r="CS39" s="56"/>
      <c r="CT39" s="56"/>
      <c r="CU39" s="56"/>
      <c r="CV39" s="56"/>
      <c r="CW39" s="56"/>
      <c r="CX39" s="56"/>
      <c r="CY39" s="56"/>
      <c r="CZ39" s="56"/>
      <c r="DA39" s="56"/>
      <c r="DB39" s="56"/>
      <c r="DC39" s="56"/>
      <c r="DD39" s="56"/>
      <c r="DE39" s="56"/>
      <c r="DF39" s="56"/>
      <c r="DG39" s="56"/>
      <c r="DH39" s="56"/>
      <c r="DI39" s="56"/>
      <c r="DJ39" s="56"/>
      <c r="DK39" s="56"/>
      <c r="DL39" s="56"/>
      <c r="DM39" s="56"/>
      <c r="DN39" s="56"/>
      <c r="DO39" s="56"/>
      <c r="DP39" s="56"/>
      <c r="DQ39" s="56"/>
      <c r="DR39" s="56"/>
      <c r="DS39" s="56"/>
      <c r="DT39" s="56"/>
      <c r="DU39" s="56"/>
      <c r="DV39" s="56"/>
      <c r="DW39" s="56"/>
      <c r="DX39" s="56"/>
      <c r="DY39" s="56"/>
      <c r="DZ39" s="56"/>
      <c r="EA39" s="56"/>
      <c r="EB39" s="56"/>
      <c r="EC39" s="56"/>
      <c r="ED39" s="56"/>
      <c r="EE39" s="56"/>
      <c r="EF39" s="56"/>
      <c r="EG39" s="56"/>
      <c r="EH39" s="56"/>
      <c r="EI39" s="56"/>
      <c r="EJ39" s="56"/>
      <c r="EK39" s="56"/>
      <c r="EL39" s="56"/>
      <c r="EM39" s="56"/>
      <c r="EN39" s="56"/>
      <c r="EO39" s="56"/>
      <c r="EP39" s="56"/>
      <c r="EQ39" s="56"/>
      <c r="ER39" s="56"/>
      <c r="ES39" s="56"/>
      <c r="ET39" s="56"/>
      <c r="EU39" s="56"/>
      <c r="EV39" s="56"/>
      <c r="EW39" s="56"/>
      <c r="EX39" s="56"/>
      <c r="EY39" s="56"/>
      <c r="EZ39" s="56"/>
      <c r="FA39" s="56"/>
      <c r="FB39" s="56"/>
      <c r="FC39" s="56"/>
      <c r="FD39" s="56"/>
      <c r="FE39" s="56"/>
      <c r="FF39" s="56"/>
      <c r="FG39" s="56"/>
      <c r="FH39" s="56"/>
      <c r="FI39" s="56"/>
      <c r="FJ39" s="56"/>
      <c r="FK39" s="56"/>
      <c r="FL39" s="56"/>
      <c r="FM39" s="56"/>
      <c r="FN39" s="56"/>
      <c r="FO39" s="56"/>
      <c r="FP39" s="56"/>
      <c r="FQ39" s="56"/>
      <c r="FR39" s="56"/>
      <c r="FS39" s="56"/>
      <c r="FT39" s="56"/>
      <c r="FU39" s="56"/>
      <c r="FV39" s="56"/>
      <c r="FW39" s="56"/>
      <c r="FX39" s="56"/>
      <c r="FY39" s="56"/>
      <c r="FZ39" s="56"/>
      <c r="GA39" s="56"/>
      <c r="GB39" s="56"/>
      <c r="GC39" s="56"/>
      <c r="GD39" s="56"/>
      <c r="GE39" s="56"/>
      <c r="GF39" s="56"/>
      <c r="GG39" s="56"/>
      <c r="GH39" s="56"/>
      <c r="GI39" s="56"/>
      <c r="GJ39" s="56"/>
      <c r="GK39" s="56"/>
      <c r="GL39" s="56"/>
      <c r="GM39" s="56"/>
      <c r="GN39" s="56"/>
      <c r="GO39" s="56"/>
    </row>
    <row r="40" spans="1:197" ht="20.25">
      <c r="A40" s="192"/>
      <c r="B40" s="186"/>
      <c r="C40" s="186"/>
      <c r="D40" s="186"/>
      <c r="E40" s="186"/>
      <c r="F40" s="186"/>
      <c r="G40" s="192"/>
      <c r="H40" s="271"/>
      <c r="I40" s="186"/>
      <c r="J40" s="271"/>
      <c r="K40" s="186"/>
      <c r="L40" s="186"/>
      <c r="M40" s="186"/>
      <c r="N40" s="186"/>
      <c r="O40" s="171"/>
      <c r="P40" s="171"/>
      <c r="Q40" s="171"/>
      <c r="R40" s="171"/>
      <c r="S40" s="274"/>
      <c r="T40" s="800"/>
      <c r="U40" s="254"/>
      <c r="V40" s="276"/>
      <c r="W40" s="276"/>
      <c r="X40" s="276"/>
      <c r="Y40" s="276"/>
      <c r="AC40" s="57"/>
      <c r="AD40" s="806"/>
      <c r="AE40" s="806"/>
      <c r="AF40" s="806"/>
      <c r="AG40" s="806"/>
      <c r="AH40" s="56"/>
      <c r="AI40" s="56"/>
      <c r="AJ40" s="56"/>
      <c r="AK40" s="57"/>
      <c r="AL40" s="278"/>
      <c r="AM40" s="56"/>
      <c r="AN40" s="279"/>
      <c r="AO40" s="57"/>
      <c r="AP40" s="56"/>
      <c r="AQ40" s="56"/>
      <c r="AR40" s="56"/>
      <c r="AS40" s="56"/>
      <c r="AT40" s="56"/>
      <c r="AU40" s="56"/>
      <c r="AV40" s="56"/>
      <c r="AW40" s="280"/>
      <c r="AY40" s="56"/>
      <c r="AZ40" s="56"/>
      <c r="BA40" s="56"/>
      <c r="BC40" s="74"/>
      <c r="BD40" s="817"/>
      <c r="BE40" s="817"/>
      <c r="BF40" s="817"/>
      <c r="BG40" s="817"/>
      <c r="BH40" s="817"/>
      <c r="BI40" s="56"/>
      <c r="BJ40" s="56"/>
      <c r="BK40" s="229"/>
      <c r="BL40" s="83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M40" s="56"/>
      <c r="CN40" s="56"/>
      <c r="CO40" s="56"/>
      <c r="CP40" s="56"/>
      <c r="CQ40" s="56"/>
      <c r="CR40" s="56"/>
      <c r="CS40" s="56"/>
      <c r="CT40" s="56"/>
      <c r="CU40" s="56"/>
      <c r="CV40" s="56"/>
      <c r="CW40" s="56"/>
      <c r="CX40" s="56"/>
      <c r="CY40" s="56"/>
      <c r="CZ40" s="56"/>
      <c r="DA40" s="56"/>
      <c r="DB40" s="56"/>
      <c r="DC40" s="56"/>
      <c r="DD40" s="56"/>
      <c r="DE40" s="56"/>
      <c r="DF40" s="56"/>
      <c r="DG40" s="56"/>
      <c r="DH40" s="56"/>
      <c r="DI40" s="56"/>
      <c r="DJ40" s="56"/>
      <c r="DK40" s="56"/>
      <c r="DL40" s="56"/>
      <c r="DM40" s="56"/>
      <c r="DN40" s="56"/>
      <c r="DO40" s="56"/>
      <c r="DP40" s="56"/>
      <c r="DQ40" s="56"/>
      <c r="DR40" s="56"/>
      <c r="DS40" s="56"/>
      <c r="DT40" s="56"/>
      <c r="DU40" s="56"/>
      <c r="DV40" s="56"/>
      <c r="DW40" s="56"/>
      <c r="DX40" s="56"/>
      <c r="DY40" s="56"/>
      <c r="DZ40" s="56"/>
      <c r="EA40" s="56"/>
      <c r="EB40" s="56"/>
      <c r="EC40" s="56"/>
      <c r="ED40" s="56"/>
      <c r="EE40" s="56"/>
      <c r="EF40" s="56"/>
      <c r="EG40" s="56"/>
      <c r="EH40" s="56"/>
      <c r="EI40" s="56"/>
      <c r="EJ40" s="56"/>
      <c r="EK40" s="56"/>
      <c r="EL40" s="56"/>
      <c r="EM40" s="56"/>
      <c r="EN40" s="56"/>
      <c r="EO40" s="56"/>
      <c r="EP40" s="56"/>
      <c r="EQ40" s="56"/>
      <c r="ER40" s="56"/>
      <c r="ES40" s="56"/>
      <c r="ET40" s="56"/>
      <c r="EU40" s="56"/>
      <c r="EV40" s="56"/>
      <c r="EW40" s="56"/>
      <c r="EX40" s="56"/>
      <c r="EY40" s="56"/>
      <c r="EZ40" s="56"/>
      <c r="FA40" s="56"/>
      <c r="FB40" s="56"/>
      <c r="FC40" s="56"/>
      <c r="FD40" s="56"/>
      <c r="FE40" s="56"/>
      <c r="FF40" s="56"/>
      <c r="FG40" s="56"/>
      <c r="FH40" s="56"/>
      <c r="FI40" s="56"/>
      <c r="FJ40" s="56"/>
      <c r="FK40" s="56"/>
      <c r="FL40" s="56"/>
      <c r="FM40" s="56"/>
      <c r="FN40" s="56"/>
      <c r="FO40" s="56"/>
      <c r="FP40" s="56"/>
      <c r="FQ40" s="56"/>
      <c r="FR40" s="56"/>
      <c r="FS40" s="56"/>
      <c r="FT40" s="56"/>
      <c r="FU40" s="56"/>
      <c r="FV40" s="56"/>
      <c r="FW40" s="56"/>
      <c r="FX40" s="56"/>
      <c r="FY40" s="56"/>
      <c r="FZ40" s="56"/>
      <c r="GA40" s="56"/>
      <c r="GB40" s="56"/>
      <c r="GC40" s="56"/>
      <c r="GD40" s="56"/>
      <c r="GE40" s="56"/>
      <c r="GF40" s="56"/>
      <c r="GG40" s="56"/>
      <c r="GH40" s="56"/>
      <c r="GI40" s="56"/>
      <c r="GJ40" s="56"/>
      <c r="GK40" s="56"/>
      <c r="GL40" s="56"/>
      <c r="GM40" s="56"/>
      <c r="GN40" s="56"/>
      <c r="GO40" s="56"/>
    </row>
    <row r="41" spans="1:197" ht="21" thickBot="1">
      <c r="A41" s="192"/>
      <c r="B41" s="186"/>
      <c r="C41" s="186"/>
      <c r="D41" s="186"/>
      <c r="E41" s="186"/>
      <c r="F41" s="186"/>
      <c r="G41" s="281"/>
      <c r="H41" s="282"/>
      <c r="I41" s="283"/>
      <c r="J41" s="282"/>
      <c r="K41" s="186"/>
      <c r="L41" s="186"/>
      <c r="M41" s="186"/>
      <c r="N41" s="186"/>
      <c r="O41" s="171"/>
      <c r="P41" s="171"/>
      <c r="Q41" s="171"/>
      <c r="R41" s="171"/>
      <c r="S41" s="284"/>
      <c r="T41" s="94"/>
      <c r="U41" s="94"/>
      <c r="V41" s="94"/>
      <c r="W41" s="94"/>
      <c r="Y41" s="56"/>
      <c r="Z41" s="56"/>
      <c r="AC41" s="56"/>
      <c r="AD41" s="276"/>
      <c r="AE41" s="276"/>
      <c r="AF41" s="276"/>
      <c r="AG41" s="276"/>
      <c r="AH41" s="56"/>
      <c r="AI41" s="285"/>
      <c r="AJ41" s="810"/>
      <c r="AK41" s="810"/>
      <c r="AL41" s="56"/>
      <c r="AM41" s="194"/>
      <c r="AN41" s="56"/>
      <c r="AO41" s="56"/>
      <c r="AP41" s="194"/>
      <c r="AQ41" s="194"/>
      <c r="AR41" s="194"/>
      <c r="AS41" s="194"/>
      <c r="AT41" s="194"/>
      <c r="AU41" s="194"/>
      <c r="AV41" s="194"/>
      <c r="AW41" s="129"/>
      <c r="AX41" s="56"/>
      <c r="AY41" s="56"/>
      <c r="AZ41" s="56"/>
      <c r="BA41" s="56"/>
      <c r="BC41" s="260"/>
      <c r="BD41" s="817"/>
      <c r="BE41" s="817"/>
      <c r="BF41" s="817"/>
      <c r="BG41" s="817"/>
      <c r="BH41" s="817"/>
      <c r="BI41" s="56"/>
      <c r="BJ41" s="56"/>
      <c r="BK41" s="823"/>
      <c r="BL41" s="83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6"/>
      <c r="CR41" s="56"/>
      <c r="CS41" s="56"/>
      <c r="CT41" s="56"/>
      <c r="CU41" s="56"/>
      <c r="CV41" s="56"/>
      <c r="CW41" s="56"/>
      <c r="CX41" s="56"/>
      <c r="CY41" s="56"/>
      <c r="CZ41" s="56"/>
      <c r="DA41" s="56"/>
      <c r="DB41" s="56"/>
      <c r="DC41" s="56"/>
      <c r="DD41" s="56"/>
      <c r="DE41" s="56"/>
      <c r="DF41" s="56"/>
      <c r="DG41" s="56"/>
      <c r="DH41" s="56"/>
      <c r="DI41" s="56"/>
      <c r="DJ41" s="56"/>
      <c r="DK41" s="56"/>
      <c r="DL41" s="56"/>
      <c r="DM41" s="56"/>
      <c r="DN41" s="56"/>
      <c r="DO41" s="56"/>
      <c r="DP41" s="56"/>
      <c r="DQ41" s="56"/>
      <c r="DR41" s="56"/>
      <c r="DS41" s="56"/>
      <c r="DT41" s="56"/>
      <c r="DU41" s="56"/>
      <c r="DV41" s="56"/>
      <c r="DW41" s="56"/>
      <c r="DX41" s="56"/>
      <c r="DY41" s="56"/>
      <c r="DZ41" s="56"/>
      <c r="EA41" s="56"/>
      <c r="EB41" s="56"/>
      <c r="EC41" s="56"/>
      <c r="ED41" s="56"/>
      <c r="EE41" s="56"/>
      <c r="EF41" s="56"/>
      <c r="EG41" s="56"/>
      <c r="EH41" s="56"/>
      <c r="EI41" s="56"/>
      <c r="EJ41" s="56"/>
      <c r="EK41" s="56"/>
      <c r="EL41" s="56"/>
      <c r="EM41" s="56"/>
      <c r="EN41" s="56"/>
      <c r="EO41" s="56"/>
      <c r="EP41" s="56"/>
      <c r="EQ41" s="56"/>
      <c r="ER41" s="56"/>
      <c r="ES41" s="56"/>
      <c r="ET41" s="56"/>
      <c r="EU41" s="56"/>
      <c r="EV41" s="56"/>
      <c r="EW41" s="56"/>
      <c r="EX41" s="56"/>
      <c r="EY41" s="56"/>
      <c r="EZ41" s="56"/>
      <c r="FA41" s="56"/>
      <c r="FB41" s="56"/>
      <c r="FC41" s="56"/>
      <c r="FD41" s="56"/>
      <c r="FE41" s="56"/>
      <c r="FF41" s="56"/>
      <c r="FG41" s="56"/>
      <c r="FH41" s="56"/>
      <c r="FI41" s="56"/>
      <c r="FJ41" s="56"/>
      <c r="FK41" s="56"/>
      <c r="FL41" s="56"/>
      <c r="FM41" s="56"/>
      <c r="FN41" s="56"/>
      <c r="FO41" s="56"/>
      <c r="FP41" s="56"/>
      <c r="FQ41" s="56"/>
      <c r="FR41" s="56"/>
      <c r="FS41" s="56"/>
      <c r="FT41" s="56"/>
      <c r="FU41" s="56"/>
      <c r="FV41" s="56"/>
      <c r="FW41" s="56"/>
      <c r="FX41" s="56"/>
      <c r="FY41" s="56"/>
      <c r="FZ41" s="56"/>
      <c r="GA41" s="56"/>
      <c r="GB41" s="56"/>
      <c r="GC41" s="56"/>
      <c r="GD41" s="56"/>
      <c r="GE41" s="56"/>
      <c r="GF41" s="56"/>
      <c r="GG41" s="56"/>
      <c r="GH41" s="56"/>
      <c r="GI41" s="56"/>
      <c r="GJ41" s="56"/>
      <c r="GK41" s="56"/>
      <c r="GL41" s="56"/>
      <c r="GM41" s="56"/>
      <c r="GN41" s="56"/>
      <c r="GO41" s="56"/>
    </row>
    <row r="42" spans="1:197" ht="20.25">
      <c r="A42" s="192"/>
      <c r="B42" s="171"/>
      <c r="C42" s="171"/>
      <c r="D42" s="171"/>
      <c r="E42" s="171"/>
      <c r="F42" s="171"/>
      <c r="G42" s="171"/>
      <c r="H42" s="171"/>
      <c r="I42" s="171"/>
      <c r="J42" s="186"/>
      <c r="K42" s="288"/>
      <c r="L42" s="289"/>
      <c r="M42" s="289"/>
      <c r="N42" s="289"/>
      <c r="O42" s="290"/>
      <c r="P42" s="290"/>
      <c r="Q42" s="290"/>
      <c r="R42" s="290"/>
      <c r="S42" s="291"/>
      <c r="T42" s="801"/>
      <c r="U42" s="801"/>
      <c r="V42" s="801"/>
      <c r="W42" s="801"/>
      <c r="X42" s="293"/>
      <c r="Y42" s="56"/>
      <c r="Z42" s="56"/>
      <c r="AC42" s="171"/>
      <c r="AD42" s="171"/>
      <c r="AE42" s="56"/>
      <c r="AF42" s="171"/>
      <c r="AG42" s="171"/>
      <c r="AH42" s="186"/>
      <c r="AI42" s="280"/>
      <c r="AJ42" s="779"/>
      <c r="AK42" s="779"/>
      <c r="AL42" s="57"/>
      <c r="AM42" s="56"/>
      <c r="AN42" s="811"/>
      <c r="AO42" s="811"/>
      <c r="AP42" s="56"/>
      <c r="AQ42" s="254"/>
      <c r="AR42" s="811"/>
      <c r="AS42" s="811"/>
      <c r="AT42" s="254"/>
      <c r="AU42" s="194"/>
      <c r="AV42" s="194"/>
      <c r="AW42" s="129"/>
      <c r="AX42" s="56"/>
      <c r="AY42" s="56"/>
      <c r="AZ42" s="56"/>
      <c r="BA42" s="80"/>
      <c r="BB42" s="80"/>
      <c r="BC42" s="56"/>
      <c r="BD42" s="56"/>
      <c r="BE42" s="816"/>
      <c r="BF42" s="816"/>
      <c r="BG42" s="816"/>
      <c r="BH42" s="74"/>
      <c r="BI42" s="56"/>
      <c r="BJ42" s="56"/>
      <c r="BK42" s="229"/>
      <c r="BL42" s="83"/>
      <c r="BM42" s="56"/>
      <c r="BN42" s="56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  <c r="BZ42" s="56"/>
      <c r="CA42" s="56"/>
      <c r="CB42" s="56"/>
      <c r="CC42" s="56"/>
      <c r="CD42" s="56"/>
      <c r="CE42" s="56"/>
      <c r="CF42" s="56"/>
      <c r="CG42" s="56"/>
      <c r="CH42" s="56"/>
      <c r="CI42" s="56"/>
      <c r="CJ42" s="56"/>
      <c r="CK42" s="56"/>
      <c r="CL42" s="56"/>
      <c r="CM42" s="56"/>
      <c r="CN42" s="56"/>
      <c r="CO42" s="56"/>
      <c r="CP42" s="56"/>
      <c r="CQ42" s="56"/>
      <c r="CR42" s="56"/>
      <c r="CS42" s="56"/>
      <c r="CT42" s="56"/>
      <c r="CU42" s="56"/>
      <c r="CV42" s="56"/>
      <c r="CW42" s="56"/>
      <c r="CX42" s="56"/>
      <c r="CY42" s="56"/>
      <c r="CZ42" s="56"/>
      <c r="DA42" s="56"/>
      <c r="DB42" s="56"/>
      <c r="DC42" s="56"/>
      <c r="DD42" s="56"/>
      <c r="DE42" s="56"/>
      <c r="DF42" s="56"/>
      <c r="DG42" s="56"/>
      <c r="DH42" s="56"/>
      <c r="DI42" s="56"/>
      <c r="DJ42" s="56"/>
      <c r="DK42" s="56"/>
      <c r="DL42" s="56"/>
      <c r="DM42" s="56"/>
      <c r="DN42" s="56"/>
      <c r="DO42" s="56"/>
      <c r="DP42" s="56"/>
      <c r="DQ42" s="56"/>
      <c r="DR42" s="56"/>
      <c r="DS42" s="56"/>
      <c r="DT42" s="56"/>
      <c r="DU42" s="56"/>
      <c r="DV42" s="56"/>
      <c r="DW42" s="56"/>
      <c r="DX42" s="56"/>
      <c r="DY42" s="56"/>
      <c r="DZ42" s="56"/>
      <c r="EA42" s="56"/>
      <c r="EB42" s="56"/>
      <c r="EC42" s="56"/>
      <c r="ED42" s="56"/>
      <c r="EE42" s="56"/>
      <c r="EF42" s="56"/>
      <c r="EG42" s="56"/>
      <c r="EH42" s="56"/>
      <c r="EI42" s="56"/>
      <c r="EJ42" s="56"/>
      <c r="EK42" s="56"/>
      <c r="EL42" s="56"/>
      <c r="EM42" s="56"/>
      <c r="EN42" s="56"/>
      <c r="EO42" s="56"/>
      <c r="EP42" s="56"/>
      <c r="EQ42" s="56"/>
      <c r="ER42" s="56"/>
      <c r="ES42" s="56"/>
      <c r="ET42" s="56"/>
      <c r="EU42" s="56"/>
      <c r="EV42" s="56"/>
      <c r="EW42" s="56"/>
      <c r="EX42" s="56"/>
      <c r="EY42" s="56"/>
      <c r="EZ42" s="56"/>
      <c r="FA42" s="56"/>
      <c r="FB42" s="56"/>
      <c r="FC42" s="56"/>
      <c r="FD42" s="56"/>
      <c r="FE42" s="56"/>
      <c r="FF42" s="56"/>
      <c r="FG42" s="56"/>
      <c r="FH42" s="56"/>
      <c r="FI42" s="56"/>
      <c r="FJ42" s="56"/>
      <c r="FK42" s="56"/>
      <c r="FL42" s="56"/>
      <c r="FM42" s="56"/>
      <c r="FN42" s="56"/>
      <c r="FO42" s="56"/>
      <c r="FP42" s="56"/>
      <c r="FQ42" s="56"/>
      <c r="FR42" s="56"/>
      <c r="FS42" s="56"/>
      <c r="FT42" s="56"/>
      <c r="FU42" s="56"/>
      <c r="FV42" s="56"/>
      <c r="FW42" s="56"/>
      <c r="FX42" s="56"/>
      <c r="FY42" s="56"/>
      <c r="FZ42" s="56"/>
      <c r="GA42" s="56"/>
      <c r="GB42" s="56"/>
      <c r="GC42" s="56"/>
      <c r="GD42" s="56"/>
      <c r="GE42" s="56"/>
      <c r="GF42" s="56"/>
      <c r="GG42" s="56"/>
      <c r="GH42" s="56"/>
      <c r="GI42" s="56"/>
      <c r="GJ42" s="56"/>
      <c r="GK42" s="56"/>
      <c r="GL42" s="56"/>
      <c r="GM42" s="56"/>
      <c r="GN42" s="56"/>
      <c r="GO42" s="56"/>
    </row>
    <row r="43" spans="1:197" ht="21" thickBot="1">
      <c r="A43" s="192"/>
      <c r="B43" s="295"/>
      <c r="C43" s="295"/>
      <c r="D43" s="295"/>
      <c r="E43" s="295"/>
      <c r="F43" s="295"/>
      <c r="G43" s="295"/>
      <c r="H43" s="295"/>
      <c r="I43" s="295"/>
      <c r="J43" s="295"/>
      <c r="K43" s="192"/>
      <c r="L43" s="826" t="s">
        <v>183</v>
      </c>
      <c r="M43" s="826"/>
      <c r="N43" s="826"/>
      <c r="O43" s="826"/>
      <c r="P43" s="826"/>
      <c r="Q43" s="826"/>
      <c r="R43" s="826"/>
      <c r="S43" s="272"/>
      <c r="T43" s="779"/>
      <c r="U43" s="779"/>
      <c r="V43" s="779"/>
      <c r="W43" s="779"/>
      <c r="X43" s="802"/>
      <c r="Y43" s="297"/>
      <c r="Z43" s="297"/>
      <c r="AC43" s="171"/>
      <c r="AD43" s="186"/>
      <c r="AE43" s="56"/>
      <c r="AF43" s="186"/>
      <c r="AG43" s="56"/>
      <c r="AH43" s="186"/>
      <c r="AI43" s="280"/>
      <c r="AJ43" s="779"/>
      <c r="AK43" s="779"/>
      <c r="AL43" s="57"/>
      <c r="AM43" s="57"/>
      <c r="AN43" s="812"/>
      <c r="AO43" s="812"/>
      <c r="AP43" s="56"/>
      <c r="AQ43" s="56"/>
      <c r="AR43" s="812"/>
      <c r="AS43" s="812"/>
      <c r="AT43" s="56"/>
      <c r="AU43" s="194"/>
      <c r="AV43" s="194"/>
      <c r="AW43" s="129"/>
      <c r="AX43" s="56"/>
      <c r="AY43" s="56"/>
      <c r="AZ43" s="56"/>
      <c r="BA43" s="56"/>
      <c r="BB43" s="56"/>
      <c r="BC43" s="56"/>
      <c r="BD43" s="56"/>
      <c r="BE43" s="816"/>
      <c r="BF43" s="816"/>
      <c r="BG43" s="816"/>
      <c r="BH43" s="818"/>
      <c r="BI43" s="57"/>
      <c r="BJ43" s="56"/>
      <c r="BK43" s="824"/>
      <c r="BL43" s="83"/>
      <c r="BM43" s="56"/>
      <c r="BN43" s="56"/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  <c r="BZ43" s="56"/>
      <c r="CA43" s="56"/>
      <c r="CB43" s="56"/>
      <c r="CC43" s="56"/>
      <c r="CD43" s="56"/>
      <c r="CE43" s="56"/>
      <c r="CF43" s="56"/>
      <c r="CG43" s="56"/>
      <c r="CH43" s="56"/>
      <c r="CI43" s="56"/>
      <c r="CJ43" s="56"/>
      <c r="CK43" s="56"/>
      <c r="CL43" s="56"/>
      <c r="CM43" s="56"/>
      <c r="CN43" s="56"/>
      <c r="CO43" s="56"/>
      <c r="CP43" s="56"/>
      <c r="CQ43" s="56"/>
      <c r="CR43" s="56"/>
      <c r="CS43" s="56"/>
      <c r="CT43" s="56"/>
      <c r="CU43" s="56"/>
      <c r="CV43" s="56"/>
      <c r="CW43" s="56"/>
      <c r="CX43" s="56"/>
      <c r="CY43" s="56"/>
      <c r="CZ43" s="56"/>
      <c r="DA43" s="56"/>
      <c r="DB43" s="56"/>
      <c r="DC43" s="56"/>
      <c r="DD43" s="56"/>
      <c r="DE43" s="56"/>
      <c r="DF43" s="56"/>
      <c r="DG43" s="56"/>
      <c r="DH43" s="56"/>
      <c r="DI43" s="56"/>
      <c r="DJ43" s="56"/>
      <c r="DK43" s="56"/>
      <c r="DL43" s="56"/>
      <c r="DM43" s="56"/>
      <c r="DN43" s="56"/>
      <c r="DO43" s="56"/>
      <c r="DP43" s="56"/>
      <c r="DQ43" s="56"/>
      <c r="DR43" s="56"/>
      <c r="DS43" s="56"/>
      <c r="DT43" s="56"/>
      <c r="DU43" s="56"/>
      <c r="DV43" s="56"/>
      <c r="DW43" s="56"/>
      <c r="DX43" s="56"/>
      <c r="DY43" s="56"/>
      <c r="DZ43" s="56"/>
      <c r="EA43" s="56"/>
      <c r="EB43" s="56"/>
      <c r="EC43" s="56"/>
      <c r="ED43" s="56"/>
      <c r="EE43" s="56"/>
      <c r="EF43" s="56"/>
      <c r="EG43" s="56"/>
      <c r="EH43" s="56"/>
      <c r="EI43" s="56"/>
      <c r="EJ43" s="56"/>
      <c r="EK43" s="56"/>
      <c r="EL43" s="56"/>
      <c r="EM43" s="56"/>
      <c r="EN43" s="56"/>
      <c r="EO43" s="56"/>
      <c r="EP43" s="56"/>
      <c r="EQ43" s="56"/>
      <c r="ER43" s="56"/>
      <c r="ES43" s="56"/>
      <c r="ET43" s="56"/>
      <c r="EU43" s="56"/>
      <c r="EV43" s="56"/>
      <c r="EW43" s="56"/>
      <c r="EX43" s="56"/>
      <c r="EY43" s="56"/>
      <c r="EZ43" s="56"/>
      <c r="FA43" s="56"/>
      <c r="FB43" s="56"/>
      <c r="FC43" s="56"/>
      <c r="FD43" s="56"/>
      <c r="FE43" s="56"/>
      <c r="FF43" s="56"/>
      <c r="FG43" s="56"/>
      <c r="FH43" s="56"/>
      <c r="FI43" s="56"/>
      <c r="FJ43" s="56"/>
      <c r="FK43" s="56"/>
      <c r="FL43" s="56"/>
      <c r="FM43" s="56"/>
      <c r="FN43" s="56"/>
      <c r="FO43" s="56"/>
      <c r="FP43" s="56"/>
      <c r="FQ43" s="56"/>
      <c r="FR43" s="56"/>
      <c r="FS43" s="56"/>
      <c r="FT43" s="56"/>
      <c r="FU43" s="56"/>
      <c r="FV43" s="56"/>
      <c r="FW43" s="56"/>
      <c r="FX43" s="56"/>
      <c r="FY43" s="56"/>
      <c r="FZ43" s="56"/>
      <c r="GA43" s="56"/>
      <c r="GB43" s="56"/>
      <c r="GC43" s="56"/>
      <c r="GD43" s="56"/>
      <c r="GE43" s="56"/>
      <c r="GF43" s="56"/>
      <c r="GG43" s="56"/>
      <c r="GH43" s="56"/>
      <c r="GI43" s="56"/>
      <c r="GJ43" s="56"/>
      <c r="GK43" s="56"/>
      <c r="GL43" s="56"/>
      <c r="GM43" s="56"/>
      <c r="GN43" s="56"/>
      <c r="GO43" s="56"/>
    </row>
    <row r="44" spans="1:197" ht="16.5" thickBot="1">
      <c r="A44" s="192"/>
      <c r="B44" s="201"/>
      <c r="C44" s="301"/>
      <c r="D44" s="301"/>
      <c r="E44" s="301"/>
      <c r="F44" s="171"/>
      <c r="G44" s="171"/>
      <c r="H44" s="171"/>
      <c r="I44" s="171"/>
      <c r="J44" s="205"/>
      <c r="K44" s="192"/>
      <c r="L44" s="826"/>
      <c r="M44" s="826"/>
      <c r="N44" s="826"/>
      <c r="O44" s="826"/>
      <c r="P44" s="826"/>
      <c r="Q44" s="826"/>
      <c r="R44" s="826"/>
      <c r="S44" s="272"/>
      <c r="T44" s="803"/>
      <c r="U44" s="804"/>
      <c r="V44" s="804"/>
      <c r="W44" s="804"/>
      <c r="X44" s="804"/>
      <c r="Y44" s="804"/>
      <c r="Z44" s="805"/>
      <c r="AA44" s="290"/>
      <c r="AB44" s="291"/>
      <c r="AC44" s="192"/>
      <c r="AD44" s="186"/>
      <c r="AE44" s="186"/>
      <c r="AF44" s="186"/>
      <c r="AG44" s="57"/>
      <c r="AH44" s="186"/>
      <c r="AI44" s="280"/>
      <c r="AJ44" s="779"/>
      <c r="AK44" s="779"/>
      <c r="AL44" s="280"/>
      <c r="AM44" s="280"/>
      <c r="AN44" s="812"/>
      <c r="AO44" s="812"/>
      <c r="AP44" s="56"/>
      <c r="AQ44" s="56"/>
      <c r="AR44" s="812"/>
      <c r="AS44" s="812"/>
      <c r="AT44" s="56"/>
      <c r="AU44" s="171"/>
      <c r="AV44" s="184"/>
      <c r="AW44" s="184"/>
      <c r="AX44" s="56"/>
      <c r="AY44" s="56"/>
      <c r="AZ44" s="56"/>
      <c r="BA44" s="80"/>
      <c r="BB44" s="80"/>
      <c r="BC44" s="56"/>
      <c r="BD44" s="799"/>
      <c r="BE44" s="808"/>
      <c r="BF44" s="808"/>
      <c r="BG44" s="808"/>
      <c r="BH44" s="808"/>
      <c r="BI44" s="56"/>
      <c r="BJ44" s="56"/>
      <c r="BL44" s="83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6"/>
      <c r="CO44" s="56"/>
      <c r="CP44" s="56"/>
      <c r="CQ44" s="56"/>
      <c r="CR44" s="56"/>
      <c r="CS44" s="56"/>
      <c r="CT44" s="56"/>
      <c r="CU44" s="56"/>
      <c r="CV44" s="56"/>
      <c r="CW44" s="56"/>
      <c r="CX44" s="56"/>
      <c r="CY44" s="56"/>
      <c r="CZ44" s="56"/>
      <c r="DA44" s="56"/>
      <c r="DB44" s="56"/>
      <c r="DC44" s="56"/>
      <c r="DD44" s="56"/>
      <c r="DE44" s="56"/>
      <c r="DF44" s="56"/>
      <c r="DG44" s="56"/>
      <c r="DH44" s="56"/>
      <c r="DI44" s="56"/>
      <c r="DJ44" s="56"/>
      <c r="DK44" s="56"/>
      <c r="DL44" s="56"/>
      <c r="DM44" s="56"/>
      <c r="DN44" s="56"/>
      <c r="DO44" s="56"/>
      <c r="DP44" s="56"/>
      <c r="DQ44" s="56"/>
      <c r="DR44" s="56"/>
      <c r="DS44" s="56"/>
      <c r="DT44" s="56"/>
      <c r="DU44" s="56"/>
      <c r="DV44" s="56"/>
      <c r="DW44" s="56"/>
      <c r="DX44" s="56"/>
      <c r="DY44" s="56"/>
      <c r="DZ44" s="56"/>
      <c r="EA44" s="56"/>
      <c r="EB44" s="56"/>
      <c r="EC44" s="56"/>
      <c r="ED44" s="56"/>
      <c r="EE44" s="56"/>
      <c r="EF44" s="56"/>
      <c r="EG44" s="56"/>
      <c r="EH44" s="56"/>
      <c r="EI44" s="56"/>
      <c r="EJ44" s="56"/>
      <c r="EK44" s="56"/>
      <c r="EL44" s="56"/>
      <c r="EM44" s="56"/>
      <c r="EN44" s="56"/>
      <c r="EO44" s="56"/>
      <c r="EP44" s="56"/>
      <c r="EQ44" s="56"/>
      <c r="ER44" s="56"/>
      <c r="ES44" s="56"/>
      <c r="ET44" s="56"/>
      <c r="EU44" s="56"/>
      <c r="EV44" s="56"/>
      <c r="EW44" s="56"/>
      <c r="EX44" s="56"/>
      <c r="EY44" s="56"/>
      <c r="EZ44" s="56"/>
      <c r="FA44" s="56"/>
      <c r="FB44" s="56"/>
      <c r="FC44" s="56"/>
      <c r="FD44" s="56"/>
      <c r="FE44" s="56"/>
      <c r="FF44" s="56"/>
      <c r="FG44" s="56"/>
      <c r="FH44" s="56"/>
      <c r="FI44" s="56"/>
      <c r="FJ44" s="56"/>
      <c r="FK44" s="56"/>
      <c r="FL44" s="56"/>
      <c r="FM44" s="56"/>
      <c r="FN44" s="56"/>
      <c r="FO44" s="56"/>
      <c r="FP44" s="56"/>
      <c r="FQ44" s="56"/>
      <c r="FR44" s="56"/>
      <c r="FS44" s="56"/>
      <c r="FT44" s="56"/>
      <c r="FU44" s="56"/>
      <c r="FV44" s="56"/>
      <c r="FW44" s="56"/>
      <c r="FX44" s="56"/>
      <c r="FY44" s="56"/>
      <c r="FZ44" s="56"/>
      <c r="GA44" s="56"/>
      <c r="GB44" s="56"/>
      <c r="GC44" s="56"/>
      <c r="GD44" s="56"/>
      <c r="GE44" s="56"/>
      <c r="GF44" s="56"/>
      <c r="GG44" s="56"/>
      <c r="GH44" s="56"/>
      <c r="GI44" s="56"/>
      <c r="GJ44" s="56"/>
      <c r="GK44" s="56"/>
      <c r="GL44" s="56"/>
      <c r="GM44" s="56"/>
      <c r="GN44" s="56"/>
      <c r="GO44" s="56"/>
    </row>
    <row r="45" spans="1:197" ht="16.5" thickBot="1">
      <c r="A45" s="192"/>
      <c r="B45" s="201"/>
      <c r="C45" s="301"/>
      <c r="D45" s="301"/>
      <c r="E45" s="301"/>
      <c r="F45" s="171"/>
      <c r="G45" s="171"/>
      <c r="H45" s="171"/>
      <c r="I45" s="171"/>
      <c r="J45" s="205"/>
      <c r="K45" s="281"/>
      <c r="L45" s="304"/>
      <c r="M45" s="304"/>
      <c r="N45" s="283"/>
      <c r="O45" s="305"/>
      <c r="P45" s="305"/>
      <c r="Q45" s="305"/>
      <c r="R45" s="304"/>
      <c r="S45" s="306"/>
      <c r="T45" s="192"/>
      <c r="U45" s="186"/>
      <c r="V45" s="186"/>
      <c r="W45" s="186"/>
      <c r="X45" s="186"/>
      <c r="Y45" s="186"/>
      <c r="Z45" s="186"/>
      <c r="AA45" s="57"/>
      <c r="AB45" s="272"/>
      <c r="AC45" s="307"/>
      <c r="AD45" s="827" t="s">
        <v>131</v>
      </c>
      <c r="AE45" s="828"/>
      <c r="AF45" s="829"/>
      <c r="AG45" s="186"/>
      <c r="AH45" s="186"/>
      <c r="AI45" s="280"/>
      <c r="AJ45" s="779"/>
      <c r="AK45" s="779"/>
      <c r="AL45" s="280"/>
      <c r="AM45" s="280"/>
      <c r="AN45" s="812"/>
      <c r="AO45" s="812"/>
      <c r="AP45" s="56"/>
      <c r="AQ45" s="56"/>
      <c r="AR45" s="812"/>
      <c r="AS45" s="812"/>
      <c r="AT45" s="56"/>
      <c r="AU45" s="171"/>
      <c r="AV45" s="184"/>
      <c r="AW45" s="184"/>
      <c r="AX45" s="56"/>
      <c r="AY45" s="56"/>
      <c r="AZ45" s="56"/>
      <c r="BA45" s="56"/>
      <c r="BB45" s="56"/>
      <c r="BC45" s="56"/>
      <c r="BD45" s="799"/>
      <c r="BE45" s="808"/>
      <c r="BF45" s="808"/>
      <c r="BG45" s="808"/>
      <c r="BH45" s="808"/>
      <c r="BI45" s="56"/>
      <c r="BJ45" s="56"/>
      <c r="BL45" s="83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  <c r="CG45" s="56"/>
      <c r="CH45" s="56"/>
      <c r="CI45" s="56"/>
      <c r="CJ45" s="56"/>
      <c r="CK45" s="56"/>
      <c r="CL45" s="56"/>
      <c r="CM45" s="56"/>
      <c r="CN45" s="56"/>
      <c r="CO45" s="56"/>
      <c r="CP45" s="56"/>
      <c r="CQ45" s="56"/>
      <c r="CR45" s="56"/>
      <c r="CS45" s="56"/>
      <c r="CT45" s="56"/>
      <c r="CU45" s="56"/>
      <c r="CV45" s="56"/>
      <c r="CW45" s="56"/>
      <c r="CX45" s="56"/>
      <c r="CY45" s="56"/>
      <c r="CZ45" s="56"/>
      <c r="DA45" s="56"/>
      <c r="DB45" s="56"/>
      <c r="DC45" s="56"/>
      <c r="DD45" s="56"/>
      <c r="DE45" s="56"/>
      <c r="DF45" s="56"/>
      <c r="DG45" s="56"/>
      <c r="DH45" s="56"/>
      <c r="DI45" s="56"/>
      <c r="DJ45" s="56"/>
      <c r="DK45" s="56"/>
      <c r="DL45" s="56"/>
      <c r="DM45" s="56"/>
      <c r="DN45" s="56"/>
      <c r="DO45" s="56"/>
      <c r="DP45" s="56"/>
      <c r="DQ45" s="56"/>
      <c r="DR45" s="56"/>
      <c r="DS45" s="56"/>
      <c r="DT45" s="56"/>
      <c r="DU45" s="56"/>
      <c r="DV45" s="56"/>
      <c r="DW45" s="56"/>
      <c r="DX45" s="56"/>
      <c r="DY45" s="56"/>
      <c r="DZ45" s="56"/>
      <c r="EA45" s="56"/>
      <c r="EB45" s="56"/>
      <c r="EC45" s="56"/>
      <c r="ED45" s="56"/>
      <c r="EE45" s="56"/>
      <c r="EF45" s="56"/>
      <c r="EG45" s="56"/>
      <c r="EH45" s="56"/>
      <c r="EI45" s="56"/>
      <c r="EJ45" s="56"/>
      <c r="EK45" s="56"/>
      <c r="EL45" s="56"/>
      <c r="EM45" s="56"/>
      <c r="EN45" s="56"/>
      <c r="EO45" s="56"/>
      <c r="EP45" s="56"/>
      <c r="EQ45" s="56"/>
      <c r="ER45" s="56"/>
      <c r="ES45" s="56"/>
      <c r="ET45" s="56"/>
      <c r="EU45" s="56"/>
      <c r="EV45" s="56"/>
      <c r="EW45" s="56"/>
      <c r="EX45" s="56"/>
      <c r="EY45" s="56"/>
      <c r="EZ45" s="56"/>
      <c r="FA45" s="56"/>
      <c r="FB45" s="56"/>
      <c r="FC45" s="56"/>
      <c r="FD45" s="56"/>
      <c r="FE45" s="56"/>
      <c r="FF45" s="56"/>
      <c r="FG45" s="56"/>
      <c r="FH45" s="56"/>
      <c r="FI45" s="56"/>
      <c r="FJ45" s="56"/>
      <c r="FK45" s="56"/>
      <c r="FL45" s="56"/>
      <c r="FM45" s="56"/>
      <c r="FN45" s="56"/>
      <c r="FO45" s="56"/>
      <c r="FP45" s="56"/>
      <c r="FQ45" s="56"/>
      <c r="FR45" s="56"/>
      <c r="FS45" s="56"/>
      <c r="FT45" s="56"/>
      <c r="FU45" s="56"/>
      <c r="FV45" s="56"/>
      <c r="FW45" s="56"/>
      <c r="FX45" s="56"/>
      <c r="FY45" s="56"/>
      <c r="FZ45" s="56"/>
      <c r="GA45" s="56"/>
      <c r="GB45" s="56"/>
      <c r="GC45" s="56"/>
      <c r="GD45" s="56"/>
      <c r="GE45" s="56"/>
      <c r="GF45" s="56"/>
      <c r="GG45" s="56"/>
      <c r="GH45" s="56"/>
      <c r="GI45" s="56"/>
      <c r="GJ45" s="56"/>
      <c r="GK45" s="56"/>
      <c r="GL45" s="56"/>
      <c r="GM45" s="56"/>
      <c r="GN45" s="56"/>
      <c r="GO45" s="56"/>
    </row>
    <row r="46" spans="1:197" ht="16.5" thickBot="1">
      <c r="A46" s="192"/>
      <c r="B46" s="201"/>
      <c r="C46" s="301"/>
      <c r="D46" s="301"/>
      <c r="E46" s="301"/>
      <c r="F46" s="171"/>
      <c r="G46" s="171"/>
      <c r="H46" s="171"/>
      <c r="I46" s="171"/>
      <c r="J46" s="205"/>
      <c r="K46" s="250"/>
      <c r="L46" s="250"/>
      <c r="M46" s="308"/>
      <c r="N46" s="186"/>
      <c r="O46" s="171"/>
      <c r="P46" s="171"/>
      <c r="Q46" s="171"/>
      <c r="R46" s="309"/>
      <c r="S46" s="309"/>
      <c r="T46" s="171"/>
      <c r="U46" s="186"/>
      <c r="V46" s="186"/>
      <c r="W46" s="186"/>
      <c r="X46" s="186"/>
      <c r="Y46" s="212"/>
      <c r="Z46" s="186"/>
      <c r="AA46" s="57"/>
      <c r="AB46" s="171"/>
      <c r="AC46" s="192"/>
      <c r="AD46" s="830"/>
      <c r="AE46" s="831"/>
      <c r="AF46" s="832"/>
      <c r="AG46" s="59"/>
      <c r="AH46" s="171"/>
      <c r="AI46" s="280"/>
      <c r="AJ46" s="212"/>
      <c r="AK46" s="212"/>
      <c r="AL46" s="280"/>
      <c r="AM46" s="280"/>
      <c r="AN46" s="811"/>
      <c r="AO46" s="811"/>
      <c r="AP46" s="280"/>
      <c r="AQ46" s="280"/>
      <c r="AR46" s="811"/>
      <c r="AS46" s="811"/>
      <c r="AT46" s="280"/>
      <c r="AU46" s="171"/>
      <c r="AV46" s="184"/>
      <c r="AW46" s="184"/>
      <c r="AX46" s="56"/>
      <c r="AY46" s="56"/>
      <c r="AZ46" s="56"/>
      <c r="BA46" s="56"/>
      <c r="BB46" s="56"/>
      <c r="BC46" s="56"/>
      <c r="BD46" s="56"/>
      <c r="BE46" s="57"/>
      <c r="BF46" s="280"/>
      <c r="BG46" s="212"/>
      <c r="BH46" s="212"/>
      <c r="BI46" s="56"/>
      <c r="BJ46" s="56"/>
      <c r="BL46" s="83"/>
      <c r="BM46" s="56"/>
      <c r="BN46" s="56"/>
      <c r="BO46" s="56"/>
      <c r="BP46" s="56"/>
      <c r="BQ46" s="56"/>
      <c r="BR46" s="56"/>
      <c r="BS46" s="56"/>
      <c r="BT46" s="56"/>
      <c r="BU46" s="56"/>
      <c r="BV46" s="56"/>
      <c r="BW46" s="56"/>
      <c r="BX46" s="56"/>
      <c r="BY46" s="56"/>
      <c r="BZ46" s="56"/>
      <c r="CA46" s="56"/>
      <c r="CB46" s="56"/>
      <c r="CC46" s="56"/>
      <c r="CD46" s="56"/>
      <c r="CE46" s="56"/>
      <c r="CF46" s="56"/>
      <c r="CG46" s="56"/>
      <c r="CH46" s="56"/>
      <c r="CI46" s="56"/>
      <c r="CJ46" s="56"/>
      <c r="CK46" s="56"/>
      <c r="CL46" s="56"/>
      <c r="CM46" s="56"/>
      <c r="CN46" s="56"/>
      <c r="CO46" s="56"/>
      <c r="CP46" s="56"/>
      <c r="CQ46" s="56"/>
      <c r="CR46" s="56"/>
      <c r="CS46" s="56"/>
      <c r="CT46" s="56"/>
      <c r="CU46" s="56"/>
      <c r="CV46" s="56"/>
      <c r="CW46" s="56"/>
      <c r="CX46" s="56"/>
      <c r="CY46" s="56"/>
      <c r="CZ46" s="56"/>
      <c r="DA46" s="56"/>
      <c r="DB46" s="56"/>
      <c r="DC46" s="56"/>
      <c r="DD46" s="56"/>
      <c r="DE46" s="56"/>
      <c r="DF46" s="56"/>
      <c r="DG46" s="56"/>
      <c r="DH46" s="56"/>
      <c r="DI46" s="56"/>
      <c r="DJ46" s="56"/>
      <c r="DK46" s="56"/>
      <c r="DL46" s="56"/>
      <c r="DM46" s="56"/>
      <c r="DN46" s="56"/>
      <c r="DO46" s="56"/>
      <c r="DP46" s="56"/>
      <c r="DQ46" s="56"/>
      <c r="DR46" s="56"/>
      <c r="DS46" s="56"/>
      <c r="DT46" s="56"/>
      <c r="DU46" s="56"/>
      <c r="DV46" s="56"/>
      <c r="DW46" s="56"/>
      <c r="DX46" s="56"/>
      <c r="DY46" s="56"/>
      <c r="DZ46" s="56"/>
      <c r="EA46" s="56"/>
      <c r="EB46" s="56"/>
      <c r="EC46" s="56"/>
      <c r="ED46" s="56"/>
      <c r="EE46" s="56"/>
      <c r="EF46" s="56"/>
      <c r="EG46" s="56"/>
      <c r="EH46" s="56"/>
      <c r="EI46" s="56"/>
      <c r="EJ46" s="56"/>
      <c r="EK46" s="56"/>
      <c r="EL46" s="56"/>
      <c r="EM46" s="56"/>
      <c r="EN46" s="56"/>
      <c r="EO46" s="56"/>
      <c r="EP46" s="56"/>
      <c r="EQ46" s="56"/>
      <c r="ER46" s="56"/>
      <c r="ES46" s="56"/>
      <c r="ET46" s="56"/>
      <c r="EU46" s="56"/>
      <c r="EV46" s="56"/>
      <c r="EW46" s="56"/>
      <c r="EX46" s="56"/>
      <c r="EY46" s="56"/>
      <c r="EZ46" s="56"/>
      <c r="FA46" s="56"/>
      <c r="FB46" s="56"/>
      <c r="FC46" s="56"/>
      <c r="FD46" s="56"/>
      <c r="FE46" s="56"/>
      <c r="FF46" s="56"/>
      <c r="FG46" s="56"/>
      <c r="FH46" s="56"/>
      <c r="FI46" s="56"/>
      <c r="FJ46" s="56"/>
      <c r="FK46" s="56"/>
      <c r="FL46" s="56"/>
      <c r="FM46" s="56"/>
      <c r="FN46" s="56"/>
      <c r="FO46" s="56"/>
      <c r="FP46" s="56"/>
      <c r="FQ46" s="56"/>
      <c r="FR46" s="56"/>
      <c r="FS46" s="56"/>
      <c r="FT46" s="56"/>
      <c r="FU46" s="56"/>
      <c r="FV46" s="56"/>
      <c r="FW46" s="56"/>
      <c r="FX46" s="56"/>
      <c r="FY46" s="56"/>
      <c r="FZ46" s="56"/>
      <c r="GA46" s="56"/>
      <c r="GB46" s="56"/>
      <c r="GC46" s="56"/>
      <c r="GD46" s="56"/>
      <c r="GE46" s="56"/>
      <c r="GF46" s="56"/>
      <c r="GG46" s="56"/>
      <c r="GH46" s="56"/>
      <c r="GI46" s="56"/>
      <c r="GJ46" s="56"/>
      <c r="GK46" s="56"/>
      <c r="GL46" s="56"/>
      <c r="GM46" s="56"/>
      <c r="GN46" s="56"/>
      <c r="GO46" s="56"/>
    </row>
    <row r="47" spans="1:197" ht="15.75">
      <c r="A47" s="192"/>
      <c r="B47" s="201"/>
      <c r="C47" s="301"/>
      <c r="D47" s="301"/>
      <c r="E47" s="301"/>
      <c r="F47" s="171"/>
      <c r="G47" s="171"/>
      <c r="H47" s="171"/>
      <c r="I47" s="171"/>
      <c r="J47" s="205"/>
      <c r="K47" s="250"/>
      <c r="L47" s="250"/>
      <c r="M47" s="309"/>
      <c r="N47" s="309"/>
      <c r="O47" s="309"/>
      <c r="P47" s="309"/>
      <c r="Q47" s="309"/>
      <c r="R47" s="309"/>
      <c r="S47" s="309"/>
      <c r="T47" s="250"/>
      <c r="U47" s="186"/>
      <c r="V47" s="186"/>
      <c r="W47" s="186"/>
      <c r="X47" s="186"/>
      <c r="Y47" s="186"/>
      <c r="Z47" s="186"/>
      <c r="AA47" s="57"/>
      <c r="AB47" s="171"/>
      <c r="AC47" s="192"/>
      <c r="AD47" s="830"/>
      <c r="AE47" s="831"/>
      <c r="AF47" s="832"/>
      <c r="AG47" s="57"/>
      <c r="AH47" s="291"/>
      <c r="AI47" s="280"/>
      <c r="AJ47" s="212"/>
      <c r="AK47" s="212"/>
      <c r="AL47" s="212"/>
      <c r="AM47" s="212"/>
      <c r="AN47" s="212"/>
      <c r="AO47" s="212"/>
      <c r="AP47" s="212"/>
      <c r="AQ47" s="212"/>
      <c r="AR47" s="212"/>
      <c r="AS47" s="212"/>
      <c r="AT47" s="212"/>
      <c r="AU47" s="171"/>
      <c r="AV47" s="171"/>
      <c r="AW47" s="308"/>
      <c r="AX47" s="171"/>
      <c r="AY47" s="56"/>
      <c r="AZ47" s="56"/>
      <c r="BA47" s="56"/>
      <c r="BB47" s="56"/>
      <c r="BC47" s="171"/>
      <c r="BD47" s="56"/>
      <c r="BE47" s="780"/>
      <c r="BF47" s="780"/>
      <c r="BG47" s="780"/>
      <c r="BH47" s="780"/>
      <c r="BI47" s="56"/>
      <c r="BJ47" s="56"/>
      <c r="BL47" s="83"/>
      <c r="BM47" s="56"/>
      <c r="BN47" s="56"/>
      <c r="BO47" s="56"/>
      <c r="BP47" s="56"/>
      <c r="BQ47" s="56"/>
      <c r="BR47" s="56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6"/>
      <c r="CO47" s="56"/>
      <c r="CP47" s="56"/>
      <c r="CQ47" s="56"/>
      <c r="CR47" s="56"/>
      <c r="CS47" s="56"/>
      <c r="CT47" s="56"/>
      <c r="CU47" s="56"/>
      <c r="CV47" s="56"/>
      <c r="CW47" s="56"/>
      <c r="CX47" s="56"/>
      <c r="CY47" s="56"/>
      <c r="CZ47" s="56"/>
      <c r="DA47" s="56"/>
      <c r="DB47" s="56"/>
      <c r="DC47" s="56"/>
      <c r="DD47" s="56"/>
      <c r="DE47" s="56"/>
      <c r="DF47" s="56"/>
      <c r="DG47" s="56"/>
      <c r="DH47" s="56"/>
      <c r="DI47" s="56"/>
      <c r="DJ47" s="56"/>
      <c r="DK47" s="56"/>
      <c r="DL47" s="56"/>
      <c r="DM47" s="56"/>
      <c r="DN47" s="56"/>
      <c r="DO47" s="56"/>
      <c r="DP47" s="56"/>
      <c r="DQ47" s="56"/>
      <c r="DR47" s="56"/>
      <c r="DS47" s="56"/>
      <c r="DT47" s="56"/>
      <c r="DU47" s="56"/>
      <c r="DV47" s="56"/>
      <c r="DW47" s="56"/>
      <c r="DX47" s="56"/>
      <c r="DY47" s="56"/>
      <c r="DZ47" s="56"/>
      <c r="EA47" s="56"/>
      <c r="EB47" s="56"/>
      <c r="EC47" s="56"/>
      <c r="ED47" s="56"/>
      <c r="EE47" s="56"/>
      <c r="EF47" s="56"/>
      <c r="EG47" s="56"/>
      <c r="EH47" s="56"/>
      <c r="EI47" s="56"/>
      <c r="EJ47" s="56"/>
      <c r="EK47" s="56"/>
      <c r="EL47" s="56"/>
      <c r="EM47" s="56"/>
      <c r="EN47" s="56"/>
      <c r="EO47" s="56"/>
      <c r="EP47" s="56"/>
      <c r="EQ47" s="56"/>
      <c r="ER47" s="56"/>
      <c r="ES47" s="56"/>
      <c r="ET47" s="56"/>
      <c r="EU47" s="56"/>
      <c r="EV47" s="56"/>
      <c r="EW47" s="56"/>
      <c r="EX47" s="56"/>
      <c r="EY47" s="56"/>
      <c r="EZ47" s="56"/>
      <c r="FA47" s="56"/>
      <c r="FB47" s="56"/>
      <c r="FC47" s="56"/>
      <c r="FD47" s="56"/>
      <c r="FE47" s="56"/>
      <c r="FF47" s="56"/>
      <c r="FG47" s="56"/>
      <c r="FH47" s="56"/>
      <c r="FI47" s="56"/>
      <c r="FJ47" s="56"/>
      <c r="FK47" s="56"/>
      <c r="FL47" s="56"/>
      <c r="FM47" s="56"/>
      <c r="FN47" s="56"/>
      <c r="FO47" s="56"/>
      <c r="FP47" s="56"/>
      <c r="FQ47" s="56"/>
      <c r="FR47" s="56"/>
      <c r="FS47" s="56"/>
      <c r="FT47" s="56"/>
      <c r="FU47" s="56"/>
      <c r="FV47" s="56"/>
      <c r="FW47" s="56"/>
      <c r="FX47" s="56"/>
      <c r="FY47" s="56"/>
      <c r="FZ47" s="56"/>
      <c r="GA47" s="56"/>
      <c r="GB47" s="56"/>
      <c r="GC47" s="56"/>
      <c r="GD47" s="56"/>
      <c r="GE47" s="56"/>
      <c r="GF47" s="56"/>
      <c r="GG47" s="56"/>
      <c r="GH47" s="56"/>
      <c r="GI47" s="56"/>
      <c r="GJ47" s="56"/>
      <c r="GK47" s="56"/>
      <c r="GL47" s="56"/>
      <c r="GM47" s="56"/>
      <c r="GN47" s="56"/>
      <c r="GO47" s="56"/>
    </row>
    <row r="48" spans="1:197" ht="16.5" thickBot="1">
      <c r="A48" s="192"/>
      <c r="B48" s="201"/>
      <c r="C48" s="301"/>
      <c r="D48" s="171"/>
      <c r="E48" s="171"/>
      <c r="F48" s="171"/>
      <c r="G48" s="171"/>
      <c r="H48" s="171"/>
      <c r="I48" s="171"/>
      <c r="J48" s="205"/>
      <c r="K48" s="171"/>
      <c r="L48" s="171"/>
      <c r="M48" s="185"/>
      <c r="N48" s="301"/>
      <c r="O48" s="171"/>
      <c r="P48" s="186"/>
      <c r="Q48" s="201"/>
      <c r="R48" s="201"/>
      <c r="S48" s="205"/>
      <c r="T48" s="201"/>
      <c r="U48" s="186"/>
      <c r="V48" s="186"/>
      <c r="W48" s="186"/>
      <c r="X48" s="186"/>
      <c r="Y48" s="186"/>
      <c r="Z48" s="186"/>
      <c r="AA48" s="58"/>
      <c r="AB48" s="171"/>
      <c r="AC48" s="192"/>
      <c r="AD48" s="830"/>
      <c r="AE48" s="831"/>
      <c r="AF48" s="832"/>
      <c r="AG48" s="171"/>
      <c r="AH48" s="272"/>
      <c r="AI48" s="58"/>
      <c r="AJ48" s="58"/>
      <c r="AK48" s="58"/>
      <c r="AL48" s="58"/>
      <c r="AM48" s="58"/>
      <c r="AN48" s="58"/>
      <c r="AO48" s="58"/>
      <c r="AP48" s="58"/>
      <c r="AQ48" s="171"/>
      <c r="AR48" s="171"/>
      <c r="AS48" s="171"/>
      <c r="AT48" s="171"/>
      <c r="AU48" s="56"/>
      <c r="AV48" s="171"/>
      <c r="AW48" s="308"/>
      <c r="AX48" s="56"/>
      <c r="AY48" s="56"/>
      <c r="AZ48" s="56"/>
      <c r="BA48" s="171"/>
      <c r="BB48" s="171"/>
      <c r="BC48" s="171"/>
      <c r="BD48" s="808"/>
      <c r="BE48" s="808"/>
      <c r="BF48" s="808"/>
      <c r="BG48" s="808"/>
      <c r="BH48" s="808"/>
      <c r="BI48" s="57"/>
      <c r="BJ48" s="56"/>
      <c r="BK48" s="56"/>
      <c r="BL48" s="83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56"/>
      <c r="CC48" s="56"/>
      <c r="CD48" s="56"/>
      <c r="CE48" s="56"/>
      <c r="CF48" s="56"/>
      <c r="CG48" s="56"/>
      <c r="CH48" s="56"/>
      <c r="CI48" s="56"/>
      <c r="CJ48" s="56"/>
      <c r="CK48" s="56"/>
      <c r="CL48" s="56"/>
      <c r="CM48" s="56"/>
      <c r="CN48" s="56"/>
      <c r="CO48" s="56"/>
      <c r="CP48" s="56"/>
      <c r="CQ48" s="56"/>
      <c r="CR48" s="56"/>
      <c r="CS48" s="56"/>
      <c r="CT48" s="56"/>
      <c r="CU48" s="56"/>
      <c r="CV48" s="56"/>
      <c r="CW48" s="56"/>
      <c r="CX48" s="56"/>
      <c r="CY48" s="56"/>
      <c r="CZ48" s="56"/>
      <c r="DA48" s="56"/>
      <c r="DB48" s="56"/>
      <c r="DC48" s="56"/>
      <c r="DD48" s="56"/>
      <c r="DE48" s="56"/>
      <c r="DF48" s="56"/>
      <c r="DG48" s="56"/>
      <c r="DH48" s="56"/>
      <c r="DI48" s="56"/>
      <c r="DJ48" s="56"/>
      <c r="DK48" s="56"/>
      <c r="DL48" s="56"/>
      <c r="DM48" s="56"/>
      <c r="DN48" s="56"/>
      <c r="DO48" s="56"/>
      <c r="DP48" s="56"/>
      <c r="DQ48" s="56"/>
      <c r="DR48" s="56"/>
      <c r="DS48" s="56"/>
      <c r="DT48" s="56"/>
      <c r="DU48" s="56"/>
      <c r="DV48" s="56"/>
      <c r="DW48" s="56"/>
      <c r="DX48" s="56"/>
      <c r="DY48" s="56"/>
      <c r="DZ48" s="56"/>
      <c r="EA48" s="56"/>
      <c r="EB48" s="56"/>
      <c r="EC48" s="56"/>
      <c r="ED48" s="56"/>
      <c r="EE48" s="56"/>
      <c r="EF48" s="56"/>
      <c r="EG48" s="56"/>
      <c r="EH48" s="56"/>
      <c r="EI48" s="56"/>
      <c r="EJ48" s="56"/>
      <c r="EK48" s="56"/>
      <c r="EL48" s="56"/>
      <c r="EM48" s="56"/>
      <c r="EN48" s="56"/>
      <c r="EO48" s="56"/>
      <c r="EP48" s="56"/>
      <c r="EQ48" s="56"/>
      <c r="ER48" s="56"/>
      <c r="ES48" s="56"/>
      <c r="ET48" s="56"/>
      <c r="EU48" s="56"/>
      <c r="EV48" s="56"/>
      <c r="EW48" s="56"/>
      <c r="EX48" s="56"/>
      <c r="EY48" s="56"/>
      <c r="EZ48" s="56"/>
      <c r="FA48" s="56"/>
      <c r="FB48" s="56"/>
      <c r="FC48" s="56"/>
      <c r="FD48" s="56"/>
      <c r="FE48" s="56"/>
      <c r="FF48" s="56"/>
      <c r="FG48" s="56"/>
      <c r="FH48" s="56"/>
      <c r="FI48" s="56"/>
      <c r="FJ48" s="56"/>
      <c r="FK48" s="56"/>
      <c r="FL48" s="56"/>
      <c r="FM48" s="56"/>
      <c r="FN48" s="56"/>
      <c r="FO48" s="56"/>
      <c r="FP48" s="56"/>
      <c r="FQ48" s="56"/>
      <c r="FR48" s="56"/>
      <c r="FS48" s="56"/>
      <c r="FT48" s="56"/>
      <c r="FU48" s="56"/>
      <c r="FV48" s="56"/>
      <c r="FW48" s="56"/>
      <c r="FX48" s="56"/>
      <c r="FY48" s="56"/>
      <c r="FZ48" s="56"/>
      <c r="GA48" s="56"/>
      <c r="GB48" s="56"/>
      <c r="GC48" s="56"/>
      <c r="GD48" s="56"/>
      <c r="GE48" s="56"/>
      <c r="GF48" s="56"/>
      <c r="GG48" s="56"/>
      <c r="GH48" s="56"/>
      <c r="GI48" s="56"/>
      <c r="GJ48" s="56"/>
      <c r="GK48" s="56"/>
      <c r="GL48" s="56"/>
      <c r="GM48" s="56"/>
      <c r="GN48" s="56"/>
      <c r="GO48" s="56"/>
    </row>
    <row r="49" spans="1:197" ht="16.5" thickBot="1">
      <c r="A49" s="310"/>
      <c r="B49" s="201"/>
      <c r="C49" s="301"/>
      <c r="D49" s="171"/>
      <c r="E49" s="171"/>
      <c r="F49" s="171"/>
      <c r="G49" s="171"/>
      <c r="H49" s="171"/>
      <c r="I49" s="171"/>
      <c r="J49" s="205"/>
      <c r="K49" s="171"/>
      <c r="L49" s="171"/>
      <c r="M49" s="311"/>
      <c r="N49" s="301"/>
      <c r="O49" s="186"/>
      <c r="P49" s="186"/>
      <c r="Q49" s="201"/>
      <c r="R49" s="201"/>
      <c r="S49" s="205"/>
      <c r="T49" s="201"/>
      <c r="U49" s="186"/>
      <c r="V49" s="186"/>
      <c r="W49" s="186"/>
      <c r="X49" s="186"/>
      <c r="Y49" s="186"/>
      <c r="Z49" s="186"/>
      <c r="AA49" s="58"/>
      <c r="AB49" s="171"/>
      <c r="AC49" s="192"/>
      <c r="AD49" s="833"/>
      <c r="AE49" s="834"/>
      <c r="AF49" s="835"/>
      <c r="AG49" s="283"/>
      <c r="AH49" s="306"/>
      <c r="AI49" s="836" t="s">
        <v>185</v>
      </c>
      <c r="AJ49" s="837"/>
      <c r="AK49" s="837"/>
      <c r="AL49" s="837"/>
      <c r="AM49" s="837"/>
      <c r="AN49" s="837"/>
      <c r="AO49" s="837"/>
      <c r="AP49" s="838"/>
      <c r="AQ49" s="171"/>
      <c r="AR49" s="171"/>
      <c r="AS49" s="171"/>
      <c r="AT49" s="845"/>
      <c r="AU49" s="845"/>
      <c r="AV49" s="171"/>
      <c r="AW49" s="308"/>
      <c r="AX49" s="171"/>
      <c r="AY49" s="56"/>
      <c r="AZ49" s="56"/>
      <c r="BA49" s="171"/>
      <c r="BB49" s="171"/>
      <c r="BC49" s="171"/>
      <c r="BD49" s="808"/>
      <c r="BE49" s="808"/>
      <c r="BF49" s="808"/>
      <c r="BG49" s="808"/>
      <c r="BH49" s="808"/>
      <c r="BI49" s="57"/>
      <c r="BJ49" s="58"/>
      <c r="BK49" s="56"/>
      <c r="BL49" s="83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56"/>
      <c r="CR49" s="56"/>
      <c r="CS49" s="56"/>
      <c r="CT49" s="56"/>
      <c r="CU49" s="56"/>
      <c r="CV49" s="56"/>
      <c r="CW49" s="56"/>
      <c r="CX49" s="56"/>
      <c r="CY49" s="56"/>
      <c r="CZ49" s="56"/>
      <c r="DA49" s="56"/>
      <c r="DB49" s="56"/>
      <c r="DC49" s="56"/>
      <c r="DD49" s="56"/>
      <c r="DE49" s="56"/>
      <c r="DF49" s="56"/>
      <c r="DG49" s="56"/>
      <c r="DH49" s="56"/>
      <c r="DI49" s="56"/>
      <c r="DJ49" s="56"/>
      <c r="DK49" s="56"/>
      <c r="DL49" s="56"/>
      <c r="DM49" s="56"/>
      <c r="DN49" s="56"/>
      <c r="DO49" s="56"/>
      <c r="DP49" s="56"/>
      <c r="DQ49" s="56"/>
      <c r="DR49" s="56"/>
      <c r="DS49" s="56"/>
      <c r="DT49" s="56"/>
      <c r="DU49" s="56"/>
      <c r="DV49" s="56"/>
      <c r="DW49" s="56"/>
      <c r="DX49" s="56"/>
      <c r="DY49" s="56"/>
      <c r="DZ49" s="56"/>
      <c r="EA49" s="56"/>
      <c r="EB49" s="56"/>
      <c r="EC49" s="56"/>
      <c r="ED49" s="56"/>
      <c r="EE49" s="56"/>
      <c r="EF49" s="56"/>
      <c r="EG49" s="56"/>
      <c r="EH49" s="56"/>
      <c r="EI49" s="56"/>
      <c r="EJ49" s="56"/>
      <c r="EK49" s="56"/>
      <c r="EL49" s="56"/>
      <c r="EM49" s="56"/>
      <c r="EN49" s="56"/>
      <c r="EO49" s="56"/>
      <c r="EP49" s="56"/>
      <c r="EQ49" s="56"/>
      <c r="ER49" s="56"/>
      <c r="ES49" s="56"/>
      <c r="ET49" s="56"/>
      <c r="EU49" s="56"/>
      <c r="EV49" s="56"/>
      <c r="EW49" s="56"/>
      <c r="EX49" s="56"/>
      <c r="EY49" s="56"/>
      <c r="EZ49" s="56"/>
      <c r="FA49" s="56"/>
      <c r="FB49" s="56"/>
      <c r="FC49" s="56"/>
      <c r="FD49" s="56"/>
      <c r="FE49" s="56"/>
      <c r="FF49" s="56"/>
      <c r="FG49" s="56"/>
      <c r="FH49" s="56"/>
      <c r="FI49" s="56"/>
      <c r="FJ49" s="56"/>
      <c r="FK49" s="56"/>
      <c r="FL49" s="56"/>
      <c r="FM49" s="56"/>
      <c r="FN49" s="56"/>
      <c r="FO49" s="56"/>
      <c r="FP49" s="56"/>
      <c r="FQ49" s="56"/>
      <c r="FR49" s="56"/>
      <c r="FS49" s="56"/>
      <c r="FT49" s="56"/>
      <c r="FU49" s="56"/>
      <c r="FV49" s="56"/>
      <c r="FW49" s="56"/>
      <c r="FX49" s="56"/>
      <c r="FY49" s="56"/>
      <c r="FZ49" s="56"/>
      <c r="GA49" s="56"/>
      <c r="GB49" s="56"/>
      <c r="GC49" s="56"/>
      <c r="GD49" s="56"/>
      <c r="GE49" s="56"/>
      <c r="GF49" s="56"/>
      <c r="GG49" s="56"/>
      <c r="GH49" s="56"/>
      <c r="GI49" s="56"/>
      <c r="GJ49" s="56"/>
      <c r="GK49" s="56"/>
      <c r="GL49" s="56"/>
      <c r="GM49" s="56"/>
      <c r="GN49" s="56"/>
      <c r="GO49" s="56"/>
    </row>
    <row r="50" spans="1:197" ht="15.75" thickBot="1">
      <c r="A50" s="310"/>
      <c r="B50" s="201"/>
      <c r="C50" s="301"/>
      <c r="D50" s="171"/>
      <c r="E50" s="171"/>
      <c r="F50" s="171"/>
      <c r="G50" s="171"/>
      <c r="H50" s="171"/>
      <c r="I50" s="171"/>
      <c r="J50" s="205"/>
      <c r="K50" s="171"/>
      <c r="L50" s="171"/>
      <c r="M50" s="311"/>
      <c r="N50" s="301"/>
      <c r="O50" s="186"/>
      <c r="P50" s="186"/>
      <c r="Q50" s="201"/>
      <c r="R50" s="201"/>
      <c r="S50" s="205"/>
      <c r="T50" s="186"/>
      <c r="U50" s="186"/>
      <c r="V50" s="186"/>
      <c r="W50" s="186"/>
      <c r="X50" s="186"/>
      <c r="Y50" s="186"/>
      <c r="Z50" s="186"/>
      <c r="AA50" s="57"/>
      <c r="AB50" s="186"/>
      <c r="AC50" s="192"/>
      <c r="AD50" s="185"/>
      <c r="AE50" s="312"/>
      <c r="AF50" s="846" t="s">
        <v>186</v>
      </c>
      <c r="AG50" s="847"/>
      <c r="AH50" s="848"/>
      <c r="AI50" s="839"/>
      <c r="AJ50" s="840"/>
      <c r="AK50" s="840"/>
      <c r="AL50" s="840"/>
      <c r="AM50" s="840"/>
      <c r="AN50" s="840"/>
      <c r="AO50" s="840"/>
      <c r="AP50" s="841"/>
      <c r="AQ50" s="171"/>
      <c r="AR50" s="171"/>
      <c r="AS50" s="171"/>
      <c r="AT50" s="845"/>
      <c r="AU50" s="845"/>
      <c r="AV50" s="313"/>
      <c r="AW50" s="313"/>
      <c r="AX50" s="171"/>
      <c r="AY50" s="56"/>
      <c r="AZ50" s="56"/>
      <c r="BA50" s="171"/>
      <c r="BB50" s="171"/>
      <c r="BC50" s="171"/>
      <c r="BD50" s="212"/>
      <c r="BE50" s="212"/>
      <c r="BF50" s="212"/>
      <c r="BG50" s="212"/>
      <c r="BH50" s="212"/>
      <c r="BI50" s="57"/>
      <c r="BJ50" s="308"/>
      <c r="BK50" s="308"/>
      <c r="BL50" s="83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56"/>
      <c r="CC50" s="56"/>
      <c r="CD50" s="56"/>
      <c r="CE50" s="56"/>
      <c r="CF50" s="56"/>
      <c r="CG50" s="56"/>
      <c r="CH50" s="56"/>
      <c r="CI50" s="56"/>
      <c r="CJ50" s="56"/>
      <c r="CK50" s="56"/>
      <c r="CL50" s="56"/>
      <c r="CM50" s="56"/>
      <c r="CN50" s="56"/>
      <c r="CO50" s="56"/>
      <c r="CP50" s="56"/>
      <c r="CQ50" s="56"/>
      <c r="CR50" s="56"/>
      <c r="CS50" s="56"/>
      <c r="CT50" s="56"/>
      <c r="CU50" s="56"/>
      <c r="CV50" s="56"/>
      <c r="CW50" s="56"/>
      <c r="CX50" s="56"/>
      <c r="CY50" s="56"/>
      <c r="CZ50" s="56"/>
      <c r="DA50" s="56"/>
      <c r="DB50" s="56"/>
      <c r="DC50" s="56"/>
      <c r="DD50" s="56"/>
      <c r="DE50" s="56"/>
      <c r="DF50" s="56"/>
      <c r="DG50" s="56"/>
      <c r="DH50" s="56"/>
      <c r="DI50" s="56"/>
      <c r="DJ50" s="56"/>
      <c r="DK50" s="56"/>
      <c r="DL50" s="56"/>
      <c r="DM50" s="56"/>
      <c r="DN50" s="56"/>
      <c r="DO50" s="56"/>
      <c r="DP50" s="56"/>
      <c r="DQ50" s="56"/>
      <c r="DR50" s="56"/>
      <c r="DS50" s="56"/>
      <c r="DT50" s="56"/>
      <c r="DU50" s="56"/>
      <c r="DV50" s="56"/>
      <c r="DW50" s="56"/>
      <c r="DX50" s="56"/>
      <c r="DY50" s="56"/>
      <c r="DZ50" s="56"/>
      <c r="EA50" s="56"/>
      <c r="EB50" s="56"/>
      <c r="EC50" s="56"/>
      <c r="ED50" s="56"/>
      <c r="EE50" s="56"/>
      <c r="EF50" s="56"/>
      <c r="EG50" s="56"/>
      <c r="EH50" s="56"/>
      <c r="EI50" s="56"/>
      <c r="EJ50" s="56"/>
      <c r="EK50" s="56"/>
      <c r="EL50" s="56"/>
      <c r="EM50" s="56"/>
      <c r="EN50" s="56"/>
      <c r="EO50" s="56"/>
      <c r="EP50" s="56"/>
      <c r="EQ50" s="56"/>
      <c r="ER50" s="56"/>
      <c r="ES50" s="56"/>
      <c r="ET50" s="56"/>
      <c r="EU50" s="56"/>
      <c r="EV50" s="56"/>
      <c r="EW50" s="56"/>
      <c r="EX50" s="56"/>
      <c r="EY50" s="56"/>
      <c r="EZ50" s="56"/>
      <c r="FA50" s="56"/>
      <c r="FB50" s="56"/>
      <c r="FC50" s="56"/>
      <c r="FD50" s="56"/>
      <c r="FE50" s="56"/>
      <c r="FF50" s="56"/>
      <c r="FG50" s="56"/>
      <c r="FH50" s="56"/>
      <c r="FI50" s="56"/>
      <c r="FJ50" s="56"/>
      <c r="FK50" s="56"/>
      <c r="FL50" s="56"/>
      <c r="FM50" s="56"/>
      <c r="FN50" s="56"/>
      <c r="FO50" s="56"/>
      <c r="FP50" s="56"/>
      <c r="FQ50" s="56"/>
      <c r="FR50" s="56"/>
      <c r="FS50" s="56"/>
      <c r="FT50" s="56"/>
      <c r="FU50" s="56"/>
      <c r="FV50" s="56"/>
      <c r="FW50" s="56"/>
      <c r="FX50" s="56"/>
      <c r="FY50" s="56"/>
      <c r="FZ50" s="56"/>
      <c r="GA50" s="56"/>
      <c r="GB50" s="56"/>
      <c r="GC50" s="56"/>
      <c r="GD50" s="56"/>
      <c r="GE50" s="56"/>
      <c r="GF50" s="56"/>
      <c r="GG50" s="56"/>
      <c r="GH50" s="56"/>
      <c r="GI50" s="56"/>
      <c r="GJ50" s="56"/>
      <c r="GK50" s="56"/>
      <c r="GL50" s="56"/>
      <c r="GM50" s="56"/>
      <c r="GN50" s="56"/>
      <c r="GO50" s="56"/>
    </row>
    <row r="51" spans="1:197">
      <c r="A51" s="310"/>
      <c r="B51" s="201"/>
      <c r="C51" s="301"/>
      <c r="D51" s="171"/>
      <c r="E51" s="171"/>
      <c r="F51" s="171"/>
      <c r="G51" s="171"/>
      <c r="H51" s="171"/>
      <c r="I51" s="171"/>
      <c r="J51" s="205"/>
      <c r="K51" s="171"/>
      <c r="L51" s="171"/>
      <c r="M51" s="311"/>
      <c r="N51" s="301"/>
      <c r="O51" s="186"/>
      <c r="P51" s="186"/>
      <c r="Q51" s="201"/>
      <c r="R51" s="201"/>
      <c r="S51" s="205"/>
      <c r="T51" s="201"/>
      <c r="U51" s="201"/>
      <c r="V51" s="201"/>
      <c r="W51" s="201"/>
      <c r="X51" s="201"/>
      <c r="Y51" s="186"/>
      <c r="Z51" s="186"/>
      <c r="AA51" s="57"/>
      <c r="AB51" s="186"/>
      <c r="AC51" s="192"/>
      <c r="AD51" s="186"/>
      <c r="AE51" s="252"/>
      <c r="AF51" s="849"/>
      <c r="AG51" s="850"/>
      <c r="AH51" s="851"/>
      <c r="AI51" s="839"/>
      <c r="AJ51" s="840"/>
      <c r="AK51" s="840"/>
      <c r="AL51" s="840"/>
      <c r="AM51" s="840"/>
      <c r="AN51" s="840"/>
      <c r="AO51" s="840"/>
      <c r="AP51" s="841"/>
      <c r="AQ51" s="171"/>
      <c r="AR51" s="171"/>
      <c r="AS51" s="171"/>
      <c r="AT51" s="171"/>
      <c r="AU51" s="855" t="s">
        <v>187</v>
      </c>
      <c r="AV51" s="856"/>
      <c r="AW51" s="171"/>
      <c r="AX51" s="171"/>
      <c r="AY51" s="56"/>
      <c r="AZ51" s="56"/>
      <c r="BA51" s="171"/>
      <c r="BB51" s="171"/>
      <c r="BC51" s="171"/>
      <c r="BD51" s="212"/>
      <c r="BE51" s="212"/>
      <c r="BF51" s="212"/>
      <c r="BG51" s="212"/>
      <c r="BH51" s="212"/>
      <c r="BI51" s="57"/>
      <c r="BJ51" s="308"/>
      <c r="BK51" s="308"/>
      <c r="BL51" s="83"/>
      <c r="BM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56"/>
      <c r="CD51" s="56"/>
      <c r="CE51" s="56"/>
      <c r="CF51" s="56"/>
      <c r="CG51" s="56"/>
      <c r="CH51" s="56"/>
      <c r="CI51" s="56"/>
      <c r="CJ51" s="56"/>
      <c r="CK51" s="56"/>
      <c r="CL51" s="56"/>
      <c r="CM51" s="56"/>
      <c r="CN51" s="56"/>
      <c r="CO51" s="56"/>
      <c r="CP51" s="56"/>
      <c r="CQ51" s="56"/>
      <c r="CR51" s="56"/>
      <c r="CS51" s="56"/>
      <c r="CT51" s="56"/>
      <c r="CU51" s="56"/>
      <c r="CV51" s="56"/>
      <c r="CW51" s="56"/>
      <c r="CX51" s="56"/>
      <c r="CY51" s="56"/>
      <c r="CZ51" s="56"/>
      <c r="DA51" s="56"/>
      <c r="DB51" s="56"/>
      <c r="DC51" s="56"/>
      <c r="DD51" s="56"/>
      <c r="DE51" s="56"/>
      <c r="DF51" s="56"/>
      <c r="DG51" s="56"/>
      <c r="DH51" s="56"/>
      <c r="DI51" s="56"/>
      <c r="DJ51" s="56"/>
      <c r="DK51" s="56"/>
      <c r="DL51" s="56"/>
      <c r="DM51" s="56"/>
      <c r="DN51" s="56"/>
      <c r="DO51" s="56"/>
      <c r="DP51" s="56"/>
      <c r="DQ51" s="56"/>
      <c r="DR51" s="56"/>
      <c r="DS51" s="56"/>
      <c r="DT51" s="56"/>
      <c r="DU51" s="56"/>
      <c r="DV51" s="56"/>
      <c r="DW51" s="56"/>
      <c r="DX51" s="56"/>
      <c r="DY51" s="56"/>
      <c r="DZ51" s="56"/>
      <c r="EA51" s="56"/>
      <c r="EB51" s="56"/>
      <c r="EC51" s="56"/>
      <c r="ED51" s="56"/>
      <c r="EE51" s="56"/>
      <c r="EF51" s="56"/>
      <c r="EG51" s="56"/>
      <c r="EH51" s="56"/>
      <c r="EI51" s="56"/>
      <c r="EJ51" s="56"/>
      <c r="EK51" s="56"/>
      <c r="EL51" s="56"/>
      <c r="EM51" s="56"/>
      <c r="EN51" s="56"/>
      <c r="EO51" s="56"/>
      <c r="EP51" s="56"/>
      <c r="EQ51" s="56"/>
      <c r="ER51" s="56"/>
      <c r="ES51" s="56"/>
      <c r="ET51" s="56"/>
      <c r="EU51" s="56"/>
      <c r="EV51" s="56"/>
      <c r="EW51" s="56"/>
      <c r="EX51" s="56"/>
      <c r="EY51" s="56"/>
      <c r="EZ51" s="56"/>
      <c r="FA51" s="56"/>
      <c r="FB51" s="56"/>
      <c r="FC51" s="56"/>
      <c r="FD51" s="56"/>
      <c r="FE51" s="56"/>
      <c r="FF51" s="56"/>
      <c r="FG51" s="56"/>
      <c r="FH51" s="56"/>
      <c r="FI51" s="56"/>
      <c r="FJ51" s="56"/>
      <c r="FK51" s="56"/>
      <c r="FL51" s="56"/>
      <c r="FM51" s="56"/>
      <c r="FN51" s="56"/>
      <c r="FO51" s="56"/>
      <c r="FP51" s="56"/>
      <c r="FQ51" s="56"/>
      <c r="FR51" s="56"/>
      <c r="FS51" s="56"/>
      <c r="FT51" s="56"/>
      <c r="FU51" s="56"/>
      <c r="FV51" s="56"/>
      <c r="FW51" s="56"/>
      <c r="FX51" s="56"/>
      <c r="FY51" s="56"/>
      <c r="FZ51" s="56"/>
      <c r="GA51" s="56"/>
      <c r="GB51" s="56"/>
      <c r="GC51" s="56"/>
      <c r="GD51" s="56"/>
      <c r="GE51" s="56"/>
      <c r="GF51" s="56"/>
      <c r="GG51" s="56"/>
      <c r="GH51" s="56"/>
      <c r="GI51" s="56"/>
      <c r="GJ51" s="56"/>
      <c r="GK51" s="56"/>
      <c r="GL51" s="56"/>
      <c r="GM51" s="56"/>
      <c r="GN51" s="56"/>
      <c r="GO51" s="56"/>
    </row>
    <row r="52" spans="1:197" ht="15.75" thickBot="1">
      <c r="A52" s="310"/>
      <c r="B52" s="201"/>
      <c r="C52" s="301"/>
      <c r="D52" s="171"/>
      <c r="E52" s="171"/>
      <c r="F52" s="171"/>
      <c r="G52" s="171"/>
      <c r="H52" s="171"/>
      <c r="I52" s="171"/>
      <c r="J52" s="205"/>
      <c r="K52" s="171"/>
      <c r="L52" s="171"/>
      <c r="M52" s="311"/>
      <c r="N52" s="301"/>
      <c r="O52" s="186"/>
      <c r="P52" s="186"/>
      <c r="Q52" s="201"/>
      <c r="R52" s="201"/>
      <c r="S52" s="205"/>
      <c r="T52" s="295"/>
      <c r="U52" s="295"/>
      <c r="V52" s="171"/>
      <c r="W52" s="171"/>
      <c r="X52" s="171"/>
      <c r="Y52" s="171"/>
      <c r="Z52" s="295"/>
      <c r="AA52" s="57"/>
      <c r="AB52" s="295"/>
      <c r="AC52" s="281"/>
      <c r="AD52" s="314"/>
      <c r="AE52" s="315"/>
      <c r="AF52" s="852"/>
      <c r="AG52" s="853"/>
      <c r="AH52" s="854"/>
      <c r="AI52" s="842"/>
      <c r="AJ52" s="843"/>
      <c r="AK52" s="843"/>
      <c r="AL52" s="843"/>
      <c r="AM52" s="843"/>
      <c r="AN52" s="843"/>
      <c r="AO52" s="843"/>
      <c r="AP52" s="844"/>
      <c r="AQ52" s="314"/>
      <c r="AR52" s="314"/>
      <c r="AS52" s="314"/>
      <c r="AT52" s="305"/>
      <c r="AU52" s="857"/>
      <c r="AV52" s="858"/>
      <c r="AW52" s="305"/>
      <c r="AX52" s="305"/>
      <c r="AY52" s="305"/>
      <c r="AZ52" s="305"/>
      <c r="BA52" s="305"/>
      <c r="BB52" s="305"/>
      <c r="BC52" s="305"/>
      <c r="BD52" s="819"/>
      <c r="BE52" s="819"/>
      <c r="BF52" s="819"/>
      <c r="BG52" s="819"/>
      <c r="BH52" s="819"/>
      <c r="BI52" s="305"/>
      <c r="BJ52" s="304"/>
      <c r="BK52" s="304"/>
      <c r="BL52" s="83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6"/>
      <c r="CO52" s="56"/>
      <c r="CP52" s="56"/>
      <c r="CQ52" s="56"/>
      <c r="CR52" s="56"/>
      <c r="CS52" s="56"/>
      <c r="CT52" s="56"/>
      <c r="CU52" s="56"/>
      <c r="CV52" s="56"/>
      <c r="CW52" s="56"/>
      <c r="CX52" s="56"/>
      <c r="CY52" s="56"/>
      <c r="CZ52" s="56"/>
      <c r="DA52" s="56"/>
      <c r="DB52" s="56"/>
      <c r="DC52" s="56"/>
      <c r="DD52" s="56"/>
      <c r="DE52" s="56"/>
      <c r="DF52" s="56"/>
      <c r="DG52" s="56"/>
      <c r="DH52" s="56"/>
      <c r="DI52" s="56"/>
      <c r="DJ52" s="56"/>
      <c r="DK52" s="56"/>
      <c r="DL52" s="56"/>
      <c r="DM52" s="56"/>
      <c r="DN52" s="56"/>
      <c r="DO52" s="56"/>
      <c r="DP52" s="56"/>
      <c r="DQ52" s="56"/>
      <c r="DR52" s="56"/>
      <c r="DS52" s="56"/>
      <c r="DT52" s="56"/>
      <c r="DU52" s="56"/>
      <c r="DV52" s="56"/>
      <c r="DW52" s="56"/>
      <c r="DX52" s="56"/>
      <c r="DY52" s="56"/>
      <c r="DZ52" s="56"/>
      <c r="EA52" s="56"/>
      <c r="EB52" s="56"/>
      <c r="EC52" s="56"/>
      <c r="ED52" s="56"/>
      <c r="EE52" s="56"/>
      <c r="EF52" s="56"/>
      <c r="EG52" s="56"/>
      <c r="EH52" s="56"/>
      <c r="EI52" s="56"/>
      <c r="EJ52" s="56"/>
      <c r="EK52" s="56"/>
      <c r="EL52" s="56"/>
      <c r="EM52" s="56"/>
      <c r="EN52" s="56"/>
      <c r="EO52" s="56"/>
      <c r="EP52" s="56"/>
      <c r="EQ52" s="56"/>
      <c r="ER52" s="56"/>
      <c r="ES52" s="56"/>
      <c r="ET52" s="56"/>
      <c r="EU52" s="56"/>
      <c r="EV52" s="56"/>
      <c r="EW52" s="56"/>
      <c r="EX52" s="56"/>
      <c r="EY52" s="56"/>
      <c r="EZ52" s="56"/>
      <c r="FA52" s="56"/>
      <c r="FB52" s="56"/>
      <c r="FC52" s="56"/>
      <c r="FD52" s="56"/>
      <c r="FE52" s="56"/>
      <c r="FF52" s="56"/>
      <c r="FG52" s="56"/>
      <c r="FH52" s="56"/>
      <c r="FI52" s="56"/>
      <c r="FJ52" s="56"/>
      <c r="FK52" s="56"/>
      <c r="FL52" s="56"/>
      <c r="FM52" s="56"/>
      <c r="FN52" s="56"/>
      <c r="FO52" s="56"/>
      <c r="FP52" s="56"/>
      <c r="FQ52" s="56"/>
      <c r="FR52" s="56"/>
      <c r="FS52" s="56"/>
      <c r="FT52" s="56"/>
      <c r="FU52" s="56"/>
      <c r="FV52" s="56"/>
      <c r="FW52" s="56"/>
      <c r="FX52" s="56"/>
      <c r="FY52" s="56"/>
      <c r="FZ52" s="56"/>
      <c r="GA52" s="56"/>
      <c r="GB52" s="56"/>
      <c r="GC52" s="56"/>
      <c r="GD52" s="56"/>
      <c r="GE52" s="56"/>
      <c r="GF52" s="56"/>
      <c r="GG52" s="56"/>
      <c r="GH52" s="56"/>
      <c r="GI52" s="56"/>
      <c r="GJ52" s="56"/>
      <c r="GK52" s="56"/>
      <c r="GL52" s="56"/>
      <c r="GM52" s="56"/>
      <c r="GN52" s="56"/>
      <c r="GO52" s="56"/>
    </row>
    <row r="53" spans="1:197">
      <c r="A53" s="308"/>
      <c r="B53" s="201"/>
      <c r="C53" s="301"/>
      <c r="D53" s="171"/>
      <c r="E53" s="171"/>
      <c r="F53" s="171"/>
      <c r="G53" s="171"/>
      <c r="H53" s="171"/>
      <c r="I53" s="171"/>
      <c r="J53" s="205"/>
      <c r="K53" s="171"/>
      <c r="L53" s="171"/>
      <c r="M53" s="311"/>
      <c r="N53" s="301"/>
      <c r="O53" s="186"/>
      <c r="P53" s="186"/>
      <c r="Q53" s="201"/>
      <c r="R53" s="201"/>
      <c r="S53" s="205"/>
      <c r="T53" s="295"/>
      <c r="U53" s="295"/>
      <c r="V53" s="171"/>
      <c r="W53" s="171"/>
      <c r="X53" s="171"/>
      <c r="Y53" s="171"/>
      <c r="Z53" s="295"/>
      <c r="AA53" s="57"/>
      <c r="AB53" s="295"/>
      <c r="AC53" s="186"/>
      <c r="AD53" s="295"/>
      <c r="AE53" s="171"/>
      <c r="AF53" s="171"/>
      <c r="AG53" s="171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  <c r="AX53" s="171"/>
      <c r="AY53" s="171"/>
      <c r="AZ53" s="171"/>
      <c r="BA53" s="171"/>
      <c r="BB53" s="171"/>
      <c r="BC53" s="171"/>
      <c r="BD53" s="171"/>
      <c r="BE53" s="171"/>
      <c r="BF53" s="171"/>
      <c r="BG53" s="171"/>
      <c r="BH53" s="171"/>
      <c r="BI53" s="171"/>
      <c r="BJ53" s="308"/>
      <c r="BK53" s="308"/>
      <c r="BL53" s="112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6"/>
      <c r="CS53" s="56"/>
      <c r="CT53" s="56"/>
      <c r="CU53" s="56"/>
      <c r="CV53" s="56"/>
      <c r="CW53" s="56"/>
      <c r="CX53" s="56"/>
      <c r="CY53" s="56"/>
      <c r="CZ53" s="56"/>
      <c r="DA53" s="56"/>
      <c r="DB53" s="56"/>
      <c r="DC53" s="56"/>
      <c r="DD53" s="56"/>
      <c r="DE53" s="56"/>
      <c r="DF53" s="56"/>
      <c r="DG53" s="56"/>
      <c r="DH53" s="56"/>
      <c r="DI53" s="56"/>
      <c r="DJ53" s="56"/>
      <c r="DK53" s="56"/>
      <c r="DL53" s="56"/>
      <c r="DM53" s="56"/>
      <c r="DN53" s="56"/>
      <c r="DO53" s="56"/>
      <c r="DP53" s="56"/>
      <c r="DQ53" s="56"/>
      <c r="DR53" s="56"/>
      <c r="DS53" s="56"/>
      <c r="DT53" s="56"/>
      <c r="DU53" s="56"/>
      <c r="DV53" s="56"/>
      <c r="DW53" s="56"/>
      <c r="DX53" s="56"/>
      <c r="DY53" s="56"/>
      <c r="DZ53" s="56"/>
      <c r="EA53" s="56"/>
      <c r="EB53" s="56"/>
      <c r="EC53" s="56"/>
      <c r="ED53" s="56"/>
      <c r="EE53" s="56"/>
      <c r="EF53" s="56"/>
      <c r="EG53" s="56"/>
      <c r="EH53" s="56"/>
      <c r="EI53" s="56"/>
      <c r="EJ53" s="56"/>
      <c r="EK53" s="56"/>
      <c r="EL53" s="56"/>
      <c r="EM53" s="56"/>
      <c r="EN53" s="56"/>
      <c r="EO53" s="56"/>
      <c r="EP53" s="56"/>
      <c r="EQ53" s="56"/>
      <c r="ER53" s="56"/>
      <c r="ES53" s="56"/>
      <c r="ET53" s="56"/>
      <c r="EU53" s="56"/>
      <c r="EV53" s="56"/>
      <c r="EW53" s="56"/>
      <c r="EX53" s="56"/>
      <c r="EY53" s="56"/>
      <c r="EZ53" s="56"/>
      <c r="FA53" s="56"/>
      <c r="FB53" s="56"/>
      <c r="FC53" s="56"/>
      <c r="FD53" s="56"/>
      <c r="FE53" s="56"/>
      <c r="FF53" s="56"/>
      <c r="FG53" s="56"/>
      <c r="FH53" s="56"/>
      <c r="FI53" s="56"/>
      <c r="FJ53" s="56"/>
      <c r="FK53" s="56"/>
      <c r="FL53" s="56"/>
      <c r="FM53" s="56"/>
      <c r="FN53" s="56"/>
      <c r="FO53" s="56"/>
      <c r="FP53" s="56"/>
      <c r="FQ53" s="56"/>
      <c r="FR53" s="56"/>
      <c r="FS53" s="56"/>
      <c r="FT53" s="56"/>
      <c r="FU53" s="56"/>
      <c r="FV53" s="56"/>
      <c r="FW53" s="56"/>
      <c r="FX53" s="56"/>
      <c r="FY53" s="56"/>
      <c r="FZ53" s="56"/>
      <c r="GA53" s="56"/>
      <c r="GB53" s="56"/>
      <c r="GC53" s="56"/>
      <c r="GD53" s="56"/>
      <c r="GE53" s="56"/>
      <c r="GF53" s="56"/>
      <c r="GG53" s="56"/>
      <c r="GH53" s="56"/>
      <c r="GI53" s="56"/>
      <c r="GJ53" s="56"/>
      <c r="GK53" s="56"/>
      <c r="GL53" s="56"/>
      <c r="GM53" s="56"/>
      <c r="GN53" s="56"/>
      <c r="GO53" s="56"/>
    </row>
    <row r="54" spans="1:197">
      <c r="A54" s="308"/>
      <c r="B54" s="201"/>
      <c r="C54" s="301"/>
      <c r="D54" s="171"/>
      <c r="E54" s="171"/>
      <c r="F54" s="171"/>
      <c r="G54" s="171"/>
      <c r="H54" s="171"/>
      <c r="I54" s="171"/>
      <c r="J54" s="205"/>
      <c r="K54" s="171"/>
      <c r="L54" s="171"/>
      <c r="M54" s="311"/>
      <c r="N54" s="301"/>
      <c r="O54" s="186"/>
      <c r="P54" s="186"/>
      <c r="Q54" s="201"/>
      <c r="R54" s="201"/>
      <c r="S54" s="205"/>
      <c r="T54" s="295"/>
      <c r="U54" s="295"/>
      <c r="V54" s="171"/>
      <c r="W54" s="171"/>
      <c r="X54" s="171"/>
      <c r="Y54" s="171"/>
      <c r="Z54" s="295"/>
      <c r="AA54" s="57"/>
      <c r="AB54" s="295"/>
      <c r="AC54" s="186"/>
      <c r="AD54" s="295"/>
      <c r="AE54" s="171"/>
      <c r="AF54" s="171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  <c r="AX54" s="171"/>
      <c r="AY54" s="171"/>
      <c r="AZ54" s="171"/>
      <c r="BA54" s="171"/>
      <c r="BB54" s="171"/>
      <c r="BC54" s="171"/>
      <c r="BD54" s="171"/>
      <c r="BE54" s="171"/>
      <c r="BF54" s="171"/>
      <c r="BG54" s="171"/>
      <c r="BH54" s="171"/>
      <c r="BI54" s="171"/>
      <c r="BJ54" s="308"/>
      <c r="BK54" s="308"/>
      <c r="BL54" s="112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6"/>
      <c r="CR54" s="56"/>
      <c r="CS54" s="56"/>
      <c r="CT54" s="56"/>
      <c r="CU54" s="56"/>
      <c r="CV54" s="56"/>
      <c r="CW54" s="56"/>
      <c r="CX54" s="56"/>
      <c r="CY54" s="56"/>
      <c r="CZ54" s="56"/>
      <c r="DA54" s="56"/>
      <c r="DB54" s="56"/>
      <c r="DC54" s="56"/>
      <c r="DD54" s="56"/>
      <c r="DE54" s="56"/>
      <c r="DF54" s="56"/>
      <c r="DG54" s="56"/>
      <c r="DH54" s="56"/>
      <c r="DI54" s="56"/>
      <c r="DJ54" s="56"/>
      <c r="DK54" s="56"/>
      <c r="DL54" s="56"/>
      <c r="DM54" s="56"/>
      <c r="DN54" s="56"/>
      <c r="DO54" s="56"/>
      <c r="DP54" s="56"/>
      <c r="DQ54" s="56"/>
      <c r="DR54" s="56"/>
      <c r="DS54" s="56"/>
      <c r="DT54" s="56"/>
      <c r="DU54" s="56"/>
      <c r="DV54" s="56"/>
      <c r="DW54" s="56"/>
      <c r="DX54" s="56"/>
      <c r="DY54" s="56"/>
      <c r="DZ54" s="56"/>
      <c r="EA54" s="56"/>
      <c r="EB54" s="56"/>
      <c r="EC54" s="56"/>
      <c r="ED54" s="56"/>
      <c r="EE54" s="56"/>
      <c r="EF54" s="56"/>
      <c r="EG54" s="56"/>
      <c r="EH54" s="56"/>
      <c r="EI54" s="56"/>
      <c r="EJ54" s="56"/>
      <c r="EK54" s="56"/>
      <c r="EL54" s="56"/>
      <c r="EM54" s="56"/>
      <c r="EN54" s="56"/>
      <c r="EO54" s="56"/>
      <c r="EP54" s="56"/>
      <c r="EQ54" s="56"/>
      <c r="ER54" s="56"/>
      <c r="ES54" s="56"/>
      <c r="ET54" s="56"/>
      <c r="EU54" s="56"/>
      <c r="EV54" s="56"/>
      <c r="EW54" s="56"/>
      <c r="EX54" s="56"/>
      <c r="EY54" s="56"/>
      <c r="EZ54" s="56"/>
      <c r="FA54" s="56"/>
      <c r="FB54" s="56"/>
      <c r="FC54" s="56"/>
      <c r="FD54" s="56"/>
      <c r="FE54" s="56"/>
      <c r="FF54" s="56"/>
      <c r="FG54" s="56"/>
      <c r="FH54" s="56"/>
      <c r="FI54" s="56"/>
      <c r="FJ54" s="56"/>
      <c r="FK54" s="56"/>
      <c r="FL54" s="56"/>
      <c r="FM54" s="56"/>
      <c r="FN54" s="56"/>
      <c r="FO54" s="56"/>
      <c r="FP54" s="56"/>
      <c r="FQ54" s="56"/>
      <c r="FR54" s="56"/>
      <c r="FS54" s="56"/>
      <c r="FT54" s="56"/>
      <c r="FU54" s="56"/>
      <c r="FV54" s="56"/>
      <c r="FW54" s="56"/>
      <c r="FX54" s="56"/>
      <c r="FY54" s="56"/>
      <c r="FZ54" s="56"/>
      <c r="GA54" s="56"/>
      <c r="GB54" s="56"/>
      <c r="GC54" s="56"/>
      <c r="GD54" s="56"/>
      <c r="GE54" s="56"/>
      <c r="GF54" s="56"/>
      <c r="GG54" s="56"/>
      <c r="GH54" s="56"/>
      <c r="GI54" s="56"/>
      <c r="GJ54" s="56"/>
      <c r="GK54" s="56"/>
      <c r="GL54" s="56"/>
      <c r="GM54" s="56"/>
      <c r="GN54" s="56"/>
      <c r="GO54" s="56"/>
    </row>
    <row r="55" spans="1:197">
      <c r="A55" s="308"/>
      <c r="B55" s="201"/>
      <c r="C55" s="301"/>
      <c r="D55" s="171"/>
      <c r="E55" s="171"/>
      <c r="F55" s="171"/>
      <c r="G55" s="171"/>
      <c r="H55" s="171"/>
      <c r="I55" s="171"/>
      <c r="J55" s="205"/>
      <c r="K55" s="171"/>
      <c r="L55" s="171"/>
      <c r="M55" s="311"/>
      <c r="N55" s="301"/>
      <c r="O55" s="186"/>
      <c r="P55" s="186"/>
      <c r="Q55" s="201"/>
      <c r="R55" s="201"/>
      <c r="S55" s="205"/>
      <c r="T55" s="295"/>
      <c r="U55" s="295"/>
      <c r="V55" s="171"/>
      <c r="W55" s="171"/>
      <c r="X55" s="171"/>
      <c r="Y55" s="171"/>
      <c r="Z55" s="295"/>
      <c r="AA55" s="57"/>
      <c r="AB55" s="295"/>
      <c r="AC55" s="186"/>
      <c r="AD55" s="295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  <c r="BD55" s="171"/>
      <c r="BE55" s="171"/>
      <c r="BF55" s="171"/>
      <c r="BG55" s="171"/>
      <c r="BH55" s="171"/>
      <c r="BI55" s="171"/>
      <c r="BJ55" s="308"/>
      <c r="BK55" s="308"/>
      <c r="BL55" s="112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56"/>
      <c r="CP55" s="56"/>
      <c r="CQ55" s="56"/>
      <c r="CR55" s="56"/>
      <c r="CS55" s="56"/>
      <c r="CT55" s="56"/>
      <c r="CU55" s="56"/>
      <c r="CV55" s="56"/>
      <c r="CW55" s="56"/>
      <c r="CX55" s="56"/>
      <c r="CY55" s="56"/>
      <c r="CZ55" s="56"/>
      <c r="DA55" s="56"/>
      <c r="DB55" s="56"/>
      <c r="DC55" s="56"/>
      <c r="DD55" s="56"/>
      <c r="DE55" s="56"/>
      <c r="DF55" s="56"/>
      <c r="DG55" s="56"/>
      <c r="DH55" s="56"/>
      <c r="DI55" s="56"/>
      <c r="DJ55" s="56"/>
      <c r="DK55" s="56"/>
      <c r="DL55" s="56"/>
      <c r="DM55" s="56"/>
      <c r="DN55" s="56"/>
      <c r="DO55" s="56"/>
      <c r="DP55" s="56"/>
      <c r="DQ55" s="56"/>
      <c r="DR55" s="56"/>
      <c r="DS55" s="56"/>
      <c r="DT55" s="56"/>
      <c r="DU55" s="56"/>
      <c r="DV55" s="56"/>
      <c r="DW55" s="56"/>
      <c r="DX55" s="56"/>
      <c r="DY55" s="56"/>
      <c r="DZ55" s="56"/>
      <c r="EA55" s="56"/>
      <c r="EB55" s="56"/>
      <c r="EC55" s="56"/>
      <c r="ED55" s="56"/>
      <c r="EE55" s="56"/>
      <c r="EF55" s="56"/>
      <c r="EG55" s="56"/>
      <c r="EH55" s="56"/>
      <c r="EI55" s="56"/>
      <c r="EJ55" s="56"/>
      <c r="EK55" s="56"/>
      <c r="EL55" s="56"/>
      <c r="EM55" s="56"/>
      <c r="EN55" s="56"/>
      <c r="EO55" s="56"/>
      <c r="EP55" s="56"/>
      <c r="EQ55" s="56"/>
      <c r="ER55" s="56"/>
      <c r="ES55" s="56"/>
      <c r="ET55" s="56"/>
      <c r="EU55" s="56"/>
      <c r="EV55" s="56"/>
      <c r="EW55" s="56"/>
      <c r="EX55" s="56"/>
      <c r="EY55" s="56"/>
      <c r="EZ55" s="56"/>
      <c r="FA55" s="56"/>
      <c r="FB55" s="56"/>
      <c r="FC55" s="56"/>
      <c r="FD55" s="56"/>
      <c r="FE55" s="56"/>
      <c r="FF55" s="56"/>
      <c r="FG55" s="56"/>
      <c r="FH55" s="56"/>
      <c r="FI55" s="56"/>
      <c r="FJ55" s="56"/>
      <c r="FK55" s="56"/>
      <c r="FL55" s="56"/>
      <c r="FM55" s="56"/>
      <c r="FN55" s="56"/>
      <c r="FO55" s="56"/>
      <c r="FP55" s="56"/>
      <c r="FQ55" s="56"/>
      <c r="FR55" s="56"/>
      <c r="FS55" s="56"/>
      <c r="FT55" s="56"/>
      <c r="FU55" s="56"/>
      <c r="FV55" s="56"/>
      <c r="FW55" s="56"/>
      <c r="FX55" s="56"/>
      <c r="FY55" s="56"/>
      <c r="FZ55" s="56"/>
      <c r="GA55" s="56"/>
      <c r="GB55" s="56"/>
      <c r="GC55" s="56"/>
      <c r="GD55" s="56"/>
      <c r="GE55" s="56"/>
      <c r="GF55" s="56"/>
      <c r="GG55" s="56"/>
      <c r="GH55" s="56"/>
      <c r="GI55" s="56"/>
      <c r="GJ55" s="56"/>
      <c r="GK55" s="56"/>
      <c r="GL55" s="56"/>
      <c r="GM55" s="56"/>
      <c r="GN55" s="56"/>
      <c r="GO55" s="56"/>
    </row>
    <row r="56" spans="1:197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6"/>
      <c r="CR56" s="56"/>
      <c r="CS56" s="56"/>
      <c r="CT56" s="56"/>
      <c r="CU56" s="56"/>
      <c r="CV56" s="56"/>
      <c r="CW56" s="56"/>
      <c r="CX56" s="56"/>
      <c r="CY56" s="56"/>
      <c r="CZ56" s="56"/>
      <c r="DA56" s="56"/>
      <c r="DB56" s="56"/>
      <c r="DC56" s="56"/>
      <c r="DD56" s="56"/>
      <c r="DE56" s="56"/>
      <c r="DF56" s="56"/>
      <c r="DG56" s="56"/>
      <c r="DH56" s="56"/>
      <c r="DI56" s="56"/>
      <c r="DJ56" s="56"/>
      <c r="DK56" s="56"/>
      <c r="DL56" s="56"/>
      <c r="DM56" s="56"/>
      <c r="DN56" s="56"/>
      <c r="DO56" s="56"/>
      <c r="DP56" s="56"/>
      <c r="DQ56" s="56"/>
      <c r="DR56" s="56"/>
      <c r="DS56" s="56"/>
      <c r="DT56" s="56"/>
      <c r="DU56" s="56"/>
      <c r="DV56" s="56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G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  <c r="FE56" s="56"/>
      <c r="FF56" s="56"/>
      <c r="FG56" s="56"/>
      <c r="FH56" s="56"/>
      <c r="FI56" s="56"/>
      <c r="FJ56" s="56"/>
      <c r="FK56" s="56"/>
      <c r="FL56" s="56"/>
      <c r="FM56" s="56"/>
      <c r="FN56" s="56"/>
      <c r="FO56" s="56"/>
      <c r="FP56" s="56"/>
      <c r="FQ56" s="56"/>
      <c r="FR56" s="56"/>
      <c r="FS56" s="56"/>
      <c r="FT56" s="56"/>
      <c r="FU56" s="56"/>
      <c r="FV56" s="56"/>
      <c r="FW56" s="56"/>
      <c r="FX56" s="56"/>
      <c r="FY56" s="56"/>
      <c r="FZ56" s="56"/>
      <c r="GA56" s="56"/>
      <c r="GB56" s="56"/>
      <c r="GC56" s="56"/>
      <c r="GD56" s="56"/>
      <c r="GE56" s="56"/>
      <c r="GF56" s="56"/>
      <c r="GG56" s="56"/>
      <c r="GH56" s="56"/>
      <c r="GI56" s="56"/>
      <c r="GJ56" s="56"/>
      <c r="GK56" s="56"/>
      <c r="GL56" s="56"/>
      <c r="GM56" s="56"/>
      <c r="GN56" s="56"/>
      <c r="GO56" s="56"/>
    </row>
    <row r="57" spans="1:197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56"/>
      <c r="CR57" s="56"/>
      <c r="CS57" s="56"/>
      <c r="CT57" s="56"/>
      <c r="CU57" s="56"/>
      <c r="CV57" s="56"/>
      <c r="CW57" s="56"/>
      <c r="CX57" s="56"/>
      <c r="CY57" s="56"/>
      <c r="CZ57" s="56"/>
      <c r="DA57" s="56"/>
      <c r="DB57" s="56"/>
      <c r="DC57" s="56"/>
      <c r="DD57" s="56"/>
      <c r="DE57" s="56"/>
      <c r="DF57" s="56"/>
      <c r="DG57" s="56"/>
      <c r="DH57" s="56"/>
      <c r="DI57" s="56"/>
      <c r="DJ57" s="56"/>
      <c r="DK57" s="56"/>
      <c r="DL57" s="56"/>
      <c r="DM57" s="56"/>
      <c r="DN57" s="56"/>
      <c r="DO57" s="56"/>
      <c r="DP57" s="56"/>
      <c r="DQ57" s="56"/>
      <c r="DR57" s="56"/>
      <c r="DS57" s="56"/>
      <c r="DT57" s="56"/>
      <c r="DU57" s="56"/>
      <c r="DV57" s="56"/>
      <c r="DW57" s="56"/>
      <c r="DX57" s="56"/>
      <c r="DY57" s="56"/>
      <c r="DZ57" s="56"/>
      <c r="EA57" s="56"/>
      <c r="EB57" s="56"/>
      <c r="EC57" s="56"/>
      <c r="ED57" s="56"/>
      <c r="EE57" s="56"/>
      <c r="EF57" s="56"/>
      <c r="EG57" s="56"/>
      <c r="EH57" s="56"/>
      <c r="EI57" s="56"/>
      <c r="EJ57" s="56"/>
      <c r="EK57" s="56"/>
      <c r="EL57" s="56"/>
      <c r="EM57" s="56"/>
      <c r="EN57" s="56"/>
      <c r="EO57" s="56"/>
      <c r="EP57" s="56"/>
      <c r="EQ57" s="56"/>
      <c r="ER57" s="56"/>
      <c r="ES57" s="56"/>
      <c r="ET57" s="56"/>
      <c r="EU57" s="56"/>
      <c r="EV57" s="56"/>
      <c r="EW57" s="56"/>
      <c r="EX57" s="56"/>
      <c r="EY57" s="56"/>
      <c r="EZ57" s="56"/>
      <c r="FA57" s="56"/>
      <c r="FB57" s="56"/>
      <c r="FC57" s="56"/>
      <c r="FD57" s="56"/>
      <c r="FE57" s="56"/>
      <c r="FF57" s="56"/>
      <c r="FG57" s="56"/>
      <c r="FH57" s="56"/>
      <c r="FI57" s="56"/>
      <c r="FJ57" s="56"/>
      <c r="FK57" s="56"/>
      <c r="FL57" s="56"/>
      <c r="FM57" s="56"/>
      <c r="FN57" s="56"/>
      <c r="FO57" s="56"/>
      <c r="FP57" s="56"/>
      <c r="FQ57" s="56"/>
      <c r="FR57" s="56"/>
      <c r="FS57" s="56"/>
      <c r="FT57" s="56"/>
      <c r="FU57" s="56"/>
      <c r="FV57" s="56"/>
      <c r="FW57" s="56"/>
      <c r="FX57" s="56"/>
      <c r="FY57" s="56"/>
      <c r="FZ57" s="56"/>
      <c r="GA57" s="56"/>
      <c r="GB57" s="56"/>
      <c r="GC57" s="56"/>
      <c r="GD57" s="56"/>
      <c r="GE57" s="56"/>
      <c r="GF57" s="56"/>
      <c r="GG57" s="56"/>
      <c r="GH57" s="56"/>
      <c r="GI57" s="56"/>
      <c r="GJ57" s="56"/>
      <c r="GK57" s="56"/>
      <c r="GL57" s="56"/>
      <c r="GM57" s="56"/>
      <c r="GN57" s="56"/>
      <c r="GO57" s="56"/>
    </row>
    <row r="58" spans="1:197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BX58" s="56"/>
      <c r="BY58" s="56"/>
      <c r="BZ58" s="56"/>
      <c r="CA58" s="56"/>
      <c r="CB58" s="56"/>
      <c r="CC58" s="56"/>
      <c r="CD58" s="56"/>
      <c r="CE58" s="56"/>
      <c r="CF58" s="56"/>
      <c r="CG58" s="56"/>
      <c r="CH58" s="56"/>
      <c r="CI58" s="56"/>
      <c r="CJ58" s="56"/>
      <c r="CK58" s="56"/>
      <c r="CL58" s="56"/>
      <c r="CM58" s="56"/>
      <c r="CN58" s="56"/>
      <c r="CO58" s="56"/>
      <c r="CP58" s="56"/>
      <c r="CQ58" s="56"/>
      <c r="CR58" s="56"/>
      <c r="CS58" s="56"/>
      <c r="CT58" s="56"/>
      <c r="CU58" s="56"/>
      <c r="CV58" s="56"/>
      <c r="CW58" s="56"/>
      <c r="CX58" s="56"/>
      <c r="CY58" s="56"/>
      <c r="CZ58" s="56"/>
      <c r="DA58" s="56"/>
      <c r="DB58" s="56"/>
      <c r="DC58" s="56"/>
      <c r="DD58" s="56"/>
      <c r="DE58" s="56"/>
      <c r="DF58" s="56"/>
      <c r="DG58" s="56"/>
      <c r="DH58" s="56"/>
      <c r="DI58" s="56"/>
      <c r="DJ58" s="56"/>
      <c r="DK58" s="56"/>
      <c r="DL58" s="56"/>
      <c r="DM58" s="56"/>
      <c r="DN58" s="56"/>
      <c r="DO58" s="56"/>
      <c r="DP58" s="56"/>
      <c r="DQ58" s="56"/>
      <c r="DR58" s="56"/>
      <c r="DS58" s="56"/>
      <c r="DT58" s="56"/>
      <c r="DU58" s="56"/>
      <c r="DV58" s="56"/>
      <c r="DW58" s="56"/>
      <c r="DX58" s="56"/>
      <c r="DY58" s="56"/>
      <c r="DZ58" s="56"/>
      <c r="EA58" s="56"/>
      <c r="EB58" s="56"/>
      <c r="EC58" s="56"/>
      <c r="ED58" s="56"/>
      <c r="EE58" s="56"/>
      <c r="EF58" s="56"/>
      <c r="EG58" s="56"/>
      <c r="EH58" s="56"/>
      <c r="EI58" s="56"/>
      <c r="EJ58" s="56"/>
      <c r="EK58" s="56"/>
      <c r="EL58" s="56"/>
      <c r="EM58" s="56"/>
      <c r="EN58" s="56"/>
      <c r="EO58" s="56"/>
      <c r="EP58" s="56"/>
      <c r="EQ58" s="56"/>
      <c r="ER58" s="56"/>
      <c r="ES58" s="56"/>
      <c r="ET58" s="56"/>
      <c r="EU58" s="56"/>
      <c r="EV58" s="56"/>
      <c r="EW58" s="56"/>
      <c r="EX58" s="56"/>
      <c r="EY58" s="56"/>
      <c r="EZ58" s="56"/>
      <c r="FA58" s="56"/>
      <c r="FB58" s="56"/>
      <c r="FC58" s="56"/>
      <c r="FD58" s="56"/>
      <c r="FE58" s="56"/>
      <c r="FF58" s="56"/>
      <c r="FG58" s="56"/>
      <c r="FH58" s="56"/>
      <c r="FI58" s="56"/>
      <c r="FJ58" s="56"/>
      <c r="FK58" s="56"/>
      <c r="FL58" s="56"/>
      <c r="FM58" s="56"/>
      <c r="FN58" s="56"/>
      <c r="FO58" s="56"/>
      <c r="FP58" s="56"/>
      <c r="FQ58" s="56"/>
      <c r="FR58" s="56"/>
      <c r="FS58" s="56"/>
      <c r="FT58" s="56"/>
      <c r="FU58" s="56"/>
      <c r="FV58" s="56"/>
      <c r="FW58" s="56"/>
      <c r="FX58" s="56"/>
      <c r="FY58" s="56"/>
      <c r="FZ58" s="56"/>
      <c r="GA58" s="56"/>
      <c r="GB58" s="56"/>
      <c r="GC58" s="56"/>
      <c r="GD58" s="56"/>
      <c r="GE58" s="56"/>
      <c r="GF58" s="56"/>
      <c r="GG58" s="56"/>
      <c r="GH58" s="56"/>
      <c r="GI58" s="56"/>
      <c r="GJ58" s="56"/>
      <c r="GK58" s="56"/>
      <c r="GL58" s="56"/>
      <c r="GM58" s="56"/>
      <c r="GN58" s="56"/>
      <c r="GO58" s="56"/>
    </row>
  </sheetData>
  <mergeCells count="19">
    <mergeCell ref="V36:Y36"/>
    <mergeCell ref="A1:BK1"/>
    <mergeCell ref="A3:A8"/>
    <mergeCell ref="P5:R7"/>
    <mergeCell ref="AC16:AD17"/>
    <mergeCell ref="AZ19:BB21"/>
    <mergeCell ref="N21:O21"/>
    <mergeCell ref="BB24:BB25"/>
    <mergeCell ref="N25:O25"/>
    <mergeCell ref="AF25:AG25"/>
    <mergeCell ref="AL25:AM25"/>
    <mergeCell ref="S32:T32"/>
    <mergeCell ref="AL37:AM37"/>
    <mergeCell ref="L43:R44"/>
    <mergeCell ref="AD45:AF49"/>
    <mergeCell ref="AI49:AP52"/>
    <mergeCell ref="AT49:AU50"/>
    <mergeCell ref="AF50:AH52"/>
    <mergeCell ref="AU51:AV52"/>
  </mergeCells>
  <conditionalFormatting sqref="K13">
    <cfRule type="expression" dxfId="1" priority="1">
      <formula>IF(N13="DESC",1,0)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2"/>
  <dimension ref="A1:GO58"/>
  <sheetViews>
    <sheetView topLeftCell="J1" zoomScale="25" zoomScaleNormal="25" workbookViewId="0">
      <selection activeCell="BD32" sqref="BD32"/>
    </sheetView>
  </sheetViews>
  <sheetFormatPr baseColWidth="10" defaultColWidth="16.7109375" defaultRowHeight="15"/>
  <cols>
    <col min="5" max="8" width="3" customWidth="1"/>
    <col min="14" max="28" width="1.28515625" customWidth="1"/>
    <col min="48" max="53" width="0.7109375" customWidth="1"/>
  </cols>
  <sheetData>
    <row r="1" spans="1:197" ht="34.5" thickBot="1">
      <c r="A1" s="860" t="s">
        <v>119</v>
      </c>
      <c r="B1" s="861"/>
      <c r="C1" s="861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  <c r="O1" s="861"/>
      <c r="P1" s="861"/>
      <c r="Q1" s="861"/>
      <c r="R1" s="861"/>
      <c r="S1" s="861"/>
      <c r="T1" s="861"/>
      <c r="U1" s="861"/>
      <c r="V1" s="861"/>
      <c r="W1" s="861"/>
      <c r="X1" s="861"/>
      <c r="Y1" s="861"/>
      <c r="Z1" s="861"/>
      <c r="AA1" s="861"/>
      <c r="AB1" s="861"/>
      <c r="AC1" s="861"/>
      <c r="AD1" s="861"/>
      <c r="AE1" s="861"/>
      <c r="AF1" s="861"/>
      <c r="AG1" s="861"/>
      <c r="AH1" s="861"/>
      <c r="AI1" s="861"/>
      <c r="AJ1" s="861"/>
      <c r="AK1" s="861"/>
      <c r="AL1" s="861"/>
      <c r="AM1" s="861"/>
      <c r="AN1" s="861"/>
      <c r="AO1" s="861"/>
      <c r="AP1" s="861"/>
      <c r="AQ1" s="861"/>
      <c r="AR1" s="861"/>
      <c r="AS1" s="861"/>
      <c r="AT1" s="861"/>
      <c r="AU1" s="861"/>
      <c r="AV1" s="861"/>
      <c r="AW1" s="861"/>
      <c r="AX1" s="861"/>
      <c r="AY1" s="861"/>
      <c r="AZ1" s="861"/>
      <c r="BA1" s="861"/>
      <c r="BB1" s="861"/>
      <c r="BC1" s="861"/>
      <c r="BD1" s="861"/>
      <c r="BE1" s="861"/>
      <c r="BF1" s="861"/>
      <c r="BG1" s="861"/>
      <c r="BH1" s="861"/>
      <c r="BI1" s="861"/>
      <c r="BJ1" s="861"/>
      <c r="BK1" s="862"/>
      <c r="BL1" s="55"/>
      <c r="BM1" s="55"/>
      <c r="BN1" s="55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6"/>
      <c r="DF1" s="56"/>
      <c r="DG1" s="56"/>
      <c r="DH1" s="56"/>
      <c r="DI1" s="56"/>
      <c r="DJ1" s="56"/>
      <c r="DK1" s="56"/>
      <c r="DL1" s="56"/>
      <c r="DM1" s="56"/>
      <c r="DN1" s="56"/>
      <c r="DO1" s="56"/>
      <c r="DP1" s="56"/>
      <c r="DQ1" s="56"/>
      <c r="DR1" s="56"/>
      <c r="DS1" s="56"/>
      <c r="DT1" s="56"/>
      <c r="DU1" s="56"/>
      <c r="DV1" s="56"/>
      <c r="DW1" s="56"/>
      <c r="DX1" s="56"/>
      <c r="DY1" s="56"/>
      <c r="DZ1" s="56"/>
      <c r="EA1" s="56"/>
      <c r="EB1" s="56"/>
      <c r="EC1" s="56"/>
      <c r="ED1" s="56"/>
      <c r="EE1" s="56"/>
      <c r="EF1" s="56"/>
      <c r="EG1" s="56"/>
      <c r="EH1" s="56"/>
      <c r="EI1" s="56"/>
      <c r="EJ1" s="56"/>
      <c r="EK1" s="56"/>
      <c r="EL1" s="56"/>
      <c r="EM1" s="56"/>
      <c r="EN1" s="56"/>
      <c r="EO1" s="56"/>
      <c r="EP1" s="56"/>
      <c r="EQ1" s="56"/>
      <c r="ER1" s="56"/>
      <c r="ES1" s="56"/>
      <c r="ET1" s="56"/>
      <c r="EU1" s="56"/>
      <c r="EV1" s="56"/>
      <c r="EW1" s="56"/>
      <c r="EX1" s="56"/>
      <c r="EY1" s="56"/>
      <c r="EZ1" s="56"/>
      <c r="FA1" s="56"/>
      <c r="FB1" s="56"/>
      <c r="FC1" s="56"/>
      <c r="FD1" s="56"/>
      <c r="FE1" s="56"/>
      <c r="FF1" s="56"/>
      <c r="FG1" s="56"/>
      <c r="FH1" s="56"/>
      <c r="FI1" s="56"/>
      <c r="FJ1" s="56"/>
      <c r="FK1" s="56"/>
      <c r="FL1" s="56"/>
      <c r="FM1" s="56"/>
      <c r="FN1" s="56"/>
      <c r="FO1" s="56"/>
      <c r="FP1" s="56"/>
      <c r="FQ1" s="56"/>
      <c r="FR1" s="56"/>
      <c r="FS1" s="56"/>
      <c r="FT1" s="56"/>
      <c r="FU1" s="56"/>
      <c r="FV1" s="56"/>
      <c r="FW1" s="56"/>
      <c r="FX1" s="56"/>
      <c r="FY1" s="56"/>
      <c r="FZ1" s="56"/>
      <c r="GA1" s="56"/>
      <c r="GB1" s="56"/>
      <c r="GC1" s="56"/>
      <c r="GD1" s="56"/>
      <c r="GE1" s="56"/>
      <c r="GF1" s="56"/>
      <c r="GG1" s="56"/>
      <c r="GH1" s="56"/>
      <c r="GI1" s="56"/>
      <c r="GJ1" s="56"/>
      <c r="GK1" s="56"/>
      <c r="GL1" s="56"/>
      <c r="GM1" s="56"/>
      <c r="GN1" s="56"/>
      <c r="GO1" s="56"/>
    </row>
    <row r="2" spans="1:197" ht="15.75" thickBot="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58"/>
      <c r="P2" s="58"/>
      <c r="Q2" s="58"/>
      <c r="R2" s="58"/>
      <c r="S2" s="58"/>
      <c r="T2" s="59"/>
      <c r="U2" s="59"/>
      <c r="V2" s="60"/>
      <c r="W2" s="60"/>
      <c r="X2" s="60"/>
      <c r="Y2" s="60"/>
      <c r="Z2" s="60"/>
      <c r="AA2" s="60"/>
      <c r="AB2" s="59"/>
      <c r="AC2" s="60"/>
      <c r="AD2" s="60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56"/>
      <c r="FF2" s="56"/>
      <c r="FG2" s="56"/>
      <c r="FH2" s="56"/>
      <c r="FI2" s="56"/>
      <c r="FJ2" s="56"/>
      <c r="FK2" s="56"/>
      <c r="FL2" s="56"/>
      <c r="FM2" s="56"/>
      <c r="FN2" s="56"/>
      <c r="FO2" s="56"/>
      <c r="FP2" s="56"/>
      <c r="FQ2" s="56"/>
      <c r="FR2" s="56"/>
      <c r="FS2" s="56"/>
      <c r="FT2" s="56"/>
      <c r="FU2" s="56"/>
      <c r="FV2" s="56"/>
      <c r="FW2" s="56"/>
      <c r="FX2" s="56"/>
      <c r="FY2" s="56"/>
      <c r="FZ2" s="56"/>
      <c r="GA2" s="56"/>
      <c r="GB2" s="56"/>
      <c r="GC2" s="56"/>
      <c r="GD2" s="56"/>
      <c r="GE2" s="56"/>
      <c r="GF2" s="56"/>
      <c r="GG2" s="56"/>
      <c r="GH2" s="56"/>
      <c r="GI2" s="56"/>
      <c r="GJ2" s="56"/>
      <c r="GK2" s="56"/>
      <c r="GL2" s="56"/>
      <c r="GM2" s="56"/>
      <c r="GN2" s="56"/>
      <c r="GO2" s="56"/>
    </row>
    <row r="3" spans="1:197" ht="15" customHeight="1">
      <c r="A3" s="863" t="s">
        <v>120</v>
      </c>
      <c r="B3" s="766"/>
      <c r="C3" s="766"/>
      <c r="D3" s="766"/>
      <c r="E3" s="766"/>
      <c r="F3" s="767"/>
      <c r="G3" s="767"/>
      <c r="H3" s="767"/>
      <c r="I3" s="767"/>
      <c r="J3" s="767"/>
      <c r="K3" s="767"/>
      <c r="L3" s="767"/>
      <c r="M3" s="767"/>
      <c r="N3" s="63"/>
      <c r="O3" s="64"/>
      <c r="P3" s="64"/>
      <c r="Q3" s="64"/>
      <c r="R3" s="64"/>
      <c r="S3" s="64"/>
      <c r="T3" s="357"/>
      <c r="U3" s="357"/>
      <c r="V3" s="357"/>
      <c r="W3" s="357"/>
      <c r="X3" s="66"/>
      <c r="Y3" s="66"/>
      <c r="Z3" s="66"/>
      <c r="AA3" s="64"/>
      <c r="AB3" s="64"/>
      <c r="AC3" s="64"/>
      <c r="AD3" s="67"/>
      <c r="AE3" s="68"/>
      <c r="AF3" s="69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1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  <c r="DX3" s="56"/>
      <c r="DY3" s="56"/>
      <c r="DZ3" s="56"/>
      <c r="EA3" s="56"/>
      <c r="EB3" s="56"/>
      <c r="EC3" s="56"/>
      <c r="ED3" s="56"/>
      <c r="EE3" s="56"/>
      <c r="EF3" s="56"/>
      <c r="EG3" s="56"/>
      <c r="EH3" s="56"/>
      <c r="EI3" s="56"/>
      <c r="EJ3" s="56"/>
      <c r="EK3" s="56"/>
      <c r="EL3" s="56"/>
      <c r="EM3" s="56"/>
      <c r="EN3" s="56"/>
      <c r="EO3" s="56"/>
      <c r="EP3" s="56"/>
      <c r="EQ3" s="56"/>
      <c r="ER3" s="56"/>
      <c r="ES3" s="56"/>
      <c r="ET3" s="56"/>
      <c r="EU3" s="56"/>
      <c r="EV3" s="56"/>
      <c r="EW3" s="56"/>
      <c r="EX3" s="56"/>
      <c r="EY3" s="56"/>
      <c r="EZ3" s="56"/>
      <c r="FA3" s="56"/>
      <c r="FB3" s="56"/>
      <c r="FC3" s="56"/>
      <c r="FD3" s="56"/>
      <c r="FE3" s="56"/>
      <c r="FF3" s="56"/>
      <c r="FG3" s="56"/>
      <c r="FH3" s="56"/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6"/>
      <c r="FT3" s="56"/>
      <c r="FU3" s="56"/>
      <c r="FV3" s="56"/>
      <c r="FW3" s="56"/>
      <c r="FX3" s="56"/>
      <c r="FY3" s="56"/>
      <c r="FZ3" s="56"/>
      <c r="GA3" s="56"/>
      <c r="GB3" s="56"/>
      <c r="GC3" s="56"/>
      <c r="GD3" s="56"/>
      <c r="GE3" s="56"/>
      <c r="GF3" s="56"/>
      <c r="GG3" s="56"/>
      <c r="GH3" s="56"/>
      <c r="GI3" s="56"/>
      <c r="GJ3" s="56"/>
      <c r="GK3" s="56"/>
      <c r="GL3" s="56"/>
      <c r="GM3" s="56"/>
      <c r="GN3" s="56"/>
      <c r="GO3" s="56"/>
    </row>
    <row r="4" spans="1:197" ht="19.5" thickBot="1">
      <c r="A4" s="864"/>
      <c r="B4" s="57"/>
      <c r="C4" s="56"/>
      <c r="D4" s="55"/>
      <c r="E4" s="55"/>
      <c r="F4" s="55"/>
      <c r="G4" s="55"/>
      <c r="H4" s="55"/>
      <c r="I4" s="55"/>
      <c r="J4" s="55"/>
      <c r="K4" s="55"/>
      <c r="L4" s="55"/>
      <c r="M4" s="57"/>
      <c r="N4" s="73"/>
      <c r="O4" s="74"/>
      <c r="P4" s="74"/>
      <c r="Q4" s="74"/>
      <c r="R4" s="74"/>
      <c r="S4" s="74"/>
      <c r="T4" s="75"/>
      <c r="U4" s="76"/>
      <c r="V4" s="76"/>
      <c r="W4" s="75"/>
      <c r="X4" s="74"/>
      <c r="Y4" s="56"/>
      <c r="Z4" s="56"/>
      <c r="AA4" s="74"/>
      <c r="AB4" s="74"/>
      <c r="AC4" s="77"/>
      <c r="AD4" s="78"/>
      <c r="AE4" s="68"/>
      <c r="AF4" s="79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56"/>
      <c r="BJ4" s="57"/>
      <c r="BK4" s="81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56"/>
      <c r="DN4" s="56"/>
      <c r="DO4" s="56"/>
      <c r="DP4" s="56"/>
      <c r="DQ4" s="56"/>
      <c r="DR4" s="56"/>
      <c r="DS4" s="56"/>
      <c r="DT4" s="56"/>
      <c r="DU4" s="56"/>
      <c r="DV4" s="56"/>
      <c r="DW4" s="56"/>
      <c r="DX4" s="56"/>
      <c r="DY4" s="56"/>
      <c r="DZ4" s="56"/>
      <c r="EA4" s="56"/>
      <c r="EB4" s="56"/>
      <c r="EC4" s="56"/>
      <c r="ED4" s="56"/>
      <c r="EE4" s="56"/>
      <c r="EF4" s="56"/>
      <c r="EG4" s="56"/>
      <c r="EH4" s="56"/>
      <c r="EI4" s="56"/>
      <c r="EJ4" s="56"/>
      <c r="EK4" s="56"/>
      <c r="EL4" s="56"/>
      <c r="EM4" s="56"/>
      <c r="EN4" s="56"/>
      <c r="EO4" s="56"/>
      <c r="EP4" s="56"/>
      <c r="EQ4" s="56"/>
      <c r="ER4" s="56"/>
      <c r="ES4" s="56"/>
      <c r="ET4" s="56"/>
      <c r="EU4" s="56"/>
      <c r="EV4" s="56"/>
      <c r="EW4" s="56"/>
      <c r="EX4" s="56"/>
      <c r="EY4" s="56"/>
      <c r="EZ4" s="56"/>
      <c r="FA4" s="56"/>
      <c r="FB4" s="56"/>
      <c r="FC4" s="56"/>
      <c r="FD4" s="56"/>
      <c r="FE4" s="56"/>
      <c r="FF4" s="56"/>
      <c r="FG4" s="56"/>
      <c r="FH4" s="56"/>
      <c r="FI4" s="56"/>
      <c r="FJ4" s="56"/>
      <c r="FK4" s="56"/>
      <c r="FL4" s="56"/>
      <c r="FM4" s="56"/>
      <c r="FN4" s="56"/>
      <c r="FO4" s="56"/>
      <c r="FP4" s="56"/>
      <c r="FQ4" s="56"/>
      <c r="FR4" s="56"/>
      <c r="FS4" s="56"/>
      <c r="FT4" s="56"/>
      <c r="FU4" s="56"/>
      <c r="FV4" s="56"/>
      <c r="FW4" s="56"/>
      <c r="FX4" s="56"/>
      <c r="FY4" s="56"/>
      <c r="FZ4" s="56"/>
      <c r="GA4" s="56"/>
      <c r="GB4" s="56"/>
      <c r="GC4" s="56"/>
      <c r="GD4" s="56"/>
      <c r="GE4" s="56"/>
      <c r="GF4" s="56"/>
      <c r="GG4" s="56"/>
      <c r="GH4" s="56"/>
      <c r="GI4" s="56"/>
      <c r="GJ4" s="56"/>
      <c r="GK4" s="56"/>
      <c r="GL4" s="56"/>
      <c r="GM4" s="56"/>
      <c r="GN4" s="56"/>
      <c r="GO4" s="56"/>
    </row>
    <row r="5" spans="1:197" ht="15.75">
      <c r="A5" s="864"/>
      <c r="B5" s="768"/>
      <c r="C5" s="56"/>
      <c r="D5" s="56"/>
      <c r="E5" s="56"/>
      <c r="F5" s="56"/>
      <c r="G5" s="56"/>
      <c r="H5" s="56"/>
      <c r="I5" s="56"/>
      <c r="J5" s="56"/>
      <c r="K5" s="56"/>
      <c r="L5" s="55"/>
      <c r="M5" s="57"/>
      <c r="N5" s="83"/>
      <c r="O5" s="56"/>
      <c r="P5" s="865" t="s">
        <v>125</v>
      </c>
      <c r="Q5" s="866"/>
      <c r="R5" s="867"/>
      <c r="S5" s="84"/>
      <c r="T5" s="76"/>
      <c r="U5" s="85"/>
      <c r="V5" s="85"/>
      <c r="W5" s="76"/>
      <c r="X5" s="86"/>
      <c r="Y5" s="56"/>
      <c r="Z5" s="56"/>
      <c r="AA5" s="87"/>
      <c r="AB5" s="87"/>
      <c r="AC5" s="77"/>
      <c r="AD5" s="78"/>
      <c r="AE5" s="68"/>
      <c r="AF5" s="79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56"/>
      <c r="BJ5" s="57"/>
      <c r="BK5" s="81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6"/>
      <c r="DJ5" s="56"/>
      <c r="DK5" s="56"/>
      <c r="DL5" s="56"/>
      <c r="DM5" s="56"/>
      <c r="DN5" s="56"/>
      <c r="DO5" s="56"/>
      <c r="DP5" s="56"/>
      <c r="DQ5" s="56"/>
      <c r="DR5" s="56"/>
      <c r="DS5" s="56"/>
      <c r="DT5" s="56"/>
      <c r="DU5" s="56"/>
      <c r="DV5" s="56"/>
      <c r="DW5" s="56"/>
      <c r="DX5" s="56"/>
      <c r="DY5" s="56"/>
      <c r="DZ5" s="56"/>
      <c r="EA5" s="56"/>
      <c r="EB5" s="56"/>
      <c r="EC5" s="56"/>
      <c r="ED5" s="56"/>
      <c r="EE5" s="56"/>
      <c r="EF5" s="56"/>
      <c r="EG5" s="56"/>
      <c r="EH5" s="56"/>
      <c r="EI5" s="56"/>
      <c r="EJ5" s="56"/>
      <c r="EK5" s="56"/>
      <c r="EL5" s="56"/>
      <c r="EM5" s="56"/>
      <c r="EN5" s="56"/>
      <c r="EO5" s="56"/>
      <c r="EP5" s="56"/>
      <c r="EQ5" s="56"/>
      <c r="ER5" s="56"/>
      <c r="ES5" s="56"/>
      <c r="ET5" s="56"/>
      <c r="EU5" s="56"/>
      <c r="EV5" s="56"/>
      <c r="EW5" s="56"/>
      <c r="EX5" s="56"/>
      <c r="EY5" s="56"/>
      <c r="EZ5" s="56"/>
      <c r="FA5" s="56"/>
      <c r="FB5" s="56"/>
      <c r="FC5" s="56"/>
      <c r="FD5" s="56"/>
      <c r="FE5" s="56"/>
      <c r="FF5" s="56"/>
      <c r="FG5" s="56"/>
      <c r="FH5" s="56"/>
      <c r="FI5" s="56"/>
      <c r="FJ5" s="56"/>
      <c r="FK5" s="56"/>
      <c r="FL5" s="56"/>
      <c r="FM5" s="56"/>
      <c r="FN5" s="56"/>
      <c r="FO5" s="56"/>
      <c r="FP5" s="56"/>
      <c r="FQ5" s="56"/>
      <c r="FR5" s="56"/>
      <c r="FS5" s="56"/>
      <c r="FT5" s="56"/>
      <c r="FU5" s="56"/>
      <c r="FV5" s="56"/>
      <c r="FW5" s="56"/>
      <c r="FX5" s="56"/>
      <c r="FY5" s="56"/>
      <c r="FZ5" s="56"/>
      <c r="GA5" s="56"/>
      <c r="GB5" s="56"/>
      <c r="GC5" s="56"/>
      <c r="GD5" s="56"/>
      <c r="GE5" s="56"/>
      <c r="GF5" s="56"/>
      <c r="GG5" s="56"/>
      <c r="GH5" s="56"/>
      <c r="GI5" s="56"/>
      <c r="GJ5" s="56"/>
      <c r="GK5" s="56"/>
      <c r="GL5" s="56"/>
      <c r="GM5" s="56"/>
      <c r="GN5" s="56"/>
      <c r="GO5" s="56"/>
    </row>
    <row r="6" spans="1:197">
      <c r="A6" s="864"/>
      <c r="B6" s="57"/>
      <c r="C6" s="56"/>
      <c r="D6" s="56"/>
      <c r="E6" s="56"/>
      <c r="F6" s="56"/>
      <c r="G6" s="56"/>
      <c r="H6" s="56"/>
      <c r="J6" s="56"/>
      <c r="K6" s="56"/>
      <c r="L6" s="57"/>
      <c r="M6" s="57"/>
      <c r="N6" s="83"/>
      <c r="O6" s="56"/>
      <c r="P6" s="868"/>
      <c r="Q6" s="869"/>
      <c r="R6" s="870"/>
      <c r="S6" s="84"/>
      <c r="T6" s="88"/>
      <c r="U6" s="88"/>
      <c r="V6" s="88"/>
      <c r="W6" s="88"/>
      <c r="X6" s="86"/>
      <c r="Y6" s="56"/>
      <c r="Z6" s="56"/>
      <c r="AA6" s="74"/>
      <c r="AB6" s="89"/>
      <c r="AC6" s="77"/>
      <c r="AD6" s="78"/>
      <c r="AE6" s="68"/>
      <c r="AF6" s="79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56"/>
      <c r="BJ6" s="57"/>
      <c r="BK6" s="81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  <c r="EY6" s="56"/>
      <c r="EZ6" s="56"/>
      <c r="FA6" s="56"/>
      <c r="FB6" s="56"/>
      <c r="FC6" s="56"/>
      <c r="FD6" s="56"/>
      <c r="FE6" s="56"/>
      <c r="FF6" s="56"/>
      <c r="FG6" s="56"/>
      <c r="FH6" s="56"/>
      <c r="FI6" s="56"/>
      <c r="FJ6" s="56"/>
      <c r="FK6" s="56"/>
      <c r="FL6" s="56"/>
      <c r="FM6" s="56"/>
      <c r="FN6" s="56"/>
      <c r="FO6" s="56"/>
      <c r="FP6" s="56"/>
      <c r="FQ6" s="56"/>
      <c r="FR6" s="56"/>
      <c r="FS6" s="56"/>
      <c r="FT6" s="56"/>
      <c r="FU6" s="56"/>
      <c r="FV6" s="56"/>
      <c r="FW6" s="56"/>
      <c r="FX6" s="56"/>
      <c r="FY6" s="56"/>
      <c r="FZ6" s="56"/>
      <c r="GA6" s="56"/>
      <c r="GB6" s="56"/>
      <c r="GC6" s="56"/>
      <c r="GD6" s="56"/>
      <c r="GE6" s="56"/>
      <c r="GF6" s="56"/>
      <c r="GG6" s="56"/>
      <c r="GH6" s="56"/>
      <c r="GI6" s="56"/>
      <c r="GJ6" s="56"/>
      <c r="GK6" s="56"/>
      <c r="GL6" s="56"/>
      <c r="GM6" s="56"/>
      <c r="GN6" s="56"/>
      <c r="GO6" s="56"/>
    </row>
    <row r="7" spans="1:197" ht="16.5" thickBot="1">
      <c r="A7" s="864"/>
      <c r="B7" s="90"/>
      <c r="C7" s="56"/>
      <c r="D7" s="56"/>
      <c r="E7" s="56"/>
      <c r="F7" s="56"/>
      <c r="G7" s="56"/>
      <c r="H7" s="56"/>
      <c r="J7" s="56"/>
      <c r="K7" s="56"/>
      <c r="L7" s="57"/>
      <c r="M7" s="57"/>
      <c r="N7" s="83"/>
      <c r="O7" s="56"/>
      <c r="P7" s="871"/>
      <c r="Q7" s="872"/>
      <c r="R7" s="873"/>
      <c r="S7" s="84"/>
      <c r="T7" s="76"/>
      <c r="U7" s="85"/>
      <c r="V7" s="85"/>
      <c r="W7" s="76"/>
      <c r="X7" s="86"/>
      <c r="Y7" s="74"/>
      <c r="Z7" s="74"/>
      <c r="AA7" s="74"/>
      <c r="AB7" s="74"/>
      <c r="AC7" s="77"/>
      <c r="AD7" s="78"/>
      <c r="AE7" s="68"/>
      <c r="AF7" s="79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56"/>
      <c r="BJ7" s="57"/>
      <c r="BK7" s="81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  <c r="EY7" s="56"/>
      <c r="EZ7" s="56"/>
      <c r="FA7" s="56"/>
      <c r="FB7" s="56"/>
      <c r="FC7" s="56"/>
      <c r="FD7" s="56"/>
      <c r="FE7" s="56"/>
      <c r="FF7" s="56"/>
      <c r="FG7" s="56"/>
      <c r="FH7" s="56"/>
      <c r="FI7" s="56"/>
      <c r="FJ7" s="56"/>
      <c r="FK7" s="56"/>
      <c r="FL7" s="56"/>
      <c r="FM7" s="56"/>
      <c r="FN7" s="56"/>
      <c r="FO7" s="56"/>
      <c r="FP7" s="56"/>
      <c r="FQ7" s="56"/>
      <c r="FR7" s="56"/>
      <c r="FS7" s="56"/>
      <c r="FT7" s="56"/>
      <c r="FU7" s="56"/>
      <c r="FV7" s="56"/>
      <c r="FW7" s="56"/>
      <c r="FX7" s="56"/>
      <c r="FY7" s="56"/>
      <c r="FZ7" s="56"/>
      <c r="GA7" s="56"/>
      <c r="GB7" s="56"/>
      <c r="GC7" s="56"/>
      <c r="GD7" s="56"/>
      <c r="GE7" s="56"/>
      <c r="GF7" s="56"/>
      <c r="GG7" s="56"/>
      <c r="GH7" s="56"/>
      <c r="GI7" s="56"/>
      <c r="GJ7" s="56"/>
      <c r="GK7" s="56"/>
      <c r="GL7" s="56"/>
      <c r="GM7" s="56"/>
      <c r="GN7" s="56"/>
      <c r="GO7" s="56"/>
    </row>
    <row r="8" spans="1:197">
      <c r="A8" s="864"/>
      <c r="B8" s="57"/>
      <c r="C8" s="58"/>
      <c r="D8" s="72"/>
      <c r="E8" s="72"/>
      <c r="F8" s="72"/>
      <c r="G8" s="56"/>
      <c r="H8" s="56"/>
      <c r="I8" s="56"/>
      <c r="J8" s="56"/>
      <c r="K8" s="56"/>
      <c r="L8" s="58"/>
      <c r="M8" s="58"/>
      <c r="N8" s="83"/>
      <c r="O8" s="56"/>
      <c r="P8" s="56"/>
      <c r="Q8" s="56"/>
      <c r="R8" s="56"/>
      <c r="S8" s="84"/>
      <c r="T8" s="88"/>
      <c r="U8" s="88"/>
      <c r="V8" s="88"/>
      <c r="W8" s="88"/>
      <c r="X8" s="86"/>
      <c r="Y8" s="56"/>
      <c r="Z8" s="56"/>
      <c r="AA8" s="74"/>
      <c r="AB8" s="74"/>
      <c r="AC8" s="91"/>
      <c r="AD8" s="78"/>
      <c r="AE8" s="68"/>
      <c r="AF8" s="79"/>
      <c r="AG8" s="80"/>
      <c r="AH8" s="80"/>
      <c r="AI8" s="80"/>
      <c r="AJ8" s="80"/>
      <c r="AK8" s="80"/>
      <c r="AL8" s="80"/>
      <c r="AM8" s="56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56"/>
      <c r="BJ8" s="57"/>
      <c r="BK8" s="81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  <c r="CX8" s="56"/>
      <c r="CY8" s="56"/>
      <c r="CZ8" s="56"/>
      <c r="DA8" s="56"/>
      <c r="DB8" s="56"/>
      <c r="DC8" s="56"/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56"/>
      <c r="DP8" s="56"/>
      <c r="DQ8" s="56"/>
      <c r="DR8" s="56"/>
      <c r="DS8" s="56"/>
      <c r="DT8" s="56"/>
      <c r="DU8" s="56"/>
      <c r="DV8" s="56"/>
      <c r="DW8" s="56"/>
      <c r="DX8" s="56"/>
      <c r="DY8" s="56"/>
      <c r="DZ8" s="56"/>
      <c r="EA8" s="56"/>
      <c r="EB8" s="56"/>
      <c r="EC8" s="56"/>
      <c r="ED8" s="56"/>
      <c r="EE8" s="56"/>
      <c r="EF8" s="56"/>
      <c r="EG8" s="56"/>
      <c r="EH8" s="56"/>
      <c r="EI8" s="56"/>
      <c r="EJ8" s="56"/>
      <c r="EK8" s="56"/>
      <c r="EL8" s="56"/>
      <c r="EM8" s="56"/>
      <c r="EN8" s="56"/>
      <c r="EO8" s="56"/>
      <c r="EP8" s="56"/>
      <c r="EQ8" s="56"/>
      <c r="ER8" s="56"/>
      <c r="ES8" s="56"/>
      <c r="ET8" s="56"/>
      <c r="EU8" s="56"/>
      <c r="EV8" s="56"/>
      <c r="EW8" s="56"/>
      <c r="EX8" s="56"/>
      <c r="EY8" s="56"/>
      <c r="EZ8" s="56"/>
      <c r="FA8" s="56"/>
      <c r="FB8" s="56"/>
      <c r="FC8" s="56"/>
      <c r="FD8" s="56"/>
      <c r="FE8" s="56"/>
      <c r="FF8" s="56"/>
      <c r="FG8" s="56"/>
      <c r="FH8" s="56"/>
      <c r="FI8" s="56"/>
      <c r="FJ8" s="56"/>
      <c r="FK8" s="56"/>
      <c r="FL8" s="56"/>
      <c r="FM8" s="56"/>
      <c r="FN8" s="56"/>
      <c r="FO8" s="56"/>
      <c r="FP8" s="56"/>
      <c r="FQ8" s="56"/>
      <c r="FR8" s="56"/>
      <c r="FS8" s="56"/>
      <c r="FT8" s="56"/>
      <c r="FU8" s="56"/>
      <c r="FV8" s="56"/>
      <c r="FW8" s="56"/>
      <c r="FX8" s="56"/>
      <c r="FY8" s="56"/>
      <c r="FZ8" s="56"/>
      <c r="GA8" s="56"/>
      <c r="GB8" s="56"/>
      <c r="GC8" s="56"/>
      <c r="GD8" s="56"/>
      <c r="GE8" s="56"/>
      <c r="GF8" s="56"/>
      <c r="GG8" s="56"/>
      <c r="GH8" s="56"/>
      <c r="GI8" s="56"/>
      <c r="GJ8" s="56"/>
      <c r="GK8" s="56"/>
      <c r="GL8" s="56"/>
      <c r="GM8" s="56"/>
      <c r="GN8" s="56"/>
      <c r="GO8" s="56"/>
    </row>
    <row r="9" spans="1:197" ht="15.75">
      <c r="A9" s="92"/>
      <c r="B9" s="768"/>
      <c r="C9" s="58"/>
      <c r="D9" s="72"/>
      <c r="E9" s="72"/>
      <c r="F9" s="72"/>
      <c r="G9" s="72"/>
      <c r="H9" s="72"/>
      <c r="I9" s="72"/>
      <c r="J9" s="72"/>
      <c r="K9" s="72"/>
      <c r="L9" s="72"/>
      <c r="M9" s="58"/>
      <c r="N9" s="83"/>
      <c r="O9" s="56"/>
      <c r="P9" s="56"/>
      <c r="Q9" s="56"/>
      <c r="R9" s="56"/>
      <c r="S9" s="84"/>
      <c r="T9" s="76"/>
      <c r="U9" s="85"/>
      <c r="V9" s="85"/>
      <c r="W9" s="76"/>
      <c r="X9" s="86"/>
      <c r="Y9" s="56"/>
      <c r="Z9" s="56"/>
      <c r="AA9" s="56"/>
      <c r="AB9" s="74"/>
      <c r="AC9" s="91"/>
      <c r="AD9" s="78"/>
      <c r="AE9" s="68"/>
      <c r="AF9" s="79"/>
      <c r="AG9" s="80"/>
      <c r="AH9" s="80"/>
      <c r="AI9" s="56"/>
      <c r="AJ9" s="80"/>
      <c r="AK9" s="80"/>
      <c r="AL9" s="80"/>
      <c r="AM9" s="56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56"/>
      <c r="BJ9" s="57"/>
      <c r="BK9" s="81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  <c r="EK9" s="56"/>
      <c r="EL9" s="56"/>
      <c r="EM9" s="56"/>
      <c r="EN9" s="56"/>
      <c r="EO9" s="56"/>
      <c r="EP9" s="56"/>
      <c r="EQ9" s="56"/>
      <c r="ER9" s="56"/>
      <c r="ES9" s="56"/>
      <c r="ET9" s="56"/>
      <c r="EU9" s="56"/>
      <c r="EV9" s="56"/>
      <c r="EW9" s="56"/>
      <c r="EX9" s="56"/>
      <c r="EY9" s="56"/>
      <c r="EZ9" s="56"/>
      <c r="FA9" s="56"/>
      <c r="FB9" s="56"/>
      <c r="FC9" s="56"/>
      <c r="FD9" s="56"/>
      <c r="FE9" s="56"/>
      <c r="FF9" s="56"/>
      <c r="FG9" s="56"/>
      <c r="FH9" s="56"/>
      <c r="FI9" s="56"/>
      <c r="FJ9" s="56"/>
      <c r="FK9" s="56"/>
      <c r="FL9" s="56"/>
      <c r="FM9" s="56"/>
      <c r="FN9" s="56"/>
      <c r="FO9" s="56"/>
      <c r="FP9" s="56"/>
      <c r="FQ9" s="56"/>
      <c r="FR9" s="56"/>
      <c r="FS9" s="56"/>
      <c r="FT9" s="56"/>
      <c r="FU9" s="56"/>
      <c r="FV9" s="56"/>
      <c r="FW9" s="56"/>
      <c r="FX9" s="56"/>
      <c r="FY9" s="56"/>
      <c r="FZ9" s="56"/>
      <c r="GA9" s="56"/>
      <c r="GB9" s="56"/>
      <c r="GC9" s="56"/>
      <c r="GD9" s="56"/>
      <c r="GE9" s="56"/>
      <c r="GF9" s="56"/>
      <c r="GG9" s="56"/>
      <c r="GH9" s="56"/>
      <c r="GI9" s="56"/>
      <c r="GJ9" s="56"/>
      <c r="GK9" s="56"/>
      <c r="GL9" s="56"/>
      <c r="GM9" s="56"/>
      <c r="GN9" s="56"/>
      <c r="GO9" s="56"/>
    </row>
    <row r="10" spans="1:197" ht="15.75">
      <c r="A10" s="92"/>
      <c r="B10" s="57"/>
      <c r="C10" s="58"/>
      <c r="D10" s="58"/>
      <c r="E10" s="58"/>
      <c r="F10" s="58"/>
      <c r="G10" s="58"/>
      <c r="H10" s="58"/>
      <c r="I10" s="58"/>
      <c r="J10" s="72"/>
      <c r="K10" s="72"/>
      <c r="L10" s="72"/>
      <c r="M10" s="58"/>
      <c r="N10" s="83"/>
      <c r="O10" s="56"/>
      <c r="P10" s="56"/>
      <c r="Q10" s="56"/>
      <c r="R10" s="56"/>
      <c r="S10" s="84"/>
      <c r="T10" s="76"/>
      <c r="U10" s="85"/>
      <c r="V10" s="85"/>
      <c r="W10" s="76"/>
      <c r="X10" s="86"/>
      <c r="Y10" s="56"/>
      <c r="Z10" s="56"/>
      <c r="AA10" s="74"/>
      <c r="AB10" s="74"/>
      <c r="AC10" s="91"/>
      <c r="AD10" s="78"/>
      <c r="AE10" s="68"/>
      <c r="AF10" s="79"/>
      <c r="AG10" s="80"/>
      <c r="AH10" s="80"/>
      <c r="AI10" s="56"/>
      <c r="AJ10" s="80"/>
      <c r="AK10" s="80"/>
      <c r="AL10" s="80"/>
      <c r="AM10" s="56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56"/>
      <c r="BJ10" s="57"/>
      <c r="BK10" s="81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6"/>
      <c r="DP10" s="56"/>
      <c r="DQ10" s="56"/>
      <c r="DR10" s="56"/>
      <c r="DS10" s="56"/>
      <c r="DT10" s="56"/>
      <c r="DU10" s="56"/>
      <c r="DV10" s="56"/>
      <c r="DW10" s="56"/>
      <c r="DX10" s="56"/>
      <c r="DY10" s="56"/>
      <c r="DZ10" s="56"/>
      <c r="EA10" s="56"/>
      <c r="EB10" s="56"/>
      <c r="EC10" s="56"/>
      <c r="ED10" s="56"/>
      <c r="EE10" s="56"/>
      <c r="EF10" s="56"/>
      <c r="EG10" s="56"/>
      <c r="EH10" s="56"/>
      <c r="EI10" s="56"/>
      <c r="EJ10" s="56"/>
      <c r="EK10" s="56"/>
      <c r="EL10" s="56"/>
      <c r="EM10" s="56"/>
      <c r="EN10" s="56"/>
      <c r="EO10" s="56"/>
      <c r="EP10" s="56"/>
      <c r="EQ10" s="56"/>
      <c r="ER10" s="56"/>
      <c r="ES10" s="56"/>
      <c r="ET10" s="56"/>
      <c r="EU10" s="56"/>
      <c r="EV10" s="56"/>
      <c r="EW10" s="56"/>
      <c r="EX10" s="56"/>
      <c r="EY10" s="56"/>
      <c r="EZ10" s="56"/>
      <c r="FA10" s="56"/>
      <c r="FB10" s="56"/>
      <c r="FC10" s="56"/>
      <c r="FD10" s="56"/>
      <c r="FE10" s="56"/>
      <c r="FF10" s="56"/>
      <c r="FG10" s="56"/>
      <c r="FH10" s="56"/>
      <c r="FI10" s="56"/>
      <c r="FJ10" s="56"/>
      <c r="FK10" s="56"/>
      <c r="FL10" s="56"/>
      <c r="FM10" s="56"/>
      <c r="FN10" s="56"/>
      <c r="FO10" s="56"/>
      <c r="FP10" s="56"/>
      <c r="FQ10" s="56"/>
      <c r="FR10" s="56"/>
      <c r="FS10" s="56"/>
      <c r="FT10" s="56"/>
      <c r="FU10" s="56"/>
      <c r="FV10" s="56"/>
      <c r="FW10" s="56"/>
      <c r="FX10" s="56"/>
      <c r="FY10" s="56"/>
      <c r="FZ10" s="56"/>
      <c r="GA10" s="56"/>
      <c r="GB10" s="56"/>
      <c r="GC10" s="56"/>
      <c r="GD10" s="56"/>
      <c r="GE10" s="56"/>
      <c r="GF10" s="56"/>
      <c r="GG10" s="56"/>
      <c r="GH10" s="56"/>
      <c r="GI10" s="56"/>
      <c r="GJ10" s="56"/>
      <c r="GK10" s="56"/>
      <c r="GL10" s="56"/>
      <c r="GM10" s="56"/>
      <c r="GN10" s="56"/>
      <c r="GO10" s="56"/>
    </row>
    <row r="11" spans="1:197" ht="18">
      <c r="A11" s="93"/>
      <c r="B11" s="57"/>
      <c r="C11" s="58"/>
      <c r="D11" s="58"/>
      <c r="E11" s="58"/>
      <c r="H11" s="94"/>
      <c r="I11" s="94"/>
      <c r="J11" s="94"/>
      <c r="K11" s="95">
        <v>1</v>
      </c>
      <c r="L11" s="95">
        <v>2</v>
      </c>
      <c r="M11" s="95">
        <v>3</v>
      </c>
      <c r="N11" s="96"/>
      <c r="O11" s="56"/>
      <c r="P11" s="792"/>
      <c r="Q11" s="792"/>
      <c r="R11" s="56"/>
      <c r="S11" s="112"/>
      <c r="T11" s="88"/>
      <c r="U11" s="99"/>
      <c r="V11" s="99"/>
      <c r="W11" s="88"/>
      <c r="X11" s="74"/>
      <c r="Y11" s="56"/>
      <c r="Z11" s="56"/>
      <c r="AA11" s="56"/>
      <c r="AB11" s="77"/>
      <c r="AC11" s="91"/>
      <c r="AD11" s="78"/>
      <c r="AE11" s="68"/>
      <c r="AF11" s="79"/>
      <c r="AG11" s="80"/>
      <c r="AH11" s="80"/>
      <c r="AI11" s="56"/>
      <c r="AJ11" s="80"/>
      <c r="AK11" s="80"/>
      <c r="AL11" s="80"/>
      <c r="AM11" s="56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56"/>
      <c r="BJ11" s="57"/>
      <c r="BK11" s="81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V11" s="56"/>
      <c r="DW11" s="56"/>
      <c r="DX11" s="56"/>
      <c r="DY11" s="56"/>
      <c r="DZ11" s="56"/>
      <c r="EA11" s="56"/>
      <c r="EB11" s="56"/>
      <c r="EC11" s="56"/>
      <c r="ED11" s="56"/>
      <c r="EE11" s="56"/>
      <c r="EF11" s="56"/>
      <c r="EG11" s="56"/>
      <c r="EH11" s="56"/>
      <c r="EI11" s="56"/>
      <c r="EJ11" s="56"/>
      <c r="EK11" s="56"/>
      <c r="EL11" s="56"/>
      <c r="EM11" s="56"/>
      <c r="EN11" s="56"/>
      <c r="EO11" s="56"/>
      <c r="EP11" s="56"/>
      <c r="EQ11" s="56"/>
      <c r="ER11" s="56"/>
      <c r="ES11" s="56"/>
      <c r="ET11" s="56"/>
      <c r="EU11" s="56"/>
      <c r="EV11" s="56"/>
      <c r="EW11" s="56"/>
      <c r="EX11" s="56"/>
      <c r="EY11" s="56"/>
      <c r="EZ11" s="56"/>
      <c r="FA11" s="56"/>
      <c r="FB11" s="56"/>
      <c r="FC11" s="56"/>
      <c r="FD11" s="56"/>
      <c r="FE11" s="56"/>
      <c r="FF11" s="56"/>
      <c r="FG11" s="56"/>
      <c r="FH11" s="56"/>
      <c r="FI11" s="56"/>
      <c r="FJ11" s="56"/>
      <c r="FK11" s="56"/>
      <c r="FL11" s="56"/>
      <c r="FM11" s="56"/>
      <c r="FN11" s="56"/>
      <c r="FO11" s="56"/>
      <c r="FP11" s="56"/>
      <c r="FQ11" s="56"/>
      <c r="FR11" s="56"/>
      <c r="FS11" s="56"/>
      <c r="FT11" s="56"/>
      <c r="FU11" s="56"/>
      <c r="FV11" s="56"/>
      <c r="FW11" s="56"/>
      <c r="FX11" s="56"/>
      <c r="FY11" s="56"/>
      <c r="FZ11" s="56"/>
      <c r="GA11" s="56"/>
      <c r="GB11" s="56"/>
      <c r="GC11" s="56"/>
      <c r="GD11" s="56"/>
      <c r="GE11" s="56"/>
      <c r="GF11" s="56"/>
      <c r="GG11" s="56"/>
      <c r="GH11" s="56"/>
      <c r="GI11" s="56"/>
      <c r="GJ11" s="56"/>
      <c r="GK11" s="56"/>
      <c r="GL11" s="56"/>
      <c r="GM11" s="56"/>
      <c r="GN11" s="56"/>
      <c r="GO11" s="56"/>
    </row>
    <row r="12" spans="1:197" ht="20.25">
      <c r="A12" s="68"/>
      <c r="B12" s="57"/>
      <c r="C12" s="58"/>
      <c r="D12" s="58"/>
      <c r="E12" s="58"/>
      <c r="H12" s="100"/>
      <c r="J12" s="101" t="s">
        <v>128</v>
      </c>
      <c r="K12" s="102" t="s">
        <v>129</v>
      </c>
      <c r="L12" s="102" t="s">
        <v>129</v>
      </c>
      <c r="M12" s="102" t="s">
        <v>129</v>
      </c>
      <c r="N12" s="797"/>
      <c r="O12" s="104"/>
      <c r="P12" s="88"/>
      <c r="Q12" s="88"/>
      <c r="R12" s="270"/>
      <c r="S12" s="793"/>
      <c r="T12" s="106"/>
      <c r="U12" s="88"/>
      <c r="V12" s="88"/>
      <c r="W12" s="106"/>
      <c r="X12" s="107"/>
      <c r="Y12" s="56"/>
      <c r="Z12" s="56"/>
      <c r="AA12" s="74"/>
      <c r="AB12" s="56"/>
      <c r="AC12" s="91"/>
      <c r="AD12" s="78"/>
      <c r="AE12" s="68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56"/>
      <c r="BJ12" s="57"/>
      <c r="BK12" s="81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  <c r="CZ12" s="56"/>
      <c r="DA12" s="56"/>
      <c r="DB12" s="56"/>
      <c r="DC12" s="56"/>
      <c r="DD12" s="56"/>
      <c r="DE12" s="56"/>
      <c r="DF12" s="56"/>
      <c r="DG12" s="56"/>
      <c r="DH12" s="56"/>
      <c r="DI12" s="56"/>
      <c r="DJ12" s="56"/>
      <c r="DK12" s="56"/>
      <c r="DL12" s="56"/>
      <c r="DM12" s="56"/>
      <c r="DN12" s="56"/>
      <c r="DO12" s="56"/>
      <c r="DP12" s="56"/>
      <c r="DQ12" s="56"/>
      <c r="DR12" s="56"/>
      <c r="DS12" s="56"/>
      <c r="DT12" s="56"/>
      <c r="DU12" s="56"/>
      <c r="DV12" s="56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G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  <c r="FE12" s="56"/>
      <c r="FF12" s="56"/>
      <c r="FG12" s="56"/>
      <c r="FH12" s="56"/>
      <c r="FI12" s="56"/>
      <c r="FJ12" s="56"/>
      <c r="FK12" s="56"/>
      <c r="FL12" s="56"/>
      <c r="FM12" s="56"/>
      <c r="FN12" s="56"/>
      <c r="FO12" s="56"/>
      <c r="FP12" s="56"/>
      <c r="FQ12" s="56"/>
      <c r="FR12" s="56"/>
      <c r="FS12" s="56"/>
      <c r="FT12" s="56"/>
      <c r="FU12" s="56"/>
      <c r="FV12" s="56"/>
      <c r="FW12" s="56"/>
      <c r="FX12" s="56"/>
      <c r="FY12" s="56"/>
      <c r="FZ12" s="56"/>
      <c r="GA12" s="56"/>
      <c r="GB12" s="56"/>
      <c r="GC12" s="56"/>
      <c r="GD12" s="56"/>
      <c r="GE12" s="56"/>
      <c r="GF12" s="56"/>
      <c r="GG12" s="56"/>
      <c r="GH12" s="56"/>
      <c r="GI12" s="56"/>
      <c r="GJ12" s="56"/>
      <c r="GK12" s="56"/>
      <c r="GL12" s="56"/>
      <c r="GM12" s="56"/>
      <c r="GN12" s="56"/>
      <c r="GO12" s="56"/>
    </row>
    <row r="13" spans="1:197" ht="20.25">
      <c r="A13" s="108"/>
      <c r="B13" s="58"/>
      <c r="C13" s="58"/>
      <c r="D13" s="58"/>
      <c r="H13" s="1"/>
      <c r="I13" s="95"/>
      <c r="J13" s="102"/>
      <c r="K13" s="109">
        <v>100</v>
      </c>
      <c r="L13" s="110">
        <v>100</v>
      </c>
      <c r="M13" s="111">
        <v>100</v>
      </c>
      <c r="N13" s="88"/>
      <c r="O13" s="104"/>
      <c r="P13" s="792"/>
      <c r="Q13" s="792"/>
      <c r="R13" s="270"/>
      <c r="S13" s="112"/>
      <c r="T13" s="793"/>
      <c r="U13" s="106"/>
      <c r="V13" s="106"/>
      <c r="W13" s="113"/>
      <c r="X13" s="112"/>
      <c r="Y13" s="56"/>
      <c r="Z13" s="56"/>
      <c r="AA13" s="56"/>
      <c r="AB13" s="56"/>
      <c r="AC13" s="91"/>
      <c r="AD13" s="78"/>
      <c r="AE13" s="68"/>
      <c r="AF13" s="79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56"/>
      <c r="BJ13" s="57"/>
      <c r="BK13" s="81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  <c r="CX13" s="56"/>
      <c r="CY13" s="56"/>
      <c r="CZ13" s="56"/>
      <c r="DA13" s="56"/>
      <c r="DB13" s="56"/>
      <c r="DC13" s="56"/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56"/>
      <c r="DQ13" s="56"/>
      <c r="DR13" s="56"/>
      <c r="DS13" s="56"/>
      <c r="DT13" s="56"/>
      <c r="DU13" s="56"/>
      <c r="DV13" s="56"/>
      <c r="DW13" s="56"/>
      <c r="DX13" s="56"/>
      <c r="DY13" s="56"/>
      <c r="DZ13" s="56"/>
      <c r="EA13" s="56"/>
      <c r="EB13" s="56"/>
      <c r="EC13" s="56"/>
      <c r="ED13" s="56"/>
      <c r="EE13" s="56"/>
      <c r="EF13" s="56"/>
      <c r="EG13" s="56"/>
      <c r="EH13" s="56"/>
      <c r="EI13" s="56"/>
      <c r="EJ13" s="56"/>
      <c r="EK13" s="56"/>
      <c r="EL13" s="56"/>
      <c r="EM13" s="56"/>
      <c r="EN13" s="56"/>
      <c r="EO13" s="56"/>
      <c r="EP13" s="56"/>
      <c r="EQ13" s="56"/>
      <c r="ER13" s="56"/>
      <c r="ES13" s="56"/>
      <c r="ET13" s="56"/>
      <c r="EU13" s="56"/>
      <c r="EV13" s="56"/>
      <c r="EW13" s="56"/>
      <c r="EX13" s="56"/>
      <c r="EY13" s="56"/>
      <c r="EZ13" s="56"/>
      <c r="FA13" s="56"/>
      <c r="FB13" s="56"/>
      <c r="FC13" s="56"/>
      <c r="FD13" s="56"/>
      <c r="FE13" s="56"/>
      <c r="FF13" s="56"/>
      <c r="FG13" s="56"/>
      <c r="FH13" s="56"/>
      <c r="FI13" s="56"/>
      <c r="FJ13" s="56"/>
      <c r="FK13" s="56"/>
      <c r="FL13" s="56"/>
      <c r="FM13" s="56"/>
      <c r="FN13" s="56"/>
      <c r="FO13" s="56"/>
      <c r="FP13" s="56"/>
      <c r="FQ13" s="56"/>
      <c r="FR13" s="56"/>
      <c r="FS13" s="56"/>
      <c r="FT13" s="56"/>
      <c r="FU13" s="56"/>
      <c r="FV13" s="56"/>
      <c r="FW13" s="56"/>
      <c r="FX13" s="56"/>
      <c r="FY13" s="56"/>
      <c r="FZ13" s="56"/>
      <c r="GA13" s="56"/>
      <c r="GB13" s="56"/>
      <c r="GC13" s="56"/>
      <c r="GD13" s="56"/>
      <c r="GE13" s="56"/>
      <c r="GF13" s="56"/>
      <c r="GG13" s="56"/>
      <c r="GH13" s="56"/>
      <c r="GI13" s="56"/>
      <c r="GJ13" s="56"/>
      <c r="GK13" s="56"/>
      <c r="GL13" s="56"/>
      <c r="GM13" s="56"/>
      <c r="GN13" s="56"/>
      <c r="GO13" s="56"/>
    </row>
    <row r="14" spans="1:197" ht="20.25">
      <c r="A14" s="114" t="s">
        <v>131</v>
      </c>
      <c r="B14" s="58"/>
      <c r="C14" s="58"/>
      <c r="D14" s="58"/>
      <c r="H14" s="1"/>
      <c r="I14" s="95"/>
      <c r="J14" s="102"/>
      <c r="K14" s="115">
        <v>100</v>
      </c>
      <c r="L14" s="116">
        <v>100</v>
      </c>
      <c r="M14" s="117">
        <v>100</v>
      </c>
      <c r="N14" s="798"/>
      <c r="O14" s="104"/>
      <c r="P14" s="88"/>
      <c r="Q14" s="88"/>
      <c r="R14" s="270"/>
      <c r="S14" s="793"/>
      <c r="T14" s="793"/>
      <c r="U14" s="768"/>
      <c r="V14" s="229"/>
      <c r="W14" s="105"/>
      <c r="Y14" s="56"/>
      <c r="Z14" s="56"/>
      <c r="AA14" s="74"/>
      <c r="AB14" s="56"/>
      <c r="AC14" s="91"/>
      <c r="AD14" s="78"/>
      <c r="AE14" s="68"/>
      <c r="AF14" s="79"/>
      <c r="AG14" s="80"/>
      <c r="AH14" s="80"/>
      <c r="AI14" s="80"/>
      <c r="AJ14" s="80"/>
      <c r="AK14" s="80"/>
      <c r="AL14" s="80"/>
      <c r="AM14" s="56"/>
      <c r="AN14" s="56"/>
      <c r="AO14" s="56"/>
      <c r="AP14" s="56"/>
      <c r="AQ14" s="56"/>
      <c r="AR14" s="56"/>
      <c r="AS14" s="56"/>
      <c r="AT14" s="56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56"/>
      <c r="BJ14" s="57"/>
      <c r="BK14" s="81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  <c r="CX14" s="56"/>
      <c r="CY14" s="56"/>
      <c r="CZ14" s="56"/>
      <c r="DA14" s="56"/>
      <c r="DB14" s="56"/>
      <c r="DC14" s="56"/>
      <c r="DD14" s="56"/>
      <c r="DE14" s="56"/>
      <c r="DF14" s="56"/>
      <c r="DG14" s="56"/>
      <c r="DH14" s="56"/>
      <c r="DI14" s="56"/>
      <c r="DJ14" s="56"/>
      <c r="DK14" s="56"/>
      <c r="DL14" s="56"/>
      <c r="DM14" s="56"/>
      <c r="DN14" s="56"/>
      <c r="DO14" s="56"/>
      <c r="DP14" s="56"/>
      <c r="DQ14" s="56"/>
      <c r="DR14" s="56"/>
      <c r="DS14" s="56"/>
      <c r="DT14" s="56"/>
      <c r="DU14" s="56"/>
      <c r="DV14" s="56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G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6"/>
      <c r="FC14" s="56"/>
      <c r="FD14" s="56"/>
      <c r="FE14" s="56"/>
      <c r="FF14" s="56"/>
      <c r="FG14" s="56"/>
      <c r="FH14" s="56"/>
      <c r="FI14" s="56"/>
      <c r="FJ14" s="56"/>
      <c r="FK14" s="56"/>
      <c r="FL14" s="56"/>
      <c r="FM14" s="56"/>
      <c r="FN14" s="56"/>
      <c r="FO14" s="56"/>
      <c r="FP14" s="56"/>
      <c r="FQ14" s="56"/>
      <c r="FR14" s="56"/>
      <c r="FS14" s="56"/>
      <c r="FT14" s="56"/>
      <c r="FU14" s="56"/>
      <c r="FV14" s="56"/>
      <c r="FW14" s="56"/>
      <c r="FX14" s="56"/>
      <c r="FY14" s="56"/>
      <c r="FZ14" s="56"/>
      <c r="GA14" s="56"/>
      <c r="GB14" s="56"/>
      <c r="GC14" s="56"/>
      <c r="GD14" s="56"/>
      <c r="GE14" s="56"/>
      <c r="GF14" s="56"/>
      <c r="GG14" s="56"/>
      <c r="GH14" s="56"/>
      <c r="GI14" s="56"/>
      <c r="GJ14" s="56"/>
      <c r="GK14" s="56"/>
      <c r="GL14" s="56"/>
      <c r="GM14" s="56"/>
      <c r="GN14" s="56"/>
      <c r="GO14" s="56"/>
    </row>
    <row r="15" spans="1:197" ht="21" thickBot="1">
      <c r="A15" s="114"/>
      <c r="B15" s="58"/>
      <c r="C15" s="58"/>
      <c r="D15" s="58"/>
      <c r="E15" s="58"/>
      <c r="H15" s="100"/>
      <c r="J15" s="95"/>
      <c r="K15" s="102" t="s">
        <v>129</v>
      </c>
      <c r="L15" s="102" t="s">
        <v>129</v>
      </c>
      <c r="M15" s="102" t="s">
        <v>129</v>
      </c>
      <c r="N15" s="96"/>
      <c r="O15" s="74"/>
      <c r="P15" s="792"/>
      <c r="Q15" s="792"/>
      <c r="R15" s="56"/>
      <c r="S15" s="112"/>
      <c r="T15" s="793"/>
      <c r="U15" s="768"/>
      <c r="V15" s="357"/>
      <c r="W15" s="105"/>
      <c r="Y15" s="56"/>
      <c r="Z15" s="56"/>
      <c r="AA15" s="56"/>
      <c r="AB15" s="77"/>
      <c r="AC15" s="91"/>
      <c r="AD15" s="78"/>
      <c r="AE15" s="68"/>
      <c r="AF15" s="79"/>
      <c r="AG15" s="80"/>
      <c r="AH15" s="80"/>
      <c r="AI15" s="80"/>
      <c r="AJ15" s="80"/>
      <c r="AK15" s="80"/>
      <c r="AL15" s="80"/>
      <c r="AM15" s="56"/>
      <c r="AN15" s="56"/>
      <c r="AO15" s="56"/>
      <c r="AP15" s="56"/>
      <c r="AQ15" s="56"/>
      <c r="AR15" s="56"/>
      <c r="AS15" s="56"/>
      <c r="AT15" s="56"/>
      <c r="AU15" s="80"/>
      <c r="AV15" s="80"/>
      <c r="AW15" s="80"/>
      <c r="AX15" s="80"/>
      <c r="AY15" s="80"/>
      <c r="AZ15" s="56"/>
      <c r="BA15" s="56"/>
      <c r="BB15" s="56"/>
      <c r="BC15" s="80"/>
      <c r="BD15" s="80"/>
      <c r="BE15" s="80"/>
      <c r="BF15" s="80"/>
      <c r="BG15" s="80"/>
      <c r="BH15" s="80"/>
      <c r="BI15" s="56"/>
      <c r="BJ15" s="57"/>
      <c r="BK15" s="81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  <c r="CX15" s="56"/>
      <c r="CY15" s="56"/>
      <c r="CZ15" s="56"/>
      <c r="DA15" s="56"/>
      <c r="DB15" s="56"/>
      <c r="DC15" s="56"/>
      <c r="DD15" s="56"/>
      <c r="DE15" s="56"/>
      <c r="DF15" s="56"/>
      <c r="DG15" s="56"/>
      <c r="DH15" s="56"/>
      <c r="DI15" s="56"/>
      <c r="DJ15" s="56"/>
      <c r="DK15" s="56"/>
      <c r="DL15" s="56"/>
      <c r="DM15" s="56"/>
      <c r="DN15" s="56"/>
      <c r="DO15" s="56"/>
      <c r="DP15" s="56"/>
      <c r="DQ15" s="56"/>
      <c r="DR15" s="56"/>
      <c r="DS15" s="56"/>
      <c r="DT15" s="56"/>
      <c r="DU15" s="56"/>
      <c r="DV15" s="56"/>
      <c r="DW15" s="56"/>
      <c r="DX15" s="56"/>
      <c r="DY15" s="56"/>
      <c r="DZ15" s="56"/>
      <c r="EA15" s="56"/>
      <c r="EB15" s="56"/>
      <c r="EC15" s="56"/>
      <c r="ED15" s="56"/>
      <c r="EE15" s="56"/>
      <c r="EF15" s="56"/>
      <c r="EG15" s="56"/>
      <c r="EH15" s="56"/>
      <c r="EI15" s="56"/>
      <c r="EJ15" s="56"/>
      <c r="EK15" s="56"/>
      <c r="EL15" s="56"/>
      <c r="EM15" s="56"/>
      <c r="EN15" s="56"/>
      <c r="EO15" s="56"/>
      <c r="EP15" s="56"/>
      <c r="EQ15" s="56"/>
      <c r="ER15" s="56"/>
      <c r="ES15" s="56"/>
      <c r="ET15" s="56"/>
      <c r="EU15" s="56"/>
      <c r="EV15" s="56"/>
      <c r="EW15" s="56"/>
      <c r="EX15" s="56"/>
      <c r="EY15" s="56"/>
      <c r="EZ15" s="56"/>
      <c r="FA15" s="56"/>
      <c r="FB15" s="56"/>
      <c r="FC15" s="56"/>
      <c r="FD15" s="56"/>
      <c r="FE15" s="56"/>
      <c r="FF15" s="56"/>
      <c r="FG15" s="56"/>
      <c r="FH15" s="56"/>
      <c r="FI15" s="56"/>
      <c r="FJ15" s="56"/>
      <c r="FK15" s="56"/>
      <c r="FL15" s="56"/>
      <c r="FM15" s="56"/>
      <c r="FN15" s="56"/>
      <c r="FO15" s="56"/>
      <c r="FP15" s="56"/>
      <c r="FQ15" s="56"/>
      <c r="FR15" s="56"/>
      <c r="FS15" s="56"/>
      <c r="FT15" s="56"/>
      <c r="FU15" s="56"/>
      <c r="FV15" s="56"/>
      <c r="FW15" s="56"/>
      <c r="FX15" s="56"/>
      <c r="FY15" s="56"/>
      <c r="FZ15" s="56"/>
      <c r="GA15" s="56"/>
      <c r="GB15" s="56"/>
      <c r="GC15" s="56"/>
      <c r="GD15" s="56"/>
      <c r="GE15" s="56"/>
      <c r="GF15" s="56"/>
      <c r="GG15" s="56"/>
      <c r="GH15" s="56"/>
      <c r="GI15" s="56"/>
      <c r="GJ15" s="56"/>
      <c r="GK15" s="56"/>
      <c r="GL15" s="56"/>
      <c r="GM15" s="56"/>
      <c r="GN15" s="56"/>
      <c r="GO15" s="56"/>
    </row>
    <row r="16" spans="1:197" ht="15.75">
      <c r="A16" s="122"/>
      <c r="B16" s="58"/>
      <c r="C16" s="56"/>
      <c r="D16" s="58"/>
      <c r="E16" s="58"/>
      <c r="F16" s="58"/>
      <c r="G16" s="58"/>
      <c r="H16" s="94"/>
      <c r="I16" s="94"/>
      <c r="J16" s="94"/>
      <c r="K16" s="95">
        <v>6</v>
      </c>
      <c r="L16" s="95">
        <v>5</v>
      </c>
      <c r="M16" s="95">
        <v>4</v>
      </c>
      <c r="N16" s="799"/>
      <c r="O16" s="88"/>
      <c r="P16" s="794"/>
      <c r="Q16" s="270"/>
      <c r="R16" s="56"/>
      <c r="S16" s="793"/>
      <c r="T16" s="793"/>
      <c r="U16" s="229"/>
      <c r="V16" s="357"/>
      <c r="W16" s="105"/>
      <c r="Y16" s="56"/>
      <c r="Z16" s="56"/>
      <c r="AA16" s="74"/>
      <c r="AB16" s="77"/>
      <c r="AC16" s="874" t="s">
        <v>136</v>
      </c>
      <c r="AD16" s="875"/>
      <c r="AE16" s="58"/>
      <c r="AF16" s="79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56"/>
      <c r="BA16" s="56"/>
      <c r="BB16" s="56"/>
      <c r="BC16" s="80"/>
      <c r="BD16" s="80"/>
      <c r="BE16" s="80"/>
      <c r="BF16" s="80"/>
      <c r="BG16" s="80"/>
      <c r="BH16" s="80"/>
      <c r="BI16" s="56"/>
      <c r="BJ16" s="57"/>
      <c r="BK16" s="81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/>
      <c r="DB16" s="56"/>
      <c r="DC16" s="56"/>
      <c r="DD16" s="56"/>
      <c r="DE16" s="56"/>
      <c r="DF16" s="56"/>
      <c r="DG16" s="56"/>
      <c r="DH16" s="56"/>
      <c r="DI16" s="56"/>
      <c r="DJ16" s="56"/>
      <c r="DK16" s="56"/>
      <c r="DL16" s="56"/>
      <c r="DM16" s="56"/>
      <c r="DN16" s="56"/>
      <c r="DO16" s="56"/>
      <c r="DP16" s="56"/>
      <c r="DQ16" s="56"/>
      <c r="DR16" s="56"/>
      <c r="DS16" s="56"/>
      <c r="DT16" s="56"/>
      <c r="DU16" s="56"/>
      <c r="DV16" s="56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G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  <c r="FE16" s="56"/>
      <c r="FF16" s="56"/>
      <c r="FG16" s="56"/>
      <c r="FH16" s="56"/>
      <c r="FI16" s="56"/>
      <c r="FJ16" s="56"/>
      <c r="FK16" s="56"/>
      <c r="FL16" s="56"/>
      <c r="FM16" s="56"/>
      <c r="FN16" s="56"/>
      <c r="FO16" s="56"/>
      <c r="FP16" s="56"/>
      <c r="FQ16" s="56"/>
      <c r="FR16" s="56"/>
      <c r="FS16" s="56"/>
      <c r="FT16" s="56"/>
      <c r="FU16" s="56"/>
      <c r="FV16" s="56"/>
      <c r="FW16" s="56"/>
      <c r="FX16" s="56"/>
      <c r="FY16" s="56"/>
      <c r="FZ16" s="56"/>
      <c r="GA16" s="56"/>
      <c r="GB16" s="56"/>
      <c r="GC16" s="56"/>
      <c r="GD16" s="56"/>
      <c r="GE16" s="56"/>
      <c r="GF16" s="56"/>
      <c r="GG16" s="56"/>
      <c r="GH16" s="56"/>
      <c r="GI16" s="56"/>
      <c r="GJ16" s="56"/>
      <c r="GK16" s="56"/>
      <c r="GL16" s="56"/>
      <c r="GM16" s="56"/>
      <c r="GN16" s="56"/>
      <c r="GO16" s="56"/>
    </row>
    <row r="17" spans="1:197" ht="16.5" thickBot="1">
      <c r="A17" s="68"/>
      <c r="B17" s="58"/>
      <c r="C17" s="56"/>
      <c r="D17" s="58"/>
      <c r="E17" s="58"/>
      <c r="J17" s="58"/>
      <c r="K17" s="72"/>
      <c r="L17" s="72"/>
      <c r="M17" s="58"/>
      <c r="N17" s="799"/>
      <c r="O17" s="88"/>
      <c r="P17" s="88"/>
      <c r="Q17" s="74"/>
      <c r="R17" s="125"/>
      <c r="S17" s="112"/>
      <c r="T17" s="793"/>
      <c r="U17" s="357"/>
      <c r="V17" s="357"/>
      <c r="W17" s="105"/>
      <c r="Y17" s="126"/>
      <c r="Z17" s="126"/>
      <c r="AA17" s="126"/>
      <c r="AB17" s="127"/>
      <c r="AC17" s="876"/>
      <c r="AD17" s="877"/>
      <c r="AE17" s="58"/>
      <c r="AF17" s="79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56"/>
      <c r="BA17" s="56"/>
      <c r="BB17" s="56"/>
      <c r="BC17" s="80"/>
      <c r="BD17" s="80"/>
      <c r="BE17" s="80"/>
      <c r="BF17" s="80"/>
      <c r="BG17" s="80"/>
      <c r="BH17" s="80"/>
      <c r="BI17" s="56"/>
      <c r="BJ17" s="57"/>
      <c r="BK17" s="81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6"/>
      <c r="CR17" s="56"/>
      <c r="CS17" s="56"/>
      <c r="CT17" s="56"/>
      <c r="CU17" s="56"/>
      <c r="CV17" s="56"/>
      <c r="CW17" s="56"/>
      <c r="CX17" s="56"/>
      <c r="CY17" s="56"/>
      <c r="CZ17" s="56"/>
      <c r="DA17" s="56"/>
      <c r="DB17" s="56"/>
      <c r="DC17" s="56"/>
      <c r="DD17" s="56"/>
      <c r="DE17" s="56"/>
      <c r="DF17" s="56"/>
      <c r="DG17" s="56"/>
      <c r="DH17" s="56"/>
      <c r="DI17" s="56"/>
      <c r="DJ17" s="56"/>
      <c r="DK17" s="56"/>
      <c r="DL17" s="56"/>
      <c r="DM17" s="56"/>
      <c r="DN17" s="56"/>
      <c r="DO17" s="56"/>
      <c r="DP17" s="56"/>
      <c r="DQ17" s="56"/>
      <c r="DR17" s="56"/>
      <c r="DS17" s="56"/>
      <c r="DT17" s="56"/>
      <c r="DU17" s="56"/>
      <c r="DV17" s="56"/>
      <c r="DW17" s="56"/>
      <c r="DX17" s="56"/>
      <c r="DY17" s="56"/>
      <c r="DZ17" s="56"/>
      <c r="EA17" s="56"/>
      <c r="EB17" s="56"/>
      <c r="EC17" s="56"/>
      <c r="ED17" s="56"/>
      <c r="EE17" s="56"/>
      <c r="EF17" s="56"/>
      <c r="EG17" s="56"/>
      <c r="EH17" s="56"/>
      <c r="EI17" s="56"/>
      <c r="EJ17" s="56"/>
      <c r="EK17" s="56"/>
      <c r="EL17" s="56"/>
      <c r="EM17" s="56"/>
      <c r="EN17" s="56"/>
      <c r="EO17" s="56"/>
      <c r="EP17" s="56"/>
      <c r="EQ17" s="56"/>
      <c r="ER17" s="56"/>
      <c r="ES17" s="56"/>
      <c r="ET17" s="56"/>
      <c r="EU17" s="56"/>
      <c r="EV17" s="56"/>
      <c r="EW17" s="56"/>
      <c r="EX17" s="56"/>
      <c r="EY17" s="56"/>
      <c r="EZ17" s="56"/>
      <c r="FA17" s="56"/>
      <c r="FB17" s="56"/>
      <c r="FC17" s="56"/>
      <c r="FD17" s="56"/>
      <c r="FE17" s="56"/>
      <c r="FF17" s="56"/>
      <c r="FG17" s="56"/>
      <c r="FH17" s="56"/>
      <c r="FI17" s="56"/>
      <c r="FJ17" s="56"/>
      <c r="FK17" s="56"/>
      <c r="FL17" s="56"/>
      <c r="FM17" s="56"/>
      <c r="FN17" s="56"/>
      <c r="FO17" s="56"/>
      <c r="FP17" s="56"/>
      <c r="FQ17" s="56"/>
      <c r="FR17" s="56"/>
      <c r="FS17" s="56"/>
      <c r="FT17" s="56"/>
      <c r="FU17" s="56"/>
      <c r="FV17" s="56"/>
      <c r="FW17" s="56"/>
      <c r="FX17" s="56"/>
      <c r="FY17" s="56"/>
      <c r="FZ17" s="56"/>
      <c r="GA17" s="56"/>
      <c r="GB17" s="56"/>
      <c r="GC17" s="56"/>
      <c r="GD17" s="56"/>
      <c r="GE17" s="56"/>
      <c r="GF17" s="56"/>
      <c r="GG17" s="56"/>
      <c r="GH17" s="56"/>
      <c r="GI17" s="56"/>
      <c r="GJ17" s="56"/>
      <c r="GK17" s="56"/>
      <c r="GL17" s="56"/>
      <c r="GM17" s="56"/>
      <c r="GN17" s="56"/>
      <c r="GO17" s="56"/>
    </row>
    <row r="18" spans="1:197" ht="19.5" thickBot="1">
      <c r="A18" s="68"/>
      <c r="B18" s="58"/>
      <c r="C18" s="56"/>
      <c r="D18" s="58"/>
      <c r="E18" s="58"/>
      <c r="M18" s="128"/>
      <c r="N18" s="799"/>
      <c r="O18" s="88"/>
      <c r="P18" s="88"/>
      <c r="Q18" s="88"/>
      <c r="R18" s="88"/>
      <c r="S18" s="88"/>
      <c r="T18" s="88"/>
      <c r="U18" s="793"/>
      <c r="V18" s="793"/>
      <c r="W18" s="129"/>
      <c r="X18" s="56"/>
      <c r="Y18" s="56"/>
      <c r="Z18" s="56"/>
      <c r="AA18" s="56"/>
      <c r="AB18" s="56"/>
      <c r="AC18" s="130"/>
      <c r="AD18" s="78"/>
      <c r="AE18" s="68"/>
      <c r="AF18" s="79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56"/>
      <c r="BJ18" s="57"/>
      <c r="BK18" s="81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/>
      <c r="DD18" s="56"/>
      <c r="DE18" s="56"/>
      <c r="DF18" s="56"/>
      <c r="DG18" s="56"/>
      <c r="DH18" s="56"/>
      <c r="DI18" s="56"/>
      <c r="DJ18" s="56"/>
      <c r="DK18" s="56"/>
      <c r="DL18" s="56"/>
      <c r="DM18" s="56"/>
      <c r="DN18" s="56"/>
      <c r="DO18" s="56"/>
      <c r="DP18" s="56"/>
      <c r="DQ18" s="56"/>
      <c r="DR18" s="56"/>
      <c r="DS18" s="56"/>
      <c r="DT18" s="56"/>
      <c r="DU18" s="56"/>
      <c r="DV18" s="56"/>
      <c r="DW18" s="56"/>
      <c r="DX18" s="56"/>
      <c r="DY18" s="56"/>
      <c r="DZ18" s="56"/>
      <c r="EA18" s="56"/>
      <c r="EB18" s="56"/>
      <c r="EC18" s="56"/>
      <c r="ED18" s="56"/>
      <c r="EE18" s="56"/>
      <c r="EF18" s="56"/>
      <c r="EG18" s="56"/>
      <c r="EH18" s="56"/>
      <c r="EI18" s="56"/>
      <c r="EJ18" s="56"/>
      <c r="EK18" s="56"/>
      <c r="EL18" s="56"/>
      <c r="EM18" s="56"/>
      <c r="EN18" s="56"/>
      <c r="EO18" s="56"/>
      <c r="EP18" s="56"/>
      <c r="EQ18" s="56"/>
      <c r="ER18" s="56"/>
      <c r="ES18" s="56"/>
      <c r="ET18" s="56"/>
      <c r="EU18" s="56"/>
      <c r="EV18" s="56"/>
      <c r="EW18" s="56"/>
      <c r="EX18" s="56"/>
      <c r="EY18" s="56"/>
      <c r="EZ18" s="56"/>
      <c r="FA18" s="56"/>
      <c r="FB18" s="56"/>
      <c r="FC18" s="56"/>
      <c r="FD18" s="56"/>
      <c r="FE18" s="56"/>
      <c r="FF18" s="56"/>
      <c r="FG18" s="56"/>
      <c r="FH18" s="56"/>
      <c r="FI18" s="56"/>
      <c r="FJ18" s="56"/>
      <c r="FK18" s="56"/>
      <c r="FL18" s="56"/>
      <c r="FM18" s="56"/>
      <c r="FN18" s="56"/>
      <c r="FO18" s="56"/>
      <c r="FP18" s="56"/>
      <c r="FQ18" s="56"/>
      <c r="FR18" s="56"/>
      <c r="FS18" s="56"/>
      <c r="FT18" s="56"/>
      <c r="FU18" s="56"/>
      <c r="FV18" s="56"/>
      <c r="FW18" s="56"/>
      <c r="FX18" s="56"/>
      <c r="FY18" s="56"/>
      <c r="FZ18" s="56"/>
      <c r="GA18" s="56"/>
      <c r="GB18" s="56"/>
      <c r="GC18" s="56"/>
      <c r="GD18" s="56"/>
      <c r="GE18" s="56"/>
      <c r="GF18" s="56"/>
      <c r="GG18" s="56"/>
      <c r="GH18" s="56"/>
      <c r="GI18" s="56"/>
      <c r="GJ18" s="56"/>
      <c r="GK18" s="56"/>
      <c r="GL18" s="56"/>
      <c r="GM18" s="56"/>
      <c r="GN18" s="56"/>
      <c r="GO18" s="56"/>
    </row>
    <row r="19" spans="1:197" ht="18.75">
      <c r="A19" s="307"/>
      <c r="B19" s="57"/>
      <c r="C19" s="56"/>
      <c r="D19" s="57"/>
      <c r="F19" s="58"/>
      <c r="G19" s="58"/>
      <c r="H19" s="58"/>
      <c r="K19" s="131"/>
      <c r="L19" s="131"/>
      <c r="M19" s="128"/>
      <c r="N19" s="799"/>
      <c r="O19" s="88"/>
      <c r="P19" s="88"/>
      <c r="Q19" s="88"/>
      <c r="R19" s="88"/>
      <c r="S19" s="88"/>
      <c r="T19" s="88"/>
      <c r="V19" s="129"/>
      <c r="W19" s="56"/>
      <c r="X19" s="56"/>
      <c r="Y19" s="56"/>
      <c r="Z19" s="56"/>
      <c r="AA19" s="56"/>
      <c r="AB19" s="56"/>
      <c r="AC19" s="77"/>
      <c r="AD19" s="78"/>
      <c r="AE19" s="68"/>
      <c r="AF19" s="79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56"/>
      <c r="AY19" s="56"/>
      <c r="AZ19" s="878" t="s">
        <v>137</v>
      </c>
      <c r="BA19" s="879"/>
      <c r="BB19" s="880"/>
      <c r="BC19" s="80"/>
      <c r="BD19" s="80"/>
      <c r="BE19" s="80"/>
      <c r="BF19" s="80"/>
      <c r="BG19" s="80"/>
      <c r="BH19" s="80"/>
      <c r="BI19" s="56"/>
      <c r="BJ19" s="57"/>
      <c r="BK19" s="81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  <c r="CU19" s="56"/>
      <c r="CV19" s="56"/>
      <c r="CW19" s="56"/>
      <c r="CX19" s="56"/>
      <c r="CY19" s="56"/>
      <c r="CZ19" s="56"/>
      <c r="DA19" s="56"/>
      <c r="DB19" s="56"/>
      <c r="DC19" s="56"/>
      <c r="DD19" s="56"/>
      <c r="DE19" s="56"/>
      <c r="DF19" s="56"/>
      <c r="DG19" s="56"/>
      <c r="DH19" s="56"/>
      <c r="DI19" s="56"/>
      <c r="DJ19" s="56"/>
      <c r="DK19" s="56"/>
      <c r="DL19" s="56"/>
      <c r="DM19" s="56"/>
      <c r="DN19" s="56"/>
      <c r="DO19" s="56"/>
      <c r="DP19" s="56"/>
      <c r="DQ19" s="56"/>
      <c r="DR19" s="56"/>
      <c r="DS19" s="56"/>
      <c r="DT19" s="56"/>
      <c r="DU19" s="56"/>
      <c r="DV19" s="56"/>
      <c r="DW19" s="56"/>
      <c r="DX19" s="56"/>
      <c r="DY19" s="56"/>
      <c r="DZ19" s="56"/>
      <c r="EA19" s="56"/>
      <c r="EB19" s="56"/>
      <c r="EC19" s="56"/>
      <c r="ED19" s="56"/>
      <c r="EE19" s="56"/>
      <c r="EF19" s="56"/>
      <c r="EG19" s="56"/>
      <c r="EH19" s="56"/>
      <c r="EI19" s="56"/>
      <c r="EJ19" s="56"/>
      <c r="EK19" s="56"/>
      <c r="EL19" s="56"/>
      <c r="EM19" s="56"/>
      <c r="EN19" s="56"/>
      <c r="EO19" s="56"/>
      <c r="EP19" s="56"/>
      <c r="EQ19" s="56"/>
      <c r="ER19" s="56"/>
      <c r="ES19" s="56"/>
      <c r="ET19" s="56"/>
      <c r="EU19" s="56"/>
      <c r="EV19" s="56"/>
      <c r="EW19" s="56"/>
      <c r="EX19" s="56"/>
      <c r="EY19" s="56"/>
      <c r="EZ19" s="56"/>
      <c r="FA19" s="56"/>
      <c r="FB19" s="56"/>
      <c r="FC19" s="56"/>
      <c r="FD19" s="56"/>
      <c r="FE19" s="56"/>
      <c r="FF19" s="56"/>
      <c r="FG19" s="56"/>
      <c r="FH19" s="56"/>
      <c r="FI19" s="56"/>
      <c r="FJ19" s="56"/>
      <c r="FK19" s="56"/>
      <c r="FL19" s="56"/>
      <c r="FM19" s="56"/>
      <c r="FN19" s="56"/>
      <c r="FO19" s="56"/>
      <c r="FP19" s="56"/>
      <c r="FQ19" s="56"/>
      <c r="FR19" s="56"/>
      <c r="FS19" s="56"/>
      <c r="FT19" s="56"/>
      <c r="FU19" s="56"/>
      <c r="FV19" s="56"/>
      <c r="FW19" s="56"/>
      <c r="FX19" s="56"/>
      <c r="FY19" s="56"/>
      <c r="FZ19" s="56"/>
      <c r="GA19" s="56"/>
      <c r="GB19" s="56"/>
      <c r="GC19" s="56"/>
      <c r="GD19" s="56"/>
      <c r="GE19" s="56"/>
      <c r="GF19" s="56"/>
      <c r="GG19" s="56"/>
      <c r="GH19" s="56"/>
      <c r="GI19" s="56"/>
      <c r="GJ19" s="56"/>
      <c r="GK19" s="56"/>
      <c r="GL19" s="56"/>
      <c r="GM19" s="56"/>
      <c r="GN19" s="56"/>
      <c r="GO19" s="56"/>
    </row>
    <row r="20" spans="1:197" ht="19.5" thickBot="1">
      <c r="A20" s="56"/>
      <c r="B20" s="56"/>
      <c r="C20" s="56"/>
      <c r="D20" s="56"/>
      <c r="J20" s="75"/>
      <c r="K20" s="94"/>
      <c r="L20" s="94"/>
      <c r="N20" s="133"/>
      <c r="O20" s="88"/>
      <c r="P20" s="134"/>
      <c r="Q20" s="88"/>
      <c r="R20" s="88"/>
      <c r="S20" s="270"/>
      <c r="T20" s="270"/>
      <c r="U20" s="795"/>
      <c r="V20" s="56"/>
      <c r="W20" s="56"/>
      <c r="X20" s="56"/>
      <c r="Y20" s="56"/>
      <c r="Z20" s="56"/>
      <c r="AA20" s="56"/>
      <c r="AB20" s="56"/>
      <c r="AC20" s="136"/>
      <c r="AD20" s="137"/>
      <c r="AE20" s="68"/>
      <c r="AF20" s="79"/>
      <c r="AG20" s="56"/>
      <c r="AH20" s="138"/>
      <c r="AI20" s="56"/>
      <c r="AJ20" s="56"/>
      <c r="AK20" s="56"/>
      <c r="AL20" s="98"/>
      <c r="AM20" s="56"/>
      <c r="AN20" s="56"/>
      <c r="AO20" s="56"/>
      <c r="AP20" s="56"/>
      <c r="AQ20" s="56"/>
      <c r="AR20" s="56"/>
      <c r="AS20" s="56"/>
      <c r="AT20" s="80"/>
      <c r="AU20" s="80"/>
      <c r="AV20" s="80"/>
      <c r="AW20" s="80"/>
      <c r="AX20" s="56"/>
      <c r="AY20" s="56"/>
      <c r="AZ20" s="881"/>
      <c r="BA20" s="882"/>
      <c r="BB20" s="883"/>
      <c r="BC20" s="80"/>
      <c r="BD20" s="80"/>
      <c r="BE20" s="80"/>
      <c r="BF20" s="80"/>
      <c r="BG20" s="80"/>
      <c r="BH20" s="80"/>
      <c r="BI20" s="56"/>
      <c r="BJ20" s="57"/>
      <c r="BK20" s="81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56"/>
      <c r="DD20" s="56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6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  <c r="EY20" s="56"/>
      <c r="EZ20" s="56"/>
      <c r="FA20" s="56"/>
      <c r="FB20" s="56"/>
      <c r="FC20" s="56"/>
      <c r="FD20" s="56"/>
      <c r="FE20" s="56"/>
      <c r="FF20" s="56"/>
      <c r="FG20" s="56"/>
      <c r="FH20" s="56"/>
      <c r="FI20" s="56"/>
      <c r="FJ20" s="56"/>
      <c r="FK20" s="56"/>
      <c r="FL20" s="56"/>
      <c r="FM20" s="56"/>
      <c r="FN20" s="56"/>
      <c r="FO20" s="56"/>
      <c r="FP20" s="56"/>
      <c r="FQ20" s="56"/>
      <c r="FR20" s="56"/>
      <c r="FS20" s="56"/>
      <c r="FT20" s="56"/>
      <c r="FU20" s="56"/>
      <c r="FV20" s="56"/>
      <c r="FW20" s="56"/>
      <c r="FX20" s="56"/>
      <c r="FY20" s="56"/>
      <c r="FZ20" s="56"/>
      <c r="GA20" s="56"/>
      <c r="GB20" s="56"/>
      <c r="GC20" s="56"/>
      <c r="GD20" s="56"/>
      <c r="GE20" s="56"/>
      <c r="GF20" s="56"/>
      <c r="GG20" s="56"/>
      <c r="GH20" s="56"/>
      <c r="GI20" s="56"/>
      <c r="GJ20" s="56"/>
      <c r="GK20" s="56"/>
      <c r="GL20" s="56"/>
      <c r="GM20" s="56"/>
      <c r="GN20" s="56"/>
      <c r="GO20" s="56"/>
    </row>
    <row r="21" spans="1:197" ht="21.75" thickBot="1">
      <c r="A21" s="769"/>
      <c r="B21" s="769"/>
      <c r="C21" s="140"/>
      <c r="D21" s="140"/>
      <c r="J21" s="94"/>
      <c r="K21" s="259"/>
      <c r="L21" s="99"/>
      <c r="M21" s="94"/>
      <c r="N21" s="887" t="s">
        <v>141</v>
      </c>
      <c r="O21" s="888"/>
      <c r="P21" s="143"/>
      <c r="Q21" s="144"/>
      <c r="R21" s="144"/>
      <c r="S21" s="796"/>
      <c r="T21" s="796"/>
      <c r="U21" s="796"/>
      <c r="V21" s="796"/>
      <c r="X21" s="56"/>
      <c r="Y21" s="56"/>
      <c r="Z21" s="56"/>
      <c r="AA21" s="56"/>
      <c r="AB21" s="56"/>
      <c r="AC21" s="144"/>
      <c r="AD21" s="146"/>
      <c r="AE21" s="68"/>
      <c r="AF21" s="147"/>
      <c r="AG21" s="148"/>
      <c r="AH21" s="148"/>
      <c r="AI21" s="148"/>
      <c r="AJ21" s="148"/>
      <c r="AK21" s="148"/>
      <c r="AL21" s="149"/>
      <c r="AM21" s="149"/>
      <c r="AN21" s="149"/>
      <c r="AO21" s="149"/>
      <c r="AP21" s="149"/>
      <c r="AQ21" s="149"/>
      <c r="AR21" s="149"/>
      <c r="AS21" s="150"/>
      <c r="AT21" s="813"/>
      <c r="AU21" s="813"/>
      <c r="AV21" s="813"/>
      <c r="AW21" s="813"/>
      <c r="AX21" s="151"/>
      <c r="AY21" s="151"/>
      <c r="AZ21" s="884"/>
      <c r="BA21" s="885"/>
      <c r="BB21" s="886"/>
      <c r="BC21" s="80"/>
      <c r="BD21" s="80"/>
      <c r="BE21" s="80"/>
      <c r="BF21" s="80"/>
      <c r="BG21" s="80"/>
      <c r="BH21" s="80"/>
      <c r="BI21" s="151"/>
      <c r="BJ21" s="151"/>
      <c r="BK21" s="152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56"/>
      <c r="DD21" s="56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  <c r="EX21" s="56"/>
      <c r="EY21" s="56"/>
      <c r="EZ21" s="56"/>
      <c r="FA21" s="56"/>
      <c r="FB21" s="56"/>
      <c r="FC21" s="56"/>
      <c r="FD21" s="56"/>
      <c r="FE21" s="56"/>
      <c r="FF21" s="56"/>
      <c r="FG21" s="56"/>
      <c r="FH21" s="56"/>
      <c r="FI21" s="56"/>
      <c r="FJ21" s="56"/>
      <c r="FK21" s="56"/>
      <c r="FL21" s="56"/>
      <c r="FM21" s="56"/>
      <c r="FN21" s="56"/>
      <c r="FO21" s="56"/>
      <c r="FP21" s="56"/>
      <c r="FQ21" s="56"/>
      <c r="FR21" s="56"/>
      <c r="FS21" s="56"/>
      <c r="FT21" s="56"/>
      <c r="FU21" s="56"/>
      <c r="FV21" s="56"/>
      <c r="FW21" s="56"/>
      <c r="FX21" s="56"/>
      <c r="FY21" s="56"/>
      <c r="FZ21" s="56"/>
      <c r="GA21" s="56"/>
      <c r="GB21" s="56"/>
      <c r="GC21" s="56"/>
      <c r="GD21" s="56"/>
      <c r="GE21" s="56"/>
      <c r="GF21" s="56"/>
      <c r="GG21" s="56"/>
      <c r="GH21" s="56"/>
      <c r="GI21" s="56"/>
      <c r="GJ21" s="56"/>
      <c r="GK21" s="56"/>
      <c r="GL21" s="56"/>
      <c r="GM21" s="56"/>
      <c r="GN21" s="56"/>
      <c r="GO21" s="56"/>
    </row>
    <row r="22" spans="1:197" ht="21.75" thickBot="1">
      <c r="A22" s="60"/>
      <c r="B22" s="60"/>
      <c r="C22" s="60"/>
      <c r="D22" s="60"/>
      <c r="E22" s="60"/>
      <c r="F22" s="59"/>
      <c r="G22" s="59"/>
      <c r="H22" s="59"/>
      <c r="I22" s="94"/>
      <c r="J22" s="259"/>
      <c r="K22" s="85"/>
      <c r="L22" s="85"/>
      <c r="M22" s="774"/>
      <c r="N22" s="55"/>
      <c r="O22" s="55"/>
      <c r="P22" s="779"/>
      <c r="Q22" s="779"/>
      <c r="R22" s="779"/>
      <c r="S22" s="779"/>
      <c r="T22" s="779"/>
      <c r="U22" s="779"/>
      <c r="V22" s="779"/>
      <c r="W22" s="779"/>
      <c r="X22" s="779"/>
      <c r="Y22" s="779"/>
      <c r="Z22" s="779"/>
      <c r="AA22" s="779"/>
      <c r="AB22" s="779"/>
      <c r="AC22" s="57"/>
      <c r="AD22" s="57"/>
      <c r="AE22" s="157"/>
      <c r="AF22" s="141"/>
      <c r="AG22" s="158">
        <v>100</v>
      </c>
      <c r="AH22" s="158">
        <v>100</v>
      </c>
      <c r="AI22" s="159">
        <v>100</v>
      </c>
      <c r="AJ22" s="160">
        <v>100</v>
      </c>
      <c r="AK22" s="161">
        <v>100</v>
      </c>
      <c r="AL22" s="141"/>
      <c r="AM22" s="162"/>
      <c r="AN22" s="56"/>
      <c r="AO22" s="56"/>
      <c r="AP22" s="357"/>
      <c r="AQ22" s="357"/>
      <c r="AR22" s="431"/>
      <c r="AS22" s="431"/>
      <c r="AT22" s="431"/>
      <c r="AU22" s="431"/>
      <c r="AV22" s="814"/>
      <c r="AW22" s="814"/>
      <c r="AX22" s="56"/>
      <c r="AY22" s="56"/>
      <c r="AZ22" s="56"/>
      <c r="BA22" s="56"/>
      <c r="BB22" s="167"/>
      <c r="BC22" s="168">
        <v>100</v>
      </c>
      <c r="BD22" s="168">
        <v>100</v>
      </c>
      <c r="BE22" s="168">
        <v>100</v>
      </c>
      <c r="BF22" s="169">
        <v>100</v>
      </c>
      <c r="BG22" s="169">
        <v>100</v>
      </c>
      <c r="BH22" s="170">
        <v>100</v>
      </c>
      <c r="BI22" s="167"/>
      <c r="BJ22" s="212"/>
      <c r="BK22" s="820"/>
      <c r="BL22" s="83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  <c r="EU22" s="56"/>
      <c r="EV22" s="56"/>
      <c r="EW22" s="56"/>
      <c r="EX22" s="56"/>
      <c r="EY22" s="56"/>
      <c r="EZ22" s="56"/>
      <c r="FA22" s="56"/>
      <c r="FB22" s="56"/>
      <c r="FC22" s="56"/>
      <c r="FD22" s="56"/>
      <c r="FE22" s="56"/>
      <c r="FF22" s="56"/>
      <c r="FG22" s="56"/>
      <c r="FH22" s="56"/>
      <c r="FI22" s="56"/>
      <c r="FJ22" s="56"/>
      <c r="FK22" s="56"/>
      <c r="FL22" s="56"/>
      <c r="FM22" s="56"/>
      <c r="FN22" s="56"/>
      <c r="FO22" s="56"/>
      <c r="FP22" s="56"/>
      <c r="FQ22" s="56"/>
      <c r="FR22" s="56"/>
      <c r="FS22" s="56"/>
      <c r="FT22" s="56"/>
      <c r="FU22" s="56"/>
      <c r="FV22" s="56"/>
      <c r="FW22" s="56"/>
      <c r="FX22" s="56"/>
      <c r="FY22" s="56"/>
      <c r="FZ22" s="56"/>
      <c r="GA22" s="56"/>
      <c r="GB22" s="56"/>
      <c r="GC22" s="56"/>
      <c r="GD22" s="56"/>
      <c r="GE22" s="56"/>
      <c r="GF22" s="56"/>
      <c r="GG22" s="56"/>
      <c r="GH22" s="56"/>
      <c r="GI22" s="56"/>
      <c r="GJ22" s="56"/>
      <c r="GK22" s="56"/>
      <c r="GL22" s="56"/>
      <c r="GM22" s="56"/>
      <c r="GN22" s="56"/>
      <c r="GO22" s="56"/>
    </row>
    <row r="23" spans="1:197" ht="23.25">
      <c r="A23" s="770"/>
      <c r="B23" s="212"/>
      <c r="C23" s="212"/>
      <c r="D23" s="56"/>
      <c r="E23" s="174"/>
      <c r="F23" s="175"/>
      <c r="G23" s="56"/>
      <c r="H23" s="56"/>
      <c r="I23" s="56"/>
      <c r="J23" s="56"/>
      <c r="K23" s="56"/>
      <c r="L23" s="56"/>
      <c r="M23" s="56"/>
      <c r="N23" s="56"/>
      <c r="O23" s="55"/>
      <c r="P23" s="781"/>
      <c r="Q23" s="781"/>
      <c r="R23" s="781"/>
      <c r="S23" s="781"/>
      <c r="T23" s="781"/>
      <c r="U23" s="781"/>
      <c r="V23" s="782"/>
      <c r="W23" s="270"/>
      <c r="X23" s="782"/>
      <c r="Y23" s="783"/>
      <c r="Z23" s="782"/>
      <c r="AA23" s="784"/>
      <c r="AB23" s="782"/>
      <c r="AC23" s="57"/>
      <c r="AD23" s="57"/>
      <c r="AE23" s="57"/>
      <c r="AF23" s="101" t="s">
        <v>149</v>
      </c>
      <c r="AG23" s="141" t="s">
        <v>129</v>
      </c>
      <c r="AH23" s="141" t="s">
        <v>129</v>
      </c>
      <c r="AI23" s="141" t="s">
        <v>129</v>
      </c>
      <c r="AJ23" s="141" t="s">
        <v>129</v>
      </c>
      <c r="AK23" s="141" t="s">
        <v>129</v>
      </c>
      <c r="AL23" s="162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101" t="s">
        <v>150</v>
      </c>
      <c r="BC23" s="167" t="s">
        <v>129</v>
      </c>
      <c r="BD23" s="167" t="s">
        <v>129</v>
      </c>
      <c r="BE23" s="167" t="s">
        <v>129</v>
      </c>
      <c r="BF23" s="167" t="s">
        <v>129</v>
      </c>
      <c r="BG23" s="167" t="s">
        <v>129</v>
      </c>
      <c r="BH23" s="167" t="s">
        <v>129</v>
      </c>
      <c r="BI23" s="180"/>
      <c r="BJ23" s="181"/>
      <c r="BK23" s="229"/>
      <c r="BL23" s="83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  <c r="CZ23" s="56"/>
      <c r="DA23" s="56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  <c r="EX23" s="56"/>
      <c r="EY23" s="56"/>
      <c r="EZ23" s="56"/>
      <c r="FA23" s="56"/>
      <c r="FB23" s="56"/>
      <c r="FC23" s="56"/>
      <c r="FD23" s="56"/>
      <c r="FE23" s="56"/>
      <c r="FF23" s="56"/>
      <c r="FG23" s="56"/>
      <c r="FH23" s="56"/>
      <c r="FI23" s="56"/>
      <c r="FJ23" s="56"/>
      <c r="FK23" s="56"/>
      <c r="FL23" s="56"/>
      <c r="FM23" s="56"/>
      <c r="FN23" s="56"/>
      <c r="FO23" s="56"/>
      <c r="FP23" s="56"/>
      <c r="FQ23" s="56"/>
      <c r="FR23" s="56"/>
      <c r="FS23" s="56"/>
      <c r="FT23" s="56"/>
      <c r="FU23" s="56"/>
      <c r="FV23" s="56"/>
      <c r="FW23" s="56"/>
      <c r="FX23" s="56"/>
      <c r="FY23" s="56"/>
      <c r="FZ23" s="56"/>
      <c r="GA23" s="56"/>
      <c r="GB23" s="56"/>
      <c r="GC23" s="56"/>
      <c r="GD23" s="56"/>
      <c r="GE23" s="56"/>
      <c r="GF23" s="56"/>
      <c r="GG23" s="56"/>
      <c r="GH23" s="56"/>
      <c r="GI23" s="56"/>
      <c r="GJ23" s="56"/>
      <c r="GK23" s="56"/>
      <c r="GL23" s="56"/>
      <c r="GM23" s="56"/>
      <c r="GN23" s="56"/>
      <c r="GO23" s="56"/>
    </row>
    <row r="24" spans="1:197" ht="21">
      <c r="A24" s="770"/>
      <c r="B24" s="212"/>
      <c r="C24" s="212"/>
      <c r="D24" s="56"/>
      <c r="E24" s="56"/>
      <c r="F24" s="183"/>
      <c r="G24" s="771"/>
      <c r="H24" s="56"/>
      <c r="I24" s="56"/>
      <c r="J24" s="56"/>
      <c r="K24" s="56"/>
      <c r="L24" s="56"/>
      <c r="M24" s="56"/>
      <c r="N24" s="185"/>
      <c r="O24" s="186"/>
      <c r="P24" s="87"/>
      <c r="Q24" s="87"/>
      <c r="R24" s="87"/>
      <c r="S24" s="87"/>
      <c r="T24" s="87"/>
      <c r="U24" s="87"/>
      <c r="V24" s="55"/>
      <c r="W24" s="57"/>
      <c r="X24" s="57"/>
      <c r="Y24" s="57"/>
      <c r="Z24" s="57"/>
      <c r="AA24" s="57"/>
      <c r="AB24" s="57"/>
      <c r="AC24" s="57"/>
      <c r="AD24" s="57"/>
      <c r="AE24" s="57"/>
      <c r="AF24" s="187"/>
      <c r="AG24" s="188">
        <v>1</v>
      </c>
      <c r="AH24" s="188">
        <v>2</v>
      </c>
      <c r="AI24" s="188">
        <v>3</v>
      </c>
      <c r="AJ24" s="188">
        <v>4</v>
      </c>
      <c r="AK24" s="188">
        <v>5</v>
      </c>
      <c r="AL24" s="189"/>
      <c r="AM24" s="189"/>
      <c r="AN24" s="189"/>
      <c r="AO24" s="189"/>
      <c r="AP24" s="189"/>
      <c r="AQ24" s="189"/>
      <c r="AR24" s="189"/>
      <c r="AS24" s="189"/>
      <c r="AT24" s="189"/>
      <c r="AU24" s="189"/>
      <c r="AV24" s="189"/>
      <c r="AW24" s="189"/>
      <c r="AX24" s="189"/>
      <c r="AY24" s="189"/>
      <c r="AZ24" s="56"/>
      <c r="BB24" s="889" t="s">
        <v>153</v>
      </c>
      <c r="BC24" s="190">
        <v>1</v>
      </c>
      <c r="BD24" s="190">
        <v>2</v>
      </c>
      <c r="BE24" s="190">
        <v>3</v>
      </c>
      <c r="BF24" s="190">
        <v>4</v>
      </c>
      <c r="BG24" s="190">
        <v>5</v>
      </c>
      <c r="BH24" s="190">
        <v>6</v>
      </c>
      <c r="BI24" s="57"/>
      <c r="BJ24" s="57"/>
      <c r="BK24" s="229"/>
      <c r="BL24" s="83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6"/>
      <c r="DD24" s="56"/>
      <c r="DE24" s="56"/>
      <c r="DF24" s="56"/>
      <c r="DG24" s="56"/>
      <c r="DH24" s="56"/>
      <c r="DI24" s="56"/>
      <c r="DJ24" s="56"/>
      <c r="DK24" s="56"/>
      <c r="DL24" s="56"/>
      <c r="DM24" s="56"/>
      <c r="DN24" s="56"/>
      <c r="DO24" s="56"/>
      <c r="DP24" s="56"/>
      <c r="DQ24" s="56"/>
      <c r="DR24" s="56"/>
      <c r="DS24" s="56"/>
      <c r="DT24" s="56"/>
      <c r="DU24" s="56"/>
      <c r="DV24" s="56"/>
      <c r="DW24" s="56"/>
      <c r="DX24" s="56"/>
      <c r="DY24" s="56"/>
      <c r="DZ24" s="56"/>
      <c r="EA24" s="56"/>
      <c r="EB24" s="56"/>
      <c r="EC24" s="56"/>
      <c r="ED24" s="56"/>
      <c r="EE24" s="56"/>
      <c r="EF24" s="56"/>
      <c r="EG24" s="56"/>
      <c r="EH24" s="56"/>
      <c r="EI24" s="56"/>
      <c r="EJ24" s="56"/>
      <c r="EK24" s="56"/>
      <c r="EL24" s="56"/>
      <c r="EM24" s="56"/>
      <c r="EN24" s="56"/>
      <c r="EO24" s="56"/>
      <c r="EP24" s="56"/>
      <c r="EQ24" s="56"/>
      <c r="ER24" s="56"/>
      <c r="ES24" s="56"/>
      <c r="ET24" s="56"/>
      <c r="EU24" s="56"/>
      <c r="EV24" s="56"/>
      <c r="EW24" s="56"/>
      <c r="EX24" s="56"/>
      <c r="EY24" s="56"/>
      <c r="EZ24" s="56"/>
      <c r="FA24" s="56"/>
      <c r="FB24" s="56"/>
      <c r="FC24" s="56"/>
      <c r="FD24" s="56"/>
      <c r="FE24" s="56"/>
      <c r="FF24" s="56"/>
      <c r="FG24" s="56"/>
      <c r="FH24" s="56"/>
      <c r="FI24" s="56"/>
      <c r="FJ24" s="56"/>
      <c r="FK24" s="56"/>
      <c r="FL24" s="56"/>
      <c r="FM24" s="56"/>
      <c r="FN24" s="56"/>
      <c r="FO24" s="56"/>
      <c r="FP24" s="56"/>
      <c r="FQ24" s="56"/>
      <c r="FR24" s="56"/>
      <c r="FS24" s="56"/>
      <c r="FT24" s="56"/>
      <c r="FU24" s="56"/>
      <c r="FV24" s="56"/>
      <c r="FW24" s="56"/>
      <c r="FX24" s="56"/>
      <c r="FY24" s="56"/>
      <c r="FZ24" s="56"/>
      <c r="GA24" s="56"/>
      <c r="GB24" s="56"/>
      <c r="GC24" s="56"/>
      <c r="GD24" s="56"/>
      <c r="GE24" s="56"/>
      <c r="GF24" s="56"/>
      <c r="GG24" s="56"/>
      <c r="GH24" s="56"/>
      <c r="GI24" s="56"/>
      <c r="GJ24" s="56"/>
      <c r="GK24" s="56"/>
      <c r="GL24" s="56"/>
      <c r="GM24" s="56"/>
      <c r="GN24" s="56"/>
      <c r="GO24" s="56"/>
    </row>
    <row r="25" spans="1:197" ht="21">
      <c r="A25" s="192"/>
      <c r="B25" s="186"/>
      <c r="C25" s="186"/>
      <c r="D25" s="56"/>
      <c r="E25" s="56"/>
      <c r="F25" s="193"/>
      <c r="G25" s="771"/>
      <c r="H25" s="56"/>
      <c r="I25" s="56"/>
      <c r="K25" s="56"/>
      <c r="L25" s="56"/>
      <c r="M25" s="56"/>
      <c r="N25" s="890"/>
      <c r="O25" s="890"/>
      <c r="P25" s="55"/>
      <c r="Q25" s="55"/>
      <c r="R25" s="55"/>
      <c r="S25" s="55"/>
      <c r="T25" s="55"/>
      <c r="U25" s="55"/>
      <c r="V25" s="55"/>
      <c r="W25" s="56"/>
      <c r="X25" s="56"/>
      <c r="Y25" s="56"/>
      <c r="Z25" s="56"/>
      <c r="AA25" s="56"/>
      <c r="AB25" s="56"/>
      <c r="AC25" s="56"/>
      <c r="AD25" s="56"/>
      <c r="AE25" s="194"/>
      <c r="AF25" s="825" t="s">
        <v>155</v>
      </c>
      <c r="AG25" s="825"/>
      <c r="AH25" s="194"/>
      <c r="AI25" s="56"/>
      <c r="AJ25" s="56"/>
      <c r="AK25" s="56"/>
      <c r="AL25" s="825" t="s">
        <v>155</v>
      </c>
      <c r="AM25" s="825"/>
      <c r="AN25" s="56"/>
      <c r="AO25" s="56"/>
      <c r="AP25" s="56"/>
      <c r="AQ25" s="56"/>
      <c r="AR25" s="195"/>
      <c r="AS25" s="195"/>
      <c r="AT25" s="195"/>
      <c r="AU25" s="195"/>
      <c r="AV25" s="194"/>
      <c r="AW25" s="56"/>
      <c r="AX25" s="56"/>
      <c r="AY25" s="56"/>
      <c r="AZ25" s="56"/>
      <c r="BB25" s="889"/>
      <c r="BC25" s="196"/>
      <c r="BD25" s="197"/>
      <c r="BE25" s="197"/>
      <c r="BF25" s="197"/>
      <c r="BG25" s="197"/>
      <c r="BH25" s="197"/>
      <c r="BI25" s="98"/>
      <c r="BJ25" s="198"/>
      <c r="BK25" s="229"/>
      <c r="BL25" s="83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  <c r="CY25" s="56"/>
      <c r="CZ25" s="56"/>
      <c r="DA25" s="56"/>
      <c r="DB25" s="56"/>
      <c r="DC25" s="56"/>
      <c r="DD25" s="56"/>
      <c r="DE25" s="56"/>
      <c r="DF25" s="56"/>
      <c r="DG25" s="56"/>
      <c r="DH25" s="56"/>
      <c r="DI25" s="56"/>
      <c r="DJ25" s="56"/>
      <c r="DK25" s="56"/>
      <c r="DL25" s="56"/>
      <c r="DM25" s="56"/>
      <c r="DN25" s="56"/>
      <c r="DO25" s="56"/>
      <c r="DP25" s="56"/>
      <c r="DQ25" s="56"/>
      <c r="DR25" s="56"/>
      <c r="DS25" s="56"/>
      <c r="DT25" s="56"/>
      <c r="DU25" s="56"/>
      <c r="DV25" s="56"/>
      <c r="DW25" s="56"/>
      <c r="DX25" s="56"/>
      <c r="DY25" s="56"/>
      <c r="DZ25" s="56"/>
      <c r="EA25" s="56"/>
      <c r="EB25" s="56"/>
      <c r="EC25" s="56"/>
      <c r="ED25" s="56"/>
      <c r="EE25" s="56"/>
      <c r="EF25" s="56"/>
      <c r="EG25" s="56"/>
      <c r="EH25" s="56"/>
      <c r="EI25" s="56"/>
      <c r="EJ25" s="56"/>
      <c r="EK25" s="56"/>
      <c r="EL25" s="56"/>
      <c r="EM25" s="56"/>
      <c r="EN25" s="56"/>
      <c r="EO25" s="56"/>
      <c r="EP25" s="56"/>
      <c r="EQ25" s="56"/>
      <c r="ER25" s="56"/>
      <c r="ES25" s="56"/>
      <c r="ET25" s="56"/>
      <c r="EU25" s="56"/>
      <c r="EV25" s="56"/>
      <c r="EW25" s="56"/>
      <c r="EX25" s="56"/>
      <c r="EY25" s="56"/>
      <c r="EZ25" s="56"/>
      <c r="FA25" s="56"/>
      <c r="FB25" s="56"/>
      <c r="FC25" s="56"/>
      <c r="FD25" s="56"/>
      <c r="FE25" s="56"/>
      <c r="FF25" s="56"/>
      <c r="FG25" s="56"/>
      <c r="FH25" s="56"/>
      <c r="FI25" s="56"/>
      <c r="FJ25" s="56"/>
      <c r="FK25" s="56"/>
      <c r="FL25" s="56"/>
      <c r="FM25" s="56"/>
      <c r="FN25" s="56"/>
      <c r="FO25" s="56"/>
      <c r="FP25" s="56"/>
      <c r="FQ25" s="56"/>
      <c r="FR25" s="56"/>
      <c r="FS25" s="56"/>
      <c r="FT25" s="56"/>
      <c r="FU25" s="56"/>
      <c r="FV25" s="56"/>
      <c r="FW25" s="56"/>
      <c r="FX25" s="56"/>
      <c r="FY25" s="56"/>
      <c r="FZ25" s="56"/>
      <c r="GA25" s="56"/>
      <c r="GB25" s="56"/>
      <c r="GC25" s="56"/>
      <c r="GD25" s="56"/>
      <c r="GE25" s="56"/>
      <c r="GF25" s="56"/>
      <c r="GG25" s="56"/>
      <c r="GH25" s="56"/>
      <c r="GI25" s="56"/>
      <c r="GJ25" s="56"/>
      <c r="GK25" s="56"/>
      <c r="GL25" s="56"/>
      <c r="GM25" s="56"/>
      <c r="GN25" s="56"/>
      <c r="GO25" s="56"/>
    </row>
    <row r="26" spans="1:197" ht="23.25">
      <c r="A26" s="200"/>
      <c r="B26" s="201"/>
      <c r="C26" s="201"/>
      <c r="D26" s="57"/>
      <c r="E26" s="57"/>
      <c r="F26" s="772"/>
      <c r="G26" s="773"/>
      <c r="H26" s="56"/>
      <c r="I26" s="201"/>
      <c r="K26" s="775"/>
      <c r="L26" s="775"/>
      <c r="M26" s="775"/>
      <c r="N26" s="776"/>
      <c r="O26" s="776"/>
      <c r="P26" s="55"/>
      <c r="Q26" s="55"/>
      <c r="R26" s="780"/>
      <c r="S26" s="780"/>
      <c r="T26" s="780"/>
      <c r="U26" s="780"/>
      <c r="V26" s="55"/>
      <c r="W26" s="56"/>
      <c r="X26" s="206"/>
      <c r="Y26" s="206"/>
      <c r="Z26" s="206"/>
      <c r="AA26" s="56"/>
      <c r="AB26" s="780"/>
      <c r="AC26" s="780"/>
      <c r="AD26" s="56"/>
      <c r="AE26" s="75" t="s">
        <v>150</v>
      </c>
      <c r="AF26" s="167"/>
      <c r="AG26" s="167"/>
      <c r="AH26" s="207" t="s">
        <v>158</v>
      </c>
      <c r="AI26" s="208"/>
      <c r="AJ26" s="187"/>
      <c r="AK26" s="75" t="s">
        <v>159</v>
      </c>
      <c r="AL26" s="167"/>
      <c r="AM26" s="167"/>
      <c r="AN26" s="195"/>
      <c r="AO26" s="195"/>
      <c r="AP26" s="57"/>
      <c r="AQ26" s="101" t="s">
        <v>160</v>
      </c>
      <c r="AR26" s="141"/>
      <c r="AS26" s="141"/>
      <c r="AT26" s="209"/>
      <c r="AU26" s="207" t="s">
        <v>161</v>
      </c>
      <c r="AV26" s="56"/>
      <c r="AW26" s="56"/>
      <c r="AX26" s="56"/>
      <c r="AY26" s="56"/>
      <c r="AZ26" s="56"/>
      <c r="BA26" s="187"/>
      <c r="BB26" s="187"/>
      <c r="BC26" s="187"/>
      <c r="BD26" s="210"/>
      <c r="BE26" s="210"/>
      <c r="BF26" s="210"/>
      <c r="BG26" s="229"/>
      <c r="BH26" s="229"/>
      <c r="BI26" s="98"/>
      <c r="BJ26" s="76"/>
      <c r="BK26" s="229"/>
      <c r="BL26" s="83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  <c r="DQ26" s="56"/>
      <c r="DR26" s="56"/>
      <c r="DS26" s="56"/>
      <c r="DT26" s="56"/>
      <c r="DU26" s="56"/>
      <c r="DV26" s="56"/>
      <c r="DW26" s="56"/>
      <c r="DX26" s="56"/>
      <c r="DY26" s="56"/>
      <c r="DZ26" s="56"/>
      <c r="EA26" s="56"/>
      <c r="EB26" s="56"/>
      <c r="EC26" s="56"/>
      <c r="ED26" s="56"/>
      <c r="EE26" s="56"/>
      <c r="EF26" s="56"/>
      <c r="EG26" s="56"/>
      <c r="EH26" s="56"/>
      <c r="EI26" s="56"/>
      <c r="EJ26" s="56"/>
      <c r="EK26" s="56"/>
      <c r="EL26" s="56"/>
      <c r="EM26" s="56"/>
      <c r="EN26" s="56"/>
      <c r="EO26" s="56"/>
      <c r="EP26" s="56"/>
      <c r="EQ26" s="56"/>
      <c r="ER26" s="56"/>
      <c r="ES26" s="56"/>
      <c r="ET26" s="56"/>
      <c r="EU26" s="56"/>
      <c r="EV26" s="56"/>
      <c r="EW26" s="56"/>
      <c r="EX26" s="56"/>
      <c r="EY26" s="56"/>
      <c r="EZ26" s="56"/>
      <c r="FA26" s="56"/>
      <c r="FB26" s="56"/>
      <c r="FC26" s="56"/>
      <c r="FD26" s="56"/>
      <c r="FE26" s="56"/>
      <c r="FF26" s="56"/>
      <c r="FG26" s="56"/>
      <c r="FH26" s="56"/>
      <c r="FI26" s="56"/>
      <c r="FJ26" s="56"/>
      <c r="FK26" s="56"/>
      <c r="FL26" s="56"/>
      <c r="FM26" s="56"/>
      <c r="FN26" s="56"/>
      <c r="FO26" s="56"/>
      <c r="FP26" s="56"/>
      <c r="FQ26" s="56"/>
      <c r="FR26" s="56"/>
      <c r="FS26" s="56"/>
      <c r="FT26" s="56"/>
      <c r="FU26" s="56"/>
      <c r="FV26" s="56"/>
      <c r="FW26" s="56"/>
      <c r="FX26" s="56"/>
      <c r="FY26" s="56"/>
      <c r="FZ26" s="56"/>
      <c r="GA26" s="56"/>
      <c r="GB26" s="56"/>
      <c r="GC26" s="56"/>
      <c r="GD26" s="56"/>
      <c r="GE26" s="56"/>
      <c r="GF26" s="56"/>
      <c r="GG26" s="56"/>
      <c r="GH26" s="56"/>
      <c r="GI26" s="56"/>
      <c r="GJ26" s="56"/>
      <c r="GK26" s="56"/>
      <c r="GL26" s="56"/>
      <c r="GM26" s="56"/>
      <c r="GN26" s="56"/>
      <c r="GO26" s="56"/>
    </row>
    <row r="27" spans="1:197" ht="21">
      <c r="A27" s="192"/>
      <c r="B27" s="186"/>
      <c r="C27" s="212"/>
      <c r="D27" s="57"/>
      <c r="E27" s="57"/>
      <c r="F27" s="772"/>
      <c r="G27" s="773"/>
      <c r="H27" s="56"/>
      <c r="I27" s="58"/>
      <c r="K27" s="212"/>
      <c r="L27" s="213"/>
      <c r="M27" s="777"/>
      <c r="N27" s="777"/>
      <c r="O27" s="212"/>
      <c r="P27" s="212"/>
      <c r="Q27" s="55"/>
      <c r="R27" s="785"/>
      <c r="S27" s="768"/>
      <c r="T27" s="768"/>
      <c r="U27" s="270"/>
      <c r="V27" s="55"/>
      <c r="W27" s="56"/>
      <c r="X27" s="206"/>
      <c r="Y27" s="213"/>
      <c r="Z27" s="776"/>
      <c r="AA27" s="776"/>
      <c r="AB27" s="786"/>
      <c r="AC27" s="56"/>
      <c r="AD27" s="219">
        <v>1</v>
      </c>
      <c r="AE27" s="220"/>
      <c r="AF27" s="221">
        <v>400</v>
      </c>
      <c r="AG27" s="221">
        <v>400</v>
      </c>
      <c r="AH27" s="220"/>
      <c r="AI27" s="222">
        <v>6</v>
      </c>
      <c r="AJ27" s="219">
        <v>1</v>
      </c>
      <c r="AK27" s="220"/>
      <c r="AL27" s="223">
        <v>400</v>
      </c>
      <c r="AM27" s="223">
        <v>400</v>
      </c>
      <c r="AN27" s="220"/>
      <c r="AO27" s="222">
        <v>6</v>
      </c>
      <c r="AP27" s="180">
        <v>1</v>
      </c>
      <c r="AQ27" s="141" t="s">
        <v>129</v>
      </c>
      <c r="AR27" s="170">
        <v>100</v>
      </c>
      <c r="AS27" s="168">
        <v>100</v>
      </c>
      <c r="AT27" s="141" t="s">
        <v>129</v>
      </c>
      <c r="AU27" s="224">
        <v>6</v>
      </c>
      <c r="AV27" s="56"/>
      <c r="AW27" s="135"/>
      <c r="AX27" s="210"/>
      <c r="AY27" s="229"/>
      <c r="AZ27" s="225"/>
      <c r="BA27" s="187"/>
      <c r="BB27" s="187"/>
      <c r="BC27" s="187"/>
      <c r="BD27" s="815"/>
      <c r="BE27" s="815"/>
      <c r="BF27" s="815"/>
      <c r="BG27" s="431"/>
      <c r="BH27" s="431"/>
      <c r="BI27" s="98"/>
      <c r="BJ27" s="228"/>
      <c r="BK27" s="229"/>
      <c r="BL27" s="83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6"/>
      <c r="CO27" s="56"/>
      <c r="CP27" s="56"/>
      <c r="CQ27" s="56"/>
      <c r="CR27" s="56"/>
      <c r="CS27" s="56"/>
      <c r="CT27" s="56"/>
      <c r="CU27" s="56"/>
      <c r="CV27" s="56"/>
      <c r="CW27" s="56"/>
      <c r="CX27" s="56"/>
      <c r="CY27" s="56"/>
      <c r="CZ27" s="56"/>
      <c r="DA27" s="56"/>
      <c r="DB27" s="56"/>
      <c r="DC27" s="56"/>
      <c r="DD27" s="56"/>
      <c r="DE27" s="56"/>
      <c r="DF27" s="56"/>
      <c r="DG27" s="56"/>
      <c r="DH27" s="56"/>
      <c r="DI27" s="56"/>
      <c r="DJ27" s="56"/>
      <c r="DK27" s="56"/>
      <c r="DL27" s="56"/>
      <c r="DM27" s="56"/>
      <c r="DN27" s="56"/>
      <c r="DO27" s="56"/>
      <c r="DP27" s="56"/>
      <c r="DQ27" s="56"/>
      <c r="DR27" s="56"/>
      <c r="DS27" s="56"/>
      <c r="DT27" s="56"/>
      <c r="DU27" s="56"/>
      <c r="DV27" s="56"/>
      <c r="DW27" s="56"/>
      <c r="DX27" s="56"/>
      <c r="DY27" s="56"/>
      <c r="DZ27" s="56"/>
      <c r="EA27" s="56"/>
      <c r="EB27" s="56"/>
      <c r="EC27" s="56"/>
      <c r="ED27" s="56"/>
      <c r="EE27" s="56"/>
      <c r="EF27" s="56"/>
      <c r="EG27" s="56"/>
      <c r="EH27" s="56"/>
      <c r="EI27" s="56"/>
      <c r="EJ27" s="56"/>
      <c r="EK27" s="56"/>
      <c r="EL27" s="56"/>
      <c r="EM27" s="56"/>
      <c r="EN27" s="56"/>
      <c r="EO27" s="56"/>
      <c r="EP27" s="56"/>
      <c r="EQ27" s="56"/>
      <c r="ER27" s="56"/>
      <c r="ES27" s="56"/>
      <c r="ET27" s="56"/>
      <c r="EU27" s="56"/>
      <c r="EV27" s="56"/>
      <c r="EW27" s="56"/>
      <c r="EX27" s="56"/>
      <c r="EY27" s="56"/>
      <c r="EZ27" s="56"/>
      <c r="FA27" s="56"/>
      <c r="FB27" s="56"/>
      <c r="FC27" s="56"/>
      <c r="FD27" s="56"/>
      <c r="FE27" s="56"/>
      <c r="FF27" s="56"/>
      <c r="FG27" s="56"/>
      <c r="FH27" s="56"/>
      <c r="FI27" s="56"/>
      <c r="FJ27" s="56"/>
      <c r="FK27" s="56"/>
      <c r="FL27" s="56"/>
      <c r="FM27" s="56"/>
      <c r="FN27" s="56"/>
      <c r="FO27" s="56"/>
      <c r="FP27" s="56"/>
      <c r="FQ27" s="56"/>
      <c r="FR27" s="56"/>
      <c r="FS27" s="56"/>
      <c r="FT27" s="56"/>
      <c r="FU27" s="56"/>
      <c r="FV27" s="56"/>
      <c r="FW27" s="56"/>
      <c r="FX27" s="56"/>
      <c r="FY27" s="56"/>
      <c r="FZ27" s="56"/>
      <c r="GA27" s="56"/>
      <c r="GB27" s="56"/>
      <c r="GC27" s="56"/>
      <c r="GD27" s="56"/>
      <c r="GE27" s="56"/>
      <c r="GF27" s="56"/>
      <c r="GG27" s="56"/>
      <c r="GH27" s="56"/>
      <c r="GI27" s="56"/>
      <c r="GJ27" s="56"/>
      <c r="GK27" s="56"/>
      <c r="GL27" s="56"/>
      <c r="GM27" s="56"/>
      <c r="GN27" s="56"/>
      <c r="GO27" s="56"/>
    </row>
    <row r="28" spans="1:197" ht="21">
      <c r="A28" s="192"/>
      <c r="B28" s="186"/>
      <c r="C28" s="185"/>
      <c r="D28" s="57"/>
      <c r="E28" s="57"/>
      <c r="F28" s="772"/>
      <c r="G28" s="773"/>
      <c r="H28" s="56"/>
      <c r="I28" s="58"/>
      <c r="K28" s="778"/>
      <c r="L28" s="777"/>
      <c r="M28" s="779"/>
      <c r="N28" s="779"/>
      <c r="O28" s="777"/>
      <c r="P28" s="787"/>
      <c r="Q28" s="55"/>
      <c r="R28" s="56"/>
      <c r="S28" s="56"/>
      <c r="T28" s="56"/>
      <c r="U28" s="270"/>
      <c r="V28" s="55"/>
      <c r="W28" s="56"/>
      <c r="X28" s="206"/>
      <c r="Y28" s="788"/>
      <c r="Z28" s="779"/>
      <c r="AA28" s="779"/>
      <c r="AB28" s="788"/>
      <c r="AC28" s="56"/>
      <c r="AD28" s="219">
        <v>2</v>
      </c>
      <c r="AE28" s="220"/>
      <c r="AF28" s="233">
        <v>400</v>
      </c>
      <c r="AG28" s="233">
        <v>400</v>
      </c>
      <c r="AH28" s="220"/>
      <c r="AI28" s="222">
        <v>5</v>
      </c>
      <c r="AJ28" s="219">
        <v>2</v>
      </c>
      <c r="AK28" s="220"/>
      <c r="AL28" s="233">
        <v>400</v>
      </c>
      <c r="AM28" s="233">
        <v>400</v>
      </c>
      <c r="AN28" s="220"/>
      <c r="AO28" s="222">
        <v>5</v>
      </c>
      <c r="AP28" s="180">
        <v>2</v>
      </c>
      <c r="AQ28" s="141" t="s">
        <v>129</v>
      </c>
      <c r="AR28" s="170">
        <v>100</v>
      </c>
      <c r="AS28" s="168">
        <v>100</v>
      </c>
      <c r="AT28" s="141" t="s">
        <v>129</v>
      </c>
      <c r="AU28" s="224">
        <v>5</v>
      </c>
      <c r="AV28" s="56"/>
      <c r="AW28" s="135"/>
      <c r="AX28" s="210"/>
      <c r="AY28" s="229"/>
      <c r="AZ28" s="225"/>
      <c r="BA28" s="98"/>
      <c r="BC28" s="98"/>
      <c r="BD28" s="259"/>
      <c r="BE28" s="112"/>
      <c r="BF28" s="100"/>
      <c r="BG28" s="100"/>
      <c r="BH28" s="100"/>
      <c r="BI28" s="197"/>
      <c r="BJ28" s="76"/>
      <c r="BK28" s="229"/>
      <c r="BL28" s="83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56"/>
      <c r="CO28" s="56"/>
      <c r="CP28" s="56"/>
      <c r="CQ28" s="56"/>
      <c r="CR28" s="56"/>
      <c r="CS28" s="56"/>
      <c r="CT28" s="56"/>
      <c r="CU28" s="56"/>
      <c r="CV28" s="56"/>
      <c r="CW28" s="56"/>
      <c r="CX28" s="56"/>
      <c r="CY28" s="56"/>
      <c r="CZ28" s="56"/>
      <c r="DA28" s="56"/>
      <c r="DB28" s="56"/>
      <c r="DC28" s="56"/>
      <c r="DD28" s="56"/>
      <c r="DE28" s="56"/>
      <c r="DF28" s="56"/>
      <c r="DG28" s="56"/>
      <c r="DH28" s="56"/>
      <c r="DI28" s="56"/>
      <c r="DJ28" s="56"/>
      <c r="DK28" s="56"/>
      <c r="DL28" s="56"/>
      <c r="DM28" s="56"/>
      <c r="DN28" s="56"/>
      <c r="DO28" s="56"/>
      <c r="DP28" s="56"/>
      <c r="DQ28" s="56"/>
      <c r="DR28" s="56"/>
      <c r="DS28" s="56"/>
      <c r="DT28" s="56"/>
      <c r="DU28" s="56"/>
      <c r="DV28" s="56"/>
      <c r="DW28" s="56"/>
      <c r="DX28" s="56"/>
      <c r="DY28" s="56"/>
      <c r="DZ28" s="56"/>
      <c r="EA28" s="56"/>
      <c r="EB28" s="56"/>
      <c r="EC28" s="56"/>
      <c r="ED28" s="56"/>
      <c r="EE28" s="56"/>
      <c r="EF28" s="56"/>
      <c r="EG28" s="56"/>
      <c r="EH28" s="56"/>
      <c r="EI28" s="56"/>
      <c r="EJ28" s="56"/>
      <c r="EK28" s="56"/>
      <c r="EL28" s="56"/>
      <c r="EM28" s="56"/>
      <c r="EN28" s="56"/>
      <c r="EO28" s="56"/>
      <c r="EP28" s="56"/>
      <c r="EQ28" s="56"/>
      <c r="ER28" s="56"/>
      <c r="ES28" s="56"/>
      <c r="ET28" s="56"/>
      <c r="EU28" s="56"/>
      <c r="EV28" s="56"/>
      <c r="EW28" s="56"/>
      <c r="EX28" s="56"/>
      <c r="EY28" s="56"/>
      <c r="EZ28" s="56"/>
      <c r="FA28" s="56"/>
      <c r="FB28" s="56"/>
      <c r="FC28" s="56"/>
      <c r="FD28" s="56"/>
      <c r="FE28" s="56"/>
      <c r="FF28" s="56"/>
      <c r="FG28" s="56"/>
      <c r="FH28" s="56"/>
      <c r="FI28" s="56"/>
      <c r="FJ28" s="56"/>
      <c r="FK28" s="56"/>
      <c r="FL28" s="56"/>
      <c r="FM28" s="56"/>
      <c r="FN28" s="56"/>
      <c r="FO28" s="56"/>
      <c r="FP28" s="56"/>
      <c r="FQ28" s="56"/>
      <c r="FR28" s="56"/>
      <c r="FS28" s="56"/>
      <c r="FT28" s="56"/>
      <c r="FU28" s="56"/>
      <c r="FV28" s="56"/>
      <c r="FW28" s="56"/>
      <c r="FX28" s="56"/>
      <c r="FY28" s="56"/>
      <c r="FZ28" s="56"/>
      <c r="GA28" s="56"/>
      <c r="GB28" s="56"/>
      <c r="GC28" s="56"/>
      <c r="GD28" s="56"/>
      <c r="GE28" s="56"/>
      <c r="GF28" s="56"/>
      <c r="GG28" s="56"/>
      <c r="GH28" s="56"/>
      <c r="GI28" s="56"/>
      <c r="GJ28" s="56"/>
      <c r="GK28" s="56"/>
      <c r="GL28" s="56"/>
      <c r="GM28" s="56"/>
      <c r="GN28" s="56"/>
      <c r="GO28" s="56"/>
    </row>
    <row r="29" spans="1:197" ht="21">
      <c r="A29" s="192"/>
      <c r="B29" s="186"/>
      <c r="C29" s="185"/>
      <c r="D29" s="57"/>
      <c r="E29" s="57"/>
      <c r="F29" s="772"/>
      <c r="G29" s="773"/>
      <c r="H29" s="104"/>
      <c r="I29" s="58"/>
      <c r="K29" s="778"/>
      <c r="L29" s="777"/>
      <c r="M29" s="779"/>
      <c r="N29" s="779"/>
      <c r="O29" s="777"/>
      <c r="P29" s="787"/>
      <c r="Q29" s="55"/>
      <c r="R29" s="56"/>
      <c r="S29" s="768"/>
      <c r="T29" s="768"/>
      <c r="U29" s="270"/>
      <c r="V29" s="56"/>
      <c r="W29" s="56"/>
      <c r="X29" s="206"/>
      <c r="Y29" s="788"/>
      <c r="Z29" s="779"/>
      <c r="AA29" s="779"/>
      <c r="AB29" s="788"/>
      <c r="AC29" s="56"/>
      <c r="AD29" s="219">
        <v>3</v>
      </c>
      <c r="AE29" s="220"/>
      <c r="AF29" s="221">
        <v>400</v>
      </c>
      <c r="AG29" s="221">
        <v>400</v>
      </c>
      <c r="AH29" s="220"/>
      <c r="AI29" s="222">
        <v>4</v>
      </c>
      <c r="AJ29" s="219">
        <v>3</v>
      </c>
      <c r="AK29" s="220"/>
      <c r="AL29" s="233">
        <v>400</v>
      </c>
      <c r="AM29" s="233">
        <v>400</v>
      </c>
      <c r="AN29" s="220"/>
      <c r="AO29" s="222">
        <v>4</v>
      </c>
      <c r="AP29" s="180">
        <v>3</v>
      </c>
      <c r="AQ29" s="141" t="s">
        <v>129</v>
      </c>
      <c r="AR29" s="170">
        <v>100</v>
      </c>
      <c r="AS29" s="168">
        <v>100</v>
      </c>
      <c r="AT29" s="141" t="s">
        <v>129</v>
      </c>
      <c r="AU29" s="224">
        <v>4</v>
      </c>
      <c r="AV29" s="56"/>
      <c r="AW29" s="135"/>
      <c r="AX29" s="210"/>
      <c r="AY29" s="768"/>
      <c r="AZ29" s="56"/>
      <c r="BA29" s="56"/>
      <c r="BC29" s="196"/>
      <c r="BD29" s="100"/>
      <c r="BE29" s="100"/>
      <c r="BF29" s="100"/>
      <c r="BG29" s="100"/>
      <c r="BH29" s="100"/>
      <c r="BI29" s="129"/>
      <c r="BJ29" s="234"/>
      <c r="BK29" s="229"/>
      <c r="BL29" s="83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6"/>
      <c r="DC29" s="56"/>
      <c r="DD29" s="56"/>
      <c r="DE29" s="56"/>
      <c r="DF29" s="56"/>
      <c r="DG29" s="56"/>
      <c r="DH29" s="56"/>
      <c r="DI29" s="56"/>
      <c r="DJ29" s="56"/>
      <c r="DK29" s="56"/>
      <c r="DL29" s="56"/>
      <c r="DM29" s="56"/>
      <c r="DN29" s="56"/>
      <c r="DO29" s="56"/>
      <c r="DP29" s="56"/>
      <c r="DQ29" s="56"/>
      <c r="DR29" s="56"/>
      <c r="DS29" s="56"/>
      <c r="DT29" s="56"/>
      <c r="DU29" s="56"/>
      <c r="DV29" s="56"/>
      <c r="DW29" s="56"/>
      <c r="DX29" s="56"/>
      <c r="DY29" s="56"/>
      <c r="DZ29" s="56"/>
      <c r="EA29" s="56"/>
      <c r="EB29" s="56"/>
      <c r="EC29" s="56"/>
      <c r="ED29" s="56"/>
      <c r="EE29" s="56"/>
      <c r="EF29" s="56"/>
      <c r="EG29" s="56"/>
      <c r="EH29" s="56"/>
      <c r="EI29" s="56"/>
      <c r="EJ29" s="56"/>
      <c r="EK29" s="56"/>
      <c r="EL29" s="56"/>
      <c r="EM29" s="56"/>
      <c r="EN29" s="56"/>
      <c r="EO29" s="56"/>
      <c r="EP29" s="56"/>
      <c r="EQ29" s="56"/>
      <c r="ER29" s="56"/>
      <c r="ES29" s="56"/>
      <c r="ET29" s="56"/>
      <c r="EU29" s="56"/>
      <c r="EV29" s="56"/>
      <c r="EW29" s="56"/>
      <c r="EX29" s="56"/>
      <c r="EY29" s="56"/>
      <c r="EZ29" s="56"/>
      <c r="FA29" s="56"/>
      <c r="FB29" s="56"/>
      <c r="FC29" s="56"/>
      <c r="FD29" s="56"/>
      <c r="FE29" s="56"/>
      <c r="FF29" s="56"/>
      <c r="FG29" s="56"/>
      <c r="FH29" s="56"/>
      <c r="FI29" s="56"/>
      <c r="FJ29" s="56"/>
      <c r="FK29" s="56"/>
      <c r="FL29" s="56"/>
      <c r="FM29" s="56"/>
      <c r="FN29" s="56"/>
      <c r="FO29" s="56"/>
      <c r="FP29" s="56"/>
      <c r="FQ29" s="56"/>
      <c r="FR29" s="56"/>
      <c r="FS29" s="56"/>
      <c r="FT29" s="56"/>
      <c r="FU29" s="56"/>
      <c r="FV29" s="56"/>
      <c r="FW29" s="56"/>
      <c r="FX29" s="56"/>
      <c r="FY29" s="56"/>
      <c r="FZ29" s="56"/>
      <c r="GA29" s="56"/>
      <c r="GB29" s="56"/>
      <c r="GC29" s="56"/>
      <c r="GD29" s="56"/>
      <c r="GE29" s="56"/>
      <c r="GF29" s="56"/>
      <c r="GG29" s="56"/>
      <c r="GH29" s="56"/>
      <c r="GI29" s="56"/>
      <c r="GJ29" s="56"/>
      <c r="GK29" s="56"/>
      <c r="GL29" s="56"/>
      <c r="GM29" s="56"/>
      <c r="GN29" s="56"/>
      <c r="GO29" s="56"/>
    </row>
    <row r="30" spans="1:197" ht="21.75" thickBot="1">
      <c r="A30" s="192"/>
      <c r="B30" s="186"/>
      <c r="C30" s="185"/>
      <c r="D30" s="57"/>
      <c r="E30" s="57"/>
      <c r="F30" s="772"/>
      <c r="G30" s="773"/>
      <c r="H30" s="104"/>
      <c r="I30" s="58"/>
      <c r="J30" s="205"/>
      <c r="K30" s="778"/>
      <c r="L30" s="777"/>
      <c r="M30" s="779"/>
      <c r="N30" s="779"/>
      <c r="O30" s="777"/>
      <c r="P30" s="787"/>
      <c r="Q30" s="55"/>
      <c r="R30" s="56"/>
      <c r="S30" s="789"/>
      <c r="T30" s="212"/>
      <c r="U30" s="56"/>
      <c r="V30" s="790"/>
      <c r="W30" s="790"/>
      <c r="X30" s="206"/>
      <c r="Y30" s="788"/>
      <c r="Z30" s="779"/>
      <c r="AA30" s="779"/>
      <c r="AB30" s="788"/>
      <c r="AC30" s="56"/>
      <c r="AD30" s="238"/>
      <c r="AF30" s="167"/>
      <c r="AG30" s="167"/>
      <c r="AI30" s="222"/>
      <c r="AJ30" s="84"/>
      <c r="AK30" s="84"/>
      <c r="AL30" s="167"/>
      <c r="AM30" s="167"/>
      <c r="AN30" s="239"/>
      <c r="AO30" s="239"/>
      <c r="AP30" s="57"/>
      <c r="AQ30" s="224"/>
      <c r="AR30" s="141"/>
      <c r="AS30" s="141"/>
      <c r="AT30" s="224"/>
      <c r="AU30" s="57"/>
      <c r="AV30" s="56"/>
      <c r="AW30" s="135"/>
      <c r="AX30" s="210"/>
      <c r="AY30" s="768"/>
      <c r="AZ30" s="56"/>
      <c r="BA30" s="56"/>
      <c r="BC30" s="56"/>
      <c r="BD30" s="56"/>
      <c r="BE30" s="56"/>
      <c r="BF30" s="56"/>
      <c r="BG30" s="56"/>
      <c r="BH30" s="56"/>
      <c r="BI30" s="129"/>
      <c r="BJ30" s="76"/>
      <c r="BK30" s="229"/>
      <c r="BL30" s="83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  <c r="CO30" s="56"/>
      <c r="CP30" s="56"/>
      <c r="CQ30" s="56"/>
      <c r="CR30" s="56"/>
      <c r="CS30" s="56"/>
      <c r="CT30" s="56"/>
      <c r="CU30" s="56"/>
      <c r="CV30" s="56"/>
      <c r="CW30" s="56"/>
      <c r="CX30" s="56"/>
      <c r="CY30" s="56"/>
      <c r="CZ30" s="56"/>
      <c r="DA30" s="56"/>
      <c r="DB30" s="56"/>
      <c r="DC30" s="56"/>
      <c r="DD30" s="56"/>
      <c r="DE30" s="56"/>
      <c r="DF30" s="56"/>
      <c r="DG30" s="56"/>
      <c r="DH30" s="56"/>
      <c r="DI30" s="56"/>
      <c r="DJ30" s="56"/>
      <c r="DK30" s="56"/>
      <c r="DL30" s="56"/>
      <c r="DM30" s="56"/>
      <c r="DN30" s="56"/>
      <c r="DO30" s="56"/>
      <c r="DP30" s="56"/>
      <c r="DQ30" s="56"/>
      <c r="DR30" s="56"/>
      <c r="DS30" s="56"/>
      <c r="DT30" s="56"/>
      <c r="DU30" s="56"/>
      <c r="DV30" s="56"/>
      <c r="DW30" s="56"/>
      <c r="DX30" s="56"/>
      <c r="DY30" s="56"/>
      <c r="DZ30" s="56"/>
      <c r="EA30" s="56"/>
      <c r="EB30" s="56"/>
      <c r="EC30" s="56"/>
      <c r="ED30" s="56"/>
      <c r="EE30" s="56"/>
      <c r="EF30" s="56"/>
      <c r="EG30" s="56"/>
      <c r="EH30" s="56"/>
      <c r="EI30" s="56"/>
      <c r="EJ30" s="56"/>
      <c r="EK30" s="56"/>
      <c r="EL30" s="56"/>
      <c r="EM30" s="56"/>
      <c r="EN30" s="56"/>
      <c r="EO30" s="56"/>
      <c r="EP30" s="56"/>
      <c r="EQ30" s="56"/>
      <c r="ER30" s="56"/>
      <c r="ES30" s="56"/>
      <c r="ET30" s="56"/>
      <c r="EU30" s="56"/>
      <c r="EV30" s="56"/>
      <c r="EW30" s="56"/>
      <c r="EX30" s="56"/>
      <c r="EY30" s="56"/>
      <c r="EZ30" s="56"/>
      <c r="FA30" s="56"/>
      <c r="FB30" s="56"/>
      <c r="FC30" s="56"/>
      <c r="FD30" s="56"/>
      <c r="FE30" s="56"/>
      <c r="FF30" s="56"/>
      <c r="FG30" s="56"/>
      <c r="FH30" s="56"/>
      <c r="FI30" s="56"/>
      <c r="FJ30" s="56"/>
      <c r="FK30" s="56"/>
      <c r="FL30" s="56"/>
      <c r="FM30" s="56"/>
      <c r="FN30" s="56"/>
      <c r="FO30" s="56"/>
      <c r="FP30" s="56"/>
      <c r="FQ30" s="56"/>
      <c r="FR30" s="56"/>
      <c r="FS30" s="56"/>
      <c r="FT30" s="56"/>
      <c r="FU30" s="56"/>
      <c r="FV30" s="56"/>
      <c r="FW30" s="56"/>
      <c r="FX30" s="56"/>
      <c r="FY30" s="56"/>
      <c r="FZ30" s="56"/>
      <c r="GA30" s="56"/>
      <c r="GB30" s="56"/>
      <c r="GC30" s="56"/>
      <c r="GD30" s="56"/>
      <c r="GE30" s="56"/>
      <c r="GF30" s="56"/>
      <c r="GG30" s="56"/>
      <c r="GH30" s="56"/>
      <c r="GI30" s="56"/>
      <c r="GJ30" s="56"/>
      <c r="GK30" s="56"/>
      <c r="GL30" s="56"/>
      <c r="GM30" s="56"/>
      <c r="GN30" s="56"/>
      <c r="GO30" s="56"/>
    </row>
    <row r="31" spans="1:197" ht="20.25">
      <c r="A31" s="240"/>
      <c r="B31" s="241"/>
      <c r="C31" s="185"/>
      <c r="D31" s="57"/>
      <c r="E31" s="57"/>
      <c r="F31" s="772"/>
      <c r="G31" s="773"/>
      <c r="H31" s="104"/>
      <c r="I31" s="58"/>
      <c r="J31" s="205"/>
      <c r="K31" s="56"/>
      <c r="L31" s="56"/>
      <c r="M31" s="777"/>
      <c r="N31" s="777"/>
      <c r="O31" s="56"/>
      <c r="P31" s="212"/>
      <c r="Q31" s="55"/>
      <c r="R31" s="57"/>
      <c r="S31" s="768"/>
      <c r="T31" s="768"/>
      <c r="U31" s="212"/>
      <c r="V31" s="112"/>
      <c r="W31" s="791"/>
      <c r="X31" s="206"/>
      <c r="Y31" s="280"/>
      <c r="Z31" s="280"/>
      <c r="AA31" s="212"/>
      <c r="AB31" s="212"/>
      <c r="AC31" s="780"/>
      <c r="AD31" s="238"/>
      <c r="AI31" s="222"/>
      <c r="AJ31" s="84"/>
      <c r="AV31" s="56"/>
      <c r="AW31" s="135"/>
      <c r="AX31" s="210"/>
      <c r="AY31" s="431"/>
      <c r="AZ31" s="56"/>
      <c r="BA31" s="56"/>
      <c r="BC31" s="56"/>
      <c r="BD31" s="56"/>
      <c r="BE31" s="56"/>
      <c r="BF31" s="56"/>
      <c r="BG31" s="56"/>
      <c r="BH31" s="56"/>
      <c r="BI31" s="197"/>
      <c r="BJ31" s="234"/>
      <c r="BK31" s="821"/>
      <c r="BL31" s="83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  <c r="CW31" s="56"/>
      <c r="CX31" s="56"/>
      <c r="CY31" s="56"/>
      <c r="CZ31" s="56"/>
      <c r="DA31" s="56"/>
      <c r="DB31" s="56"/>
      <c r="DC31" s="56"/>
      <c r="DD31" s="56"/>
      <c r="DE31" s="56"/>
      <c r="DF31" s="56"/>
      <c r="DG31" s="56"/>
      <c r="DH31" s="56"/>
      <c r="DI31" s="56"/>
      <c r="DJ31" s="56"/>
      <c r="DK31" s="56"/>
      <c r="DL31" s="56"/>
      <c r="DM31" s="56"/>
      <c r="DN31" s="56"/>
      <c r="DO31" s="56"/>
      <c r="DP31" s="56"/>
      <c r="DQ31" s="56"/>
      <c r="DR31" s="56"/>
      <c r="DS31" s="56"/>
      <c r="DT31" s="56"/>
      <c r="DU31" s="56"/>
      <c r="DV31" s="56"/>
      <c r="DW31" s="56"/>
      <c r="DX31" s="56"/>
      <c r="DY31" s="56"/>
      <c r="DZ31" s="56"/>
      <c r="EA31" s="56"/>
      <c r="EB31" s="56"/>
      <c r="EC31" s="56"/>
      <c r="ED31" s="56"/>
      <c r="EE31" s="56"/>
      <c r="EF31" s="56"/>
      <c r="EG31" s="56"/>
      <c r="EH31" s="56"/>
      <c r="EI31" s="56"/>
      <c r="EJ31" s="56"/>
      <c r="EK31" s="56"/>
      <c r="EL31" s="56"/>
      <c r="EM31" s="56"/>
      <c r="EN31" s="56"/>
      <c r="EO31" s="56"/>
      <c r="EP31" s="56"/>
      <c r="EQ31" s="56"/>
      <c r="ER31" s="56"/>
      <c r="ES31" s="56"/>
      <c r="ET31" s="56"/>
      <c r="EU31" s="56"/>
      <c r="EV31" s="56"/>
      <c r="EW31" s="56"/>
      <c r="EX31" s="56"/>
      <c r="EY31" s="56"/>
      <c r="EZ31" s="56"/>
      <c r="FA31" s="56"/>
      <c r="FB31" s="56"/>
      <c r="FC31" s="56"/>
      <c r="FD31" s="56"/>
      <c r="FE31" s="56"/>
      <c r="FF31" s="56"/>
      <c r="FG31" s="56"/>
      <c r="FH31" s="56"/>
      <c r="FI31" s="56"/>
      <c r="FJ31" s="56"/>
      <c r="FK31" s="56"/>
      <c r="FL31" s="56"/>
      <c r="FM31" s="56"/>
      <c r="FN31" s="56"/>
      <c r="FO31" s="56"/>
      <c r="FP31" s="56"/>
      <c r="FQ31" s="56"/>
      <c r="FR31" s="56"/>
      <c r="FS31" s="56"/>
      <c r="FT31" s="56"/>
      <c r="FU31" s="56"/>
      <c r="FV31" s="56"/>
      <c r="FW31" s="56"/>
      <c r="FX31" s="56"/>
      <c r="FY31" s="56"/>
      <c r="FZ31" s="56"/>
      <c r="GA31" s="56"/>
      <c r="GB31" s="56"/>
      <c r="GC31" s="56"/>
      <c r="GD31" s="56"/>
      <c r="GE31" s="56"/>
      <c r="GF31" s="56"/>
      <c r="GG31" s="56"/>
      <c r="GH31" s="56"/>
      <c r="GI31" s="56"/>
      <c r="GJ31" s="56"/>
      <c r="GK31" s="56"/>
      <c r="GL31" s="56"/>
      <c r="GM31" s="56"/>
      <c r="GN31" s="56"/>
      <c r="GO31" s="56"/>
    </row>
    <row r="32" spans="1:197" ht="21">
      <c r="A32" s="192"/>
      <c r="B32" s="186"/>
      <c r="C32" s="186"/>
      <c r="D32" s="57"/>
      <c r="E32" s="57"/>
      <c r="F32" s="772"/>
      <c r="G32" s="771"/>
      <c r="H32" s="248"/>
      <c r="I32" s="58"/>
      <c r="J32" s="205"/>
      <c r="K32" s="780"/>
      <c r="L32" s="780"/>
      <c r="M32" s="280"/>
      <c r="N32" s="280"/>
      <c r="O32" s="212"/>
      <c r="P32" s="212"/>
      <c r="Q32" s="780"/>
      <c r="R32" s="57"/>
      <c r="S32" s="891"/>
      <c r="T32" s="891"/>
      <c r="U32" s="57"/>
      <c r="V32" s="780"/>
      <c r="W32" s="56"/>
      <c r="X32" s="206"/>
      <c r="Y32" s="57"/>
      <c r="Z32" s="780"/>
      <c r="AA32" s="56"/>
      <c r="AB32" s="56"/>
      <c r="AC32" s="780"/>
      <c r="AD32" s="238"/>
      <c r="AE32" s="75" t="s">
        <v>172</v>
      </c>
      <c r="AF32" s="167"/>
      <c r="AG32" s="167"/>
      <c r="AH32" s="222"/>
      <c r="AI32" s="222"/>
      <c r="AJ32" s="84"/>
      <c r="AK32" s="75" t="s">
        <v>173</v>
      </c>
      <c r="AL32" s="167"/>
      <c r="AM32" s="167"/>
      <c r="AN32" s="239"/>
      <c r="AO32" s="239"/>
      <c r="AP32" s="57"/>
      <c r="AQ32" s="101" t="s">
        <v>174</v>
      </c>
      <c r="AR32" s="141"/>
      <c r="AS32" s="141"/>
      <c r="AT32" s="224"/>
      <c r="AU32" s="57"/>
      <c r="AV32" s="56"/>
      <c r="AW32" s="135"/>
      <c r="AX32" s="210"/>
      <c r="AY32" s="431"/>
      <c r="AZ32" s="56"/>
      <c r="BA32" s="56"/>
      <c r="BC32" s="56"/>
      <c r="BD32" s="779"/>
      <c r="BE32" s="779"/>
      <c r="BF32" s="779"/>
      <c r="BG32" s="779"/>
      <c r="BH32" s="779"/>
      <c r="BI32" s="197"/>
      <c r="BJ32" s="76"/>
      <c r="BK32" s="817"/>
      <c r="BL32" s="83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  <c r="CZ32" s="56"/>
      <c r="DA32" s="56"/>
      <c r="DB32" s="56"/>
      <c r="DC32" s="56"/>
      <c r="DD32" s="56"/>
      <c r="DE32" s="56"/>
      <c r="DF32" s="56"/>
      <c r="DG32" s="56"/>
      <c r="DH32" s="56"/>
      <c r="DI32" s="56"/>
      <c r="DJ32" s="56"/>
      <c r="DK32" s="56"/>
      <c r="DL32" s="56"/>
      <c r="DM32" s="56"/>
      <c r="DN32" s="56"/>
      <c r="DO32" s="56"/>
      <c r="DP32" s="56"/>
      <c r="DQ32" s="56"/>
      <c r="DR32" s="56"/>
      <c r="DS32" s="56"/>
      <c r="DT32" s="56"/>
      <c r="DU32" s="56"/>
      <c r="DV32" s="56"/>
      <c r="DW32" s="56"/>
      <c r="DX32" s="56"/>
      <c r="DY32" s="56"/>
      <c r="DZ32" s="56"/>
      <c r="EA32" s="56"/>
      <c r="EB32" s="56"/>
      <c r="EC32" s="56"/>
      <c r="ED32" s="56"/>
      <c r="EE32" s="56"/>
      <c r="EF32" s="56"/>
      <c r="EG32" s="56"/>
      <c r="EH32" s="56"/>
      <c r="EI32" s="56"/>
      <c r="EJ32" s="56"/>
      <c r="EK32" s="56"/>
      <c r="EL32" s="56"/>
      <c r="EM32" s="56"/>
      <c r="EN32" s="56"/>
      <c r="EO32" s="56"/>
      <c r="EP32" s="56"/>
      <c r="EQ32" s="56"/>
      <c r="ER32" s="56"/>
      <c r="ES32" s="56"/>
      <c r="ET32" s="56"/>
      <c r="EU32" s="56"/>
      <c r="EV32" s="56"/>
      <c r="EW32" s="56"/>
      <c r="EX32" s="56"/>
      <c r="EY32" s="56"/>
      <c r="EZ32" s="56"/>
      <c r="FA32" s="56"/>
      <c r="FB32" s="56"/>
      <c r="FC32" s="56"/>
      <c r="FD32" s="56"/>
      <c r="FE32" s="56"/>
      <c r="FF32" s="56"/>
      <c r="FG32" s="56"/>
      <c r="FH32" s="56"/>
      <c r="FI32" s="56"/>
      <c r="FJ32" s="56"/>
      <c r="FK32" s="56"/>
      <c r="FL32" s="56"/>
      <c r="FM32" s="56"/>
      <c r="FN32" s="56"/>
      <c r="FO32" s="56"/>
      <c r="FP32" s="56"/>
      <c r="FQ32" s="56"/>
      <c r="FR32" s="56"/>
      <c r="FS32" s="56"/>
      <c r="FT32" s="56"/>
      <c r="FU32" s="56"/>
      <c r="FV32" s="56"/>
      <c r="FW32" s="56"/>
      <c r="FX32" s="56"/>
      <c r="FY32" s="56"/>
      <c r="FZ32" s="56"/>
      <c r="GA32" s="56"/>
      <c r="GB32" s="56"/>
      <c r="GC32" s="56"/>
      <c r="GD32" s="56"/>
      <c r="GE32" s="56"/>
      <c r="GF32" s="56"/>
      <c r="GG32" s="56"/>
      <c r="GH32" s="56"/>
      <c r="GI32" s="56"/>
      <c r="GJ32" s="56"/>
      <c r="GK32" s="56"/>
      <c r="GL32" s="56"/>
      <c r="GM32" s="56"/>
      <c r="GN32" s="56"/>
      <c r="GO32" s="56"/>
    </row>
    <row r="33" spans="1:197" ht="21">
      <c r="A33" s="192"/>
      <c r="B33" s="186"/>
      <c r="C33" s="250"/>
      <c r="D33" s="250"/>
      <c r="E33" s="250"/>
      <c r="F33" s="772"/>
      <c r="G33" s="771"/>
      <c r="H33" s="104"/>
      <c r="I33" s="58"/>
      <c r="J33" s="205"/>
      <c r="K33" s="780"/>
      <c r="L33" s="780"/>
      <c r="M33" s="775"/>
      <c r="N33" s="280"/>
      <c r="O33" s="212"/>
      <c r="P33" s="55"/>
      <c r="Q33" s="55"/>
      <c r="R33" s="57"/>
      <c r="S33" s="57"/>
      <c r="T33" s="56"/>
      <c r="U33" s="56"/>
      <c r="V33" s="56"/>
      <c r="W33" s="780"/>
      <c r="X33" s="780"/>
      <c r="Y33" s="780"/>
      <c r="Z33" s="112"/>
      <c r="AA33" s="112"/>
      <c r="AB33" s="56"/>
      <c r="AC33" s="780"/>
      <c r="AD33" s="219">
        <v>1</v>
      </c>
      <c r="AE33" s="220"/>
      <c r="AF33" s="221">
        <v>400</v>
      </c>
      <c r="AG33" s="223">
        <v>400</v>
      </c>
      <c r="AH33" s="220"/>
      <c r="AI33" s="222">
        <v>6</v>
      </c>
      <c r="AJ33" s="219">
        <v>1</v>
      </c>
      <c r="AK33" s="220"/>
      <c r="AL33" s="221">
        <v>400</v>
      </c>
      <c r="AM33" s="223">
        <v>400</v>
      </c>
      <c r="AN33" s="220"/>
      <c r="AO33" s="222">
        <v>6</v>
      </c>
      <c r="AP33" s="180">
        <v>1</v>
      </c>
      <c r="AQ33" s="141" t="s">
        <v>129</v>
      </c>
      <c r="AR33" s="251">
        <v>100</v>
      </c>
      <c r="AS33" s="169">
        <v>100</v>
      </c>
      <c r="AT33" s="141" t="s">
        <v>129</v>
      </c>
      <c r="AU33" s="224">
        <v>6</v>
      </c>
      <c r="AV33" s="56"/>
      <c r="AW33" s="56"/>
      <c r="AX33" s="56"/>
      <c r="AY33" s="56"/>
      <c r="AZ33" s="56"/>
      <c r="BA33" s="56"/>
      <c r="BC33" s="56"/>
      <c r="BD33" s="779"/>
      <c r="BE33" s="779"/>
      <c r="BF33" s="779"/>
      <c r="BG33" s="779"/>
      <c r="BH33" s="779"/>
      <c r="BI33" s="197"/>
      <c r="BJ33" s="228"/>
      <c r="BK33" s="817"/>
      <c r="BL33" s="83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  <c r="CX33" s="56"/>
      <c r="CY33" s="56"/>
      <c r="CZ33" s="56"/>
      <c r="DA33" s="56"/>
      <c r="DB33" s="56"/>
      <c r="DC33" s="56"/>
      <c r="DD33" s="56"/>
      <c r="DE33" s="56"/>
      <c r="DF33" s="56"/>
      <c r="DG33" s="56"/>
      <c r="DH33" s="56"/>
      <c r="DI33" s="56"/>
      <c r="DJ33" s="56"/>
      <c r="DK33" s="56"/>
      <c r="DL33" s="56"/>
      <c r="DM33" s="56"/>
      <c r="DN33" s="56"/>
      <c r="DO33" s="56"/>
      <c r="DP33" s="56"/>
      <c r="DQ33" s="56"/>
      <c r="DR33" s="56"/>
      <c r="DS33" s="56"/>
      <c r="DT33" s="56"/>
      <c r="DU33" s="56"/>
      <c r="DV33" s="56"/>
      <c r="DW33" s="56"/>
      <c r="DX33" s="56"/>
      <c r="DY33" s="56"/>
      <c r="DZ33" s="56"/>
      <c r="EA33" s="56"/>
      <c r="EB33" s="56"/>
      <c r="EC33" s="56"/>
      <c r="ED33" s="56"/>
      <c r="EE33" s="56"/>
      <c r="EF33" s="56"/>
      <c r="EG33" s="56"/>
      <c r="EH33" s="56"/>
      <c r="EI33" s="56"/>
      <c r="EJ33" s="56"/>
      <c r="EK33" s="56"/>
      <c r="EL33" s="56"/>
      <c r="EM33" s="56"/>
      <c r="EN33" s="56"/>
      <c r="EO33" s="56"/>
      <c r="EP33" s="56"/>
      <c r="EQ33" s="56"/>
      <c r="ER33" s="56"/>
      <c r="ES33" s="56"/>
      <c r="ET33" s="56"/>
      <c r="EU33" s="56"/>
      <c r="EV33" s="56"/>
      <c r="EW33" s="56"/>
      <c r="EX33" s="56"/>
      <c r="EY33" s="56"/>
      <c r="EZ33" s="56"/>
      <c r="FA33" s="56"/>
      <c r="FB33" s="56"/>
      <c r="FC33" s="56"/>
      <c r="FD33" s="56"/>
      <c r="FE33" s="56"/>
      <c r="FF33" s="56"/>
      <c r="FG33" s="56"/>
      <c r="FH33" s="56"/>
      <c r="FI33" s="56"/>
      <c r="FJ33" s="56"/>
      <c r="FK33" s="56"/>
      <c r="FL33" s="56"/>
      <c r="FM33" s="56"/>
      <c r="FN33" s="56"/>
      <c r="FO33" s="56"/>
      <c r="FP33" s="56"/>
      <c r="FQ33" s="56"/>
      <c r="FR33" s="56"/>
      <c r="FS33" s="56"/>
      <c r="FT33" s="56"/>
      <c r="FU33" s="56"/>
      <c r="FV33" s="56"/>
      <c r="FW33" s="56"/>
      <c r="FX33" s="56"/>
      <c r="FY33" s="56"/>
      <c r="FZ33" s="56"/>
      <c r="GA33" s="56"/>
      <c r="GB33" s="56"/>
      <c r="GC33" s="56"/>
      <c r="GD33" s="56"/>
      <c r="GE33" s="56"/>
      <c r="GF33" s="56"/>
      <c r="GG33" s="56"/>
      <c r="GH33" s="56"/>
      <c r="GI33" s="56"/>
      <c r="GJ33" s="56"/>
      <c r="GK33" s="56"/>
      <c r="GL33" s="56"/>
      <c r="GM33" s="56"/>
      <c r="GN33" s="56"/>
      <c r="GO33" s="56"/>
    </row>
    <row r="34" spans="1:197" ht="21">
      <c r="A34" s="192"/>
      <c r="B34" s="186"/>
      <c r="C34" s="212"/>
      <c r="D34" s="185"/>
      <c r="E34" s="185"/>
      <c r="F34" s="772"/>
      <c r="G34" s="771"/>
      <c r="H34" s="56"/>
      <c r="I34" s="58"/>
      <c r="J34" s="205"/>
      <c r="K34" s="205"/>
      <c r="L34" s="205"/>
      <c r="M34" s="201"/>
      <c r="N34" s="171"/>
      <c r="O34" s="171"/>
      <c r="P34" s="212"/>
      <c r="Q34" s="212"/>
      <c r="R34" s="780"/>
      <c r="S34" s="55"/>
      <c r="T34" s="56"/>
      <c r="U34" s="56"/>
      <c r="V34" s="56"/>
      <c r="W34" s="57"/>
      <c r="X34" s="56"/>
      <c r="Y34" s="56"/>
      <c r="Z34" s="776"/>
      <c r="AA34" s="776"/>
      <c r="AB34" s="56"/>
      <c r="AC34" s="780"/>
      <c r="AD34" s="219">
        <v>2</v>
      </c>
      <c r="AE34" s="220"/>
      <c r="AF34" s="223">
        <v>400</v>
      </c>
      <c r="AG34" s="223">
        <v>400</v>
      </c>
      <c r="AH34" s="220"/>
      <c r="AI34" s="222">
        <v>5</v>
      </c>
      <c r="AJ34" s="219">
        <v>2</v>
      </c>
      <c r="AK34" s="220"/>
      <c r="AL34" s="221">
        <v>400</v>
      </c>
      <c r="AM34" s="221">
        <v>400</v>
      </c>
      <c r="AN34" s="220"/>
      <c r="AO34" s="222">
        <v>5</v>
      </c>
      <c r="AP34" s="180">
        <v>2</v>
      </c>
      <c r="AQ34" s="141" t="s">
        <v>129</v>
      </c>
      <c r="AR34" s="251">
        <v>100</v>
      </c>
      <c r="AS34" s="169">
        <v>100</v>
      </c>
      <c r="AT34" s="141" t="s">
        <v>129</v>
      </c>
      <c r="AU34" s="224">
        <v>5</v>
      </c>
      <c r="AV34" s="56"/>
      <c r="AW34" s="56"/>
      <c r="AX34" s="56"/>
      <c r="AY34" s="56"/>
      <c r="AZ34" s="56"/>
      <c r="BA34" s="56"/>
      <c r="BC34" s="56"/>
      <c r="BD34" s="56"/>
      <c r="BE34" s="56"/>
      <c r="BF34" s="56"/>
      <c r="BG34" s="56"/>
      <c r="BH34" s="56"/>
      <c r="BI34" s="197"/>
      <c r="BJ34" s="76"/>
      <c r="BK34" s="817"/>
      <c r="BL34" s="83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  <c r="CO34" s="56"/>
      <c r="CP34" s="56"/>
      <c r="CQ34" s="56"/>
      <c r="CR34" s="56"/>
      <c r="CS34" s="56"/>
      <c r="CT34" s="56"/>
      <c r="CU34" s="56"/>
      <c r="CV34" s="56"/>
      <c r="CW34" s="56"/>
      <c r="CX34" s="56"/>
      <c r="CY34" s="56"/>
      <c r="CZ34" s="56"/>
      <c r="DA34" s="56"/>
      <c r="DB34" s="56"/>
      <c r="DC34" s="56"/>
      <c r="DD34" s="56"/>
      <c r="DE34" s="56"/>
      <c r="DF34" s="56"/>
      <c r="DG34" s="56"/>
      <c r="DH34" s="56"/>
      <c r="DI34" s="56"/>
      <c r="DJ34" s="56"/>
      <c r="DK34" s="56"/>
      <c r="DL34" s="56"/>
      <c r="DM34" s="56"/>
      <c r="DN34" s="56"/>
      <c r="DO34" s="56"/>
      <c r="DP34" s="56"/>
      <c r="DQ34" s="56"/>
      <c r="DR34" s="56"/>
      <c r="DS34" s="56"/>
      <c r="DT34" s="56"/>
      <c r="DU34" s="56"/>
      <c r="DV34" s="56"/>
      <c r="DW34" s="56"/>
      <c r="DX34" s="56"/>
      <c r="DY34" s="56"/>
      <c r="DZ34" s="56"/>
      <c r="EA34" s="56"/>
      <c r="EB34" s="56"/>
      <c r="EC34" s="56"/>
      <c r="ED34" s="56"/>
      <c r="EE34" s="56"/>
      <c r="EF34" s="56"/>
      <c r="EG34" s="56"/>
      <c r="EH34" s="56"/>
      <c r="EI34" s="56"/>
      <c r="EJ34" s="56"/>
      <c r="EK34" s="56"/>
      <c r="EL34" s="56"/>
      <c r="EM34" s="56"/>
      <c r="EN34" s="56"/>
      <c r="EO34" s="56"/>
      <c r="EP34" s="56"/>
      <c r="EQ34" s="56"/>
      <c r="ER34" s="56"/>
      <c r="ES34" s="56"/>
      <c r="ET34" s="56"/>
      <c r="EU34" s="56"/>
      <c r="EV34" s="56"/>
      <c r="EW34" s="56"/>
      <c r="EX34" s="56"/>
      <c r="EY34" s="56"/>
      <c r="EZ34" s="56"/>
      <c r="FA34" s="56"/>
      <c r="FB34" s="56"/>
      <c r="FC34" s="56"/>
      <c r="FD34" s="56"/>
      <c r="FE34" s="56"/>
      <c r="FF34" s="56"/>
      <c r="FG34" s="56"/>
      <c r="FH34" s="56"/>
      <c r="FI34" s="56"/>
      <c r="FJ34" s="56"/>
      <c r="FK34" s="56"/>
      <c r="FL34" s="56"/>
      <c r="FM34" s="56"/>
      <c r="FN34" s="56"/>
      <c r="FO34" s="56"/>
      <c r="FP34" s="56"/>
      <c r="FQ34" s="56"/>
      <c r="FR34" s="56"/>
      <c r="FS34" s="56"/>
      <c r="FT34" s="56"/>
      <c r="FU34" s="56"/>
      <c r="FV34" s="56"/>
      <c r="FW34" s="56"/>
      <c r="FX34" s="56"/>
      <c r="FY34" s="56"/>
      <c r="FZ34" s="56"/>
      <c r="GA34" s="56"/>
      <c r="GB34" s="56"/>
      <c r="GC34" s="56"/>
      <c r="GD34" s="56"/>
      <c r="GE34" s="56"/>
      <c r="GF34" s="56"/>
      <c r="GG34" s="56"/>
      <c r="GH34" s="56"/>
      <c r="GI34" s="56"/>
      <c r="GJ34" s="56"/>
      <c r="GK34" s="56"/>
      <c r="GL34" s="56"/>
      <c r="GM34" s="56"/>
      <c r="GN34" s="56"/>
      <c r="GO34" s="56"/>
    </row>
    <row r="35" spans="1:197" ht="21">
      <c r="A35" s="192"/>
      <c r="B35" s="186"/>
      <c r="C35" s="186"/>
      <c r="D35" s="186"/>
      <c r="E35" s="186"/>
      <c r="F35" s="252"/>
      <c r="G35" s="56"/>
      <c r="H35" s="58"/>
      <c r="I35" s="58"/>
      <c r="J35" s="205"/>
      <c r="K35" s="205"/>
      <c r="L35" s="205"/>
      <c r="M35" s="201"/>
      <c r="N35" s="171"/>
      <c r="O35" s="171"/>
      <c r="P35" s="212"/>
      <c r="Q35" s="212"/>
      <c r="S35" s="212"/>
      <c r="T35" s="800"/>
      <c r="U35" s="56"/>
      <c r="Y35" s="56"/>
      <c r="Z35" s="56"/>
      <c r="AA35" s="112"/>
      <c r="AB35" s="56"/>
      <c r="AC35" s="56"/>
      <c r="AD35" s="219">
        <v>3</v>
      </c>
      <c r="AE35" s="220"/>
      <c r="AF35" s="223">
        <v>400</v>
      </c>
      <c r="AG35" s="233">
        <v>400</v>
      </c>
      <c r="AH35" s="220"/>
      <c r="AI35" s="222">
        <v>4</v>
      </c>
      <c r="AJ35" s="219">
        <v>3</v>
      </c>
      <c r="AK35" s="220"/>
      <c r="AL35" s="223">
        <v>400</v>
      </c>
      <c r="AM35" s="223">
        <v>400</v>
      </c>
      <c r="AN35" s="220"/>
      <c r="AO35" s="222">
        <v>4</v>
      </c>
      <c r="AP35" s="180">
        <v>3</v>
      </c>
      <c r="AQ35" s="141" t="s">
        <v>129</v>
      </c>
      <c r="AR35" s="110">
        <v>100</v>
      </c>
      <c r="AS35" s="169">
        <v>100</v>
      </c>
      <c r="AT35" s="141" t="s">
        <v>129</v>
      </c>
      <c r="AU35" s="224">
        <v>4</v>
      </c>
      <c r="AV35" s="254"/>
      <c r="AW35" s="171"/>
      <c r="AX35" s="212"/>
      <c r="AY35" s="56"/>
      <c r="AZ35" s="56"/>
      <c r="BA35" s="56"/>
      <c r="BC35" s="56"/>
      <c r="BD35" s="56"/>
      <c r="BE35" s="56"/>
      <c r="BF35" s="56"/>
      <c r="BG35" s="56"/>
      <c r="BH35" s="56"/>
      <c r="BI35" s="197"/>
      <c r="BJ35" s="822"/>
      <c r="BK35" s="817"/>
      <c r="BL35" s="83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/>
      <c r="CS35" s="56"/>
      <c r="CT35" s="56"/>
      <c r="CU35" s="56"/>
      <c r="CV35" s="56"/>
      <c r="CW35" s="56"/>
      <c r="CX35" s="56"/>
      <c r="CY35" s="56"/>
      <c r="CZ35" s="56"/>
      <c r="DA35" s="56"/>
      <c r="DB35" s="56"/>
      <c r="DC35" s="56"/>
      <c r="DD35" s="56"/>
      <c r="DE35" s="56"/>
      <c r="DF35" s="56"/>
      <c r="DG35" s="56"/>
      <c r="DH35" s="56"/>
      <c r="DI35" s="56"/>
      <c r="DJ35" s="56"/>
      <c r="DK35" s="56"/>
      <c r="DL35" s="56"/>
      <c r="DM35" s="56"/>
      <c r="DN35" s="56"/>
      <c r="DO35" s="56"/>
      <c r="DP35" s="56"/>
      <c r="DQ35" s="56"/>
      <c r="DR35" s="56"/>
      <c r="DS35" s="56"/>
      <c r="DT35" s="56"/>
      <c r="DU35" s="56"/>
      <c r="DV35" s="56"/>
      <c r="DW35" s="56"/>
      <c r="DX35" s="56"/>
      <c r="DY35" s="56"/>
      <c r="DZ35" s="56"/>
      <c r="EA35" s="56"/>
      <c r="EB35" s="56"/>
      <c r="EC35" s="56"/>
      <c r="ED35" s="56"/>
      <c r="EE35" s="56"/>
      <c r="EF35" s="56"/>
      <c r="EG35" s="56"/>
      <c r="EH35" s="56"/>
      <c r="EI35" s="56"/>
      <c r="EJ35" s="56"/>
      <c r="EK35" s="56"/>
      <c r="EL35" s="56"/>
      <c r="EM35" s="56"/>
      <c r="EN35" s="56"/>
      <c r="EO35" s="56"/>
      <c r="EP35" s="56"/>
      <c r="EQ35" s="56"/>
      <c r="ER35" s="56"/>
      <c r="ES35" s="56"/>
      <c r="ET35" s="56"/>
      <c r="EU35" s="56"/>
      <c r="EV35" s="56"/>
      <c r="EW35" s="56"/>
      <c r="EX35" s="56"/>
      <c r="EY35" s="56"/>
      <c r="EZ35" s="56"/>
      <c r="FA35" s="56"/>
      <c r="FB35" s="56"/>
      <c r="FC35" s="56"/>
      <c r="FD35" s="56"/>
      <c r="FE35" s="56"/>
      <c r="FF35" s="56"/>
      <c r="FG35" s="56"/>
      <c r="FH35" s="56"/>
      <c r="FI35" s="56"/>
      <c r="FJ35" s="56"/>
      <c r="FK35" s="56"/>
      <c r="FL35" s="56"/>
      <c r="FM35" s="56"/>
      <c r="FN35" s="56"/>
      <c r="FO35" s="56"/>
      <c r="FP35" s="56"/>
      <c r="FQ35" s="56"/>
      <c r="FR35" s="56"/>
      <c r="FS35" s="56"/>
      <c r="FT35" s="56"/>
      <c r="FU35" s="56"/>
      <c r="FV35" s="56"/>
      <c r="FW35" s="56"/>
      <c r="FX35" s="56"/>
      <c r="FY35" s="56"/>
      <c r="FZ35" s="56"/>
      <c r="GA35" s="56"/>
      <c r="GB35" s="56"/>
      <c r="GC35" s="56"/>
      <c r="GD35" s="56"/>
      <c r="GE35" s="56"/>
      <c r="GF35" s="56"/>
      <c r="GG35" s="56"/>
      <c r="GH35" s="56"/>
      <c r="GI35" s="56"/>
      <c r="GJ35" s="56"/>
      <c r="GK35" s="56"/>
      <c r="GL35" s="56"/>
      <c r="GM35" s="56"/>
      <c r="GN35" s="56"/>
      <c r="GO35" s="56"/>
    </row>
    <row r="36" spans="1:197" ht="21">
      <c r="A36" s="192"/>
      <c r="B36" s="186"/>
      <c r="C36" s="186"/>
      <c r="D36" s="186"/>
      <c r="E36" s="186"/>
      <c r="F36" s="252"/>
      <c r="G36" s="112"/>
      <c r="H36" s="58"/>
      <c r="I36" s="205"/>
      <c r="J36" s="205"/>
      <c r="K36" s="205"/>
      <c r="L36" s="205"/>
      <c r="M36" s="201"/>
      <c r="N36" s="56"/>
      <c r="O36" s="171"/>
      <c r="P36" s="171"/>
      <c r="Q36" s="56"/>
      <c r="R36" s="171"/>
      <c r="S36" s="171"/>
      <c r="T36" s="800"/>
      <c r="U36" s="56"/>
      <c r="V36" s="859"/>
      <c r="W36" s="859"/>
      <c r="X36" s="859"/>
      <c r="Y36" s="859"/>
      <c r="Z36" s="56"/>
      <c r="AC36" s="57"/>
      <c r="AD36" s="94"/>
      <c r="AE36" s="94"/>
      <c r="AF36" s="94"/>
      <c r="AG36" s="94"/>
      <c r="AI36" s="56"/>
      <c r="AJ36" s="257" t="s">
        <v>177</v>
      </c>
      <c r="AK36" s="56"/>
      <c r="AL36" s="167"/>
      <c r="AM36" s="167"/>
      <c r="AN36" s="56"/>
      <c r="AO36" s="56"/>
      <c r="AP36" s="56"/>
      <c r="AQ36" s="258"/>
      <c r="AR36" s="141"/>
      <c r="AS36" s="141"/>
      <c r="AT36" s="258"/>
      <c r="AV36" s="259"/>
      <c r="AW36" s="55"/>
      <c r="AX36" s="55"/>
      <c r="AY36" s="56"/>
      <c r="AZ36" s="56"/>
      <c r="BA36" s="56"/>
      <c r="BC36" s="74"/>
      <c r="BD36" s="816"/>
      <c r="BE36" s="816"/>
      <c r="BF36" s="816"/>
      <c r="BG36" s="816"/>
      <c r="BH36" s="74"/>
      <c r="BI36" s="129"/>
      <c r="BJ36" s="76"/>
      <c r="BL36" s="83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6"/>
      <c r="CR36" s="56"/>
      <c r="CS36" s="56"/>
      <c r="CT36" s="56"/>
      <c r="CU36" s="56"/>
      <c r="CV36" s="56"/>
      <c r="CW36" s="56"/>
      <c r="CX36" s="56"/>
      <c r="CY36" s="56"/>
      <c r="CZ36" s="56"/>
      <c r="DA36" s="56"/>
      <c r="DB36" s="56"/>
      <c r="DC36" s="56"/>
      <c r="DD36" s="56"/>
      <c r="DE36" s="56"/>
      <c r="DF36" s="56"/>
      <c r="DG36" s="56"/>
      <c r="DH36" s="56"/>
      <c r="DI36" s="56"/>
      <c r="DJ36" s="56"/>
      <c r="DK36" s="56"/>
      <c r="DL36" s="56"/>
      <c r="DM36" s="56"/>
      <c r="DN36" s="56"/>
      <c r="DO36" s="56"/>
      <c r="DP36" s="56"/>
      <c r="DQ36" s="56"/>
      <c r="DR36" s="56"/>
      <c r="DS36" s="56"/>
      <c r="DT36" s="56"/>
      <c r="DU36" s="56"/>
      <c r="DV36" s="56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G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  <c r="EY36" s="56"/>
      <c r="EZ36" s="56"/>
      <c r="FA36" s="56"/>
      <c r="FB36" s="56"/>
      <c r="FC36" s="56"/>
      <c r="FD36" s="56"/>
      <c r="FE36" s="56"/>
      <c r="FF36" s="56"/>
      <c r="FG36" s="56"/>
      <c r="FH36" s="56"/>
      <c r="FI36" s="56"/>
      <c r="FJ36" s="56"/>
      <c r="FK36" s="56"/>
      <c r="FL36" s="56"/>
      <c r="FM36" s="56"/>
      <c r="FN36" s="56"/>
      <c r="FO36" s="56"/>
      <c r="FP36" s="56"/>
      <c r="FQ36" s="56"/>
      <c r="FR36" s="56"/>
      <c r="FS36" s="56"/>
      <c r="FT36" s="56"/>
      <c r="FU36" s="56"/>
      <c r="FV36" s="56"/>
      <c r="FW36" s="56"/>
      <c r="FX36" s="56"/>
      <c r="FY36" s="56"/>
      <c r="FZ36" s="56"/>
      <c r="GA36" s="56"/>
      <c r="GB36" s="56"/>
      <c r="GC36" s="56"/>
      <c r="GD36" s="56"/>
      <c r="GE36" s="56"/>
      <c r="GF36" s="56"/>
      <c r="GG36" s="56"/>
      <c r="GH36" s="56"/>
      <c r="GI36" s="56"/>
      <c r="GJ36" s="56"/>
      <c r="GK36" s="56"/>
      <c r="GL36" s="56"/>
      <c r="GM36" s="56"/>
      <c r="GN36" s="56"/>
      <c r="GO36" s="56"/>
    </row>
    <row r="37" spans="1:197" ht="21">
      <c r="A37" s="192"/>
      <c r="B37" s="186"/>
      <c r="C37" s="186"/>
      <c r="D37" s="186"/>
      <c r="E37" s="186"/>
      <c r="F37" s="186"/>
      <c r="G37" s="83"/>
      <c r="H37" s="58"/>
      <c r="I37" s="205"/>
      <c r="J37" s="205"/>
      <c r="K37" s="205"/>
      <c r="L37" s="205"/>
      <c r="M37" s="201"/>
      <c r="N37" s="56"/>
      <c r="O37" s="171"/>
      <c r="P37" s="171"/>
      <c r="Q37" s="171"/>
      <c r="R37" s="171"/>
      <c r="S37" s="171"/>
      <c r="T37" s="800"/>
      <c r="U37" s="56"/>
      <c r="V37" s="254"/>
      <c r="W37" s="254"/>
      <c r="X37" s="254"/>
      <c r="Y37" s="254"/>
      <c r="Z37" s="56"/>
      <c r="AC37" s="213"/>
      <c r="AD37" s="806"/>
      <c r="AE37" s="806"/>
      <c r="AF37" s="806"/>
      <c r="AG37" s="806"/>
      <c r="AH37" s="786"/>
      <c r="AI37" s="56"/>
      <c r="AJ37" s="56"/>
      <c r="AK37" s="57"/>
      <c r="AL37" s="825" t="s">
        <v>155</v>
      </c>
      <c r="AM37" s="825"/>
      <c r="AN37" s="263"/>
      <c r="AO37" s="57"/>
      <c r="AP37" s="56"/>
      <c r="AQ37" s="56"/>
      <c r="AR37" s="258"/>
      <c r="AS37" s="258"/>
      <c r="AT37" s="56"/>
      <c r="AW37" s="56"/>
      <c r="AX37" s="56"/>
      <c r="AY37" s="56"/>
      <c r="AZ37" s="56"/>
      <c r="BA37" s="56"/>
      <c r="BC37" s="74"/>
      <c r="BD37" s="816"/>
      <c r="BE37" s="816"/>
      <c r="BF37" s="816"/>
      <c r="BG37" s="56"/>
      <c r="BH37" s="55"/>
      <c r="BI37" s="57"/>
      <c r="BJ37" s="264"/>
      <c r="BK37" s="820"/>
      <c r="BL37" s="83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6"/>
      <c r="CO37" s="56"/>
      <c r="CP37" s="56"/>
      <c r="CQ37" s="56"/>
      <c r="CR37" s="56"/>
      <c r="CS37" s="56"/>
      <c r="CT37" s="56"/>
      <c r="CU37" s="56"/>
      <c r="CV37" s="56"/>
      <c r="CW37" s="56"/>
      <c r="CX37" s="56"/>
      <c r="CY37" s="56"/>
      <c r="CZ37" s="56"/>
      <c r="DA37" s="56"/>
      <c r="DB37" s="56"/>
      <c r="DC37" s="56"/>
      <c r="DD37" s="56"/>
      <c r="DE37" s="56"/>
      <c r="DF37" s="56"/>
      <c r="DG37" s="56"/>
      <c r="DH37" s="56"/>
      <c r="DI37" s="56"/>
      <c r="DJ37" s="56"/>
      <c r="DK37" s="56"/>
      <c r="DL37" s="56"/>
      <c r="DM37" s="56"/>
      <c r="DN37" s="56"/>
      <c r="DO37" s="56"/>
      <c r="DP37" s="56"/>
      <c r="DQ37" s="56"/>
      <c r="DR37" s="56"/>
      <c r="DS37" s="56"/>
      <c r="DT37" s="56"/>
      <c r="DU37" s="56"/>
      <c r="DV37" s="56"/>
      <c r="DW37" s="56"/>
      <c r="DX37" s="56"/>
      <c r="DY37" s="56"/>
      <c r="DZ37" s="56"/>
      <c r="EA37" s="56"/>
      <c r="EB37" s="56"/>
      <c r="EC37" s="56"/>
      <c r="ED37" s="56"/>
      <c r="EE37" s="56"/>
      <c r="EF37" s="56"/>
      <c r="EG37" s="56"/>
      <c r="EH37" s="56"/>
      <c r="EI37" s="56"/>
      <c r="EJ37" s="56"/>
      <c r="EK37" s="56"/>
      <c r="EL37" s="56"/>
      <c r="EM37" s="56"/>
      <c r="EN37" s="56"/>
      <c r="EO37" s="56"/>
      <c r="EP37" s="56"/>
      <c r="EQ37" s="56"/>
      <c r="ER37" s="56"/>
      <c r="ES37" s="56"/>
      <c r="ET37" s="56"/>
      <c r="EU37" s="56"/>
      <c r="EV37" s="56"/>
      <c r="EW37" s="56"/>
      <c r="EX37" s="56"/>
      <c r="EY37" s="56"/>
      <c r="EZ37" s="56"/>
      <c r="FA37" s="56"/>
      <c r="FB37" s="56"/>
      <c r="FC37" s="56"/>
      <c r="FD37" s="56"/>
      <c r="FE37" s="56"/>
      <c r="FF37" s="56"/>
      <c r="FG37" s="56"/>
      <c r="FH37" s="56"/>
      <c r="FI37" s="56"/>
      <c r="FJ37" s="56"/>
      <c r="FK37" s="56"/>
      <c r="FL37" s="56"/>
      <c r="FM37" s="56"/>
      <c r="FN37" s="56"/>
      <c r="FO37" s="56"/>
      <c r="FP37" s="56"/>
      <c r="FQ37" s="56"/>
      <c r="FR37" s="56"/>
      <c r="FS37" s="56"/>
      <c r="FT37" s="56"/>
      <c r="FU37" s="56"/>
      <c r="FV37" s="56"/>
      <c r="FW37" s="56"/>
      <c r="FX37" s="56"/>
      <c r="FY37" s="56"/>
      <c r="FZ37" s="56"/>
      <c r="GA37" s="56"/>
      <c r="GB37" s="56"/>
      <c r="GC37" s="56"/>
      <c r="GD37" s="56"/>
      <c r="GE37" s="56"/>
      <c r="GF37" s="56"/>
      <c r="GG37" s="56"/>
      <c r="GH37" s="56"/>
      <c r="GI37" s="56"/>
      <c r="GJ37" s="56"/>
      <c r="GK37" s="56"/>
      <c r="GL37" s="56"/>
      <c r="GM37" s="56"/>
      <c r="GN37" s="56"/>
      <c r="GO37" s="56"/>
    </row>
    <row r="38" spans="1:197" ht="20.25">
      <c r="A38" s="192"/>
      <c r="B38" s="186"/>
      <c r="C38" s="186"/>
      <c r="D38" s="186"/>
      <c r="E38" s="186"/>
      <c r="F38" s="186"/>
      <c r="G38" s="192"/>
      <c r="H38" s="265"/>
      <c r="I38" s="201"/>
      <c r="J38" s="265"/>
      <c r="K38" s="186"/>
      <c r="L38" s="212"/>
      <c r="M38" s="186"/>
      <c r="N38" s="56"/>
      <c r="O38" s="171"/>
      <c r="P38" s="171"/>
      <c r="Q38" s="171"/>
      <c r="R38" s="171"/>
      <c r="S38" s="171"/>
      <c r="T38" s="800"/>
      <c r="U38" s="254"/>
      <c r="V38" s="779"/>
      <c r="W38" s="779"/>
      <c r="X38" s="779"/>
      <c r="Y38" s="779"/>
      <c r="Z38" s="254"/>
      <c r="AC38" s="806"/>
      <c r="AD38" s="779"/>
      <c r="AE38" s="779"/>
      <c r="AF38" s="779"/>
      <c r="AG38" s="779"/>
      <c r="AH38" s="806"/>
      <c r="AI38" s="56"/>
      <c r="AJ38" s="799"/>
      <c r="AK38" s="57"/>
      <c r="AL38" s="799"/>
      <c r="AM38" s="807"/>
      <c r="AN38" s="808"/>
      <c r="AO38" s="212"/>
      <c r="AP38" s="808"/>
      <c r="AQ38" s="809"/>
      <c r="AR38" s="357"/>
      <c r="AS38" s="357"/>
      <c r="AT38" s="357"/>
      <c r="AU38" s="56"/>
      <c r="AW38" s="270"/>
      <c r="AY38" s="56"/>
      <c r="AZ38" s="56"/>
      <c r="BA38" s="56"/>
      <c r="BC38" s="74"/>
      <c r="BD38" s="816"/>
      <c r="BE38" s="56"/>
      <c r="BF38" s="56"/>
      <c r="BG38" s="56"/>
      <c r="BH38" s="56"/>
      <c r="BI38" s="57"/>
      <c r="BJ38" s="57"/>
      <c r="BK38" s="229"/>
      <c r="BL38" s="83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56"/>
      <c r="CX38" s="56"/>
      <c r="CY38" s="56"/>
      <c r="CZ38" s="56"/>
      <c r="DA38" s="56"/>
      <c r="DB38" s="56"/>
      <c r="DC38" s="56"/>
      <c r="DD38" s="56"/>
      <c r="DE38" s="56"/>
      <c r="DF38" s="56"/>
      <c r="DG38" s="56"/>
      <c r="DH38" s="56"/>
      <c r="DI38" s="56"/>
      <c r="DJ38" s="56"/>
      <c r="DK38" s="56"/>
      <c r="DL38" s="56"/>
      <c r="DM38" s="56"/>
      <c r="DN38" s="56"/>
      <c r="DO38" s="56"/>
      <c r="DP38" s="56"/>
      <c r="DQ38" s="56"/>
      <c r="DR38" s="56"/>
      <c r="DS38" s="56"/>
      <c r="DT38" s="56"/>
      <c r="DU38" s="56"/>
      <c r="DV38" s="56"/>
      <c r="DW38" s="56"/>
      <c r="DX38" s="56"/>
      <c r="DY38" s="56"/>
      <c r="DZ38" s="56"/>
      <c r="EA38" s="56"/>
      <c r="EB38" s="56"/>
      <c r="EC38" s="56"/>
      <c r="ED38" s="56"/>
      <c r="EE38" s="56"/>
      <c r="EF38" s="56"/>
      <c r="EG38" s="56"/>
      <c r="EH38" s="56"/>
      <c r="EI38" s="56"/>
      <c r="EJ38" s="56"/>
      <c r="EK38" s="56"/>
      <c r="EL38" s="56"/>
      <c r="EM38" s="56"/>
      <c r="EN38" s="56"/>
      <c r="EO38" s="56"/>
      <c r="EP38" s="56"/>
      <c r="EQ38" s="56"/>
      <c r="ER38" s="56"/>
      <c r="ES38" s="56"/>
      <c r="ET38" s="56"/>
      <c r="EU38" s="56"/>
      <c r="EV38" s="56"/>
      <c r="EW38" s="56"/>
      <c r="EX38" s="56"/>
      <c r="EY38" s="56"/>
      <c r="EZ38" s="56"/>
      <c r="FA38" s="56"/>
      <c r="FB38" s="56"/>
      <c r="FC38" s="56"/>
      <c r="FD38" s="56"/>
      <c r="FE38" s="56"/>
      <c r="FF38" s="56"/>
      <c r="FG38" s="56"/>
      <c r="FH38" s="56"/>
      <c r="FI38" s="56"/>
      <c r="FJ38" s="56"/>
      <c r="FK38" s="56"/>
      <c r="FL38" s="56"/>
      <c r="FM38" s="56"/>
      <c r="FN38" s="56"/>
      <c r="FO38" s="56"/>
      <c r="FP38" s="56"/>
      <c r="FQ38" s="56"/>
      <c r="FR38" s="56"/>
      <c r="FS38" s="56"/>
      <c r="FT38" s="56"/>
      <c r="FU38" s="56"/>
      <c r="FV38" s="56"/>
      <c r="FW38" s="56"/>
      <c r="FX38" s="56"/>
      <c r="FY38" s="56"/>
      <c r="FZ38" s="56"/>
      <c r="GA38" s="56"/>
      <c r="GB38" s="56"/>
      <c r="GC38" s="56"/>
      <c r="GD38" s="56"/>
      <c r="GE38" s="56"/>
      <c r="GF38" s="56"/>
      <c r="GG38" s="56"/>
      <c r="GH38" s="56"/>
      <c r="GI38" s="56"/>
      <c r="GJ38" s="56"/>
      <c r="GK38" s="56"/>
      <c r="GL38" s="56"/>
      <c r="GM38" s="56"/>
      <c r="GN38" s="56"/>
      <c r="GO38" s="56"/>
    </row>
    <row r="39" spans="1:197" ht="20.25">
      <c r="A39" s="192"/>
      <c r="B39" s="186"/>
      <c r="C39" s="186"/>
      <c r="D39" s="186"/>
      <c r="E39" s="186"/>
      <c r="F39" s="186"/>
      <c r="G39" s="192"/>
      <c r="H39" s="271"/>
      <c r="I39" s="186"/>
      <c r="J39" s="271"/>
      <c r="K39" s="186"/>
      <c r="L39" s="171"/>
      <c r="M39" s="186"/>
      <c r="N39" s="56"/>
      <c r="O39" s="171"/>
      <c r="P39" s="171"/>
      <c r="Q39" s="171"/>
      <c r="R39" s="171"/>
      <c r="S39" s="272"/>
      <c r="T39" s="800"/>
      <c r="V39" s="254"/>
      <c r="W39" s="254"/>
      <c r="X39" s="254"/>
      <c r="Y39" s="254"/>
      <c r="AC39" s="806"/>
      <c r="AD39" s="779"/>
      <c r="AE39" s="779"/>
      <c r="AF39" s="779"/>
      <c r="AG39" s="779"/>
      <c r="AH39" s="806"/>
      <c r="AI39" s="56"/>
      <c r="AJ39" s="799"/>
      <c r="AK39" s="57"/>
      <c r="AL39" s="799"/>
      <c r="AM39" s="807"/>
      <c r="AN39" s="808"/>
      <c r="AO39" s="57"/>
      <c r="AP39" s="808"/>
      <c r="AQ39" s="809"/>
      <c r="AR39" s="357"/>
      <c r="AS39" s="357"/>
      <c r="AT39" s="357"/>
      <c r="AU39" s="56"/>
      <c r="AW39" s="270"/>
      <c r="AY39" s="56"/>
      <c r="AZ39" s="56"/>
      <c r="BA39" s="56"/>
      <c r="BC39" s="74"/>
      <c r="BD39" s="816"/>
      <c r="BE39" s="56"/>
      <c r="BF39" s="56"/>
      <c r="BG39" s="56"/>
      <c r="BH39" s="56"/>
      <c r="BI39" s="56"/>
      <c r="BJ39" s="56"/>
      <c r="BK39" s="823"/>
      <c r="BL39" s="83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M39" s="56"/>
      <c r="CN39" s="56"/>
      <c r="CO39" s="56"/>
      <c r="CP39" s="56"/>
      <c r="CQ39" s="56"/>
      <c r="CR39" s="56"/>
      <c r="CS39" s="56"/>
      <c r="CT39" s="56"/>
      <c r="CU39" s="56"/>
      <c r="CV39" s="56"/>
      <c r="CW39" s="56"/>
      <c r="CX39" s="56"/>
      <c r="CY39" s="56"/>
      <c r="CZ39" s="56"/>
      <c r="DA39" s="56"/>
      <c r="DB39" s="56"/>
      <c r="DC39" s="56"/>
      <c r="DD39" s="56"/>
      <c r="DE39" s="56"/>
      <c r="DF39" s="56"/>
      <c r="DG39" s="56"/>
      <c r="DH39" s="56"/>
      <c r="DI39" s="56"/>
      <c r="DJ39" s="56"/>
      <c r="DK39" s="56"/>
      <c r="DL39" s="56"/>
      <c r="DM39" s="56"/>
      <c r="DN39" s="56"/>
      <c r="DO39" s="56"/>
      <c r="DP39" s="56"/>
      <c r="DQ39" s="56"/>
      <c r="DR39" s="56"/>
      <c r="DS39" s="56"/>
      <c r="DT39" s="56"/>
      <c r="DU39" s="56"/>
      <c r="DV39" s="56"/>
      <c r="DW39" s="56"/>
      <c r="DX39" s="56"/>
      <c r="DY39" s="56"/>
      <c r="DZ39" s="56"/>
      <c r="EA39" s="56"/>
      <c r="EB39" s="56"/>
      <c r="EC39" s="56"/>
      <c r="ED39" s="56"/>
      <c r="EE39" s="56"/>
      <c r="EF39" s="56"/>
      <c r="EG39" s="56"/>
      <c r="EH39" s="56"/>
      <c r="EI39" s="56"/>
      <c r="EJ39" s="56"/>
      <c r="EK39" s="56"/>
      <c r="EL39" s="56"/>
      <c r="EM39" s="56"/>
      <c r="EN39" s="56"/>
      <c r="EO39" s="56"/>
      <c r="EP39" s="56"/>
      <c r="EQ39" s="56"/>
      <c r="ER39" s="56"/>
      <c r="ES39" s="56"/>
      <c r="ET39" s="56"/>
      <c r="EU39" s="56"/>
      <c r="EV39" s="56"/>
      <c r="EW39" s="56"/>
      <c r="EX39" s="56"/>
      <c r="EY39" s="56"/>
      <c r="EZ39" s="56"/>
      <c r="FA39" s="56"/>
      <c r="FB39" s="56"/>
      <c r="FC39" s="56"/>
      <c r="FD39" s="56"/>
      <c r="FE39" s="56"/>
      <c r="FF39" s="56"/>
      <c r="FG39" s="56"/>
      <c r="FH39" s="56"/>
      <c r="FI39" s="56"/>
      <c r="FJ39" s="56"/>
      <c r="FK39" s="56"/>
      <c r="FL39" s="56"/>
      <c r="FM39" s="56"/>
      <c r="FN39" s="56"/>
      <c r="FO39" s="56"/>
      <c r="FP39" s="56"/>
      <c r="FQ39" s="56"/>
      <c r="FR39" s="56"/>
      <c r="FS39" s="56"/>
      <c r="FT39" s="56"/>
      <c r="FU39" s="56"/>
      <c r="FV39" s="56"/>
      <c r="FW39" s="56"/>
      <c r="FX39" s="56"/>
      <c r="FY39" s="56"/>
      <c r="FZ39" s="56"/>
      <c r="GA39" s="56"/>
      <c r="GB39" s="56"/>
      <c r="GC39" s="56"/>
      <c r="GD39" s="56"/>
      <c r="GE39" s="56"/>
      <c r="GF39" s="56"/>
      <c r="GG39" s="56"/>
      <c r="GH39" s="56"/>
      <c r="GI39" s="56"/>
      <c r="GJ39" s="56"/>
      <c r="GK39" s="56"/>
      <c r="GL39" s="56"/>
      <c r="GM39" s="56"/>
      <c r="GN39" s="56"/>
      <c r="GO39" s="56"/>
    </row>
    <row r="40" spans="1:197" ht="20.25">
      <c r="A40" s="192"/>
      <c r="B40" s="186"/>
      <c r="C40" s="186"/>
      <c r="D40" s="186"/>
      <c r="E40" s="186"/>
      <c r="F40" s="186"/>
      <c r="G40" s="192"/>
      <c r="H40" s="271"/>
      <c r="I40" s="186"/>
      <c r="J40" s="271"/>
      <c r="K40" s="186"/>
      <c r="L40" s="186"/>
      <c r="M40" s="186"/>
      <c r="N40" s="186"/>
      <c r="O40" s="171"/>
      <c r="P40" s="171"/>
      <c r="Q40" s="171"/>
      <c r="R40" s="171"/>
      <c r="S40" s="274"/>
      <c r="T40" s="800"/>
      <c r="U40" s="254"/>
      <c r="V40" s="276"/>
      <c r="W40" s="276"/>
      <c r="X40" s="276"/>
      <c r="Y40" s="276"/>
      <c r="AC40" s="57"/>
      <c r="AD40" s="806"/>
      <c r="AE40" s="806"/>
      <c r="AF40" s="806"/>
      <c r="AG40" s="806"/>
      <c r="AH40" s="56"/>
      <c r="AI40" s="56"/>
      <c r="AJ40" s="56"/>
      <c r="AK40" s="57"/>
      <c r="AL40" s="278"/>
      <c r="AM40" s="56"/>
      <c r="AN40" s="279"/>
      <c r="AO40" s="57"/>
      <c r="AP40" s="56"/>
      <c r="AQ40" s="56"/>
      <c r="AR40" s="56"/>
      <c r="AS40" s="56"/>
      <c r="AT40" s="56"/>
      <c r="AU40" s="56"/>
      <c r="AV40" s="56"/>
      <c r="AW40" s="280"/>
      <c r="AY40" s="56"/>
      <c r="AZ40" s="56"/>
      <c r="BA40" s="56"/>
      <c r="BC40" s="74"/>
      <c r="BD40" s="817"/>
      <c r="BE40" s="817"/>
      <c r="BF40" s="817"/>
      <c r="BG40" s="817"/>
      <c r="BH40" s="817"/>
      <c r="BI40" s="56"/>
      <c r="BJ40" s="56"/>
      <c r="BK40" s="229"/>
      <c r="BL40" s="83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M40" s="56"/>
      <c r="CN40" s="56"/>
      <c r="CO40" s="56"/>
      <c r="CP40" s="56"/>
      <c r="CQ40" s="56"/>
      <c r="CR40" s="56"/>
      <c r="CS40" s="56"/>
      <c r="CT40" s="56"/>
      <c r="CU40" s="56"/>
      <c r="CV40" s="56"/>
      <c r="CW40" s="56"/>
      <c r="CX40" s="56"/>
      <c r="CY40" s="56"/>
      <c r="CZ40" s="56"/>
      <c r="DA40" s="56"/>
      <c r="DB40" s="56"/>
      <c r="DC40" s="56"/>
      <c r="DD40" s="56"/>
      <c r="DE40" s="56"/>
      <c r="DF40" s="56"/>
      <c r="DG40" s="56"/>
      <c r="DH40" s="56"/>
      <c r="DI40" s="56"/>
      <c r="DJ40" s="56"/>
      <c r="DK40" s="56"/>
      <c r="DL40" s="56"/>
      <c r="DM40" s="56"/>
      <c r="DN40" s="56"/>
      <c r="DO40" s="56"/>
      <c r="DP40" s="56"/>
      <c r="DQ40" s="56"/>
      <c r="DR40" s="56"/>
      <c r="DS40" s="56"/>
      <c r="DT40" s="56"/>
      <c r="DU40" s="56"/>
      <c r="DV40" s="56"/>
      <c r="DW40" s="56"/>
      <c r="DX40" s="56"/>
      <c r="DY40" s="56"/>
      <c r="DZ40" s="56"/>
      <c r="EA40" s="56"/>
      <c r="EB40" s="56"/>
      <c r="EC40" s="56"/>
      <c r="ED40" s="56"/>
      <c r="EE40" s="56"/>
      <c r="EF40" s="56"/>
      <c r="EG40" s="56"/>
      <c r="EH40" s="56"/>
      <c r="EI40" s="56"/>
      <c r="EJ40" s="56"/>
      <c r="EK40" s="56"/>
      <c r="EL40" s="56"/>
      <c r="EM40" s="56"/>
      <c r="EN40" s="56"/>
      <c r="EO40" s="56"/>
      <c r="EP40" s="56"/>
      <c r="EQ40" s="56"/>
      <c r="ER40" s="56"/>
      <c r="ES40" s="56"/>
      <c r="ET40" s="56"/>
      <c r="EU40" s="56"/>
      <c r="EV40" s="56"/>
      <c r="EW40" s="56"/>
      <c r="EX40" s="56"/>
      <c r="EY40" s="56"/>
      <c r="EZ40" s="56"/>
      <c r="FA40" s="56"/>
      <c r="FB40" s="56"/>
      <c r="FC40" s="56"/>
      <c r="FD40" s="56"/>
      <c r="FE40" s="56"/>
      <c r="FF40" s="56"/>
      <c r="FG40" s="56"/>
      <c r="FH40" s="56"/>
      <c r="FI40" s="56"/>
      <c r="FJ40" s="56"/>
      <c r="FK40" s="56"/>
      <c r="FL40" s="56"/>
      <c r="FM40" s="56"/>
      <c r="FN40" s="56"/>
      <c r="FO40" s="56"/>
      <c r="FP40" s="56"/>
      <c r="FQ40" s="56"/>
      <c r="FR40" s="56"/>
      <c r="FS40" s="56"/>
      <c r="FT40" s="56"/>
      <c r="FU40" s="56"/>
      <c r="FV40" s="56"/>
      <c r="FW40" s="56"/>
      <c r="FX40" s="56"/>
      <c r="FY40" s="56"/>
      <c r="FZ40" s="56"/>
      <c r="GA40" s="56"/>
      <c r="GB40" s="56"/>
      <c r="GC40" s="56"/>
      <c r="GD40" s="56"/>
      <c r="GE40" s="56"/>
      <c r="GF40" s="56"/>
      <c r="GG40" s="56"/>
      <c r="GH40" s="56"/>
      <c r="GI40" s="56"/>
      <c r="GJ40" s="56"/>
      <c r="GK40" s="56"/>
      <c r="GL40" s="56"/>
      <c r="GM40" s="56"/>
      <c r="GN40" s="56"/>
      <c r="GO40" s="56"/>
    </row>
    <row r="41" spans="1:197" ht="21" thickBot="1">
      <c r="A41" s="192"/>
      <c r="B41" s="186"/>
      <c r="C41" s="186"/>
      <c r="D41" s="186"/>
      <c r="E41" s="186"/>
      <c r="F41" s="186"/>
      <c r="G41" s="281"/>
      <c r="H41" s="282"/>
      <c r="I41" s="283"/>
      <c r="J41" s="282"/>
      <c r="K41" s="186"/>
      <c r="L41" s="186"/>
      <c r="M41" s="186"/>
      <c r="N41" s="186"/>
      <c r="O41" s="171"/>
      <c r="P41" s="171"/>
      <c r="Q41" s="171"/>
      <c r="R41" s="171"/>
      <c r="S41" s="284"/>
      <c r="T41" s="94"/>
      <c r="U41" s="94"/>
      <c r="V41" s="94"/>
      <c r="W41" s="94"/>
      <c r="Y41" s="56"/>
      <c r="Z41" s="56"/>
      <c r="AC41" s="56"/>
      <c r="AD41" s="276"/>
      <c r="AE41" s="276"/>
      <c r="AF41" s="276"/>
      <c r="AG41" s="276"/>
      <c r="AH41" s="56"/>
      <c r="AI41" s="285"/>
      <c r="AJ41" s="810"/>
      <c r="AK41" s="810"/>
      <c r="AL41" s="56"/>
      <c r="AM41" s="194"/>
      <c r="AN41" s="56"/>
      <c r="AO41" s="56"/>
      <c r="AP41" s="194"/>
      <c r="AQ41" s="194"/>
      <c r="AR41" s="194"/>
      <c r="AS41" s="194"/>
      <c r="AT41" s="194"/>
      <c r="AU41" s="194"/>
      <c r="AV41" s="194"/>
      <c r="AW41" s="129"/>
      <c r="AX41" s="56"/>
      <c r="AY41" s="56"/>
      <c r="AZ41" s="56"/>
      <c r="BA41" s="56"/>
      <c r="BC41" s="260"/>
      <c r="BD41" s="817"/>
      <c r="BE41" s="817"/>
      <c r="BF41" s="817"/>
      <c r="BG41" s="817"/>
      <c r="BH41" s="817"/>
      <c r="BI41" s="56"/>
      <c r="BJ41" s="56"/>
      <c r="BK41" s="823"/>
      <c r="BL41" s="83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6"/>
      <c r="CR41" s="56"/>
      <c r="CS41" s="56"/>
      <c r="CT41" s="56"/>
      <c r="CU41" s="56"/>
      <c r="CV41" s="56"/>
      <c r="CW41" s="56"/>
      <c r="CX41" s="56"/>
      <c r="CY41" s="56"/>
      <c r="CZ41" s="56"/>
      <c r="DA41" s="56"/>
      <c r="DB41" s="56"/>
      <c r="DC41" s="56"/>
      <c r="DD41" s="56"/>
      <c r="DE41" s="56"/>
      <c r="DF41" s="56"/>
      <c r="DG41" s="56"/>
      <c r="DH41" s="56"/>
      <c r="DI41" s="56"/>
      <c r="DJ41" s="56"/>
      <c r="DK41" s="56"/>
      <c r="DL41" s="56"/>
      <c r="DM41" s="56"/>
      <c r="DN41" s="56"/>
      <c r="DO41" s="56"/>
      <c r="DP41" s="56"/>
      <c r="DQ41" s="56"/>
      <c r="DR41" s="56"/>
      <c r="DS41" s="56"/>
      <c r="DT41" s="56"/>
      <c r="DU41" s="56"/>
      <c r="DV41" s="56"/>
      <c r="DW41" s="56"/>
      <c r="DX41" s="56"/>
      <c r="DY41" s="56"/>
      <c r="DZ41" s="56"/>
      <c r="EA41" s="56"/>
      <c r="EB41" s="56"/>
      <c r="EC41" s="56"/>
      <c r="ED41" s="56"/>
      <c r="EE41" s="56"/>
      <c r="EF41" s="56"/>
      <c r="EG41" s="56"/>
      <c r="EH41" s="56"/>
      <c r="EI41" s="56"/>
      <c r="EJ41" s="56"/>
      <c r="EK41" s="56"/>
      <c r="EL41" s="56"/>
      <c r="EM41" s="56"/>
      <c r="EN41" s="56"/>
      <c r="EO41" s="56"/>
      <c r="EP41" s="56"/>
      <c r="EQ41" s="56"/>
      <c r="ER41" s="56"/>
      <c r="ES41" s="56"/>
      <c r="ET41" s="56"/>
      <c r="EU41" s="56"/>
      <c r="EV41" s="56"/>
      <c r="EW41" s="56"/>
      <c r="EX41" s="56"/>
      <c r="EY41" s="56"/>
      <c r="EZ41" s="56"/>
      <c r="FA41" s="56"/>
      <c r="FB41" s="56"/>
      <c r="FC41" s="56"/>
      <c r="FD41" s="56"/>
      <c r="FE41" s="56"/>
      <c r="FF41" s="56"/>
      <c r="FG41" s="56"/>
      <c r="FH41" s="56"/>
      <c r="FI41" s="56"/>
      <c r="FJ41" s="56"/>
      <c r="FK41" s="56"/>
      <c r="FL41" s="56"/>
      <c r="FM41" s="56"/>
      <c r="FN41" s="56"/>
      <c r="FO41" s="56"/>
      <c r="FP41" s="56"/>
      <c r="FQ41" s="56"/>
      <c r="FR41" s="56"/>
      <c r="FS41" s="56"/>
      <c r="FT41" s="56"/>
      <c r="FU41" s="56"/>
      <c r="FV41" s="56"/>
      <c r="FW41" s="56"/>
      <c r="FX41" s="56"/>
      <c r="FY41" s="56"/>
      <c r="FZ41" s="56"/>
      <c r="GA41" s="56"/>
      <c r="GB41" s="56"/>
      <c r="GC41" s="56"/>
      <c r="GD41" s="56"/>
      <c r="GE41" s="56"/>
      <c r="GF41" s="56"/>
      <c r="GG41" s="56"/>
      <c r="GH41" s="56"/>
      <c r="GI41" s="56"/>
      <c r="GJ41" s="56"/>
      <c r="GK41" s="56"/>
      <c r="GL41" s="56"/>
      <c r="GM41" s="56"/>
      <c r="GN41" s="56"/>
      <c r="GO41" s="56"/>
    </row>
    <row r="42" spans="1:197" ht="20.25">
      <c r="A42" s="192"/>
      <c r="B42" s="171"/>
      <c r="C42" s="171"/>
      <c r="D42" s="171"/>
      <c r="E42" s="171"/>
      <c r="F42" s="171"/>
      <c r="G42" s="171"/>
      <c r="H42" s="171"/>
      <c r="I42" s="171"/>
      <c r="J42" s="186"/>
      <c r="K42" s="288"/>
      <c r="L42" s="289"/>
      <c r="M42" s="289"/>
      <c r="N42" s="289"/>
      <c r="O42" s="290"/>
      <c r="P42" s="290"/>
      <c r="Q42" s="290"/>
      <c r="R42" s="290"/>
      <c r="S42" s="291"/>
      <c r="T42" s="801"/>
      <c r="U42" s="801"/>
      <c r="V42" s="801"/>
      <c r="W42" s="801"/>
      <c r="X42" s="293"/>
      <c r="Y42" s="56"/>
      <c r="Z42" s="56"/>
      <c r="AC42" s="171"/>
      <c r="AD42" s="171"/>
      <c r="AE42" s="56"/>
      <c r="AF42" s="171"/>
      <c r="AG42" s="171"/>
      <c r="AH42" s="186"/>
      <c r="AI42" s="280"/>
      <c r="AJ42" s="779"/>
      <c r="AK42" s="779"/>
      <c r="AL42" s="57"/>
      <c r="AM42" s="56"/>
      <c r="AN42" s="811"/>
      <c r="AO42" s="811"/>
      <c r="AP42" s="56"/>
      <c r="AQ42" s="254"/>
      <c r="AR42" s="811"/>
      <c r="AS42" s="811"/>
      <c r="AT42" s="254"/>
      <c r="AU42" s="194"/>
      <c r="AV42" s="194"/>
      <c r="AW42" s="129"/>
      <c r="AX42" s="56"/>
      <c r="AY42" s="56"/>
      <c r="AZ42" s="56"/>
      <c r="BA42" s="80"/>
      <c r="BB42" s="80"/>
      <c r="BC42" s="56"/>
      <c r="BD42" s="56"/>
      <c r="BE42" s="816"/>
      <c r="BF42" s="816"/>
      <c r="BG42" s="816"/>
      <c r="BH42" s="74"/>
      <c r="BI42" s="56"/>
      <c r="BJ42" s="56"/>
      <c r="BK42" s="229"/>
      <c r="BL42" s="83"/>
      <c r="BM42" s="56"/>
      <c r="BN42" s="56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  <c r="BZ42" s="56"/>
      <c r="CA42" s="56"/>
      <c r="CB42" s="56"/>
      <c r="CC42" s="56"/>
      <c r="CD42" s="56"/>
      <c r="CE42" s="56"/>
      <c r="CF42" s="56"/>
      <c r="CG42" s="56"/>
      <c r="CH42" s="56"/>
      <c r="CI42" s="56"/>
      <c r="CJ42" s="56"/>
      <c r="CK42" s="56"/>
      <c r="CL42" s="56"/>
      <c r="CM42" s="56"/>
      <c r="CN42" s="56"/>
      <c r="CO42" s="56"/>
      <c r="CP42" s="56"/>
      <c r="CQ42" s="56"/>
      <c r="CR42" s="56"/>
      <c r="CS42" s="56"/>
      <c r="CT42" s="56"/>
      <c r="CU42" s="56"/>
      <c r="CV42" s="56"/>
      <c r="CW42" s="56"/>
      <c r="CX42" s="56"/>
      <c r="CY42" s="56"/>
      <c r="CZ42" s="56"/>
      <c r="DA42" s="56"/>
      <c r="DB42" s="56"/>
      <c r="DC42" s="56"/>
      <c r="DD42" s="56"/>
      <c r="DE42" s="56"/>
      <c r="DF42" s="56"/>
      <c r="DG42" s="56"/>
      <c r="DH42" s="56"/>
      <c r="DI42" s="56"/>
      <c r="DJ42" s="56"/>
      <c r="DK42" s="56"/>
      <c r="DL42" s="56"/>
      <c r="DM42" s="56"/>
      <c r="DN42" s="56"/>
      <c r="DO42" s="56"/>
      <c r="DP42" s="56"/>
      <c r="DQ42" s="56"/>
      <c r="DR42" s="56"/>
      <c r="DS42" s="56"/>
      <c r="DT42" s="56"/>
      <c r="DU42" s="56"/>
      <c r="DV42" s="56"/>
      <c r="DW42" s="56"/>
      <c r="DX42" s="56"/>
      <c r="DY42" s="56"/>
      <c r="DZ42" s="56"/>
      <c r="EA42" s="56"/>
      <c r="EB42" s="56"/>
      <c r="EC42" s="56"/>
      <c r="ED42" s="56"/>
      <c r="EE42" s="56"/>
      <c r="EF42" s="56"/>
      <c r="EG42" s="56"/>
      <c r="EH42" s="56"/>
      <c r="EI42" s="56"/>
      <c r="EJ42" s="56"/>
      <c r="EK42" s="56"/>
      <c r="EL42" s="56"/>
      <c r="EM42" s="56"/>
      <c r="EN42" s="56"/>
      <c r="EO42" s="56"/>
      <c r="EP42" s="56"/>
      <c r="EQ42" s="56"/>
      <c r="ER42" s="56"/>
      <c r="ES42" s="56"/>
      <c r="ET42" s="56"/>
      <c r="EU42" s="56"/>
      <c r="EV42" s="56"/>
      <c r="EW42" s="56"/>
      <c r="EX42" s="56"/>
      <c r="EY42" s="56"/>
      <c r="EZ42" s="56"/>
      <c r="FA42" s="56"/>
      <c r="FB42" s="56"/>
      <c r="FC42" s="56"/>
      <c r="FD42" s="56"/>
      <c r="FE42" s="56"/>
      <c r="FF42" s="56"/>
      <c r="FG42" s="56"/>
      <c r="FH42" s="56"/>
      <c r="FI42" s="56"/>
      <c r="FJ42" s="56"/>
      <c r="FK42" s="56"/>
      <c r="FL42" s="56"/>
      <c r="FM42" s="56"/>
      <c r="FN42" s="56"/>
      <c r="FO42" s="56"/>
      <c r="FP42" s="56"/>
      <c r="FQ42" s="56"/>
      <c r="FR42" s="56"/>
      <c r="FS42" s="56"/>
      <c r="FT42" s="56"/>
      <c r="FU42" s="56"/>
      <c r="FV42" s="56"/>
      <c r="FW42" s="56"/>
      <c r="FX42" s="56"/>
      <c r="FY42" s="56"/>
      <c r="FZ42" s="56"/>
      <c r="GA42" s="56"/>
      <c r="GB42" s="56"/>
      <c r="GC42" s="56"/>
      <c r="GD42" s="56"/>
      <c r="GE42" s="56"/>
      <c r="GF42" s="56"/>
      <c r="GG42" s="56"/>
      <c r="GH42" s="56"/>
      <c r="GI42" s="56"/>
      <c r="GJ42" s="56"/>
      <c r="GK42" s="56"/>
      <c r="GL42" s="56"/>
      <c r="GM42" s="56"/>
      <c r="GN42" s="56"/>
      <c r="GO42" s="56"/>
    </row>
    <row r="43" spans="1:197" ht="21" thickBot="1">
      <c r="A43" s="192"/>
      <c r="B43" s="295"/>
      <c r="C43" s="295"/>
      <c r="D43" s="295"/>
      <c r="E43" s="295"/>
      <c r="F43" s="295"/>
      <c r="G43" s="295"/>
      <c r="H43" s="295"/>
      <c r="I43" s="295"/>
      <c r="J43" s="295"/>
      <c r="K43" s="192"/>
      <c r="L43" s="826" t="s">
        <v>183</v>
      </c>
      <c r="M43" s="826"/>
      <c r="N43" s="826"/>
      <c r="O43" s="826"/>
      <c r="P43" s="826"/>
      <c r="Q43" s="826"/>
      <c r="R43" s="826"/>
      <c r="S43" s="272"/>
      <c r="T43" s="779"/>
      <c r="U43" s="779"/>
      <c r="V43" s="779"/>
      <c r="W43" s="779"/>
      <c r="X43" s="802"/>
      <c r="Y43" s="297"/>
      <c r="Z43" s="297"/>
      <c r="AC43" s="171"/>
      <c r="AD43" s="186"/>
      <c r="AE43" s="56"/>
      <c r="AF43" s="186"/>
      <c r="AG43" s="56"/>
      <c r="AH43" s="186"/>
      <c r="AI43" s="280"/>
      <c r="AJ43" s="779"/>
      <c r="AK43" s="779"/>
      <c r="AL43" s="57"/>
      <c r="AM43" s="57"/>
      <c r="AN43" s="812"/>
      <c r="AO43" s="812"/>
      <c r="AP43" s="56"/>
      <c r="AQ43" s="56"/>
      <c r="AR43" s="812"/>
      <c r="AS43" s="812"/>
      <c r="AT43" s="56"/>
      <c r="AU43" s="194"/>
      <c r="AV43" s="194"/>
      <c r="AW43" s="129"/>
      <c r="AX43" s="56"/>
      <c r="AY43" s="56"/>
      <c r="AZ43" s="56"/>
      <c r="BA43" s="56"/>
      <c r="BB43" s="56"/>
      <c r="BC43" s="56"/>
      <c r="BD43" s="56"/>
      <c r="BE43" s="816"/>
      <c r="BF43" s="816"/>
      <c r="BG43" s="816"/>
      <c r="BH43" s="818"/>
      <c r="BI43" s="57"/>
      <c r="BJ43" s="56"/>
      <c r="BK43" s="824"/>
      <c r="BL43" s="83"/>
      <c r="BM43" s="56"/>
      <c r="BN43" s="56"/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  <c r="BZ43" s="56"/>
      <c r="CA43" s="56"/>
      <c r="CB43" s="56"/>
      <c r="CC43" s="56"/>
      <c r="CD43" s="56"/>
      <c r="CE43" s="56"/>
      <c r="CF43" s="56"/>
      <c r="CG43" s="56"/>
      <c r="CH43" s="56"/>
      <c r="CI43" s="56"/>
      <c r="CJ43" s="56"/>
      <c r="CK43" s="56"/>
      <c r="CL43" s="56"/>
      <c r="CM43" s="56"/>
      <c r="CN43" s="56"/>
      <c r="CO43" s="56"/>
      <c r="CP43" s="56"/>
      <c r="CQ43" s="56"/>
      <c r="CR43" s="56"/>
      <c r="CS43" s="56"/>
      <c r="CT43" s="56"/>
      <c r="CU43" s="56"/>
      <c r="CV43" s="56"/>
      <c r="CW43" s="56"/>
      <c r="CX43" s="56"/>
      <c r="CY43" s="56"/>
      <c r="CZ43" s="56"/>
      <c r="DA43" s="56"/>
      <c r="DB43" s="56"/>
      <c r="DC43" s="56"/>
      <c r="DD43" s="56"/>
      <c r="DE43" s="56"/>
      <c r="DF43" s="56"/>
      <c r="DG43" s="56"/>
      <c r="DH43" s="56"/>
      <c r="DI43" s="56"/>
      <c r="DJ43" s="56"/>
      <c r="DK43" s="56"/>
      <c r="DL43" s="56"/>
      <c r="DM43" s="56"/>
      <c r="DN43" s="56"/>
      <c r="DO43" s="56"/>
      <c r="DP43" s="56"/>
      <c r="DQ43" s="56"/>
      <c r="DR43" s="56"/>
      <c r="DS43" s="56"/>
      <c r="DT43" s="56"/>
      <c r="DU43" s="56"/>
      <c r="DV43" s="56"/>
      <c r="DW43" s="56"/>
      <c r="DX43" s="56"/>
      <c r="DY43" s="56"/>
      <c r="DZ43" s="56"/>
      <c r="EA43" s="56"/>
      <c r="EB43" s="56"/>
      <c r="EC43" s="56"/>
      <c r="ED43" s="56"/>
      <c r="EE43" s="56"/>
      <c r="EF43" s="56"/>
      <c r="EG43" s="56"/>
      <c r="EH43" s="56"/>
      <c r="EI43" s="56"/>
      <c r="EJ43" s="56"/>
      <c r="EK43" s="56"/>
      <c r="EL43" s="56"/>
      <c r="EM43" s="56"/>
      <c r="EN43" s="56"/>
      <c r="EO43" s="56"/>
      <c r="EP43" s="56"/>
      <c r="EQ43" s="56"/>
      <c r="ER43" s="56"/>
      <c r="ES43" s="56"/>
      <c r="ET43" s="56"/>
      <c r="EU43" s="56"/>
      <c r="EV43" s="56"/>
      <c r="EW43" s="56"/>
      <c r="EX43" s="56"/>
      <c r="EY43" s="56"/>
      <c r="EZ43" s="56"/>
      <c r="FA43" s="56"/>
      <c r="FB43" s="56"/>
      <c r="FC43" s="56"/>
      <c r="FD43" s="56"/>
      <c r="FE43" s="56"/>
      <c r="FF43" s="56"/>
      <c r="FG43" s="56"/>
      <c r="FH43" s="56"/>
      <c r="FI43" s="56"/>
      <c r="FJ43" s="56"/>
      <c r="FK43" s="56"/>
      <c r="FL43" s="56"/>
      <c r="FM43" s="56"/>
      <c r="FN43" s="56"/>
      <c r="FO43" s="56"/>
      <c r="FP43" s="56"/>
      <c r="FQ43" s="56"/>
      <c r="FR43" s="56"/>
      <c r="FS43" s="56"/>
      <c r="FT43" s="56"/>
      <c r="FU43" s="56"/>
      <c r="FV43" s="56"/>
      <c r="FW43" s="56"/>
      <c r="FX43" s="56"/>
      <c r="FY43" s="56"/>
      <c r="FZ43" s="56"/>
      <c r="GA43" s="56"/>
      <c r="GB43" s="56"/>
      <c r="GC43" s="56"/>
      <c r="GD43" s="56"/>
      <c r="GE43" s="56"/>
      <c r="GF43" s="56"/>
      <c r="GG43" s="56"/>
      <c r="GH43" s="56"/>
      <c r="GI43" s="56"/>
      <c r="GJ43" s="56"/>
      <c r="GK43" s="56"/>
      <c r="GL43" s="56"/>
      <c r="GM43" s="56"/>
      <c r="GN43" s="56"/>
      <c r="GO43" s="56"/>
    </row>
    <row r="44" spans="1:197" ht="16.5" thickBot="1">
      <c r="A44" s="192"/>
      <c r="B44" s="201"/>
      <c r="C44" s="301"/>
      <c r="D44" s="301"/>
      <c r="E44" s="301"/>
      <c r="F44" s="171"/>
      <c r="G44" s="171"/>
      <c r="H44" s="171"/>
      <c r="I44" s="171"/>
      <c r="J44" s="205"/>
      <c r="K44" s="192"/>
      <c r="L44" s="826"/>
      <c r="M44" s="826"/>
      <c r="N44" s="826"/>
      <c r="O44" s="826"/>
      <c r="P44" s="826"/>
      <c r="Q44" s="826"/>
      <c r="R44" s="826"/>
      <c r="S44" s="272"/>
      <c r="T44" s="803"/>
      <c r="U44" s="804"/>
      <c r="V44" s="804"/>
      <c r="W44" s="804"/>
      <c r="X44" s="804"/>
      <c r="Y44" s="804"/>
      <c r="Z44" s="805"/>
      <c r="AA44" s="290"/>
      <c r="AB44" s="291"/>
      <c r="AC44" s="192"/>
      <c r="AD44" s="186"/>
      <c r="AE44" s="186"/>
      <c r="AF44" s="186"/>
      <c r="AG44" s="57"/>
      <c r="AH44" s="186"/>
      <c r="AI44" s="280"/>
      <c r="AJ44" s="779"/>
      <c r="AK44" s="779"/>
      <c r="AL44" s="280"/>
      <c r="AM44" s="280"/>
      <c r="AN44" s="812"/>
      <c r="AO44" s="812"/>
      <c r="AP44" s="56"/>
      <c r="AQ44" s="56"/>
      <c r="AR44" s="812"/>
      <c r="AS44" s="812"/>
      <c r="AT44" s="56"/>
      <c r="AU44" s="171"/>
      <c r="AV44" s="184"/>
      <c r="AW44" s="184"/>
      <c r="AX44" s="56"/>
      <c r="AY44" s="56"/>
      <c r="AZ44" s="56"/>
      <c r="BA44" s="80"/>
      <c r="BB44" s="80"/>
      <c r="BC44" s="56"/>
      <c r="BD44" s="799"/>
      <c r="BE44" s="808"/>
      <c r="BF44" s="808"/>
      <c r="BG44" s="808"/>
      <c r="BH44" s="808"/>
      <c r="BI44" s="56"/>
      <c r="BJ44" s="56"/>
      <c r="BL44" s="83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6"/>
      <c r="CO44" s="56"/>
      <c r="CP44" s="56"/>
      <c r="CQ44" s="56"/>
      <c r="CR44" s="56"/>
      <c r="CS44" s="56"/>
      <c r="CT44" s="56"/>
      <c r="CU44" s="56"/>
      <c r="CV44" s="56"/>
      <c r="CW44" s="56"/>
      <c r="CX44" s="56"/>
      <c r="CY44" s="56"/>
      <c r="CZ44" s="56"/>
      <c r="DA44" s="56"/>
      <c r="DB44" s="56"/>
      <c r="DC44" s="56"/>
      <c r="DD44" s="56"/>
      <c r="DE44" s="56"/>
      <c r="DF44" s="56"/>
      <c r="DG44" s="56"/>
      <c r="DH44" s="56"/>
      <c r="DI44" s="56"/>
      <c r="DJ44" s="56"/>
      <c r="DK44" s="56"/>
      <c r="DL44" s="56"/>
      <c r="DM44" s="56"/>
      <c r="DN44" s="56"/>
      <c r="DO44" s="56"/>
      <c r="DP44" s="56"/>
      <c r="DQ44" s="56"/>
      <c r="DR44" s="56"/>
      <c r="DS44" s="56"/>
      <c r="DT44" s="56"/>
      <c r="DU44" s="56"/>
      <c r="DV44" s="56"/>
      <c r="DW44" s="56"/>
      <c r="DX44" s="56"/>
      <c r="DY44" s="56"/>
      <c r="DZ44" s="56"/>
      <c r="EA44" s="56"/>
      <c r="EB44" s="56"/>
      <c r="EC44" s="56"/>
      <c r="ED44" s="56"/>
      <c r="EE44" s="56"/>
      <c r="EF44" s="56"/>
      <c r="EG44" s="56"/>
      <c r="EH44" s="56"/>
      <c r="EI44" s="56"/>
      <c r="EJ44" s="56"/>
      <c r="EK44" s="56"/>
      <c r="EL44" s="56"/>
      <c r="EM44" s="56"/>
      <c r="EN44" s="56"/>
      <c r="EO44" s="56"/>
      <c r="EP44" s="56"/>
      <c r="EQ44" s="56"/>
      <c r="ER44" s="56"/>
      <c r="ES44" s="56"/>
      <c r="ET44" s="56"/>
      <c r="EU44" s="56"/>
      <c r="EV44" s="56"/>
      <c r="EW44" s="56"/>
      <c r="EX44" s="56"/>
      <c r="EY44" s="56"/>
      <c r="EZ44" s="56"/>
      <c r="FA44" s="56"/>
      <c r="FB44" s="56"/>
      <c r="FC44" s="56"/>
      <c r="FD44" s="56"/>
      <c r="FE44" s="56"/>
      <c r="FF44" s="56"/>
      <c r="FG44" s="56"/>
      <c r="FH44" s="56"/>
      <c r="FI44" s="56"/>
      <c r="FJ44" s="56"/>
      <c r="FK44" s="56"/>
      <c r="FL44" s="56"/>
      <c r="FM44" s="56"/>
      <c r="FN44" s="56"/>
      <c r="FO44" s="56"/>
      <c r="FP44" s="56"/>
      <c r="FQ44" s="56"/>
      <c r="FR44" s="56"/>
      <c r="FS44" s="56"/>
      <c r="FT44" s="56"/>
      <c r="FU44" s="56"/>
      <c r="FV44" s="56"/>
      <c r="FW44" s="56"/>
      <c r="FX44" s="56"/>
      <c r="FY44" s="56"/>
      <c r="FZ44" s="56"/>
      <c r="GA44" s="56"/>
      <c r="GB44" s="56"/>
      <c r="GC44" s="56"/>
      <c r="GD44" s="56"/>
      <c r="GE44" s="56"/>
      <c r="GF44" s="56"/>
      <c r="GG44" s="56"/>
      <c r="GH44" s="56"/>
      <c r="GI44" s="56"/>
      <c r="GJ44" s="56"/>
      <c r="GK44" s="56"/>
      <c r="GL44" s="56"/>
      <c r="GM44" s="56"/>
      <c r="GN44" s="56"/>
      <c r="GO44" s="56"/>
    </row>
    <row r="45" spans="1:197" ht="16.5" thickBot="1">
      <c r="A45" s="192"/>
      <c r="B45" s="201"/>
      <c r="C45" s="301"/>
      <c r="D45" s="301"/>
      <c r="E45" s="301"/>
      <c r="F45" s="171"/>
      <c r="G45" s="171"/>
      <c r="H45" s="171"/>
      <c r="I45" s="171"/>
      <c r="J45" s="205"/>
      <c r="K45" s="281"/>
      <c r="L45" s="304"/>
      <c r="M45" s="304"/>
      <c r="N45" s="283"/>
      <c r="O45" s="305"/>
      <c r="P45" s="305"/>
      <c r="Q45" s="305"/>
      <c r="R45" s="304"/>
      <c r="S45" s="306"/>
      <c r="T45" s="192"/>
      <c r="U45" s="186"/>
      <c r="V45" s="186"/>
      <c r="W45" s="186"/>
      <c r="X45" s="186"/>
      <c r="Y45" s="186"/>
      <c r="Z45" s="186"/>
      <c r="AA45" s="57"/>
      <c r="AB45" s="272"/>
      <c r="AC45" s="307"/>
      <c r="AD45" s="827" t="s">
        <v>131</v>
      </c>
      <c r="AE45" s="828"/>
      <c r="AF45" s="829"/>
      <c r="AG45" s="186"/>
      <c r="AH45" s="186"/>
      <c r="AI45" s="280"/>
      <c r="AJ45" s="779"/>
      <c r="AK45" s="779"/>
      <c r="AL45" s="280"/>
      <c r="AM45" s="280"/>
      <c r="AN45" s="812"/>
      <c r="AO45" s="812"/>
      <c r="AP45" s="56"/>
      <c r="AQ45" s="56"/>
      <c r="AR45" s="812"/>
      <c r="AS45" s="812"/>
      <c r="AT45" s="56"/>
      <c r="AU45" s="171"/>
      <c r="AV45" s="184"/>
      <c r="AW45" s="184"/>
      <c r="AX45" s="56"/>
      <c r="AY45" s="56"/>
      <c r="AZ45" s="56"/>
      <c r="BA45" s="56"/>
      <c r="BB45" s="56"/>
      <c r="BC45" s="56"/>
      <c r="BD45" s="799"/>
      <c r="BE45" s="808"/>
      <c r="BF45" s="808"/>
      <c r="BG45" s="808"/>
      <c r="BH45" s="808"/>
      <c r="BI45" s="56"/>
      <c r="BJ45" s="56"/>
      <c r="BL45" s="83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  <c r="CG45" s="56"/>
      <c r="CH45" s="56"/>
      <c r="CI45" s="56"/>
      <c r="CJ45" s="56"/>
      <c r="CK45" s="56"/>
      <c r="CL45" s="56"/>
      <c r="CM45" s="56"/>
      <c r="CN45" s="56"/>
      <c r="CO45" s="56"/>
      <c r="CP45" s="56"/>
      <c r="CQ45" s="56"/>
      <c r="CR45" s="56"/>
      <c r="CS45" s="56"/>
      <c r="CT45" s="56"/>
      <c r="CU45" s="56"/>
      <c r="CV45" s="56"/>
      <c r="CW45" s="56"/>
      <c r="CX45" s="56"/>
      <c r="CY45" s="56"/>
      <c r="CZ45" s="56"/>
      <c r="DA45" s="56"/>
      <c r="DB45" s="56"/>
      <c r="DC45" s="56"/>
      <c r="DD45" s="56"/>
      <c r="DE45" s="56"/>
      <c r="DF45" s="56"/>
      <c r="DG45" s="56"/>
      <c r="DH45" s="56"/>
      <c r="DI45" s="56"/>
      <c r="DJ45" s="56"/>
      <c r="DK45" s="56"/>
      <c r="DL45" s="56"/>
      <c r="DM45" s="56"/>
      <c r="DN45" s="56"/>
      <c r="DO45" s="56"/>
      <c r="DP45" s="56"/>
      <c r="DQ45" s="56"/>
      <c r="DR45" s="56"/>
      <c r="DS45" s="56"/>
      <c r="DT45" s="56"/>
      <c r="DU45" s="56"/>
      <c r="DV45" s="56"/>
      <c r="DW45" s="56"/>
      <c r="DX45" s="56"/>
      <c r="DY45" s="56"/>
      <c r="DZ45" s="56"/>
      <c r="EA45" s="56"/>
      <c r="EB45" s="56"/>
      <c r="EC45" s="56"/>
      <c r="ED45" s="56"/>
      <c r="EE45" s="56"/>
      <c r="EF45" s="56"/>
      <c r="EG45" s="56"/>
      <c r="EH45" s="56"/>
      <c r="EI45" s="56"/>
      <c r="EJ45" s="56"/>
      <c r="EK45" s="56"/>
      <c r="EL45" s="56"/>
      <c r="EM45" s="56"/>
      <c r="EN45" s="56"/>
      <c r="EO45" s="56"/>
      <c r="EP45" s="56"/>
      <c r="EQ45" s="56"/>
      <c r="ER45" s="56"/>
      <c r="ES45" s="56"/>
      <c r="ET45" s="56"/>
      <c r="EU45" s="56"/>
      <c r="EV45" s="56"/>
      <c r="EW45" s="56"/>
      <c r="EX45" s="56"/>
      <c r="EY45" s="56"/>
      <c r="EZ45" s="56"/>
      <c r="FA45" s="56"/>
      <c r="FB45" s="56"/>
      <c r="FC45" s="56"/>
      <c r="FD45" s="56"/>
      <c r="FE45" s="56"/>
      <c r="FF45" s="56"/>
      <c r="FG45" s="56"/>
      <c r="FH45" s="56"/>
      <c r="FI45" s="56"/>
      <c r="FJ45" s="56"/>
      <c r="FK45" s="56"/>
      <c r="FL45" s="56"/>
      <c r="FM45" s="56"/>
      <c r="FN45" s="56"/>
      <c r="FO45" s="56"/>
      <c r="FP45" s="56"/>
      <c r="FQ45" s="56"/>
      <c r="FR45" s="56"/>
      <c r="FS45" s="56"/>
      <c r="FT45" s="56"/>
      <c r="FU45" s="56"/>
      <c r="FV45" s="56"/>
      <c r="FW45" s="56"/>
      <c r="FX45" s="56"/>
      <c r="FY45" s="56"/>
      <c r="FZ45" s="56"/>
      <c r="GA45" s="56"/>
      <c r="GB45" s="56"/>
      <c r="GC45" s="56"/>
      <c r="GD45" s="56"/>
      <c r="GE45" s="56"/>
      <c r="GF45" s="56"/>
      <c r="GG45" s="56"/>
      <c r="GH45" s="56"/>
      <c r="GI45" s="56"/>
      <c r="GJ45" s="56"/>
      <c r="GK45" s="56"/>
      <c r="GL45" s="56"/>
      <c r="GM45" s="56"/>
      <c r="GN45" s="56"/>
      <c r="GO45" s="56"/>
    </row>
    <row r="46" spans="1:197" ht="16.5" thickBot="1">
      <c r="A46" s="192"/>
      <c r="B46" s="201"/>
      <c r="C46" s="301"/>
      <c r="D46" s="301"/>
      <c r="E46" s="301"/>
      <c r="F46" s="171"/>
      <c r="G46" s="171"/>
      <c r="H46" s="171"/>
      <c r="I46" s="171"/>
      <c r="J46" s="205"/>
      <c r="K46" s="250"/>
      <c r="L46" s="250"/>
      <c r="M46" s="308"/>
      <c r="N46" s="186"/>
      <c r="O46" s="171"/>
      <c r="P46" s="171"/>
      <c r="Q46" s="171"/>
      <c r="R46" s="309"/>
      <c r="S46" s="309"/>
      <c r="T46" s="171"/>
      <c r="U46" s="186"/>
      <c r="V46" s="186"/>
      <c r="W46" s="186"/>
      <c r="X46" s="186"/>
      <c r="Y46" s="212"/>
      <c r="Z46" s="186"/>
      <c r="AA46" s="57"/>
      <c r="AB46" s="171"/>
      <c r="AC46" s="192"/>
      <c r="AD46" s="830"/>
      <c r="AE46" s="831"/>
      <c r="AF46" s="832"/>
      <c r="AG46" s="59"/>
      <c r="AH46" s="171"/>
      <c r="AI46" s="280"/>
      <c r="AJ46" s="212"/>
      <c r="AK46" s="212"/>
      <c r="AL46" s="280"/>
      <c r="AM46" s="280"/>
      <c r="AN46" s="811"/>
      <c r="AO46" s="811"/>
      <c r="AP46" s="280"/>
      <c r="AQ46" s="280"/>
      <c r="AR46" s="811"/>
      <c r="AS46" s="811"/>
      <c r="AT46" s="280"/>
      <c r="AU46" s="171"/>
      <c r="AV46" s="184"/>
      <c r="AW46" s="184"/>
      <c r="AX46" s="56"/>
      <c r="AY46" s="56"/>
      <c r="AZ46" s="56"/>
      <c r="BA46" s="56"/>
      <c r="BB46" s="56"/>
      <c r="BC46" s="56"/>
      <c r="BD46" s="56"/>
      <c r="BE46" s="57"/>
      <c r="BF46" s="280"/>
      <c r="BG46" s="212"/>
      <c r="BH46" s="212"/>
      <c r="BI46" s="56"/>
      <c r="BJ46" s="56"/>
      <c r="BL46" s="83"/>
      <c r="BM46" s="56"/>
      <c r="BN46" s="56"/>
      <c r="BO46" s="56"/>
      <c r="BP46" s="56"/>
      <c r="BQ46" s="56"/>
      <c r="BR46" s="56"/>
      <c r="BS46" s="56"/>
      <c r="BT46" s="56"/>
      <c r="BU46" s="56"/>
      <c r="BV46" s="56"/>
      <c r="BW46" s="56"/>
      <c r="BX46" s="56"/>
      <c r="BY46" s="56"/>
      <c r="BZ46" s="56"/>
      <c r="CA46" s="56"/>
      <c r="CB46" s="56"/>
      <c r="CC46" s="56"/>
      <c r="CD46" s="56"/>
      <c r="CE46" s="56"/>
      <c r="CF46" s="56"/>
      <c r="CG46" s="56"/>
      <c r="CH46" s="56"/>
      <c r="CI46" s="56"/>
      <c r="CJ46" s="56"/>
      <c r="CK46" s="56"/>
      <c r="CL46" s="56"/>
      <c r="CM46" s="56"/>
      <c r="CN46" s="56"/>
      <c r="CO46" s="56"/>
      <c r="CP46" s="56"/>
      <c r="CQ46" s="56"/>
      <c r="CR46" s="56"/>
      <c r="CS46" s="56"/>
      <c r="CT46" s="56"/>
      <c r="CU46" s="56"/>
      <c r="CV46" s="56"/>
      <c r="CW46" s="56"/>
      <c r="CX46" s="56"/>
      <c r="CY46" s="56"/>
      <c r="CZ46" s="56"/>
      <c r="DA46" s="56"/>
      <c r="DB46" s="56"/>
      <c r="DC46" s="56"/>
      <c r="DD46" s="56"/>
      <c r="DE46" s="56"/>
      <c r="DF46" s="56"/>
      <c r="DG46" s="56"/>
      <c r="DH46" s="56"/>
      <c r="DI46" s="56"/>
      <c r="DJ46" s="56"/>
      <c r="DK46" s="56"/>
      <c r="DL46" s="56"/>
      <c r="DM46" s="56"/>
      <c r="DN46" s="56"/>
      <c r="DO46" s="56"/>
      <c r="DP46" s="56"/>
      <c r="DQ46" s="56"/>
      <c r="DR46" s="56"/>
      <c r="DS46" s="56"/>
      <c r="DT46" s="56"/>
      <c r="DU46" s="56"/>
      <c r="DV46" s="56"/>
      <c r="DW46" s="56"/>
      <c r="DX46" s="56"/>
      <c r="DY46" s="56"/>
      <c r="DZ46" s="56"/>
      <c r="EA46" s="56"/>
      <c r="EB46" s="56"/>
      <c r="EC46" s="56"/>
      <c r="ED46" s="56"/>
      <c r="EE46" s="56"/>
      <c r="EF46" s="56"/>
      <c r="EG46" s="56"/>
      <c r="EH46" s="56"/>
      <c r="EI46" s="56"/>
      <c r="EJ46" s="56"/>
      <c r="EK46" s="56"/>
      <c r="EL46" s="56"/>
      <c r="EM46" s="56"/>
      <c r="EN46" s="56"/>
      <c r="EO46" s="56"/>
      <c r="EP46" s="56"/>
      <c r="EQ46" s="56"/>
      <c r="ER46" s="56"/>
      <c r="ES46" s="56"/>
      <c r="ET46" s="56"/>
      <c r="EU46" s="56"/>
      <c r="EV46" s="56"/>
      <c r="EW46" s="56"/>
      <c r="EX46" s="56"/>
      <c r="EY46" s="56"/>
      <c r="EZ46" s="56"/>
      <c r="FA46" s="56"/>
      <c r="FB46" s="56"/>
      <c r="FC46" s="56"/>
      <c r="FD46" s="56"/>
      <c r="FE46" s="56"/>
      <c r="FF46" s="56"/>
      <c r="FG46" s="56"/>
      <c r="FH46" s="56"/>
      <c r="FI46" s="56"/>
      <c r="FJ46" s="56"/>
      <c r="FK46" s="56"/>
      <c r="FL46" s="56"/>
      <c r="FM46" s="56"/>
      <c r="FN46" s="56"/>
      <c r="FO46" s="56"/>
      <c r="FP46" s="56"/>
      <c r="FQ46" s="56"/>
      <c r="FR46" s="56"/>
      <c r="FS46" s="56"/>
      <c r="FT46" s="56"/>
      <c r="FU46" s="56"/>
      <c r="FV46" s="56"/>
      <c r="FW46" s="56"/>
      <c r="FX46" s="56"/>
      <c r="FY46" s="56"/>
      <c r="FZ46" s="56"/>
      <c r="GA46" s="56"/>
      <c r="GB46" s="56"/>
      <c r="GC46" s="56"/>
      <c r="GD46" s="56"/>
      <c r="GE46" s="56"/>
      <c r="GF46" s="56"/>
      <c r="GG46" s="56"/>
      <c r="GH46" s="56"/>
      <c r="GI46" s="56"/>
      <c r="GJ46" s="56"/>
      <c r="GK46" s="56"/>
      <c r="GL46" s="56"/>
      <c r="GM46" s="56"/>
      <c r="GN46" s="56"/>
      <c r="GO46" s="56"/>
    </row>
    <row r="47" spans="1:197" ht="15.75">
      <c r="A47" s="192"/>
      <c r="B47" s="201"/>
      <c r="C47" s="301"/>
      <c r="D47" s="301"/>
      <c r="E47" s="301"/>
      <c r="F47" s="171"/>
      <c r="G47" s="171"/>
      <c r="H47" s="171"/>
      <c r="I47" s="171"/>
      <c r="J47" s="205"/>
      <c r="K47" s="250"/>
      <c r="L47" s="250"/>
      <c r="M47" s="309"/>
      <c r="N47" s="309"/>
      <c r="O47" s="309"/>
      <c r="P47" s="309"/>
      <c r="Q47" s="309"/>
      <c r="R47" s="309"/>
      <c r="S47" s="309"/>
      <c r="T47" s="250"/>
      <c r="U47" s="186"/>
      <c r="V47" s="186"/>
      <c r="W47" s="186"/>
      <c r="X47" s="186"/>
      <c r="Y47" s="186"/>
      <c r="Z47" s="186"/>
      <c r="AA47" s="57"/>
      <c r="AB47" s="171"/>
      <c r="AC47" s="192"/>
      <c r="AD47" s="830"/>
      <c r="AE47" s="831"/>
      <c r="AF47" s="832"/>
      <c r="AG47" s="57"/>
      <c r="AH47" s="291"/>
      <c r="AI47" s="280"/>
      <c r="AJ47" s="212"/>
      <c r="AK47" s="212"/>
      <c r="AL47" s="212"/>
      <c r="AM47" s="212"/>
      <c r="AN47" s="212"/>
      <c r="AO47" s="212"/>
      <c r="AP47" s="212"/>
      <c r="AQ47" s="212"/>
      <c r="AR47" s="212"/>
      <c r="AS47" s="212"/>
      <c r="AT47" s="212"/>
      <c r="AU47" s="171"/>
      <c r="AV47" s="171"/>
      <c r="AW47" s="308"/>
      <c r="AX47" s="171"/>
      <c r="AY47" s="56"/>
      <c r="AZ47" s="56"/>
      <c r="BA47" s="56"/>
      <c r="BB47" s="56"/>
      <c r="BC47" s="171"/>
      <c r="BD47" s="56"/>
      <c r="BE47" s="780"/>
      <c r="BF47" s="780"/>
      <c r="BG47" s="780"/>
      <c r="BH47" s="780"/>
      <c r="BI47" s="56"/>
      <c r="BJ47" s="56"/>
      <c r="BL47" s="83"/>
      <c r="BM47" s="56"/>
      <c r="BN47" s="56"/>
      <c r="BO47" s="56"/>
      <c r="BP47" s="56"/>
      <c r="BQ47" s="56"/>
      <c r="BR47" s="56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6"/>
      <c r="CO47" s="56"/>
      <c r="CP47" s="56"/>
      <c r="CQ47" s="56"/>
      <c r="CR47" s="56"/>
      <c r="CS47" s="56"/>
      <c r="CT47" s="56"/>
      <c r="CU47" s="56"/>
      <c r="CV47" s="56"/>
      <c r="CW47" s="56"/>
      <c r="CX47" s="56"/>
      <c r="CY47" s="56"/>
      <c r="CZ47" s="56"/>
      <c r="DA47" s="56"/>
      <c r="DB47" s="56"/>
      <c r="DC47" s="56"/>
      <c r="DD47" s="56"/>
      <c r="DE47" s="56"/>
      <c r="DF47" s="56"/>
      <c r="DG47" s="56"/>
      <c r="DH47" s="56"/>
      <c r="DI47" s="56"/>
      <c r="DJ47" s="56"/>
      <c r="DK47" s="56"/>
      <c r="DL47" s="56"/>
      <c r="DM47" s="56"/>
      <c r="DN47" s="56"/>
      <c r="DO47" s="56"/>
      <c r="DP47" s="56"/>
      <c r="DQ47" s="56"/>
      <c r="DR47" s="56"/>
      <c r="DS47" s="56"/>
      <c r="DT47" s="56"/>
      <c r="DU47" s="56"/>
      <c r="DV47" s="56"/>
      <c r="DW47" s="56"/>
      <c r="DX47" s="56"/>
      <c r="DY47" s="56"/>
      <c r="DZ47" s="56"/>
      <c r="EA47" s="56"/>
      <c r="EB47" s="56"/>
      <c r="EC47" s="56"/>
      <c r="ED47" s="56"/>
      <c r="EE47" s="56"/>
      <c r="EF47" s="56"/>
      <c r="EG47" s="56"/>
      <c r="EH47" s="56"/>
      <c r="EI47" s="56"/>
      <c r="EJ47" s="56"/>
      <c r="EK47" s="56"/>
      <c r="EL47" s="56"/>
      <c r="EM47" s="56"/>
      <c r="EN47" s="56"/>
      <c r="EO47" s="56"/>
      <c r="EP47" s="56"/>
      <c r="EQ47" s="56"/>
      <c r="ER47" s="56"/>
      <c r="ES47" s="56"/>
      <c r="ET47" s="56"/>
      <c r="EU47" s="56"/>
      <c r="EV47" s="56"/>
      <c r="EW47" s="56"/>
      <c r="EX47" s="56"/>
      <c r="EY47" s="56"/>
      <c r="EZ47" s="56"/>
      <c r="FA47" s="56"/>
      <c r="FB47" s="56"/>
      <c r="FC47" s="56"/>
      <c r="FD47" s="56"/>
      <c r="FE47" s="56"/>
      <c r="FF47" s="56"/>
      <c r="FG47" s="56"/>
      <c r="FH47" s="56"/>
      <c r="FI47" s="56"/>
      <c r="FJ47" s="56"/>
      <c r="FK47" s="56"/>
      <c r="FL47" s="56"/>
      <c r="FM47" s="56"/>
      <c r="FN47" s="56"/>
      <c r="FO47" s="56"/>
      <c r="FP47" s="56"/>
      <c r="FQ47" s="56"/>
      <c r="FR47" s="56"/>
      <c r="FS47" s="56"/>
      <c r="FT47" s="56"/>
      <c r="FU47" s="56"/>
      <c r="FV47" s="56"/>
      <c r="FW47" s="56"/>
      <c r="FX47" s="56"/>
      <c r="FY47" s="56"/>
      <c r="FZ47" s="56"/>
      <c r="GA47" s="56"/>
      <c r="GB47" s="56"/>
      <c r="GC47" s="56"/>
      <c r="GD47" s="56"/>
      <c r="GE47" s="56"/>
      <c r="GF47" s="56"/>
      <c r="GG47" s="56"/>
      <c r="GH47" s="56"/>
      <c r="GI47" s="56"/>
      <c r="GJ47" s="56"/>
      <c r="GK47" s="56"/>
      <c r="GL47" s="56"/>
      <c r="GM47" s="56"/>
      <c r="GN47" s="56"/>
      <c r="GO47" s="56"/>
    </row>
    <row r="48" spans="1:197" ht="16.5" thickBot="1">
      <c r="A48" s="192"/>
      <c r="B48" s="201"/>
      <c r="C48" s="301"/>
      <c r="D48" s="171"/>
      <c r="E48" s="171"/>
      <c r="F48" s="171"/>
      <c r="G48" s="171"/>
      <c r="H48" s="171"/>
      <c r="I48" s="171"/>
      <c r="J48" s="205"/>
      <c r="K48" s="171"/>
      <c r="L48" s="171"/>
      <c r="M48" s="185"/>
      <c r="N48" s="301"/>
      <c r="O48" s="171"/>
      <c r="P48" s="186"/>
      <c r="Q48" s="201"/>
      <c r="R48" s="201"/>
      <c r="S48" s="205"/>
      <c r="T48" s="201"/>
      <c r="U48" s="186"/>
      <c r="V48" s="186"/>
      <c r="W48" s="186"/>
      <c r="X48" s="186"/>
      <c r="Y48" s="186"/>
      <c r="Z48" s="186"/>
      <c r="AA48" s="58"/>
      <c r="AB48" s="171"/>
      <c r="AC48" s="192"/>
      <c r="AD48" s="830"/>
      <c r="AE48" s="831"/>
      <c r="AF48" s="832"/>
      <c r="AG48" s="171"/>
      <c r="AH48" s="272"/>
      <c r="AI48" s="58"/>
      <c r="AJ48" s="58"/>
      <c r="AK48" s="58"/>
      <c r="AL48" s="58"/>
      <c r="AM48" s="58"/>
      <c r="AN48" s="58"/>
      <c r="AO48" s="58"/>
      <c r="AP48" s="58"/>
      <c r="AQ48" s="171"/>
      <c r="AR48" s="171"/>
      <c r="AS48" s="171"/>
      <c r="AT48" s="171"/>
      <c r="AU48" s="56"/>
      <c r="AV48" s="171"/>
      <c r="AW48" s="308"/>
      <c r="AX48" s="56"/>
      <c r="AY48" s="56"/>
      <c r="AZ48" s="56"/>
      <c r="BA48" s="171"/>
      <c r="BB48" s="171"/>
      <c r="BC48" s="171"/>
      <c r="BD48" s="808"/>
      <c r="BE48" s="808"/>
      <c r="BF48" s="808"/>
      <c r="BG48" s="808"/>
      <c r="BH48" s="808"/>
      <c r="BI48" s="57"/>
      <c r="BJ48" s="56"/>
      <c r="BK48" s="56"/>
      <c r="BL48" s="83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56"/>
      <c r="CC48" s="56"/>
      <c r="CD48" s="56"/>
      <c r="CE48" s="56"/>
      <c r="CF48" s="56"/>
      <c r="CG48" s="56"/>
      <c r="CH48" s="56"/>
      <c r="CI48" s="56"/>
      <c r="CJ48" s="56"/>
      <c r="CK48" s="56"/>
      <c r="CL48" s="56"/>
      <c r="CM48" s="56"/>
      <c r="CN48" s="56"/>
      <c r="CO48" s="56"/>
      <c r="CP48" s="56"/>
      <c r="CQ48" s="56"/>
      <c r="CR48" s="56"/>
      <c r="CS48" s="56"/>
      <c r="CT48" s="56"/>
      <c r="CU48" s="56"/>
      <c r="CV48" s="56"/>
      <c r="CW48" s="56"/>
      <c r="CX48" s="56"/>
      <c r="CY48" s="56"/>
      <c r="CZ48" s="56"/>
      <c r="DA48" s="56"/>
      <c r="DB48" s="56"/>
      <c r="DC48" s="56"/>
      <c r="DD48" s="56"/>
      <c r="DE48" s="56"/>
      <c r="DF48" s="56"/>
      <c r="DG48" s="56"/>
      <c r="DH48" s="56"/>
      <c r="DI48" s="56"/>
      <c r="DJ48" s="56"/>
      <c r="DK48" s="56"/>
      <c r="DL48" s="56"/>
      <c r="DM48" s="56"/>
      <c r="DN48" s="56"/>
      <c r="DO48" s="56"/>
      <c r="DP48" s="56"/>
      <c r="DQ48" s="56"/>
      <c r="DR48" s="56"/>
      <c r="DS48" s="56"/>
      <c r="DT48" s="56"/>
      <c r="DU48" s="56"/>
      <c r="DV48" s="56"/>
      <c r="DW48" s="56"/>
      <c r="DX48" s="56"/>
      <c r="DY48" s="56"/>
      <c r="DZ48" s="56"/>
      <c r="EA48" s="56"/>
      <c r="EB48" s="56"/>
      <c r="EC48" s="56"/>
      <c r="ED48" s="56"/>
      <c r="EE48" s="56"/>
      <c r="EF48" s="56"/>
      <c r="EG48" s="56"/>
      <c r="EH48" s="56"/>
      <c r="EI48" s="56"/>
      <c r="EJ48" s="56"/>
      <c r="EK48" s="56"/>
      <c r="EL48" s="56"/>
      <c r="EM48" s="56"/>
      <c r="EN48" s="56"/>
      <c r="EO48" s="56"/>
      <c r="EP48" s="56"/>
      <c r="EQ48" s="56"/>
      <c r="ER48" s="56"/>
      <c r="ES48" s="56"/>
      <c r="ET48" s="56"/>
      <c r="EU48" s="56"/>
      <c r="EV48" s="56"/>
      <c r="EW48" s="56"/>
      <c r="EX48" s="56"/>
      <c r="EY48" s="56"/>
      <c r="EZ48" s="56"/>
      <c r="FA48" s="56"/>
      <c r="FB48" s="56"/>
      <c r="FC48" s="56"/>
      <c r="FD48" s="56"/>
      <c r="FE48" s="56"/>
      <c r="FF48" s="56"/>
      <c r="FG48" s="56"/>
      <c r="FH48" s="56"/>
      <c r="FI48" s="56"/>
      <c r="FJ48" s="56"/>
      <c r="FK48" s="56"/>
      <c r="FL48" s="56"/>
      <c r="FM48" s="56"/>
      <c r="FN48" s="56"/>
      <c r="FO48" s="56"/>
      <c r="FP48" s="56"/>
      <c r="FQ48" s="56"/>
      <c r="FR48" s="56"/>
      <c r="FS48" s="56"/>
      <c r="FT48" s="56"/>
      <c r="FU48" s="56"/>
      <c r="FV48" s="56"/>
      <c r="FW48" s="56"/>
      <c r="FX48" s="56"/>
      <c r="FY48" s="56"/>
      <c r="FZ48" s="56"/>
      <c r="GA48" s="56"/>
      <c r="GB48" s="56"/>
      <c r="GC48" s="56"/>
      <c r="GD48" s="56"/>
      <c r="GE48" s="56"/>
      <c r="GF48" s="56"/>
      <c r="GG48" s="56"/>
      <c r="GH48" s="56"/>
      <c r="GI48" s="56"/>
      <c r="GJ48" s="56"/>
      <c r="GK48" s="56"/>
      <c r="GL48" s="56"/>
      <c r="GM48" s="56"/>
      <c r="GN48" s="56"/>
      <c r="GO48" s="56"/>
    </row>
    <row r="49" spans="1:197" ht="16.5" thickBot="1">
      <c r="A49" s="310"/>
      <c r="B49" s="201"/>
      <c r="C49" s="301"/>
      <c r="D49" s="171"/>
      <c r="E49" s="171"/>
      <c r="F49" s="171"/>
      <c r="G49" s="171"/>
      <c r="H49" s="171"/>
      <c r="I49" s="171"/>
      <c r="J49" s="205"/>
      <c r="K49" s="171"/>
      <c r="L49" s="171"/>
      <c r="M49" s="311"/>
      <c r="N49" s="301"/>
      <c r="O49" s="186"/>
      <c r="P49" s="186"/>
      <c r="Q49" s="201"/>
      <c r="R49" s="201"/>
      <c r="S49" s="205"/>
      <c r="T49" s="201"/>
      <c r="U49" s="186"/>
      <c r="V49" s="186"/>
      <c r="W49" s="186"/>
      <c r="X49" s="186"/>
      <c r="Y49" s="186"/>
      <c r="Z49" s="186"/>
      <c r="AA49" s="58"/>
      <c r="AB49" s="171"/>
      <c r="AC49" s="192"/>
      <c r="AD49" s="833"/>
      <c r="AE49" s="834"/>
      <c r="AF49" s="835"/>
      <c r="AG49" s="283"/>
      <c r="AH49" s="306"/>
      <c r="AI49" s="836" t="s">
        <v>185</v>
      </c>
      <c r="AJ49" s="837"/>
      <c r="AK49" s="837"/>
      <c r="AL49" s="837"/>
      <c r="AM49" s="837"/>
      <c r="AN49" s="837"/>
      <c r="AO49" s="837"/>
      <c r="AP49" s="838"/>
      <c r="AQ49" s="171"/>
      <c r="AR49" s="171"/>
      <c r="AS49" s="171"/>
      <c r="AT49" s="845"/>
      <c r="AU49" s="845"/>
      <c r="AV49" s="171"/>
      <c r="AW49" s="308"/>
      <c r="AX49" s="171"/>
      <c r="AY49" s="56"/>
      <c r="AZ49" s="56"/>
      <c r="BA49" s="171"/>
      <c r="BB49" s="171"/>
      <c r="BC49" s="171"/>
      <c r="BD49" s="808"/>
      <c r="BE49" s="808"/>
      <c r="BF49" s="808"/>
      <c r="BG49" s="808"/>
      <c r="BH49" s="808"/>
      <c r="BI49" s="57"/>
      <c r="BJ49" s="58"/>
      <c r="BK49" s="56"/>
      <c r="BL49" s="83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56"/>
      <c r="CR49" s="56"/>
      <c r="CS49" s="56"/>
      <c r="CT49" s="56"/>
      <c r="CU49" s="56"/>
      <c r="CV49" s="56"/>
      <c r="CW49" s="56"/>
      <c r="CX49" s="56"/>
      <c r="CY49" s="56"/>
      <c r="CZ49" s="56"/>
      <c r="DA49" s="56"/>
      <c r="DB49" s="56"/>
      <c r="DC49" s="56"/>
      <c r="DD49" s="56"/>
      <c r="DE49" s="56"/>
      <c r="DF49" s="56"/>
      <c r="DG49" s="56"/>
      <c r="DH49" s="56"/>
      <c r="DI49" s="56"/>
      <c r="DJ49" s="56"/>
      <c r="DK49" s="56"/>
      <c r="DL49" s="56"/>
      <c r="DM49" s="56"/>
      <c r="DN49" s="56"/>
      <c r="DO49" s="56"/>
      <c r="DP49" s="56"/>
      <c r="DQ49" s="56"/>
      <c r="DR49" s="56"/>
      <c r="DS49" s="56"/>
      <c r="DT49" s="56"/>
      <c r="DU49" s="56"/>
      <c r="DV49" s="56"/>
      <c r="DW49" s="56"/>
      <c r="DX49" s="56"/>
      <c r="DY49" s="56"/>
      <c r="DZ49" s="56"/>
      <c r="EA49" s="56"/>
      <c r="EB49" s="56"/>
      <c r="EC49" s="56"/>
      <c r="ED49" s="56"/>
      <c r="EE49" s="56"/>
      <c r="EF49" s="56"/>
      <c r="EG49" s="56"/>
      <c r="EH49" s="56"/>
      <c r="EI49" s="56"/>
      <c r="EJ49" s="56"/>
      <c r="EK49" s="56"/>
      <c r="EL49" s="56"/>
      <c r="EM49" s="56"/>
      <c r="EN49" s="56"/>
      <c r="EO49" s="56"/>
      <c r="EP49" s="56"/>
      <c r="EQ49" s="56"/>
      <c r="ER49" s="56"/>
      <c r="ES49" s="56"/>
      <c r="ET49" s="56"/>
      <c r="EU49" s="56"/>
      <c r="EV49" s="56"/>
      <c r="EW49" s="56"/>
      <c r="EX49" s="56"/>
      <c r="EY49" s="56"/>
      <c r="EZ49" s="56"/>
      <c r="FA49" s="56"/>
      <c r="FB49" s="56"/>
      <c r="FC49" s="56"/>
      <c r="FD49" s="56"/>
      <c r="FE49" s="56"/>
      <c r="FF49" s="56"/>
      <c r="FG49" s="56"/>
      <c r="FH49" s="56"/>
      <c r="FI49" s="56"/>
      <c r="FJ49" s="56"/>
      <c r="FK49" s="56"/>
      <c r="FL49" s="56"/>
      <c r="FM49" s="56"/>
      <c r="FN49" s="56"/>
      <c r="FO49" s="56"/>
      <c r="FP49" s="56"/>
      <c r="FQ49" s="56"/>
      <c r="FR49" s="56"/>
      <c r="FS49" s="56"/>
      <c r="FT49" s="56"/>
      <c r="FU49" s="56"/>
      <c r="FV49" s="56"/>
      <c r="FW49" s="56"/>
      <c r="FX49" s="56"/>
      <c r="FY49" s="56"/>
      <c r="FZ49" s="56"/>
      <c r="GA49" s="56"/>
      <c r="GB49" s="56"/>
      <c r="GC49" s="56"/>
      <c r="GD49" s="56"/>
      <c r="GE49" s="56"/>
      <c r="GF49" s="56"/>
      <c r="GG49" s="56"/>
      <c r="GH49" s="56"/>
      <c r="GI49" s="56"/>
      <c r="GJ49" s="56"/>
      <c r="GK49" s="56"/>
      <c r="GL49" s="56"/>
      <c r="GM49" s="56"/>
      <c r="GN49" s="56"/>
      <c r="GO49" s="56"/>
    </row>
    <row r="50" spans="1:197" ht="15.75" thickBot="1">
      <c r="A50" s="310"/>
      <c r="B50" s="201"/>
      <c r="C50" s="301"/>
      <c r="D50" s="171"/>
      <c r="E50" s="171"/>
      <c r="F50" s="171"/>
      <c r="G50" s="171"/>
      <c r="H50" s="171"/>
      <c r="I50" s="171"/>
      <c r="J50" s="205"/>
      <c r="K50" s="171"/>
      <c r="L50" s="171"/>
      <c r="M50" s="311"/>
      <c r="N50" s="301"/>
      <c r="O50" s="186"/>
      <c r="P50" s="186"/>
      <c r="Q50" s="201"/>
      <c r="R50" s="201"/>
      <c r="S50" s="205"/>
      <c r="T50" s="186"/>
      <c r="U50" s="186"/>
      <c r="V50" s="186"/>
      <c r="W50" s="186"/>
      <c r="X50" s="186"/>
      <c r="Y50" s="186"/>
      <c r="Z50" s="186"/>
      <c r="AA50" s="57"/>
      <c r="AB50" s="186"/>
      <c r="AC50" s="192"/>
      <c r="AD50" s="185"/>
      <c r="AE50" s="312"/>
      <c r="AF50" s="846" t="s">
        <v>186</v>
      </c>
      <c r="AG50" s="847"/>
      <c r="AH50" s="848"/>
      <c r="AI50" s="839"/>
      <c r="AJ50" s="840"/>
      <c r="AK50" s="840"/>
      <c r="AL50" s="840"/>
      <c r="AM50" s="840"/>
      <c r="AN50" s="840"/>
      <c r="AO50" s="840"/>
      <c r="AP50" s="841"/>
      <c r="AQ50" s="171"/>
      <c r="AR50" s="171"/>
      <c r="AS50" s="171"/>
      <c r="AT50" s="845"/>
      <c r="AU50" s="845"/>
      <c r="AV50" s="313"/>
      <c r="AW50" s="313"/>
      <c r="AX50" s="171"/>
      <c r="AY50" s="56"/>
      <c r="AZ50" s="56"/>
      <c r="BA50" s="171"/>
      <c r="BB50" s="171"/>
      <c r="BC50" s="171"/>
      <c r="BD50" s="212"/>
      <c r="BE50" s="212"/>
      <c r="BF50" s="212"/>
      <c r="BG50" s="212"/>
      <c r="BH50" s="212"/>
      <c r="BI50" s="57"/>
      <c r="BJ50" s="308"/>
      <c r="BK50" s="308"/>
      <c r="BL50" s="83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56"/>
      <c r="CC50" s="56"/>
      <c r="CD50" s="56"/>
      <c r="CE50" s="56"/>
      <c r="CF50" s="56"/>
      <c r="CG50" s="56"/>
      <c r="CH50" s="56"/>
      <c r="CI50" s="56"/>
      <c r="CJ50" s="56"/>
      <c r="CK50" s="56"/>
      <c r="CL50" s="56"/>
      <c r="CM50" s="56"/>
      <c r="CN50" s="56"/>
      <c r="CO50" s="56"/>
      <c r="CP50" s="56"/>
      <c r="CQ50" s="56"/>
      <c r="CR50" s="56"/>
      <c r="CS50" s="56"/>
      <c r="CT50" s="56"/>
      <c r="CU50" s="56"/>
      <c r="CV50" s="56"/>
      <c r="CW50" s="56"/>
      <c r="CX50" s="56"/>
      <c r="CY50" s="56"/>
      <c r="CZ50" s="56"/>
      <c r="DA50" s="56"/>
      <c r="DB50" s="56"/>
      <c r="DC50" s="56"/>
      <c r="DD50" s="56"/>
      <c r="DE50" s="56"/>
      <c r="DF50" s="56"/>
      <c r="DG50" s="56"/>
      <c r="DH50" s="56"/>
      <c r="DI50" s="56"/>
      <c r="DJ50" s="56"/>
      <c r="DK50" s="56"/>
      <c r="DL50" s="56"/>
      <c r="DM50" s="56"/>
      <c r="DN50" s="56"/>
      <c r="DO50" s="56"/>
      <c r="DP50" s="56"/>
      <c r="DQ50" s="56"/>
      <c r="DR50" s="56"/>
      <c r="DS50" s="56"/>
      <c r="DT50" s="56"/>
      <c r="DU50" s="56"/>
      <c r="DV50" s="56"/>
      <c r="DW50" s="56"/>
      <c r="DX50" s="56"/>
      <c r="DY50" s="56"/>
      <c r="DZ50" s="56"/>
      <c r="EA50" s="56"/>
      <c r="EB50" s="56"/>
      <c r="EC50" s="56"/>
      <c r="ED50" s="56"/>
      <c r="EE50" s="56"/>
      <c r="EF50" s="56"/>
      <c r="EG50" s="56"/>
      <c r="EH50" s="56"/>
      <c r="EI50" s="56"/>
      <c r="EJ50" s="56"/>
      <c r="EK50" s="56"/>
      <c r="EL50" s="56"/>
      <c r="EM50" s="56"/>
      <c r="EN50" s="56"/>
      <c r="EO50" s="56"/>
      <c r="EP50" s="56"/>
      <c r="EQ50" s="56"/>
      <c r="ER50" s="56"/>
      <c r="ES50" s="56"/>
      <c r="ET50" s="56"/>
      <c r="EU50" s="56"/>
      <c r="EV50" s="56"/>
      <c r="EW50" s="56"/>
      <c r="EX50" s="56"/>
      <c r="EY50" s="56"/>
      <c r="EZ50" s="56"/>
      <c r="FA50" s="56"/>
      <c r="FB50" s="56"/>
      <c r="FC50" s="56"/>
      <c r="FD50" s="56"/>
      <c r="FE50" s="56"/>
      <c r="FF50" s="56"/>
      <c r="FG50" s="56"/>
      <c r="FH50" s="56"/>
      <c r="FI50" s="56"/>
      <c r="FJ50" s="56"/>
      <c r="FK50" s="56"/>
      <c r="FL50" s="56"/>
      <c r="FM50" s="56"/>
      <c r="FN50" s="56"/>
      <c r="FO50" s="56"/>
      <c r="FP50" s="56"/>
      <c r="FQ50" s="56"/>
      <c r="FR50" s="56"/>
      <c r="FS50" s="56"/>
      <c r="FT50" s="56"/>
      <c r="FU50" s="56"/>
      <c r="FV50" s="56"/>
      <c r="FW50" s="56"/>
      <c r="FX50" s="56"/>
      <c r="FY50" s="56"/>
      <c r="FZ50" s="56"/>
      <c r="GA50" s="56"/>
      <c r="GB50" s="56"/>
      <c r="GC50" s="56"/>
      <c r="GD50" s="56"/>
      <c r="GE50" s="56"/>
      <c r="GF50" s="56"/>
      <c r="GG50" s="56"/>
      <c r="GH50" s="56"/>
      <c r="GI50" s="56"/>
      <c r="GJ50" s="56"/>
      <c r="GK50" s="56"/>
      <c r="GL50" s="56"/>
      <c r="GM50" s="56"/>
      <c r="GN50" s="56"/>
      <c r="GO50" s="56"/>
    </row>
    <row r="51" spans="1:197">
      <c r="A51" s="310"/>
      <c r="B51" s="201"/>
      <c r="C51" s="301"/>
      <c r="D51" s="171"/>
      <c r="E51" s="171"/>
      <c r="F51" s="171"/>
      <c r="G51" s="171"/>
      <c r="H51" s="171"/>
      <c r="I51" s="171"/>
      <c r="J51" s="205"/>
      <c r="K51" s="171"/>
      <c r="L51" s="171"/>
      <c r="M51" s="311"/>
      <c r="N51" s="301"/>
      <c r="O51" s="186"/>
      <c r="P51" s="186"/>
      <c r="Q51" s="201"/>
      <c r="R51" s="201"/>
      <c r="S51" s="205"/>
      <c r="T51" s="201"/>
      <c r="U51" s="201"/>
      <c r="V51" s="201"/>
      <c r="W51" s="201"/>
      <c r="X51" s="201"/>
      <c r="Y51" s="186"/>
      <c r="Z51" s="186"/>
      <c r="AA51" s="57"/>
      <c r="AB51" s="186"/>
      <c r="AC51" s="192"/>
      <c r="AD51" s="186"/>
      <c r="AE51" s="252"/>
      <c r="AF51" s="849"/>
      <c r="AG51" s="850"/>
      <c r="AH51" s="851"/>
      <c r="AI51" s="839"/>
      <c r="AJ51" s="840"/>
      <c r="AK51" s="840"/>
      <c r="AL51" s="840"/>
      <c r="AM51" s="840"/>
      <c r="AN51" s="840"/>
      <c r="AO51" s="840"/>
      <c r="AP51" s="841"/>
      <c r="AQ51" s="171"/>
      <c r="AR51" s="171"/>
      <c r="AS51" s="171"/>
      <c r="AT51" s="171"/>
      <c r="AU51" s="855" t="s">
        <v>187</v>
      </c>
      <c r="AV51" s="856"/>
      <c r="AW51" s="171"/>
      <c r="AX51" s="171"/>
      <c r="AY51" s="56"/>
      <c r="AZ51" s="56"/>
      <c r="BA51" s="171"/>
      <c r="BB51" s="171"/>
      <c r="BC51" s="171"/>
      <c r="BD51" s="212"/>
      <c r="BE51" s="212"/>
      <c r="BF51" s="212"/>
      <c r="BG51" s="212"/>
      <c r="BH51" s="212"/>
      <c r="BI51" s="57"/>
      <c r="BJ51" s="308"/>
      <c r="BK51" s="308"/>
      <c r="BL51" s="83"/>
      <c r="BM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56"/>
      <c r="CD51" s="56"/>
      <c r="CE51" s="56"/>
      <c r="CF51" s="56"/>
      <c r="CG51" s="56"/>
      <c r="CH51" s="56"/>
      <c r="CI51" s="56"/>
      <c r="CJ51" s="56"/>
      <c r="CK51" s="56"/>
      <c r="CL51" s="56"/>
      <c r="CM51" s="56"/>
      <c r="CN51" s="56"/>
      <c r="CO51" s="56"/>
      <c r="CP51" s="56"/>
      <c r="CQ51" s="56"/>
      <c r="CR51" s="56"/>
      <c r="CS51" s="56"/>
      <c r="CT51" s="56"/>
      <c r="CU51" s="56"/>
      <c r="CV51" s="56"/>
      <c r="CW51" s="56"/>
      <c r="CX51" s="56"/>
      <c r="CY51" s="56"/>
      <c r="CZ51" s="56"/>
      <c r="DA51" s="56"/>
      <c r="DB51" s="56"/>
      <c r="DC51" s="56"/>
      <c r="DD51" s="56"/>
      <c r="DE51" s="56"/>
      <c r="DF51" s="56"/>
      <c r="DG51" s="56"/>
      <c r="DH51" s="56"/>
      <c r="DI51" s="56"/>
      <c r="DJ51" s="56"/>
      <c r="DK51" s="56"/>
      <c r="DL51" s="56"/>
      <c r="DM51" s="56"/>
      <c r="DN51" s="56"/>
      <c r="DO51" s="56"/>
      <c r="DP51" s="56"/>
      <c r="DQ51" s="56"/>
      <c r="DR51" s="56"/>
      <c r="DS51" s="56"/>
      <c r="DT51" s="56"/>
      <c r="DU51" s="56"/>
      <c r="DV51" s="56"/>
      <c r="DW51" s="56"/>
      <c r="DX51" s="56"/>
      <c r="DY51" s="56"/>
      <c r="DZ51" s="56"/>
      <c r="EA51" s="56"/>
      <c r="EB51" s="56"/>
      <c r="EC51" s="56"/>
      <c r="ED51" s="56"/>
      <c r="EE51" s="56"/>
      <c r="EF51" s="56"/>
      <c r="EG51" s="56"/>
      <c r="EH51" s="56"/>
      <c r="EI51" s="56"/>
      <c r="EJ51" s="56"/>
      <c r="EK51" s="56"/>
      <c r="EL51" s="56"/>
      <c r="EM51" s="56"/>
      <c r="EN51" s="56"/>
      <c r="EO51" s="56"/>
      <c r="EP51" s="56"/>
      <c r="EQ51" s="56"/>
      <c r="ER51" s="56"/>
      <c r="ES51" s="56"/>
      <c r="ET51" s="56"/>
      <c r="EU51" s="56"/>
      <c r="EV51" s="56"/>
      <c r="EW51" s="56"/>
      <c r="EX51" s="56"/>
      <c r="EY51" s="56"/>
      <c r="EZ51" s="56"/>
      <c r="FA51" s="56"/>
      <c r="FB51" s="56"/>
      <c r="FC51" s="56"/>
      <c r="FD51" s="56"/>
      <c r="FE51" s="56"/>
      <c r="FF51" s="56"/>
      <c r="FG51" s="56"/>
      <c r="FH51" s="56"/>
      <c r="FI51" s="56"/>
      <c r="FJ51" s="56"/>
      <c r="FK51" s="56"/>
      <c r="FL51" s="56"/>
      <c r="FM51" s="56"/>
      <c r="FN51" s="56"/>
      <c r="FO51" s="56"/>
      <c r="FP51" s="56"/>
      <c r="FQ51" s="56"/>
      <c r="FR51" s="56"/>
      <c r="FS51" s="56"/>
      <c r="FT51" s="56"/>
      <c r="FU51" s="56"/>
      <c r="FV51" s="56"/>
      <c r="FW51" s="56"/>
      <c r="FX51" s="56"/>
      <c r="FY51" s="56"/>
      <c r="FZ51" s="56"/>
      <c r="GA51" s="56"/>
      <c r="GB51" s="56"/>
      <c r="GC51" s="56"/>
      <c r="GD51" s="56"/>
      <c r="GE51" s="56"/>
      <c r="GF51" s="56"/>
      <c r="GG51" s="56"/>
      <c r="GH51" s="56"/>
      <c r="GI51" s="56"/>
      <c r="GJ51" s="56"/>
      <c r="GK51" s="56"/>
      <c r="GL51" s="56"/>
      <c r="GM51" s="56"/>
      <c r="GN51" s="56"/>
      <c r="GO51" s="56"/>
    </row>
    <row r="52" spans="1:197" ht="15.75" thickBot="1">
      <c r="A52" s="310"/>
      <c r="B52" s="201"/>
      <c r="C52" s="301"/>
      <c r="D52" s="171"/>
      <c r="E52" s="171"/>
      <c r="F52" s="171"/>
      <c r="G52" s="171"/>
      <c r="H52" s="171"/>
      <c r="I52" s="171"/>
      <c r="J52" s="205"/>
      <c r="K52" s="171"/>
      <c r="L52" s="171"/>
      <c r="M52" s="311"/>
      <c r="N52" s="301"/>
      <c r="O52" s="186"/>
      <c r="P52" s="186"/>
      <c r="Q52" s="201"/>
      <c r="R52" s="201"/>
      <c r="S52" s="205"/>
      <c r="T52" s="295"/>
      <c r="U52" s="295"/>
      <c r="V52" s="171"/>
      <c r="W52" s="171"/>
      <c r="X52" s="171"/>
      <c r="Y52" s="171"/>
      <c r="Z52" s="295"/>
      <c r="AA52" s="57"/>
      <c r="AB52" s="295"/>
      <c r="AC52" s="281"/>
      <c r="AD52" s="314"/>
      <c r="AE52" s="315"/>
      <c r="AF52" s="852"/>
      <c r="AG52" s="853"/>
      <c r="AH52" s="854"/>
      <c r="AI52" s="842"/>
      <c r="AJ52" s="843"/>
      <c r="AK52" s="843"/>
      <c r="AL52" s="843"/>
      <c r="AM52" s="843"/>
      <c r="AN52" s="843"/>
      <c r="AO52" s="843"/>
      <c r="AP52" s="844"/>
      <c r="AQ52" s="314"/>
      <c r="AR52" s="314"/>
      <c r="AS52" s="314"/>
      <c r="AT52" s="305"/>
      <c r="AU52" s="857"/>
      <c r="AV52" s="858"/>
      <c r="AW52" s="305"/>
      <c r="AX52" s="305"/>
      <c r="AY52" s="305"/>
      <c r="AZ52" s="305"/>
      <c r="BA52" s="305"/>
      <c r="BB52" s="305"/>
      <c r="BC52" s="305"/>
      <c r="BD52" s="819"/>
      <c r="BE52" s="819"/>
      <c r="BF52" s="819"/>
      <c r="BG52" s="819"/>
      <c r="BH52" s="819"/>
      <c r="BI52" s="305"/>
      <c r="BJ52" s="304"/>
      <c r="BK52" s="304"/>
      <c r="BL52" s="83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6"/>
      <c r="CO52" s="56"/>
      <c r="CP52" s="56"/>
      <c r="CQ52" s="56"/>
      <c r="CR52" s="56"/>
      <c r="CS52" s="56"/>
      <c r="CT52" s="56"/>
      <c r="CU52" s="56"/>
      <c r="CV52" s="56"/>
      <c r="CW52" s="56"/>
      <c r="CX52" s="56"/>
      <c r="CY52" s="56"/>
      <c r="CZ52" s="56"/>
      <c r="DA52" s="56"/>
      <c r="DB52" s="56"/>
      <c r="DC52" s="56"/>
      <c r="DD52" s="56"/>
      <c r="DE52" s="56"/>
      <c r="DF52" s="56"/>
      <c r="DG52" s="56"/>
      <c r="DH52" s="56"/>
      <c r="DI52" s="56"/>
      <c r="DJ52" s="56"/>
      <c r="DK52" s="56"/>
      <c r="DL52" s="56"/>
      <c r="DM52" s="56"/>
      <c r="DN52" s="56"/>
      <c r="DO52" s="56"/>
      <c r="DP52" s="56"/>
      <c r="DQ52" s="56"/>
      <c r="DR52" s="56"/>
      <c r="DS52" s="56"/>
      <c r="DT52" s="56"/>
      <c r="DU52" s="56"/>
      <c r="DV52" s="56"/>
      <c r="DW52" s="56"/>
      <c r="DX52" s="56"/>
      <c r="DY52" s="56"/>
      <c r="DZ52" s="56"/>
      <c r="EA52" s="56"/>
      <c r="EB52" s="56"/>
      <c r="EC52" s="56"/>
      <c r="ED52" s="56"/>
      <c r="EE52" s="56"/>
      <c r="EF52" s="56"/>
      <c r="EG52" s="56"/>
      <c r="EH52" s="56"/>
      <c r="EI52" s="56"/>
      <c r="EJ52" s="56"/>
      <c r="EK52" s="56"/>
      <c r="EL52" s="56"/>
      <c r="EM52" s="56"/>
      <c r="EN52" s="56"/>
      <c r="EO52" s="56"/>
      <c r="EP52" s="56"/>
      <c r="EQ52" s="56"/>
      <c r="ER52" s="56"/>
      <c r="ES52" s="56"/>
      <c r="ET52" s="56"/>
      <c r="EU52" s="56"/>
      <c r="EV52" s="56"/>
      <c r="EW52" s="56"/>
      <c r="EX52" s="56"/>
      <c r="EY52" s="56"/>
      <c r="EZ52" s="56"/>
      <c r="FA52" s="56"/>
      <c r="FB52" s="56"/>
      <c r="FC52" s="56"/>
      <c r="FD52" s="56"/>
      <c r="FE52" s="56"/>
      <c r="FF52" s="56"/>
      <c r="FG52" s="56"/>
      <c r="FH52" s="56"/>
      <c r="FI52" s="56"/>
      <c r="FJ52" s="56"/>
      <c r="FK52" s="56"/>
      <c r="FL52" s="56"/>
      <c r="FM52" s="56"/>
      <c r="FN52" s="56"/>
      <c r="FO52" s="56"/>
      <c r="FP52" s="56"/>
      <c r="FQ52" s="56"/>
      <c r="FR52" s="56"/>
      <c r="FS52" s="56"/>
      <c r="FT52" s="56"/>
      <c r="FU52" s="56"/>
      <c r="FV52" s="56"/>
      <c r="FW52" s="56"/>
      <c r="FX52" s="56"/>
      <c r="FY52" s="56"/>
      <c r="FZ52" s="56"/>
      <c r="GA52" s="56"/>
      <c r="GB52" s="56"/>
      <c r="GC52" s="56"/>
      <c r="GD52" s="56"/>
      <c r="GE52" s="56"/>
      <c r="GF52" s="56"/>
      <c r="GG52" s="56"/>
      <c r="GH52" s="56"/>
      <c r="GI52" s="56"/>
      <c r="GJ52" s="56"/>
      <c r="GK52" s="56"/>
      <c r="GL52" s="56"/>
      <c r="GM52" s="56"/>
      <c r="GN52" s="56"/>
      <c r="GO52" s="56"/>
    </row>
    <row r="53" spans="1:197">
      <c r="A53" s="308"/>
      <c r="B53" s="201"/>
      <c r="C53" s="301"/>
      <c r="D53" s="171"/>
      <c r="E53" s="171"/>
      <c r="F53" s="171"/>
      <c r="G53" s="171"/>
      <c r="H53" s="171"/>
      <c r="I53" s="171"/>
      <c r="J53" s="205"/>
      <c r="K53" s="171"/>
      <c r="L53" s="171"/>
      <c r="M53" s="311"/>
      <c r="N53" s="301"/>
      <c r="O53" s="186"/>
      <c r="P53" s="186"/>
      <c r="Q53" s="201"/>
      <c r="R53" s="201"/>
      <c r="S53" s="205"/>
      <c r="T53" s="295"/>
      <c r="U53" s="295"/>
      <c r="V53" s="171"/>
      <c r="W53" s="171"/>
      <c r="X53" s="171"/>
      <c r="Y53" s="171"/>
      <c r="Z53" s="295"/>
      <c r="AA53" s="57"/>
      <c r="AB53" s="295"/>
      <c r="AC53" s="186"/>
      <c r="AD53" s="295"/>
      <c r="AE53" s="171"/>
      <c r="AF53" s="171"/>
      <c r="AG53" s="171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  <c r="AX53" s="171"/>
      <c r="AY53" s="171"/>
      <c r="AZ53" s="171"/>
      <c r="BA53" s="171"/>
      <c r="BB53" s="171"/>
      <c r="BC53" s="171"/>
      <c r="BD53" s="171"/>
      <c r="BE53" s="171"/>
      <c r="BF53" s="171"/>
      <c r="BG53" s="171"/>
      <c r="BH53" s="171"/>
      <c r="BI53" s="171"/>
      <c r="BJ53" s="308"/>
      <c r="BK53" s="308"/>
      <c r="BL53" s="112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6"/>
      <c r="CS53" s="56"/>
      <c r="CT53" s="56"/>
      <c r="CU53" s="56"/>
      <c r="CV53" s="56"/>
      <c r="CW53" s="56"/>
      <c r="CX53" s="56"/>
      <c r="CY53" s="56"/>
      <c r="CZ53" s="56"/>
      <c r="DA53" s="56"/>
      <c r="DB53" s="56"/>
      <c r="DC53" s="56"/>
      <c r="DD53" s="56"/>
      <c r="DE53" s="56"/>
      <c r="DF53" s="56"/>
      <c r="DG53" s="56"/>
      <c r="DH53" s="56"/>
      <c r="DI53" s="56"/>
      <c r="DJ53" s="56"/>
      <c r="DK53" s="56"/>
      <c r="DL53" s="56"/>
      <c r="DM53" s="56"/>
      <c r="DN53" s="56"/>
      <c r="DO53" s="56"/>
      <c r="DP53" s="56"/>
      <c r="DQ53" s="56"/>
      <c r="DR53" s="56"/>
      <c r="DS53" s="56"/>
      <c r="DT53" s="56"/>
      <c r="DU53" s="56"/>
      <c r="DV53" s="56"/>
      <c r="DW53" s="56"/>
      <c r="DX53" s="56"/>
      <c r="DY53" s="56"/>
      <c r="DZ53" s="56"/>
      <c r="EA53" s="56"/>
      <c r="EB53" s="56"/>
      <c r="EC53" s="56"/>
      <c r="ED53" s="56"/>
      <c r="EE53" s="56"/>
      <c r="EF53" s="56"/>
      <c r="EG53" s="56"/>
      <c r="EH53" s="56"/>
      <c r="EI53" s="56"/>
      <c r="EJ53" s="56"/>
      <c r="EK53" s="56"/>
      <c r="EL53" s="56"/>
      <c r="EM53" s="56"/>
      <c r="EN53" s="56"/>
      <c r="EO53" s="56"/>
      <c r="EP53" s="56"/>
      <c r="EQ53" s="56"/>
      <c r="ER53" s="56"/>
      <c r="ES53" s="56"/>
      <c r="ET53" s="56"/>
      <c r="EU53" s="56"/>
      <c r="EV53" s="56"/>
      <c r="EW53" s="56"/>
      <c r="EX53" s="56"/>
      <c r="EY53" s="56"/>
      <c r="EZ53" s="56"/>
      <c r="FA53" s="56"/>
      <c r="FB53" s="56"/>
      <c r="FC53" s="56"/>
      <c r="FD53" s="56"/>
      <c r="FE53" s="56"/>
      <c r="FF53" s="56"/>
      <c r="FG53" s="56"/>
      <c r="FH53" s="56"/>
      <c r="FI53" s="56"/>
      <c r="FJ53" s="56"/>
      <c r="FK53" s="56"/>
      <c r="FL53" s="56"/>
      <c r="FM53" s="56"/>
      <c r="FN53" s="56"/>
      <c r="FO53" s="56"/>
      <c r="FP53" s="56"/>
      <c r="FQ53" s="56"/>
      <c r="FR53" s="56"/>
      <c r="FS53" s="56"/>
      <c r="FT53" s="56"/>
      <c r="FU53" s="56"/>
      <c r="FV53" s="56"/>
      <c r="FW53" s="56"/>
      <c r="FX53" s="56"/>
      <c r="FY53" s="56"/>
      <c r="FZ53" s="56"/>
      <c r="GA53" s="56"/>
      <c r="GB53" s="56"/>
      <c r="GC53" s="56"/>
      <c r="GD53" s="56"/>
      <c r="GE53" s="56"/>
      <c r="GF53" s="56"/>
      <c r="GG53" s="56"/>
      <c r="GH53" s="56"/>
      <c r="GI53" s="56"/>
      <c r="GJ53" s="56"/>
      <c r="GK53" s="56"/>
      <c r="GL53" s="56"/>
      <c r="GM53" s="56"/>
      <c r="GN53" s="56"/>
      <c r="GO53" s="56"/>
    </row>
    <row r="54" spans="1:197">
      <c r="A54" s="308"/>
      <c r="B54" s="201"/>
      <c r="C54" s="301"/>
      <c r="D54" s="171"/>
      <c r="E54" s="171"/>
      <c r="F54" s="171"/>
      <c r="G54" s="171"/>
      <c r="H54" s="171"/>
      <c r="I54" s="171"/>
      <c r="J54" s="205"/>
      <c r="K54" s="171"/>
      <c r="L54" s="171"/>
      <c r="M54" s="311"/>
      <c r="N54" s="301"/>
      <c r="O54" s="186"/>
      <c r="P54" s="186"/>
      <c r="Q54" s="201"/>
      <c r="R54" s="201"/>
      <c r="S54" s="205"/>
      <c r="T54" s="295"/>
      <c r="U54" s="295"/>
      <c r="V54" s="171"/>
      <c r="W54" s="171"/>
      <c r="X54" s="171"/>
      <c r="Y54" s="171"/>
      <c r="Z54" s="295"/>
      <c r="AA54" s="57"/>
      <c r="AB54" s="295"/>
      <c r="AC54" s="186"/>
      <c r="AD54" s="295"/>
      <c r="AE54" s="171"/>
      <c r="AF54" s="171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  <c r="AX54" s="171"/>
      <c r="AY54" s="171"/>
      <c r="AZ54" s="171"/>
      <c r="BA54" s="171"/>
      <c r="BB54" s="171"/>
      <c r="BC54" s="171"/>
      <c r="BD54" s="171"/>
      <c r="BE54" s="171"/>
      <c r="BF54" s="171"/>
      <c r="BG54" s="171"/>
      <c r="BH54" s="171"/>
      <c r="BI54" s="171"/>
      <c r="BJ54" s="308"/>
      <c r="BK54" s="308"/>
      <c r="BL54" s="112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6"/>
      <c r="CR54" s="56"/>
      <c r="CS54" s="56"/>
      <c r="CT54" s="56"/>
      <c r="CU54" s="56"/>
      <c r="CV54" s="56"/>
      <c r="CW54" s="56"/>
      <c r="CX54" s="56"/>
      <c r="CY54" s="56"/>
      <c r="CZ54" s="56"/>
      <c r="DA54" s="56"/>
      <c r="DB54" s="56"/>
      <c r="DC54" s="56"/>
      <c r="DD54" s="56"/>
      <c r="DE54" s="56"/>
      <c r="DF54" s="56"/>
      <c r="DG54" s="56"/>
      <c r="DH54" s="56"/>
      <c r="DI54" s="56"/>
      <c r="DJ54" s="56"/>
      <c r="DK54" s="56"/>
      <c r="DL54" s="56"/>
      <c r="DM54" s="56"/>
      <c r="DN54" s="56"/>
      <c r="DO54" s="56"/>
      <c r="DP54" s="56"/>
      <c r="DQ54" s="56"/>
      <c r="DR54" s="56"/>
      <c r="DS54" s="56"/>
      <c r="DT54" s="56"/>
      <c r="DU54" s="56"/>
      <c r="DV54" s="56"/>
      <c r="DW54" s="56"/>
      <c r="DX54" s="56"/>
      <c r="DY54" s="56"/>
      <c r="DZ54" s="56"/>
      <c r="EA54" s="56"/>
      <c r="EB54" s="56"/>
      <c r="EC54" s="56"/>
      <c r="ED54" s="56"/>
      <c r="EE54" s="56"/>
      <c r="EF54" s="56"/>
      <c r="EG54" s="56"/>
      <c r="EH54" s="56"/>
      <c r="EI54" s="56"/>
      <c r="EJ54" s="56"/>
      <c r="EK54" s="56"/>
      <c r="EL54" s="56"/>
      <c r="EM54" s="56"/>
      <c r="EN54" s="56"/>
      <c r="EO54" s="56"/>
      <c r="EP54" s="56"/>
      <c r="EQ54" s="56"/>
      <c r="ER54" s="56"/>
      <c r="ES54" s="56"/>
      <c r="ET54" s="56"/>
      <c r="EU54" s="56"/>
      <c r="EV54" s="56"/>
      <c r="EW54" s="56"/>
      <c r="EX54" s="56"/>
      <c r="EY54" s="56"/>
      <c r="EZ54" s="56"/>
      <c r="FA54" s="56"/>
      <c r="FB54" s="56"/>
      <c r="FC54" s="56"/>
      <c r="FD54" s="56"/>
      <c r="FE54" s="56"/>
      <c r="FF54" s="56"/>
      <c r="FG54" s="56"/>
      <c r="FH54" s="56"/>
      <c r="FI54" s="56"/>
      <c r="FJ54" s="56"/>
      <c r="FK54" s="56"/>
      <c r="FL54" s="56"/>
      <c r="FM54" s="56"/>
      <c r="FN54" s="56"/>
      <c r="FO54" s="56"/>
      <c r="FP54" s="56"/>
      <c r="FQ54" s="56"/>
      <c r="FR54" s="56"/>
      <c r="FS54" s="56"/>
      <c r="FT54" s="56"/>
      <c r="FU54" s="56"/>
      <c r="FV54" s="56"/>
      <c r="FW54" s="56"/>
      <c r="FX54" s="56"/>
      <c r="FY54" s="56"/>
      <c r="FZ54" s="56"/>
      <c r="GA54" s="56"/>
      <c r="GB54" s="56"/>
      <c r="GC54" s="56"/>
      <c r="GD54" s="56"/>
      <c r="GE54" s="56"/>
      <c r="GF54" s="56"/>
      <c r="GG54" s="56"/>
      <c r="GH54" s="56"/>
      <c r="GI54" s="56"/>
      <c r="GJ54" s="56"/>
      <c r="GK54" s="56"/>
      <c r="GL54" s="56"/>
      <c r="GM54" s="56"/>
      <c r="GN54" s="56"/>
      <c r="GO54" s="56"/>
    </row>
    <row r="55" spans="1:197">
      <c r="A55" s="308"/>
      <c r="B55" s="201"/>
      <c r="C55" s="301"/>
      <c r="D55" s="171"/>
      <c r="E55" s="171"/>
      <c r="F55" s="171"/>
      <c r="G55" s="171"/>
      <c r="H55" s="171"/>
      <c r="I55" s="171"/>
      <c r="J55" s="205"/>
      <c r="K55" s="171"/>
      <c r="L55" s="171"/>
      <c r="M55" s="311"/>
      <c r="N55" s="301"/>
      <c r="O55" s="186"/>
      <c r="P55" s="186"/>
      <c r="Q55" s="201"/>
      <c r="R55" s="201"/>
      <c r="S55" s="205"/>
      <c r="T55" s="295"/>
      <c r="U55" s="295"/>
      <c r="V55" s="171"/>
      <c r="W55" s="171"/>
      <c r="X55" s="171"/>
      <c r="Y55" s="171"/>
      <c r="Z55" s="295"/>
      <c r="AA55" s="57"/>
      <c r="AB55" s="295"/>
      <c r="AC55" s="186"/>
      <c r="AD55" s="295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  <c r="BD55" s="171"/>
      <c r="BE55" s="171"/>
      <c r="BF55" s="171"/>
      <c r="BG55" s="171"/>
      <c r="BH55" s="171"/>
      <c r="BI55" s="171"/>
      <c r="BJ55" s="308"/>
      <c r="BK55" s="308"/>
      <c r="BL55" s="112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56"/>
      <c r="CP55" s="56"/>
      <c r="CQ55" s="56"/>
      <c r="CR55" s="56"/>
      <c r="CS55" s="56"/>
      <c r="CT55" s="56"/>
      <c r="CU55" s="56"/>
      <c r="CV55" s="56"/>
      <c r="CW55" s="56"/>
      <c r="CX55" s="56"/>
      <c r="CY55" s="56"/>
      <c r="CZ55" s="56"/>
      <c r="DA55" s="56"/>
      <c r="DB55" s="56"/>
      <c r="DC55" s="56"/>
      <c r="DD55" s="56"/>
      <c r="DE55" s="56"/>
      <c r="DF55" s="56"/>
      <c r="DG55" s="56"/>
      <c r="DH55" s="56"/>
      <c r="DI55" s="56"/>
      <c r="DJ55" s="56"/>
      <c r="DK55" s="56"/>
      <c r="DL55" s="56"/>
      <c r="DM55" s="56"/>
      <c r="DN55" s="56"/>
      <c r="DO55" s="56"/>
      <c r="DP55" s="56"/>
      <c r="DQ55" s="56"/>
      <c r="DR55" s="56"/>
      <c r="DS55" s="56"/>
      <c r="DT55" s="56"/>
      <c r="DU55" s="56"/>
      <c r="DV55" s="56"/>
      <c r="DW55" s="56"/>
      <c r="DX55" s="56"/>
      <c r="DY55" s="56"/>
      <c r="DZ55" s="56"/>
      <c r="EA55" s="56"/>
      <c r="EB55" s="56"/>
      <c r="EC55" s="56"/>
      <c r="ED55" s="56"/>
      <c r="EE55" s="56"/>
      <c r="EF55" s="56"/>
      <c r="EG55" s="56"/>
      <c r="EH55" s="56"/>
      <c r="EI55" s="56"/>
      <c r="EJ55" s="56"/>
      <c r="EK55" s="56"/>
      <c r="EL55" s="56"/>
      <c r="EM55" s="56"/>
      <c r="EN55" s="56"/>
      <c r="EO55" s="56"/>
      <c r="EP55" s="56"/>
      <c r="EQ55" s="56"/>
      <c r="ER55" s="56"/>
      <c r="ES55" s="56"/>
      <c r="ET55" s="56"/>
      <c r="EU55" s="56"/>
      <c r="EV55" s="56"/>
      <c r="EW55" s="56"/>
      <c r="EX55" s="56"/>
      <c r="EY55" s="56"/>
      <c r="EZ55" s="56"/>
      <c r="FA55" s="56"/>
      <c r="FB55" s="56"/>
      <c r="FC55" s="56"/>
      <c r="FD55" s="56"/>
      <c r="FE55" s="56"/>
      <c r="FF55" s="56"/>
      <c r="FG55" s="56"/>
      <c r="FH55" s="56"/>
      <c r="FI55" s="56"/>
      <c r="FJ55" s="56"/>
      <c r="FK55" s="56"/>
      <c r="FL55" s="56"/>
      <c r="FM55" s="56"/>
      <c r="FN55" s="56"/>
      <c r="FO55" s="56"/>
      <c r="FP55" s="56"/>
      <c r="FQ55" s="56"/>
      <c r="FR55" s="56"/>
      <c r="FS55" s="56"/>
      <c r="FT55" s="56"/>
      <c r="FU55" s="56"/>
      <c r="FV55" s="56"/>
      <c r="FW55" s="56"/>
      <c r="FX55" s="56"/>
      <c r="FY55" s="56"/>
      <c r="FZ55" s="56"/>
      <c r="GA55" s="56"/>
      <c r="GB55" s="56"/>
      <c r="GC55" s="56"/>
      <c r="GD55" s="56"/>
      <c r="GE55" s="56"/>
      <c r="GF55" s="56"/>
      <c r="GG55" s="56"/>
      <c r="GH55" s="56"/>
      <c r="GI55" s="56"/>
      <c r="GJ55" s="56"/>
      <c r="GK55" s="56"/>
      <c r="GL55" s="56"/>
      <c r="GM55" s="56"/>
      <c r="GN55" s="56"/>
      <c r="GO55" s="56"/>
    </row>
    <row r="56" spans="1:197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6"/>
      <c r="CR56" s="56"/>
      <c r="CS56" s="56"/>
      <c r="CT56" s="56"/>
      <c r="CU56" s="56"/>
      <c r="CV56" s="56"/>
      <c r="CW56" s="56"/>
      <c r="CX56" s="56"/>
      <c r="CY56" s="56"/>
      <c r="CZ56" s="56"/>
      <c r="DA56" s="56"/>
      <c r="DB56" s="56"/>
      <c r="DC56" s="56"/>
      <c r="DD56" s="56"/>
      <c r="DE56" s="56"/>
      <c r="DF56" s="56"/>
      <c r="DG56" s="56"/>
      <c r="DH56" s="56"/>
      <c r="DI56" s="56"/>
      <c r="DJ56" s="56"/>
      <c r="DK56" s="56"/>
      <c r="DL56" s="56"/>
      <c r="DM56" s="56"/>
      <c r="DN56" s="56"/>
      <c r="DO56" s="56"/>
      <c r="DP56" s="56"/>
      <c r="DQ56" s="56"/>
      <c r="DR56" s="56"/>
      <c r="DS56" s="56"/>
      <c r="DT56" s="56"/>
      <c r="DU56" s="56"/>
      <c r="DV56" s="56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G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  <c r="FE56" s="56"/>
      <c r="FF56" s="56"/>
      <c r="FG56" s="56"/>
      <c r="FH56" s="56"/>
      <c r="FI56" s="56"/>
      <c r="FJ56" s="56"/>
      <c r="FK56" s="56"/>
      <c r="FL56" s="56"/>
      <c r="FM56" s="56"/>
      <c r="FN56" s="56"/>
      <c r="FO56" s="56"/>
      <c r="FP56" s="56"/>
      <c r="FQ56" s="56"/>
      <c r="FR56" s="56"/>
      <c r="FS56" s="56"/>
      <c r="FT56" s="56"/>
      <c r="FU56" s="56"/>
      <c r="FV56" s="56"/>
      <c r="FW56" s="56"/>
      <c r="FX56" s="56"/>
      <c r="FY56" s="56"/>
      <c r="FZ56" s="56"/>
      <c r="GA56" s="56"/>
      <c r="GB56" s="56"/>
      <c r="GC56" s="56"/>
      <c r="GD56" s="56"/>
      <c r="GE56" s="56"/>
      <c r="GF56" s="56"/>
      <c r="GG56" s="56"/>
      <c r="GH56" s="56"/>
      <c r="GI56" s="56"/>
      <c r="GJ56" s="56"/>
      <c r="GK56" s="56"/>
      <c r="GL56" s="56"/>
      <c r="GM56" s="56"/>
      <c r="GN56" s="56"/>
      <c r="GO56" s="56"/>
    </row>
    <row r="57" spans="1:197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56"/>
      <c r="CR57" s="56"/>
      <c r="CS57" s="56"/>
      <c r="CT57" s="56"/>
      <c r="CU57" s="56"/>
      <c r="CV57" s="56"/>
      <c r="CW57" s="56"/>
      <c r="CX57" s="56"/>
      <c r="CY57" s="56"/>
      <c r="CZ57" s="56"/>
      <c r="DA57" s="56"/>
      <c r="DB57" s="56"/>
      <c r="DC57" s="56"/>
      <c r="DD57" s="56"/>
      <c r="DE57" s="56"/>
      <c r="DF57" s="56"/>
      <c r="DG57" s="56"/>
      <c r="DH57" s="56"/>
      <c r="DI57" s="56"/>
      <c r="DJ57" s="56"/>
      <c r="DK57" s="56"/>
      <c r="DL57" s="56"/>
      <c r="DM57" s="56"/>
      <c r="DN57" s="56"/>
      <c r="DO57" s="56"/>
      <c r="DP57" s="56"/>
      <c r="DQ57" s="56"/>
      <c r="DR57" s="56"/>
      <c r="DS57" s="56"/>
      <c r="DT57" s="56"/>
      <c r="DU57" s="56"/>
      <c r="DV57" s="56"/>
      <c r="DW57" s="56"/>
      <c r="DX57" s="56"/>
      <c r="DY57" s="56"/>
      <c r="DZ57" s="56"/>
      <c r="EA57" s="56"/>
      <c r="EB57" s="56"/>
      <c r="EC57" s="56"/>
      <c r="ED57" s="56"/>
      <c r="EE57" s="56"/>
      <c r="EF57" s="56"/>
      <c r="EG57" s="56"/>
      <c r="EH57" s="56"/>
      <c r="EI57" s="56"/>
      <c r="EJ57" s="56"/>
      <c r="EK57" s="56"/>
      <c r="EL57" s="56"/>
      <c r="EM57" s="56"/>
      <c r="EN57" s="56"/>
      <c r="EO57" s="56"/>
      <c r="EP57" s="56"/>
      <c r="EQ57" s="56"/>
      <c r="ER57" s="56"/>
      <c r="ES57" s="56"/>
      <c r="ET57" s="56"/>
      <c r="EU57" s="56"/>
      <c r="EV57" s="56"/>
      <c r="EW57" s="56"/>
      <c r="EX57" s="56"/>
      <c r="EY57" s="56"/>
      <c r="EZ57" s="56"/>
      <c r="FA57" s="56"/>
      <c r="FB57" s="56"/>
      <c r="FC57" s="56"/>
      <c r="FD57" s="56"/>
      <c r="FE57" s="56"/>
      <c r="FF57" s="56"/>
      <c r="FG57" s="56"/>
      <c r="FH57" s="56"/>
      <c r="FI57" s="56"/>
      <c r="FJ57" s="56"/>
      <c r="FK57" s="56"/>
      <c r="FL57" s="56"/>
      <c r="FM57" s="56"/>
      <c r="FN57" s="56"/>
      <c r="FO57" s="56"/>
      <c r="FP57" s="56"/>
      <c r="FQ57" s="56"/>
      <c r="FR57" s="56"/>
      <c r="FS57" s="56"/>
      <c r="FT57" s="56"/>
      <c r="FU57" s="56"/>
      <c r="FV57" s="56"/>
      <c r="FW57" s="56"/>
      <c r="FX57" s="56"/>
      <c r="FY57" s="56"/>
      <c r="FZ57" s="56"/>
      <c r="GA57" s="56"/>
      <c r="GB57" s="56"/>
      <c r="GC57" s="56"/>
      <c r="GD57" s="56"/>
      <c r="GE57" s="56"/>
      <c r="GF57" s="56"/>
      <c r="GG57" s="56"/>
      <c r="GH57" s="56"/>
      <c r="GI57" s="56"/>
      <c r="GJ57" s="56"/>
      <c r="GK57" s="56"/>
      <c r="GL57" s="56"/>
      <c r="GM57" s="56"/>
      <c r="GN57" s="56"/>
      <c r="GO57" s="56"/>
    </row>
    <row r="58" spans="1:197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BX58" s="56"/>
      <c r="BY58" s="56"/>
      <c r="BZ58" s="56"/>
      <c r="CA58" s="56"/>
      <c r="CB58" s="56"/>
      <c r="CC58" s="56"/>
      <c r="CD58" s="56"/>
      <c r="CE58" s="56"/>
      <c r="CF58" s="56"/>
      <c r="CG58" s="56"/>
      <c r="CH58" s="56"/>
      <c r="CI58" s="56"/>
      <c r="CJ58" s="56"/>
      <c r="CK58" s="56"/>
      <c r="CL58" s="56"/>
      <c r="CM58" s="56"/>
      <c r="CN58" s="56"/>
      <c r="CO58" s="56"/>
      <c r="CP58" s="56"/>
      <c r="CQ58" s="56"/>
      <c r="CR58" s="56"/>
      <c r="CS58" s="56"/>
      <c r="CT58" s="56"/>
      <c r="CU58" s="56"/>
      <c r="CV58" s="56"/>
      <c r="CW58" s="56"/>
      <c r="CX58" s="56"/>
      <c r="CY58" s="56"/>
      <c r="CZ58" s="56"/>
      <c r="DA58" s="56"/>
      <c r="DB58" s="56"/>
      <c r="DC58" s="56"/>
      <c r="DD58" s="56"/>
      <c r="DE58" s="56"/>
      <c r="DF58" s="56"/>
      <c r="DG58" s="56"/>
      <c r="DH58" s="56"/>
      <c r="DI58" s="56"/>
      <c r="DJ58" s="56"/>
      <c r="DK58" s="56"/>
      <c r="DL58" s="56"/>
      <c r="DM58" s="56"/>
      <c r="DN58" s="56"/>
      <c r="DO58" s="56"/>
      <c r="DP58" s="56"/>
      <c r="DQ58" s="56"/>
      <c r="DR58" s="56"/>
      <c r="DS58" s="56"/>
      <c r="DT58" s="56"/>
      <c r="DU58" s="56"/>
      <c r="DV58" s="56"/>
      <c r="DW58" s="56"/>
      <c r="DX58" s="56"/>
      <c r="DY58" s="56"/>
      <c r="DZ58" s="56"/>
      <c r="EA58" s="56"/>
      <c r="EB58" s="56"/>
      <c r="EC58" s="56"/>
      <c r="ED58" s="56"/>
      <c r="EE58" s="56"/>
      <c r="EF58" s="56"/>
      <c r="EG58" s="56"/>
      <c r="EH58" s="56"/>
      <c r="EI58" s="56"/>
      <c r="EJ58" s="56"/>
      <c r="EK58" s="56"/>
      <c r="EL58" s="56"/>
      <c r="EM58" s="56"/>
      <c r="EN58" s="56"/>
      <c r="EO58" s="56"/>
      <c r="EP58" s="56"/>
      <c r="EQ58" s="56"/>
      <c r="ER58" s="56"/>
      <c r="ES58" s="56"/>
      <c r="ET58" s="56"/>
      <c r="EU58" s="56"/>
      <c r="EV58" s="56"/>
      <c r="EW58" s="56"/>
      <c r="EX58" s="56"/>
      <c r="EY58" s="56"/>
      <c r="EZ58" s="56"/>
      <c r="FA58" s="56"/>
      <c r="FB58" s="56"/>
      <c r="FC58" s="56"/>
      <c r="FD58" s="56"/>
      <c r="FE58" s="56"/>
      <c r="FF58" s="56"/>
      <c r="FG58" s="56"/>
      <c r="FH58" s="56"/>
      <c r="FI58" s="56"/>
      <c r="FJ58" s="56"/>
      <c r="FK58" s="56"/>
      <c r="FL58" s="56"/>
      <c r="FM58" s="56"/>
      <c r="FN58" s="56"/>
      <c r="FO58" s="56"/>
      <c r="FP58" s="56"/>
      <c r="FQ58" s="56"/>
      <c r="FR58" s="56"/>
      <c r="FS58" s="56"/>
      <c r="FT58" s="56"/>
      <c r="FU58" s="56"/>
      <c r="FV58" s="56"/>
      <c r="FW58" s="56"/>
      <c r="FX58" s="56"/>
      <c r="FY58" s="56"/>
      <c r="FZ58" s="56"/>
      <c r="GA58" s="56"/>
      <c r="GB58" s="56"/>
      <c r="GC58" s="56"/>
      <c r="GD58" s="56"/>
      <c r="GE58" s="56"/>
      <c r="GF58" s="56"/>
      <c r="GG58" s="56"/>
      <c r="GH58" s="56"/>
      <c r="GI58" s="56"/>
      <c r="GJ58" s="56"/>
      <c r="GK58" s="56"/>
      <c r="GL58" s="56"/>
      <c r="GM58" s="56"/>
      <c r="GN58" s="56"/>
      <c r="GO58" s="56"/>
    </row>
  </sheetData>
  <mergeCells count="19">
    <mergeCell ref="V36:Y36"/>
    <mergeCell ref="A1:BK1"/>
    <mergeCell ref="A3:A8"/>
    <mergeCell ref="P5:R7"/>
    <mergeCell ref="AC16:AD17"/>
    <mergeCell ref="AZ19:BB21"/>
    <mergeCell ref="N21:O21"/>
    <mergeCell ref="BB24:BB25"/>
    <mergeCell ref="N25:O25"/>
    <mergeCell ref="AF25:AG25"/>
    <mergeCell ref="AL25:AM25"/>
    <mergeCell ref="S32:T32"/>
    <mergeCell ref="AL37:AM37"/>
    <mergeCell ref="L43:R44"/>
    <mergeCell ref="AD45:AF49"/>
    <mergeCell ref="AI49:AP52"/>
    <mergeCell ref="AT49:AU50"/>
    <mergeCell ref="AF50:AH52"/>
    <mergeCell ref="AU51:AV52"/>
  </mergeCells>
  <conditionalFormatting sqref="K13">
    <cfRule type="expression" dxfId="0" priority="1">
      <formula>IF(N13="DESC",1,0)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2025-10-28T19:24:07Z</dcterms:modified>
</cp:coreProperties>
</file>